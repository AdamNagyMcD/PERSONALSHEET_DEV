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EV\PERSONALSHEET_DEV\"/>
    </mc:Choice>
  </mc:AlternateContent>
  <xr:revisionPtr revIDLastSave="0" documentId="13_ncr:1_{F462B03F-25AB-4462-9200-E61813A0A1C0}" xr6:coauthVersionLast="47" xr6:coauthVersionMax="47" xr10:uidLastSave="{00000000-0000-0000-0000-000000000000}"/>
  <bookViews>
    <workbookView xWindow="-110" yWindow="-110" windowWidth="38620" windowHeight="21100" tabRatio="677" activeTab="9" xr2:uid="{00000000-000D-0000-FFFF-FFFF00000000}"/>
  </bookViews>
  <sheets>
    <sheet name="LOHNTABELLE" sheetId="46" r:id="rId1"/>
    <sheet name="EINSTELLUNG" sheetId="2" r:id="rId2"/>
    <sheet name="MAKROS" sheetId="51" r:id="rId3"/>
    <sheet name="Januar" sheetId="3" r:id="rId4"/>
    <sheet name="Settings" sheetId="18" state="veryHidden" r:id="rId5"/>
    <sheet name="Februar" sheetId="25" r:id="rId6"/>
    <sheet name="Marz" sheetId="26" r:id="rId7"/>
    <sheet name="April" sheetId="27" r:id="rId8"/>
    <sheet name="Mai" sheetId="28" r:id="rId9"/>
    <sheet name="Juni" sheetId="37" r:id="rId10"/>
    <sheet name="Juli" sheetId="30" r:id="rId11"/>
    <sheet name="August" sheetId="31" r:id="rId12"/>
    <sheet name="September" sheetId="32" r:id="rId13"/>
    <sheet name="Oktober" sheetId="33" r:id="rId14"/>
    <sheet name="November" sheetId="36" r:id="rId15"/>
    <sheet name="Dezember" sheetId="35" r:id="rId16"/>
    <sheet name="UBERSICHT" sheetId="15" r:id="rId17"/>
    <sheet name="FLUKTUATION_DATEN" sheetId="38" state="veryHidden" r:id="rId18"/>
    <sheet name="FLUKTUATION" sheetId="39" r:id="rId19"/>
    <sheet name="Message" sheetId="22" state="veryHidden" r:id="rId20"/>
    <sheet name="KV_DROPDOWN_HELPER" sheetId="49" state="veryHidden" r:id="rId21"/>
    <sheet name="PID_HOUR_OVERRIDES" sheetId="50" state="veryHidden" r:id="rId22"/>
    <sheet name="SYSTEM_CHECK" sheetId="52" r:id="rId23"/>
  </sheets>
  <functionGroups builtInGroupCount="19"/>
  <definedNames>
    <definedName name="_xleta.OR" hidden="1" xlm="1">#NAME?</definedName>
    <definedName name="_xleta.SUM" hidden="1" xlm="1">#NAME?</definedName>
    <definedName name="_xlpm.d" hidden="1" xlm="1">#NAME?</definedName>
    <definedName name="_xlpm.i" hidden="1" xlm="1">#NAME?</definedName>
    <definedName name="_xlpm.w" hidden="1" xlm="1">#NAME?</definedName>
    <definedName name="BG1_10_Hours">#REF!</definedName>
    <definedName name="BG1_10_Wages">#REF!</definedName>
    <definedName name="BG1_15_Hours">#REF!</definedName>
    <definedName name="BG1_15_Wages">#REF!</definedName>
    <definedName name="BG1_5_Hours">#REF!</definedName>
    <definedName name="BG1_5_Wages">#REF!</definedName>
    <definedName name="BG1_Hours">#REF!</definedName>
    <definedName name="BG1_Wages">#REF!</definedName>
    <definedName name="BG2_10_Hours">#REF!</definedName>
    <definedName name="BG2_15_Hours">#REF!</definedName>
    <definedName name="BG2_5_Hours">#REF!</definedName>
    <definedName name="BG2_Hours">#REF!</definedName>
    <definedName name="KV_DD_APRIL_10">KV_DROPDOWN_HELPER!$IN$1:$IN$13</definedName>
    <definedName name="KV_DD_APRIL_11">KV_DROPDOWN_HELPER!$IO$1:$IO$14</definedName>
    <definedName name="KV_DD_APRIL_12">KV_DROPDOWN_HELPER!$IP$1:$IP$14</definedName>
    <definedName name="KV_DD_APRIL_13">KV_DROPDOWN_HELPER!$IQ$1:$IQ$14</definedName>
    <definedName name="KV_DD_APRIL_14">KV_DROPDOWN_HELPER!$IR$1:$IR$14</definedName>
    <definedName name="KV_DD_APRIL_15">KV_DROPDOWN_HELPER!$IS$1:$IS$14</definedName>
    <definedName name="KV_DD_APRIL_16">KV_DROPDOWN_HELPER!$IT$1:$IT$13</definedName>
    <definedName name="KV_DD_APRIL_17">KV_DROPDOWN_HELPER!$IU$1:$IU$15</definedName>
    <definedName name="KV_DD_APRIL_18">KV_DROPDOWN_HELPER!$IV$1:$IV$15</definedName>
    <definedName name="KV_DD_APRIL_19">KV_DROPDOWN_HELPER!$IW$1:$IW$15</definedName>
    <definedName name="KV_DD_APRIL_20">KV_DROPDOWN_HELPER!$IX$1:$IX$13</definedName>
    <definedName name="KV_DD_APRIL_21">KV_DROPDOWN_HELPER!$IY$1:$IY$14</definedName>
    <definedName name="KV_DD_APRIL_22">KV_DROPDOWN_HELPER!$IZ$1:$IZ$15</definedName>
    <definedName name="KV_DD_APRIL_23">KV_DROPDOWN_HELPER!$JA$1:$JA$15</definedName>
    <definedName name="KV_DD_APRIL_24">KV_DROPDOWN_HELPER!$JB$1:$JB$13</definedName>
    <definedName name="KV_DD_APRIL_25">KV_DROPDOWN_HELPER!$JC$1:$JC$13</definedName>
    <definedName name="KV_DD_APRIL_26">KV_DROPDOWN_HELPER!$JD$1:$JD$15</definedName>
    <definedName name="KV_DD_APRIL_27">KV_DROPDOWN_HELPER!$JE$1:$JE$15</definedName>
    <definedName name="KV_DD_APRIL_28">KV_DROPDOWN_HELPER!$JF$1:$JF$15</definedName>
    <definedName name="KV_DD_APRIL_29">KV_DROPDOWN_HELPER!$JG$1:$JG$13</definedName>
    <definedName name="KV_DD_APRIL_3">KV_DROPDOWN_HELPER!$IG$1:$IG$15</definedName>
    <definedName name="KV_DD_APRIL_30">KV_DROPDOWN_HELPER!$JH$1:$JH$15</definedName>
    <definedName name="KV_DD_APRIL_31">KV_DROPDOWN_HELPER!$JI$1:$JI$15</definedName>
    <definedName name="KV_DD_APRIL_32">KV_DROPDOWN_HELPER!$JJ$1:$JJ$15</definedName>
    <definedName name="KV_DD_APRIL_33">KV_DROPDOWN_HELPER!$JK$1:$JK$15</definedName>
    <definedName name="KV_DD_APRIL_34">KV_DROPDOWN_HELPER!$JL$1:$JL$15</definedName>
    <definedName name="KV_DD_APRIL_35">KV_DROPDOWN_HELPER!$JM$1:$JM$15</definedName>
    <definedName name="KV_DD_APRIL_36">KV_DROPDOWN_HELPER!$JN$1:$JN$15</definedName>
    <definedName name="KV_DD_APRIL_37">KV_DROPDOWN_HELPER!$JO$1:$JO$15</definedName>
    <definedName name="KV_DD_APRIL_38">KV_DROPDOWN_HELPER!$JP$1:$JP$15</definedName>
    <definedName name="KV_DD_APRIL_39">KV_DROPDOWN_HELPER!$JQ$1:$JQ$15</definedName>
    <definedName name="KV_DD_APRIL_4">KV_DROPDOWN_HELPER!$IH$1:$IH$13</definedName>
    <definedName name="KV_DD_APRIL_40">KV_DROPDOWN_HELPER!$JR$1:$JR$15</definedName>
    <definedName name="KV_DD_APRIL_41">KV_DROPDOWN_HELPER!$JS$1:$JS$15</definedName>
    <definedName name="KV_DD_APRIL_42">KV_DROPDOWN_HELPER!$JT$1:$JT$15</definedName>
    <definedName name="KV_DD_APRIL_43">KV_DROPDOWN_HELPER!$JU$1:$JU$15</definedName>
    <definedName name="KV_DD_APRIL_44">KV_DROPDOWN_HELPER!$JV$1:$JV$15</definedName>
    <definedName name="KV_DD_APRIL_45">KV_DROPDOWN_HELPER!$JW$1:$JW$15</definedName>
    <definedName name="KV_DD_APRIL_46">KV_DROPDOWN_HELPER!$JX$1:$JX$15</definedName>
    <definedName name="KV_DD_APRIL_47">KV_DROPDOWN_HELPER!$JY$1:$JY$15</definedName>
    <definedName name="KV_DD_APRIL_48">KV_DROPDOWN_HELPER!$JZ$1:$JZ$15</definedName>
    <definedName name="KV_DD_APRIL_49">KV_DROPDOWN_HELPER!$KA$1:$KA$15</definedName>
    <definedName name="KV_DD_APRIL_5">KV_DROPDOWN_HELPER!$II$1:$II$13</definedName>
    <definedName name="KV_DD_APRIL_50">KV_DROPDOWN_HELPER!$KB$1:$KB$15</definedName>
    <definedName name="KV_DD_APRIL_51">KV_DROPDOWN_HELPER!$KC$1:$KC$15</definedName>
    <definedName name="KV_DD_APRIL_52">KV_DROPDOWN_HELPER!$KD$1:$KD$15</definedName>
    <definedName name="KV_DD_APRIL_53">KV_DROPDOWN_HELPER!$KE$1:$KE$15</definedName>
    <definedName name="KV_DD_APRIL_54">KV_DROPDOWN_HELPER!$KF$1:$KF$15</definedName>
    <definedName name="KV_DD_APRIL_55">KV_DROPDOWN_HELPER!$KG$1:$KG$15</definedName>
    <definedName name="KV_DD_APRIL_56">KV_DROPDOWN_HELPER!$KH$1:$KH$15</definedName>
    <definedName name="KV_DD_APRIL_57">KV_DROPDOWN_HELPER!$KI$1:$KI$15</definedName>
    <definedName name="KV_DD_APRIL_58">KV_DROPDOWN_HELPER!$KJ$1:$KJ$15</definedName>
    <definedName name="KV_DD_APRIL_59">KV_DROPDOWN_HELPER!$KK$1:$KK$14</definedName>
    <definedName name="KV_DD_APRIL_6">KV_DROPDOWN_HELPER!$IJ$1:$IJ$13</definedName>
    <definedName name="KV_DD_APRIL_60">KV_DROPDOWN_HELPER!$KL$1:$KL$15</definedName>
    <definedName name="KV_DD_APRIL_61">KV_DROPDOWN_HELPER!$KM$1:$KM$15</definedName>
    <definedName name="KV_DD_APRIL_62">KV_DROPDOWN_HELPER!$KN$1:$KN$15</definedName>
    <definedName name="KV_DD_APRIL_7">KV_DROPDOWN_HELPER!$IK$1:$IK$13</definedName>
    <definedName name="KV_DD_APRIL_8">KV_DROPDOWN_HELPER!$IL$1:$IL$13</definedName>
    <definedName name="KV_DD_APRIL_9">KV_DROPDOWN_HELPER!$IM$1:$IM$14</definedName>
    <definedName name="KV_DD_AUGUST_10">KV_DROPDOWN_HELPER!$UV$1:$UV$13</definedName>
    <definedName name="KV_DD_AUGUST_11">KV_DROPDOWN_HELPER!$UW$1:$UW$14</definedName>
    <definedName name="KV_DD_AUGUST_12">KV_DROPDOWN_HELPER!$UX$1:$UX$14</definedName>
    <definedName name="KV_DD_AUGUST_13">KV_DROPDOWN_HELPER!$UY$1:$UY$14</definedName>
    <definedName name="KV_DD_AUGUST_14">KV_DROPDOWN_HELPER!$UZ$1:$UZ$14</definedName>
    <definedName name="KV_DD_AUGUST_15">KV_DROPDOWN_HELPER!$VA$1:$VA$14</definedName>
    <definedName name="KV_DD_AUGUST_16">KV_DROPDOWN_HELPER!$VB$1:$VB$13</definedName>
    <definedName name="KV_DD_AUGUST_17">KV_DROPDOWN_HELPER!$VC$1:$VC$15</definedName>
    <definedName name="KV_DD_AUGUST_18">KV_DROPDOWN_HELPER!$VD$1:$VD$15</definedName>
    <definedName name="KV_DD_AUGUST_19">KV_DROPDOWN_HELPER!$VE$1:$VE$13</definedName>
    <definedName name="KV_DD_AUGUST_20">KV_DROPDOWN_HELPER!$VF$1:$VF$15</definedName>
    <definedName name="KV_DD_AUGUST_21">KV_DROPDOWN_HELPER!$VG$1:$VG$15</definedName>
    <definedName name="KV_DD_AUGUST_22">KV_DROPDOWN_HELPER!$VH$1:$VH$15</definedName>
    <definedName name="KV_DD_AUGUST_23">KV_DROPDOWN_HELPER!$VI$1:$VI$13</definedName>
    <definedName name="KV_DD_AUGUST_24">KV_DROPDOWN_HELPER!$VJ$1:$VJ$13</definedName>
    <definedName name="KV_DD_AUGUST_25">KV_DROPDOWN_HELPER!$VK$1:$VK$15</definedName>
    <definedName name="KV_DD_AUGUST_26">KV_DROPDOWN_HELPER!$VL$1:$VL$15</definedName>
    <definedName name="KV_DD_AUGUST_27">KV_DROPDOWN_HELPER!$VM$1:$VM$15</definedName>
    <definedName name="KV_DD_AUGUST_28">KV_DROPDOWN_HELPER!$VN$1:$VN$13</definedName>
    <definedName name="KV_DD_AUGUST_29">KV_DROPDOWN_HELPER!$VO$1:$VO$15</definedName>
    <definedName name="KV_DD_AUGUST_3">KV_DROPDOWN_HELPER!$UO$1:$UO$15</definedName>
    <definedName name="KV_DD_AUGUST_30">KV_DROPDOWN_HELPER!$VP$1:$VP$15</definedName>
    <definedName name="KV_DD_AUGUST_31">KV_DROPDOWN_HELPER!$VQ$1:$VQ$15</definedName>
    <definedName name="KV_DD_AUGUST_32">KV_DROPDOWN_HELPER!$VR$1:$VR$15</definedName>
    <definedName name="KV_DD_AUGUST_33">KV_DROPDOWN_HELPER!$VS$1:$VS$15</definedName>
    <definedName name="KV_DD_AUGUST_34">KV_DROPDOWN_HELPER!$VT$1:$VT$15</definedName>
    <definedName name="KV_DD_AUGUST_35">KV_DROPDOWN_HELPER!$VU$1:$VU$15</definedName>
    <definedName name="KV_DD_AUGUST_36">KV_DROPDOWN_HELPER!$VV$1:$VV$15</definedName>
    <definedName name="KV_DD_AUGUST_37">KV_DROPDOWN_HELPER!$VW$1:$VW$15</definedName>
    <definedName name="KV_DD_AUGUST_38">KV_DROPDOWN_HELPER!$VX$1:$VX$15</definedName>
    <definedName name="KV_DD_AUGUST_39">KV_DROPDOWN_HELPER!$VY$1:$VY$15</definedName>
    <definedName name="KV_DD_AUGUST_4">KV_DROPDOWN_HELPER!$UP$1:$UP$13</definedName>
    <definedName name="KV_DD_AUGUST_40">KV_DROPDOWN_HELPER!$VZ$1:$VZ$15</definedName>
    <definedName name="KV_DD_AUGUST_41">KV_DROPDOWN_HELPER!$WA$1:$WA$15</definedName>
    <definedName name="KV_DD_AUGUST_42">KV_DROPDOWN_HELPER!$WB$1:$WB$15</definedName>
    <definedName name="KV_DD_AUGUST_43">KV_DROPDOWN_HELPER!$WC$1:$WC$15</definedName>
    <definedName name="KV_DD_AUGUST_44">KV_DROPDOWN_HELPER!$WD$1:$WD$15</definedName>
    <definedName name="KV_DD_AUGUST_45">KV_DROPDOWN_HELPER!$WE$1:$WE$15</definedName>
    <definedName name="KV_DD_AUGUST_46">KV_DROPDOWN_HELPER!$WF$1:$WF$15</definedName>
    <definedName name="KV_DD_AUGUST_47">KV_DROPDOWN_HELPER!$WG$1:$WG$15</definedName>
    <definedName name="KV_DD_AUGUST_48">KV_DROPDOWN_HELPER!$WH$1:$WH$15</definedName>
    <definedName name="KV_DD_AUGUST_49">KV_DROPDOWN_HELPER!$WI$1:$WI$15</definedName>
    <definedName name="KV_DD_AUGUST_5">KV_DROPDOWN_HELPER!$UQ$1:$UQ$13</definedName>
    <definedName name="KV_DD_AUGUST_50">KV_DROPDOWN_HELPER!$WJ$1:$WJ$15</definedName>
    <definedName name="KV_DD_AUGUST_51">KV_DROPDOWN_HELPER!$WK$1:$WK$15</definedName>
    <definedName name="KV_DD_AUGUST_52">KV_DROPDOWN_HELPER!$WL$1:$WL$15</definedName>
    <definedName name="KV_DD_AUGUST_53">KV_DROPDOWN_HELPER!$WM$1:$WM$15</definedName>
    <definedName name="KV_DD_AUGUST_54">KV_DROPDOWN_HELPER!$WN$1:$WN$15</definedName>
    <definedName name="KV_DD_AUGUST_55">KV_DROPDOWN_HELPER!$WO$1:$WO$15</definedName>
    <definedName name="KV_DD_AUGUST_56">KV_DROPDOWN_HELPER!$WP$1:$WP$15</definedName>
    <definedName name="KV_DD_AUGUST_57">KV_DROPDOWN_HELPER!$WQ$1:$WQ$15</definedName>
    <definedName name="KV_DD_AUGUST_58">KV_DROPDOWN_HELPER!$WR$1:$WR$15</definedName>
    <definedName name="KV_DD_AUGUST_59">KV_DROPDOWN_HELPER!$WS$1:$WS$15</definedName>
    <definedName name="KV_DD_AUGUST_6">KV_DROPDOWN_HELPER!$UR$1:$UR$13</definedName>
    <definedName name="KV_DD_AUGUST_60">KV_DROPDOWN_HELPER!$WT$1:$WT$14</definedName>
    <definedName name="KV_DD_AUGUST_61">KV_DROPDOWN_HELPER!$WU$1:$WU$15</definedName>
    <definedName name="KV_DD_AUGUST_62">KV_DROPDOWN_HELPER!$WV$1:$WV$15</definedName>
    <definedName name="KV_DD_AUGUST_63">KV_DROPDOWN_HELPER!$WW$1:$WW$15</definedName>
    <definedName name="KV_DD_AUGUST_7">KV_DROPDOWN_HELPER!$US$1:$US$13</definedName>
    <definedName name="KV_DD_AUGUST_8">KV_DROPDOWN_HELPER!$UT$1:$UT$13</definedName>
    <definedName name="KV_DD_AUGUST_9">KV_DROPDOWN_HELPER!$UU$1:$UU$14</definedName>
    <definedName name="KV_DD_DEZEMBER_10">KV_DROPDOWN_HELPER!$AHD$1:$AHD$14</definedName>
    <definedName name="KV_DD_DEZEMBER_11">KV_DROPDOWN_HELPER!$AHE$1:$AHE$14</definedName>
    <definedName name="KV_DD_DEZEMBER_12">KV_DROPDOWN_HELPER!$AHF$1:$AHF$14</definedName>
    <definedName name="KV_DD_DEZEMBER_13">KV_DROPDOWN_HELPER!$AHG$1:$AHG$14</definedName>
    <definedName name="KV_DD_DEZEMBER_14">KV_DROPDOWN_HELPER!$AHH$1:$AHH$14</definedName>
    <definedName name="KV_DD_DEZEMBER_15">KV_DROPDOWN_HELPER!$AHI$1:$AHI$13</definedName>
    <definedName name="KV_DD_DEZEMBER_16">KV_DROPDOWN_HELPER!$AHJ$1:$AHJ$15</definedName>
    <definedName name="KV_DD_DEZEMBER_17">KV_DROPDOWN_HELPER!$AHK$1:$AHK$15</definedName>
    <definedName name="KV_DD_DEZEMBER_18">KV_DROPDOWN_HELPER!$AHL$1:$AHL$13</definedName>
    <definedName name="KV_DD_DEZEMBER_19">KV_DROPDOWN_HELPER!$AHM$1:$AHM$15</definedName>
    <definedName name="KV_DD_DEZEMBER_20">KV_DROPDOWN_HELPER!$AHN$1:$AHN$15</definedName>
    <definedName name="KV_DD_DEZEMBER_21">KV_DROPDOWN_HELPER!$AHO$1:$AHO$13</definedName>
    <definedName name="KV_DD_DEZEMBER_22">KV_DROPDOWN_HELPER!$AHP$1:$AHP$13</definedName>
    <definedName name="KV_DD_DEZEMBER_23">KV_DROPDOWN_HELPER!$AHQ$1:$AHQ$15</definedName>
    <definedName name="KV_DD_DEZEMBER_24">KV_DROPDOWN_HELPER!$AHR$1:$AHR$15</definedName>
    <definedName name="KV_DD_DEZEMBER_25">KV_DROPDOWN_HELPER!$AHS$1:$AHS$15</definedName>
    <definedName name="KV_DD_DEZEMBER_26">KV_DROPDOWN_HELPER!$AHT$1:$AHT$13</definedName>
    <definedName name="KV_DD_DEZEMBER_27">KV_DROPDOWN_HELPER!$AHU$1:$AHU$15</definedName>
    <definedName name="KV_DD_DEZEMBER_28">KV_DROPDOWN_HELPER!$AHV$1:$AHV$15</definedName>
    <definedName name="KV_DD_DEZEMBER_29">KV_DROPDOWN_HELPER!$AHW$1:$AHW$15</definedName>
    <definedName name="KV_DD_DEZEMBER_3">KV_DROPDOWN_HELPER!$AGW$1:$AGW$15</definedName>
    <definedName name="KV_DD_DEZEMBER_30">KV_DROPDOWN_HELPER!$AHX$1:$AHX$15</definedName>
    <definedName name="KV_DD_DEZEMBER_31">KV_DROPDOWN_HELPER!$AHY$1:$AHY$15</definedName>
    <definedName name="KV_DD_DEZEMBER_32">KV_DROPDOWN_HELPER!$AHZ$1:$AHZ$15</definedName>
    <definedName name="KV_DD_DEZEMBER_33">KV_DROPDOWN_HELPER!$AIA$1:$AIA$15</definedName>
    <definedName name="KV_DD_DEZEMBER_34">KV_DROPDOWN_HELPER!$AIB$1:$AIB$15</definedName>
    <definedName name="KV_DD_DEZEMBER_35">KV_DROPDOWN_HELPER!$AIC$1:$AIC$15</definedName>
    <definedName name="KV_DD_DEZEMBER_36">KV_DROPDOWN_HELPER!$AID$1:$AID$15</definedName>
    <definedName name="KV_DD_DEZEMBER_37">KV_DROPDOWN_HELPER!$AIE$1:$AIE$15</definedName>
    <definedName name="KV_DD_DEZEMBER_38">KV_DROPDOWN_HELPER!$AIF$1:$AIF$15</definedName>
    <definedName name="KV_DD_DEZEMBER_39">KV_DROPDOWN_HELPER!$AIG$1:$AIG$15</definedName>
    <definedName name="KV_DD_DEZEMBER_4">KV_DROPDOWN_HELPER!$AGX$1:$AGX$13</definedName>
    <definedName name="KV_DD_DEZEMBER_40">KV_DROPDOWN_HELPER!$AIH$1:$AIH$15</definedName>
    <definedName name="KV_DD_DEZEMBER_41">KV_DROPDOWN_HELPER!$AII$1:$AII$15</definedName>
    <definedName name="KV_DD_DEZEMBER_42">KV_DROPDOWN_HELPER!$AIJ$1:$AIJ$15</definedName>
    <definedName name="KV_DD_DEZEMBER_43">KV_DROPDOWN_HELPER!$AIK$1:$AIK$15</definedName>
    <definedName name="KV_DD_DEZEMBER_44">KV_DROPDOWN_HELPER!$AIL$1:$AIL$15</definedName>
    <definedName name="KV_DD_DEZEMBER_45">KV_DROPDOWN_HELPER!$AIM$1:$AIM$15</definedName>
    <definedName name="KV_DD_DEZEMBER_46">KV_DROPDOWN_HELPER!$AIN$1:$AIN$15</definedName>
    <definedName name="KV_DD_DEZEMBER_47">KV_DROPDOWN_HELPER!$AIO$1:$AIO$15</definedName>
    <definedName name="KV_DD_DEZEMBER_48">KV_DROPDOWN_HELPER!$AIP$1:$AIP$15</definedName>
    <definedName name="KV_DD_DEZEMBER_49">KV_DROPDOWN_HELPER!$AIQ$1:$AIQ$15</definedName>
    <definedName name="KV_DD_DEZEMBER_5">KV_DROPDOWN_HELPER!$AGY$1:$AGY$13</definedName>
    <definedName name="KV_DD_DEZEMBER_50">KV_DROPDOWN_HELPER!$AIR$1:$AIR$15</definedName>
    <definedName name="KV_DD_DEZEMBER_51">KV_DROPDOWN_HELPER!$AIS$1:$AIS$15</definedName>
    <definedName name="KV_DD_DEZEMBER_52">KV_DROPDOWN_HELPER!$AIT$1:$AIT$15</definedName>
    <definedName name="KV_DD_DEZEMBER_53">KV_DROPDOWN_HELPER!$AIU$1:$AIU$15</definedName>
    <definedName name="KV_DD_DEZEMBER_54">KV_DROPDOWN_HELPER!$AIV$1:$AIV$15</definedName>
    <definedName name="KV_DD_DEZEMBER_55">KV_DROPDOWN_HELPER!$AIW$1:$AIW$15</definedName>
    <definedName name="KV_DD_DEZEMBER_56">KV_DROPDOWN_HELPER!$AIX$1:$AIX$14</definedName>
    <definedName name="KV_DD_DEZEMBER_57">KV_DROPDOWN_HELPER!$AIY$1:$AIY$15</definedName>
    <definedName name="KV_DD_DEZEMBER_58">KV_DROPDOWN_HELPER!$AIZ$1:$AIZ$15</definedName>
    <definedName name="KV_DD_DEZEMBER_59">KV_DROPDOWN_HELPER!$AJA$1:$AJA$14</definedName>
    <definedName name="KV_DD_DEZEMBER_6">KV_DROPDOWN_HELPER!$AGZ$1:$AGZ$13</definedName>
    <definedName name="KV_DD_DEZEMBER_60">KV_DROPDOWN_HELPER!$AJB$1:$AJB$13</definedName>
    <definedName name="KV_DD_DEZEMBER_61">KV_DROPDOWN_HELPER!$AJC$1:$AJC$14</definedName>
    <definedName name="KV_DD_DEZEMBER_62">KV_DROPDOWN_HELPER!$AJD$1:$AJD$14</definedName>
    <definedName name="KV_DD_DEZEMBER_7">KV_DROPDOWN_HELPER!$AHA$1:$AHA$13</definedName>
    <definedName name="KV_DD_DEZEMBER_8">KV_DROPDOWN_HELPER!$AHB$1:$AHB$14</definedName>
    <definedName name="KV_DD_DEZEMBER_9">KV_DROPDOWN_HELPER!$AHC$1:$AHC$13</definedName>
    <definedName name="KV_DD_FEBRUAR_10">KV_DROPDOWN_HELPER!$CJ$1:$CJ$14</definedName>
    <definedName name="KV_DD_FEBRUAR_11">KV_DROPDOWN_HELPER!$CK$1:$CK$14</definedName>
    <definedName name="KV_DD_FEBRUAR_12">KV_DROPDOWN_HELPER!$CL$1:$CL$14</definedName>
    <definedName name="KV_DD_FEBRUAR_13">KV_DROPDOWN_HELPER!$CM$1:$CM$14</definedName>
    <definedName name="KV_DD_FEBRUAR_14">KV_DROPDOWN_HELPER!$CN$1:$CN$14</definedName>
    <definedName name="KV_DD_FEBRUAR_15">KV_DROPDOWN_HELPER!$CO$1:$CO$13</definedName>
    <definedName name="KV_DD_FEBRUAR_16">KV_DROPDOWN_HELPER!$CP$1:$CP$15</definedName>
    <definedName name="KV_DD_FEBRUAR_17">KV_DROPDOWN_HELPER!$CQ$1:$CQ$15</definedName>
    <definedName name="KV_DD_FEBRUAR_18">KV_DROPDOWN_HELPER!$CR$1:$CR$15</definedName>
    <definedName name="KV_DD_FEBRUAR_19">KV_DROPDOWN_HELPER!$CS$1:$CS$13</definedName>
    <definedName name="KV_DD_FEBRUAR_20">KV_DROPDOWN_HELPER!$CT$1:$CT$15</definedName>
    <definedName name="KV_DD_FEBRUAR_21">KV_DROPDOWN_HELPER!$CU$1:$CU$15</definedName>
    <definedName name="KV_DD_FEBRUAR_22">KV_DROPDOWN_HELPER!$CV$1:$CV$15</definedName>
    <definedName name="KV_DD_FEBRUAR_23">KV_DROPDOWN_HELPER!$CW$1:$CW$13</definedName>
    <definedName name="KV_DD_FEBRUAR_24">KV_DROPDOWN_HELPER!$CX$1:$CX$13</definedName>
    <definedName name="KV_DD_FEBRUAR_25">KV_DROPDOWN_HELPER!$CY$1:$CY$15</definedName>
    <definedName name="KV_DD_FEBRUAR_26">KV_DROPDOWN_HELPER!$CZ$1:$CZ$15</definedName>
    <definedName name="KV_DD_FEBRUAR_27">KV_DROPDOWN_HELPER!$DA$1:$DA$15</definedName>
    <definedName name="KV_DD_FEBRUAR_28">KV_DROPDOWN_HELPER!$DB$1:$DB$13</definedName>
    <definedName name="KV_DD_FEBRUAR_29">KV_DROPDOWN_HELPER!$DC$1:$DC$15</definedName>
    <definedName name="KV_DD_FEBRUAR_3">KV_DROPDOWN_HELPER!$CC$1:$CC$13</definedName>
    <definedName name="KV_DD_FEBRUAR_30">KV_DROPDOWN_HELPER!$DD$1:$DD$15</definedName>
    <definedName name="KV_DD_FEBRUAR_31">KV_DROPDOWN_HELPER!$DE$1:$DE$15</definedName>
    <definedName name="KV_DD_FEBRUAR_32">KV_DROPDOWN_HELPER!$DF$1:$DF$15</definedName>
    <definedName name="KV_DD_FEBRUAR_33">KV_DROPDOWN_HELPER!$DG$1:$DG$15</definedName>
    <definedName name="KV_DD_FEBRUAR_34">KV_DROPDOWN_HELPER!$DH$1:$DH$15</definedName>
    <definedName name="KV_DD_FEBRUAR_35">KV_DROPDOWN_HELPER!$DI$1:$DI$15</definedName>
    <definedName name="KV_DD_FEBRUAR_36">KV_DROPDOWN_HELPER!$DJ$1:$DJ$15</definedName>
    <definedName name="KV_DD_FEBRUAR_37">KV_DROPDOWN_HELPER!$DK$1:$DK$15</definedName>
    <definedName name="KV_DD_FEBRUAR_38">KV_DROPDOWN_HELPER!$DL$1:$DL$15</definedName>
    <definedName name="KV_DD_FEBRUAR_39">KV_DROPDOWN_HELPER!$DM$1:$DM$15</definedName>
    <definedName name="KV_DD_FEBRUAR_4">KV_DROPDOWN_HELPER!$CD$1:$CD$13</definedName>
    <definedName name="KV_DD_FEBRUAR_40">KV_DROPDOWN_HELPER!$DN$1:$DN$15</definedName>
    <definedName name="KV_DD_FEBRUAR_41">KV_DROPDOWN_HELPER!$DO$1:$DO$15</definedName>
    <definedName name="KV_DD_FEBRUAR_42">KV_DROPDOWN_HELPER!$DP$1:$DP$15</definedName>
    <definedName name="KV_DD_FEBRUAR_43">KV_DROPDOWN_HELPER!$DQ$1:$DQ$15</definedName>
    <definedName name="KV_DD_FEBRUAR_44">KV_DROPDOWN_HELPER!$DR$1:$DR$15</definedName>
    <definedName name="KV_DD_FEBRUAR_45">KV_DROPDOWN_HELPER!$DS$1:$DS$15</definedName>
    <definedName name="KV_DD_FEBRUAR_46">KV_DROPDOWN_HELPER!$DT$1:$DT$15</definedName>
    <definedName name="KV_DD_FEBRUAR_47">KV_DROPDOWN_HELPER!$DU$1:$DU$15</definedName>
    <definedName name="KV_DD_FEBRUAR_48">KV_DROPDOWN_HELPER!$DV$1:$DV$15</definedName>
    <definedName name="KV_DD_FEBRUAR_49">KV_DROPDOWN_HELPER!$DW$1:$DW$15</definedName>
    <definedName name="KV_DD_FEBRUAR_5">KV_DROPDOWN_HELPER!$CE$1:$CE$13</definedName>
    <definedName name="KV_DD_FEBRUAR_50">KV_DROPDOWN_HELPER!$DX$1:$DX$15</definedName>
    <definedName name="KV_DD_FEBRUAR_51">KV_DROPDOWN_HELPER!$DY$1:$DY$15</definedName>
    <definedName name="KV_DD_FEBRUAR_52">KV_DROPDOWN_HELPER!$DZ$1:$DZ$15</definedName>
    <definedName name="KV_DD_FEBRUAR_53">KV_DROPDOWN_HELPER!$EA$1:$EA$15</definedName>
    <definedName name="KV_DD_FEBRUAR_54">KV_DROPDOWN_HELPER!$EB$1:$EB$15</definedName>
    <definedName name="KV_DD_FEBRUAR_55">KV_DROPDOWN_HELPER!$EC$1:$EC$15</definedName>
    <definedName name="KV_DD_FEBRUAR_56">KV_DROPDOWN_HELPER!$ED$1:$ED$15</definedName>
    <definedName name="KV_DD_FEBRUAR_57">KV_DROPDOWN_HELPER!$EE$1:$EE$14</definedName>
    <definedName name="KV_DD_FEBRUAR_58">KV_DROPDOWN_HELPER!$EF$1:$EF$15</definedName>
    <definedName name="KV_DD_FEBRUAR_59">KV_DROPDOWN_HELPER!$EG$1:$EG$15</definedName>
    <definedName name="KV_DD_FEBRUAR_6">KV_DROPDOWN_HELPER!$CF$1:$CF$13</definedName>
    <definedName name="KV_DD_FEBRUAR_60">KV_DROPDOWN_HELPER!$EH$1:$EH$15</definedName>
    <definedName name="KV_DD_FEBRUAR_61">KV_DROPDOWN_HELPER!$EI$1:$EI$15</definedName>
    <definedName name="KV_DD_FEBRUAR_7">KV_DROPDOWN_HELPER!$CG$1:$CG$13</definedName>
    <definedName name="KV_DD_FEBRUAR_8">KV_DROPDOWN_HELPER!$CH$1:$CH$14</definedName>
    <definedName name="KV_DD_FEBRUAR_9">KV_DROPDOWN_HELPER!$CI$1:$CI$13</definedName>
    <definedName name="KV_DD_JANUAR_10">KV_DROPDOWN_HELPER!$H$1:$H$14</definedName>
    <definedName name="KV_DD_JANUAR_11">KV_DROPDOWN_HELPER!$I$1:$I$14</definedName>
    <definedName name="KV_DD_JANUAR_12">KV_DROPDOWN_HELPER!$J$1:$J$14</definedName>
    <definedName name="KV_DD_JANUAR_13">KV_DROPDOWN_HELPER!$K$1:$K$15</definedName>
    <definedName name="KV_DD_JANUAR_14">KV_DROPDOWN_HELPER!$L$1:$L$13</definedName>
    <definedName name="KV_DD_JANUAR_15">KV_DROPDOWN_HELPER!$M$1:$M$15</definedName>
    <definedName name="KV_DD_JANUAR_16">KV_DROPDOWN_HELPER!$N$1:$N$15</definedName>
    <definedName name="KV_DD_JANUAR_17">KV_DROPDOWN_HELPER!$O$1:$O$15</definedName>
    <definedName name="KV_DD_JANUAR_18">KV_DROPDOWN_HELPER!$P$1:$P$13</definedName>
    <definedName name="KV_DD_JANUAR_19">KV_DROPDOWN_HELPER!$Q$1:$Q$15</definedName>
    <definedName name="KV_DD_JANUAR_20">KV_DROPDOWN_HELPER!$R$1:$R$15</definedName>
    <definedName name="KV_DD_JANUAR_21">KV_DROPDOWN_HELPER!$S$1:$S$14</definedName>
    <definedName name="KV_DD_JANUAR_22">KV_DROPDOWN_HELPER!$T$1:$T$13</definedName>
    <definedName name="KV_DD_JANUAR_23">KV_DROPDOWN_HELPER!$U$1:$U$13</definedName>
    <definedName name="KV_DD_JANUAR_24">KV_DROPDOWN_HELPER!$V$1:$V$15</definedName>
    <definedName name="KV_DD_JANUAR_25">KV_DROPDOWN_HELPER!$W$1:$W$15</definedName>
    <definedName name="KV_DD_JANUAR_26">KV_DROPDOWN_HELPER!$X$1:$X$15</definedName>
    <definedName name="KV_DD_JANUAR_27">KV_DROPDOWN_HELPER!$Y$1:$Y$13</definedName>
    <definedName name="KV_DD_JANUAR_28">KV_DROPDOWN_HELPER!$Z$1:$Z$15</definedName>
    <definedName name="KV_DD_JANUAR_29">KV_DROPDOWN_HELPER!$AA$1:$AA$15</definedName>
    <definedName name="KV_DD_JANUAR_3">KV_DROPDOWN_HELPER!$A$1:$A$13</definedName>
    <definedName name="KV_DD_JANUAR_30">KV_DROPDOWN_HELPER!$AB$1:$AB$15</definedName>
    <definedName name="KV_DD_JANUAR_31">KV_DROPDOWN_HELPER!$AC$1:$AC$15</definedName>
    <definedName name="KV_DD_JANUAR_32">KV_DROPDOWN_HELPER!$AD$1:$AD$15</definedName>
    <definedName name="KV_DD_JANUAR_33">KV_DROPDOWN_HELPER!$AE$1:$AE$15</definedName>
    <definedName name="KV_DD_JANUAR_34">KV_DROPDOWN_HELPER!$AF$1:$AF$15</definedName>
    <definedName name="KV_DD_JANUAR_35">KV_DROPDOWN_HELPER!$AG$1:$AG$14</definedName>
    <definedName name="KV_DD_JANUAR_36">KV_DROPDOWN_HELPER!$AH$1:$AH$15</definedName>
    <definedName name="KV_DD_JANUAR_37">KV_DROPDOWN_HELPER!$AI$1:$AI$15</definedName>
    <definedName name="KV_DD_JANUAR_38">KV_DROPDOWN_HELPER!$AJ$1:$AJ$15</definedName>
    <definedName name="KV_DD_JANUAR_39">KV_DROPDOWN_HELPER!$AK$1:$AK$15</definedName>
    <definedName name="KV_DD_JANUAR_4">KV_DROPDOWN_HELPER!$B$1:$B$13</definedName>
    <definedName name="KV_DD_JANUAR_40">KV_DROPDOWN_HELPER!$AL$1:$AL$15</definedName>
    <definedName name="KV_DD_JANUAR_41">KV_DROPDOWN_HELPER!$AM$1:$AM$15</definedName>
    <definedName name="KV_DD_JANUAR_42">KV_DROPDOWN_HELPER!$AN$1:$AN$15</definedName>
    <definedName name="KV_DD_JANUAR_43">KV_DROPDOWN_HELPER!$AO$1:$AO$15</definedName>
    <definedName name="KV_DD_JANUAR_44">KV_DROPDOWN_HELPER!$AP$1:$AP$15</definedName>
    <definedName name="KV_DD_JANUAR_45">KV_DROPDOWN_HELPER!$AQ$1:$AQ$15</definedName>
    <definedName name="KV_DD_JANUAR_46">KV_DROPDOWN_HELPER!$AR$1:$AR$15</definedName>
    <definedName name="KV_DD_JANUAR_47">KV_DROPDOWN_HELPER!$AS$1:$AS$15</definedName>
    <definedName name="KV_DD_JANUAR_48">KV_DROPDOWN_HELPER!$AT$1:$AT$15</definedName>
    <definedName name="KV_DD_JANUAR_49">KV_DROPDOWN_HELPER!$AU$1:$AU$15</definedName>
    <definedName name="KV_DD_JANUAR_5">KV_DROPDOWN_HELPER!$C$1:$C$13</definedName>
    <definedName name="KV_DD_JANUAR_50">KV_DROPDOWN_HELPER!$AV$1:$AV$15</definedName>
    <definedName name="KV_DD_JANUAR_51">KV_DROPDOWN_HELPER!$AW$1:$AW$15</definedName>
    <definedName name="KV_DD_JANUAR_52">KV_DROPDOWN_HELPER!$AX$1:$AX$15</definedName>
    <definedName name="KV_DD_JANUAR_53">KV_DROPDOWN_HELPER!$AY$1:$AY$15</definedName>
    <definedName name="KV_DD_JANUAR_54">KV_DROPDOWN_HELPER!$AZ$1:$AZ$15</definedName>
    <definedName name="KV_DD_JANUAR_6">KV_DROPDOWN_HELPER!$D$1:$D$13</definedName>
    <definedName name="KV_DD_JANUAR_7">KV_DROPDOWN_HELPER!$E$1:$E$15</definedName>
    <definedName name="KV_DD_JANUAR_8">KV_DROPDOWN_HELPER!$F$1:$F$13</definedName>
    <definedName name="KV_DD_JANUAR_9">KV_DROPDOWN_HELPER!$G$1:$G$14</definedName>
    <definedName name="KV_DD_JULI_10">KV_DROPDOWN_HELPER!$RT$1:$RT$13</definedName>
    <definedName name="KV_DD_JULI_11">KV_DROPDOWN_HELPER!$RU$1:$RU$14</definedName>
    <definedName name="KV_DD_JULI_12">KV_DROPDOWN_HELPER!$RV$1:$RV$14</definedName>
    <definedName name="KV_DD_JULI_13">KV_DROPDOWN_HELPER!$RW$1:$RW$14</definedName>
    <definedName name="KV_DD_JULI_14">KV_DROPDOWN_HELPER!$RX$1:$RX$14</definedName>
    <definedName name="KV_DD_JULI_15">KV_DROPDOWN_HELPER!$RY$1:$RY$14</definedName>
    <definedName name="KV_DD_JULI_16">KV_DROPDOWN_HELPER!$RZ$1:$RZ$13</definedName>
    <definedName name="KV_DD_JULI_17">KV_DROPDOWN_HELPER!$SA$1:$SA$15</definedName>
    <definedName name="KV_DD_JULI_18">KV_DROPDOWN_HELPER!$SB$1:$SB$15</definedName>
    <definedName name="KV_DD_JULI_19">KV_DROPDOWN_HELPER!$SC$1:$SC$15</definedName>
    <definedName name="KV_DD_JULI_20">KV_DROPDOWN_HELPER!$SD$1:$SD$13</definedName>
    <definedName name="KV_DD_JULI_21">KV_DROPDOWN_HELPER!$SE$1:$SE$15</definedName>
    <definedName name="KV_DD_JULI_22">KV_DROPDOWN_HELPER!$SF$1:$SF$15</definedName>
    <definedName name="KV_DD_JULI_23">KV_DROPDOWN_HELPER!$SG$1:$SG$15</definedName>
    <definedName name="KV_DD_JULI_24">KV_DROPDOWN_HELPER!$SH$1:$SH$13</definedName>
    <definedName name="KV_DD_JULI_25">KV_DROPDOWN_HELPER!$SI$1:$SI$13</definedName>
    <definedName name="KV_DD_JULI_26">KV_DROPDOWN_HELPER!$SJ$1:$SJ$15</definedName>
    <definedName name="KV_DD_JULI_27">KV_DROPDOWN_HELPER!$SK$1:$SK$15</definedName>
    <definedName name="KV_DD_JULI_28">KV_DROPDOWN_HELPER!$SL$1:$SL$15</definedName>
    <definedName name="KV_DD_JULI_29">KV_DROPDOWN_HELPER!$SM$1:$SM$13</definedName>
    <definedName name="KV_DD_JULI_3">KV_DROPDOWN_HELPER!$RM$1:$RM$15</definedName>
    <definedName name="KV_DD_JULI_30">KV_DROPDOWN_HELPER!$SN$1:$SN$15</definedName>
    <definedName name="KV_DD_JULI_31">KV_DROPDOWN_HELPER!$SO$1:$SO$15</definedName>
    <definedName name="KV_DD_JULI_32">KV_DROPDOWN_HELPER!$SP$1:$SP$15</definedName>
    <definedName name="KV_DD_JULI_33">KV_DROPDOWN_HELPER!$SQ$1:$SQ$15</definedName>
    <definedName name="KV_DD_JULI_34">KV_DROPDOWN_HELPER!$SR$1:$SR$15</definedName>
    <definedName name="KV_DD_JULI_35">KV_DROPDOWN_HELPER!$SS$1:$SS$15</definedName>
    <definedName name="KV_DD_JULI_36">KV_DROPDOWN_HELPER!$ST$1:$ST$15</definedName>
    <definedName name="KV_DD_JULI_37">KV_DROPDOWN_HELPER!$SU$1:$SU$15</definedName>
    <definedName name="KV_DD_JULI_38">KV_DROPDOWN_HELPER!$SV$1:$SV$15</definedName>
    <definedName name="KV_DD_JULI_39">KV_DROPDOWN_HELPER!$SW$1:$SW$15</definedName>
    <definedName name="KV_DD_JULI_4">KV_DROPDOWN_HELPER!$RN$1:$RN$13</definedName>
    <definedName name="KV_DD_JULI_40">KV_DROPDOWN_HELPER!$SX$1:$SX$15</definedName>
    <definedName name="KV_DD_JULI_41">KV_DROPDOWN_HELPER!$SY$1:$SY$15</definedName>
    <definedName name="KV_DD_JULI_42">KV_DROPDOWN_HELPER!$SZ$1:$SZ$15</definedName>
    <definedName name="KV_DD_JULI_43">KV_DROPDOWN_HELPER!$TA$1:$TA$15</definedName>
    <definedName name="KV_DD_JULI_44">KV_DROPDOWN_HELPER!$TB$1:$TB$15</definedName>
    <definedName name="KV_DD_JULI_45">KV_DROPDOWN_HELPER!$TC$1:$TC$15</definedName>
    <definedName name="KV_DD_JULI_46">KV_DROPDOWN_HELPER!$TD$1:$TD$15</definedName>
    <definedName name="KV_DD_JULI_47">KV_DROPDOWN_HELPER!$TE$1:$TE$15</definedName>
    <definedName name="KV_DD_JULI_48">KV_DROPDOWN_HELPER!$TF$1:$TF$15</definedName>
    <definedName name="KV_DD_JULI_49">KV_DROPDOWN_HELPER!$TG$1:$TG$15</definedName>
    <definedName name="KV_DD_JULI_5">KV_DROPDOWN_HELPER!$RO$1:$RO$13</definedName>
    <definedName name="KV_DD_JULI_50">KV_DROPDOWN_HELPER!$TH$1:$TH$15</definedName>
    <definedName name="KV_DD_JULI_51">KV_DROPDOWN_HELPER!$TI$1:$TI$15</definedName>
    <definedName name="KV_DD_JULI_52">KV_DROPDOWN_HELPER!$TJ$1:$TJ$15</definedName>
    <definedName name="KV_DD_JULI_53">KV_DROPDOWN_HELPER!$TK$1:$TK$15</definedName>
    <definedName name="KV_DD_JULI_54">KV_DROPDOWN_HELPER!$TL$1:$TL$15</definedName>
    <definedName name="KV_DD_JULI_55">KV_DROPDOWN_HELPER!$TM$1:$TM$15</definedName>
    <definedName name="KV_DD_JULI_56">KV_DROPDOWN_HELPER!$TN$1:$TN$15</definedName>
    <definedName name="KV_DD_JULI_57">KV_DROPDOWN_HELPER!$TO$1:$TO$15</definedName>
    <definedName name="KV_DD_JULI_58">KV_DROPDOWN_HELPER!$TP$1:$TP$15</definedName>
    <definedName name="KV_DD_JULI_59">KV_DROPDOWN_HELPER!$TQ$1:$TQ$15</definedName>
    <definedName name="KV_DD_JULI_6">KV_DROPDOWN_HELPER!$RP$1:$RP$13</definedName>
    <definedName name="KV_DD_JULI_60">KV_DROPDOWN_HELPER!$TR$1:$TR$15</definedName>
    <definedName name="KV_DD_JULI_61">KV_DROPDOWN_HELPER!$TS$1:$TS$14</definedName>
    <definedName name="KV_DD_JULI_62">KV_DROPDOWN_HELPER!$TT$1:$TT$15</definedName>
    <definedName name="KV_DD_JULI_63">KV_DROPDOWN_HELPER!$TU$1:$TU$15</definedName>
    <definedName name="KV_DD_JULI_64">KV_DROPDOWN_HELPER!$TV$1:$TV$15</definedName>
    <definedName name="KV_DD_JULI_7">KV_DROPDOWN_HELPER!$RQ$1:$RQ$13</definedName>
    <definedName name="KV_DD_JULI_8">KV_DROPDOWN_HELPER!$RR$1:$RR$13</definedName>
    <definedName name="KV_DD_JULI_9">KV_DROPDOWN_HELPER!$RS$1:$RS$14</definedName>
    <definedName name="KV_DD_JUNI_10">KV_DROPDOWN_HELPER!$OR$1:$OR$13</definedName>
    <definedName name="KV_DD_JUNI_11">KV_DROPDOWN_HELPER!$OS$1:$OS$14</definedName>
    <definedName name="KV_DD_JUNI_12">KV_DROPDOWN_HELPER!$OT$1:$OT$14</definedName>
    <definedName name="KV_DD_JUNI_13">KV_DROPDOWN_HELPER!$OU$1:$OU$14</definedName>
    <definedName name="KV_DD_JUNI_14">KV_DROPDOWN_HELPER!$OV$1:$OV$14</definedName>
    <definedName name="KV_DD_JUNI_15">KV_DROPDOWN_HELPER!$OW$1:$OW$14</definedName>
    <definedName name="KV_DD_JUNI_16">KV_DROPDOWN_HELPER!$OX$1:$OX$13</definedName>
    <definedName name="KV_DD_JUNI_17">KV_DROPDOWN_HELPER!$OY$1:$OY$15</definedName>
    <definedName name="KV_DD_JUNI_18">KV_DROPDOWN_HELPER!$OZ$1:$OZ$15</definedName>
    <definedName name="KV_DD_JUNI_19">KV_DROPDOWN_HELPER!$PA$1:$PA$15</definedName>
    <definedName name="KV_DD_JUNI_20">KV_DROPDOWN_HELPER!$PB$1:$PB$13</definedName>
    <definedName name="KV_DD_JUNI_21">KV_DROPDOWN_HELPER!$PC$1:$PC$15</definedName>
    <definedName name="KV_DD_JUNI_22">KV_DROPDOWN_HELPER!$PD$1:$PD$15</definedName>
    <definedName name="KV_DD_JUNI_23">KV_DROPDOWN_HELPER!$PE$1:$PE$15</definedName>
    <definedName name="KV_DD_JUNI_24">KV_DROPDOWN_HELPER!$PF$1:$PF$13</definedName>
    <definedName name="KV_DD_JUNI_25">KV_DROPDOWN_HELPER!$PG$1:$PG$13</definedName>
    <definedName name="KV_DD_JUNI_26">KV_DROPDOWN_HELPER!$PH$1:$PH$15</definedName>
    <definedName name="KV_DD_JUNI_27">KV_DROPDOWN_HELPER!$PI$1:$PI$15</definedName>
    <definedName name="KV_DD_JUNI_28">KV_DROPDOWN_HELPER!$PJ$1:$PJ$15</definedName>
    <definedName name="KV_DD_JUNI_29">KV_DROPDOWN_HELPER!$PK$1:$PK$13</definedName>
    <definedName name="KV_DD_JUNI_3">KV_DROPDOWN_HELPER!$OK$1:$OK$15</definedName>
    <definedName name="KV_DD_JUNI_30">KV_DROPDOWN_HELPER!$PL$1:$PL$15</definedName>
    <definedName name="KV_DD_JUNI_31">KV_DROPDOWN_HELPER!$PM$1:$PM$15</definedName>
    <definedName name="KV_DD_JUNI_32">KV_DROPDOWN_HELPER!$PN$1:$PN$15</definedName>
    <definedName name="KV_DD_JUNI_33">KV_DROPDOWN_HELPER!$PO$1:$PO$15</definedName>
    <definedName name="KV_DD_JUNI_34">KV_DROPDOWN_HELPER!$PP$1:$PP$15</definedName>
    <definedName name="KV_DD_JUNI_35">KV_DROPDOWN_HELPER!$PQ$1:$PQ$15</definedName>
    <definedName name="KV_DD_JUNI_36">KV_DROPDOWN_HELPER!$PR$1:$PR$15</definedName>
    <definedName name="KV_DD_JUNI_37">KV_DROPDOWN_HELPER!$PS$1:$PS$15</definedName>
    <definedName name="KV_DD_JUNI_38">KV_DROPDOWN_HELPER!$PT$1:$PT$15</definedName>
    <definedName name="KV_DD_JUNI_39">KV_DROPDOWN_HELPER!$PU$1:$PU$15</definedName>
    <definedName name="KV_DD_JUNI_4">KV_DROPDOWN_HELPER!$OL$1:$OL$13</definedName>
    <definedName name="KV_DD_JUNI_40">KV_DROPDOWN_HELPER!$PV$1:$PV$15</definedName>
    <definedName name="KV_DD_JUNI_41">KV_DROPDOWN_HELPER!$PW$1:$PW$15</definedName>
    <definedName name="KV_DD_JUNI_42">KV_DROPDOWN_HELPER!$PX$1:$PX$15</definedName>
    <definedName name="KV_DD_JUNI_43">KV_DROPDOWN_HELPER!$PY$1:$PY$15</definedName>
    <definedName name="KV_DD_JUNI_44">KV_DROPDOWN_HELPER!$PZ$1:$PZ$15</definedName>
    <definedName name="KV_DD_JUNI_45">KV_DROPDOWN_HELPER!$QA$1:$QA$15</definedName>
    <definedName name="KV_DD_JUNI_46">KV_DROPDOWN_HELPER!$QB$1:$QB$15</definedName>
    <definedName name="KV_DD_JUNI_47">KV_DROPDOWN_HELPER!$QC$1:$QC$15</definedName>
    <definedName name="KV_DD_JUNI_48">KV_DROPDOWN_HELPER!$QD$1:$QD$15</definedName>
    <definedName name="KV_DD_JUNI_49">KV_DROPDOWN_HELPER!$QE$1:$QE$15</definedName>
    <definedName name="KV_DD_JUNI_5">KV_DROPDOWN_HELPER!$OM$1:$OM$13</definedName>
    <definedName name="KV_DD_JUNI_50">KV_DROPDOWN_HELPER!$QF$1:$QF$15</definedName>
    <definedName name="KV_DD_JUNI_51">KV_DROPDOWN_HELPER!$QG$1:$QG$15</definedName>
    <definedName name="KV_DD_JUNI_52">KV_DROPDOWN_HELPER!$QH$1:$QH$15</definedName>
    <definedName name="KV_DD_JUNI_53">KV_DROPDOWN_HELPER!$QI$1:$QI$15</definedName>
    <definedName name="KV_DD_JUNI_54">KV_DROPDOWN_HELPER!$QJ$1:$QJ$15</definedName>
    <definedName name="KV_DD_JUNI_55">KV_DROPDOWN_HELPER!$QK$1:$QK$15</definedName>
    <definedName name="KV_DD_JUNI_56">KV_DROPDOWN_HELPER!$QL$1:$QL$15</definedName>
    <definedName name="KV_DD_JUNI_57">KV_DROPDOWN_HELPER!$QM$1:$QM$15</definedName>
    <definedName name="KV_DD_JUNI_58">KV_DROPDOWN_HELPER!$QN$1:$QN$15</definedName>
    <definedName name="KV_DD_JUNI_59">KV_DROPDOWN_HELPER!$QO$1:$QO$15</definedName>
    <definedName name="KV_DD_JUNI_6">KV_DROPDOWN_HELPER!$ON$1:$ON$13</definedName>
    <definedName name="KV_DD_JUNI_60">KV_DROPDOWN_HELPER!$QP$1:$QP$15</definedName>
    <definedName name="KV_DD_JUNI_61">KV_DROPDOWN_HELPER!$QQ$1:$QQ$14</definedName>
    <definedName name="KV_DD_JUNI_62">KV_DROPDOWN_HELPER!$QR$1:$QR$15</definedName>
    <definedName name="KV_DD_JUNI_63">KV_DROPDOWN_HELPER!$QS$1:$QS$15</definedName>
    <definedName name="KV_DD_JUNI_64">KV_DROPDOWN_HELPER!$QT$1:$QT$15</definedName>
    <definedName name="KV_DD_JUNI_7">KV_DROPDOWN_HELPER!$OO$1:$OO$13</definedName>
    <definedName name="KV_DD_JUNI_8">KV_DROPDOWN_HELPER!$OP$1:$OP$13</definedName>
    <definedName name="KV_DD_JUNI_9">KV_DROPDOWN_HELPER!$OQ$1:$OQ$13</definedName>
    <definedName name="KV_DD_MAI_10">KV_DROPDOWN_HELPER!$LP$1:$LP$13</definedName>
    <definedName name="KV_DD_MAI_11">KV_DROPDOWN_HELPER!$LQ$1:$LQ$14</definedName>
    <definedName name="KV_DD_MAI_12">KV_DROPDOWN_HELPER!$LR$1:$LR$14</definedName>
    <definedName name="KV_DD_MAI_13">KV_DROPDOWN_HELPER!$LS$1:$LS$14</definedName>
    <definedName name="KV_DD_MAI_14">KV_DROPDOWN_HELPER!$LT$1:$LT$14</definedName>
    <definedName name="KV_DD_MAI_15">KV_DROPDOWN_HELPER!$LU$1:$LU$14</definedName>
    <definedName name="KV_DD_MAI_16">KV_DROPDOWN_HELPER!$LV$1:$LV$13</definedName>
    <definedName name="KV_DD_MAI_17">KV_DROPDOWN_HELPER!$LW$1:$LW$15</definedName>
    <definedName name="KV_DD_MAI_18">KV_DROPDOWN_HELPER!$LX$1:$LX$15</definedName>
    <definedName name="KV_DD_MAI_19">KV_DROPDOWN_HELPER!$LY$1:$LY$15</definedName>
    <definedName name="KV_DD_MAI_20">KV_DROPDOWN_HELPER!$LZ$1:$LZ$13</definedName>
    <definedName name="KV_DD_MAI_21">KV_DROPDOWN_HELPER!$MA$1:$MA$15</definedName>
    <definedName name="KV_DD_MAI_22">KV_DROPDOWN_HELPER!$MB$1:$MB$15</definedName>
    <definedName name="KV_DD_MAI_23">KV_DROPDOWN_HELPER!$MC$1:$MC$13</definedName>
    <definedName name="KV_DD_MAI_24">KV_DROPDOWN_HELPER!$MD$1:$MD$13</definedName>
    <definedName name="KV_DD_MAI_25">KV_DROPDOWN_HELPER!$ME$1:$ME$13</definedName>
    <definedName name="KV_DD_MAI_26">KV_DROPDOWN_HELPER!$MF$1:$MF$15</definedName>
    <definedName name="KV_DD_MAI_27">KV_DROPDOWN_HELPER!$MG$1:$MG$15</definedName>
    <definedName name="KV_DD_MAI_28">KV_DROPDOWN_HELPER!$MH$1:$MH$15</definedName>
    <definedName name="KV_DD_MAI_29">KV_DROPDOWN_HELPER!$MI$1:$MI$13</definedName>
    <definedName name="KV_DD_MAI_3">KV_DROPDOWN_HELPER!$LI$1:$LI$15</definedName>
    <definedName name="KV_DD_MAI_30">KV_DROPDOWN_HELPER!$MJ$1:$MJ$15</definedName>
    <definedName name="KV_DD_MAI_31">KV_DROPDOWN_HELPER!$MK$1:$MK$15</definedName>
    <definedName name="KV_DD_MAI_32">KV_DROPDOWN_HELPER!$ML$1:$ML$15</definedName>
    <definedName name="KV_DD_MAI_33">KV_DROPDOWN_HELPER!$MM$1:$MM$15</definedName>
    <definedName name="KV_DD_MAI_34">KV_DROPDOWN_HELPER!$MN$1:$MN$15</definedName>
    <definedName name="KV_DD_MAI_35">KV_DROPDOWN_HELPER!$MO$1:$MO$15</definedName>
    <definedName name="KV_DD_MAI_36">KV_DROPDOWN_HELPER!$MP$1:$MP$15</definedName>
    <definedName name="KV_DD_MAI_37">KV_DROPDOWN_HELPER!$MQ$1:$MQ$15</definedName>
    <definedName name="KV_DD_MAI_38">KV_DROPDOWN_HELPER!$MR$1:$MR$15</definedName>
    <definedName name="KV_DD_MAI_39">KV_DROPDOWN_HELPER!$MS$1:$MS$15</definedName>
    <definedName name="KV_DD_MAI_4">KV_DROPDOWN_HELPER!$LJ$1:$LJ$14</definedName>
    <definedName name="KV_DD_MAI_40">KV_DROPDOWN_HELPER!$MT$1:$MT$15</definedName>
    <definedName name="KV_DD_MAI_41">KV_DROPDOWN_HELPER!$MU$1:$MU$15</definedName>
    <definedName name="KV_DD_MAI_42">KV_DROPDOWN_HELPER!$MV$1:$MV$15</definedName>
    <definedName name="KV_DD_MAI_43">KV_DROPDOWN_HELPER!$MW$1:$MW$15</definedName>
    <definedName name="KV_DD_MAI_44">KV_DROPDOWN_HELPER!$MX$1:$MX$15</definedName>
    <definedName name="KV_DD_MAI_45">KV_DROPDOWN_HELPER!$MY$1:$MY$15</definedName>
    <definedName name="KV_DD_MAI_46">KV_DROPDOWN_HELPER!$MZ$1:$MZ$15</definedName>
    <definedName name="KV_DD_MAI_47">KV_DROPDOWN_HELPER!$NA$1:$NA$15</definedName>
    <definedName name="KV_DD_MAI_48">KV_DROPDOWN_HELPER!$NB$1:$NB$15</definedName>
    <definedName name="KV_DD_MAI_49">KV_DROPDOWN_HELPER!$NC$1:$NC$15</definedName>
    <definedName name="KV_DD_MAI_5">KV_DROPDOWN_HELPER!$LK$1:$LK$13</definedName>
    <definedName name="KV_DD_MAI_50">KV_DROPDOWN_HELPER!$ND$1:$ND$15</definedName>
    <definedName name="KV_DD_MAI_51">KV_DROPDOWN_HELPER!$NE$1:$NE$15</definedName>
    <definedName name="KV_DD_MAI_52">KV_DROPDOWN_HELPER!$NF$1:$NF$15</definedName>
    <definedName name="KV_DD_MAI_53">KV_DROPDOWN_HELPER!$NG$1:$NG$15</definedName>
    <definedName name="KV_DD_MAI_54">KV_DROPDOWN_HELPER!$NH$1:$NH$15</definedName>
    <definedName name="KV_DD_MAI_55">KV_DROPDOWN_HELPER!$NI$1:$NI$15</definedName>
    <definedName name="KV_DD_MAI_56">KV_DROPDOWN_HELPER!$NJ$1:$NJ$15</definedName>
    <definedName name="KV_DD_MAI_57">KV_DROPDOWN_HELPER!$NK$1:$NK$15</definedName>
    <definedName name="KV_DD_MAI_58">KV_DROPDOWN_HELPER!$NL$1:$NL$15</definedName>
    <definedName name="KV_DD_MAI_59">KV_DROPDOWN_HELPER!$NM$1:$NM$15</definedName>
    <definedName name="KV_DD_MAI_6">KV_DROPDOWN_HELPER!$LL$1:$LL$13</definedName>
    <definedName name="KV_DD_MAI_60">KV_DROPDOWN_HELPER!$NN$1:$NN$15</definedName>
    <definedName name="KV_DD_MAI_61">KV_DROPDOWN_HELPER!$NO$1:$NO$14</definedName>
    <definedName name="KV_DD_MAI_62">KV_DROPDOWN_HELPER!$NP$1:$NP$15</definedName>
    <definedName name="KV_DD_MAI_63">KV_DROPDOWN_HELPER!$NQ$1:$NQ$15</definedName>
    <definedName name="KV_DD_MAI_64">KV_DROPDOWN_HELPER!$NR$1:$NR$15</definedName>
    <definedName name="KV_DD_MAI_7">KV_DROPDOWN_HELPER!$LM$1:$LM$13</definedName>
    <definedName name="KV_DD_MAI_8">KV_DROPDOWN_HELPER!$LN$1:$LN$13</definedName>
    <definedName name="KV_DD_MAI_9">KV_DROPDOWN_HELPER!$LO$1:$LO$14</definedName>
    <definedName name="KV_DD_MARZ_10">KV_DROPDOWN_HELPER!$FL$1:$FL$13</definedName>
    <definedName name="KV_DD_MARZ_11">KV_DROPDOWN_HELPER!$FM$1:$FM$14</definedName>
    <definedName name="KV_DD_MARZ_12">KV_DROPDOWN_HELPER!$FN$1:$FN$14</definedName>
    <definedName name="KV_DD_MARZ_13">KV_DROPDOWN_HELPER!$FO$1:$FO$14</definedName>
    <definedName name="KV_DD_MARZ_14">KV_DROPDOWN_HELPER!$FP$1:$FP$14</definedName>
    <definedName name="KV_DD_MARZ_15">KV_DROPDOWN_HELPER!$FQ$1:$FQ$14</definedName>
    <definedName name="KV_DD_MARZ_16">KV_DROPDOWN_HELPER!$FR$1:$FR$13</definedName>
    <definedName name="KV_DD_MARZ_17">KV_DROPDOWN_HELPER!$FS$1:$FS$15</definedName>
    <definedName name="KV_DD_MARZ_18">KV_DROPDOWN_HELPER!$FT$1:$FT$15</definedName>
    <definedName name="KV_DD_MARZ_19">KV_DROPDOWN_HELPER!$FU$1:$FU$15</definedName>
    <definedName name="KV_DD_MARZ_20">KV_DROPDOWN_HELPER!$FV$1:$FV$13</definedName>
    <definedName name="KV_DD_MARZ_21">KV_DROPDOWN_HELPER!$FW$1:$FW$15</definedName>
    <definedName name="KV_DD_MARZ_22">KV_DROPDOWN_HELPER!$FX$1:$FX$15</definedName>
    <definedName name="KV_DD_MARZ_23">KV_DROPDOWN_HELPER!$FY$1:$FY$15</definedName>
    <definedName name="KV_DD_MARZ_24">KV_DROPDOWN_HELPER!$FZ$1:$FZ$13</definedName>
    <definedName name="KV_DD_MARZ_25">KV_DROPDOWN_HELPER!$GA$1:$GA$13</definedName>
    <definedName name="KV_DD_MARZ_26">KV_DROPDOWN_HELPER!$GB$1:$GB$15</definedName>
    <definedName name="KV_DD_MARZ_27">KV_DROPDOWN_HELPER!$GC$1:$GC$15</definedName>
    <definedName name="KV_DD_MARZ_28">KV_DROPDOWN_HELPER!$GD$1:$GD$15</definedName>
    <definedName name="KV_DD_MARZ_29">KV_DROPDOWN_HELPER!$GE$1:$GE$13</definedName>
    <definedName name="KV_DD_MARZ_3">KV_DROPDOWN_HELPER!$FE$1:$FE$15</definedName>
    <definedName name="KV_DD_MARZ_30">KV_DROPDOWN_HELPER!$GF$1:$GF$15</definedName>
    <definedName name="KV_DD_MARZ_31">KV_DROPDOWN_HELPER!$GG$1:$GG$15</definedName>
    <definedName name="KV_DD_MARZ_32">KV_DROPDOWN_HELPER!$GH$1:$GH$15</definedName>
    <definedName name="KV_DD_MARZ_33">KV_DROPDOWN_HELPER!$GI$1:$GI$15</definedName>
    <definedName name="KV_DD_MARZ_34">KV_DROPDOWN_HELPER!$GJ$1:$GJ$15</definedName>
    <definedName name="KV_DD_MARZ_35">KV_DROPDOWN_HELPER!$GK$1:$GK$15</definedName>
    <definedName name="KV_DD_MARZ_36">KV_DROPDOWN_HELPER!$GL$1:$GL$15</definedName>
    <definedName name="KV_DD_MARZ_37">KV_DROPDOWN_HELPER!$GM$1:$GM$15</definedName>
    <definedName name="KV_DD_MARZ_38">KV_DROPDOWN_HELPER!$GN$1:$GN$15</definedName>
    <definedName name="KV_DD_MARZ_39">KV_DROPDOWN_HELPER!$GO$1:$GO$15</definedName>
    <definedName name="KV_DD_MARZ_4">KV_DROPDOWN_HELPER!$FF$1:$FF$13</definedName>
    <definedName name="KV_DD_MARZ_40">KV_DROPDOWN_HELPER!$GP$1:$GP$15</definedName>
    <definedName name="KV_DD_MARZ_41">KV_DROPDOWN_HELPER!$GQ$1:$GQ$15</definedName>
    <definedName name="KV_DD_MARZ_42">KV_DROPDOWN_HELPER!$GR$1:$GR$15</definedName>
    <definedName name="KV_DD_MARZ_43">KV_DROPDOWN_HELPER!$GS$1:$GS$15</definedName>
    <definedName name="KV_DD_MARZ_44">KV_DROPDOWN_HELPER!$GT$1:$GT$15</definedName>
    <definedName name="KV_DD_MARZ_45">KV_DROPDOWN_HELPER!$GU$1:$GU$15</definedName>
    <definedName name="KV_DD_MARZ_46">KV_DROPDOWN_HELPER!$GV$1:$GV$15</definedName>
    <definedName name="KV_DD_MARZ_47">KV_DROPDOWN_HELPER!$GW$1:$GW$15</definedName>
    <definedName name="KV_DD_MARZ_48">KV_DROPDOWN_HELPER!$GX$1:$GX$15</definedName>
    <definedName name="KV_DD_MARZ_49">KV_DROPDOWN_HELPER!$GY$1:$GY$15</definedName>
    <definedName name="KV_DD_MARZ_5">KV_DROPDOWN_HELPER!$FG$1:$FG$13</definedName>
    <definedName name="KV_DD_MARZ_50">KV_DROPDOWN_HELPER!$GZ$1:$GZ$15</definedName>
    <definedName name="KV_DD_MARZ_51">KV_DROPDOWN_HELPER!$HA$1:$HA$15</definedName>
    <definedName name="KV_DD_MARZ_52">KV_DROPDOWN_HELPER!$HB$1:$HB$15</definedName>
    <definedName name="KV_DD_MARZ_53">KV_DROPDOWN_HELPER!$HC$1:$HC$15</definedName>
    <definedName name="KV_DD_MARZ_54">KV_DROPDOWN_HELPER!$HD$1:$HD$15</definedName>
    <definedName name="KV_DD_MARZ_55">KV_DROPDOWN_HELPER!$HE$1:$HE$15</definedName>
    <definedName name="KV_DD_MARZ_56">KV_DROPDOWN_HELPER!$HF$1:$HF$15</definedName>
    <definedName name="KV_DD_MARZ_57">KV_DROPDOWN_HELPER!$HG$1:$HG$15</definedName>
    <definedName name="KV_DD_MARZ_58">KV_DROPDOWN_HELPER!$HH$1:$HH$15</definedName>
    <definedName name="KV_DD_MARZ_59">KV_DROPDOWN_HELPER!$HI$1:$HI$14</definedName>
    <definedName name="KV_DD_MARZ_6">KV_DROPDOWN_HELPER!$FH$1:$FH$13</definedName>
    <definedName name="KV_DD_MARZ_60">KV_DROPDOWN_HELPER!$HJ$1:$HJ$15</definedName>
    <definedName name="KV_DD_MARZ_61">KV_DROPDOWN_HELPER!$HK$1:$HK$15</definedName>
    <definedName name="KV_DD_MARZ_62">KV_DROPDOWN_HELPER!$HL$1:$HL$15</definedName>
    <definedName name="KV_DD_MARZ_63">KV_DROPDOWN_HELPER!$HM$1:$HM$13</definedName>
    <definedName name="KV_DD_MARZ_7">KV_DROPDOWN_HELPER!$FI$1:$FI$13</definedName>
    <definedName name="KV_DD_MARZ_8">KV_DROPDOWN_HELPER!$FJ$1:$FJ$13</definedName>
    <definedName name="KV_DD_MARZ_9">KV_DROPDOWN_HELPER!$FK$1:$FK$14</definedName>
    <definedName name="KV_DD_NOVEMBER_10">KV_DROPDOWN_HELPER!$AEB$1:$AEB$14</definedName>
    <definedName name="KV_DD_NOVEMBER_11">KV_DROPDOWN_HELPER!$AEC$1:$AEC$14</definedName>
    <definedName name="KV_DD_NOVEMBER_12">KV_DROPDOWN_HELPER!$AED$1:$AED$14</definedName>
    <definedName name="KV_DD_NOVEMBER_13">KV_DROPDOWN_HELPER!$AEE$1:$AEE$14</definedName>
    <definedName name="KV_DD_NOVEMBER_14">KV_DROPDOWN_HELPER!$AEF$1:$AEF$14</definedName>
    <definedName name="KV_DD_NOVEMBER_15">KV_DROPDOWN_HELPER!$AEG$1:$AEG$13</definedName>
    <definedName name="KV_DD_NOVEMBER_16">KV_DROPDOWN_HELPER!$AEH$1:$AEH$15</definedName>
    <definedName name="KV_DD_NOVEMBER_17">KV_DROPDOWN_HELPER!$AEI$1:$AEI$15</definedName>
    <definedName name="KV_DD_NOVEMBER_18">KV_DROPDOWN_HELPER!$AEJ$1:$AEJ$13</definedName>
    <definedName name="KV_DD_NOVEMBER_19">KV_DROPDOWN_HELPER!$AEK$1:$AEK$15</definedName>
    <definedName name="KV_DD_NOVEMBER_20">KV_DROPDOWN_HELPER!$AEL$1:$AEL$15</definedName>
    <definedName name="KV_DD_NOVEMBER_21">KV_DROPDOWN_HELPER!$AEM$1:$AEM$13</definedName>
    <definedName name="KV_DD_NOVEMBER_22">KV_DROPDOWN_HELPER!$AEN$1:$AEN$13</definedName>
    <definedName name="KV_DD_NOVEMBER_23">KV_DROPDOWN_HELPER!$AEO$1:$AEO$15</definedName>
    <definedName name="KV_DD_NOVEMBER_24">KV_DROPDOWN_HELPER!$AEP$1:$AEP$15</definedName>
    <definedName name="KV_DD_NOVEMBER_25">KV_DROPDOWN_HELPER!$AEQ$1:$AEQ$15</definedName>
    <definedName name="KV_DD_NOVEMBER_26">KV_DROPDOWN_HELPER!$AER$1:$AER$13</definedName>
    <definedName name="KV_DD_NOVEMBER_27">KV_DROPDOWN_HELPER!$AES$1:$AES$15</definedName>
    <definedName name="KV_DD_NOVEMBER_28">KV_DROPDOWN_HELPER!$AET$1:$AET$15</definedName>
    <definedName name="KV_DD_NOVEMBER_29">KV_DROPDOWN_HELPER!$AEU$1:$AEU$15</definedName>
    <definedName name="KV_DD_NOVEMBER_3">KV_DROPDOWN_HELPER!$ADU$1:$ADU$15</definedName>
    <definedName name="KV_DD_NOVEMBER_30">KV_DROPDOWN_HELPER!$AEV$1:$AEV$15</definedName>
    <definedName name="KV_DD_NOVEMBER_31">KV_DROPDOWN_HELPER!$AEW$1:$AEW$15</definedName>
    <definedName name="KV_DD_NOVEMBER_32">KV_DROPDOWN_HELPER!$AEX$1:$AEX$15</definedName>
    <definedName name="KV_DD_NOVEMBER_33">KV_DROPDOWN_HELPER!$AEY$1:$AEY$15</definedName>
    <definedName name="KV_DD_NOVEMBER_34">KV_DROPDOWN_HELPER!$AEZ$1:$AEZ$15</definedName>
    <definedName name="KV_DD_NOVEMBER_35">KV_DROPDOWN_HELPER!$AFA$1:$AFA$15</definedName>
    <definedName name="KV_DD_NOVEMBER_36">KV_DROPDOWN_HELPER!$AFB$1:$AFB$15</definedName>
    <definedName name="KV_DD_NOVEMBER_37">KV_DROPDOWN_HELPER!$AFC$1:$AFC$15</definedName>
    <definedName name="KV_DD_NOVEMBER_38">KV_DROPDOWN_HELPER!$AFD$1:$AFD$15</definedName>
    <definedName name="KV_DD_NOVEMBER_39">KV_DROPDOWN_HELPER!$AFE$1:$AFE$15</definedName>
    <definedName name="KV_DD_NOVEMBER_4">KV_DROPDOWN_HELPER!$ADV$1:$ADV$13</definedName>
    <definedName name="KV_DD_NOVEMBER_40">KV_DROPDOWN_HELPER!$AFF$1:$AFF$15</definedName>
    <definedName name="KV_DD_NOVEMBER_41">KV_DROPDOWN_HELPER!$AFG$1:$AFG$15</definedName>
    <definedName name="KV_DD_NOVEMBER_42">KV_DROPDOWN_HELPER!$AFH$1:$AFH$15</definedName>
    <definedName name="KV_DD_NOVEMBER_43">KV_DROPDOWN_HELPER!$AFI$1:$AFI$15</definedName>
    <definedName name="KV_DD_NOVEMBER_44">KV_DROPDOWN_HELPER!$AFJ$1:$AFJ$15</definedName>
    <definedName name="KV_DD_NOVEMBER_45">KV_DROPDOWN_HELPER!$AFK$1:$AFK$15</definedName>
    <definedName name="KV_DD_NOVEMBER_46">KV_DROPDOWN_HELPER!$AFL$1:$AFL$15</definedName>
    <definedName name="KV_DD_NOVEMBER_47">KV_DROPDOWN_HELPER!$AFM$1:$AFM$15</definedName>
    <definedName name="KV_DD_NOVEMBER_48">KV_DROPDOWN_HELPER!$AFN$1:$AFN$15</definedName>
    <definedName name="KV_DD_NOVEMBER_49">KV_DROPDOWN_HELPER!$AFO$1:$AFO$15</definedName>
    <definedName name="KV_DD_NOVEMBER_5">KV_DROPDOWN_HELPER!$ADW$1:$ADW$13</definedName>
    <definedName name="KV_DD_NOVEMBER_50">KV_DROPDOWN_HELPER!$AFP$1:$AFP$15</definedName>
    <definedName name="KV_DD_NOVEMBER_51">KV_DROPDOWN_HELPER!$AFQ$1:$AFQ$15</definedName>
    <definedName name="KV_DD_NOVEMBER_52">KV_DROPDOWN_HELPER!$AFR$1:$AFR$15</definedName>
    <definedName name="KV_DD_NOVEMBER_53">KV_DROPDOWN_HELPER!$AFS$1:$AFS$15</definedName>
    <definedName name="KV_DD_NOVEMBER_54">KV_DROPDOWN_HELPER!$AFT$1:$AFT$15</definedName>
    <definedName name="KV_DD_NOVEMBER_55">KV_DROPDOWN_HELPER!$AFU$1:$AFU$15</definedName>
    <definedName name="KV_DD_NOVEMBER_56">KV_DROPDOWN_HELPER!$AFV$1:$AFV$14</definedName>
    <definedName name="KV_DD_NOVEMBER_57">KV_DROPDOWN_HELPER!$AFW$1:$AFW$15</definedName>
    <definedName name="KV_DD_NOVEMBER_58">KV_DROPDOWN_HELPER!$AFX$1:$AFX$15</definedName>
    <definedName name="KV_DD_NOVEMBER_59">KV_DROPDOWN_HELPER!$AFY$1:$AFY$15</definedName>
    <definedName name="KV_DD_NOVEMBER_6">KV_DROPDOWN_HELPER!$ADX$1:$ADX$13</definedName>
    <definedName name="KV_DD_NOVEMBER_60">KV_DROPDOWN_HELPER!$AFZ$1:$AFZ$13</definedName>
    <definedName name="KV_DD_NOVEMBER_61">KV_DROPDOWN_HELPER!$AGA$1:$AGA$14</definedName>
    <definedName name="KV_DD_NOVEMBER_62">KV_DROPDOWN_HELPER!$AGB$1:$AGB$14</definedName>
    <definedName name="KV_DD_NOVEMBER_7">KV_DROPDOWN_HELPER!$ADY$1:$ADY$13</definedName>
    <definedName name="KV_DD_NOVEMBER_8">KV_DROPDOWN_HELPER!$ADZ$1:$ADZ$14</definedName>
    <definedName name="KV_DD_NOVEMBER_9">KV_DROPDOWN_HELPER!$AEA$1:$AEA$13</definedName>
    <definedName name="KV_DD_OKTOBER_10">KV_DROPDOWN_HELPER!$AAZ$1:$AAZ$13</definedName>
    <definedName name="KV_DD_OKTOBER_11">KV_DROPDOWN_HELPER!$ABA$1:$ABA$14</definedName>
    <definedName name="KV_DD_OKTOBER_12">KV_DROPDOWN_HELPER!$ABB$1:$ABB$14</definedName>
    <definedName name="KV_DD_OKTOBER_13">KV_DROPDOWN_HELPER!$ABC$1:$ABC$14</definedName>
    <definedName name="KV_DD_OKTOBER_14">KV_DROPDOWN_HELPER!$ABD$1:$ABD$14</definedName>
    <definedName name="KV_DD_OKTOBER_15">KV_DROPDOWN_HELPER!$ABE$1:$ABE$14</definedName>
    <definedName name="KV_DD_OKTOBER_16">KV_DROPDOWN_HELPER!$ABF$1:$ABF$13</definedName>
    <definedName name="KV_DD_OKTOBER_17">KV_DROPDOWN_HELPER!$ABG$1:$ABG$15</definedName>
    <definedName name="KV_DD_OKTOBER_18">KV_DROPDOWN_HELPER!$ABH$1:$ABH$15</definedName>
    <definedName name="KV_DD_OKTOBER_19">KV_DROPDOWN_HELPER!$ABI$1:$ABI$13</definedName>
    <definedName name="KV_DD_OKTOBER_20">KV_DROPDOWN_HELPER!$ABJ$1:$ABJ$15</definedName>
    <definedName name="KV_DD_OKTOBER_21">KV_DROPDOWN_HELPER!$ABK$1:$ABK$15</definedName>
    <definedName name="KV_DD_OKTOBER_22">KV_DROPDOWN_HELPER!$ABL$1:$ABL$13</definedName>
    <definedName name="KV_DD_OKTOBER_23">KV_DROPDOWN_HELPER!$ABM$1:$ABM$13</definedName>
    <definedName name="KV_DD_OKTOBER_24">KV_DROPDOWN_HELPER!$ABN$1:$ABN$15</definedName>
    <definedName name="KV_DD_OKTOBER_25">KV_DROPDOWN_HELPER!$ABO$1:$ABO$15</definedName>
    <definedName name="KV_DD_OKTOBER_26">KV_DROPDOWN_HELPER!$ABP$1:$ABP$15</definedName>
    <definedName name="KV_DD_OKTOBER_27">KV_DROPDOWN_HELPER!$ABQ$1:$ABQ$13</definedName>
    <definedName name="KV_DD_OKTOBER_28">KV_DROPDOWN_HELPER!$ABR$1:$ABR$15</definedName>
    <definedName name="KV_DD_OKTOBER_29">KV_DROPDOWN_HELPER!$ABS$1:$ABS$15</definedName>
    <definedName name="KV_DD_OKTOBER_3">KV_DROPDOWN_HELPER!$AAS$1:$AAS$15</definedName>
    <definedName name="KV_DD_OKTOBER_30">KV_DROPDOWN_HELPER!$ABT$1:$ABT$15</definedName>
    <definedName name="KV_DD_OKTOBER_31">KV_DROPDOWN_HELPER!$ABU$1:$ABU$15</definedName>
    <definedName name="KV_DD_OKTOBER_32">KV_DROPDOWN_HELPER!$ABV$1:$ABV$15</definedName>
    <definedName name="KV_DD_OKTOBER_33">KV_DROPDOWN_HELPER!$ABW$1:$ABW$15</definedName>
    <definedName name="KV_DD_OKTOBER_34">KV_DROPDOWN_HELPER!$ABX$1:$ABX$15</definedName>
    <definedName name="KV_DD_OKTOBER_35">KV_DROPDOWN_HELPER!$ABY$1:$ABY$15</definedName>
    <definedName name="KV_DD_OKTOBER_36">KV_DROPDOWN_HELPER!$ABZ$1:$ABZ$15</definedName>
    <definedName name="KV_DD_OKTOBER_37">KV_DROPDOWN_HELPER!$ACA$1:$ACA$15</definedName>
    <definedName name="KV_DD_OKTOBER_38">KV_DROPDOWN_HELPER!$ACB$1:$ACB$15</definedName>
    <definedName name="KV_DD_OKTOBER_39">KV_DROPDOWN_HELPER!$ACC$1:$ACC$15</definedName>
    <definedName name="KV_DD_OKTOBER_4">KV_DROPDOWN_HELPER!$AAT$1:$AAT$13</definedName>
    <definedName name="KV_DD_OKTOBER_40">KV_DROPDOWN_HELPER!$ACD$1:$ACD$15</definedName>
    <definedName name="KV_DD_OKTOBER_41">KV_DROPDOWN_HELPER!$ACE$1:$ACE$15</definedName>
    <definedName name="KV_DD_OKTOBER_42">KV_DROPDOWN_HELPER!$ACF$1:$ACF$15</definedName>
    <definedName name="KV_DD_OKTOBER_43">KV_DROPDOWN_HELPER!$ACG$1:$ACG$15</definedName>
    <definedName name="KV_DD_OKTOBER_44">KV_DROPDOWN_HELPER!$ACH$1:$ACH$15</definedName>
    <definedName name="KV_DD_OKTOBER_45">KV_DROPDOWN_HELPER!$ACI$1:$ACI$15</definedName>
    <definedName name="KV_DD_OKTOBER_46">KV_DROPDOWN_HELPER!$ACJ$1:$ACJ$15</definedName>
    <definedName name="KV_DD_OKTOBER_47">KV_DROPDOWN_HELPER!$ACK$1:$ACK$15</definedName>
    <definedName name="KV_DD_OKTOBER_48">KV_DROPDOWN_HELPER!$ACL$1:$ACL$15</definedName>
    <definedName name="KV_DD_OKTOBER_49">KV_DROPDOWN_HELPER!$ACM$1:$ACM$15</definedName>
    <definedName name="KV_DD_OKTOBER_5">KV_DROPDOWN_HELPER!$AAU$1:$AAU$13</definedName>
    <definedName name="KV_DD_OKTOBER_50">KV_DROPDOWN_HELPER!$ACN$1:$ACN$15</definedName>
    <definedName name="KV_DD_OKTOBER_51">KV_DROPDOWN_HELPER!$ACO$1:$ACO$15</definedName>
    <definedName name="KV_DD_OKTOBER_52">KV_DROPDOWN_HELPER!$ACP$1:$ACP$15</definedName>
    <definedName name="KV_DD_OKTOBER_53">KV_DROPDOWN_HELPER!$ACQ$1:$ACQ$15</definedName>
    <definedName name="KV_DD_OKTOBER_54">KV_DROPDOWN_HELPER!$ACR$1:$ACR$15</definedName>
    <definedName name="KV_DD_OKTOBER_55">KV_DROPDOWN_HELPER!$ACS$1:$ACS$15</definedName>
    <definedName name="KV_DD_OKTOBER_56">KV_DROPDOWN_HELPER!$ACT$1:$ACT$15</definedName>
    <definedName name="KV_DD_OKTOBER_57">KV_DROPDOWN_HELPER!$ACU$1:$ACU$14</definedName>
    <definedName name="KV_DD_OKTOBER_58">KV_DROPDOWN_HELPER!$ACV$1:$ACV$15</definedName>
    <definedName name="KV_DD_OKTOBER_59">KV_DROPDOWN_HELPER!$ACW$1:$ACW$15</definedName>
    <definedName name="KV_DD_OKTOBER_6">KV_DROPDOWN_HELPER!$AAV$1:$AAV$13</definedName>
    <definedName name="KV_DD_OKTOBER_60">KV_DROPDOWN_HELPER!$ACX$1:$ACX$15</definedName>
    <definedName name="KV_DD_OKTOBER_61">KV_DROPDOWN_HELPER!$ACY$1:$ACY$14</definedName>
    <definedName name="KV_DD_OKTOBER_62">KV_DROPDOWN_HELPER!$ACZ$1:$ACZ$14</definedName>
    <definedName name="KV_DD_OKTOBER_63">KV_DROPDOWN_HELPER!$ADA$1:$ADA$14</definedName>
    <definedName name="KV_DD_OKTOBER_7">KV_DROPDOWN_HELPER!$AAW$1:$AAW$13</definedName>
    <definedName name="KV_DD_OKTOBER_8">KV_DROPDOWN_HELPER!$AAX$1:$AAX$13</definedName>
    <definedName name="KV_DD_OKTOBER_9">KV_DROPDOWN_HELPER!$AAY$1:$AAY$14</definedName>
    <definedName name="KV_DD_SEPTEMBER_10">KV_DROPDOWN_HELPER!$XX$1:$XX$13</definedName>
    <definedName name="KV_DD_SEPTEMBER_11">KV_DROPDOWN_HELPER!$XY$1:$XY$14</definedName>
    <definedName name="KV_DD_SEPTEMBER_12">KV_DROPDOWN_HELPER!$XZ$1:$XZ$14</definedName>
    <definedName name="KV_DD_SEPTEMBER_13">KV_DROPDOWN_HELPER!$YA$1:$YA$14</definedName>
    <definedName name="KV_DD_SEPTEMBER_14">KV_DROPDOWN_HELPER!$YB$1:$YB$14</definedName>
    <definedName name="KV_DD_SEPTEMBER_15">KV_DROPDOWN_HELPER!$YC$1:$YC$14</definedName>
    <definedName name="KV_DD_SEPTEMBER_16">KV_DROPDOWN_HELPER!$YD$1:$YD$13</definedName>
    <definedName name="KV_DD_SEPTEMBER_17">KV_DROPDOWN_HELPER!$YE$1:$YE$15</definedName>
    <definedName name="KV_DD_SEPTEMBER_18">KV_DROPDOWN_HELPER!$YF$1:$YF$15</definedName>
    <definedName name="KV_DD_SEPTEMBER_19">KV_DROPDOWN_HELPER!$YG$1:$YG$13</definedName>
    <definedName name="KV_DD_SEPTEMBER_20">KV_DROPDOWN_HELPER!$YH$1:$YH$15</definedName>
    <definedName name="KV_DD_SEPTEMBER_21">KV_DROPDOWN_HELPER!$YI$1:$YI$15</definedName>
    <definedName name="KV_DD_SEPTEMBER_22">KV_DROPDOWN_HELPER!$YJ$1:$YJ$15</definedName>
    <definedName name="KV_DD_SEPTEMBER_23">KV_DROPDOWN_HELPER!$YK$1:$YK$13</definedName>
    <definedName name="KV_DD_SEPTEMBER_24">KV_DROPDOWN_HELPER!$YL$1:$YL$13</definedName>
    <definedName name="KV_DD_SEPTEMBER_25">KV_DROPDOWN_HELPER!$YM$1:$YM$15</definedName>
    <definedName name="KV_DD_SEPTEMBER_26">KV_DROPDOWN_HELPER!$YN$1:$YN$15</definedName>
    <definedName name="KV_DD_SEPTEMBER_27">KV_DROPDOWN_HELPER!$YO$1:$YO$15</definedName>
    <definedName name="KV_DD_SEPTEMBER_28">KV_DROPDOWN_HELPER!$YP$1:$YP$13</definedName>
    <definedName name="KV_DD_SEPTEMBER_29">KV_DROPDOWN_HELPER!$YQ$1:$YQ$15</definedName>
    <definedName name="KV_DD_SEPTEMBER_3">KV_DROPDOWN_HELPER!$XQ$1:$XQ$15</definedName>
    <definedName name="KV_DD_SEPTEMBER_30">KV_DROPDOWN_HELPER!$YR$1:$YR$15</definedName>
    <definedName name="KV_DD_SEPTEMBER_31">KV_DROPDOWN_HELPER!$YS$1:$YS$15</definedName>
    <definedName name="KV_DD_SEPTEMBER_32">KV_DROPDOWN_HELPER!$YT$1:$YT$15</definedName>
    <definedName name="KV_DD_SEPTEMBER_33">KV_DROPDOWN_HELPER!$YU$1:$YU$15</definedName>
    <definedName name="KV_DD_SEPTEMBER_34">KV_DROPDOWN_HELPER!$YV$1:$YV$15</definedName>
    <definedName name="KV_DD_SEPTEMBER_35">KV_DROPDOWN_HELPER!$YW$1:$YW$15</definedName>
    <definedName name="KV_DD_SEPTEMBER_36">KV_DROPDOWN_HELPER!$YX$1:$YX$15</definedName>
    <definedName name="KV_DD_SEPTEMBER_37">KV_DROPDOWN_HELPER!$YY$1:$YY$15</definedName>
    <definedName name="KV_DD_SEPTEMBER_38">KV_DROPDOWN_HELPER!$YZ$1:$YZ$15</definedName>
    <definedName name="KV_DD_SEPTEMBER_39">KV_DROPDOWN_HELPER!$ZA$1:$ZA$15</definedName>
    <definedName name="KV_DD_SEPTEMBER_4">KV_DROPDOWN_HELPER!$XR$1:$XR$13</definedName>
    <definedName name="KV_DD_SEPTEMBER_40">KV_DROPDOWN_HELPER!$ZB$1:$ZB$15</definedName>
    <definedName name="KV_DD_SEPTEMBER_41">KV_DROPDOWN_HELPER!$ZC$1:$ZC$15</definedName>
    <definedName name="KV_DD_SEPTEMBER_42">KV_DROPDOWN_HELPER!$ZD$1:$ZD$15</definedName>
    <definedName name="KV_DD_SEPTEMBER_43">KV_DROPDOWN_HELPER!$ZE$1:$ZE$15</definedName>
    <definedName name="KV_DD_SEPTEMBER_44">KV_DROPDOWN_HELPER!$ZF$1:$ZF$15</definedName>
    <definedName name="KV_DD_SEPTEMBER_45">KV_DROPDOWN_HELPER!$ZG$1:$ZG$15</definedName>
    <definedName name="KV_DD_SEPTEMBER_46">KV_DROPDOWN_HELPER!$ZH$1:$ZH$15</definedName>
    <definedName name="KV_DD_SEPTEMBER_47">KV_DROPDOWN_HELPER!$ZI$1:$ZI$15</definedName>
    <definedName name="KV_DD_SEPTEMBER_48">KV_DROPDOWN_HELPER!$ZJ$1:$ZJ$15</definedName>
    <definedName name="KV_DD_SEPTEMBER_49">KV_DROPDOWN_HELPER!$ZK$1:$ZK$15</definedName>
    <definedName name="KV_DD_SEPTEMBER_5">KV_DROPDOWN_HELPER!$XS$1:$XS$13</definedName>
    <definedName name="KV_DD_SEPTEMBER_50">KV_DROPDOWN_HELPER!$ZL$1:$ZL$15</definedName>
    <definedName name="KV_DD_SEPTEMBER_51">KV_DROPDOWN_HELPER!$ZM$1:$ZM$15</definedName>
    <definedName name="KV_DD_SEPTEMBER_52">KV_DROPDOWN_HELPER!$ZN$1:$ZN$15</definedName>
    <definedName name="KV_DD_SEPTEMBER_53">KV_DROPDOWN_HELPER!$ZO$1:$ZO$15</definedName>
    <definedName name="KV_DD_SEPTEMBER_54">KV_DROPDOWN_HELPER!$ZP$1:$ZP$15</definedName>
    <definedName name="KV_DD_SEPTEMBER_55">KV_DROPDOWN_HELPER!$ZQ$1:$ZQ$15</definedName>
    <definedName name="KV_DD_SEPTEMBER_56">KV_DROPDOWN_HELPER!$ZR$1:$ZR$15</definedName>
    <definedName name="KV_DD_SEPTEMBER_57">KV_DROPDOWN_HELPER!$ZS$1:$ZS$15</definedName>
    <definedName name="KV_DD_SEPTEMBER_58">KV_DROPDOWN_HELPER!$ZT$1:$ZT$14</definedName>
    <definedName name="KV_DD_SEPTEMBER_59">KV_DROPDOWN_HELPER!$ZU$1:$ZU$15</definedName>
    <definedName name="KV_DD_SEPTEMBER_6">KV_DROPDOWN_HELPER!$XT$1:$XT$13</definedName>
    <definedName name="KV_DD_SEPTEMBER_60">KV_DROPDOWN_HELPER!$ZV$1:$ZV$15</definedName>
    <definedName name="KV_DD_SEPTEMBER_61">KV_DROPDOWN_HELPER!$ZW$1:$ZW$15</definedName>
    <definedName name="KV_DD_SEPTEMBER_62">KV_DROPDOWN_HELPER!$ZX$1:$ZX$13</definedName>
    <definedName name="KV_DD_SEPTEMBER_7">KV_DROPDOWN_HELPER!$XU$1:$XU$13</definedName>
    <definedName name="KV_DD_SEPTEMBER_8">KV_DROPDOWN_HELPER!$XV$1:$XV$13</definedName>
    <definedName name="KV_DD_SEPTEMBER_9">KV_DROPDOWN_HELPER!$XW$1:$XW$14</definedName>
    <definedName name="PID_KV_CODE_LIST">KV_DROPDOWN_HELPER!$AJY$1:$AJY$12</definedName>
    <definedName name="ShowWelcomeMessage">TRUE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35" i="28" l="1"/>
  <c r="Q29" i="28"/>
  <c r="S35" i="30"/>
  <c r="Q29" i="30"/>
  <c r="S35" i="3"/>
  <c r="Q29" i="3"/>
  <c r="G59" i="35"/>
  <c r="G60" i="35"/>
  <c r="G61" i="35"/>
  <c r="G62" i="35"/>
  <c r="G63" i="35"/>
  <c r="G64" i="35"/>
  <c r="K64" i="35" s="1"/>
  <c r="G65" i="35"/>
  <c r="G66" i="35"/>
  <c r="G67" i="35"/>
  <c r="G68" i="35"/>
  <c r="K68" i="35" s="1"/>
  <c r="G69" i="35"/>
  <c r="G70" i="35"/>
  <c r="K70" i="35" s="1"/>
  <c r="G71" i="35"/>
  <c r="G72" i="35"/>
  <c r="G73" i="35"/>
  <c r="K73" i="35" s="1"/>
  <c r="G74" i="35"/>
  <c r="G75" i="35"/>
  <c r="G76" i="35"/>
  <c r="G77" i="35"/>
  <c r="K77" i="35" s="1"/>
  <c r="G78" i="35"/>
  <c r="G79" i="35"/>
  <c r="K79" i="35" s="1"/>
  <c r="G80" i="35"/>
  <c r="K80" i="35" s="1"/>
  <c r="G81" i="35"/>
  <c r="K81" i="35" s="1"/>
  <c r="G82" i="35"/>
  <c r="G60" i="36"/>
  <c r="G61" i="36"/>
  <c r="K61" i="36" s="1"/>
  <c r="G62" i="36"/>
  <c r="G63" i="36"/>
  <c r="K63" i="36" s="1"/>
  <c r="G64" i="36"/>
  <c r="G65" i="36"/>
  <c r="G66" i="36"/>
  <c r="G67" i="36"/>
  <c r="G68" i="36"/>
  <c r="G69" i="36"/>
  <c r="G70" i="36"/>
  <c r="G71" i="36"/>
  <c r="G72" i="36"/>
  <c r="K72" i="36" s="1"/>
  <c r="G73" i="36"/>
  <c r="G74" i="36"/>
  <c r="G75" i="36"/>
  <c r="G76" i="36"/>
  <c r="G77" i="36"/>
  <c r="K77" i="36" s="1"/>
  <c r="G78" i="36"/>
  <c r="G79" i="36"/>
  <c r="G80" i="36"/>
  <c r="G81" i="36"/>
  <c r="K81" i="36" s="1"/>
  <c r="G82" i="36"/>
  <c r="G61" i="33"/>
  <c r="G62" i="33"/>
  <c r="K62" i="33" s="1"/>
  <c r="G63" i="33"/>
  <c r="G64" i="33"/>
  <c r="K64" i="33" s="1"/>
  <c r="G65" i="33"/>
  <c r="K65" i="33" s="1"/>
  <c r="G66" i="33"/>
  <c r="G67" i="33"/>
  <c r="G68" i="33"/>
  <c r="K68" i="33" s="1"/>
  <c r="G69" i="33"/>
  <c r="G70" i="33"/>
  <c r="G71" i="33"/>
  <c r="K71" i="33" s="1"/>
  <c r="G72" i="33"/>
  <c r="G73" i="33"/>
  <c r="G74" i="33"/>
  <c r="G75" i="33"/>
  <c r="G76" i="33"/>
  <c r="G77" i="33"/>
  <c r="G78" i="33"/>
  <c r="K78" i="33" s="1"/>
  <c r="G79" i="33"/>
  <c r="K79" i="33" s="1"/>
  <c r="G80" i="33"/>
  <c r="G81" i="33"/>
  <c r="G82" i="33"/>
  <c r="G62" i="32"/>
  <c r="K62" i="32" s="1"/>
  <c r="G63" i="32"/>
  <c r="G64" i="32"/>
  <c r="G65" i="32"/>
  <c r="G66" i="32"/>
  <c r="G67" i="32"/>
  <c r="G68" i="32"/>
  <c r="G69" i="32"/>
  <c r="G70" i="32"/>
  <c r="G71" i="32"/>
  <c r="G72" i="32"/>
  <c r="K72" i="32" s="1"/>
  <c r="G73" i="32"/>
  <c r="K73" i="32" s="1"/>
  <c r="G74" i="32"/>
  <c r="K74" i="32" s="1"/>
  <c r="G75" i="32"/>
  <c r="G76" i="32"/>
  <c r="K76" i="32" s="1"/>
  <c r="G77" i="32"/>
  <c r="G78" i="32"/>
  <c r="G79" i="32"/>
  <c r="K79" i="32" s="1"/>
  <c r="G80" i="32"/>
  <c r="G81" i="32"/>
  <c r="K81" i="32" s="1"/>
  <c r="G82" i="32"/>
  <c r="G64" i="31"/>
  <c r="G65" i="31"/>
  <c r="G66" i="31"/>
  <c r="G67" i="31"/>
  <c r="G68" i="31"/>
  <c r="G69" i="31"/>
  <c r="G70" i="31"/>
  <c r="G71" i="31"/>
  <c r="K71" i="31" s="1"/>
  <c r="G72" i="31"/>
  <c r="K72" i="31" s="1"/>
  <c r="G73" i="31"/>
  <c r="K73" i="31" s="1"/>
  <c r="L73" i="31" s="1"/>
  <c r="G74" i="31"/>
  <c r="G75" i="31"/>
  <c r="G76" i="31"/>
  <c r="G77" i="31"/>
  <c r="K77" i="31" s="1"/>
  <c r="G78" i="31"/>
  <c r="G79" i="31"/>
  <c r="G80" i="31"/>
  <c r="K80" i="31" s="1"/>
  <c r="G81" i="31"/>
  <c r="G82" i="31"/>
  <c r="G65" i="30"/>
  <c r="G66" i="30"/>
  <c r="G67" i="30"/>
  <c r="G68" i="30"/>
  <c r="K68" i="30" s="1"/>
  <c r="G69" i="30"/>
  <c r="G70" i="30"/>
  <c r="K70" i="30" s="1"/>
  <c r="G71" i="30"/>
  <c r="K71" i="30" s="1"/>
  <c r="G72" i="30"/>
  <c r="G73" i="30"/>
  <c r="G74" i="30"/>
  <c r="G75" i="30"/>
  <c r="K75" i="30" s="1"/>
  <c r="G76" i="30"/>
  <c r="K76" i="30" s="1"/>
  <c r="G77" i="30"/>
  <c r="G78" i="30"/>
  <c r="G79" i="30"/>
  <c r="G80" i="30"/>
  <c r="G81" i="30"/>
  <c r="G82" i="30"/>
  <c r="G65" i="37"/>
  <c r="K65" i="37" s="1"/>
  <c r="G66" i="37"/>
  <c r="K66" i="37" s="1"/>
  <c r="G67" i="37"/>
  <c r="K67" i="37" s="1"/>
  <c r="G68" i="37"/>
  <c r="K68" i="37" s="1"/>
  <c r="G69" i="37"/>
  <c r="G70" i="37"/>
  <c r="K70" i="37" s="1"/>
  <c r="G71" i="37"/>
  <c r="G72" i="37"/>
  <c r="G73" i="37"/>
  <c r="K73" i="37" s="1"/>
  <c r="G74" i="37"/>
  <c r="K74" i="37" s="1"/>
  <c r="G75" i="37"/>
  <c r="G76" i="37"/>
  <c r="G77" i="37"/>
  <c r="G78" i="37"/>
  <c r="G79" i="37"/>
  <c r="K79" i="37" s="1"/>
  <c r="G80" i="37"/>
  <c r="K80" i="37" s="1"/>
  <c r="G81" i="37"/>
  <c r="G82" i="37"/>
  <c r="K82" i="37" s="1"/>
  <c r="G65" i="28"/>
  <c r="K65" i="28" s="1"/>
  <c r="G66" i="28"/>
  <c r="G67" i="28"/>
  <c r="G68" i="28"/>
  <c r="G69" i="28"/>
  <c r="G70" i="28"/>
  <c r="G71" i="28"/>
  <c r="K71" i="28" s="1"/>
  <c r="G72" i="28"/>
  <c r="K72" i="28" s="1"/>
  <c r="G73" i="28"/>
  <c r="K73" i="28" s="1"/>
  <c r="G74" i="28"/>
  <c r="G75" i="28"/>
  <c r="K75" i="28" s="1"/>
  <c r="G76" i="28"/>
  <c r="G77" i="28"/>
  <c r="K77" i="28" s="1"/>
  <c r="G78" i="28"/>
  <c r="G79" i="28"/>
  <c r="G80" i="28"/>
  <c r="G81" i="28"/>
  <c r="K81" i="28" s="1"/>
  <c r="G82" i="28"/>
  <c r="G63" i="27"/>
  <c r="K63" i="27" s="1"/>
  <c r="L63" i="27" s="1"/>
  <c r="G64" i="27"/>
  <c r="G65" i="27"/>
  <c r="K65" i="27" s="1"/>
  <c r="G66" i="27"/>
  <c r="K66" i="27" s="1"/>
  <c r="G67" i="27"/>
  <c r="K67" i="27" s="1"/>
  <c r="G68" i="27"/>
  <c r="K68" i="27" s="1"/>
  <c r="G69" i="27"/>
  <c r="G70" i="27"/>
  <c r="G71" i="27"/>
  <c r="K71" i="27" s="1"/>
  <c r="G72" i="27"/>
  <c r="G73" i="27"/>
  <c r="K73" i="27" s="1"/>
  <c r="G74" i="27"/>
  <c r="K74" i="27" s="1"/>
  <c r="L74" i="27" s="1"/>
  <c r="G75" i="27"/>
  <c r="K75" i="27" s="1"/>
  <c r="G76" i="27"/>
  <c r="K76" i="27" s="1"/>
  <c r="G77" i="27"/>
  <c r="G78" i="27"/>
  <c r="G79" i="27"/>
  <c r="K79" i="27" s="1"/>
  <c r="G80" i="27"/>
  <c r="G81" i="27"/>
  <c r="K81" i="27" s="1"/>
  <c r="G82" i="27"/>
  <c r="K82" i="27" s="1"/>
  <c r="G63" i="26"/>
  <c r="K63" i="26" s="1"/>
  <c r="G64" i="26"/>
  <c r="K64" i="26" s="1"/>
  <c r="G65" i="26"/>
  <c r="K65" i="26" s="1"/>
  <c r="G66" i="26"/>
  <c r="G67" i="26"/>
  <c r="K67" i="26" s="1"/>
  <c r="G68" i="26"/>
  <c r="G69" i="26"/>
  <c r="G70" i="26"/>
  <c r="G71" i="26"/>
  <c r="K71" i="26" s="1"/>
  <c r="G72" i="26"/>
  <c r="G73" i="26"/>
  <c r="K73" i="26" s="1"/>
  <c r="G74" i="26"/>
  <c r="K74" i="26" s="1"/>
  <c r="G75" i="26"/>
  <c r="K75" i="26" s="1"/>
  <c r="L75" i="26" s="1"/>
  <c r="G76" i="26"/>
  <c r="G77" i="26"/>
  <c r="G78" i="26"/>
  <c r="G79" i="26"/>
  <c r="K79" i="26" s="1"/>
  <c r="G80" i="26"/>
  <c r="K80" i="26" s="1"/>
  <c r="G81" i="26"/>
  <c r="K81" i="26" s="1"/>
  <c r="G82" i="26"/>
  <c r="K82" i="26" s="1"/>
  <c r="G62" i="25"/>
  <c r="K62" i="25" s="1"/>
  <c r="G63" i="25"/>
  <c r="K63" i="25" s="1"/>
  <c r="G64" i="25"/>
  <c r="G65" i="25"/>
  <c r="K65" i="25" s="1"/>
  <c r="G66" i="25"/>
  <c r="K66" i="25" s="1"/>
  <c r="G67" i="25"/>
  <c r="K67" i="25" s="1"/>
  <c r="G68" i="25"/>
  <c r="G69" i="25"/>
  <c r="G70" i="25"/>
  <c r="K70" i="25" s="1"/>
  <c r="G71" i="25"/>
  <c r="K71" i="25" s="1"/>
  <c r="G72" i="25"/>
  <c r="G73" i="25"/>
  <c r="K73" i="25" s="1"/>
  <c r="G74" i="25"/>
  <c r="K74" i="25" s="1"/>
  <c r="G75" i="25"/>
  <c r="K75" i="25" s="1"/>
  <c r="G76" i="25"/>
  <c r="G77" i="25"/>
  <c r="G78" i="25"/>
  <c r="K78" i="25" s="1"/>
  <c r="G79" i="25"/>
  <c r="G80" i="25"/>
  <c r="G81" i="25"/>
  <c r="K81" i="25" s="1"/>
  <c r="G82" i="25"/>
  <c r="K82" i="25" s="1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B23" i="15"/>
  <c r="B2" i="15"/>
  <c r="K69" i="36"/>
  <c r="K76" i="36"/>
  <c r="K78" i="36"/>
  <c r="K70" i="33"/>
  <c r="K73" i="33"/>
  <c r="K65" i="32"/>
  <c r="K68" i="31"/>
  <c r="K78" i="30"/>
  <c r="K81" i="30"/>
  <c r="K79" i="25"/>
  <c r="S35" i="35"/>
  <c r="S35" i="36"/>
  <c r="S35" i="33"/>
  <c r="S35" i="32"/>
  <c r="S35" i="31"/>
  <c r="S35" i="37"/>
  <c r="S35" i="27"/>
  <c r="S35" i="26"/>
  <c r="S35" i="25"/>
  <c r="K67" i="31"/>
  <c r="K69" i="33"/>
  <c r="K67" i="32"/>
  <c r="E35" i="15"/>
  <c r="E34" i="15"/>
  <c r="E33" i="15"/>
  <c r="E32" i="15"/>
  <c r="B28" i="15"/>
  <c r="K60" i="35"/>
  <c r="K62" i="35"/>
  <c r="K65" i="35"/>
  <c r="K67" i="35"/>
  <c r="K69" i="35"/>
  <c r="K72" i="35"/>
  <c r="K75" i="35"/>
  <c r="K76" i="35"/>
  <c r="K60" i="36"/>
  <c r="K62" i="36"/>
  <c r="K71" i="36"/>
  <c r="K66" i="26"/>
  <c r="J344" i="46"/>
  <c r="I344" i="46"/>
  <c r="J343" i="46"/>
  <c r="I343" i="46"/>
  <c r="J342" i="46"/>
  <c r="I342" i="46"/>
  <c r="J341" i="46"/>
  <c r="I341" i="46"/>
  <c r="J340" i="46"/>
  <c r="I340" i="46"/>
  <c r="J339" i="46"/>
  <c r="I339" i="46"/>
  <c r="J338" i="46"/>
  <c r="I338" i="46"/>
  <c r="J337" i="46"/>
  <c r="I337" i="46"/>
  <c r="J336" i="46"/>
  <c r="I336" i="46"/>
  <c r="J335" i="46"/>
  <c r="I335" i="46"/>
  <c r="J334" i="46"/>
  <c r="I334" i="46"/>
  <c r="J333" i="46"/>
  <c r="I333" i="46"/>
  <c r="J332" i="46"/>
  <c r="I332" i="46"/>
  <c r="J331" i="46"/>
  <c r="I331" i="46"/>
  <c r="J330" i="46"/>
  <c r="I330" i="46"/>
  <c r="J329" i="46"/>
  <c r="I329" i="46"/>
  <c r="J328" i="46"/>
  <c r="I328" i="46"/>
  <c r="J327" i="46"/>
  <c r="I327" i="46"/>
  <c r="J326" i="46"/>
  <c r="I326" i="46"/>
  <c r="J325" i="46"/>
  <c r="I325" i="46"/>
  <c r="J324" i="46"/>
  <c r="I324" i="46"/>
  <c r="J323" i="46"/>
  <c r="I323" i="46"/>
  <c r="J322" i="46"/>
  <c r="I322" i="46"/>
  <c r="J321" i="46"/>
  <c r="I321" i="46"/>
  <c r="J320" i="46"/>
  <c r="I320" i="46"/>
  <c r="J319" i="46"/>
  <c r="I319" i="46"/>
  <c r="J318" i="46"/>
  <c r="I318" i="46"/>
  <c r="J317" i="46"/>
  <c r="I317" i="46"/>
  <c r="J316" i="46"/>
  <c r="I316" i="46"/>
  <c r="J315" i="46"/>
  <c r="I315" i="46"/>
  <c r="J314" i="46"/>
  <c r="I314" i="46"/>
  <c r="J313" i="46"/>
  <c r="I313" i="46"/>
  <c r="J312" i="46"/>
  <c r="I312" i="46"/>
  <c r="J311" i="46"/>
  <c r="I311" i="46"/>
  <c r="J310" i="46"/>
  <c r="I310" i="46"/>
  <c r="J309" i="46"/>
  <c r="I309" i="46"/>
  <c r="J308" i="46"/>
  <c r="I308" i="46"/>
  <c r="J307" i="46"/>
  <c r="I307" i="46"/>
  <c r="J306" i="46"/>
  <c r="I306" i="46"/>
  <c r="J305" i="46"/>
  <c r="I305" i="46"/>
  <c r="J304" i="46"/>
  <c r="I304" i="46"/>
  <c r="J303" i="46"/>
  <c r="I303" i="46"/>
  <c r="J302" i="46"/>
  <c r="I302" i="46"/>
  <c r="J301" i="46"/>
  <c r="I301" i="46"/>
  <c r="J300" i="46"/>
  <c r="I300" i="46"/>
  <c r="J299" i="46"/>
  <c r="I299" i="46"/>
  <c r="J298" i="46"/>
  <c r="I298" i="46"/>
  <c r="J297" i="46"/>
  <c r="I297" i="46"/>
  <c r="J296" i="46"/>
  <c r="I296" i="46"/>
  <c r="J295" i="46"/>
  <c r="I295" i="46"/>
  <c r="J294" i="46"/>
  <c r="I294" i="46"/>
  <c r="J293" i="46"/>
  <c r="I293" i="46"/>
  <c r="J292" i="46"/>
  <c r="I292" i="46"/>
  <c r="J291" i="46"/>
  <c r="I291" i="46"/>
  <c r="J290" i="46"/>
  <c r="I290" i="46"/>
  <c r="J289" i="46"/>
  <c r="I289" i="46"/>
  <c r="J288" i="46"/>
  <c r="I288" i="46"/>
  <c r="J287" i="46"/>
  <c r="I287" i="46"/>
  <c r="J286" i="46"/>
  <c r="I286" i="46"/>
  <c r="J285" i="46"/>
  <c r="I285" i="46"/>
  <c r="J284" i="46"/>
  <c r="I284" i="46"/>
  <c r="J283" i="46"/>
  <c r="I283" i="46"/>
  <c r="J282" i="46"/>
  <c r="I282" i="46"/>
  <c r="J281" i="46"/>
  <c r="I281" i="46"/>
  <c r="J280" i="46"/>
  <c r="I280" i="46"/>
  <c r="J279" i="46"/>
  <c r="I279" i="46"/>
  <c r="J278" i="46"/>
  <c r="I278" i="46"/>
  <c r="J277" i="46"/>
  <c r="I277" i="46"/>
  <c r="J276" i="46"/>
  <c r="I276" i="46"/>
  <c r="J275" i="46"/>
  <c r="I275" i="46"/>
  <c r="J274" i="46"/>
  <c r="I274" i="46"/>
  <c r="J273" i="46"/>
  <c r="I273" i="46"/>
  <c r="J272" i="46"/>
  <c r="I272" i="46"/>
  <c r="J271" i="46"/>
  <c r="I271" i="46"/>
  <c r="J270" i="46"/>
  <c r="I270" i="46"/>
  <c r="J269" i="46"/>
  <c r="I269" i="46"/>
  <c r="J268" i="46"/>
  <c r="I268" i="46"/>
  <c r="J267" i="46"/>
  <c r="I267" i="46"/>
  <c r="J266" i="46"/>
  <c r="I266" i="46"/>
  <c r="J265" i="46"/>
  <c r="I265" i="46"/>
  <c r="J264" i="46"/>
  <c r="I264" i="46"/>
  <c r="J263" i="46"/>
  <c r="I263" i="46"/>
  <c r="J262" i="46"/>
  <c r="I262" i="46"/>
  <c r="J261" i="46"/>
  <c r="I261" i="46"/>
  <c r="J260" i="46"/>
  <c r="I260" i="46"/>
  <c r="J259" i="46"/>
  <c r="I259" i="46"/>
  <c r="J258" i="46"/>
  <c r="I258" i="46"/>
  <c r="J257" i="46"/>
  <c r="I257" i="46"/>
  <c r="J256" i="46"/>
  <c r="I256" i="46"/>
  <c r="J255" i="46"/>
  <c r="I255" i="46"/>
  <c r="J254" i="46"/>
  <c r="I254" i="46"/>
  <c r="J253" i="46"/>
  <c r="I253" i="46"/>
  <c r="J252" i="46"/>
  <c r="I252" i="46"/>
  <c r="J251" i="46"/>
  <c r="I251" i="46"/>
  <c r="J250" i="46"/>
  <c r="I250" i="46"/>
  <c r="J249" i="46"/>
  <c r="I249" i="46"/>
  <c r="J248" i="46"/>
  <c r="I248" i="46"/>
  <c r="J247" i="46"/>
  <c r="I247" i="46"/>
  <c r="J246" i="46"/>
  <c r="I246" i="46"/>
  <c r="J245" i="46"/>
  <c r="I245" i="46"/>
  <c r="J244" i="46"/>
  <c r="I244" i="46"/>
  <c r="J243" i="46"/>
  <c r="I243" i="46"/>
  <c r="J242" i="46"/>
  <c r="I242" i="46"/>
  <c r="J241" i="46"/>
  <c r="I241" i="46"/>
  <c r="J240" i="46"/>
  <c r="I240" i="46"/>
  <c r="J239" i="46"/>
  <c r="I239" i="46"/>
  <c r="J238" i="46"/>
  <c r="I238" i="46"/>
  <c r="J237" i="46"/>
  <c r="I237" i="46"/>
  <c r="J236" i="46"/>
  <c r="I236" i="46"/>
  <c r="J235" i="46"/>
  <c r="I235" i="46"/>
  <c r="J234" i="46"/>
  <c r="I234" i="46"/>
  <c r="J233" i="46"/>
  <c r="I233" i="46"/>
  <c r="J232" i="46"/>
  <c r="I232" i="46"/>
  <c r="J231" i="46"/>
  <c r="I231" i="46"/>
  <c r="J230" i="46"/>
  <c r="I230" i="46"/>
  <c r="J229" i="46"/>
  <c r="I229" i="46"/>
  <c r="J228" i="46"/>
  <c r="I228" i="46"/>
  <c r="J227" i="46"/>
  <c r="I227" i="46"/>
  <c r="J226" i="46"/>
  <c r="I226" i="46"/>
  <c r="J225" i="46"/>
  <c r="I225" i="46"/>
  <c r="J224" i="46"/>
  <c r="I224" i="46"/>
  <c r="J223" i="46"/>
  <c r="I223" i="46"/>
  <c r="J222" i="46"/>
  <c r="I222" i="46"/>
  <c r="J221" i="46"/>
  <c r="I221" i="46"/>
  <c r="J220" i="46"/>
  <c r="I220" i="46"/>
  <c r="J219" i="46"/>
  <c r="I219" i="46"/>
  <c r="J218" i="46"/>
  <c r="I218" i="46"/>
  <c r="J217" i="46"/>
  <c r="I217" i="46"/>
  <c r="J216" i="46"/>
  <c r="I216" i="46"/>
  <c r="J215" i="46"/>
  <c r="I215" i="46"/>
  <c r="J214" i="46"/>
  <c r="I214" i="46"/>
  <c r="J213" i="46"/>
  <c r="I213" i="46"/>
  <c r="J212" i="46"/>
  <c r="I212" i="46"/>
  <c r="J211" i="46"/>
  <c r="I211" i="46"/>
  <c r="J210" i="46"/>
  <c r="I210" i="46"/>
  <c r="J209" i="46"/>
  <c r="I209" i="46"/>
  <c r="J208" i="46"/>
  <c r="I208" i="46"/>
  <c r="J207" i="46"/>
  <c r="I207" i="46"/>
  <c r="J206" i="46"/>
  <c r="I206" i="46"/>
  <c r="J205" i="46"/>
  <c r="I205" i="46"/>
  <c r="J204" i="46"/>
  <c r="I204" i="46"/>
  <c r="J203" i="46"/>
  <c r="I203" i="46"/>
  <c r="J202" i="46"/>
  <c r="I202" i="46"/>
  <c r="J201" i="46"/>
  <c r="I201" i="46"/>
  <c r="J200" i="46"/>
  <c r="I200" i="46"/>
  <c r="J199" i="46"/>
  <c r="I199" i="46"/>
  <c r="J198" i="46"/>
  <c r="I198" i="46"/>
  <c r="J197" i="46"/>
  <c r="I197" i="46"/>
  <c r="J196" i="46"/>
  <c r="I196" i="46"/>
  <c r="J195" i="46"/>
  <c r="I195" i="46"/>
  <c r="J194" i="46"/>
  <c r="I194" i="46"/>
  <c r="J193" i="46"/>
  <c r="I193" i="46"/>
  <c r="J192" i="46"/>
  <c r="I192" i="46"/>
  <c r="J191" i="46"/>
  <c r="I191" i="46"/>
  <c r="J190" i="46"/>
  <c r="I190" i="46"/>
  <c r="J189" i="46"/>
  <c r="I189" i="46"/>
  <c r="J188" i="46"/>
  <c r="I188" i="46"/>
  <c r="J187" i="46"/>
  <c r="I187" i="46"/>
  <c r="J186" i="46"/>
  <c r="I186" i="46"/>
  <c r="J184" i="46"/>
  <c r="I184" i="46"/>
  <c r="J183" i="46"/>
  <c r="I183" i="46"/>
  <c r="J182" i="46"/>
  <c r="I182" i="46"/>
  <c r="J181" i="46"/>
  <c r="I181" i="46"/>
  <c r="J180" i="46"/>
  <c r="I180" i="46"/>
  <c r="J179" i="46"/>
  <c r="I179" i="46"/>
  <c r="J178" i="46"/>
  <c r="I178" i="46"/>
  <c r="J177" i="46"/>
  <c r="I177" i="46"/>
  <c r="J176" i="46"/>
  <c r="I176" i="46"/>
  <c r="J175" i="46"/>
  <c r="I175" i="46"/>
  <c r="J174" i="46"/>
  <c r="I174" i="46"/>
  <c r="J173" i="46"/>
  <c r="I173" i="46"/>
  <c r="J172" i="46"/>
  <c r="I172" i="46"/>
  <c r="J171" i="46"/>
  <c r="I171" i="46"/>
  <c r="J170" i="46"/>
  <c r="I170" i="46"/>
  <c r="J169" i="46"/>
  <c r="I169" i="46"/>
  <c r="J168" i="46"/>
  <c r="I168" i="46"/>
  <c r="J167" i="46"/>
  <c r="I167" i="46"/>
  <c r="J166" i="46"/>
  <c r="I166" i="46"/>
  <c r="J165" i="46"/>
  <c r="I165" i="46"/>
  <c r="J164" i="46"/>
  <c r="I164" i="46"/>
  <c r="J163" i="46"/>
  <c r="I163" i="46"/>
  <c r="J162" i="46"/>
  <c r="I162" i="46"/>
  <c r="J161" i="46"/>
  <c r="I161" i="46"/>
  <c r="J160" i="46"/>
  <c r="I160" i="46"/>
  <c r="J159" i="46"/>
  <c r="I159" i="46"/>
  <c r="J158" i="46"/>
  <c r="I158" i="46"/>
  <c r="J157" i="46"/>
  <c r="I157" i="46"/>
  <c r="J156" i="46"/>
  <c r="I156" i="46"/>
  <c r="J155" i="46"/>
  <c r="I155" i="46"/>
  <c r="J154" i="46"/>
  <c r="I154" i="46"/>
  <c r="J153" i="46"/>
  <c r="I153" i="46"/>
  <c r="J152" i="46"/>
  <c r="I152" i="46"/>
  <c r="J151" i="46"/>
  <c r="I151" i="46"/>
  <c r="J150" i="46"/>
  <c r="I150" i="46"/>
  <c r="J149" i="46"/>
  <c r="I149" i="46"/>
  <c r="J148" i="46"/>
  <c r="I148" i="46"/>
  <c r="J147" i="46"/>
  <c r="I147" i="46"/>
  <c r="J146" i="46"/>
  <c r="I146" i="46"/>
  <c r="J145" i="46"/>
  <c r="I145" i="46"/>
  <c r="J144" i="46"/>
  <c r="I144" i="46"/>
  <c r="J143" i="46"/>
  <c r="I143" i="46"/>
  <c r="J142" i="46"/>
  <c r="I142" i="46"/>
  <c r="J141" i="46"/>
  <c r="I141" i="46"/>
  <c r="J140" i="46"/>
  <c r="I140" i="46"/>
  <c r="J139" i="46"/>
  <c r="I139" i="46"/>
  <c r="J138" i="46"/>
  <c r="I138" i="46"/>
  <c r="J137" i="46"/>
  <c r="I137" i="46"/>
  <c r="J136" i="46"/>
  <c r="I136" i="46"/>
  <c r="J135" i="46"/>
  <c r="I135" i="46"/>
  <c r="J134" i="46"/>
  <c r="I134" i="46"/>
  <c r="J133" i="46"/>
  <c r="I133" i="46"/>
  <c r="J132" i="46"/>
  <c r="I132" i="46"/>
  <c r="J131" i="46"/>
  <c r="I131" i="46"/>
  <c r="J130" i="46"/>
  <c r="I130" i="46"/>
  <c r="J129" i="46"/>
  <c r="I129" i="46"/>
  <c r="J128" i="46"/>
  <c r="I128" i="46"/>
  <c r="J127" i="46"/>
  <c r="I127" i="46"/>
  <c r="J126" i="46"/>
  <c r="I126" i="46"/>
  <c r="J125" i="46"/>
  <c r="I125" i="46"/>
  <c r="J124" i="46"/>
  <c r="I124" i="46"/>
  <c r="J123" i="46"/>
  <c r="I123" i="46"/>
  <c r="J122" i="46"/>
  <c r="I122" i="46"/>
  <c r="J121" i="46"/>
  <c r="I121" i="46"/>
  <c r="J120" i="46"/>
  <c r="I120" i="46"/>
  <c r="J119" i="46"/>
  <c r="I119" i="46"/>
  <c r="J118" i="46"/>
  <c r="I118" i="46"/>
  <c r="J117" i="46"/>
  <c r="I117" i="46"/>
  <c r="J116" i="46"/>
  <c r="I116" i="46"/>
  <c r="J115" i="46"/>
  <c r="I115" i="46"/>
  <c r="J114" i="46"/>
  <c r="I114" i="46"/>
  <c r="J113" i="46"/>
  <c r="I113" i="46"/>
  <c r="J112" i="46"/>
  <c r="I112" i="46"/>
  <c r="J111" i="46"/>
  <c r="I111" i="46"/>
  <c r="J110" i="46"/>
  <c r="I110" i="46"/>
  <c r="J109" i="46"/>
  <c r="I109" i="46"/>
  <c r="J108" i="46"/>
  <c r="I108" i="46"/>
  <c r="J107" i="46"/>
  <c r="I107" i="46"/>
  <c r="J106" i="46"/>
  <c r="I106" i="46"/>
  <c r="J105" i="46"/>
  <c r="I105" i="46"/>
  <c r="J104" i="46"/>
  <c r="I104" i="46"/>
  <c r="J103" i="46"/>
  <c r="I103" i="46"/>
  <c r="J102" i="46"/>
  <c r="I102" i="46"/>
  <c r="J101" i="46"/>
  <c r="I101" i="46"/>
  <c r="J100" i="46"/>
  <c r="I100" i="46"/>
  <c r="J99" i="46"/>
  <c r="I99" i="46"/>
  <c r="J98" i="46"/>
  <c r="I98" i="46"/>
  <c r="J97" i="46"/>
  <c r="I97" i="46"/>
  <c r="J96" i="46"/>
  <c r="I96" i="46"/>
  <c r="J95" i="46"/>
  <c r="I95" i="46"/>
  <c r="J94" i="46"/>
  <c r="I94" i="46"/>
  <c r="J93" i="46"/>
  <c r="I93" i="46"/>
  <c r="J92" i="46"/>
  <c r="I92" i="46"/>
  <c r="J91" i="46"/>
  <c r="I91" i="46"/>
  <c r="J90" i="46"/>
  <c r="I90" i="46"/>
  <c r="J89" i="46"/>
  <c r="I89" i="46"/>
  <c r="J88" i="46"/>
  <c r="I88" i="46"/>
  <c r="J87" i="46"/>
  <c r="I87" i="46"/>
  <c r="J86" i="46"/>
  <c r="I86" i="46"/>
  <c r="J85" i="46"/>
  <c r="I85" i="46"/>
  <c r="J84" i="46"/>
  <c r="I84" i="46"/>
  <c r="J83" i="46"/>
  <c r="I83" i="46"/>
  <c r="J82" i="46"/>
  <c r="I82" i="46"/>
  <c r="J81" i="46"/>
  <c r="I81" i="46"/>
  <c r="J80" i="46"/>
  <c r="I80" i="46"/>
  <c r="J79" i="46"/>
  <c r="I79" i="46"/>
  <c r="J78" i="46"/>
  <c r="I78" i="46"/>
  <c r="J77" i="46"/>
  <c r="I77" i="46"/>
  <c r="J76" i="46"/>
  <c r="I76" i="46"/>
  <c r="J75" i="46"/>
  <c r="I75" i="46"/>
  <c r="J74" i="46"/>
  <c r="I74" i="46"/>
  <c r="J73" i="46"/>
  <c r="I73" i="46"/>
  <c r="J72" i="46"/>
  <c r="I72" i="46"/>
  <c r="J71" i="46"/>
  <c r="I71" i="46"/>
  <c r="J70" i="46"/>
  <c r="I70" i="46"/>
  <c r="J69" i="46"/>
  <c r="I69" i="46"/>
  <c r="J68" i="46"/>
  <c r="I68" i="46"/>
  <c r="J67" i="46"/>
  <c r="I67" i="46"/>
  <c r="J66" i="46"/>
  <c r="I66" i="46"/>
  <c r="J65" i="46"/>
  <c r="I65" i="46"/>
  <c r="J64" i="46"/>
  <c r="I64" i="46"/>
  <c r="J63" i="46"/>
  <c r="I63" i="46"/>
  <c r="J62" i="46"/>
  <c r="I62" i="46"/>
  <c r="J61" i="46"/>
  <c r="I61" i="46"/>
  <c r="J60" i="46"/>
  <c r="I60" i="46"/>
  <c r="J59" i="46"/>
  <c r="I59" i="46"/>
  <c r="J58" i="46"/>
  <c r="I58" i="46"/>
  <c r="J57" i="46"/>
  <c r="I57" i="46"/>
  <c r="J56" i="46"/>
  <c r="I56" i="46"/>
  <c r="J55" i="46"/>
  <c r="I55" i="46"/>
  <c r="J54" i="46"/>
  <c r="I54" i="46"/>
  <c r="J53" i="46"/>
  <c r="I53" i="46"/>
  <c r="J52" i="46"/>
  <c r="I52" i="46"/>
  <c r="J51" i="46"/>
  <c r="I51" i="46"/>
  <c r="J50" i="46"/>
  <c r="I50" i="46"/>
  <c r="J49" i="46"/>
  <c r="I49" i="46"/>
  <c r="J48" i="46"/>
  <c r="I48" i="46"/>
  <c r="J47" i="46"/>
  <c r="I47" i="46"/>
  <c r="J46" i="46"/>
  <c r="I46" i="46"/>
  <c r="J45" i="46"/>
  <c r="I45" i="46"/>
  <c r="J44" i="46"/>
  <c r="I44" i="46"/>
  <c r="J43" i="46"/>
  <c r="I43" i="46"/>
  <c r="J42" i="46"/>
  <c r="I42" i="46"/>
  <c r="J41" i="46"/>
  <c r="I41" i="46"/>
  <c r="J40" i="46"/>
  <c r="I40" i="46"/>
  <c r="J39" i="46"/>
  <c r="I39" i="46"/>
  <c r="J38" i="46"/>
  <c r="I38" i="46"/>
  <c r="J37" i="46"/>
  <c r="I37" i="46"/>
  <c r="J36" i="46"/>
  <c r="I36" i="46"/>
  <c r="J35" i="46"/>
  <c r="I35" i="46"/>
  <c r="J34" i="46"/>
  <c r="I34" i="46"/>
  <c r="J33" i="46"/>
  <c r="I33" i="46"/>
  <c r="J32" i="46"/>
  <c r="I32" i="46"/>
  <c r="J31" i="46"/>
  <c r="I31" i="46"/>
  <c r="J30" i="46"/>
  <c r="I30" i="46"/>
  <c r="J29" i="46"/>
  <c r="I29" i="46"/>
  <c r="J28" i="46"/>
  <c r="I28" i="46"/>
  <c r="J27" i="46"/>
  <c r="I27" i="46"/>
  <c r="J26" i="46"/>
  <c r="I26" i="46"/>
  <c r="J25" i="46"/>
  <c r="I25" i="46"/>
  <c r="J24" i="46"/>
  <c r="I24" i="46"/>
  <c r="J23" i="46"/>
  <c r="I23" i="46"/>
  <c r="J22" i="46"/>
  <c r="I22" i="46"/>
  <c r="J21" i="46"/>
  <c r="I21" i="46"/>
  <c r="J20" i="46"/>
  <c r="I20" i="46"/>
  <c r="J19" i="46"/>
  <c r="I19" i="46"/>
  <c r="J18" i="46"/>
  <c r="I18" i="46"/>
  <c r="J17" i="46"/>
  <c r="I17" i="46"/>
  <c r="J16" i="46"/>
  <c r="I16" i="46"/>
  <c r="J15" i="46"/>
  <c r="I15" i="46"/>
  <c r="J14" i="46"/>
  <c r="I14" i="46"/>
  <c r="J13" i="46"/>
  <c r="I13" i="46"/>
  <c r="J12" i="46"/>
  <c r="I12" i="46"/>
  <c r="J11" i="46"/>
  <c r="I11" i="46"/>
  <c r="J10" i="46"/>
  <c r="I10" i="46"/>
  <c r="J9" i="46"/>
  <c r="I9" i="46"/>
  <c r="J8" i="46"/>
  <c r="I8" i="46"/>
  <c r="J7" i="46"/>
  <c r="I7" i="46"/>
  <c r="J6" i="46"/>
  <c r="I6" i="46"/>
  <c r="J5" i="46"/>
  <c r="I5" i="46"/>
  <c r="K61" i="35"/>
  <c r="H3" i="35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45" i="36"/>
  <c r="H46" i="36"/>
  <c r="H47" i="36"/>
  <c r="H48" i="36"/>
  <c r="H49" i="36"/>
  <c r="H50" i="36"/>
  <c r="H51" i="36"/>
  <c r="H52" i="36"/>
  <c r="H53" i="36"/>
  <c r="H54" i="36"/>
  <c r="H55" i="36"/>
  <c r="H56" i="36"/>
  <c r="H57" i="36"/>
  <c r="H58" i="36"/>
  <c r="H59" i="36"/>
  <c r="H60" i="36"/>
  <c r="H61" i="36"/>
  <c r="H62" i="36"/>
  <c r="H63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H3" i="33"/>
  <c r="H4" i="33"/>
  <c r="H5" i="33"/>
  <c r="H6" i="33"/>
  <c r="H7" i="33"/>
  <c r="H8" i="33"/>
  <c r="H9" i="33"/>
  <c r="H10" i="33"/>
  <c r="H11" i="33"/>
  <c r="H12" i="33"/>
  <c r="H13" i="33"/>
  <c r="H14" i="33"/>
  <c r="H15" i="33"/>
  <c r="H16" i="33"/>
  <c r="H17" i="33"/>
  <c r="H18" i="33"/>
  <c r="H19" i="33"/>
  <c r="H20" i="33"/>
  <c r="H21" i="33"/>
  <c r="H22" i="33"/>
  <c r="H23" i="33"/>
  <c r="H24" i="33"/>
  <c r="H25" i="33"/>
  <c r="H26" i="33"/>
  <c r="H27" i="33"/>
  <c r="H28" i="33"/>
  <c r="H29" i="33"/>
  <c r="H30" i="33"/>
  <c r="H31" i="33"/>
  <c r="H32" i="33"/>
  <c r="H33" i="33"/>
  <c r="H34" i="33"/>
  <c r="H35" i="33"/>
  <c r="H36" i="33"/>
  <c r="H37" i="33"/>
  <c r="H38" i="33"/>
  <c r="H39" i="33"/>
  <c r="H40" i="33"/>
  <c r="H41" i="33"/>
  <c r="H42" i="33"/>
  <c r="H43" i="33"/>
  <c r="H44" i="33"/>
  <c r="H45" i="33"/>
  <c r="H46" i="33"/>
  <c r="H47" i="33"/>
  <c r="H48" i="33"/>
  <c r="H49" i="33"/>
  <c r="H50" i="33"/>
  <c r="H51" i="33"/>
  <c r="H52" i="33"/>
  <c r="H53" i="33"/>
  <c r="H54" i="33"/>
  <c r="H55" i="33"/>
  <c r="H56" i="33"/>
  <c r="H57" i="33"/>
  <c r="H58" i="33"/>
  <c r="H59" i="33"/>
  <c r="H60" i="33"/>
  <c r="H61" i="33"/>
  <c r="H62" i="33"/>
  <c r="H63" i="33"/>
  <c r="H64" i="33"/>
  <c r="H65" i="33"/>
  <c r="H66" i="33"/>
  <c r="H67" i="33"/>
  <c r="H68" i="33"/>
  <c r="H69" i="33"/>
  <c r="H70" i="33"/>
  <c r="H71" i="33"/>
  <c r="H72" i="33"/>
  <c r="H73" i="33"/>
  <c r="H74" i="33"/>
  <c r="H75" i="33"/>
  <c r="H76" i="33"/>
  <c r="H77" i="33"/>
  <c r="H78" i="33"/>
  <c r="H79" i="33"/>
  <c r="H80" i="33"/>
  <c r="H81" i="33"/>
  <c r="H82" i="33"/>
  <c r="H3" i="32"/>
  <c r="H4" i="32"/>
  <c r="H5" i="32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64" i="32"/>
  <c r="H65" i="32"/>
  <c r="H66" i="32"/>
  <c r="H67" i="32"/>
  <c r="H68" i="32"/>
  <c r="H69" i="32"/>
  <c r="H70" i="32"/>
  <c r="H71" i="32"/>
  <c r="H72" i="32"/>
  <c r="H73" i="32"/>
  <c r="H74" i="32"/>
  <c r="H75" i="32"/>
  <c r="H76" i="32"/>
  <c r="H77" i="32"/>
  <c r="H78" i="32"/>
  <c r="H79" i="32"/>
  <c r="H80" i="32"/>
  <c r="H81" i="32"/>
  <c r="H82" i="32"/>
  <c r="H3" i="31"/>
  <c r="H4" i="31"/>
  <c r="H5" i="31"/>
  <c r="H6" i="31"/>
  <c r="H7" i="3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H33" i="31"/>
  <c r="H34" i="31"/>
  <c r="H35" i="31"/>
  <c r="H36" i="31"/>
  <c r="H37" i="31"/>
  <c r="H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AB2" i="35"/>
  <c r="AB1" i="35"/>
  <c r="AB2" i="36"/>
  <c r="AB1" i="36"/>
  <c r="AB2" i="33"/>
  <c r="AB1" i="33"/>
  <c r="AB2" i="32"/>
  <c r="AB1" i="32"/>
  <c r="AB2" i="31"/>
  <c r="AB1" i="31"/>
  <c r="AB2" i="30"/>
  <c r="AB1" i="30"/>
  <c r="AB2" i="37"/>
  <c r="AB1" i="37"/>
  <c r="AB2" i="28"/>
  <c r="AB1" i="28"/>
  <c r="AB2" i="27"/>
  <c r="AB1" i="27"/>
  <c r="AB2" i="26"/>
  <c r="AB1" i="26"/>
  <c r="AB2" i="25"/>
  <c r="AB1" i="25"/>
  <c r="AB2" i="3"/>
  <c r="AB1" i="3"/>
  <c r="H3" i="30"/>
  <c r="H4" i="30"/>
  <c r="H5" i="30"/>
  <c r="H6" i="30"/>
  <c r="H7" i="30"/>
  <c r="H8" i="30"/>
  <c r="H9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H3" i="37"/>
  <c r="H4" i="37"/>
  <c r="H5" i="37"/>
  <c r="H6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H68" i="37"/>
  <c r="H69" i="37"/>
  <c r="H70" i="37"/>
  <c r="H71" i="37"/>
  <c r="H72" i="37"/>
  <c r="H73" i="37"/>
  <c r="H74" i="37"/>
  <c r="H75" i="37"/>
  <c r="H76" i="37"/>
  <c r="H77" i="37"/>
  <c r="H78" i="37"/>
  <c r="H79" i="37"/>
  <c r="H80" i="37"/>
  <c r="H81" i="37"/>
  <c r="H82" i="37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H71" i="28"/>
  <c r="H72" i="28"/>
  <c r="H73" i="28"/>
  <c r="H74" i="28"/>
  <c r="H75" i="28"/>
  <c r="H76" i="28"/>
  <c r="H77" i="28"/>
  <c r="H78" i="28"/>
  <c r="H79" i="28"/>
  <c r="H80" i="28"/>
  <c r="H81" i="28"/>
  <c r="H82" i="28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Q14" i="37"/>
  <c r="S38" i="37"/>
  <c r="Q38" i="37"/>
  <c r="Q36" i="37"/>
  <c r="Q35" i="37"/>
  <c r="Q29" i="37"/>
  <c r="Q9" i="37"/>
  <c r="Q10" i="37"/>
  <c r="P5" i="37"/>
  <c r="S33" i="37"/>
  <c r="Q33" i="37"/>
  <c r="O5" i="37" a="1"/>
  <c r="O5" i="37" s="1"/>
  <c r="N13" i="15" s="1"/>
  <c r="Q10" i="33"/>
  <c r="Q10" i="30"/>
  <c r="Q10" i="3"/>
  <c r="Q10" i="35"/>
  <c r="Q9" i="35"/>
  <c r="Q9" i="33"/>
  <c r="Q10" i="32"/>
  <c r="Q9" i="32"/>
  <c r="S38" i="27"/>
  <c r="Q38" i="27"/>
  <c r="Q35" i="27"/>
  <c r="Q9" i="27"/>
  <c r="Q9" i="3"/>
  <c r="G41" i="36"/>
  <c r="G8" i="32"/>
  <c r="G4" i="25"/>
  <c r="G37" i="32"/>
  <c r="G31" i="25"/>
  <c r="G29" i="26"/>
  <c r="G22" i="35"/>
  <c r="G41" i="3"/>
  <c r="G24" i="32"/>
  <c r="G26" i="3"/>
  <c r="G11" i="35"/>
  <c r="G55" i="33"/>
  <c r="G22" i="26"/>
  <c r="G60" i="25"/>
  <c r="G11" i="25"/>
  <c r="G8" i="33"/>
  <c r="G45" i="35"/>
  <c r="G6" i="32"/>
  <c r="G16" i="26"/>
  <c r="G53" i="32"/>
  <c r="G40" i="3"/>
  <c r="G18" i="35"/>
  <c r="G20" i="25"/>
  <c r="G39" i="35"/>
  <c r="G4" i="33"/>
  <c r="G45" i="33"/>
  <c r="G61" i="26"/>
  <c r="G41" i="33"/>
  <c r="G49" i="27"/>
  <c r="G22" i="31"/>
  <c r="G40" i="36"/>
  <c r="G6" i="25"/>
  <c r="G58" i="25"/>
  <c r="G13" i="3"/>
  <c r="G26" i="25"/>
  <c r="G56" i="35"/>
  <c r="G35" i="25"/>
  <c r="G14" i="33"/>
  <c r="G10" i="36"/>
  <c r="G57" i="27"/>
  <c r="G7" i="31"/>
  <c r="G24" i="26"/>
  <c r="G25" i="32"/>
  <c r="G20" i="33"/>
  <c r="G10" i="26"/>
  <c r="G11" i="32"/>
  <c r="G12" i="36"/>
  <c r="G17" i="26"/>
  <c r="G12" i="25"/>
  <c r="G17" i="27"/>
  <c r="G44" i="31"/>
  <c r="G23" i="27"/>
  <c r="G53" i="35"/>
  <c r="G54" i="31"/>
  <c r="G19" i="36"/>
  <c r="G15" i="33"/>
  <c r="G5" i="3"/>
  <c r="G47" i="26"/>
  <c r="G44" i="33"/>
  <c r="G41" i="32"/>
  <c r="G41" i="27"/>
  <c r="G53" i="25"/>
  <c r="G23" i="32"/>
  <c r="G46" i="25"/>
  <c r="G24" i="25"/>
  <c r="G30" i="27"/>
  <c r="G26" i="32"/>
  <c r="G21" i="26"/>
  <c r="G51" i="33"/>
  <c r="G5" i="27"/>
  <c r="G24" i="33"/>
  <c r="G36" i="27"/>
  <c r="G34" i="33"/>
  <c r="G41" i="31"/>
  <c r="G36" i="25"/>
  <c r="G25" i="31"/>
  <c r="G7" i="26"/>
  <c r="G16" i="27"/>
  <c r="G3" i="33"/>
  <c r="G16" i="36"/>
  <c r="G45" i="3"/>
  <c r="G49" i="25"/>
  <c r="G42" i="33"/>
  <c r="G6" i="26"/>
  <c r="G10" i="33"/>
  <c r="G58" i="36"/>
  <c r="G47" i="3"/>
  <c r="G21" i="25"/>
  <c r="G30" i="33"/>
  <c r="G47" i="33"/>
  <c r="G17" i="36"/>
  <c r="G28" i="3"/>
  <c r="G27" i="35"/>
  <c r="G25" i="35"/>
  <c r="G50" i="27"/>
  <c r="G47" i="36"/>
  <c r="G61" i="32"/>
  <c r="G26" i="36"/>
  <c r="G49" i="36"/>
  <c r="G56" i="32"/>
  <c r="G38" i="3"/>
  <c r="G35" i="32"/>
  <c r="G14" i="3"/>
  <c r="G10" i="32"/>
  <c r="G38" i="35"/>
  <c r="G55" i="35"/>
  <c r="G11" i="31"/>
  <c r="G6" i="36"/>
  <c r="G57" i="35"/>
  <c r="G11" i="3"/>
  <c r="G60" i="31"/>
  <c r="G20" i="32"/>
  <c r="G4" i="3"/>
  <c r="G47" i="35"/>
  <c r="G47" i="31"/>
  <c r="G43" i="26"/>
  <c r="G54" i="35"/>
  <c r="G32" i="27"/>
  <c r="G14" i="32"/>
  <c r="G56" i="27"/>
  <c r="G21" i="36"/>
  <c r="G12" i="31"/>
  <c r="G40" i="35"/>
  <c r="G42" i="26"/>
  <c r="G21" i="32"/>
  <c r="G5" i="36"/>
  <c r="G3" i="32"/>
  <c r="G21" i="3"/>
  <c r="G9" i="31"/>
  <c r="G9" i="3"/>
  <c r="G17" i="31"/>
  <c r="G52" i="3"/>
  <c r="G31" i="35"/>
  <c r="G31" i="27"/>
  <c r="G4" i="36"/>
  <c r="G43" i="32"/>
  <c r="G57" i="25"/>
  <c r="G8" i="36"/>
  <c r="G25" i="3"/>
  <c r="G11" i="33"/>
  <c r="G51" i="3"/>
  <c r="G36" i="33"/>
  <c r="G38" i="33"/>
  <c r="G55" i="26"/>
  <c r="G28" i="33"/>
  <c r="G27" i="26"/>
  <c r="G16" i="25"/>
  <c r="G52" i="25"/>
  <c r="G24" i="3"/>
  <c r="G57" i="33"/>
  <c r="G34" i="27"/>
  <c r="G4" i="31"/>
  <c r="G24" i="27"/>
  <c r="G33" i="27"/>
  <c r="G7" i="36"/>
  <c r="G51" i="27"/>
  <c r="G6" i="35"/>
  <c r="G47" i="27"/>
  <c r="G23" i="33"/>
  <c r="G27" i="27"/>
  <c r="G19" i="33"/>
  <c r="G25" i="33"/>
  <c r="G19" i="27"/>
  <c r="G25" i="27"/>
  <c r="G30" i="36"/>
  <c r="G50" i="32"/>
  <c r="G26" i="26"/>
  <c r="G39" i="3"/>
  <c r="G59" i="32"/>
  <c r="G23" i="31"/>
  <c r="G29" i="32"/>
  <c r="G17" i="3"/>
  <c r="G39" i="33"/>
  <c r="G13" i="27"/>
  <c r="G21" i="27"/>
  <c r="G30" i="26"/>
  <c r="G22" i="33"/>
  <c r="G18" i="25"/>
  <c r="G42" i="25"/>
  <c r="G34" i="36"/>
  <c r="G55" i="31"/>
  <c r="G9" i="36"/>
  <c r="G35" i="35"/>
  <c r="G13" i="26"/>
  <c r="G7" i="25"/>
  <c r="G18" i="36"/>
  <c r="G49" i="32"/>
  <c r="G3" i="36"/>
  <c r="G40" i="27"/>
  <c r="G44" i="3"/>
  <c r="G50" i="31"/>
  <c r="G22" i="27"/>
  <c r="G30" i="32"/>
  <c r="G19" i="25"/>
  <c r="G16" i="3"/>
  <c r="G16" i="32"/>
  <c r="G28" i="32"/>
  <c r="G53" i="27"/>
  <c r="G9" i="32"/>
  <c r="G29" i="25"/>
  <c r="G4" i="35"/>
  <c r="G56" i="31"/>
  <c r="G48" i="36"/>
  <c r="G59" i="27"/>
  <c r="G14" i="31"/>
  <c r="G20" i="35"/>
  <c r="G46" i="27"/>
  <c r="G45" i="26"/>
  <c r="G29" i="31"/>
  <c r="G27" i="25"/>
  <c r="G16" i="31"/>
  <c r="G31" i="32"/>
  <c r="G51" i="31"/>
  <c r="G49" i="35"/>
  <c r="G51" i="25"/>
  <c r="G37" i="36"/>
  <c r="G39" i="32"/>
  <c r="G44" i="26"/>
  <c r="G9" i="26"/>
  <c r="G50" i="3"/>
  <c r="G3" i="25"/>
  <c r="G12" i="33"/>
  <c r="G3" i="3"/>
  <c r="G40" i="26"/>
  <c r="G44" i="32"/>
  <c r="G22" i="25"/>
  <c r="G50" i="25"/>
  <c r="G41" i="25"/>
  <c r="G23" i="36"/>
  <c r="G58" i="35"/>
  <c r="G44" i="35"/>
  <c r="G26" i="33"/>
  <c r="G11" i="36"/>
  <c r="G38" i="27"/>
  <c r="G37" i="33"/>
  <c r="G24" i="31"/>
  <c r="G9" i="25"/>
  <c r="G29" i="36"/>
  <c r="G34" i="25"/>
  <c r="G32" i="35"/>
  <c r="G19" i="31"/>
  <c r="G24" i="36"/>
  <c r="G38" i="32"/>
  <c r="G53" i="31"/>
  <c r="G10" i="31"/>
  <c r="G44" i="36"/>
  <c r="G33" i="35"/>
  <c r="G55" i="32"/>
  <c r="G38" i="26"/>
  <c r="G28" i="25"/>
  <c r="G8" i="31"/>
  <c r="G27" i="31"/>
  <c r="G20" i="3"/>
  <c r="G23" i="25"/>
  <c r="G32" i="31"/>
  <c r="G55" i="36"/>
  <c r="G14" i="25"/>
  <c r="G5" i="26"/>
  <c r="G61" i="25"/>
  <c r="G7" i="3"/>
  <c r="G32" i="32"/>
  <c r="G49" i="33"/>
  <c r="G59" i="26"/>
  <c r="G15" i="35"/>
  <c r="G36" i="35"/>
  <c r="G50" i="36"/>
  <c r="G5" i="25"/>
  <c r="G15" i="26"/>
  <c r="G56" i="26"/>
  <c r="G48" i="3"/>
  <c r="G14" i="27"/>
  <c r="G3" i="35"/>
  <c r="G62" i="27"/>
  <c r="G31" i="26"/>
  <c r="G43" i="35"/>
  <c r="G33" i="31"/>
  <c r="G29" i="27"/>
  <c r="G49" i="31"/>
  <c r="G63" i="31"/>
  <c r="G53" i="26"/>
  <c r="G46" i="36"/>
  <c r="G42" i="36"/>
  <c r="G9" i="35"/>
  <c r="G51" i="26"/>
  <c r="G54" i="26"/>
  <c r="G15" i="31"/>
  <c r="G33" i="25"/>
  <c r="G23" i="3"/>
  <c r="G8" i="27"/>
  <c r="G6" i="3"/>
  <c r="G9" i="27"/>
  <c r="G5" i="35"/>
  <c r="G20" i="26"/>
  <c r="G52" i="27"/>
  <c r="G28" i="26"/>
  <c r="G56" i="25"/>
  <c r="G25" i="25"/>
  <c r="G32" i="26"/>
  <c r="G15" i="32"/>
  <c r="G56" i="33"/>
  <c r="G19" i="3"/>
  <c r="G48" i="35"/>
  <c r="G43" i="36"/>
  <c r="G28" i="31"/>
  <c r="G35" i="36"/>
  <c r="G34" i="26"/>
  <c r="G45" i="27"/>
  <c r="G29" i="33"/>
  <c r="G52" i="36"/>
  <c r="G20" i="36"/>
  <c r="G40" i="31"/>
  <c r="G58" i="31"/>
  <c r="G5" i="33"/>
  <c r="G39" i="25"/>
  <c r="G17" i="33"/>
  <c r="G43" i="3"/>
  <c r="G35" i="27"/>
  <c r="G21" i="31"/>
  <c r="G27" i="3"/>
  <c r="G17" i="32"/>
  <c r="G8" i="26"/>
  <c r="G10" i="27"/>
  <c r="G33" i="33"/>
  <c r="G35" i="26"/>
  <c r="G12" i="32"/>
  <c r="G26" i="31"/>
  <c r="G56" i="36"/>
  <c r="G12" i="35"/>
  <c r="G30" i="25"/>
  <c r="G50" i="35"/>
  <c r="G34" i="35"/>
  <c r="G38" i="25"/>
  <c r="G4" i="27"/>
  <c r="G27" i="32"/>
  <c r="G3" i="31"/>
  <c r="G57" i="32"/>
  <c r="G25" i="36"/>
  <c r="G48" i="27"/>
  <c r="G11" i="27"/>
  <c r="G13" i="36"/>
  <c r="G37" i="26"/>
  <c r="G42" i="35"/>
  <c r="G30" i="3"/>
  <c r="G52" i="32"/>
  <c r="G14" i="35"/>
  <c r="G11" i="26"/>
  <c r="G20" i="27"/>
  <c r="G28" i="27"/>
  <c r="G58" i="27"/>
  <c r="G60" i="33"/>
  <c r="G8" i="35"/>
  <c r="G7" i="32"/>
  <c r="G3" i="26"/>
  <c r="G24" i="35"/>
  <c r="G18" i="27"/>
  <c r="G37" i="31"/>
  <c r="G45" i="32"/>
  <c r="G10" i="25"/>
  <c r="G53" i="3"/>
  <c r="G26" i="35"/>
  <c r="G33" i="32"/>
  <c r="G39" i="26"/>
  <c r="G43" i="31"/>
  <c r="G15" i="27"/>
  <c r="G39" i="36"/>
  <c r="G25" i="26"/>
  <c r="G22" i="36"/>
  <c r="G7" i="35"/>
  <c r="G14" i="26"/>
  <c r="G36" i="31"/>
  <c r="G42" i="3"/>
  <c r="G48" i="32"/>
  <c r="G33" i="26"/>
  <c r="G18" i="33"/>
  <c r="G29" i="35"/>
  <c r="G19" i="26"/>
  <c r="G30" i="35"/>
  <c r="G48" i="33"/>
  <c r="G13" i="25"/>
  <c r="G33" i="3"/>
  <c r="G36" i="32"/>
  <c r="G58" i="33"/>
  <c r="G53" i="36"/>
  <c r="G17" i="35"/>
  <c r="G60" i="27"/>
  <c r="G15" i="25"/>
  <c r="G34" i="31"/>
  <c r="G55" i="27"/>
  <c r="G19" i="35"/>
  <c r="G34" i="32"/>
  <c r="G22" i="32"/>
  <c r="G32" i="3"/>
  <c r="G46" i="33"/>
  <c r="G12" i="26"/>
  <c r="G46" i="26"/>
  <c r="G39" i="31"/>
  <c r="G3" i="27"/>
  <c r="G5" i="31"/>
  <c r="G46" i="31"/>
  <c r="G48" i="26"/>
  <c r="G55" i="25"/>
  <c r="G16" i="35"/>
  <c r="G21" i="35"/>
  <c r="G46" i="32"/>
  <c r="G51" i="32"/>
  <c r="G26" i="27"/>
  <c r="G34" i="3"/>
  <c r="G36" i="26"/>
  <c r="G42" i="32"/>
  <c r="G7" i="27"/>
  <c r="G62" i="31"/>
  <c r="G45" i="31"/>
  <c r="G23" i="26"/>
  <c r="G54" i="32"/>
  <c r="G31" i="3"/>
  <c r="G14" i="36"/>
  <c r="G31" i="36"/>
  <c r="G51" i="36"/>
  <c r="G29" i="3"/>
  <c r="G44" i="25"/>
  <c r="G48" i="31"/>
  <c r="G13" i="33"/>
  <c r="G19" i="32"/>
  <c r="G57" i="26"/>
  <c r="G35" i="31"/>
  <c r="G30" i="31"/>
  <c r="G58" i="26"/>
  <c r="G18" i="26"/>
  <c r="G41" i="26"/>
  <c r="G61" i="27"/>
  <c r="G13" i="31"/>
  <c r="G9" i="33"/>
  <c r="G35" i="3"/>
  <c r="G60" i="32"/>
  <c r="G51" i="35"/>
  <c r="G13" i="35"/>
  <c r="G5" i="32"/>
  <c r="G50" i="33"/>
  <c r="G31" i="33"/>
  <c r="G4" i="32"/>
  <c r="G18" i="31"/>
  <c r="G22" i="3"/>
  <c r="G15" i="36"/>
  <c r="G52" i="31"/>
  <c r="G62" i="26"/>
  <c r="G46" i="35"/>
  <c r="G16" i="33"/>
  <c r="G46" i="3"/>
  <c r="G44" i="27"/>
  <c r="G10" i="35"/>
  <c r="G21" i="33"/>
  <c r="G36" i="3"/>
  <c r="G54" i="3"/>
  <c r="G8" i="25"/>
  <c r="G54" i="27"/>
  <c r="G57" i="36"/>
  <c r="G32" i="33"/>
  <c r="G27" i="36"/>
  <c r="G49" i="26"/>
  <c r="G37" i="27"/>
  <c r="G45" i="25"/>
  <c r="G53" i="33"/>
  <c r="G52" i="33"/>
  <c r="G54" i="25"/>
  <c r="G39" i="27"/>
  <c r="G45" i="36"/>
  <c r="G50" i="26"/>
  <c r="G6" i="27"/>
  <c r="G13" i="32"/>
  <c r="G52" i="35"/>
  <c r="G37" i="3"/>
  <c r="G28" i="35"/>
  <c r="G4" i="26"/>
  <c r="G58" i="32"/>
  <c r="G6" i="33"/>
  <c r="G41" i="35"/>
  <c r="G18" i="3"/>
  <c r="G33" i="36"/>
  <c r="G59" i="36"/>
  <c r="G59" i="31"/>
  <c r="G54" i="33"/>
  <c r="G31" i="31"/>
  <c r="G28" i="36"/>
  <c r="G35" i="33"/>
  <c r="G23" i="35"/>
  <c r="G40" i="32"/>
  <c r="G8" i="3"/>
  <c r="G12" i="3"/>
  <c r="G40" i="33"/>
  <c r="G32" i="25"/>
  <c r="G49" i="3"/>
  <c r="G37" i="35"/>
  <c r="G60" i="26"/>
  <c r="G10" i="3"/>
  <c r="G59" i="33"/>
  <c r="G20" i="31"/>
  <c r="G59" i="25"/>
  <c r="G32" i="36"/>
  <c r="G15" i="3"/>
  <c r="G47" i="25"/>
  <c r="G27" i="33"/>
  <c r="G48" i="25"/>
  <c r="G42" i="31"/>
  <c r="G52" i="26"/>
  <c r="G54" i="36"/>
  <c r="G12" i="27"/>
  <c r="G37" i="25"/>
  <c r="G43" i="25"/>
  <c r="G38" i="31"/>
  <c r="G57" i="31"/>
  <c r="G36" i="36"/>
  <c r="G18" i="32"/>
  <c r="G61" i="31"/>
  <c r="G43" i="27"/>
  <c r="G17" i="25"/>
  <c r="G42" i="27"/>
  <c r="G40" i="25"/>
  <c r="G43" i="33"/>
  <c r="G47" i="32"/>
  <c r="G38" i="36"/>
  <c r="G6" i="31"/>
  <c r="G7" i="33"/>
  <c r="G64" i="37"/>
  <c r="G63" i="37"/>
  <c r="G62" i="37"/>
  <c r="G61" i="37"/>
  <c r="G60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3" i="37"/>
  <c r="G42" i="37"/>
  <c r="G41" i="37"/>
  <c r="G40" i="37"/>
  <c r="G39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22" i="37"/>
  <c r="G21" i="37"/>
  <c r="G20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G3" i="37"/>
  <c r="G3" i="28"/>
  <c r="G64" i="28"/>
  <c r="G63" i="28"/>
  <c r="G62" i="28"/>
  <c r="G61" i="28"/>
  <c r="G60" i="28"/>
  <c r="G59" i="28"/>
  <c r="G58" i="28"/>
  <c r="G57" i="28"/>
  <c r="G56" i="28"/>
  <c r="G55" i="28"/>
  <c r="G54" i="28"/>
  <c r="G53" i="28"/>
  <c r="G52" i="28"/>
  <c r="G51" i="28"/>
  <c r="G50" i="28"/>
  <c r="G49" i="28"/>
  <c r="G48" i="28"/>
  <c r="G47" i="28"/>
  <c r="G46" i="28"/>
  <c r="G45" i="28"/>
  <c r="G44" i="28"/>
  <c r="G43" i="28"/>
  <c r="G42" i="28"/>
  <c r="G41" i="28"/>
  <c r="G40" i="28"/>
  <c r="G39" i="28"/>
  <c r="G38" i="28"/>
  <c r="G37" i="28"/>
  <c r="G36" i="28"/>
  <c r="G35" i="28"/>
  <c r="G34" i="28"/>
  <c r="G33" i="28"/>
  <c r="G32" i="28"/>
  <c r="G31" i="28"/>
  <c r="G30" i="28"/>
  <c r="G29" i="28"/>
  <c r="G28" i="28"/>
  <c r="G27" i="28"/>
  <c r="G26" i="28"/>
  <c r="G25" i="28"/>
  <c r="G24" i="28"/>
  <c r="G23" i="28"/>
  <c r="G22" i="28"/>
  <c r="G21" i="28"/>
  <c r="G20" i="28"/>
  <c r="G19" i="28"/>
  <c r="G18" i="28"/>
  <c r="G17" i="28"/>
  <c r="G16" i="28"/>
  <c r="G15" i="28"/>
  <c r="G14" i="28"/>
  <c r="G13" i="28"/>
  <c r="G12" i="28"/>
  <c r="G11" i="28"/>
  <c r="G10" i="28"/>
  <c r="G9" i="28"/>
  <c r="G8" i="28"/>
  <c r="G7" i="28"/>
  <c r="G6" i="28"/>
  <c r="G5" i="28"/>
  <c r="G4" i="28"/>
  <c r="G64" i="30"/>
  <c r="G63" i="30"/>
  <c r="G62" i="30"/>
  <c r="G61" i="30"/>
  <c r="G60" i="30"/>
  <c r="G59" i="30"/>
  <c r="G58" i="30"/>
  <c r="G57" i="30"/>
  <c r="G56" i="30"/>
  <c r="G55" i="30"/>
  <c r="G54" i="30"/>
  <c r="G53" i="30"/>
  <c r="G52" i="30"/>
  <c r="G51" i="30"/>
  <c r="G50" i="30"/>
  <c r="G49" i="30"/>
  <c r="G48" i="30"/>
  <c r="G47" i="30"/>
  <c r="G46" i="30"/>
  <c r="G45" i="30"/>
  <c r="G44" i="30"/>
  <c r="G43" i="30"/>
  <c r="G42" i="30"/>
  <c r="G41" i="30"/>
  <c r="G40" i="30"/>
  <c r="G39" i="30"/>
  <c r="G38" i="30"/>
  <c r="G37" i="30"/>
  <c r="G36" i="30"/>
  <c r="G35" i="30"/>
  <c r="G34" i="30"/>
  <c r="G33" i="30"/>
  <c r="G32" i="30"/>
  <c r="G31" i="30"/>
  <c r="G30" i="30"/>
  <c r="G29" i="30"/>
  <c r="G28" i="30"/>
  <c r="G27" i="30"/>
  <c r="G26" i="30"/>
  <c r="G25" i="30"/>
  <c r="G24" i="30"/>
  <c r="G23" i="30"/>
  <c r="G22" i="30"/>
  <c r="G21" i="30"/>
  <c r="G20" i="30"/>
  <c r="G19" i="30"/>
  <c r="G18" i="30"/>
  <c r="G17" i="30"/>
  <c r="G16" i="30"/>
  <c r="G15" i="30"/>
  <c r="G14" i="30"/>
  <c r="G13" i="30"/>
  <c r="G12" i="30"/>
  <c r="G11" i="30"/>
  <c r="G10" i="30"/>
  <c r="G9" i="30"/>
  <c r="G8" i="30"/>
  <c r="G7" i="30"/>
  <c r="G6" i="30"/>
  <c r="G5" i="30"/>
  <c r="G4" i="30"/>
  <c r="G3" i="30"/>
  <c r="Q37" i="37" l="1"/>
  <c r="L65" i="35"/>
  <c r="L65" i="25"/>
  <c r="L63" i="25"/>
  <c r="L75" i="27"/>
  <c r="L78" i="25"/>
  <c r="L70" i="25"/>
  <c r="L62" i="25"/>
  <c r="L80" i="37"/>
  <c r="L72" i="31"/>
  <c r="L65" i="33"/>
  <c r="L67" i="37"/>
  <c r="L81" i="36"/>
  <c r="L67" i="25"/>
  <c r="L81" i="32"/>
  <c r="L73" i="32"/>
  <c r="L65" i="32"/>
  <c r="L64" i="35"/>
  <c r="L75" i="25"/>
  <c r="K76" i="26"/>
  <c r="L76" i="26" s="1"/>
  <c r="K68" i="26"/>
  <c r="L68" i="26" s="1"/>
  <c r="K80" i="27"/>
  <c r="L80" i="27" s="1"/>
  <c r="K72" i="27"/>
  <c r="L72" i="27" s="1"/>
  <c r="K64" i="27"/>
  <c r="L64" i="27" s="1"/>
  <c r="K76" i="28"/>
  <c r="L76" i="28" s="1"/>
  <c r="K68" i="28"/>
  <c r="L68" i="28" s="1"/>
  <c r="K78" i="37"/>
  <c r="L78" i="37" s="1"/>
  <c r="L70" i="37"/>
  <c r="K80" i="30"/>
  <c r="L80" i="30" s="1"/>
  <c r="K72" i="30"/>
  <c r="L72" i="30" s="1"/>
  <c r="K82" i="31"/>
  <c r="L82" i="31" s="1"/>
  <c r="K74" i="31"/>
  <c r="L74" i="31" s="1"/>
  <c r="K66" i="31"/>
  <c r="L66" i="31" s="1"/>
  <c r="K77" i="32"/>
  <c r="L77" i="32" s="1"/>
  <c r="K69" i="32"/>
  <c r="L69" i="32" s="1"/>
  <c r="K82" i="33"/>
  <c r="L82" i="33" s="1"/>
  <c r="K74" i="33"/>
  <c r="L74" i="33" s="1"/>
  <c r="K66" i="33"/>
  <c r="L66" i="33" s="1"/>
  <c r="K80" i="36"/>
  <c r="L80" i="36" s="1"/>
  <c r="K64" i="36"/>
  <c r="L64" i="36" s="1"/>
  <c r="K71" i="35"/>
  <c r="L71" i="35" s="1"/>
  <c r="K63" i="35"/>
  <c r="L63" i="35" s="1"/>
  <c r="L81" i="25"/>
  <c r="L82" i="26"/>
  <c r="L66" i="26"/>
  <c r="L82" i="27"/>
  <c r="L66" i="27"/>
  <c r="L75" i="28"/>
  <c r="L71" i="30"/>
  <c r="L79" i="33"/>
  <c r="K67" i="28"/>
  <c r="L67" i="28" s="1"/>
  <c r="K77" i="37"/>
  <c r="L77" i="37" s="1"/>
  <c r="K69" i="37"/>
  <c r="L69" i="37" s="1"/>
  <c r="K81" i="31"/>
  <c r="L81" i="31" s="1"/>
  <c r="K65" i="31"/>
  <c r="L65" i="31" s="1"/>
  <c r="L76" i="32"/>
  <c r="K68" i="32"/>
  <c r="L68" i="32" s="1"/>
  <c r="K79" i="36"/>
  <c r="L79" i="36" s="1"/>
  <c r="K78" i="35"/>
  <c r="L78" i="35" s="1"/>
  <c r="L70" i="35"/>
  <c r="L62" i="35"/>
  <c r="L79" i="25"/>
  <c r="L66" i="25"/>
  <c r="L81" i="26"/>
  <c r="L65" i="26"/>
  <c r="L81" i="27"/>
  <c r="L65" i="27"/>
  <c r="L73" i="28"/>
  <c r="L70" i="30"/>
  <c r="L80" i="31"/>
  <c r="L73" i="33"/>
  <c r="K77" i="25"/>
  <c r="L77" i="25" s="1"/>
  <c r="K69" i="25"/>
  <c r="L69" i="25" s="1"/>
  <c r="K78" i="27"/>
  <c r="L78" i="27" s="1"/>
  <c r="K70" i="27"/>
  <c r="L70" i="27" s="1"/>
  <c r="K82" i="28"/>
  <c r="L82" i="28" s="1"/>
  <c r="K74" i="28"/>
  <c r="L74" i="28" s="1"/>
  <c r="K66" i="28"/>
  <c r="L66" i="28" s="1"/>
  <c r="K76" i="37"/>
  <c r="L76" i="37" s="1"/>
  <c r="L68" i="37"/>
  <c r="K64" i="31"/>
  <c r="L64" i="31" s="1"/>
  <c r="K75" i="32"/>
  <c r="L75" i="32" s="1"/>
  <c r="L67" i="32"/>
  <c r="K80" i="33"/>
  <c r="L80" i="33" s="1"/>
  <c r="K72" i="33"/>
  <c r="L72" i="33" s="1"/>
  <c r="L64" i="33"/>
  <c r="L79" i="26"/>
  <c r="L63" i="26"/>
  <c r="L79" i="27"/>
  <c r="L71" i="28"/>
  <c r="K76" i="25"/>
  <c r="L76" i="25" s="1"/>
  <c r="K68" i="25"/>
  <c r="L68" i="25" s="1"/>
  <c r="K77" i="27"/>
  <c r="L77" i="27" s="1"/>
  <c r="K69" i="27"/>
  <c r="L69" i="27" s="1"/>
  <c r="L65" i="28"/>
  <c r="K75" i="37"/>
  <c r="L75" i="37" s="1"/>
  <c r="K77" i="30"/>
  <c r="L77" i="30" s="1"/>
  <c r="K69" i="30"/>
  <c r="L69" i="30" s="1"/>
  <c r="K79" i="31"/>
  <c r="L79" i="31" s="1"/>
  <c r="L71" i="31"/>
  <c r="K82" i="32"/>
  <c r="L82" i="32" s="1"/>
  <c r="L74" i="32"/>
  <c r="K66" i="32"/>
  <c r="L66" i="32" s="1"/>
  <c r="L71" i="33"/>
  <c r="L77" i="36"/>
  <c r="L80" i="26"/>
  <c r="K72" i="26"/>
  <c r="L72" i="26" s="1"/>
  <c r="L64" i="26"/>
  <c r="L76" i="27"/>
  <c r="L68" i="27"/>
  <c r="L72" i="28"/>
  <c r="L82" i="37"/>
  <c r="L74" i="37"/>
  <c r="L66" i="37"/>
  <c r="L76" i="30"/>
  <c r="L68" i="30"/>
  <c r="K78" i="31"/>
  <c r="L78" i="31" s="1"/>
  <c r="K70" i="31"/>
  <c r="L70" i="31" s="1"/>
  <c r="L78" i="33"/>
  <c r="L70" i="33"/>
  <c r="L62" i="33"/>
  <c r="L76" i="36"/>
  <c r="L60" i="36"/>
  <c r="L75" i="35"/>
  <c r="L67" i="35"/>
  <c r="K59" i="35"/>
  <c r="L59" i="35" s="1"/>
  <c r="L74" i="25"/>
  <c r="L74" i="26"/>
  <c r="L79" i="37"/>
  <c r="L67" i="31"/>
  <c r="L72" i="36"/>
  <c r="K63" i="33"/>
  <c r="L63" i="33" s="1"/>
  <c r="K79" i="28"/>
  <c r="L79" i="28" s="1"/>
  <c r="K81" i="37"/>
  <c r="L81" i="37" s="1"/>
  <c r="L75" i="30"/>
  <c r="K67" i="30"/>
  <c r="L67" i="30" s="1"/>
  <c r="L77" i="31"/>
  <c r="K69" i="31"/>
  <c r="L69" i="31" s="1"/>
  <c r="K80" i="32"/>
  <c r="L80" i="32" s="1"/>
  <c r="K64" i="32"/>
  <c r="L64" i="32" s="1"/>
  <c r="K77" i="33"/>
  <c r="L77" i="33" s="1"/>
  <c r="L69" i="33"/>
  <c r="K75" i="36"/>
  <c r="L75" i="36" s="1"/>
  <c r="K67" i="36"/>
  <c r="L67" i="36" s="1"/>
  <c r="K82" i="35"/>
  <c r="L82" i="35" s="1"/>
  <c r="K74" i="35"/>
  <c r="L74" i="35" s="1"/>
  <c r="K66" i="35"/>
  <c r="L66" i="35" s="1"/>
  <c r="L73" i="25"/>
  <c r="L73" i="26"/>
  <c r="L73" i="27"/>
  <c r="L73" i="37"/>
  <c r="L72" i="32"/>
  <c r="L71" i="36"/>
  <c r="K80" i="28"/>
  <c r="L80" i="28" s="1"/>
  <c r="K68" i="36"/>
  <c r="L68" i="36" s="1"/>
  <c r="K78" i="26"/>
  <c r="L78" i="26" s="1"/>
  <c r="K70" i="26"/>
  <c r="L70" i="26" s="1"/>
  <c r="K78" i="28"/>
  <c r="L78" i="28" s="1"/>
  <c r="K70" i="28"/>
  <c r="L70" i="28" s="1"/>
  <c r="K72" i="37"/>
  <c r="L72" i="37" s="1"/>
  <c r="K74" i="30"/>
  <c r="L74" i="30" s="1"/>
  <c r="K66" i="30"/>
  <c r="L66" i="30" s="1"/>
  <c r="K76" i="31"/>
  <c r="L76" i="31" s="1"/>
  <c r="L68" i="31"/>
  <c r="L79" i="32"/>
  <c r="K71" i="32"/>
  <c r="L71" i="32" s="1"/>
  <c r="K63" i="32"/>
  <c r="L63" i="32" s="1"/>
  <c r="K76" i="33"/>
  <c r="L76" i="33" s="1"/>
  <c r="L68" i="33"/>
  <c r="K82" i="36"/>
  <c r="L82" i="36" s="1"/>
  <c r="K74" i="36"/>
  <c r="L74" i="36" s="1"/>
  <c r="K66" i="36"/>
  <c r="L66" i="36" s="1"/>
  <c r="L81" i="35"/>
  <c r="L73" i="35"/>
  <c r="L71" i="25"/>
  <c r="L71" i="26"/>
  <c r="L71" i="27"/>
  <c r="L81" i="28"/>
  <c r="L81" i="30"/>
  <c r="L63" i="36"/>
  <c r="K80" i="25"/>
  <c r="L80" i="25" s="1"/>
  <c r="K72" i="25"/>
  <c r="L72" i="25" s="1"/>
  <c r="K64" i="25"/>
  <c r="L64" i="25" s="1"/>
  <c r="K77" i="26"/>
  <c r="L77" i="26" s="1"/>
  <c r="K69" i="26"/>
  <c r="L69" i="26" s="1"/>
  <c r="K69" i="28"/>
  <c r="L69" i="28" s="1"/>
  <c r="K71" i="37"/>
  <c r="L71" i="37" s="1"/>
  <c r="K73" i="30"/>
  <c r="L73" i="30" s="1"/>
  <c r="K65" i="30"/>
  <c r="L65" i="30" s="1"/>
  <c r="K75" i="31"/>
  <c r="L75" i="31" s="1"/>
  <c r="K78" i="32"/>
  <c r="L78" i="32" s="1"/>
  <c r="K70" i="32"/>
  <c r="L70" i="32" s="1"/>
  <c r="L62" i="32"/>
  <c r="K75" i="33"/>
  <c r="L75" i="33" s="1"/>
  <c r="K67" i="33"/>
  <c r="L67" i="33" s="1"/>
  <c r="K73" i="36"/>
  <c r="L73" i="36" s="1"/>
  <c r="K65" i="36"/>
  <c r="L65" i="36" s="1"/>
  <c r="L80" i="35"/>
  <c r="L72" i="35"/>
  <c r="L82" i="25"/>
  <c r="L67" i="26"/>
  <c r="L67" i="27"/>
  <c r="L77" i="28"/>
  <c r="L65" i="37"/>
  <c r="L78" i="30"/>
  <c r="L79" i="35"/>
  <c r="L78" i="36"/>
  <c r="K70" i="36"/>
  <c r="L70" i="36" s="1"/>
  <c r="L62" i="36"/>
  <c r="L77" i="35"/>
  <c r="L69" i="35"/>
  <c r="L61" i="35"/>
  <c r="L69" i="36"/>
  <c r="L61" i="36"/>
  <c r="L76" i="35"/>
  <c r="L68" i="35"/>
  <c r="L60" i="35"/>
  <c r="Q39" i="37"/>
  <c r="K61" i="33"/>
  <c r="L61" i="33" s="1"/>
  <c r="K81" i="33"/>
  <c r="L81" i="33" s="1"/>
  <c r="K82" i="30"/>
  <c r="L82" i="30" s="1"/>
  <c r="K79" i="30"/>
  <c r="L79" i="30" s="1"/>
  <c r="E11" i="2"/>
  <c r="I13" i="15" s="1"/>
  <c r="U35" i="37"/>
  <c r="Q8" i="37"/>
  <c r="Q11" i="37"/>
  <c r="O13" i="15"/>
  <c r="S39" i="37"/>
  <c r="U38" i="37"/>
  <c r="Q5" i="37"/>
  <c r="Q40" i="37"/>
  <c r="S40" i="37"/>
  <c r="Q41" i="37"/>
  <c r="S41" i="37"/>
  <c r="Q9" i="30"/>
  <c r="U39" i="37" l="1"/>
  <c r="K10" i="26"/>
  <c r="L10" i="26" s="1"/>
  <c r="K43" i="36"/>
  <c r="L43" i="36" s="1"/>
  <c r="K54" i="36"/>
  <c r="L54" i="36" s="1"/>
  <c r="K27" i="33"/>
  <c r="L27" i="33" s="1"/>
  <c r="K20" i="33"/>
  <c r="L20" i="33" s="1"/>
  <c r="K39" i="28"/>
  <c r="L39" i="28" s="1"/>
  <c r="K22" i="35"/>
  <c r="L22" i="35" s="1"/>
  <c r="K19" i="36"/>
  <c r="L19" i="36" s="1"/>
  <c r="K26" i="28"/>
  <c r="L26" i="28" s="1"/>
  <c r="K35" i="37"/>
  <c r="L35" i="37" s="1"/>
  <c r="K24" i="31"/>
  <c r="L24" i="31" s="1"/>
  <c r="K46" i="28"/>
  <c r="L46" i="28" s="1"/>
  <c r="K59" i="37"/>
  <c r="L59" i="37" s="1"/>
  <c r="K6" i="26"/>
  <c r="L6" i="26" s="1"/>
  <c r="K62" i="30"/>
  <c r="L62" i="30" s="1"/>
  <c r="K6" i="33"/>
  <c r="L6" i="33" s="1"/>
  <c r="K19" i="26"/>
  <c r="L19" i="26" s="1"/>
  <c r="K10" i="35"/>
  <c r="L10" i="35" s="1"/>
  <c r="K49" i="28"/>
  <c r="L49" i="28" s="1"/>
  <c r="K46" i="31"/>
  <c r="L46" i="31" s="1"/>
  <c r="K57" i="33"/>
  <c r="L57" i="33" s="1"/>
  <c r="K57" i="32"/>
  <c r="L57" i="32" s="1"/>
  <c r="K34" i="31"/>
  <c r="L34" i="31" s="1"/>
  <c r="K61" i="32"/>
  <c r="L61" i="32" s="1"/>
  <c r="K33" i="28"/>
  <c r="L33" i="28" s="1"/>
  <c r="K39" i="33"/>
  <c r="L39" i="33" s="1"/>
  <c r="K30" i="26"/>
  <c r="L30" i="26" s="1"/>
  <c r="K42" i="35"/>
  <c r="L42" i="35" s="1"/>
  <c r="K24" i="32"/>
  <c r="L24" i="32" s="1"/>
  <c r="K52" i="31"/>
  <c r="L52" i="31" s="1"/>
  <c r="K26" i="36"/>
  <c r="L26" i="36" s="1"/>
  <c r="K37" i="36"/>
  <c r="L37" i="36" s="1"/>
  <c r="K53" i="37"/>
  <c r="L53" i="37" s="1"/>
  <c r="K55" i="33"/>
  <c r="L55" i="33" s="1"/>
  <c r="K41" i="36"/>
  <c r="L41" i="36" s="1"/>
  <c r="K20" i="37"/>
  <c r="L20" i="37" s="1"/>
  <c r="K8" i="26"/>
  <c r="L8" i="26" s="1"/>
  <c r="K35" i="26"/>
  <c r="L35" i="26" s="1"/>
  <c r="K5" i="35"/>
  <c r="L5" i="35" s="1"/>
  <c r="K54" i="35"/>
  <c r="L54" i="35" s="1"/>
  <c r="K6" i="25"/>
  <c r="L6" i="25" s="1"/>
  <c r="K23" i="36"/>
  <c r="L23" i="36" s="1"/>
  <c r="K27" i="27"/>
  <c r="L27" i="27" s="1"/>
  <c r="K37" i="25"/>
  <c r="L37" i="25" s="1"/>
  <c r="K32" i="32"/>
  <c r="L32" i="32" s="1"/>
  <c r="K28" i="31"/>
  <c r="L28" i="31" s="1"/>
  <c r="K57" i="27"/>
  <c r="L57" i="27" s="1"/>
  <c r="K46" i="36"/>
  <c r="L46" i="36" s="1"/>
  <c r="K14" i="26"/>
  <c r="L14" i="26" s="1"/>
  <c r="K49" i="35"/>
  <c r="L49" i="35" s="1"/>
  <c r="K54" i="30"/>
  <c r="L54" i="30" s="1"/>
  <c r="K30" i="31"/>
  <c r="L30" i="31" s="1"/>
  <c r="K45" i="25"/>
  <c r="L45" i="25" s="1"/>
  <c r="K44" i="25"/>
  <c r="L44" i="25" s="1"/>
  <c r="K29" i="26"/>
  <c r="L29" i="26" s="1"/>
  <c r="K24" i="36"/>
  <c r="L24" i="36" s="1"/>
  <c r="K5" i="36"/>
  <c r="L5" i="36" s="1"/>
  <c r="K55" i="37"/>
  <c r="L55" i="37" s="1"/>
  <c r="K50" i="32"/>
  <c r="L50" i="32" s="1"/>
  <c r="K31" i="25"/>
  <c r="L31" i="25" s="1"/>
  <c r="K11" i="31"/>
  <c r="L11" i="31" s="1"/>
  <c r="K41" i="26"/>
  <c r="L41" i="26" s="1"/>
  <c r="K11" i="33"/>
  <c r="L11" i="33" s="1"/>
  <c r="K52" i="28"/>
  <c r="L52" i="28" s="1"/>
  <c r="K7" i="37"/>
  <c r="L7" i="37" s="1"/>
  <c r="K17" i="31"/>
  <c r="L17" i="31" s="1"/>
  <c r="K13" i="25"/>
  <c r="L13" i="25" s="1"/>
  <c r="K61" i="31"/>
  <c r="L61" i="31" s="1"/>
  <c r="K62" i="28"/>
  <c r="L62" i="28" s="1"/>
  <c r="K34" i="36"/>
  <c r="L34" i="36" s="1"/>
  <c r="K53" i="31"/>
  <c r="L53" i="31" s="1"/>
  <c r="K39" i="35"/>
  <c r="L39" i="35" s="1"/>
  <c r="K33" i="33"/>
  <c r="L33" i="33" s="1"/>
  <c r="K21" i="32"/>
  <c r="L21" i="32" s="1"/>
  <c r="K5" i="31"/>
  <c r="L5" i="31" s="1"/>
  <c r="K23" i="31"/>
  <c r="L23" i="31" s="1"/>
  <c r="K46" i="30"/>
  <c r="L46" i="30" s="1"/>
  <c r="K23" i="35"/>
  <c r="L23" i="35" s="1"/>
  <c r="K50" i="36"/>
  <c r="L50" i="36" s="1"/>
  <c r="K3" i="36"/>
  <c r="L3" i="36" s="1"/>
  <c r="K55" i="30"/>
  <c r="L55" i="30" s="1"/>
  <c r="K62" i="26"/>
  <c r="L62" i="26" s="1"/>
  <c r="K36" i="30"/>
  <c r="L36" i="30" s="1"/>
  <c r="K57" i="37"/>
  <c r="L57" i="37" s="1"/>
  <c r="K34" i="35"/>
  <c r="L34" i="35" s="1"/>
  <c r="K51" i="27"/>
  <c r="L51" i="27" s="1"/>
  <c r="K38" i="33"/>
  <c r="L38" i="33" s="1"/>
  <c r="K46" i="37"/>
  <c r="L46" i="37" s="1"/>
  <c r="K38" i="28"/>
  <c r="L38" i="28" s="1"/>
  <c r="K4" i="37"/>
  <c r="L4" i="37" s="1"/>
  <c r="K28" i="35"/>
  <c r="L28" i="35" s="1"/>
  <c r="K41" i="33"/>
  <c r="L41" i="33" s="1"/>
  <c r="K12" i="37"/>
  <c r="L12" i="37" s="1"/>
  <c r="K21" i="37"/>
  <c r="L21" i="37" s="1"/>
  <c r="K49" i="37"/>
  <c r="L49" i="37" s="1"/>
  <c r="K52" i="35"/>
  <c r="L52" i="35" s="1"/>
  <c r="K39" i="30"/>
  <c r="L39" i="30" s="1"/>
  <c r="K34" i="32"/>
  <c r="L34" i="32" s="1"/>
  <c r="K21" i="35"/>
  <c r="L21" i="35" s="1"/>
  <c r="K5" i="26"/>
  <c r="L5" i="26" s="1"/>
  <c r="K50" i="37"/>
  <c r="L50" i="37" s="1"/>
  <c r="K26" i="31"/>
  <c r="L26" i="31" s="1"/>
  <c r="K11" i="28"/>
  <c r="L11" i="28" s="1"/>
  <c r="K7" i="32"/>
  <c r="L7" i="32" s="1"/>
  <c r="K51" i="31"/>
  <c r="L51" i="31" s="1"/>
  <c r="K9" i="27"/>
  <c r="L9" i="27" s="1"/>
  <c r="K27" i="32"/>
  <c r="L27" i="32" s="1"/>
  <c r="K4" i="25"/>
  <c r="L4" i="25" s="1"/>
  <c r="K26" i="33"/>
  <c r="L26" i="33" s="1"/>
  <c r="K42" i="27"/>
  <c r="L42" i="27" s="1"/>
  <c r="K41" i="37"/>
  <c r="L41" i="37" s="1"/>
  <c r="K21" i="25"/>
  <c r="L21" i="25" s="1"/>
  <c r="K58" i="25"/>
  <c r="L58" i="25" s="1"/>
  <c r="K6" i="31"/>
  <c r="L6" i="31" s="1"/>
  <c r="K57" i="25"/>
  <c r="L57" i="25" s="1"/>
  <c r="K3" i="33"/>
  <c r="L3" i="33" s="1"/>
  <c r="K24" i="27"/>
  <c r="L24" i="27" s="1"/>
  <c r="K28" i="33"/>
  <c r="L28" i="33" s="1"/>
  <c r="K56" i="27"/>
  <c r="L56" i="27" s="1"/>
  <c r="K35" i="33"/>
  <c r="L35" i="33" s="1"/>
  <c r="K23" i="25"/>
  <c r="L23" i="25" s="1"/>
  <c r="K48" i="30"/>
  <c r="L48" i="30" s="1"/>
  <c r="K48" i="26"/>
  <c r="L48" i="26" s="1"/>
  <c r="K28" i="27"/>
  <c r="L28" i="27" s="1"/>
  <c r="K60" i="37"/>
  <c r="L60" i="37" s="1"/>
  <c r="K49" i="36"/>
  <c r="L49" i="36" s="1"/>
  <c r="K17" i="37"/>
  <c r="L17" i="37" s="1"/>
  <c r="K42" i="33"/>
  <c r="L42" i="33" s="1"/>
  <c r="K31" i="32"/>
  <c r="L31" i="32" s="1"/>
  <c r="K9" i="28"/>
  <c r="L9" i="28" s="1"/>
  <c r="K53" i="33"/>
  <c r="L53" i="33" s="1"/>
  <c r="K44" i="37"/>
  <c r="L44" i="37" s="1"/>
  <c r="K25" i="35"/>
  <c r="L25" i="35" s="1"/>
  <c r="K48" i="25"/>
  <c r="L48" i="25" s="1"/>
  <c r="K6" i="37"/>
  <c r="L6" i="37" s="1"/>
  <c r="K59" i="26"/>
  <c r="L59" i="26" s="1"/>
  <c r="K18" i="36"/>
  <c r="L18" i="36" s="1"/>
  <c r="K55" i="36"/>
  <c r="L55" i="36" s="1"/>
  <c r="K18" i="28"/>
  <c r="L18" i="28" s="1"/>
  <c r="K6" i="32"/>
  <c r="L6" i="32" s="1"/>
  <c r="K30" i="32"/>
  <c r="L30" i="32" s="1"/>
  <c r="K9" i="30"/>
  <c r="L9" i="30" s="1"/>
  <c r="K45" i="30"/>
  <c r="L45" i="30" s="1"/>
  <c r="K26" i="25"/>
  <c r="L26" i="25" s="1"/>
  <c r="K54" i="25"/>
  <c r="L54" i="25" s="1"/>
  <c r="K55" i="25"/>
  <c r="L55" i="25" s="1"/>
  <c r="K55" i="26"/>
  <c r="L55" i="26" s="1"/>
  <c r="K59" i="36"/>
  <c r="L59" i="36" s="1"/>
  <c r="K28" i="25"/>
  <c r="L28" i="25" s="1"/>
  <c r="K4" i="30"/>
  <c r="L4" i="30" s="1"/>
  <c r="K56" i="25"/>
  <c r="L56" i="25" s="1"/>
  <c r="K17" i="28"/>
  <c r="L17" i="28" s="1"/>
  <c r="K23" i="33"/>
  <c r="L23" i="33" s="1"/>
  <c r="K18" i="27"/>
  <c r="L18" i="27" s="1"/>
  <c r="K31" i="26"/>
  <c r="L31" i="26" s="1"/>
  <c r="K33" i="25"/>
  <c r="L33" i="25" s="1"/>
  <c r="K38" i="26"/>
  <c r="L38" i="26" s="1"/>
  <c r="K13" i="33"/>
  <c r="L13" i="33" s="1"/>
  <c r="K55" i="27"/>
  <c r="L55" i="27" s="1"/>
  <c r="K8" i="32"/>
  <c r="L8" i="32" s="1"/>
  <c r="K59" i="32"/>
  <c r="L59" i="32" s="1"/>
  <c r="K25" i="30"/>
  <c r="L25" i="30" s="1"/>
  <c r="K43" i="28"/>
  <c r="L43" i="28" s="1"/>
  <c r="K39" i="25"/>
  <c r="L39" i="25" s="1"/>
  <c r="K37" i="35"/>
  <c r="L37" i="35" s="1"/>
  <c r="K7" i="33"/>
  <c r="L7" i="33" s="1"/>
  <c r="K52" i="27"/>
  <c r="L52" i="27" s="1"/>
  <c r="K31" i="30"/>
  <c r="L31" i="30" s="1"/>
  <c r="K51" i="35"/>
  <c r="L51" i="35" s="1"/>
  <c r="K46" i="25"/>
  <c r="L46" i="25" s="1"/>
  <c r="K29" i="30"/>
  <c r="L29" i="30" s="1"/>
  <c r="K40" i="32"/>
  <c r="L40" i="32" s="1"/>
  <c r="K38" i="32"/>
  <c r="L38" i="32" s="1"/>
  <c r="K62" i="31"/>
  <c r="L62" i="31" s="1"/>
  <c r="K33" i="30"/>
  <c r="L33" i="30" s="1"/>
  <c r="K43" i="37"/>
  <c r="L43" i="37" s="1"/>
  <c r="K28" i="37"/>
  <c r="L28" i="37" s="1"/>
  <c r="K53" i="25"/>
  <c r="L53" i="25" s="1"/>
  <c r="K42" i="32"/>
  <c r="L42" i="32" s="1"/>
  <c r="K15" i="28"/>
  <c r="L15" i="28" s="1"/>
  <c r="K4" i="36"/>
  <c r="L4" i="36" s="1"/>
  <c r="K8" i="27"/>
  <c r="L8" i="27" s="1"/>
  <c r="K35" i="35"/>
  <c r="L35" i="35" s="1"/>
  <c r="K12" i="26"/>
  <c r="L12" i="26" s="1"/>
  <c r="K8" i="36"/>
  <c r="L8" i="36" s="1"/>
  <c r="K18" i="35"/>
  <c r="L18" i="35" s="1"/>
  <c r="K51" i="32"/>
  <c r="L51" i="32" s="1"/>
  <c r="K26" i="26"/>
  <c r="L26" i="26" s="1"/>
  <c r="K23" i="32"/>
  <c r="L23" i="32" s="1"/>
  <c r="K3" i="31"/>
  <c r="L3" i="31" s="1"/>
  <c r="K36" i="26"/>
  <c r="L36" i="26" s="1"/>
  <c r="K16" i="25"/>
  <c r="L16" i="25" s="1"/>
  <c r="K40" i="28"/>
  <c r="L40" i="28" s="1"/>
  <c r="K29" i="36"/>
  <c r="L29" i="36" s="1"/>
  <c r="K4" i="35"/>
  <c r="L4" i="35" s="1"/>
  <c r="K3" i="27"/>
  <c r="L3" i="27" s="1"/>
  <c r="K59" i="30"/>
  <c r="L59" i="30" s="1"/>
  <c r="K62" i="27"/>
  <c r="L62" i="27" s="1"/>
  <c r="K19" i="30"/>
  <c r="L19" i="30" s="1"/>
  <c r="K36" i="35"/>
  <c r="L36" i="35" s="1"/>
  <c r="K18" i="37"/>
  <c r="L18" i="37" s="1"/>
  <c r="K8" i="37"/>
  <c r="L8" i="37" s="1"/>
  <c r="K3" i="30"/>
  <c r="L3" i="30" s="1"/>
  <c r="K21" i="26"/>
  <c r="L21" i="26" s="1"/>
  <c r="K34" i="25"/>
  <c r="L34" i="25" s="1"/>
  <c r="K53" i="26"/>
  <c r="L53" i="26" s="1"/>
  <c r="K22" i="32"/>
  <c r="L22" i="32" s="1"/>
  <c r="K58" i="33"/>
  <c r="L58" i="33" s="1"/>
  <c r="K10" i="27"/>
  <c r="L10" i="27" s="1"/>
  <c r="K45" i="33"/>
  <c r="L45" i="33" s="1"/>
  <c r="K25" i="37"/>
  <c r="L25" i="37" s="1"/>
  <c r="K38" i="31"/>
  <c r="L38" i="31" s="1"/>
  <c r="K58" i="27"/>
  <c r="L58" i="27" s="1"/>
  <c r="K56" i="31"/>
  <c r="L56" i="31" s="1"/>
  <c r="K16" i="35"/>
  <c r="L16" i="35" s="1"/>
  <c r="K36" i="36"/>
  <c r="L36" i="36" s="1"/>
  <c r="K21" i="31"/>
  <c r="L21" i="31" s="1"/>
  <c r="K48" i="28"/>
  <c r="L48" i="28" s="1"/>
  <c r="K22" i="31"/>
  <c r="L22" i="31" s="1"/>
  <c r="K57" i="31"/>
  <c r="L57" i="31" s="1"/>
  <c r="K9" i="35"/>
  <c r="L9" i="35" s="1"/>
  <c r="K11" i="37"/>
  <c r="L11" i="37" s="1"/>
  <c r="K42" i="31"/>
  <c r="L42" i="31" s="1"/>
  <c r="K32" i="27"/>
  <c r="L32" i="27" s="1"/>
  <c r="K31" i="28"/>
  <c r="L31" i="28" s="1"/>
  <c r="K23" i="28"/>
  <c r="L23" i="28" s="1"/>
  <c r="K54" i="37"/>
  <c r="L54" i="37" s="1"/>
  <c r="K60" i="31"/>
  <c r="L60" i="31" s="1"/>
  <c r="K27" i="25"/>
  <c r="L27" i="25" s="1"/>
  <c r="K10" i="33"/>
  <c r="L10" i="33" s="1"/>
  <c r="K34" i="30"/>
  <c r="L34" i="30" s="1"/>
  <c r="K4" i="28"/>
  <c r="L4" i="28" s="1"/>
  <c r="K32" i="31"/>
  <c r="L32" i="31" s="1"/>
  <c r="K39" i="31"/>
  <c r="L39" i="31" s="1"/>
  <c r="K50" i="25"/>
  <c r="L50" i="25" s="1"/>
  <c r="K4" i="32"/>
  <c r="L4" i="32" s="1"/>
  <c r="K22" i="26"/>
  <c r="L22" i="26" s="1"/>
  <c r="K30" i="27"/>
  <c r="L30" i="27" s="1"/>
  <c r="K19" i="37"/>
  <c r="L19" i="37" s="1"/>
  <c r="K26" i="37"/>
  <c r="L26" i="37" s="1"/>
  <c r="K60" i="27"/>
  <c r="L60" i="27" s="1"/>
  <c r="K43" i="32"/>
  <c r="L43" i="32" s="1"/>
  <c r="K32" i="36"/>
  <c r="L32" i="36" s="1"/>
  <c r="K61" i="28"/>
  <c r="L61" i="28" s="1"/>
  <c r="K6" i="36"/>
  <c r="L6" i="36" s="1"/>
  <c r="K24" i="37"/>
  <c r="L24" i="37" s="1"/>
  <c r="K37" i="33"/>
  <c r="L37" i="33" s="1"/>
  <c r="K19" i="35"/>
  <c r="L19" i="35" s="1"/>
  <c r="K9" i="31"/>
  <c r="L9" i="31" s="1"/>
  <c r="K20" i="30"/>
  <c r="L20" i="30" s="1"/>
  <c r="K20" i="25"/>
  <c r="L20" i="25" s="1"/>
  <c r="K12" i="31"/>
  <c r="L12" i="31" s="1"/>
  <c r="K43" i="30"/>
  <c r="L43" i="30" s="1"/>
  <c r="K49" i="33"/>
  <c r="L49" i="33" s="1"/>
  <c r="K58" i="37"/>
  <c r="L58" i="37" s="1"/>
  <c r="K20" i="26"/>
  <c r="L20" i="26" s="1"/>
  <c r="K52" i="26"/>
  <c r="L52" i="26" s="1"/>
  <c r="K31" i="33"/>
  <c r="L31" i="33" s="1"/>
  <c r="K40" i="33"/>
  <c r="L40" i="33" s="1"/>
  <c r="K45" i="37"/>
  <c r="L45" i="37" s="1"/>
  <c r="K55" i="35"/>
  <c r="L55" i="35" s="1"/>
  <c r="K18" i="30"/>
  <c r="L18" i="30" s="1"/>
  <c r="K48" i="32"/>
  <c r="L48" i="32" s="1"/>
  <c r="K52" i="36"/>
  <c r="L52" i="36" s="1"/>
  <c r="K6" i="35"/>
  <c r="L6" i="35" s="1"/>
  <c r="K18" i="33"/>
  <c r="L18" i="33" s="1"/>
  <c r="K23" i="27"/>
  <c r="L23" i="27" s="1"/>
  <c r="K37" i="27"/>
  <c r="L37" i="27" s="1"/>
  <c r="K19" i="27"/>
  <c r="L19" i="27" s="1"/>
  <c r="K38" i="37"/>
  <c r="L38" i="37" s="1"/>
  <c r="K35" i="27"/>
  <c r="L35" i="27" s="1"/>
  <c r="K12" i="33"/>
  <c r="L12" i="33" s="1"/>
  <c r="K32" i="26"/>
  <c r="L32" i="26" s="1"/>
  <c r="K51" i="36"/>
  <c r="L51" i="36" s="1"/>
  <c r="K13" i="37"/>
  <c r="L13" i="37" s="1"/>
  <c r="K44" i="32"/>
  <c r="L44" i="32" s="1"/>
  <c r="K20" i="36"/>
  <c r="L20" i="36" s="1"/>
  <c r="K36" i="32"/>
  <c r="L36" i="32" s="1"/>
  <c r="K33" i="32"/>
  <c r="L33" i="32" s="1"/>
  <c r="K54" i="26"/>
  <c r="L54" i="26" s="1"/>
  <c r="K26" i="30"/>
  <c r="L26" i="30" s="1"/>
  <c r="K12" i="32"/>
  <c r="L12" i="32" s="1"/>
  <c r="K6" i="30"/>
  <c r="L6" i="30" s="1"/>
  <c r="K5" i="33"/>
  <c r="L5" i="33" s="1"/>
  <c r="K51" i="37"/>
  <c r="L51" i="37" s="1"/>
  <c r="K31" i="36"/>
  <c r="L31" i="36" s="1"/>
  <c r="K32" i="33"/>
  <c r="L32" i="33" s="1"/>
  <c r="K48" i="36"/>
  <c r="L48" i="36" s="1"/>
  <c r="K58" i="28"/>
  <c r="L58" i="28" s="1"/>
  <c r="K37" i="30"/>
  <c r="L37" i="30" s="1"/>
  <c r="K37" i="28"/>
  <c r="L37" i="28" s="1"/>
  <c r="K30" i="28"/>
  <c r="L30" i="28" s="1"/>
  <c r="K13" i="31"/>
  <c r="L13" i="31" s="1"/>
  <c r="K61" i="27"/>
  <c r="L61" i="27" s="1"/>
  <c r="K34" i="37"/>
  <c r="L34" i="37" s="1"/>
  <c r="K58" i="36"/>
  <c r="L58" i="36" s="1"/>
  <c r="K9" i="36"/>
  <c r="L9" i="36" s="1"/>
  <c r="K16" i="26"/>
  <c r="L16" i="26" s="1"/>
  <c r="K9" i="33"/>
  <c r="L9" i="33" s="1"/>
  <c r="K12" i="30"/>
  <c r="L12" i="30" s="1"/>
  <c r="K40" i="30"/>
  <c r="L40" i="30" s="1"/>
  <c r="K7" i="26"/>
  <c r="L7" i="26" s="1"/>
  <c r="K8" i="31"/>
  <c r="L8" i="31" s="1"/>
  <c r="K37" i="32"/>
  <c r="L37" i="32" s="1"/>
  <c r="K47" i="27"/>
  <c r="L47" i="27" s="1"/>
  <c r="K38" i="36"/>
  <c r="L38" i="36" s="1"/>
  <c r="K5" i="32"/>
  <c r="L5" i="32" s="1"/>
  <c r="K48" i="35"/>
  <c r="L48" i="35" s="1"/>
  <c r="K44" i="26"/>
  <c r="L44" i="26" s="1"/>
  <c r="K27" i="31"/>
  <c r="L27" i="31" s="1"/>
  <c r="K11" i="25"/>
  <c r="L11" i="25" s="1"/>
  <c r="K57" i="30"/>
  <c r="L57" i="30" s="1"/>
  <c r="K39" i="37"/>
  <c r="L39" i="37" s="1"/>
  <c r="K47" i="35"/>
  <c r="L47" i="35" s="1"/>
  <c r="K28" i="28"/>
  <c r="L28" i="28" s="1"/>
  <c r="K25" i="26"/>
  <c r="L25" i="26" s="1"/>
  <c r="K12" i="28"/>
  <c r="L12" i="28" s="1"/>
  <c r="K17" i="26"/>
  <c r="L17" i="26" s="1"/>
  <c r="K58" i="31"/>
  <c r="L58" i="31" s="1"/>
  <c r="K40" i="26"/>
  <c r="L40" i="26" s="1"/>
  <c r="K29" i="31"/>
  <c r="L29" i="31" s="1"/>
  <c r="K51" i="33"/>
  <c r="L51" i="33" s="1"/>
  <c r="K25" i="33"/>
  <c r="L25" i="33" s="1"/>
  <c r="K10" i="31"/>
  <c r="L10" i="31" s="1"/>
  <c r="K50" i="33"/>
  <c r="L50" i="33" s="1"/>
  <c r="K44" i="33"/>
  <c r="L44" i="33" s="1"/>
  <c r="K43" i="35"/>
  <c r="L43" i="35" s="1"/>
  <c r="K57" i="26"/>
  <c r="L57" i="26" s="1"/>
  <c r="K43" i="31"/>
  <c r="L43" i="31" s="1"/>
  <c r="K52" i="37"/>
  <c r="L52" i="37" s="1"/>
  <c r="K39" i="27"/>
  <c r="L39" i="27" s="1"/>
  <c r="K4" i="27"/>
  <c r="L4" i="27" s="1"/>
  <c r="K61" i="25"/>
  <c r="L61" i="25" s="1"/>
  <c r="K43" i="26"/>
  <c r="L43" i="26" s="1"/>
  <c r="K30" i="35"/>
  <c r="L30" i="35" s="1"/>
  <c r="K54" i="28"/>
  <c r="L54" i="28" s="1"/>
  <c r="K4" i="33"/>
  <c r="L4" i="33" s="1"/>
  <c r="K54" i="32"/>
  <c r="L54" i="32" s="1"/>
  <c r="K21" i="30"/>
  <c r="L21" i="30" s="1"/>
  <c r="K42" i="28"/>
  <c r="L42" i="28" s="1"/>
  <c r="K16" i="33"/>
  <c r="L16" i="33" s="1"/>
  <c r="K57" i="36"/>
  <c r="L57" i="36" s="1"/>
  <c r="K47" i="32"/>
  <c r="L47" i="32" s="1"/>
  <c r="K40" i="35"/>
  <c r="L40" i="35" s="1"/>
  <c r="K58" i="30"/>
  <c r="L58" i="30" s="1"/>
  <c r="K32" i="35"/>
  <c r="L32" i="35" s="1"/>
  <c r="K16" i="30"/>
  <c r="L16" i="30" s="1"/>
  <c r="K52" i="25"/>
  <c r="L52" i="25" s="1"/>
  <c r="K33" i="26"/>
  <c r="L33" i="26" s="1"/>
  <c r="K32" i="37"/>
  <c r="L32" i="37" s="1"/>
  <c r="K13" i="36"/>
  <c r="L13" i="36" s="1"/>
  <c r="K55" i="28"/>
  <c r="L55" i="28" s="1"/>
  <c r="K56" i="33"/>
  <c r="L56" i="33" s="1"/>
  <c r="K61" i="26"/>
  <c r="L61" i="26" s="1"/>
  <c r="K55" i="32"/>
  <c r="L55" i="32" s="1"/>
  <c r="K41" i="27"/>
  <c r="L41" i="27" s="1"/>
  <c r="K6" i="28"/>
  <c r="L6" i="28" s="1"/>
  <c r="K63" i="28"/>
  <c r="L63" i="28" s="1"/>
  <c r="K27" i="37"/>
  <c r="L27" i="37" s="1"/>
  <c r="K20" i="35"/>
  <c r="L20" i="35" s="1"/>
  <c r="K30" i="37"/>
  <c r="L30" i="37" s="1"/>
  <c r="K50" i="31"/>
  <c r="L50" i="31" s="1"/>
  <c r="K54" i="33"/>
  <c r="L54" i="33" s="1"/>
  <c r="K63" i="30"/>
  <c r="L63" i="30" s="1"/>
  <c r="K14" i="28"/>
  <c r="L14" i="28" s="1"/>
  <c r="K60" i="25"/>
  <c r="L60" i="25" s="1"/>
  <c r="K35" i="25"/>
  <c r="L35" i="25" s="1"/>
  <c r="K26" i="32"/>
  <c r="L26" i="32" s="1"/>
  <c r="K45" i="32"/>
  <c r="L45" i="32" s="1"/>
  <c r="K60" i="28"/>
  <c r="L60" i="28" s="1"/>
  <c r="K64" i="37"/>
  <c r="L64" i="37" s="1"/>
  <c r="K24" i="30"/>
  <c r="L24" i="30" s="1"/>
  <c r="K45" i="35"/>
  <c r="L45" i="35" s="1"/>
  <c r="K29" i="32"/>
  <c r="L29" i="32" s="1"/>
  <c r="K15" i="30"/>
  <c r="L15" i="30" s="1"/>
  <c r="K24" i="35"/>
  <c r="L24" i="35" s="1"/>
  <c r="K17" i="30"/>
  <c r="L17" i="30" s="1"/>
  <c r="K34" i="26"/>
  <c r="L34" i="26" s="1"/>
  <c r="K24" i="26"/>
  <c r="L24" i="26" s="1"/>
  <c r="K25" i="25"/>
  <c r="L25" i="25" s="1"/>
  <c r="K58" i="35"/>
  <c r="L58" i="35" s="1"/>
  <c r="K15" i="37"/>
  <c r="L15" i="37" s="1"/>
  <c r="K20" i="31"/>
  <c r="L20" i="31" s="1"/>
  <c r="K15" i="36"/>
  <c r="L15" i="36" s="1"/>
  <c r="K9" i="26"/>
  <c r="L9" i="26" s="1"/>
  <c r="K59" i="27"/>
  <c r="L59" i="27" s="1"/>
  <c r="K45" i="27"/>
  <c r="L45" i="27" s="1"/>
  <c r="K33" i="35"/>
  <c r="L33" i="35" s="1"/>
  <c r="K7" i="31"/>
  <c r="L7" i="31" s="1"/>
  <c r="K19" i="33"/>
  <c r="L19" i="33" s="1"/>
  <c r="K51" i="26"/>
  <c r="L51" i="26" s="1"/>
  <c r="K50" i="30"/>
  <c r="L50" i="30" s="1"/>
  <c r="K40" i="27"/>
  <c r="L40" i="27" s="1"/>
  <c r="K16" i="31"/>
  <c r="L16" i="31" s="1"/>
  <c r="K59" i="31"/>
  <c r="L59" i="31" s="1"/>
  <c r="K57" i="35"/>
  <c r="L57" i="35" s="1"/>
  <c r="K47" i="31"/>
  <c r="L47" i="31" s="1"/>
  <c r="K18" i="26"/>
  <c r="L18" i="26" s="1"/>
  <c r="K46" i="35"/>
  <c r="L46" i="35" s="1"/>
  <c r="K8" i="25"/>
  <c r="L8" i="25" s="1"/>
  <c r="K29" i="33"/>
  <c r="L29" i="33" s="1"/>
  <c r="K47" i="30"/>
  <c r="L47" i="30" s="1"/>
  <c r="K25" i="28"/>
  <c r="L25" i="28" s="1"/>
  <c r="K37" i="37"/>
  <c r="L37" i="37" s="1"/>
  <c r="K46" i="33"/>
  <c r="L46" i="33" s="1"/>
  <c r="K26" i="35"/>
  <c r="L26" i="35" s="1"/>
  <c r="K32" i="28"/>
  <c r="L32" i="28" s="1"/>
  <c r="K62" i="37"/>
  <c r="L62" i="37" s="1"/>
  <c r="K38" i="27"/>
  <c r="L38" i="27" s="1"/>
  <c r="K49" i="26"/>
  <c r="L49" i="26" s="1"/>
  <c r="K17" i="32"/>
  <c r="L17" i="32" s="1"/>
  <c r="K30" i="36"/>
  <c r="L30" i="36" s="1"/>
  <c r="K22" i="33"/>
  <c r="L22" i="33" s="1"/>
  <c r="K36" i="37"/>
  <c r="L36" i="37" s="1"/>
  <c r="K43" i="27"/>
  <c r="L43" i="27" s="1"/>
  <c r="K5" i="27"/>
  <c r="L5" i="27" s="1"/>
  <c r="K12" i="25"/>
  <c r="L12" i="25" s="1"/>
  <c r="K33" i="27"/>
  <c r="L33" i="27" s="1"/>
  <c r="K3" i="26"/>
  <c r="L3" i="26" s="1"/>
  <c r="K22" i="25"/>
  <c r="L22" i="25" s="1"/>
  <c r="K31" i="27"/>
  <c r="L31" i="27" s="1"/>
  <c r="K17" i="35"/>
  <c r="L17" i="35" s="1"/>
  <c r="K7" i="27"/>
  <c r="L7" i="27" s="1"/>
  <c r="K56" i="26"/>
  <c r="L56" i="26" s="1"/>
  <c r="K29" i="25"/>
  <c r="L29" i="25" s="1"/>
  <c r="K10" i="36"/>
  <c r="L10" i="36" s="1"/>
  <c r="K22" i="28"/>
  <c r="L22" i="28" s="1"/>
  <c r="K54" i="27"/>
  <c r="L54" i="27" s="1"/>
  <c r="K56" i="28"/>
  <c r="L56" i="28" s="1"/>
  <c r="K45" i="36"/>
  <c r="L45" i="36" s="1"/>
  <c r="K50" i="35"/>
  <c r="L50" i="35" s="1"/>
  <c r="K14" i="36"/>
  <c r="L14" i="36" s="1"/>
  <c r="K14" i="32"/>
  <c r="L14" i="32" s="1"/>
  <c r="K16" i="36"/>
  <c r="L16" i="36" s="1"/>
  <c r="K12" i="35"/>
  <c r="L12" i="35" s="1"/>
  <c r="K47" i="33"/>
  <c r="L47" i="33" s="1"/>
  <c r="K49" i="32"/>
  <c r="L49" i="32" s="1"/>
  <c r="K35" i="32"/>
  <c r="L35" i="32" s="1"/>
  <c r="K29" i="27"/>
  <c r="L29" i="27" s="1"/>
  <c r="K58" i="26"/>
  <c r="L58" i="26" s="1"/>
  <c r="K14" i="33"/>
  <c r="L14" i="33" s="1"/>
  <c r="K10" i="37"/>
  <c r="L10" i="37" s="1"/>
  <c r="K60" i="30"/>
  <c r="L60" i="30" s="1"/>
  <c r="K31" i="31"/>
  <c r="L31" i="31" s="1"/>
  <c r="K18" i="32"/>
  <c r="L18" i="32" s="1"/>
  <c r="K14" i="37"/>
  <c r="L14" i="37" s="1"/>
  <c r="K48" i="37"/>
  <c r="L48" i="37" s="1"/>
  <c r="K35" i="36"/>
  <c r="L35" i="36" s="1"/>
  <c r="K28" i="26"/>
  <c r="L28" i="26" s="1"/>
  <c r="K17" i="33"/>
  <c r="L17" i="33" s="1"/>
  <c r="K23" i="37"/>
  <c r="L23" i="37" s="1"/>
  <c r="K37" i="31"/>
  <c r="L37" i="31" s="1"/>
  <c r="K6" i="27"/>
  <c r="L6" i="27" s="1"/>
  <c r="K17" i="36"/>
  <c r="L17" i="36" s="1"/>
  <c r="K23" i="30"/>
  <c r="L23" i="30" s="1"/>
  <c r="K47" i="28"/>
  <c r="L47" i="28" s="1"/>
  <c r="K49" i="27"/>
  <c r="L49" i="27" s="1"/>
  <c r="K34" i="33"/>
  <c r="L34" i="33" s="1"/>
  <c r="K21" i="27"/>
  <c r="L21" i="27" s="1"/>
  <c r="K51" i="30"/>
  <c r="L51" i="30" s="1"/>
  <c r="K31" i="35"/>
  <c r="L31" i="35" s="1"/>
  <c r="K48" i="33"/>
  <c r="L48" i="33" s="1"/>
  <c r="K59" i="33"/>
  <c r="L59" i="33" s="1"/>
  <c r="K13" i="30"/>
  <c r="L13" i="30" s="1"/>
  <c r="K24" i="28"/>
  <c r="L24" i="28" s="1"/>
  <c r="K47" i="25"/>
  <c r="L47" i="25" s="1"/>
  <c r="K13" i="28"/>
  <c r="L13" i="28" s="1"/>
  <c r="K20" i="32"/>
  <c r="L20" i="32" s="1"/>
  <c r="K26" i="27"/>
  <c r="L26" i="27" s="1"/>
  <c r="K16" i="27"/>
  <c r="L16" i="27" s="1"/>
  <c r="K45" i="26"/>
  <c r="L45" i="26" s="1"/>
  <c r="K14" i="31"/>
  <c r="L14" i="31" s="1"/>
  <c r="K28" i="30"/>
  <c r="L28" i="30" s="1"/>
  <c r="K37" i="26"/>
  <c r="L37" i="26" s="1"/>
  <c r="K21" i="33"/>
  <c r="L21" i="33" s="1"/>
  <c r="K45" i="28"/>
  <c r="L45" i="28" s="1"/>
  <c r="K30" i="25"/>
  <c r="L30" i="25" s="1"/>
  <c r="K60" i="26"/>
  <c r="L60" i="26" s="1"/>
  <c r="K60" i="33"/>
  <c r="L60" i="33" s="1"/>
  <c r="K25" i="36"/>
  <c r="L25" i="36" s="1"/>
  <c r="K15" i="32"/>
  <c r="L15" i="32" s="1"/>
  <c r="K21" i="36"/>
  <c r="L21" i="36" s="1"/>
  <c r="K7" i="36"/>
  <c r="L7" i="36" s="1"/>
  <c r="K43" i="25"/>
  <c r="L43" i="25" s="1"/>
  <c r="K5" i="25"/>
  <c r="L5" i="25" s="1"/>
  <c r="K56" i="30"/>
  <c r="L56" i="30" s="1"/>
  <c r="K13" i="35"/>
  <c r="L13" i="35" s="1"/>
  <c r="K30" i="33"/>
  <c r="L30" i="33" s="1"/>
  <c r="K42" i="26"/>
  <c r="L42" i="26" s="1"/>
  <c r="K53" i="30"/>
  <c r="L53" i="30" s="1"/>
  <c r="K49" i="31"/>
  <c r="L49" i="31" s="1"/>
  <c r="K40" i="37"/>
  <c r="L40" i="37" s="1"/>
  <c r="K19" i="25"/>
  <c r="L19" i="25" s="1"/>
  <c r="K32" i="25"/>
  <c r="L32" i="25" s="1"/>
  <c r="K11" i="35"/>
  <c r="L11" i="35" s="1"/>
  <c r="K3" i="28"/>
  <c r="L3" i="28" s="1"/>
  <c r="K42" i="36"/>
  <c r="L42" i="36" s="1"/>
  <c r="K19" i="31"/>
  <c r="L19" i="31" s="1"/>
  <c r="K31" i="37"/>
  <c r="L31" i="37" s="1"/>
  <c r="K19" i="32"/>
  <c r="L19" i="32" s="1"/>
  <c r="K36" i="27"/>
  <c r="L36" i="27" s="1"/>
  <c r="K3" i="25"/>
  <c r="L3" i="25" s="1"/>
  <c r="K64" i="30"/>
  <c r="L64" i="30" s="1"/>
  <c r="K53" i="32"/>
  <c r="L53" i="32" s="1"/>
  <c r="K44" i="36"/>
  <c r="L44" i="36" s="1"/>
  <c r="K61" i="30"/>
  <c r="L61" i="30" s="1"/>
  <c r="K30" i="30"/>
  <c r="L30" i="30" s="1"/>
  <c r="K52" i="30"/>
  <c r="L52" i="30" s="1"/>
  <c r="K5" i="28"/>
  <c r="L5" i="28" s="1"/>
  <c r="K15" i="33"/>
  <c r="L15" i="33" s="1"/>
  <c r="K41" i="30"/>
  <c r="L41" i="30" s="1"/>
  <c r="K56" i="37"/>
  <c r="L56" i="37" s="1"/>
  <c r="K15" i="35"/>
  <c r="L15" i="35" s="1"/>
  <c r="K52" i="32"/>
  <c r="L52" i="32" s="1"/>
  <c r="K20" i="28"/>
  <c r="L20" i="28" s="1"/>
  <c r="K27" i="30"/>
  <c r="L27" i="30" s="1"/>
  <c r="K51" i="28"/>
  <c r="L51" i="28" s="1"/>
  <c r="K53" i="27"/>
  <c r="L53" i="27" s="1"/>
  <c r="K27" i="26"/>
  <c r="L27" i="26" s="1"/>
  <c r="K11" i="27"/>
  <c r="L11" i="27" s="1"/>
  <c r="K5" i="30"/>
  <c r="L5" i="30" s="1"/>
  <c r="K22" i="37"/>
  <c r="L22" i="37" s="1"/>
  <c r="K61" i="37"/>
  <c r="L61" i="37" s="1"/>
  <c r="K21" i="28"/>
  <c r="L21" i="28" s="1"/>
  <c r="K27" i="28"/>
  <c r="L27" i="28" s="1"/>
  <c r="K59" i="25"/>
  <c r="L59" i="25" s="1"/>
  <c r="K13" i="26"/>
  <c r="L13" i="26" s="1"/>
  <c r="K29" i="35"/>
  <c r="L29" i="35" s="1"/>
  <c r="K27" i="36"/>
  <c r="L27" i="36" s="1"/>
  <c r="K24" i="25"/>
  <c r="L24" i="25" s="1"/>
  <c r="K3" i="37"/>
  <c r="L3" i="37" s="1"/>
  <c r="K32" i="30"/>
  <c r="L32" i="30" s="1"/>
  <c r="K29" i="28"/>
  <c r="L29" i="28" s="1"/>
  <c r="K44" i="28"/>
  <c r="L44" i="28" s="1"/>
  <c r="K14" i="35"/>
  <c r="L14" i="35" s="1"/>
  <c r="K53" i="36"/>
  <c r="L53" i="36" s="1"/>
  <c r="K4" i="31"/>
  <c r="L4" i="31" s="1"/>
  <c r="K10" i="28"/>
  <c r="L10" i="28" s="1"/>
  <c r="K9" i="37"/>
  <c r="L9" i="37" s="1"/>
  <c r="K48" i="27"/>
  <c r="L48" i="27" s="1"/>
  <c r="K15" i="25"/>
  <c r="L15" i="25" s="1"/>
  <c r="K12" i="27"/>
  <c r="L12" i="27" s="1"/>
  <c r="K39" i="36"/>
  <c r="L39" i="36" s="1"/>
  <c r="K8" i="33"/>
  <c r="L8" i="33" s="1"/>
  <c r="K41" i="31"/>
  <c r="L41" i="31" s="1"/>
  <c r="K39" i="32"/>
  <c r="L39" i="32" s="1"/>
  <c r="K56" i="35"/>
  <c r="L56" i="35" s="1"/>
  <c r="K41" i="28"/>
  <c r="L41" i="28" s="1"/>
  <c r="K42" i="37"/>
  <c r="L42" i="37" s="1"/>
  <c r="K47" i="26"/>
  <c r="L47" i="26" s="1"/>
  <c r="K16" i="37"/>
  <c r="L16" i="37" s="1"/>
  <c r="K43" i="33"/>
  <c r="L43" i="33" s="1"/>
  <c r="K7" i="35"/>
  <c r="L7" i="35" s="1"/>
  <c r="K5" i="37"/>
  <c r="L5" i="37" s="1"/>
  <c r="K63" i="37"/>
  <c r="L63" i="37" s="1"/>
  <c r="K42" i="25"/>
  <c r="L42" i="25" s="1"/>
  <c r="K22" i="36"/>
  <c r="L22" i="36" s="1"/>
  <c r="K42" i="30"/>
  <c r="L42" i="30" s="1"/>
  <c r="K63" i="31"/>
  <c r="L63" i="31" s="1"/>
  <c r="K8" i="30"/>
  <c r="L8" i="30" s="1"/>
  <c r="K16" i="28"/>
  <c r="L16" i="28" s="1"/>
  <c r="K41" i="25"/>
  <c r="L41" i="25" s="1"/>
  <c r="K34" i="28"/>
  <c r="L34" i="28" s="1"/>
  <c r="K4" i="26"/>
  <c r="L4" i="26" s="1"/>
  <c r="K7" i="25"/>
  <c r="L7" i="25" s="1"/>
  <c r="K41" i="35"/>
  <c r="L41" i="35" s="1"/>
  <c r="K36" i="33"/>
  <c r="L36" i="33" s="1"/>
  <c r="K25" i="27"/>
  <c r="L25" i="27" s="1"/>
  <c r="K14" i="27"/>
  <c r="L14" i="27" s="1"/>
  <c r="K33" i="36"/>
  <c r="L33" i="36" s="1"/>
  <c r="K7" i="28"/>
  <c r="L7" i="28" s="1"/>
  <c r="K51" i="25"/>
  <c r="L51" i="25" s="1"/>
  <c r="K47" i="37"/>
  <c r="L47" i="37" s="1"/>
  <c r="K10" i="32"/>
  <c r="L10" i="32" s="1"/>
  <c r="K8" i="35"/>
  <c r="L8" i="35" s="1"/>
  <c r="K45" i="31"/>
  <c r="L45" i="31" s="1"/>
  <c r="K40" i="31"/>
  <c r="L40" i="31" s="1"/>
  <c r="K53" i="28"/>
  <c r="L53" i="28" s="1"/>
  <c r="K19" i="28"/>
  <c r="L19" i="28" s="1"/>
  <c r="K20" i="27"/>
  <c r="L20" i="27" s="1"/>
  <c r="K25" i="31"/>
  <c r="L25" i="31" s="1"/>
  <c r="K41" i="32"/>
  <c r="L41" i="32" s="1"/>
  <c r="K27" i="35"/>
  <c r="L27" i="35" s="1"/>
  <c r="K8" i="28"/>
  <c r="L8" i="28" s="1"/>
  <c r="K46" i="32"/>
  <c r="L46" i="32" s="1"/>
  <c r="K29" i="37"/>
  <c r="L29" i="37" s="1"/>
  <c r="K60" i="32"/>
  <c r="L60" i="32" s="1"/>
  <c r="K54" i="31"/>
  <c r="L54" i="31" s="1"/>
  <c r="K44" i="30"/>
  <c r="L44" i="30" s="1"/>
  <c r="K33" i="37"/>
  <c r="L33" i="37" s="1"/>
  <c r="K14" i="25"/>
  <c r="L14" i="25" s="1"/>
  <c r="K52" i="33"/>
  <c r="L52" i="33" s="1"/>
  <c r="K53" i="35"/>
  <c r="L53" i="35" s="1"/>
  <c r="K14" i="30"/>
  <c r="L14" i="30" s="1"/>
  <c r="K38" i="30"/>
  <c r="L38" i="30" s="1"/>
  <c r="K50" i="28"/>
  <c r="L50" i="28" s="1"/>
  <c r="K17" i="27"/>
  <c r="L17" i="27" s="1"/>
  <c r="K36" i="31"/>
  <c r="L36" i="31" s="1"/>
  <c r="K24" i="33"/>
  <c r="L24" i="33" s="1"/>
  <c r="K18" i="25"/>
  <c r="L18" i="25" s="1"/>
  <c r="K3" i="32"/>
  <c r="L3" i="32" s="1"/>
  <c r="K12" i="36"/>
  <c r="L12" i="36" s="1"/>
  <c r="K46" i="27"/>
  <c r="L46" i="27" s="1"/>
  <c r="K39" i="26"/>
  <c r="L39" i="26" s="1"/>
  <c r="K23" i="26"/>
  <c r="L23" i="26" s="1"/>
  <c r="K49" i="30"/>
  <c r="L49" i="30" s="1"/>
  <c r="K47" i="36"/>
  <c r="L47" i="36" s="1"/>
  <c r="K13" i="27"/>
  <c r="L13" i="27" s="1"/>
  <c r="K13" i="32"/>
  <c r="L13" i="32" s="1"/>
  <c r="K10" i="30"/>
  <c r="L10" i="30" s="1"/>
  <c r="K44" i="31"/>
  <c r="L44" i="31" s="1"/>
  <c r="K59" i="28"/>
  <c r="L59" i="28" s="1"/>
  <c r="K44" i="27"/>
  <c r="L44" i="27" s="1"/>
  <c r="K44" i="35"/>
  <c r="L44" i="35" s="1"/>
  <c r="K58" i="32"/>
  <c r="L58" i="32" s="1"/>
  <c r="K38" i="25"/>
  <c r="L38" i="25" s="1"/>
  <c r="K34" i="27"/>
  <c r="L34" i="27" s="1"/>
  <c r="K9" i="25"/>
  <c r="L9" i="25" s="1"/>
  <c r="K64" i="28"/>
  <c r="L64" i="28" s="1"/>
  <c r="K35" i="31"/>
  <c r="L35" i="31" s="1"/>
  <c r="K9" i="32"/>
  <c r="L9" i="32" s="1"/>
  <c r="K16" i="32"/>
  <c r="L16" i="32" s="1"/>
  <c r="K55" i="31"/>
  <c r="L55" i="31" s="1"/>
  <c r="K15" i="31"/>
  <c r="L15" i="31" s="1"/>
  <c r="K40" i="36"/>
  <c r="L40" i="36" s="1"/>
  <c r="K15" i="27"/>
  <c r="L15" i="27" s="1"/>
  <c r="K28" i="32"/>
  <c r="L28" i="32" s="1"/>
  <c r="K46" i="26"/>
  <c r="L46" i="26" s="1"/>
  <c r="K33" i="31"/>
  <c r="L33" i="31" s="1"/>
  <c r="K17" i="25"/>
  <c r="L17" i="25" s="1"/>
  <c r="K50" i="26"/>
  <c r="L50" i="26" s="1"/>
  <c r="K36" i="28"/>
  <c r="L36" i="28" s="1"/>
  <c r="K40" i="25"/>
  <c r="L40" i="25" s="1"/>
  <c r="K11" i="26"/>
  <c r="L11" i="26" s="1"/>
  <c r="K35" i="28"/>
  <c r="L35" i="28" s="1"/>
  <c r="K57" i="28"/>
  <c r="L57" i="28" s="1"/>
  <c r="K28" i="36"/>
  <c r="L28" i="36" s="1"/>
  <c r="K36" i="25"/>
  <c r="L36" i="25" s="1"/>
  <c r="K22" i="30"/>
  <c r="L22" i="30" s="1"/>
  <c r="K35" i="30"/>
  <c r="L35" i="30" s="1"/>
  <c r="K25" i="32"/>
  <c r="L25" i="32" s="1"/>
  <c r="K7" i="30"/>
  <c r="L7" i="30" s="1"/>
  <c r="K11" i="36"/>
  <c r="L11" i="36" s="1"/>
  <c r="K49" i="25"/>
  <c r="L49" i="25" s="1"/>
  <c r="K56" i="36"/>
  <c r="L56" i="36" s="1"/>
  <c r="K11" i="30"/>
  <c r="L11" i="30" s="1"/>
  <c r="K38" i="35"/>
  <c r="L38" i="35" s="1"/>
  <c r="K3" i="35"/>
  <c r="L3" i="35" s="1"/>
  <c r="K10" i="25"/>
  <c r="L10" i="25" s="1"/>
  <c r="K56" i="32"/>
  <c r="L56" i="32" s="1"/>
  <c r="K15" i="26"/>
  <c r="L15" i="26" s="1"/>
  <c r="K11" i="32"/>
  <c r="L11" i="32" s="1"/>
  <c r="K18" i="31"/>
  <c r="L18" i="31" s="1"/>
  <c r="K48" i="31"/>
  <c r="L48" i="31" s="1"/>
  <c r="K22" i="27"/>
  <c r="L22" i="27" s="1"/>
  <c r="K50" i="27"/>
  <c r="L50" i="27" s="1"/>
  <c r="Q13" i="37"/>
  <c r="S9" i="37"/>
  <c r="U40" i="37"/>
  <c r="L13" i="15"/>
  <c r="U41" i="37"/>
  <c r="M13" i="15"/>
  <c r="O6" i="37"/>
  <c r="Q14" i="35"/>
  <c r="Q14" i="33"/>
  <c r="Q14" i="32"/>
  <c r="Q14" i="3"/>
  <c r="Q14" i="27"/>
  <c r="Q14" i="30"/>
  <c r="Q36" i="27"/>
  <c r="Q37" i="27" s="1"/>
  <c r="Q17" i="28" l="1"/>
  <c r="Q17" i="30"/>
  <c r="Q17" i="37"/>
  <c r="Q15" i="37"/>
  <c r="O16" i="37" s="1"/>
  <c r="Q10" i="27"/>
  <c r="S36" i="28"/>
  <c r="S36" i="30"/>
  <c r="S36" i="37"/>
  <c r="S37" i="28" l="1"/>
  <c r="S37" i="30"/>
  <c r="S37" i="37"/>
  <c r="Q42" i="37"/>
  <c r="R5" i="37" s="1"/>
  <c r="D21" i="15"/>
  <c r="D20" i="15"/>
  <c r="D19" i="15"/>
  <c r="D17" i="15"/>
  <c r="D16" i="15"/>
  <c r="D15" i="15"/>
  <c r="D13" i="15"/>
  <c r="D12" i="15"/>
  <c r="D11" i="15"/>
  <c r="D9" i="15"/>
  <c r="D8" i="15"/>
  <c r="D7" i="15"/>
  <c r="S38" i="35"/>
  <c r="Q38" i="35"/>
  <c r="Q36" i="35"/>
  <c r="Q35" i="35"/>
  <c r="Q29" i="35"/>
  <c r="P5" i="35"/>
  <c r="Q11" i="35" s="1"/>
  <c r="S38" i="36"/>
  <c r="Q38" i="36"/>
  <c r="Q36" i="36"/>
  <c r="Q35" i="36"/>
  <c r="Q29" i="36"/>
  <c r="Q13" i="36"/>
  <c r="Q10" i="36"/>
  <c r="Q9" i="36"/>
  <c r="P5" i="36"/>
  <c r="O20" i="15" s="1"/>
  <c r="S38" i="33"/>
  <c r="Q38" i="33"/>
  <c r="Q36" i="33"/>
  <c r="Q37" i="33" s="1"/>
  <c r="Q35" i="33"/>
  <c r="Q29" i="33"/>
  <c r="P5" i="33"/>
  <c r="O5" i="32" a="1"/>
  <c r="O5" i="32" s="1"/>
  <c r="N17" i="15" s="1"/>
  <c r="S38" i="32"/>
  <c r="Q38" i="32"/>
  <c r="Q36" i="32"/>
  <c r="Q35" i="32"/>
  <c r="Q29" i="32"/>
  <c r="P5" i="32"/>
  <c r="S38" i="31"/>
  <c r="Q38" i="31"/>
  <c r="Q36" i="31"/>
  <c r="Q35" i="31"/>
  <c r="Q29" i="31"/>
  <c r="Q13" i="31"/>
  <c r="Q10" i="31"/>
  <c r="Q9" i="31"/>
  <c r="P5" i="31"/>
  <c r="Q11" i="31" s="1"/>
  <c r="S38" i="30"/>
  <c r="Q38" i="30"/>
  <c r="Q36" i="30"/>
  <c r="Q35" i="30"/>
  <c r="U35" i="27"/>
  <c r="O5" i="25" a="1"/>
  <c r="O5" i="25" s="1"/>
  <c r="N8" i="15" s="1"/>
  <c r="P5" i="30"/>
  <c r="S38" i="28"/>
  <c r="Q38" i="28"/>
  <c r="Q36" i="28"/>
  <c r="Q37" i="28" s="1"/>
  <c r="Q35" i="28"/>
  <c r="Q13" i="28"/>
  <c r="Q10" i="28"/>
  <c r="Q9" i="28"/>
  <c r="P5" i="28"/>
  <c r="O12" i="15" s="1"/>
  <c r="Q29" i="27"/>
  <c r="P5" i="27"/>
  <c r="S38" i="26"/>
  <c r="Q38" i="26"/>
  <c r="Q36" i="26"/>
  <c r="Q35" i="26"/>
  <c r="Q29" i="26"/>
  <c r="Q14" i="26"/>
  <c r="Q10" i="26"/>
  <c r="Q9" i="26"/>
  <c r="P5" i="26"/>
  <c r="O9" i="15" s="1"/>
  <c r="S38" i="25"/>
  <c r="Q38" i="25"/>
  <c r="Q36" i="25"/>
  <c r="Q35" i="25"/>
  <c r="Q29" i="25"/>
  <c r="Q13" i="25"/>
  <c r="Q10" i="25"/>
  <c r="Q9" i="25"/>
  <c r="P5" i="25"/>
  <c r="O8" i="15" s="1"/>
  <c r="S33" i="35"/>
  <c r="Q33" i="35"/>
  <c r="O5" i="35" a="1"/>
  <c r="O5" i="35" s="1"/>
  <c r="N21" i="15" s="1"/>
  <c r="S33" i="36"/>
  <c r="Q33" i="36"/>
  <c r="O5" i="36" a="1"/>
  <c r="O5" i="36" s="1"/>
  <c r="N20" i="15" s="1"/>
  <c r="S33" i="33"/>
  <c r="Q33" i="33"/>
  <c r="O5" i="33" a="1"/>
  <c r="O5" i="33" s="1"/>
  <c r="N19" i="15" s="1"/>
  <c r="S33" i="32"/>
  <c r="Q33" i="32"/>
  <c r="S33" i="31"/>
  <c r="Q33" i="31"/>
  <c r="O5" i="31" a="1"/>
  <c r="O5" i="31" s="1"/>
  <c r="N16" i="15" s="1"/>
  <c r="S33" i="30"/>
  <c r="Q33" i="30"/>
  <c r="O5" i="30" a="1"/>
  <c r="O5" i="30" s="1"/>
  <c r="N15" i="15" s="1"/>
  <c r="S33" i="28"/>
  <c r="Q33" i="28"/>
  <c r="O5" i="28" a="1"/>
  <c r="O5" i="28" s="1"/>
  <c r="N12" i="15" s="1"/>
  <c r="S33" i="27"/>
  <c r="Q33" i="27"/>
  <c r="O5" i="27" a="1"/>
  <c r="O5" i="27" s="1"/>
  <c r="N11" i="15" s="1"/>
  <c r="S33" i="26"/>
  <c r="Q33" i="26"/>
  <c r="O5" i="26" a="1"/>
  <c r="O5" i="26" s="1"/>
  <c r="N9" i="15" s="1"/>
  <c r="Q37" i="25" l="1"/>
  <c r="Q37" i="35"/>
  <c r="Q37" i="26"/>
  <c r="Q37" i="32"/>
  <c r="E14" i="2" s="1"/>
  <c r="Q37" i="36"/>
  <c r="Q37" i="30"/>
  <c r="E12" i="2" s="1"/>
  <c r="Q37" i="31"/>
  <c r="U36" i="37"/>
  <c r="Q11" i="26"/>
  <c r="Q39" i="26"/>
  <c r="E17" i="2"/>
  <c r="U38" i="35"/>
  <c r="Q39" i="32"/>
  <c r="S39" i="28"/>
  <c r="E13" i="2"/>
  <c r="E10" i="2"/>
  <c r="O11" i="15"/>
  <c r="Q11" i="27"/>
  <c r="U38" i="33"/>
  <c r="U38" i="36"/>
  <c r="U38" i="31"/>
  <c r="U38" i="27"/>
  <c r="U38" i="25"/>
  <c r="Q39" i="28"/>
  <c r="U38" i="28"/>
  <c r="U38" i="30"/>
  <c r="U38" i="26"/>
  <c r="U35" i="25"/>
  <c r="E16" i="2"/>
  <c r="U38" i="32"/>
  <c r="Q11" i="36"/>
  <c r="O19" i="15"/>
  <c r="Q11" i="33"/>
  <c r="O17" i="15"/>
  <c r="Q11" i="32"/>
  <c r="U35" i="36"/>
  <c r="U35" i="31"/>
  <c r="E15" i="2"/>
  <c r="U35" i="35"/>
  <c r="U35" i="33"/>
  <c r="U35" i="32"/>
  <c r="U35" i="28"/>
  <c r="E8" i="2"/>
  <c r="U35" i="26"/>
  <c r="U35" i="30"/>
  <c r="S39" i="25"/>
  <c r="O15" i="15"/>
  <c r="Q11" i="30"/>
  <c r="O21" i="15"/>
  <c r="O16" i="15"/>
  <c r="Q11" i="28"/>
  <c r="Q11" i="25"/>
  <c r="E9" i="2"/>
  <c r="Q39" i="35"/>
  <c r="Q39" i="36"/>
  <c r="S39" i="36"/>
  <c r="Q39" i="33"/>
  <c r="Q39" i="31"/>
  <c r="Q39" i="30"/>
  <c r="Q39" i="27"/>
  <c r="S39" i="27"/>
  <c r="Q39" i="25"/>
  <c r="E7" i="2"/>
  <c r="Q5" i="35"/>
  <c r="S39" i="35"/>
  <c r="Q5" i="36"/>
  <c r="Q5" i="33"/>
  <c r="S39" i="33"/>
  <c r="Q5" i="32"/>
  <c r="S39" i="32"/>
  <c r="Q5" i="31"/>
  <c r="S39" i="31"/>
  <c r="Q5" i="30"/>
  <c r="S39" i="30"/>
  <c r="Q5" i="28"/>
  <c r="Q5" i="27"/>
  <c r="Q5" i="26"/>
  <c r="S39" i="26"/>
  <c r="Q5" i="25"/>
  <c r="U39" i="26" l="1"/>
  <c r="U37" i="37"/>
  <c r="U39" i="32"/>
  <c r="U39" i="28"/>
  <c r="U39" i="25"/>
  <c r="U39" i="35"/>
  <c r="U39" i="36"/>
  <c r="U39" i="33"/>
  <c r="U39" i="31"/>
  <c r="U39" i="27"/>
  <c r="U39" i="30"/>
  <c r="O6" i="35"/>
  <c r="O6" i="36"/>
  <c r="O6" i="33"/>
  <c r="O6" i="32"/>
  <c r="O6" i="31"/>
  <c r="O6" i="30"/>
  <c r="O6" i="28"/>
  <c r="O6" i="27"/>
  <c r="O6" i="26"/>
  <c r="O6" i="25"/>
  <c r="S38" i="3" l="1"/>
  <c r="Q38" i="3"/>
  <c r="Q36" i="3"/>
  <c r="Q35" i="3"/>
  <c r="Q37" i="3" l="1"/>
  <c r="U38" i="3"/>
  <c r="E6" i="2"/>
  <c r="U35" i="3"/>
  <c r="S39" i="3"/>
  <c r="Q39" i="3"/>
  <c r="U39" i="3" l="1"/>
  <c r="Q8" i="3"/>
  <c r="Q8" i="35"/>
  <c r="Q8" i="32"/>
  <c r="Q8" i="33"/>
  <c r="Q8" i="27"/>
  <c r="S9" i="27" s="1"/>
  <c r="Q8" i="30"/>
  <c r="S9" i="30" s="1"/>
  <c r="Q8" i="31"/>
  <c r="S9" i="31" s="1"/>
  <c r="Q8" i="25"/>
  <c r="Q12" i="25" s="1"/>
  <c r="Q8" i="36"/>
  <c r="Q8" i="28"/>
  <c r="Q8" i="26"/>
  <c r="Q13" i="26" s="1"/>
  <c r="Q15" i="26" l="1"/>
  <c r="Q41" i="26"/>
  <c r="S9" i="3"/>
  <c r="Q13" i="27"/>
  <c r="D32" i="15" s="1"/>
  <c r="Q13" i="30"/>
  <c r="Q13" i="33"/>
  <c r="S9" i="33"/>
  <c r="S9" i="32"/>
  <c r="Q13" i="32"/>
  <c r="Q13" i="35"/>
  <c r="S9" i="35"/>
  <c r="Q12" i="31"/>
  <c r="D34" i="15" s="1"/>
  <c r="Q17" i="25"/>
  <c r="Q17" i="27"/>
  <c r="Q17" i="26"/>
  <c r="S9" i="26"/>
  <c r="S9" i="36"/>
  <c r="Q12" i="36"/>
  <c r="D35" i="15" s="1"/>
  <c r="F35" i="15" s="1"/>
  <c r="J35" i="15" s="1"/>
  <c r="Q12" i="28"/>
  <c r="D33" i="15" s="1"/>
  <c r="S9" i="28"/>
  <c r="S9" i="25"/>
  <c r="S36" i="25"/>
  <c r="S36" i="26"/>
  <c r="S36" i="27"/>
  <c r="S37" i="26" l="1"/>
  <c r="S37" i="27"/>
  <c r="S37" i="25"/>
  <c r="Q42" i="25"/>
  <c r="R5" i="25" s="1"/>
  <c r="Q42" i="27"/>
  <c r="G32" i="15" s="1"/>
  <c r="Q42" i="26"/>
  <c r="R5" i="26" s="1"/>
  <c r="H35" i="15"/>
  <c r="Q15" i="27"/>
  <c r="F32" i="15" s="1"/>
  <c r="J32" i="15" s="1"/>
  <c r="S40" i="30"/>
  <c r="S40" i="27"/>
  <c r="Q41" i="27"/>
  <c r="Q40" i="27"/>
  <c r="S41" i="27"/>
  <c r="S41" i="30"/>
  <c r="Q15" i="30"/>
  <c r="F33" i="15" s="1"/>
  <c r="J33" i="15" s="1"/>
  <c r="S41" i="28"/>
  <c r="S40" i="28"/>
  <c r="Q41" i="28"/>
  <c r="Q40" i="28"/>
  <c r="Q40" i="30"/>
  <c r="Q15" i="35"/>
  <c r="O16" i="35" s="1"/>
  <c r="S40" i="35"/>
  <c r="Q41" i="35"/>
  <c r="S41" i="35"/>
  <c r="Q40" i="35"/>
  <c r="Q41" i="33"/>
  <c r="S40" i="33"/>
  <c r="S41" i="33"/>
  <c r="Q15" i="33"/>
  <c r="F34" i="15" s="1"/>
  <c r="J34" i="15" s="1"/>
  <c r="Q40" i="33"/>
  <c r="Q41" i="30"/>
  <c r="S41" i="32"/>
  <c r="Q41" i="32"/>
  <c r="S40" i="32"/>
  <c r="Q15" i="32"/>
  <c r="O16" i="32" s="1"/>
  <c r="Q40" i="32"/>
  <c r="Q41" i="31"/>
  <c r="Q14" i="31"/>
  <c r="O15" i="31" s="1"/>
  <c r="Q40" i="31"/>
  <c r="S40" i="31"/>
  <c r="S41" i="31"/>
  <c r="Q40" i="26"/>
  <c r="O16" i="26"/>
  <c r="S40" i="26"/>
  <c r="S41" i="26"/>
  <c r="Q14" i="36"/>
  <c r="O15" i="36" s="1"/>
  <c r="S40" i="36"/>
  <c r="S41" i="36"/>
  <c r="Q41" i="36"/>
  <c r="Q40" i="36"/>
  <c r="Q14" i="28"/>
  <c r="O15" i="28" s="1"/>
  <c r="S41" i="25"/>
  <c r="Q41" i="25"/>
  <c r="Q40" i="25"/>
  <c r="Q14" i="25"/>
  <c r="O15" i="25" s="1"/>
  <c r="S40" i="25"/>
  <c r="H32" i="15" l="1"/>
  <c r="I32" i="15" s="1"/>
  <c r="H34" i="15"/>
  <c r="H33" i="15"/>
  <c r="R5" i="27"/>
  <c r="O16" i="33"/>
  <c r="O16" i="27"/>
  <c r="O16" i="30"/>
  <c r="U40" i="31"/>
  <c r="U41" i="26"/>
  <c r="U40" i="26"/>
  <c r="L17" i="15"/>
  <c r="U40" i="32"/>
  <c r="M19" i="15"/>
  <c r="U41" i="33"/>
  <c r="L21" i="15"/>
  <c r="U40" i="35"/>
  <c r="M17" i="15"/>
  <c r="U41" i="32"/>
  <c r="L16" i="15"/>
  <c r="M12" i="15"/>
  <c r="U41" i="28"/>
  <c r="M21" i="15"/>
  <c r="U41" i="35"/>
  <c r="M16" i="15"/>
  <c r="U41" i="31"/>
  <c r="L20" i="15"/>
  <c r="U40" i="36"/>
  <c r="M20" i="15"/>
  <c r="U41" i="36"/>
  <c r="L12" i="15"/>
  <c r="U40" i="28"/>
  <c r="L15" i="15"/>
  <c r="U40" i="30"/>
  <c r="L11" i="15"/>
  <c r="U40" i="27"/>
  <c r="L19" i="15"/>
  <c r="U40" i="33"/>
  <c r="M11" i="15"/>
  <c r="U41" i="27"/>
  <c r="M15" i="15"/>
  <c r="U41" i="30"/>
  <c r="U36" i="27"/>
  <c r="U36" i="26"/>
  <c r="M8" i="15"/>
  <c r="U41" i="25"/>
  <c r="L8" i="15"/>
  <c r="U40" i="25"/>
  <c r="U36" i="25"/>
  <c r="M9" i="15"/>
  <c r="L9" i="15"/>
  <c r="C20" i="15"/>
  <c r="C21" i="15"/>
  <c r="C19" i="15"/>
  <c r="C16" i="15"/>
  <c r="C17" i="15"/>
  <c r="C15" i="15"/>
  <c r="C12" i="15"/>
  <c r="C13" i="15"/>
  <c r="C11" i="15"/>
  <c r="C8" i="15"/>
  <c r="C9" i="15"/>
  <c r="C7" i="15"/>
  <c r="F7" i="15"/>
  <c r="F8" i="15"/>
  <c r="D23" i="2" l="1"/>
  <c r="D25" i="2"/>
  <c r="D24" i="2"/>
  <c r="U37" i="27"/>
  <c r="U37" i="26"/>
  <c r="U37" i="25"/>
  <c r="E8" i="15"/>
  <c r="E11" i="15"/>
  <c r="E21" i="15"/>
  <c r="D22" i="15"/>
  <c r="E20" i="15"/>
  <c r="E17" i="15"/>
  <c r="D18" i="15"/>
  <c r="D14" i="15"/>
  <c r="C22" i="15"/>
  <c r="E19" i="15"/>
  <c r="C18" i="15"/>
  <c r="E16" i="15"/>
  <c r="E15" i="15"/>
  <c r="E13" i="15"/>
  <c r="E12" i="15"/>
  <c r="C14" i="15"/>
  <c r="E7" i="15"/>
  <c r="C10" i="15"/>
  <c r="E9" i="15"/>
  <c r="D10" i="15"/>
  <c r="Q17" i="36" l="1"/>
  <c r="Q17" i="31"/>
  <c r="Q17" i="33"/>
  <c r="Q17" i="32"/>
  <c r="Q17" i="35"/>
  <c r="E14" i="15"/>
  <c r="C23" i="15"/>
  <c r="E18" i="15"/>
  <c r="E22" i="15"/>
  <c r="E10" i="15"/>
  <c r="D23" i="15"/>
  <c r="S36" i="36"/>
  <c r="S36" i="35"/>
  <c r="S36" i="32"/>
  <c r="S36" i="31"/>
  <c r="S36" i="33"/>
  <c r="S37" i="35" l="1"/>
  <c r="S37" i="33"/>
  <c r="S37" i="32"/>
  <c r="S37" i="31"/>
  <c r="S37" i="36"/>
  <c r="Q42" i="28"/>
  <c r="R5" i="28" s="1"/>
  <c r="Q42" i="33"/>
  <c r="G34" i="15" s="1"/>
  <c r="I34" i="15" s="1"/>
  <c r="Q42" i="32"/>
  <c r="R5" i="32" s="1"/>
  <c r="Q42" i="31"/>
  <c r="R5" i="31" s="1"/>
  <c r="Q42" i="35"/>
  <c r="G35" i="15" s="1"/>
  <c r="I35" i="15" s="1"/>
  <c r="Q42" i="30"/>
  <c r="G33" i="15" s="1"/>
  <c r="I33" i="15" s="1"/>
  <c r="Q42" i="36"/>
  <c r="R5" i="36" s="1"/>
  <c r="D27" i="2"/>
  <c r="E23" i="15"/>
  <c r="O5" i="3" a="1"/>
  <c r="O5" i="3" s="1"/>
  <c r="N7" i="15" s="1"/>
  <c r="N10" i="15" s="1"/>
  <c r="R5" i="33" l="1"/>
  <c r="R5" i="30"/>
  <c r="R5" i="35"/>
  <c r="U36" i="35"/>
  <c r="U36" i="36"/>
  <c r="U36" i="33"/>
  <c r="U36" i="32"/>
  <c r="U36" i="31"/>
  <c r="U36" i="30"/>
  <c r="U36" i="28"/>
  <c r="F21" i="15"/>
  <c r="F20" i="15"/>
  <c r="F19" i="15"/>
  <c r="F17" i="15"/>
  <c r="F16" i="15"/>
  <c r="F15" i="15"/>
  <c r="F13" i="15"/>
  <c r="F12" i="15"/>
  <c r="F11" i="15"/>
  <c r="F9" i="15"/>
  <c r="K82" i="3"/>
  <c r="L82" i="3" s="1"/>
  <c r="K81" i="3"/>
  <c r="L81" i="3" s="1"/>
  <c r="K80" i="3"/>
  <c r="L80" i="3" s="1"/>
  <c r="K79" i="3"/>
  <c r="L79" i="3" s="1"/>
  <c r="K78" i="3"/>
  <c r="L78" i="3" s="1"/>
  <c r="K77" i="3"/>
  <c r="L77" i="3" s="1"/>
  <c r="K76" i="3"/>
  <c r="L76" i="3" s="1"/>
  <c r="K75" i="3"/>
  <c r="L75" i="3" s="1"/>
  <c r="K74" i="3"/>
  <c r="L74" i="3" s="1"/>
  <c r="K73" i="3"/>
  <c r="L73" i="3" s="1"/>
  <c r="K72" i="3"/>
  <c r="L72" i="3" s="1"/>
  <c r="K71" i="3"/>
  <c r="L71" i="3" s="1"/>
  <c r="K70" i="3"/>
  <c r="L70" i="3" s="1"/>
  <c r="K69" i="3"/>
  <c r="L69" i="3" s="1"/>
  <c r="K68" i="3"/>
  <c r="L68" i="3" s="1"/>
  <c r="K67" i="3"/>
  <c r="L67" i="3" s="1"/>
  <c r="K66" i="3"/>
  <c r="L66" i="3" s="1"/>
  <c r="K65" i="3"/>
  <c r="L65" i="3" s="1"/>
  <c r="K64" i="3"/>
  <c r="L64" i="3" s="1"/>
  <c r="K63" i="3"/>
  <c r="L63" i="3" s="1"/>
  <c r="K62" i="3"/>
  <c r="L62" i="3" s="1"/>
  <c r="K61" i="3"/>
  <c r="L61" i="3" s="1"/>
  <c r="K60" i="3"/>
  <c r="L60" i="3" s="1"/>
  <c r="K59" i="3"/>
  <c r="L59" i="3" s="1"/>
  <c r="K58" i="3"/>
  <c r="L58" i="3" s="1"/>
  <c r="K57" i="3"/>
  <c r="L57" i="3" s="1"/>
  <c r="K56" i="3"/>
  <c r="L56" i="3" s="1"/>
  <c r="K55" i="3"/>
  <c r="L55" i="3" s="1"/>
  <c r="K54" i="3"/>
  <c r="L54" i="3" s="1"/>
  <c r="K53" i="3"/>
  <c r="L53" i="3" s="1"/>
  <c r="K52" i="3"/>
  <c r="L52" i="3" s="1"/>
  <c r="K51" i="3"/>
  <c r="L51" i="3" s="1"/>
  <c r="K50" i="3"/>
  <c r="L50" i="3" s="1"/>
  <c r="K49" i="3"/>
  <c r="L49" i="3" s="1"/>
  <c r="K48" i="3"/>
  <c r="L48" i="3" s="1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K41" i="3"/>
  <c r="L41" i="3" s="1"/>
  <c r="K40" i="3"/>
  <c r="L40" i="3" s="1"/>
  <c r="K39" i="3"/>
  <c r="L39" i="3" s="1"/>
  <c r="K38" i="3"/>
  <c r="L38" i="3" s="1"/>
  <c r="K37" i="3"/>
  <c r="L37" i="3" s="1"/>
  <c r="K36" i="3"/>
  <c r="L36" i="3" s="1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L7" i="3" s="1"/>
  <c r="K6" i="3"/>
  <c r="L6" i="3" s="1"/>
  <c r="K5" i="3"/>
  <c r="L5" i="3" s="1"/>
  <c r="K4" i="3"/>
  <c r="L4" i="3" s="1"/>
  <c r="P5" i="3"/>
  <c r="K3" i="3"/>
  <c r="L3" i="3" s="1"/>
  <c r="Q17" i="3" l="1"/>
  <c r="D26" i="2"/>
  <c r="D30" i="2"/>
  <c r="D29" i="2"/>
  <c r="D28" i="2"/>
  <c r="D31" i="2"/>
  <c r="D33" i="2"/>
  <c r="F10" i="15"/>
  <c r="D32" i="2"/>
  <c r="O7" i="15"/>
  <c r="P7" i="15" s="1"/>
  <c r="Q11" i="3"/>
  <c r="Q13" i="3" s="1"/>
  <c r="U37" i="35"/>
  <c r="U37" i="36"/>
  <c r="U37" i="33"/>
  <c r="U37" i="32"/>
  <c r="U37" i="31"/>
  <c r="U37" i="30"/>
  <c r="U37" i="28"/>
  <c r="O14" i="15"/>
  <c r="I9" i="15"/>
  <c r="I8" i="15"/>
  <c r="I11" i="15"/>
  <c r="I21" i="15"/>
  <c r="F22" i="15"/>
  <c r="F18" i="15"/>
  <c r="I20" i="15"/>
  <c r="I19" i="15"/>
  <c r="I16" i="15"/>
  <c r="I15" i="15"/>
  <c r="I17" i="15"/>
  <c r="F14" i="15"/>
  <c r="P12" i="15"/>
  <c r="I12" i="15"/>
  <c r="Q5" i="3"/>
  <c r="O6" i="3" s="1"/>
  <c r="P13" i="15"/>
  <c r="S36" i="3"/>
  <c r="S37" i="3" l="1"/>
  <c r="Q42" i="3"/>
  <c r="R5" i="3" s="1"/>
  <c r="Q15" i="3"/>
  <c r="O16" i="3" s="1"/>
  <c r="S41" i="3"/>
  <c r="Q41" i="3"/>
  <c r="Q40" i="3"/>
  <c r="S40" i="3"/>
  <c r="I7" i="15"/>
  <c r="I10" i="15" s="1"/>
  <c r="P9" i="15"/>
  <c r="P20" i="15"/>
  <c r="P8" i="15"/>
  <c r="O10" i="15"/>
  <c r="P16" i="15"/>
  <c r="I22" i="15"/>
  <c r="F23" i="15"/>
  <c r="I14" i="15"/>
  <c r="I18" i="15"/>
  <c r="N22" i="15"/>
  <c r="N18" i="15"/>
  <c r="P17" i="15"/>
  <c r="P15" i="15"/>
  <c r="N14" i="15"/>
  <c r="P14" i="15" s="1"/>
  <c r="P11" i="15"/>
  <c r="O18" i="15"/>
  <c r="P19" i="15"/>
  <c r="O22" i="15"/>
  <c r="P21" i="15"/>
  <c r="D22" i="2" l="1"/>
  <c r="U36" i="3"/>
  <c r="I23" i="15"/>
  <c r="L7" i="15"/>
  <c r="U40" i="3"/>
  <c r="M7" i="15"/>
  <c r="U41" i="3"/>
  <c r="P10" i="15"/>
  <c r="P18" i="15"/>
  <c r="N23" i="15"/>
  <c r="O23" i="15"/>
  <c r="P22" i="15"/>
  <c r="U37" i="3" l="1"/>
  <c r="M18" i="15"/>
  <c r="M22" i="15"/>
  <c r="M10" i="15"/>
  <c r="L10" i="15"/>
  <c r="L18" i="15"/>
  <c r="P23" i="15"/>
  <c r="L22" i="15"/>
  <c r="L14" i="15" l="1"/>
  <c r="L23" i="15" s="1"/>
  <c r="M14" i="15"/>
  <c r="M23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<sst xmlns="http://schemas.openxmlformats.org/spreadsheetml/2006/main" count="4882" uniqueCount="562">
  <si>
    <t>KV Gruppe</t>
  </si>
  <si>
    <t>Monatslohn</t>
  </si>
  <si>
    <t>BG1</t>
  </si>
  <si>
    <t>BG1_5</t>
  </si>
  <si>
    <t>BG1_10</t>
  </si>
  <si>
    <t>BG1_15</t>
  </si>
  <si>
    <t>BG2</t>
  </si>
  <si>
    <t>BG2_5</t>
  </si>
  <si>
    <t>BG2_10</t>
  </si>
  <si>
    <t>BG2_15</t>
  </si>
  <si>
    <t>BG3</t>
  </si>
  <si>
    <t>BG3_5</t>
  </si>
  <si>
    <t>BG3_10</t>
  </si>
  <si>
    <t>BG3_15</t>
  </si>
  <si>
    <t>Budget Zahlen</t>
  </si>
  <si>
    <t>URLAUB ABBAU</t>
  </si>
  <si>
    <t>MUSTERDIENSTPLAN STUNDEN</t>
  </si>
  <si>
    <t>NACHTZUSCHLÄGE</t>
  </si>
  <si>
    <t>SALES</t>
  </si>
  <si>
    <t>CREW LABOR</t>
  </si>
  <si>
    <t>CREW LABOR %</t>
  </si>
  <si>
    <t>GUEST COUNT</t>
  </si>
  <si>
    <t>monatlich/stunden</t>
  </si>
  <si>
    <t>monatlich/eurowert</t>
  </si>
  <si>
    <t>Jänner:</t>
  </si>
  <si>
    <t>Februar:</t>
  </si>
  <si>
    <t>Febuar:</t>
  </si>
  <si>
    <t>März:</t>
  </si>
  <si>
    <t>April:</t>
  </si>
  <si>
    <t>Mai:</t>
  </si>
  <si>
    <t>Juni:</t>
  </si>
  <si>
    <t>Juli:</t>
  </si>
  <si>
    <t>August:</t>
  </si>
  <si>
    <t>September:</t>
  </si>
  <si>
    <t>Oktober:</t>
  </si>
  <si>
    <t>November:</t>
  </si>
  <si>
    <t>Dezember:</t>
  </si>
  <si>
    <t>Projection/Aktuell Zahlen</t>
  </si>
  <si>
    <t>FEIERTAGSTUNDEN</t>
  </si>
  <si>
    <t>KRANKSTUNDEN</t>
  </si>
  <si>
    <t>Name</t>
  </si>
  <si>
    <t>Stunden</t>
  </si>
  <si>
    <t>Lohn</t>
  </si>
  <si>
    <t>Aktuelle Stunden</t>
  </si>
  <si>
    <t>Offene Urlaubstage</t>
  </si>
  <si>
    <t>Urlaub in €</t>
  </si>
  <si>
    <t>Letztes Gehalt</t>
  </si>
  <si>
    <t>Bemerkung</t>
  </si>
  <si>
    <t>1.</t>
  </si>
  <si>
    <t>U-Aufbau</t>
  </si>
  <si>
    <t>U-Abbau</t>
  </si>
  <si>
    <t>Diff.</t>
  </si>
  <si>
    <t>Diff. (€)</t>
  </si>
  <si>
    <t>2.</t>
  </si>
  <si>
    <t>3.</t>
  </si>
  <si>
    <t>4.</t>
  </si>
  <si>
    <t>5.</t>
  </si>
  <si>
    <t>6.</t>
  </si>
  <si>
    <t>Gesamt Crew Stunden:</t>
  </si>
  <si>
    <t>7.</t>
  </si>
  <si>
    <t>Krankstunden:</t>
  </si>
  <si>
    <t>8.</t>
  </si>
  <si>
    <t>Feiertagstunden:</t>
  </si>
  <si>
    <t>9.</t>
  </si>
  <si>
    <t>Urlaubsstunden:</t>
  </si>
  <si>
    <t>10.</t>
  </si>
  <si>
    <t>Vormonat +/- Stunden</t>
  </si>
  <si>
    <t>11.</t>
  </si>
  <si>
    <t>Verfügbare Stunden für DPL:</t>
  </si>
  <si>
    <t>12.</t>
  </si>
  <si>
    <t>Musterdienstplan Stunden:</t>
  </si>
  <si>
    <t>13.</t>
  </si>
  <si>
    <t>Stunden Differenz:</t>
  </si>
  <si>
    <t>14.</t>
  </si>
  <si>
    <t>15.</t>
  </si>
  <si>
    <t>Reine Laborcost:</t>
  </si>
  <si>
    <t>16.</t>
  </si>
  <si>
    <t>17.</t>
  </si>
  <si>
    <t>18.</t>
  </si>
  <si>
    <t>Jubileumsgeld:</t>
  </si>
  <si>
    <t>19.</t>
  </si>
  <si>
    <t>20.</t>
  </si>
  <si>
    <t>21.</t>
  </si>
  <si>
    <t>22.</t>
  </si>
  <si>
    <t>23.</t>
  </si>
  <si>
    <t>24.</t>
  </si>
  <si>
    <t>25.</t>
  </si>
  <si>
    <t>Die Zellen werden nicht mitkopiert.</t>
  </si>
  <si>
    <t>26.</t>
  </si>
  <si>
    <t>27.</t>
  </si>
  <si>
    <t>Nachtzuschlag:</t>
  </si>
  <si>
    <t>28.</t>
  </si>
  <si>
    <t>29.</t>
  </si>
  <si>
    <t>FLUKTUATION</t>
  </si>
  <si>
    <t>30.</t>
  </si>
  <si>
    <t>31.</t>
  </si>
  <si>
    <t>Budget</t>
  </si>
  <si>
    <t>Aktuell/Projection</t>
  </si>
  <si>
    <t>Differenz</t>
  </si>
  <si>
    <t>32.</t>
  </si>
  <si>
    <t>33.</t>
  </si>
  <si>
    <t>Sales</t>
  </si>
  <si>
    <t>34.</t>
  </si>
  <si>
    <t>Crew Labor Summe</t>
  </si>
  <si>
    <t>35.</t>
  </si>
  <si>
    <t>Crew Labor Prozent</t>
  </si>
  <si>
    <t>36.</t>
  </si>
  <si>
    <t>Guest Count (GC)</t>
  </si>
  <si>
    <t>37.</t>
  </si>
  <si>
    <t>Durchschnittverkauf (AVG)</t>
  </si>
  <si>
    <t>38.</t>
  </si>
  <si>
    <t>Sales Produktivität</t>
  </si>
  <si>
    <t>39.</t>
  </si>
  <si>
    <t>GC's Produktivität</t>
  </si>
  <si>
    <t>40.</t>
  </si>
  <si>
    <t>AVG Bruttolohn</t>
  </si>
  <si>
    <t>41.</t>
  </si>
  <si>
    <t>42.</t>
  </si>
  <si>
    <t>Wähle das Eintrittsdatum eines bestimmten Mitarbeiters aus, und du erfährst, seit wann er im Unternehmen tätig ist:</t>
  </si>
  <si>
    <t>43.</t>
  </si>
  <si>
    <t>44.</t>
  </si>
  <si>
    <t>45.</t>
  </si>
  <si>
    <t>46.</t>
  </si>
  <si>
    <t>47.</t>
  </si>
  <si>
    <t>48.</t>
  </si>
  <si>
    <t>49.</t>
  </si>
  <si>
    <t>50.</t>
  </si>
  <si>
    <t>51.</t>
  </si>
  <si>
    <t>52.</t>
  </si>
  <si>
    <t>53.</t>
  </si>
  <si>
    <t>54.</t>
  </si>
  <si>
    <t>55.</t>
  </si>
  <si>
    <t>56.</t>
  </si>
  <si>
    <t>57.</t>
  </si>
  <si>
    <t>58.</t>
  </si>
  <si>
    <t>59.</t>
  </si>
  <si>
    <t>60.</t>
  </si>
  <si>
    <t>61.</t>
  </si>
  <si>
    <t>62.</t>
  </si>
  <si>
    <t>63.</t>
  </si>
  <si>
    <t>64.</t>
  </si>
  <si>
    <t>65.</t>
  </si>
  <si>
    <t>66.</t>
  </si>
  <si>
    <t>67.</t>
  </si>
  <si>
    <t>68.</t>
  </si>
  <si>
    <t>69.</t>
  </si>
  <si>
    <t>70.</t>
  </si>
  <si>
    <t>71.</t>
  </si>
  <si>
    <t>72.</t>
  </si>
  <si>
    <t>73.</t>
  </si>
  <si>
    <t>74.</t>
  </si>
  <si>
    <t>75.</t>
  </si>
  <si>
    <t>76.</t>
  </si>
  <si>
    <t>77.</t>
  </si>
  <si>
    <t>78.</t>
  </si>
  <si>
    <t>79.</t>
  </si>
  <si>
    <t>80.</t>
  </si>
  <si>
    <t>Durchrechnung:</t>
  </si>
  <si>
    <t>Austritte:</t>
  </si>
  <si>
    <t>Nachtzuschläge:</t>
  </si>
  <si>
    <t>RST ABFT Service Cost</t>
  </si>
  <si>
    <t>REST JUB Service Cost</t>
  </si>
  <si>
    <t>RST ABFT Interest Cost</t>
  </si>
  <si>
    <t>RST JUB Interest Cost</t>
  </si>
  <si>
    <t>CREW LABOR SUMME</t>
  </si>
  <si>
    <t>CREW LABOR PROZENT</t>
  </si>
  <si>
    <t>PRODUKTIVITÄT SALES</t>
  </si>
  <si>
    <t>PRODUKTIVITÄT GC`S</t>
  </si>
  <si>
    <t>URLAUB</t>
  </si>
  <si>
    <t>BUDGET</t>
  </si>
  <si>
    <t>IST</t>
  </si>
  <si>
    <t>DIFFERENZ</t>
  </si>
  <si>
    <t>AUFBAU</t>
  </si>
  <si>
    <t>ABBAU</t>
  </si>
  <si>
    <t>Jänner</t>
  </si>
  <si>
    <t>Febuar</t>
  </si>
  <si>
    <t>März</t>
  </si>
  <si>
    <t>Q1</t>
  </si>
  <si>
    <t>April</t>
  </si>
  <si>
    <t>Mai</t>
  </si>
  <si>
    <t>Juni</t>
  </si>
  <si>
    <t>Q2</t>
  </si>
  <si>
    <t>Juli</t>
  </si>
  <si>
    <t>August</t>
  </si>
  <si>
    <t>September</t>
  </si>
  <si>
    <t>Q3</t>
  </si>
  <si>
    <t>Oktober</t>
  </si>
  <si>
    <t>November</t>
  </si>
  <si>
    <t>Dezember</t>
  </si>
  <si>
    <t>Q4</t>
  </si>
  <si>
    <t>© 2025 Adam Nagy – McOpCo Austria  
Developed exclusively for internal operational use.</t>
  </si>
  <si>
    <t>Personal ID</t>
  </si>
  <si>
    <t>Eintritts-datum</t>
  </si>
  <si>
    <t>Austritts-datum</t>
  </si>
  <si>
    <t>Austrittsgrund</t>
  </si>
  <si>
    <t>Einvernehmliche Auflösung</t>
  </si>
  <si>
    <t>Karenz</t>
  </si>
  <si>
    <t>Dienstgeber Kündigung</t>
  </si>
  <si>
    <t>Gewicht</t>
  </si>
  <si>
    <t>Storetransfer</t>
  </si>
  <si>
    <t>Beförderung</t>
  </si>
  <si>
    <t>Nicht eingetreten</t>
  </si>
  <si>
    <t>Befristung Ende</t>
  </si>
  <si>
    <t>Probezeit beendet</t>
  </si>
  <si>
    <t>Berechtigter vorzeitiger Austritt</t>
  </si>
  <si>
    <t>Dienstnehmer Kündigung</t>
  </si>
  <si>
    <t>Unberechtigter vorzeitiger Austritt</t>
  </si>
  <si>
    <t>Sonstiges</t>
  </si>
  <si>
    <t>Betriebszugehörigkeit</t>
  </si>
  <si>
    <t>Faktor</t>
  </si>
  <si>
    <t>0-30 Tage</t>
  </si>
  <si>
    <t>31-90 Tage</t>
  </si>
  <si>
    <t>91-180 Tage</t>
  </si>
  <si>
    <t>181-365 Tage</t>
  </si>
  <si>
    <t>1-2 Jahre</t>
  </si>
  <si>
    <t>2-5 Jahre</t>
  </si>
  <si>
    <t>5+ Jahre</t>
  </si>
  <si>
    <t>Monat</t>
  </si>
  <si>
    <t>Eintrittsdatum</t>
  </si>
  <si>
    <t>Austrittsdatum</t>
  </si>
  <si>
    <t>Grund-Gewicht</t>
  </si>
  <si>
    <t>Zeit-Faktor</t>
  </si>
  <si>
    <t>Kategorie</t>
  </si>
  <si>
    <t>Austritte gesamt</t>
  </si>
  <si>
    <t>Tage im Unternehmen</t>
  </si>
  <si>
    <t>Verlust-Score</t>
  </si>
  <si>
    <t>Verlust erfahrener Mitarbeiter</t>
  </si>
  <si>
    <t>Wichtige Austritte</t>
  </si>
  <si>
    <t>Neutrale Bewegung</t>
  </si>
  <si>
    <t>Austritte</t>
  </si>
  <si>
    <t>Austritt in den ersten 90 Tagen</t>
  </si>
  <si>
    <t>Wichtiger Austritt</t>
  </si>
  <si>
    <t>Aktuelle Jahresfluktuation</t>
  </si>
  <si>
    <t>Fluktuation %</t>
  </si>
  <si>
    <t>Zeigt die Fluktuation vom Jahresbeginn bis zum aktuellen Auswertungsmonat. Der Wert wird nicht auf das ganze Jahr hochgerechnet.</t>
  </si>
  <si>
    <t>DINDIC Vanja</t>
  </si>
  <si>
    <t>KNEISSL Erna</t>
  </si>
  <si>
    <t>SUN Sovanmealy</t>
  </si>
  <si>
    <t>PHOO-IN Sunari</t>
  </si>
  <si>
    <t>DELIC Snjezana</t>
  </si>
  <si>
    <t>NOU Satyaroth</t>
  </si>
  <si>
    <t>PRAHER Meraflor</t>
  </si>
  <si>
    <t>SAHBAZ Refika</t>
  </si>
  <si>
    <t>MINEVA Kremena</t>
  </si>
  <si>
    <t>MATEI Elena</t>
  </si>
  <si>
    <t>HEGEDUS Nikolett</t>
  </si>
  <si>
    <t>MOISA Marian</t>
  </si>
  <si>
    <t>SENG Dalin</t>
  </si>
  <si>
    <t>MILETIC Nikolina</t>
  </si>
  <si>
    <t>PAIOR Imre-Oliver</t>
  </si>
  <si>
    <t>DUCA Melinda</t>
  </si>
  <si>
    <t>DJEKANOVIC Obrenka</t>
  </si>
  <si>
    <t>SAFI Najeeb</t>
  </si>
  <si>
    <t>JUNDANG Akson</t>
  </si>
  <si>
    <t>TURSUNOVIC Dzemila</t>
  </si>
  <si>
    <t>AL ALI Yaser</t>
  </si>
  <si>
    <t>PATAKI Barbara</t>
  </si>
  <si>
    <t>CORIC Marko</t>
  </si>
  <si>
    <t>SALAMON Jozsefne</t>
  </si>
  <si>
    <t>DECSI Ferenc</t>
  </si>
  <si>
    <t>SALA Dorina-Daniela</t>
  </si>
  <si>
    <t>TINCA Alexandra</t>
  </si>
  <si>
    <t>SZABO Greta</t>
  </si>
  <si>
    <t>SAFI Fahim</t>
  </si>
  <si>
    <t>ALIPOUR Mohsen</t>
  </si>
  <si>
    <t>ZDRENDEA Mariana-Rodica</t>
  </si>
  <si>
    <t>SHEGIWAL Mosawir</t>
  </si>
  <si>
    <t>VOJNIKOVIC Alma</t>
  </si>
  <si>
    <t>ALALI ALSHEKH Jawad</t>
  </si>
  <si>
    <t>NIYAZI Faisal</t>
  </si>
  <si>
    <t>HOVHANNISYAN Tigran</t>
  </si>
  <si>
    <t>KHAN Imran</t>
  </si>
  <si>
    <t>JMO Mohammed</t>
  </si>
  <si>
    <t>PUTRO Arian</t>
  </si>
  <si>
    <t>PUTRO Majlinda</t>
  </si>
  <si>
    <t>VAJGEL Alexandra</t>
  </si>
  <si>
    <t>SAFI Sharafat</t>
  </si>
  <si>
    <t>KHALEQYAR Faisal</t>
  </si>
  <si>
    <t>ADAMEK Mischelle</t>
  </si>
  <si>
    <t>TURGUT Zehra</t>
  </si>
  <si>
    <t>SHAJU Aneeta</t>
  </si>
  <si>
    <t>PATTIKKADAN Swalih</t>
  </si>
  <si>
    <t>AHANIAN Taron</t>
  </si>
  <si>
    <t>YARI Rahmatullah</t>
  </si>
  <si>
    <t>RAUFI Saberullah</t>
  </si>
  <si>
    <t>SAFIZADEH Parwan</t>
  </si>
  <si>
    <t>PANAGIOTIDOU Sousanna</t>
  </si>
  <si>
    <t>Durchschnittlicher Verlust-Score</t>
  </si>
  <si>
    <t>Durchschnitt</t>
  </si>
  <si>
    <t>Januar</t>
  </si>
  <si>
    <t>Normaler Austritt</t>
  </si>
  <si>
    <t>Austritt vorhanden, aktuell nicht kritisch. Entwicklung beobachten.</t>
  </si>
  <si>
    <t>KV-SCHEMA PFLEGE</t>
  </si>
  <si>
    <t>Basis / bis 5 Jahre</t>
  </si>
  <si>
    <t>5 bis 10 Jahre</t>
  </si>
  <si>
    <t>10 bis 15 Jahre</t>
  </si>
  <si>
    <t>über 15 Jahre</t>
  </si>
  <si>
    <t>KV-Periode</t>
  </si>
  <si>
    <t>KV-Gruppe</t>
  </si>
  <si>
    <t>Monatsstunden</t>
  </si>
  <si>
    <t>Status</t>
  </si>
  <si>
    <t>KV-Code</t>
  </si>
  <si>
    <t>BG1_Basis</t>
  </si>
  <si>
    <t>BG2_Basis</t>
  </si>
  <si>
    <t>BG3_Basis</t>
  </si>
  <si>
    <t>KV 2025/2026</t>
  </si>
  <si>
    <t>Monats-Hinweis</t>
  </si>
  <si>
    <t>Dienstgeber Kuendigung</t>
  </si>
  <si>
    <t>Austrittsgruende</t>
  </si>
  <si>
    <t>Dienstgeber Kuendigung (1)</t>
  </si>
  <si>
    <t>Kurz erklaert</t>
  </si>
  <si>
    <t>Der Verlust-Score zeigt, wie schwer ein Austritt fuer das Restaurant bewertet wird. Er besteht aus Austrittsgrund und Dauer der Betriebszugehoerigkeit.</t>
  </si>
  <si>
    <t>Durchschnittlicher Verlust-Score pro Austritt. Je hoeher der Wert, desto schwerer wiegen die Austritte im Durchschnitt.</t>
  </si>
  <si>
    <t>Ein Austritt kurz nach Eintritt. Das kann auf Recruiting, Onboarding, Training oder erste Dienstplaene hinweisen.</t>
  </si>
  <si>
    <t>Ein erfahrener Mitarbeiter verlaesst das Restaurant. Das bedeutet meist Wissensverlust, Stabilitaetsverlust und hoeheren Nachbesetzungsaufwand.</t>
  </si>
  <si>
    <t>Ein Austritt mit erhoehtem Verlust-Score. Die Bewertung entsteht automatisch aus Austrittsgrund und Betriebszugehoerigkeit.</t>
  </si>
  <si>
    <t>Storetransfer, Befoerderung, Karenz oder Nicht eingetreten werden nicht negativ bewertet.</t>
  </si>
  <si>
    <t>Unvollstaendiger Austritt</t>
  </si>
  <si>
    <t>Der Austrittsgrund fehlt oder ist unbekannt. Diese Austritte muessen geprueft und ergaenzt werden.</t>
  </si>
  <si>
    <t>teszt karcsi</t>
  </si>
  <si>
    <t>asd</t>
  </si>
  <si>
    <t>Marz</t>
  </si>
  <si>
    <t>Dienstnehmer Kuendigung</t>
  </si>
  <si>
    <t>Erste 90 Tage</t>
  </si>
  <si>
    <t>Dienstnehmer Kuendigung (1)</t>
  </si>
  <si>
    <t>Austritt in den ersten 90 Tagen. Onboarding, Training und erste Dienstplaene pruefen.</t>
  </si>
  <si>
    <t>Rigo Janos</t>
  </si>
  <si>
    <t>Wichtiger Austritt. Arbeitsklima, Fuehrung und Kommunikation pruefen.</t>
  </si>
  <si>
    <t>Aprilisban Jottem</t>
  </si>
  <si>
    <t>Majus Mate</t>
  </si>
  <si>
    <t>Vadiuj Test</t>
  </si>
  <si>
    <t>vegso teszt</t>
  </si>
  <si>
    <t>Marika</t>
  </si>
  <si>
    <t>Janoska</t>
  </si>
  <si>
    <t>Ferike</t>
  </si>
  <si>
    <t>Janika</t>
  </si>
  <si>
    <t>GERGO</t>
  </si>
  <si>
    <t>Year</t>
  </si>
  <si>
    <t>Month</t>
  </si>
  <si>
    <t>EmployeeKey</t>
  </si>
  <si>
    <t>Field</t>
  </si>
  <si>
    <t>Value</t>
  </si>
  <si>
    <t>Gueltig ab</t>
  </si>
  <si>
    <t>Gueltig bis</t>
  </si>
  <si>
    <t>Beschaeftigungsdauer</t>
  </si>
  <si>
    <t>Pruefung</t>
  </si>
  <si>
    <t>KV 2025/2026   |   gueltig von 01.05.2025 bis 30.04.2026</t>
  </si>
  <si>
    <t>Agika</t>
  </si>
  <si>
    <t>Pityuka</t>
  </si>
  <si>
    <t>Februar</t>
  </si>
  <si>
    <t>Erfahrene MA</t>
  </si>
  <si>
    <t>Erfahrener Mitarbeiter ausgeschieden. Mitarbeiterbindung und Teamstabilitaet pruefen.</t>
  </si>
  <si>
    <t>Wichtig: Alte Perioden nicht von Hand loeschen. Dafuer Button "3) Alte Periode loeschen" nutzen. Neue Werte ab Mai = Button "1) Neue Periode". Sondervertrag-Stunden = Button "2) Eigene Stunden". Bei Unsicherheit: Button "Hilfe". Nur Zeilen mit Status OK verwenden.</t>
  </si>
  <si>
    <t>AKTUELLES JAHR</t>
  </si>
  <si>
    <t>Einvernehmliche Aufloesung</t>
  </si>
  <si>
    <t>Dienstnehmer Kuendigung (1), Dienstgeber Kuendigung (1)</t>
  </si>
  <si>
    <t>700000|AGIKA</t>
  </si>
  <si>
    <t>F</t>
  </si>
  <si>
    <t>401308|MATEI ELENA</t>
  </si>
  <si>
    <t>Unberechtigter vorzeitiger Austritt (1)</t>
  </si>
  <si>
    <t>Einvernehmliche Aufloesung (1)</t>
  </si>
  <si>
    <t>Fluktuation - Uebersicht fuer die Restaurantleitung</t>
  </si>
  <si>
    <t>Jahr</t>
  </si>
  <si>
    <t>Stand</t>
  </si>
  <si>
    <t>21.05.2026</t>
  </si>
  <si>
    <t>Auf einen Blick</t>
  </si>
  <si>
    <t>Jahresfluktuation</t>
  </si>
  <si>
    <t>Kritische Austritte</t>
  </si>
  <si>
    <t>Daten offen</t>
  </si>
  <si>
    <t>Sofort pruefen</t>
  </si>
  <si>
    <t>Nr.</t>
  </si>
  <si>
    <t>Problem</t>
  </si>
  <si>
    <t>Wo nachschauen</t>
  </si>
  <si>
    <t>Naechster Schritt</t>
  </si>
  <si>
    <t>Onboarding, Training und erste Dienstplaene fuer neue Mitarbeiter pruefen.</t>
  </si>
  <si>
    <t>Erfahrener Mitarbeiter ausgeschieden</t>
  </si>
  <si>
    <t>Exit-Gespraech auswerten, Wissensuebergabe und Nachbesetzung planen.</t>
  </si>
  <si>
    <t>Austrittsgrund und Teamsituation mit der Fuehrung besprechen.</t>
  </si>
  <si>
    <t>Empfehlungen</t>
  </si>
  <si>
    <t>Erfahrene Mitarbeiter halten: Exit-Gespraeche auswerten, Entwicklungsgespraeche planen, Schichtplanung und Fuehrung im Team pruefen.</t>
  </si>
  <si>
    <t>Erste 90 Tage staerken: Recruiting, Einarbeitung, Buddy-System, Training und die ersten Dienstplaene gezielt verbessern.</t>
  </si>
  <si>
    <t>Wichtige Austritte analysieren: Austrittsgrund, Arbeitsklima, Kommunikation und Fuehrung im betroffenen Bereich besprechen.</t>
  </si>
  <si>
    <t>Anzahl</t>
  </si>
  <si>
    <t>Normal</t>
  </si>
  <si>
    <t>Diagramme</t>
  </si>
  <si>
    <t>Monatsuebersicht im Detail</t>
  </si>
  <si>
    <t>Monat Februar, Name: GERGO, Grund: Einvernehmliche Aufloesung</t>
  </si>
  <si>
    <t>Monat Marz, Name: PANAGIOTIDOU Sousanna, Grund: Dienstnehmer Kuendigung</t>
  </si>
  <si>
    <t>Monat Juli, Name: PAIOR Imre-Oliver, Grund: Unberechtigter vorzeitiger Austritt</t>
  </si>
  <si>
    <t>Monat August, Name: AHANIAN Taron, Grund: Dienstnehmer Kuendigung</t>
  </si>
  <si>
    <t>Monat Oktober, Name: PHOO-IN Sunari, Grund: Dienstnehmer Kuendigung</t>
  </si>
  <si>
    <t>Monat November, Name: Agika, Grund: Dienstnehmer Kuendigung</t>
  </si>
  <si>
    <t>Makro-Uebersicht Personalsheet</t>
  </si>
  <si>
    <t>Alt+F8 oder Entwicklertools &gt; Makros. Legacy-Namen mit _TEST sind Aliase und muessen nicht extra gestartet werden.</t>
  </si>
  <si>
    <t>Makro</t>
  </si>
  <si>
    <t>Wann benutzen</t>
  </si>
  <si>
    <t>Hinweis / Alternative</t>
  </si>
  <si>
    <t>Alltag</t>
  </si>
  <si>
    <t>PID_FullSystemRefresh</t>
  </si>
  <si>
    <t>Alles neu berechnen, wenn Dropdown, Lohn oder Fluktuation insgesamt falsch wirken.</t>
  </si>
  <si>
    <t>Haupt-Makro fuer Vollrefresh.</t>
  </si>
  <si>
    <t>CopyData</t>
  </si>
  <si>
    <t>Daten ab dem aktiven Monatsblatt in die folgenden Monate kopieren.</t>
  </si>
  <si>
    <t>Gleich wie DatenInFolgendeMonateKopieren.</t>
  </si>
  <si>
    <t>DataClear</t>
  </si>
  <si>
    <t>Aktuellen Monat leeren (mit Sicherheitsabfrage).</t>
  </si>
  <si>
    <t>Gleich wie ClearData / DatenLoeschen.</t>
  </si>
  <si>
    <t>Fluktuation</t>
  </si>
  <si>
    <t>RefreshFluktuationNow</t>
  </si>
  <si>
    <t>Fluktuation-Analyse manuell neu aufbauen.</t>
  </si>
  <si>
    <t>Passiert automatisch beim Oeffnen des FLUKTUATION-Blatts.</t>
  </si>
  <si>
    <t>LOHNTABELLE</t>
  </si>
  <si>
    <t>AddNewKVPeriodOnTop</t>
  </si>
  <si>
    <t>Neue KV-Periode oben einfuegen.</t>
  </si>
  <si>
    <t>Normalerweise ueber den Button auf LOHNTABELLE.</t>
  </si>
  <si>
    <t>AddCustomKVMonatsstunden</t>
  </si>
  <si>
    <t>Eigene Monatsstunden in einen KV-Block einfuegen.</t>
  </si>
  <si>
    <t>Normalerweise ueber den gruenen Button auf LOHNTABELLE.</t>
  </si>
  <si>
    <t>DeleteSelectedKVPeriods</t>
  </si>
  <si>
    <t>Ausgewaehlte KV-Periode loeschen.</t>
  </si>
  <si>
    <t>RestoreLOHNTABELLEBase2025_2026</t>
  </si>
  <si>
    <t>LOHNTABELLE auf definierte Basis zuruecksetzen.</t>
  </si>
  <si>
    <t>Nur Admin. _TEST-Name ist identischer Alias.</t>
  </si>
  <si>
    <t>Reparatur</t>
  </si>
  <si>
    <t>RestoreAktuelleStundenFormulas</t>
  </si>
  <si>
    <t>Spalte H auf allen Monatsblaettern reparieren (Jahr aus EINSTELLUNG).</t>
  </si>
  <si>
    <t>Einmalig nach Migration.</t>
  </si>
  <si>
    <t>RestoreAustrittsdatumValidation</t>
  </si>
  <si>
    <t>Spalte I Validierung und AB1/AB2 Grenzen reparieren.</t>
  </si>
  <si>
    <t>FixLOHNTABELLE_HeaderTextIfNeeded</t>
  </si>
  <si>
    <t>A2-Text und Header auf LOHNTABELLE pruefen/reparieren.</t>
  </si>
  <si>
    <t>Laeuft auch automatisch beim Oeffnen.</t>
  </si>
  <si>
    <t>Schutz</t>
  </si>
  <si>
    <t>SchutzHinzufugen</t>
  </si>
  <si>
    <t>Blattschutz fuer Makros neu setzen.</t>
  </si>
  <si>
    <t>Gleich wie ProtectEverything.</t>
  </si>
  <si>
    <t>UnprotectEverything</t>
  </si>
  <si>
    <t>Alle Blaetter entsperren und sichtbar machen.</t>
  </si>
  <si>
    <t>Gleich wie UnlockEverything.</t>
  </si>
  <si>
    <t>Excel</t>
  </si>
  <si>
    <t>PID_ResetExcelState</t>
  </si>
  <si>
    <t>Wenn Events/ScreenUpdating haengen geblieben sind.</t>
  </si>
  <si>
    <t>Statt ResetExcelEvents oder ResetExcelApplicationState.</t>
  </si>
  <si>
    <t>Check</t>
  </si>
  <si>
    <t>PID_QuickSystemCheck</t>
  </si>
  <si>
    <t>Kurzer Systemcheck: Pflichtblaetter, Events, Monatsblaetter.</t>
  </si>
  <si>
    <t>Nur Diagnose.</t>
  </si>
  <si>
    <t>PID_RunSystemSmokeCheck</t>
  </si>
  <si>
    <t>Automatische Tests 1-8 auf Blatt SYSTEM_CHECK.</t>
  </si>
  <si>
    <t>Entwicklung / QA.</t>
  </si>
  <si>
    <t>Entwicklung</t>
  </si>
  <si>
    <t>ResetAndImportVBAFiles</t>
  </si>
  <si>
    <t>VBA aus dem vba-Ordner neu importieren.</t>
  </si>
  <si>
    <t>Nur Entwickler-PC mit VBProject-Zugriff.</t>
  </si>
  <si>
    <t>Automatisch</t>
  </si>
  <si>
    <t>(kein Start noetig)</t>
  </si>
  <si>
    <t>Monatsblatt oeffnen: Dropdown + Lohn. FLUKTUATION oeffnen: Analyse. Speichern: Fluktuation wenn noetig.</t>
  </si>
  <si>
    <t>BuildFluktuationAnalyse und aehnliche internen Makros nicht manuell starten.</t>
  </si>
  <si>
    <t>Zeitraum</t>
  </si>
  <si>
    <t>Mai-Jun-Jul</t>
  </si>
  <si>
    <t>Aug-Sep-Okt</t>
  </si>
  <si>
    <t>55|VEGSO TESZT</t>
  </si>
  <si>
    <t>401479|DUCA MELINDA</t>
  </si>
  <si>
    <t>401389|MOISA MARIAN</t>
  </si>
  <si>
    <t>401734|SAFI SHARAFAT</t>
  </si>
  <si>
    <t>401730|VAJGEL ALEXANDRA</t>
  </si>
  <si>
    <t>401747|SHAJU ANEETA</t>
  </si>
  <si>
    <t>401276|SAHBAZ REFIKA</t>
  </si>
  <si>
    <t>401476|PAIOR IMRE-OLIVER</t>
  </si>
  <si>
    <t>KV 2026/2027</t>
  </si>
  <si>
    <t>KV 2026/2027   |   gueltig von 01.05.2026 bis 30.04.2027</t>
  </si>
  <si>
    <t>401006|DINDIC VANJA</t>
  </si>
  <si>
    <t>401049|SUN SOVANMEALY</t>
  </si>
  <si>
    <t>401138|NOU SATYAROTH</t>
  </si>
  <si>
    <t>401051|DELIC SNJEZANA</t>
  </si>
  <si>
    <t>E</t>
  </si>
  <si>
    <t>401010|KNEISSL ERNA</t>
  </si>
  <si>
    <t>22.05.2026</t>
  </si>
  <si>
    <t>401564|SAFI NAJEEB</t>
  </si>
  <si>
    <t>401307|MINEVA KREMENA</t>
  </si>
  <si>
    <t>401089|JUNDANG AKSON</t>
  </si>
  <si>
    <t>Kritisch</t>
  </si>
  <si>
    <t>Verlust-Score senken: Haeufige Austrittsgruende sammeln und konkrete Massnahmen zur Mitarbeiterbindung ableiten.</t>
  </si>
  <si>
    <t>Neutrale Bewegungen</t>
  </si>
  <si>
    <t>Karenz (1)</t>
  </si>
  <si>
    <t>Nur neutrale Bewegungen. Kein direkter Handlungsbedarf.</t>
  </si>
  <si>
    <t>Neutral</t>
  </si>
  <si>
    <t>Die Fluktuation ist kritisch. Es gibt 11 Austritte, davon 7 mit erhoehtem Risiko. Verlust-Score: 9,50. Sofort Massnahmen pruefen.</t>
  </si>
  <si>
    <t>Monat Mai, Name: SHEGIWAL Mosawir, Grund: Dienstnehmer Kuendigung</t>
  </si>
  <si>
    <t>Test Case</t>
  </si>
  <si>
    <t>Details</t>
  </si>
  <si>
    <t>Checked At</t>
  </si>
  <si>
    <t>Manual Steps</t>
  </si>
  <si>
    <t>TEST 1 - Future Hour Change</t>
  </si>
  <si>
    <t>REVIEW</t>
  </si>
  <si>
    <t>Basisstruktur vorhanden. Verhaltenspruefung (Mai/Juni unveraendert, Juli+ angepasst) manuell ausfuehren.</t>
  </si>
  <si>
    <t>1) Im Blatt Juli Feld E oder F aendern. 2) CopyData ab Juli starten. 3) Pruefen: Mai/Juni unveraendert, ab Juli aktualisiert.</t>
  </si>
  <si>
    <t>TEST 2 - Exit Employee</t>
  </si>
  <si>
    <t>Austrittsfelder vorhanden. Sichtbarkeit im Austrittsmonat und Entfernung ab Folgemonat manuell pruefen.</t>
  </si>
  <si>
    <t>1) Im Blatt August ein Austrittsdatum in Spalte I setzen. 2) CopyData ab August starten. 3) Pruefen: In August sichtbar, ab September entfernt.</t>
  </si>
  <si>
    <t>TEST 3 - Future Employee Survival</t>
  </si>
  <si>
    <t>Monatskette vorhanden. Ueberleben kuenftiger MA nach Rueckwaertskopie manuell pruefen.</t>
  </si>
  <si>
    <t>1) Im Blatt Oktober neuen Mitarbeiter in B/C erfassen. 2) Rueckwaertskopie von frueherem Monat starten. 3) Pruefen: Oktober-Eintrag bleibt erhalten.</t>
  </si>
  <si>
    <t>TEST 4 - Override Survival</t>
  </si>
  <si>
    <t>Override-Bereiche vorhanden. Ueberlebenspruefung fuer D/E und Stabilitaet frueherer Monate manuell pruefen.</t>
  </si>
  <si>
    <t>1) In einem spaeteren Monat D/E-Werte manuell anpassen. 2) Propagation starten. 3) Pruefen: Overrides bleiben erhalten, fruehere Monate bleiben unveraendert.</t>
  </si>
  <si>
    <t>TEST 5 - O18:Q25 Propagation</t>
  </si>
  <si>
    <t>Bereich O18:Q25 in allen Monatsblaettern vorhanden. Propagationsverhalten manuell pruefen.</t>
  </si>
  <si>
    <t>1) Im Quellmonat O18:Q25 aendern. 2) CopyData starten. 3) In Zielmonaten pruefen: O18:Q25 wurde korrekt uebernommen.</t>
  </si>
  <si>
    <t>TEST 6 - Column L</t>
  </si>
  <si>
    <t>Info-Spalte L vorhanden. Sicherstellen, dass L nicht propagiert wird (manuelle Pruefung).</t>
  </si>
  <si>
    <t>1) In einem Zielmonat einen individuellen Wert in Spalte L setzen. 2) Propagation von anderem Monat starten. 3) Pruefen: Spalte L wird nicht ueberschrieben.</t>
  </si>
  <si>
    <t>TEST 7 - Excel 2016 Compatibility</t>
  </si>
  <si>
    <t>PASS</t>
  </si>
  <si>
    <t>Excel-Version &gt;= 16 und keine blockierten Funktionen gefunden.</t>
  </si>
  <si>
    <t>-</t>
  </si>
  <si>
    <t>TEST 8 - Mac Compatibility</t>
  </si>
  <si>
    <t>Keine Windows-only API Muster gefunden. Finale Laufzeitpruefung auf Mac bleibt manuell.</t>
  </si>
  <si>
    <t>1) Workbook in Excel fuer Mac oeffnen. 2) PID_QuickSystemCheck, CopyData und PID_RunSystemSmokeCheck ausfuehren. 3) Pruefen: keine plattformspezifischen Fehler.</t>
  </si>
  <si>
    <t>401583|TURSUNOVIC DZEMILA</t>
  </si>
  <si>
    <t>Endmonat</t>
  </si>
  <si>
    <t>Muster</t>
  </si>
  <si>
    <t>Lohn/h</t>
  </si>
  <si>
    <t>Std</t>
  </si>
  <si>
    <t>EUR</t>
  </si>
  <si>
    <t>Status / Hinweis</t>
  </si>
  <si>
    <t>Jede Zeile = 3 Monate bis zum Schlussmonat. Differenz rot = zu wenig Stunden (Überstunden-Risiko), gelb = Reserve. Überstunden-EUR nutzt den AVG Bruttolohn/h aus dem Schlussmonat (Monatsblatt Q42). Nur Jänner-Plan (nächstes Jahr) ist gelb und manuell.</t>
  </si>
  <si>
    <t>Jänner Verfügbar Plan (nächstes Jahr):</t>
  </si>
  <si>
    <t>Jänner Muster Plan (nächstes Jahr):</t>
  </si>
  <si>
    <t>Verfügbar</t>
  </si>
  <si>
    <t>Feb-Mär-Apr</t>
  </si>
  <si>
    <t>Nov-Dez-Jän</t>
  </si>
  <si>
    <t>Jän (Plan)</t>
  </si>
  <si>
    <t>Überstunden EUR = Überstunden Std x AVG Lohn/h x 1,5 (Spalte G aus Schlussmonat Q42). Nur bei negativem Schluss (rote Differenz). Positive Differenz = Reserve ohne EUR-Kosten.</t>
  </si>
  <si>
    <t>401748|PATTIKKADAN SWALIH</t>
  </si>
  <si>
    <t>401738|TURGUT ZEHRA</t>
  </si>
  <si>
    <t>401737|ADAMEK MISCHELLE</t>
  </si>
  <si>
    <t>401736|KHALEQYAR FAISAL</t>
  </si>
  <si>
    <t>401746|AHANIAN TARON</t>
  </si>
  <si>
    <t>401745|YARI RAHMATULLAH</t>
  </si>
  <si>
    <t>401751|RAUFI SABERULLAH</t>
  </si>
  <si>
    <t>401752|SAFIZADEH PARWAN</t>
  </si>
  <si>
    <t>401754|PANAGIOTIDOU SOUSANNA</t>
  </si>
  <si>
    <t>401605|CORIC MARKO</t>
  </si>
  <si>
    <t>401626|SALAMON JOZSEFNE</t>
  </si>
  <si>
    <t>401633|DECSI FERENC</t>
  </si>
  <si>
    <t>401647|SALA DORINA-DANIELA</t>
  </si>
  <si>
    <t>401661|TINCA ALEXANDRA</t>
  </si>
  <si>
    <t>401670|SZABO GRETA</t>
  </si>
  <si>
    <t>401678|SAFI FAHIM</t>
  </si>
  <si>
    <t>401691|ALIPOUR MOHSEN</t>
  </si>
  <si>
    <t>401690|ZDRENDEA MARIANA-RODICA</t>
  </si>
  <si>
    <t>401703|SHEGIWAL MOSAWIR</t>
  </si>
  <si>
    <t>401214|VOJNIKOVIC ALMA</t>
  </si>
  <si>
    <t>401715|ALALI ALSHEKH JAWAD</t>
  </si>
  <si>
    <t>401716|NIYAZI FAISAL</t>
  </si>
  <si>
    <t>401717|HOVHANNISYAN TIGRAN</t>
  </si>
  <si>
    <t>401722|KHAN IMRAN</t>
  </si>
  <si>
    <t>401723|JMO MOHAMMED</t>
  </si>
  <si>
    <t>401726|PUTRO ARIAN</t>
  </si>
  <si>
    <t>401731|PUTRO MAJLINDA</t>
  </si>
  <si>
    <t>401602|PATAKI BARBARA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</si>
</sst>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&quot;€&quot;\ #,##0.00"/>
    <numFmt numFmtId="167" formatCode="#,##0.00\ &quot;€&quot;"/>
    <numFmt numFmtId="168" formatCode="dd/mm/yyyy;@"/>
    <numFmt numFmtId="169" formatCode="0.0"/>
    <numFmt numFmtId="170" formatCode="dd\.mm\.yyyy"/>
    <numFmt numFmtId="171" formatCode="\€\ #,##0.00"/>
    <numFmt numFmtId="172" formatCode="dd\.mm\.yyyy\ hh:mm:ss"/>
  </numFmts>
  <fonts count="65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peedee"/>
      <family val="2"/>
    </font>
    <font>
      <b/>
      <sz val="11"/>
      <color theme="1"/>
      <name val="Speedee"/>
      <family val="2"/>
    </font>
    <font>
      <b/>
      <sz val="12"/>
      <color theme="1"/>
      <name val="Speedee"/>
      <family val="2"/>
    </font>
    <font>
      <i/>
      <sz val="11"/>
      <color theme="1"/>
      <name val="Speedee"/>
      <family val="2"/>
    </font>
    <font>
      <b/>
      <sz val="11"/>
      <name val="Speedee"/>
      <family val="2"/>
    </font>
    <font>
      <b/>
      <sz val="18"/>
      <color theme="1"/>
      <name val="Calibri"/>
      <family val="2"/>
      <scheme val="minor"/>
    </font>
    <font>
      <b/>
      <sz val="11"/>
      <color theme="0"/>
      <name val="Speedee"/>
      <family val="2"/>
    </font>
    <font>
      <b/>
      <i/>
      <sz val="11"/>
      <color theme="1"/>
      <name val="Speedee"/>
      <family val="2"/>
    </font>
    <font>
      <b/>
      <sz val="20"/>
      <color theme="1"/>
      <name val="Speedee"/>
      <family val="2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Speedee"/>
      <family val="2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Speedee"/>
      <family val="2"/>
    </font>
    <font>
      <sz val="11"/>
      <color theme="0"/>
      <name val="Speedee"/>
      <family val="2"/>
    </font>
    <font>
      <b/>
      <i/>
      <sz val="11"/>
      <color theme="1"/>
      <name val="Speedee"/>
      <family val="2"/>
    </font>
    <font>
      <sz val="11"/>
      <color rgb="FF000000"/>
      <name val="Speedee"/>
      <family val="2"/>
    </font>
    <font>
      <sz val="12"/>
      <color theme="1"/>
      <name val="Speedee"/>
      <family val="2"/>
    </font>
    <font>
      <b/>
      <sz val="18"/>
      <name val="Calibri"/>
      <family val="2"/>
      <scheme val="minor"/>
    </font>
    <font>
      <i/>
      <sz val="10"/>
      <color theme="1"/>
      <name val="Speedee"/>
      <family val="2"/>
    </font>
    <font>
      <b/>
      <sz val="11"/>
      <color theme="1"/>
      <name val="Speedee"/>
      <family val="2"/>
    </font>
    <font>
      <b/>
      <sz val="11"/>
      <color rgb="FF000000"/>
      <name val="Helvetica Neue"/>
      <family val="2"/>
    </font>
    <font>
      <b/>
      <sz val="14"/>
      <color rgb="FF993300"/>
      <name val="Calibri"/>
      <family val="2"/>
    </font>
    <font>
      <sz val="12"/>
      <color theme="5"/>
      <name val="Calibri"/>
      <family val="2"/>
      <scheme val="minor"/>
    </font>
    <font>
      <sz val="11"/>
      <color theme="5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8"/>
      <color theme="0" tint="-0.249977111117893"/>
      <name val="Speedee"/>
      <family val="2"/>
    </font>
    <font>
      <b/>
      <sz val="11"/>
      <color rgb="FF000000"/>
      <name val="Speedee"/>
    </font>
    <font>
      <sz val="12"/>
      <color theme="1"/>
      <name val="Speedee"/>
    </font>
    <font>
      <b/>
      <sz val="11"/>
      <name val="Speedee"/>
    </font>
    <font>
      <i/>
      <sz val="12"/>
      <color theme="1"/>
      <name val="Speedee"/>
    </font>
    <font>
      <b/>
      <sz val="11"/>
      <color rgb="FF595959"/>
      <name val="Speedee"/>
      <family val="2"/>
    </font>
    <font>
      <sz val="11"/>
      <color rgb="FF000000"/>
      <name val="Calibri"/>
      <family val="2"/>
      <scheme val="minor"/>
    </font>
    <font>
      <b/>
      <sz val="13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ourier New"/>
      <family val="1"/>
    </font>
    <font>
      <sz val="11"/>
      <color rgb="FF000000"/>
      <name val="Speedee"/>
    </font>
    <font>
      <b/>
      <sz val="11"/>
      <color theme="1"/>
      <name val="Speedee"/>
    </font>
    <font>
      <b/>
      <sz val="13"/>
      <color rgb="FFFFFFFF"/>
      <name val="Speedee"/>
    </font>
    <font>
      <i/>
      <sz val="9"/>
      <color rgb="FF595959"/>
      <name val="Speedee"/>
    </font>
    <font>
      <b/>
      <sz val="10"/>
      <color rgb="FF1F4E79"/>
      <name val="Speedee"/>
    </font>
    <font>
      <b/>
      <sz val="14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color rgb="FF000000"/>
      <name val="Speedee"/>
    </font>
    <font>
      <b/>
      <sz val="10"/>
      <color rgb="FF000000"/>
      <name val="Speedee"/>
    </font>
    <font>
      <b/>
      <sz val="12"/>
      <color theme="1"/>
      <name val="Speedee"/>
    </font>
    <font>
      <b/>
      <sz val="10"/>
      <color theme="5" tint="-0.499984740745262"/>
      <name val="Speedee"/>
    </font>
    <font>
      <b/>
      <sz val="11"/>
      <color theme="5" tint="-0.499984740745262"/>
      <name val="Speedee"/>
    </font>
  </fonts>
  <fills count="32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9EFB3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ECF1E0"/>
        <bgColor indexed="64"/>
      </patternFill>
    </fill>
    <fill>
      <patternFill patternType="solid">
        <fgColor rgb="FFFAEADB"/>
        <bgColor indexed="64"/>
      </patternFill>
    </fill>
    <fill>
      <patternFill patternType="solid">
        <fgColor rgb="FFF2F8FF"/>
        <bgColor indexed="64"/>
      </patternFill>
    </fill>
    <fill>
      <patternFill patternType="solid">
        <fgColor rgb="FFF1FAF1"/>
        <bgColor indexed="64"/>
      </patternFill>
    </fill>
    <fill>
      <patternFill patternType="solid">
        <fgColor rgb="FFFFF6ED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</fills>
  <borders count="1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69696"/>
      </left>
      <right style="thin">
        <color rgb="FF969696"/>
      </right>
      <top style="medium">
        <color rgb="FF5A5A5A"/>
      </top>
      <bottom/>
      <diagonal/>
    </border>
    <border>
      <left style="thin">
        <color rgb="FF969696"/>
      </left>
      <right style="thin">
        <color rgb="FF969696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medium">
        <color rgb="FF5A5A5A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/>
      <diagonal/>
    </border>
    <border>
      <left style="thin">
        <color rgb="FF969696"/>
      </left>
      <right style="medium">
        <color rgb="FF5A5A5A"/>
      </right>
      <top style="medium">
        <color rgb="FF5A5A5A"/>
      </top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medium">
        <color rgb="FF787878"/>
      </top>
      <bottom/>
      <diagonal/>
    </border>
    <border>
      <left style="medium">
        <color rgb="FF5A5A5A"/>
      </left>
      <right style="thin">
        <color rgb="FF969696"/>
      </right>
      <top style="medium">
        <color rgb="FF787878"/>
      </top>
      <bottom/>
      <diagonal/>
    </border>
    <border>
      <left style="thin">
        <color rgb="FF969696"/>
      </left>
      <right style="medium">
        <color rgb="FF5A5A5A"/>
      </right>
      <top style="medium">
        <color rgb="FF787878"/>
      </top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/>
      <diagonal/>
    </border>
    <border>
      <left style="medium">
        <color rgb="FF5A5A5A"/>
      </left>
      <right style="thin">
        <color rgb="FF969696"/>
      </right>
      <top style="thin">
        <color rgb="FF969696"/>
      </top>
      <bottom/>
      <diagonal/>
    </border>
    <border>
      <left style="thin">
        <color rgb="FF969696"/>
      </left>
      <right style="medium">
        <color rgb="FF5A5A5A"/>
      </right>
      <top style="thin">
        <color rgb="FF969696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thin">
        <color rgb="FF969696"/>
      </right>
      <top/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medium">
        <color rgb="FF5A5A5A"/>
      </left>
      <right style="thin">
        <color rgb="FF969696"/>
      </right>
      <top/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medium">
        <color rgb="FF5A5A5A"/>
      </right>
      <top/>
      <bottom/>
      <diagonal/>
    </border>
    <border>
      <left style="medium">
        <color rgb="FF1F4E79"/>
      </left>
      <right/>
      <top/>
      <bottom/>
      <diagonal/>
    </border>
    <border>
      <left/>
      <right style="medium">
        <color rgb="FF1F4E79"/>
      </right>
      <top/>
      <bottom/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/>
      <right/>
      <top style="medium">
        <color rgb="FF1F4E79"/>
      </top>
      <bottom/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/>
      <top/>
      <bottom style="medium">
        <color rgb="FF1F4E79"/>
      </bottom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4B4B4"/>
      </left>
      <right/>
      <top style="thin">
        <color rgb="FFB4B4B4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medium">
        <color rgb="FF1F4E79"/>
      </top>
      <bottom style="thin">
        <color rgb="FFB4B4B4"/>
      </bottom>
      <diagonal/>
    </border>
    <border>
      <left style="thin">
        <color rgb="FFB4B4B4"/>
      </left>
      <right style="thin">
        <color rgb="FFB4B4B4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/>
      <top style="thin">
        <color rgb="FFB4B4B4"/>
      </top>
      <bottom style="medium">
        <color rgb="FF1F4E79"/>
      </bottom>
      <diagonal/>
    </border>
    <border>
      <left style="medium">
        <color rgb="FF1F4E79"/>
      </left>
      <right/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thin">
        <color rgb="FFB4B4B4"/>
      </right>
      <top/>
      <bottom style="thin">
        <color rgb="FFB4B4B4"/>
      </bottom>
      <diagonal/>
    </border>
    <border>
      <left style="thin">
        <color rgb="FFB4B4B4"/>
      </left>
      <right/>
      <top/>
      <bottom style="thin">
        <color rgb="FFB4B4B4"/>
      </bottom>
      <diagonal/>
    </border>
    <border>
      <left style="thin">
        <color rgb="FFB4B4B4"/>
      </left>
      <right style="medium">
        <color rgb="FF1F4E79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/>
      <top style="medium">
        <color rgb="FF1F4E79"/>
      </top>
      <bottom style="medium">
        <color rgb="FF1F4E79"/>
      </bottom>
      <diagonal/>
    </border>
    <border>
      <left/>
      <right/>
      <top style="medium">
        <color rgb="FF1F4E79"/>
      </top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 style="medium">
        <color rgb="FF1F4E79"/>
      </left>
      <right/>
      <top style="medium">
        <color rgb="FF1F4E79"/>
      </top>
      <bottom style="thin">
        <color rgb="FFB4B4B4"/>
      </bottom>
      <diagonal/>
    </border>
    <border>
      <left/>
      <right/>
      <top style="medium">
        <color rgb="FF1F4E79"/>
      </top>
      <bottom style="thin">
        <color rgb="FFB4B4B4"/>
      </bottom>
      <diagonal/>
    </border>
    <border>
      <left/>
      <right style="medium">
        <color rgb="FF1F4E79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/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medium">
        <color rgb="FF1F4E79"/>
      </right>
      <top style="thin">
        <color rgb="FFB4B4B4"/>
      </top>
      <bottom style="thin">
        <color rgb="FFB4B4B4"/>
      </bottom>
      <diagonal/>
    </border>
    <border>
      <left/>
      <right style="medium">
        <color rgb="FF1F4E79"/>
      </right>
      <top style="thin">
        <color rgb="FFB4B4B4"/>
      </top>
      <bottom style="medium">
        <color rgb="FF1F4E79"/>
      </bottom>
      <diagonal/>
    </border>
  </borders>
  <cellStyleXfs count="6">
    <xf numFmtId="0" fontId="0" fillId="0" borderId="0"/>
    <xf numFmtId="0" fontId="17" fillId="0" borderId="0"/>
    <xf numFmtId="164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165" fontId="17" fillId="0" borderId="0" applyFont="0" applyFill="0" applyBorder="0" applyAlignment="0" applyProtection="0"/>
    <xf numFmtId="0" fontId="1" fillId="0" borderId="0"/>
  </cellStyleXfs>
  <cellXfs count="450">
    <xf numFmtId="0" fontId="0" fillId="0" borderId="0" xfId="0"/>
    <xf numFmtId="0" fontId="3" fillId="0" borderId="0" xfId="0" applyFont="1"/>
    <xf numFmtId="0" fontId="11" fillId="0" borderId="0" xfId="0" applyFont="1" applyAlignment="1">
      <alignment vertical="center"/>
    </xf>
    <xf numFmtId="166" fontId="0" fillId="0" borderId="1" xfId="0" applyNumberFormat="1" applyBorder="1" applyAlignment="1" applyProtection="1">
      <alignment horizontal="center"/>
      <protection locked="0"/>
    </xf>
    <xf numFmtId="0" fontId="18" fillId="11" borderId="0" xfId="0" applyFont="1" applyFill="1"/>
    <xf numFmtId="0" fontId="19" fillId="10" borderId="0" xfId="0" applyFont="1" applyFill="1"/>
    <xf numFmtId="0" fontId="19" fillId="11" borderId="0" xfId="0" applyFont="1" applyFill="1"/>
    <xf numFmtId="0" fontId="1" fillId="0" borderId="0" xfId="5"/>
    <xf numFmtId="168" fontId="22" fillId="0" borderId="0" xfId="0" applyNumberFormat="1" applyFont="1"/>
    <xf numFmtId="0" fontId="4" fillId="0" borderId="0" xfId="0" applyFont="1" applyAlignment="1">
      <alignment horizontal="right"/>
    </xf>
    <xf numFmtId="0" fontId="22" fillId="0" borderId="0" xfId="0" applyFont="1"/>
    <xf numFmtId="16" fontId="4" fillId="0" borderId="0" xfId="0" applyNumberFormat="1" applyFont="1" applyAlignment="1">
      <alignment horizontal="right"/>
    </xf>
    <xf numFmtId="0" fontId="4" fillId="0" borderId="0" xfId="0" applyFont="1"/>
    <xf numFmtId="0" fontId="6" fillId="0" borderId="0" xfId="0" applyFont="1"/>
    <xf numFmtId="2" fontId="4" fillId="3" borderId="1" xfId="0" applyNumberFormat="1" applyFont="1" applyFill="1" applyBorder="1" applyAlignment="1">
      <alignment horizontal="center"/>
    </xf>
    <xf numFmtId="2" fontId="4" fillId="3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 applyProtection="1">
      <alignment horizontal="center"/>
      <protection locked="0"/>
    </xf>
    <xf numFmtId="169" fontId="0" fillId="0" borderId="1" xfId="0" applyNumberFormat="1" applyBorder="1" applyAlignment="1" applyProtection="1">
      <alignment horizontal="center"/>
      <protection locked="0"/>
    </xf>
    <xf numFmtId="167" fontId="4" fillId="3" borderId="1" xfId="0" applyNumberFormat="1" applyFont="1" applyFill="1" applyBorder="1" applyAlignment="1">
      <alignment horizontal="center"/>
    </xf>
    <xf numFmtId="10" fontId="4" fillId="6" borderId="1" xfId="0" applyNumberFormat="1" applyFont="1" applyFill="1" applyBorder="1" applyAlignment="1">
      <alignment horizontal="center"/>
    </xf>
    <xf numFmtId="0" fontId="3" fillId="12" borderId="0" xfId="0" applyFont="1" applyFill="1"/>
    <xf numFmtId="0" fontId="2" fillId="13" borderId="1" xfId="0" applyFont="1" applyFill="1" applyBorder="1" applyAlignment="1">
      <alignment horizontal="center"/>
    </xf>
    <xf numFmtId="0" fontId="2" fillId="13" borderId="1" xfId="0" applyFont="1" applyFill="1" applyBorder="1"/>
    <xf numFmtId="10" fontId="0" fillId="13" borderId="1" xfId="0" applyNumberFormat="1" applyFill="1" applyBorder="1" applyAlignment="1">
      <alignment horizontal="center"/>
    </xf>
    <xf numFmtId="0" fontId="0" fillId="13" borderId="1" xfId="0" applyFill="1" applyBorder="1"/>
    <xf numFmtId="0" fontId="15" fillId="0" borderId="0" xfId="0" applyFont="1" applyAlignment="1">
      <alignment vertic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166" fontId="4" fillId="0" borderId="0" xfId="0" applyNumberFormat="1" applyFont="1"/>
    <xf numFmtId="0" fontId="28" fillId="0" borderId="0" xfId="0" applyFont="1"/>
    <xf numFmtId="166" fontId="0" fillId="14" borderId="1" xfId="0" applyNumberFormat="1" applyFill="1" applyBorder="1" applyAlignment="1">
      <alignment horizontal="center"/>
    </xf>
    <xf numFmtId="0" fontId="28" fillId="4" borderId="23" xfId="0" applyFont="1" applyFill="1" applyBorder="1"/>
    <xf numFmtId="0" fontId="3" fillId="4" borderId="23" xfId="0" applyFont="1" applyFill="1" applyBorder="1"/>
    <xf numFmtId="0" fontId="3" fillId="4" borderId="9" xfId="0" applyFont="1" applyFill="1" applyBorder="1"/>
    <xf numFmtId="0" fontId="10" fillId="0" borderId="0" xfId="0" applyFont="1"/>
    <xf numFmtId="0" fontId="33" fillId="0" borderId="0" xfId="5" applyFont="1" applyAlignment="1">
      <alignment vertical="center" wrapText="1"/>
    </xf>
    <xf numFmtId="0" fontId="5" fillId="0" borderId="0" xfId="0" applyFont="1" applyAlignment="1">
      <alignment horizontal="center" wrapText="1"/>
    </xf>
    <xf numFmtId="1" fontId="9" fillId="0" borderId="0" xfId="0" applyNumberFormat="1" applyFont="1" applyAlignment="1">
      <alignment horizontal="right" wrapText="1"/>
    </xf>
    <xf numFmtId="0" fontId="4" fillId="0" borderId="0" xfId="0" applyFont="1" applyAlignment="1">
      <alignment horizontal="right" wrapText="1"/>
    </xf>
    <xf numFmtId="0" fontId="39" fillId="0" borderId="0" xfId="0" applyFont="1" applyAlignment="1">
      <alignment horizontal="right"/>
    </xf>
    <xf numFmtId="16" fontId="39" fillId="0" borderId="0" xfId="0" applyNumberFormat="1" applyFont="1" applyAlignment="1">
      <alignment horizontal="right"/>
    </xf>
    <xf numFmtId="0" fontId="18" fillId="16" borderId="33" xfId="0" applyFont="1" applyFill="1" applyBorder="1" applyProtection="1">
      <protection locked="0"/>
    </xf>
    <xf numFmtId="14" fontId="24" fillId="16" borderId="33" xfId="0" applyNumberFormat="1" applyFont="1" applyFill="1" applyBorder="1" applyAlignment="1" applyProtection="1">
      <alignment horizontal="center"/>
      <protection locked="0"/>
    </xf>
    <xf numFmtId="0" fontId="3" fillId="3" borderId="33" xfId="0" applyFont="1" applyFill="1" applyBorder="1" applyAlignment="1" applyProtection="1">
      <alignment horizontal="center"/>
      <protection locked="0"/>
    </xf>
    <xf numFmtId="2" fontId="3" fillId="3" borderId="33" xfId="0" applyNumberFormat="1" applyFont="1" applyFill="1" applyBorder="1" applyAlignment="1" applyProtection="1">
      <alignment horizontal="center"/>
      <protection locked="0"/>
    </xf>
    <xf numFmtId="0" fontId="4" fillId="3" borderId="33" xfId="0" applyFont="1" applyFill="1" applyBorder="1" applyProtection="1">
      <protection locked="0"/>
    </xf>
    <xf numFmtId="168" fontId="3" fillId="3" borderId="33" xfId="0" applyNumberFormat="1" applyFont="1" applyFill="1" applyBorder="1" applyAlignment="1" applyProtection="1">
      <alignment horizontal="center"/>
      <protection locked="0"/>
    </xf>
    <xf numFmtId="11" fontId="4" fillId="3" borderId="33" xfId="0" applyNumberFormat="1" applyFont="1" applyFill="1" applyBorder="1" applyProtection="1">
      <protection locked="0"/>
    </xf>
    <xf numFmtId="0" fontId="18" fillId="16" borderId="36" xfId="0" applyFont="1" applyFill="1" applyBorder="1" applyProtection="1">
      <protection locked="0"/>
    </xf>
    <xf numFmtId="14" fontId="24" fillId="16" borderId="36" xfId="0" applyNumberFormat="1" applyFont="1" applyFill="1" applyBorder="1" applyAlignment="1" applyProtection="1">
      <alignment horizontal="center"/>
      <protection locked="0"/>
    </xf>
    <xf numFmtId="0" fontId="3" fillId="3" borderId="36" xfId="0" applyFont="1" applyFill="1" applyBorder="1" applyAlignment="1" applyProtection="1">
      <alignment horizontal="center"/>
      <protection locked="0"/>
    </xf>
    <xf numFmtId="2" fontId="25" fillId="3" borderId="36" xfId="0" applyNumberFormat="1" applyFont="1" applyFill="1" applyBorder="1" applyAlignment="1" applyProtection="1">
      <alignment horizontal="center"/>
      <protection locked="0"/>
    </xf>
    <xf numFmtId="2" fontId="4" fillId="3" borderId="9" xfId="0" applyNumberFormat="1" applyFont="1" applyFill="1" applyBorder="1" applyAlignment="1">
      <alignment horizontal="center"/>
    </xf>
    <xf numFmtId="49" fontId="38" fillId="18" borderId="37" xfId="0" applyNumberFormat="1" applyFont="1" applyFill="1" applyBorder="1" applyAlignment="1" applyProtection="1">
      <alignment horizontal="left" vertical="center"/>
      <protection locked="0"/>
    </xf>
    <xf numFmtId="49" fontId="38" fillId="18" borderId="38" xfId="0" applyNumberFormat="1" applyFont="1" applyFill="1" applyBorder="1" applyAlignment="1" applyProtection="1">
      <alignment horizontal="left" vertical="center"/>
      <protection locked="0"/>
    </xf>
    <xf numFmtId="0" fontId="4" fillId="3" borderId="40" xfId="0" applyFont="1" applyFill="1" applyBorder="1" applyProtection="1">
      <protection locked="0"/>
    </xf>
    <xf numFmtId="168" fontId="3" fillId="3" borderId="40" xfId="0" applyNumberFormat="1" applyFont="1" applyFill="1" applyBorder="1" applyAlignment="1" applyProtection="1">
      <alignment horizontal="center"/>
      <protection locked="0"/>
    </xf>
    <xf numFmtId="0" fontId="3" fillId="3" borderId="40" xfId="0" applyFont="1" applyFill="1" applyBorder="1" applyAlignment="1" applyProtection="1">
      <alignment horizontal="center"/>
      <protection locked="0"/>
    </xf>
    <xf numFmtId="2" fontId="3" fillId="3" borderId="40" xfId="0" applyNumberFormat="1" applyFont="1" applyFill="1" applyBorder="1" applyAlignment="1" applyProtection="1">
      <alignment horizontal="center"/>
      <protection locked="0"/>
    </xf>
    <xf numFmtId="49" fontId="38" fillId="18" borderId="41" xfId="0" applyNumberFormat="1" applyFont="1" applyFill="1" applyBorder="1" applyAlignment="1" applyProtection="1">
      <alignment horizontal="left" vertical="center"/>
      <protection locked="0"/>
    </xf>
    <xf numFmtId="168" fontId="3" fillId="2" borderId="45" xfId="0" applyNumberFormat="1" applyFont="1" applyFill="1" applyBorder="1" applyAlignment="1" applyProtection="1">
      <alignment horizontal="center"/>
      <protection locked="0"/>
    </xf>
    <xf numFmtId="168" fontId="3" fillId="2" borderId="46" xfId="0" applyNumberFormat="1" applyFont="1" applyFill="1" applyBorder="1" applyAlignment="1" applyProtection="1">
      <alignment horizontal="center"/>
      <protection locked="0"/>
    </xf>
    <xf numFmtId="168" fontId="3" fillId="2" borderId="47" xfId="0" applyNumberFormat="1" applyFont="1" applyFill="1" applyBorder="1" applyAlignment="1" applyProtection="1">
      <alignment horizontal="center"/>
      <protection locked="0"/>
    </xf>
    <xf numFmtId="2" fontId="3" fillId="9" borderId="50" xfId="0" applyNumberFormat="1" applyFont="1" applyFill="1" applyBorder="1" applyAlignment="1">
      <alignment horizontal="center"/>
    </xf>
    <xf numFmtId="2" fontId="3" fillId="9" borderId="51" xfId="0" applyNumberFormat="1" applyFont="1" applyFill="1" applyBorder="1" applyAlignment="1">
      <alignment horizontal="center"/>
    </xf>
    <xf numFmtId="2" fontId="3" fillId="9" borderId="52" xfId="0" applyNumberFormat="1" applyFont="1" applyFill="1" applyBorder="1" applyAlignment="1">
      <alignment horizontal="center"/>
    </xf>
    <xf numFmtId="166" fontId="3" fillId="2" borderId="42" xfId="0" applyNumberFormat="1" applyFont="1" applyFill="1" applyBorder="1" applyAlignment="1">
      <alignment horizontal="center"/>
    </xf>
    <xf numFmtId="166" fontId="3" fillId="2" borderId="43" xfId="0" applyNumberFormat="1" applyFont="1" applyFill="1" applyBorder="1" applyAlignment="1">
      <alignment horizontal="center"/>
    </xf>
    <xf numFmtId="166" fontId="3" fillId="2" borderId="44" xfId="0" applyNumberFormat="1" applyFont="1" applyFill="1" applyBorder="1" applyAlignment="1">
      <alignment horizontal="center"/>
    </xf>
    <xf numFmtId="49" fontId="6" fillId="4" borderId="45" xfId="0" applyNumberFormat="1" applyFont="1" applyFill="1" applyBorder="1" applyAlignment="1" applyProtection="1">
      <alignment horizontal="left"/>
      <protection locked="0"/>
    </xf>
    <xf numFmtId="49" fontId="6" fillId="4" borderId="46" xfId="0" applyNumberFormat="1" applyFont="1" applyFill="1" applyBorder="1" applyAlignment="1" applyProtection="1">
      <alignment horizontal="left"/>
      <protection locked="0"/>
    </xf>
    <xf numFmtId="49" fontId="6" fillId="4" borderId="47" xfId="0" applyNumberFormat="1" applyFont="1" applyFill="1" applyBorder="1" applyAlignment="1" applyProtection="1">
      <alignment horizontal="left"/>
      <protection locked="0"/>
    </xf>
    <xf numFmtId="0" fontId="4" fillId="3" borderId="36" xfId="0" applyFont="1" applyFill="1" applyBorder="1" applyProtection="1">
      <protection locked="0"/>
    </xf>
    <xf numFmtId="2" fontId="3" fillId="3" borderId="36" xfId="0" applyNumberFormat="1" applyFont="1" applyFill="1" applyBorder="1" applyAlignment="1" applyProtection="1">
      <alignment horizontal="center"/>
      <protection locked="0"/>
    </xf>
    <xf numFmtId="0" fontId="29" fillId="3" borderId="33" xfId="0" applyFont="1" applyFill="1" applyBorder="1" applyProtection="1">
      <protection locked="0"/>
    </xf>
    <xf numFmtId="0" fontId="36" fillId="17" borderId="35" xfId="0" applyFont="1" applyFill="1" applyBorder="1" applyAlignment="1" applyProtection="1">
      <alignment horizontal="center"/>
      <protection locked="0"/>
    </xf>
    <xf numFmtId="0" fontId="36" fillId="17" borderId="34" xfId="0" applyFont="1" applyFill="1" applyBorder="1" applyAlignment="1" applyProtection="1">
      <alignment horizontal="center"/>
      <protection locked="0"/>
    </xf>
    <xf numFmtId="0" fontId="36" fillId="17" borderId="39" xfId="0" applyFont="1" applyFill="1" applyBorder="1" applyAlignment="1" applyProtection="1">
      <alignment horizontal="center"/>
      <protection locked="0"/>
    </xf>
    <xf numFmtId="0" fontId="1" fillId="0" borderId="33" xfId="5" applyBorder="1" applyAlignment="1">
      <alignment horizontal="left"/>
    </xf>
    <xf numFmtId="0" fontId="31" fillId="0" borderId="33" xfId="5" applyFont="1" applyBorder="1" applyAlignment="1">
      <alignment horizontal="left" vertical="top" wrapText="1"/>
    </xf>
    <xf numFmtId="0" fontId="20" fillId="0" borderId="0" xfId="5" applyFont="1"/>
    <xf numFmtId="0" fontId="2" fillId="0" borderId="0" xfId="0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170" fontId="0" fillId="0" borderId="0" xfId="0" applyNumberFormat="1"/>
    <xf numFmtId="2" fontId="2" fillId="0" borderId="0" xfId="0" applyNumberFormat="1" applyFont="1" applyAlignment="1">
      <alignment horizontal="center" vertical="center"/>
    </xf>
    <xf numFmtId="2" fontId="0" fillId="0" borderId="0" xfId="0" applyNumberFormat="1"/>
    <xf numFmtId="0" fontId="43" fillId="0" borderId="0" xfId="0" applyFont="1"/>
    <xf numFmtId="166" fontId="3" fillId="3" borderId="42" xfId="0" applyNumberFormat="1" applyFont="1" applyFill="1" applyBorder="1" applyAlignment="1">
      <alignment horizontal="center"/>
    </xf>
    <xf numFmtId="166" fontId="3" fillId="3" borderId="43" xfId="0" applyNumberFormat="1" applyFont="1" applyFill="1" applyBorder="1" applyAlignment="1">
      <alignment horizontal="center"/>
    </xf>
    <xf numFmtId="166" fontId="3" fillId="3" borderId="44" xfId="0" applyNumberFormat="1" applyFont="1" applyFill="1" applyBorder="1" applyAlignment="1">
      <alignment horizontal="center"/>
    </xf>
    <xf numFmtId="166" fontId="3" fillId="2" borderId="36" xfId="0" applyNumberFormat="1" applyFont="1" applyFill="1" applyBorder="1" applyAlignment="1" applyProtection="1">
      <alignment horizontal="center"/>
      <protection locked="0"/>
    </xf>
    <xf numFmtId="166" fontId="3" fillId="2" borderId="33" xfId="0" applyNumberFormat="1" applyFont="1" applyFill="1" applyBorder="1" applyAlignment="1" applyProtection="1">
      <alignment horizontal="center"/>
      <protection locked="0"/>
    </xf>
    <xf numFmtId="166" fontId="3" fillId="2" borderId="40" xfId="0" applyNumberFormat="1" applyFont="1" applyFill="1" applyBorder="1" applyAlignment="1" applyProtection="1">
      <alignment horizontal="center"/>
      <protection locked="0"/>
    </xf>
    <xf numFmtId="166" fontId="43" fillId="0" borderId="0" xfId="0" applyNumberFormat="1" applyFont="1"/>
    <xf numFmtId="170" fontId="3" fillId="3" borderId="36" xfId="0" applyNumberFormat="1" applyFont="1" applyFill="1" applyBorder="1" applyAlignment="1" applyProtection="1">
      <alignment horizontal="center"/>
      <protection locked="0"/>
    </xf>
    <xf numFmtId="170" fontId="3" fillId="3" borderId="33" xfId="0" applyNumberFormat="1" applyFont="1" applyFill="1" applyBorder="1" applyAlignment="1" applyProtection="1">
      <alignment horizontal="center"/>
      <protection locked="0"/>
    </xf>
    <xf numFmtId="170" fontId="3" fillId="3" borderId="40" xfId="0" applyNumberFormat="1" applyFont="1" applyFill="1" applyBorder="1" applyAlignment="1" applyProtection="1">
      <alignment horizontal="center"/>
      <protection locked="0"/>
    </xf>
    <xf numFmtId="170" fontId="3" fillId="2" borderId="45" xfId="0" applyNumberFormat="1" applyFont="1" applyFill="1" applyBorder="1" applyAlignment="1" applyProtection="1">
      <alignment horizontal="center"/>
      <protection locked="0"/>
    </xf>
    <xf numFmtId="170" fontId="3" fillId="2" borderId="46" xfId="0" applyNumberFormat="1" applyFont="1" applyFill="1" applyBorder="1" applyAlignment="1" applyProtection="1">
      <alignment horizontal="center"/>
      <protection locked="0"/>
    </xf>
    <xf numFmtId="170" fontId="3" fillId="2" borderId="47" xfId="0" applyNumberFormat="1" applyFont="1" applyFill="1" applyBorder="1" applyAlignment="1" applyProtection="1">
      <alignment horizontal="center"/>
      <protection locked="0"/>
    </xf>
    <xf numFmtId="0" fontId="44" fillId="0" borderId="16" xfId="0" applyFont="1" applyBorder="1" applyAlignment="1">
      <alignment horizontal="center" vertical="center"/>
    </xf>
    <xf numFmtId="166" fontId="44" fillId="0" borderId="16" xfId="0" applyNumberFormat="1" applyFont="1" applyBorder="1" applyAlignment="1">
      <alignment horizontal="center" vertical="center"/>
    </xf>
    <xf numFmtId="2" fontId="46" fillId="19" borderId="58" xfId="0" applyNumberFormat="1" applyFont="1" applyFill="1" applyBorder="1" applyAlignment="1" applyProtection="1">
      <alignment horizontal="center" vertical="center"/>
      <protection locked="0"/>
    </xf>
    <xf numFmtId="166" fontId="46" fillId="19" borderId="58" xfId="0" applyNumberFormat="1" applyFont="1" applyFill="1" applyBorder="1" applyAlignment="1" applyProtection="1">
      <alignment horizontal="center" vertical="center"/>
      <protection locked="0"/>
    </xf>
    <xf numFmtId="2" fontId="46" fillId="19" borderId="59" xfId="0" applyNumberFormat="1" applyFont="1" applyFill="1" applyBorder="1" applyAlignment="1" applyProtection="1">
      <alignment horizontal="center" vertical="center"/>
      <protection locked="0"/>
    </xf>
    <xf numFmtId="166" fontId="46" fillId="19" borderId="59" xfId="0" applyNumberFormat="1" applyFont="1" applyFill="1" applyBorder="1" applyAlignment="1" applyProtection="1">
      <alignment horizontal="center" vertical="center"/>
      <protection locked="0"/>
    </xf>
    <xf numFmtId="2" fontId="46" fillId="19" borderId="67" xfId="0" applyNumberFormat="1" applyFont="1" applyFill="1" applyBorder="1" applyAlignment="1" applyProtection="1">
      <alignment horizontal="center" vertical="center"/>
      <protection locked="0"/>
    </xf>
    <xf numFmtId="166" fontId="46" fillId="19" borderId="67" xfId="0" applyNumberFormat="1" applyFont="1" applyFill="1" applyBorder="1" applyAlignment="1" applyProtection="1">
      <alignment horizontal="center" vertical="center"/>
      <protection locked="0"/>
    </xf>
    <xf numFmtId="2" fontId="46" fillId="20" borderId="67" xfId="0" applyNumberFormat="1" applyFont="1" applyFill="1" applyBorder="1" applyAlignment="1" applyProtection="1">
      <alignment horizontal="center" vertical="center"/>
      <protection locked="0"/>
    </xf>
    <xf numFmtId="166" fontId="46" fillId="20" borderId="67" xfId="0" applyNumberFormat="1" applyFont="1" applyFill="1" applyBorder="1" applyAlignment="1" applyProtection="1">
      <alignment horizontal="center" vertical="center"/>
      <protection locked="0"/>
    </xf>
    <xf numFmtId="2" fontId="46" fillId="20" borderId="59" xfId="0" applyNumberFormat="1" applyFont="1" applyFill="1" applyBorder="1" applyAlignment="1" applyProtection="1">
      <alignment horizontal="center" vertical="center"/>
      <protection locked="0"/>
    </xf>
    <xf numFmtId="166" fontId="46" fillId="20" borderId="59" xfId="0" applyNumberFormat="1" applyFont="1" applyFill="1" applyBorder="1" applyAlignment="1" applyProtection="1">
      <alignment horizontal="center" vertical="center"/>
      <protection locked="0"/>
    </xf>
    <xf numFmtId="2" fontId="46" fillId="21" borderId="67" xfId="0" applyNumberFormat="1" applyFont="1" applyFill="1" applyBorder="1" applyAlignment="1" applyProtection="1">
      <alignment horizontal="center" vertical="center"/>
      <protection locked="0"/>
    </xf>
    <xf numFmtId="166" fontId="46" fillId="21" borderId="67" xfId="0" applyNumberFormat="1" applyFont="1" applyFill="1" applyBorder="1" applyAlignment="1" applyProtection="1">
      <alignment horizontal="center" vertical="center"/>
      <protection locked="0"/>
    </xf>
    <xf numFmtId="2" fontId="46" fillId="21" borderId="59" xfId="0" applyNumberFormat="1" applyFont="1" applyFill="1" applyBorder="1" applyAlignment="1" applyProtection="1">
      <alignment horizontal="center" vertical="center"/>
      <protection locked="0"/>
    </xf>
    <xf numFmtId="166" fontId="46" fillId="21" borderId="59" xfId="0" applyNumberFormat="1" applyFont="1" applyFill="1" applyBorder="1" applyAlignment="1" applyProtection="1">
      <alignment horizontal="center" vertical="center"/>
      <protection locked="0"/>
    </xf>
    <xf numFmtId="2" fontId="46" fillId="21" borderId="65" xfId="0" applyNumberFormat="1" applyFont="1" applyFill="1" applyBorder="1" applyAlignment="1" applyProtection="1">
      <alignment horizontal="center" vertical="center"/>
      <protection locked="0"/>
    </xf>
    <xf numFmtId="166" fontId="46" fillId="21" borderId="65" xfId="0" applyNumberFormat="1" applyFont="1" applyFill="1" applyBorder="1" applyAlignment="1" applyProtection="1">
      <alignment horizontal="center" vertical="center"/>
      <protection locked="0"/>
    </xf>
    <xf numFmtId="0" fontId="32" fillId="0" borderId="0" xfId="0" applyFont="1" applyAlignment="1">
      <alignment vertical="top" wrapText="1"/>
    </xf>
    <xf numFmtId="0" fontId="12" fillId="0" borderId="0" xfId="0" applyFont="1" applyAlignment="1">
      <alignment vertical="center"/>
    </xf>
    <xf numFmtId="0" fontId="20" fillId="0" borderId="0" xfId="0" applyFont="1" applyAlignment="1">
      <alignment horizontal="left"/>
    </xf>
    <xf numFmtId="0" fontId="2" fillId="0" borderId="0" xfId="0" applyFont="1"/>
    <xf numFmtId="0" fontId="47" fillId="13" borderId="1" xfId="0" applyFont="1" applyFill="1" applyBorder="1"/>
    <xf numFmtId="0" fontId="1" fillId="0" borderId="33" xfId="5" applyBorder="1" applyAlignment="1">
      <alignment horizontal="left" wrapText="1"/>
    </xf>
    <xf numFmtId="0" fontId="2" fillId="0" borderId="57" xfId="0" applyFont="1" applyBorder="1" applyAlignment="1">
      <alignment vertical="center"/>
    </xf>
    <xf numFmtId="0" fontId="51" fillId="0" borderId="57" xfId="0" applyFont="1" applyBorder="1" applyAlignment="1">
      <alignment vertical="center"/>
    </xf>
    <xf numFmtId="0" fontId="0" fillId="0" borderId="57" xfId="0" applyBorder="1" applyAlignment="1">
      <alignment horizontal="left" vertical="center" wrapText="1"/>
    </xf>
    <xf numFmtId="0" fontId="53" fillId="0" borderId="0" xfId="0" applyFont="1"/>
    <xf numFmtId="170" fontId="46" fillId="19" borderId="58" xfId="0" applyNumberFormat="1" applyFont="1" applyFill="1" applyBorder="1" applyAlignment="1">
      <alignment horizontal="center" vertical="center"/>
    </xf>
    <xf numFmtId="0" fontId="46" fillId="19" borderId="58" xfId="0" applyFont="1" applyFill="1" applyBorder="1" applyAlignment="1">
      <alignment horizontal="center" vertical="center"/>
    </xf>
    <xf numFmtId="170" fontId="46" fillId="19" borderId="59" xfId="0" applyNumberFormat="1" applyFont="1" applyFill="1" applyBorder="1" applyAlignment="1">
      <alignment horizontal="center" vertical="center"/>
    </xf>
    <xf numFmtId="0" fontId="46" fillId="19" borderId="59" xfId="0" applyFont="1" applyFill="1" applyBorder="1" applyAlignment="1">
      <alignment horizontal="center" vertical="center"/>
    </xf>
    <xf numFmtId="170" fontId="46" fillId="19" borderId="67" xfId="0" applyNumberFormat="1" applyFont="1" applyFill="1" applyBorder="1" applyAlignment="1">
      <alignment horizontal="center" vertical="center"/>
    </xf>
    <xf numFmtId="0" fontId="46" fillId="19" borderId="67" xfId="0" applyFont="1" applyFill="1" applyBorder="1" applyAlignment="1">
      <alignment horizontal="center" vertical="center"/>
    </xf>
    <xf numFmtId="170" fontId="46" fillId="20" borderId="67" xfId="0" applyNumberFormat="1" applyFont="1" applyFill="1" applyBorder="1" applyAlignment="1">
      <alignment horizontal="center" vertical="center"/>
    </xf>
    <xf numFmtId="0" fontId="46" fillId="20" borderId="67" xfId="0" applyFont="1" applyFill="1" applyBorder="1" applyAlignment="1">
      <alignment horizontal="center" vertical="center"/>
    </xf>
    <xf numFmtId="170" fontId="46" fillId="20" borderId="59" xfId="0" applyNumberFormat="1" applyFont="1" applyFill="1" applyBorder="1" applyAlignment="1">
      <alignment horizontal="center" vertical="center"/>
    </xf>
    <xf numFmtId="0" fontId="46" fillId="20" borderId="59" xfId="0" applyFont="1" applyFill="1" applyBorder="1" applyAlignment="1">
      <alignment horizontal="center" vertical="center"/>
    </xf>
    <xf numFmtId="170" fontId="46" fillId="21" borderId="79" xfId="0" applyNumberFormat="1" applyFont="1" applyFill="1" applyBorder="1" applyAlignment="1">
      <alignment horizontal="center" vertical="center"/>
    </xf>
    <xf numFmtId="0" fontId="46" fillId="21" borderId="79" xfId="0" applyFont="1" applyFill="1" applyBorder="1" applyAlignment="1">
      <alignment horizontal="center" vertical="center"/>
    </xf>
    <xf numFmtId="2" fontId="46" fillId="21" borderId="79" xfId="0" applyNumberFormat="1" applyFont="1" applyFill="1" applyBorder="1" applyAlignment="1" applyProtection="1">
      <alignment horizontal="center" vertical="center"/>
      <protection locked="0"/>
    </xf>
    <xf numFmtId="166" fontId="46" fillId="21" borderId="79" xfId="0" applyNumberFormat="1" applyFont="1" applyFill="1" applyBorder="1" applyAlignment="1" applyProtection="1">
      <alignment horizontal="center" vertical="center"/>
      <protection locked="0"/>
    </xf>
    <xf numFmtId="170" fontId="46" fillId="21" borderId="67" xfId="0" applyNumberFormat="1" applyFont="1" applyFill="1" applyBorder="1" applyAlignment="1">
      <alignment horizontal="center" vertical="center"/>
    </xf>
    <xf numFmtId="0" fontId="46" fillId="21" borderId="67" xfId="0" applyFont="1" applyFill="1" applyBorder="1" applyAlignment="1">
      <alignment horizontal="center" vertical="center"/>
    </xf>
    <xf numFmtId="170" fontId="46" fillId="21" borderId="59" xfId="0" applyNumberFormat="1" applyFont="1" applyFill="1" applyBorder="1" applyAlignment="1">
      <alignment horizontal="center" vertical="center"/>
    </xf>
    <xf numFmtId="0" fontId="46" fillId="21" borderId="59" xfId="0" applyFont="1" applyFill="1" applyBorder="1" applyAlignment="1">
      <alignment horizontal="center" vertical="center"/>
    </xf>
    <xf numFmtId="49" fontId="46" fillId="19" borderId="60" xfId="0" applyNumberFormat="1" applyFont="1" applyFill="1" applyBorder="1" applyAlignment="1">
      <alignment horizontal="center" vertical="center"/>
    </xf>
    <xf numFmtId="49" fontId="46" fillId="19" borderId="61" xfId="0" applyNumberFormat="1" applyFont="1" applyFill="1" applyBorder="1" applyAlignment="1">
      <alignment horizontal="center" vertical="center"/>
    </xf>
    <xf numFmtId="49" fontId="46" fillId="19" borderId="68" xfId="0" applyNumberFormat="1" applyFont="1" applyFill="1" applyBorder="1" applyAlignment="1">
      <alignment horizontal="center" vertical="center"/>
    </xf>
    <xf numFmtId="49" fontId="46" fillId="20" borderId="68" xfId="0" applyNumberFormat="1" applyFont="1" applyFill="1" applyBorder="1" applyAlignment="1">
      <alignment horizontal="center" vertical="center"/>
    </xf>
    <xf numFmtId="49" fontId="46" fillId="20" borderId="61" xfId="0" applyNumberFormat="1" applyFont="1" applyFill="1" applyBorder="1" applyAlignment="1">
      <alignment horizontal="center" vertical="center"/>
    </xf>
    <xf numFmtId="49" fontId="46" fillId="21" borderId="68" xfId="0" applyNumberFormat="1" applyFont="1" applyFill="1" applyBorder="1" applyAlignment="1">
      <alignment horizontal="center" vertical="center"/>
    </xf>
    <xf numFmtId="49" fontId="46" fillId="21" borderId="61" xfId="0" applyNumberFormat="1" applyFont="1" applyFill="1" applyBorder="1" applyAlignment="1">
      <alignment horizontal="center" vertical="center"/>
    </xf>
    <xf numFmtId="49" fontId="46" fillId="21" borderId="81" xfId="0" applyNumberFormat="1" applyFont="1" applyFill="1" applyBorder="1" applyAlignment="1">
      <alignment horizontal="center" vertical="center"/>
    </xf>
    <xf numFmtId="0" fontId="46" fillId="19" borderId="62" xfId="0" applyFont="1" applyFill="1" applyBorder="1" applyAlignment="1">
      <alignment horizontal="center" vertical="center"/>
    </xf>
    <xf numFmtId="0" fontId="46" fillId="19" borderId="63" xfId="0" applyFont="1" applyFill="1" applyBorder="1" applyAlignment="1">
      <alignment horizontal="center" vertical="center"/>
    </xf>
    <xf numFmtId="0" fontId="46" fillId="19" borderId="69" xfId="0" applyFont="1" applyFill="1" applyBorder="1" applyAlignment="1">
      <alignment horizontal="center" vertical="center"/>
    </xf>
    <xf numFmtId="0" fontId="46" fillId="20" borderId="69" xfId="0" applyFont="1" applyFill="1" applyBorder="1" applyAlignment="1">
      <alignment horizontal="center" vertical="center"/>
    </xf>
    <xf numFmtId="0" fontId="46" fillId="20" borderId="63" xfId="0" applyFont="1" applyFill="1" applyBorder="1" applyAlignment="1">
      <alignment horizontal="center" vertical="center"/>
    </xf>
    <xf numFmtId="0" fontId="46" fillId="21" borderId="69" xfId="0" applyFont="1" applyFill="1" applyBorder="1" applyAlignment="1">
      <alignment horizontal="center" vertical="center"/>
    </xf>
    <xf numFmtId="0" fontId="46" fillId="21" borderId="63" xfId="0" applyFont="1" applyFill="1" applyBorder="1" applyAlignment="1">
      <alignment horizontal="center" vertical="center"/>
    </xf>
    <xf numFmtId="0" fontId="46" fillId="21" borderId="83" xfId="0" applyFont="1" applyFill="1" applyBorder="1" applyAlignment="1">
      <alignment horizontal="center" vertical="center"/>
    </xf>
    <xf numFmtId="49" fontId="46" fillId="21" borderId="64" xfId="0" applyNumberFormat="1" applyFont="1" applyFill="1" applyBorder="1" applyAlignment="1">
      <alignment horizontal="center" vertical="center"/>
    </xf>
    <xf numFmtId="170" fontId="46" fillId="21" borderId="65" xfId="0" applyNumberFormat="1" applyFont="1" applyFill="1" applyBorder="1" applyAlignment="1">
      <alignment horizontal="center" vertical="center"/>
    </xf>
    <xf numFmtId="0" fontId="46" fillId="21" borderId="65" xfId="0" applyFont="1" applyFill="1" applyBorder="1" applyAlignment="1">
      <alignment horizontal="center" vertical="center"/>
    </xf>
    <xf numFmtId="0" fontId="46" fillId="21" borderId="66" xfId="0" applyFont="1" applyFill="1" applyBorder="1" applyAlignment="1">
      <alignment horizontal="center" vertical="center"/>
    </xf>
    <xf numFmtId="171" fontId="4" fillId="5" borderId="56" xfId="0" applyNumberFormat="1" applyFont="1" applyFill="1" applyBorder="1" applyAlignment="1">
      <alignment horizontal="center"/>
    </xf>
    <xf numFmtId="0" fontId="2" fillId="0" borderId="57" xfId="0" applyFont="1" applyBorder="1" applyAlignment="1">
      <alignment horizontal="center" vertical="center"/>
    </xf>
    <xf numFmtId="0" fontId="0" fillId="0" borderId="57" xfId="0" applyBorder="1" applyAlignment="1">
      <alignment vertical="center"/>
    </xf>
    <xf numFmtId="0" fontId="59" fillId="30" borderId="57" xfId="0" applyFont="1" applyFill="1" applyBorder="1" applyAlignment="1">
      <alignment vertical="center"/>
    </xf>
    <xf numFmtId="0" fontId="58" fillId="31" borderId="57" xfId="0" applyFont="1" applyFill="1" applyBorder="1" applyAlignment="1">
      <alignment vertical="center"/>
    </xf>
    <xf numFmtId="0" fontId="0" fillId="0" borderId="57" xfId="0" applyBorder="1" applyAlignment="1">
      <alignment vertical="top" wrapText="1"/>
    </xf>
    <xf numFmtId="172" fontId="0" fillId="0" borderId="57" xfId="0" applyNumberFormat="1" applyBorder="1" applyAlignment="1">
      <alignment horizontal="center"/>
    </xf>
    <xf numFmtId="0" fontId="56" fillId="23" borderId="97" xfId="0" applyFont="1" applyFill="1" applyBorder="1" applyAlignment="1">
      <alignment horizontal="center" vertical="center"/>
    </xf>
    <xf numFmtId="0" fontId="56" fillId="23" borderId="98" xfId="0" applyFont="1" applyFill="1" applyBorder="1" applyAlignment="1">
      <alignment horizontal="center" vertical="center"/>
    </xf>
    <xf numFmtId="0" fontId="56" fillId="23" borderId="104" xfId="0" applyFont="1" applyFill="1" applyBorder="1" applyAlignment="1">
      <alignment horizontal="center" vertical="center"/>
    </xf>
    <xf numFmtId="0" fontId="56" fillId="23" borderId="105" xfId="0" applyFont="1" applyFill="1" applyBorder="1" applyAlignment="1">
      <alignment horizontal="center" vertical="center"/>
    </xf>
    <xf numFmtId="0" fontId="52" fillId="0" borderId="0" xfId="0" applyFont="1" applyAlignment="1">
      <alignment vertical="center"/>
    </xf>
    <xf numFmtId="0" fontId="52" fillId="0" borderId="96" xfId="0" applyFont="1" applyBorder="1" applyAlignment="1">
      <alignment horizontal="center" vertical="center"/>
    </xf>
    <xf numFmtId="0" fontId="52" fillId="0" borderId="94" xfId="0" applyFont="1" applyBorder="1" applyAlignment="1">
      <alignment horizontal="center" vertical="center"/>
    </xf>
    <xf numFmtId="4" fontId="52" fillId="0" borderId="94" xfId="0" applyNumberFormat="1" applyFont="1" applyBorder="1" applyAlignment="1">
      <alignment horizontal="center" vertical="center"/>
    </xf>
    <xf numFmtId="0" fontId="52" fillId="27" borderId="96" xfId="0" applyFont="1" applyFill="1" applyBorder="1" applyAlignment="1">
      <alignment horizontal="center" vertical="center"/>
    </xf>
    <xf numFmtId="0" fontId="52" fillId="27" borderId="94" xfId="0" applyFont="1" applyFill="1" applyBorder="1" applyAlignment="1">
      <alignment horizontal="center" vertical="center"/>
    </xf>
    <xf numFmtId="4" fontId="52" fillId="27" borderId="94" xfId="0" applyNumberFormat="1" applyFont="1" applyFill="1" applyBorder="1" applyAlignment="1">
      <alignment horizontal="center" vertical="center"/>
    </xf>
    <xf numFmtId="0" fontId="52" fillId="27" borderId="99" xfId="0" applyFont="1" applyFill="1" applyBorder="1" applyAlignment="1">
      <alignment horizontal="center" vertical="center"/>
    </xf>
    <xf numFmtId="0" fontId="52" fillId="27" borderId="100" xfId="0" applyFont="1" applyFill="1" applyBorder="1" applyAlignment="1">
      <alignment horizontal="center" vertical="center"/>
    </xf>
    <xf numFmtId="4" fontId="52" fillId="27" borderId="100" xfId="0" applyNumberFormat="1" applyFont="1" applyFill="1" applyBorder="1" applyAlignment="1">
      <alignment horizontal="center" vertical="center"/>
    </xf>
    <xf numFmtId="4" fontId="35" fillId="26" borderId="93" xfId="0" applyNumberFormat="1" applyFont="1" applyFill="1" applyBorder="1" applyAlignment="1" applyProtection="1">
      <alignment horizontal="center" vertical="center"/>
      <protection locked="0"/>
    </xf>
    <xf numFmtId="0" fontId="4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19" fillId="0" borderId="0" xfId="0" applyFont="1" applyAlignment="1">
      <alignment horizontal="left" vertical="center"/>
    </xf>
    <xf numFmtId="0" fontId="19" fillId="0" borderId="57" xfId="0" applyFont="1" applyBorder="1" applyAlignment="1">
      <alignment vertical="center"/>
    </xf>
    <xf numFmtId="0" fontId="19" fillId="0" borderId="57" xfId="0" applyFont="1" applyBorder="1" applyAlignment="1">
      <alignment horizontal="center" vertical="center" wrapText="1"/>
    </xf>
    <xf numFmtId="0" fontId="19" fillId="0" borderId="57" xfId="0" applyFont="1" applyBorder="1" applyAlignment="1">
      <alignment horizontal="center" vertical="center"/>
    </xf>
    <xf numFmtId="10" fontId="19" fillId="0" borderId="57" xfId="0" applyNumberFormat="1" applyFont="1" applyBorder="1" applyAlignment="1">
      <alignment horizontal="center" vertical="center"/>
    </xf>
    <xf numFmtId="2" fontId="19" fillId="0" borderId="57" xfId="0" applyNumberFormat="1" applyFont="1" applyBorder="1" applyAlignment="1">
      <alignment horizontal="center" vertical="center"/>
    </xf>
    <xf numFmtId="0" fontId="41" fillId="0" borderId="0" xfId="0" applyFont="1" applyAlignment="1">
      <alignment vertical="center"/>
    </xf>
    <xf numFmtId="0" fontId="40" fillId="0" borderId="57" xfId="0" applyFont="1" applyBorder="1" applyAlignment="1">
      <alignment horizontal="left" vertical="center" wrapText="1"/>
    </xf>
    <xf numFmtId="0" fontId="40" fillId="0" borderId="57" xfId="0" applyFont="1" applyBorder="1" applyAlignment="1">
      <alignment horizontal="center" vertical="center" wrapText="1"/>
    </xf>
    <xf numFmtId="10" fontId="40" fillId="0" borderId="57" xfId="0" applyNumberFormat="1" applyFont="1" applyBorder="1" applyAlignment="1">
      <alignment horizontal="center" vertical="center" wrapText="1"/>
    </xf>
    <xf numFmtId="2" fontId="40" fillId="0" borderId="57" xfId="0" applyNumberFormat="1" applyFont="1" applyBorder="1" applyAlignment="1">
      <alignment horizontal="center" vertical="center" wrapText="1"/>
    </xf>
    <xf numFmtId="166" fontId="52" fillId="0" borderId="94" xfId="0" applyNumberFormat="1" applyFont="1" applyBorder="1" applyAlignment="1">
      <alignment horizontal="center" vertical="center"/>
    </xf>
    <xf numFmtId="166" fontId="52" fillId="27" borderId="94" xfId="0" applyNumberFormat="1" applyFont="1" applyFill="1" applyBorder="1" applyAlignment="1">
      <alignment horizontal="center" vertical="center"/>
    </xf>
    <xf numFmtId="166" fontId="52" fillId="27" borderId="100" xfId="0" applyNumberFormat="1" applyFont="1" applyFill="1" applyBorder="1" applyAlignment="1">
      <alignment horizontal="center" vertical="center"/>
    </xf>
    <xf numFmtId="166" fontId="52" fillId="0" borderId="95" xfId="0" applyNumberFormat="1" applyFont="1" applyBorder="1" applyAlignment="1">
      <alignment horizontal="center" vertical="center"/>
    </xf>
    <xf numFmtId="166" fontId="52" fillId="27" borderId="95" xfId="0" applyNumberFormat="1" applyFont="1" applyFill="1" applyBorder="1" applyAlignment="1">
      <alignment horizontal="center" vertical="center"/>
    </xf>
    <xf numFmtId="166" fontId="52" fillId="27" borderId="102" xfId="0" applyNumberFormat="1" applyFont="1" applyFill="1" applyBorder="1" applyAlignment="1">
      <alignment horizontal="center" vertical="center"/>
    </xf>
    <xf numFmtId="0" fontId="56" fillId="23" borderId="94" xfId="0" applyFont="1" applyFill="1" applyBorder="1" applyAlignment="1">
      <alignment horizontal="center" vertical="center" wrapText="1"/>
    </xf>
    <xf numFmtId="0" fontId="52" fillId="11" borderId="96" xfId="0" applyFont="1" applyFill="1" applyBorder="1" applyAlignment="1">
      <alignment horizontal="center" vertical="center"/>
    </xf>
    <xf numFmtId="166" fontId="52" fillId="11" borderId="94" xfId="0" applyNumberFormat="1" applyFont="1" applyFill="1" applyBorder="1" applyAlignment="1">
      <alignment horizontal="center" vertical="center"/>
    </xf>
    <xf numFmtId="166" fontId="60" fillId="11" borderId="94" xfId="0" applyNumberFormat="1" applyFont="1" applyFill="1" applyBorder="1" applyAlignment="1">
      <alignment horizontal="center" vertical="center"/>
    </xf>
    <xf numFmtId="10" fontId="52" fillId="11" borderId="94" xfId="0" applyNumberFormat="1" applyFont="1" applyFill="1" applyBorder="1" applyAlignment="1">
      <alignment horizontal="center" vertical="center"/>
    </xf>
    <xf numFmtId="4" fontId="52" fillId="11" borderId="94" xfId="0" applyNumberFormat="1" applyFont="1" applyFill="1" applyBorder="1" applyAlignment="1">
      <alignment horizontal="center" vertical="center"/>
    </xf>
    <xf numFmtId="4" fontId="60" fillId="11" borderId="94" xfId="0" applyNumberFormat="1" applyFont="1" applyFill="1" applyBorder="1" applyAlignment="1">
      <alignment horizontal="center" vertical="center"/>
    </xf>
    <xf numFmtId="10" fontId="52" fillId="11" borderId="106" xfId="0" applyNumberFormat="1" applyFont="1" applyFill="1" applyBorder="1" applyAlignment="1">
      <alignment horizontal="center" vertical="center"/>
    </xf>
    <xf numFmtId="166" fontId="60" fillId="27" borderId="94" xfId="0" applyNumberFormat="1" applyFont="1" applyFill="1" applyBorder="1" applyAlignment="1">
      <alignment horizontal="center" vertical="center"/>
    </xf>
    <xf numFmtId="10" fontId="52" fillId="27" borderId="94" xfId="0" applyNumberFormat="1" applyFont="1" applyFill="1" applyBorder="1" applyAlignment="1">
      <alignment horizontal="center" vertical="center"/>
    </xf>
    <xf numFmtId="4" fontId="60" fillId="27" borderId="94" xfId="0" applyNumberFormat="1" applyFont="1" applyFill="1" applyBorder="1" applyAlignment="1">
      <alignment horizontal="center" vertical="center"/>
    </xf>
    <xf numFmtId="10" fontId="52" fillId="27" borderId="106" xfId="0" applyNumberFormat="1" applyFont="1" applyFill="1" applyBorder="1" applyAlignment="1">
      <alignment horizontal="center" vertical="center"/>
    </xf>
    <xf numFmtId="0" fontId="35" fillId="26" borderId="96" xfId="0" applyFont="1" applyFill="1" applyBorder="1" applyAlignment="1">
      <alignment horizontal="center" vertical="center"/>
    </xf>
    <xf numFmtId="166" fontId="35" fillId="26" borderId="94" xfId="0" applyNumberFormat="1" applyFont="1" applyFill="1" applyBorder="1" applyAlignment="1">
      <alignment horizontal="center" vertical="center"/>
    </xf>
    <xf numFmtId="166" fontId="61" fillId="26" borderId="94" xfId="0" applyNumberFormat="1" applyFont="1" applyFill="1" applyBorder="1" applyAlignment="1">
      <alignment horizontal="center" vertical="center"/>
    </xf>
    <xf numFmtId="10" fontId="35" fillId="26" borderId="94" xfId="0" applyNumberFormat="1" applyFont="1" applyFill="1" applyBorder="1" applyAlignment="1">
      <alignment horizontal="center" vertical="center"/>
    </xf>
    <xf numFmtId="4" fontId="35" fillId="26" borderId="94" xfId="0" applyNumberFormat="1" applyFont="1" applyFill="1" applyBorder="1" applyAlignment="1">
      <alignment horizontal="center" vertical="center"/>
    </xf>
    <xf numFmtId="4" fontId="61" fillId="26" borderId="94" xfId="0" applyNumberFormat="1" applyFont="1" applyFill="1" applyBorder="1" applyAlignment="1">
      <alignment horizontal="center" vertical="center"/>
    </xf>
    <xf numFmtId="10" fontId="35" fillId="26" borderId="106" xfId="0" applyNumberFormat="1" applyFont="1" applyFill="1" applyBorder="1" applyAlignment="1">
      <alignment horizontal="center" vertical="center"/>
    </xf>
    <xf numFmtId="0" fontId="62" fillId="26" borderId="99" xfId="0" applyFont="1" applyFill="1" applyBorder="1" applyAlignment="1">
      <alignment horizontal="center" vertical="center"/>
    </xf>
    <xf numFmtId="166" fontId="62" fillId="26" borderId="100" xfId="0" applyNumberFormat="1" applyFont="1" applyFill="1" applyBorder="1" applyAlignment="1">
      <alignment horizontal="center" vertical="center"/>
    </xf>
    <xf numFmtId="166" fontId="63" fillId="26" borderId="100" xfId="0" applyNumberFormat="1" applyFont="1" applyFill="1" applyBorder="1" applyAlignment="1">
      <alignment horizontal="center" vertical="center"/>
    </xf>
    <xf numFmtId="10" fontId="62" fillId="26" borderId="100" xfId="0" applyNumberFormat="1" applyFont="1" applyFill="1" applyBorder="1" applyAlignment="1">
      <alignment horizontal="center" vertical="center"/>
    </xf>
    <xf numFmtId="10" fontId="64" fillId="26" borderId="100" xfId="0" applyNumberFormat="1" applyFont="1" applyFill="1" applyBorder="1" applyAlignment="1">
      <alignment horizontal="center" vertical="center"/>
    </xf>
    <xf numFmtId="4" fontId="62" fillId="26" borderId="100" xfId="0" applyNumberFormat="1" applyFont="1" applyFill="1" applyBorder="1" applyAlignment="1">
      <alignment horizontal="center" vertical="center"/>
    </xf>
    <xf numFmtId="4" fontId="63" fillId="26" borderId="100" xfId="0" applyNumberFormat="1" applyFont="1" applyFill="1" applyBorder="1" applyAlignment="1">
      <alignment horizontal="center" vertical="center"/>
    </xf>
    <xf numFmtId="10" fontId="62" fillId="26" borderId="101" xfId="0" applyNumberFormat="1" applyFont="1" applyFill="1" applyBorder="1" applyAlignment="1">
      <alignment horizontal="center" vertical="center"/>
    </xf>
    <xf numFmtId="166" fontId="4" fillId="4" borderId="8" xfId="0" applyNumberFormat="1" applyFont="1" applyFill="1" applyBorder="1" applyAlignment="1">
      <alignment horizontal="center"/>
    </xf>
    <xf numFmtId="166" fontId="4" fillId="4" borderId="23" xfId="0" applyNumberFormat="1" applyFont="1" applyFill="1" applyBorder="1" applyAlignment="1">
      <alignment horizontal="center"/>
    </xf>
    <xf numFmtId="166" fontId="4" fillId="4" borderId="9" xfId="0" applyNumberFormat="1" applyFont="1" applyFill="1" applyBorder="1" applyAlignment="1">
      <alignment horizontal="center"/>
    </xf>
    <xf numFmtId="166" fontId="4" fillId="4" borderId="1" xfId="0" applyNumberFormat="1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/>
    </xf>
    <xf numFmtId="0" fontId="4" fillId="7" borderId="9" xfId="0" applyFont="1" applyFill="1" applyBorder="1" applyAlignment="1" applyProtection="1">
      <alignment horizontal="left"/>
      <protection locked="0"/>
    </xf>
    <xf numFmtId="0" fontId="4" fillId="7" borderId="1" xfId="0" applyFont="1" applyFill="1" applyBorder="1" applyAlignment="1" applyProtection="1">
      <alignment horizontal="left"/>
      <protection locked="0"/>
    </xf>
    <xf numFmtId="166" fontId="4" fillId="15" borderId="1" xfId="0" applyNumberFormat="1" applyFont="1" applyFill="1" applyBorder="1" applyAlignment="1">
      <alignment horizontal="center"/>
    </xf>
    <xf numFmtId="2" fontId="4" fillId="15" borderId="1" xfId="0" applyNumberFormat="1" applyFont="1" applyFill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27" fillId="0" borderId="0" xfId="0" applyFont="1" applyAlignment="1">
      <alignment horizontal="center"/>
    </xf>
    <xf numFmtId="10" fontId="4" fillId="4" borderId="1" xfId="0" applyNumberFormat="1" applyFont="1" applyFill="1" applyBorder="1" applyAlignment="1">
      <alignment horizontal="center"/>
    </xf>
    <xf numFmtId="10" fontId="4" fillId="15" borderId="1" xfId="0" applyNumberFormat="1" applyFont="1" applyFill="1" applyBorder="1" applyAlignment="1">
      <alignment horizontal="center"/>
    </xf>
    <xf numFmtId="0" fontId="4" fillId="7" borderId="14" xfId="0" applyFont="1" applyFill="1" applyBorder="1" applyAlignment="1">
      <alignment horizontal="left"/>
    </xf>
    <xf numFmtId="0" fontId="4" fillId="7" borderId="13" xfId="0" applyFont="1" applyFill="1" applyBorder="1" applyAlignment="1">
      <alignment horizontal="left"/>
    </xf>
    <xf numFmtId="166" fontId="4" fillId="7" borderId="13" xfId="0" applyNumberFormat="1" applyFont="1" applyFill="1" applyBorder="1" applyAlignment="1">
      <alignment horizontal="center"/>
    </xf>
    <xf numFmtId="166" fontId="4" fillId="7" borderId="30" xfId="0" applyNumberFormat="1" applyFont="1" applyFill="1" applyBorder="1" applyAlignment="1">
      <alignment horizontal="center"/>
    </xf>
    <xf numFmtId="10" fontId="4" fillId="8" borderId="9" xfId="0" applyNumberFormat="1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10" fontId="4" fillId="8" borderId="1" xfId="0" applyNumberFormat="1" applyFont="1" applyFill="1" applyBorder="1" applyAlignment="1">
      <alignment horizontal="center"/>
    </xf>
    <xf numFmtId="2" fontId="4" fillId="8" borderId="1" xfId="0" applyNumberFormat="1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 wrapText="1"/>
    </xf>
    <xf numFmtId="0" fontId="35" fillId="10" borderId="9" xfId="0" applyFont="1" applyFill="1" applyBorder="1" applyAlignment="1" applyProtection="1">
      <alignment horizontal="left"/>
      <protection locked="0"/>
    </xf>
    <xf numFmtId="0" fontId="35" fillId="10" borderId="1" xfId="0" applyFont="1" applyFill="1" applyBorder="1" applyAlignment="1" applyProtection="1">
      <alignment horizontal="left"/>
      <protection locked="0"/>
    </xf>
    <xf numFmtId="166" fontId="35" fillId="11" borderId="1" xfId="0" applyNumberFormat="1" applyFont="1" applyFill="1" applyBorder="1" applyAlignment="1" applyProtection="1">
      <alignment horizontal="center"/>
      <protection locked="0"/>
    </xf>
    <xf numFmtId="166" fontId="4" fillId="0" borderId="1" xfId="0" applyNumberFormat="1" applyFont="1" applyBorder="1" applyAlignment="1" applyProtection="1">
      <alignment horizontal="center"/>
      <protection locked="0"/>
    </xf>
    <xf numFmtId="0" fontId="4" fillId="4" borderId="9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0" fontId="4" fillId="6" borderId="9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2" fontId="4" fillId="6" borderId="1" xfId="0" applyNumberFormat="1" applyFont="1" applyFill="1" applyBorder="1" applyAlignment="1">
      <alignment horizontal="center"/>
    </xf>
    <xf numFmtId="0" fontId="4" fillId="7" borderId="9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/>
    </xf>
    <xf numFmtId="166" fontId="4" fillId="7" borderId="1" xfId="0" applyNumberFormat="1" applyFont="1" applyFill="1" applyBorder="1" applyAlignment="1">
      <alignment horizontal="center"/>
    </xf>
    <xf numFmtId="2" fontId="4" fillId="12" borderId="1" xfId="0" applyNumberFormat="1" applyFont="1" applyFill="1" applyBorder="1" applyAlignment="1" applyProtection="1">
      <alignment horizontal="center"/>
      <protection locked="0"/>
    </xf>
    <xf numFmtId="0" fontId="4" fillId="7" borderId="27" xfId="0" applyFont="1" applyFill="1" applyBorder="1" applyAlignment="1" applyProtection="1">
      <alignment horizontal="left"/>
      <protection locked="0"/>
    </xf>
    <xf numFmtId="0" fontId="4" fillId="7" borderId="4" xfId="0" applyFont="1" applyFill="1" applyBorder="1" applyAlignment="1" applyProtection="1">
      <alignment horizontal="left"/>
      <protection locked="0"/>
    </xf>
    <xf numFmtId="166" fontId="4" fillId="0" borderId="4" xfId="0" applyNumberFormat="1" applyFont="1" applyBorder="1" applyAlignment="1" applyProtection="1">
      <alignment horizontal="center"/>
      <protection locked="0"/>
    </xf>
    <xf numFmtId="166" fontId="4" fillId="0" borderId="5" xfId="0" applyNumberFormat="1" applyFont="1" applyBorder="1" applyAlignment="1" applyProtection="1">
      <alignment horizontal="center"/>
      <protection locked="0"/>
    </xf>
    <xf numFmtId="0" fontId="35" fillId="10" borderId="17" xfId="0" applyFont="1" applyFill="1" applyBorder="1" applyAlignment="1" applyProtection="1">
      <alignment horizontal="left"/>
      <protection locked="0"/>
    </xf>
    <xf numFmtId="0" fontId="35" fillId="10" borderId="16" xfId="0" applyFont="1" applyFill="1" applyBorder="1" applyAlignment="1" applyProtection="1">
      <alignment horizontal="left"/>
      <protection locked="0"/>
    </xf>
    <xf numFmtId="166" fontId="35" fillId="11" borderId="16" xfId="0" applyNumberFormat="1" applyFont="1" applyFill="1" applyBorder="1" applyAlignment="1" applyProtection="1">
      <alignment horizontal="center"/>
      <protection locked="0"/>
    </xf>
    <xf numFmtId="166" fontId="4" fillId="0" borderId="16" xfId="0" applyNumberFormat="1" applyFont="1" applyBorder="1" applyAlignment="1" applyProtection="1">
      <alignment horizontal="center"/>
      <protection locked="0"/>
    </xf>
    <xf numFmtId="0" fontId="4" fillId="7" borderId="53" xfId="0" applyFont="1" applyFill="1" applyBorder="1" applyAlignment="1" applyProtection="1">
      <alignment horizontal="left"/>
      <protection locked="0"/>
    </xf>
    <xf numFmtId="0" fontId="4" fillId="7" borderId="11" xfId="0" applyFont="1" applyFill="1" applyBorder="1" applyAlignment="1" applyProtection="1">
      <alignment horizontal="left"/>
      <protection locked="0"/>
    </xf>
    <xf numFmtId="166" fontId="4" fillId="0" borderId="2" xfId="0" applyNumberFormat="1" applyFont="1" applyBorder="1" applyAlignment="1" applyProtection="1">
      <alignment horizontal="center"/>
      <protection locked="0"/>
    </xf>
    <xf numFmtId="166" fontId="4" fillId="0" borderId="24" xfId="0" applyNumberFormat="1" applyFont="1" applyBorder="1" applyAlignment="1" applyProtection="1">
      <alignment horizontal="center"/>
      <protection locked="0"/>
    </xf>
    <xf numFmtId="166" fontId="4" fillId="0" borderId="3" xfId="0" applyNumberFormat="1" applyFont="1" applyBorder="1" applyAlignment="1" applyProtection="1">
      <alignment horizontal="center"/>
      <protection locked="0"/>
    </xf>
    <xf numFmtId="0" fontId="4" fillId="3" borderId="16" xfId="0" applyFont="1" applyFill="1" applyBorder="1" applyAlignment="1">
      <alignment horizontal="center" wrapText="1"/>
    </xf>
    <xf numFmtId="0" fontId="4" fillId="3" borderId="21" xfId="0" applyFont="1" applyFill="1" applyBorder="1" applyAlignment="1">
      <alignment horizontal="center" wrapText="1"/>
    </xf>
    <xf numFmtId="0" fontId="4" fillId="3" borderId="18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4" fillId="2" borderId="17" xfId="0" applyFont="1" applyFill="1" applyBorder="1" applyAlignment="1">
      <alignment horizontal="center" wrapText="1"/>
    </xf>
    <xf numFmtId="0" fontId="4" fillId="2" borderId="32" xfId="0" applyFont="1" applyFill="1" applyBorder="1" applyAlignment="1">
      <alignment horizontal="center" wrapText="1"/>
    </xf>
    <xf numFmtId="0" fontId="4" fillId="2" borderId="16" xfId="0" applyFont="1" applyFill="1" applyBorder="1" applyAlignment="1">
      <alignment horizontal="center" wrapText="1"/>
    </xf>
    <xf numFmtId="0" fontId="4" fillId="2" borderId="21" xfId="0" applyFont="1" applyFill="1" applyBorder="1" applyAlignment="1">
      <alignment horizontal="center" wrapText="1"/>
    </xf>
    <xf numFmtId="0" fontId="4" fillId="2" borderId="18" xfId="0" applyFont="1" applyFill="1" applyBorder="1" applyAlignment="1">
      <alignment horizontal="center" wrapText="1"/>
    </xf>
    <xf numFmtId="0" fontId="4" fillId="2" borderId="12" xfId="0" applyFont="1" applyFill="1" applyBorder="1" applyAlignment="1">
      <alignment horizontal="center" wrapText="1"/>
    </xf>
    <xf numFmtId="0" fontId="7" fillId="5" borderId="48" xfId="0" applyFont="1" applyFill="1" applyBorder="1" applyAlignment="1">
      <alignment horizontal="center" wrapText="1"/>
    </xf>
    <xf numFmtId="0" fontId="7" fillId="5" borderId="49" xfId="0" applyFont="1" applyFill="1" applyBorder="1" applyAlignment="1">
      <alignment horizontal="center" wrapText="1"/>
    </xf>
    <xf numFmtId="0" fontId="7" fillId="4" borderId="17" xfId="0" applyFont="1" applyFill="1" applyBorder="1" applyAlignment="1">
      <alignment horizontal="center"/>
    </xf>
    <xf numFmtId="0" fontId="7" fillId="4" borderId="32" xfId="0" applyFont="1" applyFill="1" applyBorder="1" applyAlignment="1">
      <alignment horizontal="center"/>
    </xf>
    <xf numFmtId="0" fontId="21" fillId="3" borderId="22" xfId="0" applyFont="1" applyFill="1" applyBorder="1" applyAlignment="1">
      <alignment horizontal="center" vertical="center" wrapText="1"/>
    </xf>
    <xf numFmtId="0" fontId="21" fillId="3" borderId="19" xfId="0" applyFont="1" applyFill="1" applyBorder="1" applyAlignment="1">
      <alignment horizontal="center" vertical="center" wrapText="1"/>
    </xf>
    <xf numFmtId="1" fontId="35" fillId="17" borderId="32" xfId="0" applyNumberFormat="1" applyFont="1" applyFill="1" applyBorder="1" applyAlignment="1">
      <alignment horizontal="center" vertical="center" wrapText="1"/>
    </xf>
    <xf numFmtId="0" fontId="37" fillId="18" borderId="12" xfId="0" applyFont="1" applyFill="1" applyBorder="1" applyAlignment="1">
      <alignment horizontal="center" wrapText="1"/>
    </xf>
    <xf numFmtId="0" fontId="23" fillId="0" borderId="23" xfId="0" applyFont="1" applyBorder="1" applyAlignment="1">
      <alignment horizontal="center"/>
    </xf>
    <xf numFmtId="0" fontId="4" fillId="9" borderId="48" xfId="0" applyFont="1" applyFill="1" applyBorder="1" applyAlignment="1">
      <alignment horizontal="center" wrapText="1"/>
    </xf>
    <xf numFmtId="0" fontId="4" fillId="9" borderId="49" xfId="0" applyFont="1" applyFill="1" applyBorder="1" applyAlignment="1">
      <alignment horizontal="center" wrapText="1"/>
    </xf>
    <xf numFmtId="0" fontId="21" fillId="3" borderId="22" xfId="0" applyFont="1" applyFill="1" applyBorder="1" applyAlignment="1">
      <alignment horizontal="center" vertical="center"/>
    </xf>
    <xf numFmtId="0" fontId="21" fillId="3" borderId="19" xfId="0" applyFont="1" applyFill="1" applyBorder="1" applyAlignment="1">
      <alignment horizontal="center" vertical="center"/>
    </xf>
    <xf numFmtId="0" fontId="21" fillId="3" borderId="17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10" fillId="12" borderId="17" xfId="0" applyFont="1" applyFill="1" applyBorder="1" applyAlignment="1">
      <alignment horizontal="center"/>
    </xf>
    <xf numFmtId="0" fontId="10" fillId="12" borderId="16" xfId="0" applyFont="1" applyFill="1" applyBorder="1" applyAlignment="1">
      <alignment horizontal="center"/>
    </xf>
    <xf numFmtId="0" fontId="10" fillId="12" borderId="18" xfId="0" applyFont="1" applyFill="1" applyBorder="1" applyAlignment="1">
      <alignment horizontal="center"/>
    </xf>
    <xf numFmtId="0" fontId="4" fillId="3" borderId="16" xfId="0" applyFont="1" applyFill="1" applyBorder="1" applyAlignment="1">
      <alignment horizontal="center"/>
    </xf>
    <xf numFmtId="0" fontId="4" fillId="3" borderId="21" xfId="0" applyFont="1" applyFill="1" applyBorder="1" applyAlignment="1">
      <alignment horizontal="center"/>
    </xf>
    <xf numFmtId="0" fontId="45" fillId="0" borderId="0" xfId="0" applyFont="1" applyAlignment="1">
      <alignment horizontal="center" vertical="center"/>
    </xf>
    <xf numFmtId="49" fontId="2" fillId="22" borderId="82" xfId="0" applyNumberFormat="1" applyFont="1" applyFill="1" applyBorder="1" applyAlignment="1">
      <alignment horizontal="center" vertical="center"/>
    </xf>
    <xf numFmtId="170" fontId="2" fillId="22" borderId="80" xfId="0" applyNumberFormat="1" applyFont="1" applyFill="1" applyBorder="1" applyAlignment="1">
      <alignment horizontal="center" vertical="center"/>
    </xf>
    <xf numFmtId="0" fontId="2" fillId="22" borderId="80" xfId="0" applyFont="1" applyFill="1" applyBorder="1" applyAlignment="1">
      <alignment horizontal="center" vertical="center"/>
    </xf>
    <xf numFmtId="2" fontId="2" fillId="22" borderId="80" xfId="0" applyNumberFormat="1" applyFont="1" applyFill="1" applyBorder="1" applyAlignment="1">
      <alignment horizontal="center" vertical="center"/>
    </xf>
    <xf numFmtId="166" fontId="2" fillId="22" borderId="80" xfId="0" applyNumberFormat="1" applyFont="1" applyFill="1" applyBorder="1" applyAlignment="1">
      <alignment horizontal="center" vertical="center"/>
    </xf>
    <xf numFmtId="0" fontId="2" fillId="22" borderId="84" xfId="0" applyFont="1" applyFill="1" applyBorder="1" applyAlignment="1">
      <alignment horizontal="center" vertical="center"/>
    </xf>
    <xf numFmtId="0" fontId="43" fillId="0" borderId="19" xfId="0" applyFont="1" applyBorder="1" applyAlignment="1">
      <alignment horizontal="left" vertical="center" wrapText="1"/>
    </xf>
    <xf numFmtId="49" fontId="2" fillId="22" borderId="71" xfId="0" applyNumberFormat="1" applyFont="1" applyFill="1" applyBorder="1" applyAlignment="1">
      <alignment horizontal="center" vertical="center"/>
    </xf>
    <xf numFmtId="170" fontId="2" fillId="22" borderId="70" xfId="0" applyNumberFormat="1" applyFont="1" applyFill="1" applyBorder="1" applyAlignment="1">
      <alignment horizontal="center" vertical="center"/>
    </xf>
    <xf numFmtId="0" fontId="2" fillId="22" borderId="70" xfId="0" applyFont="1" applyFill="1" applyBorder="1" applyAlignment="1">
      <alignment horizontal="center" vertical="center"/>
    </xf>
    <xf numFmtId="2" fontId="2" fillId="22" borderId="70" xfId="0" applyNumberFormat="1" applyFont="1" applyFill="1" applyBorder="1" applyAlignment="1">
      <alignment horizontal="center" vertical="center"/>
    </xf>
    <xf numFmtId="166" fontId="2" fillId="22" borderId="70" xfId="0" applyNumberFormat="1" applyFont="1" applyFill="1" applyBorder="1" applyAlignment="1">
      <alignment horizontal="center" vertical="center"/>
    </xf>
    <xf numFmtId="0" fontId="2" fillId="22" borderId="72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/>
    </xf>
    <xf numFmtId="0" fontId="16" fillId="13" borderId="1" xfId="0" applyFont="1" applyFill="1" applyBorder="1" applyAlignment="1">
      <alignment horizontal="center"/>
    </xf>
    <xf numFmtId="0" fontId="26" fillId="14" borderId="1" xfId="0" applyFont="1" applyFill="1" applyBorder="1" applyAlignment="1">
      <alignment horizontal="center"/>
    </xf>
    <xf numFmtId="0" fontId="8" fillId="13" borderId="1" xfId="0" applyFont="1" applyFill="1" applyBorder="1" applyAlignment="1">
      <alignment horizontal="center"/>
    </xf>
    <xf numFmtId="0" fontId="20" fillId="13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4" borderId="18" xfId="0" applyFont="1" applyFill="1" applyBorder="1" applyAlignment="1">
      <alignment horizontal="center"/>
    </xf>
    <xf numFmtId="0" fontId="5" fillId="4" borderId="17" xfId="0" applyFont="1" applyFill="1" applyBorder="1" applyAlignment="1">
      <alignment horizontal="center"/>
    </xf>
    <xf numFmtId="0" fontId="5" fillId="4" borderId="20" xfId="0" applyFont="1" applyFill="1" applyBorder="1" applyAlignment="1">
      <alignment horizontal="center"/>
    </xf>
    <xf numFmtId="0" fontId="5" fillId="4" borderId="10" xfId="0" applyFont="1" applyFill="1" applyBorder="1" applyAlignment="1">
      <alignment horizontal="center"/>
    </xf>
    <xf numFmtId="0" fontId="5" fillId="4" borderId="18" xfId="0" applyFont="1" applyFill="1" applyBorder="1" applyAlignment="1">
      <alignment horizontal="center" wrapText="1"/>
    </xf>
    <xf numFmtId="0" fontId="5" fillId="4" borderId="17" xfId="0" applyFont="1" applyFill="1" applyBorder="1" applyAlignment="1">
      <alignment horizontal="center" wrapText="1"/>
    </xf>
    <xf numFmtId="0" fontId="5" fillId="4" borderId="20" xfId="0" applyFont="1" applyFill="1" applyBorder="1" applyAlignment="1">
      <alignment horizontal="center" wrapText="1"/>
    </xf>
    <xf numFmtId="0" fontId="5" fillId="4" borderId="10" xfId="0" applyFont="1" applyFill="1" applyBorder="1" applyAlignment="1">
      <alignment horizontal="center" wrapText="1"/>
    </xf>
    <xf numFmtId="166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7" borderId="17" xfId="0" applyFont="1" applyFill="1" applyBorder="1" applyAlignment="1" applyProtection="1">
      <alignment horizontal="left"/>
      <protection locked="0"/>
    </xf>
    <xf numFmtId="0" fontId="4" fillId="7" borderId="16" xfId="0" applyFont="1" applyFill="1" applyBorder="1" applyAlignment="1" applyProtection="1">
      <alignment horizontal="left"/>
      <protection locked="0"/>
    </xf>
    <xf numFmtId="0" fontId="4" fillId="7" borderId="2" xfId="0" applyFont="1" applyFill="1" applyBorder="1" applyAlignment="1" applyProtection="1">
      <alignment horizontal="left"/>
      <protection locked="0"/>
    </xf>
    <xf numFmtId="0" fontId="5" fillId="0" borderId="0" xfId="0" applyFont="1" applyAlignment="1">
      <alignment horizontal="center" wrapText="1"/>
    </xf>
    <xf numFmtId="10" fontId="4" fillId="0" borderId="0" xfId="0" applyNumberFormat="1" applyFont="1" applyAlignment="1">
      <alignment horizontal="center"/>
    </xf>
    <xf numFmtId="2" fontId="4" fillId="4" borderId="8" xfId="0" applyNumberFormat="1" applyFont="1" applyFill="1" applyBorder="1" applyAlignment="1">
      <alignment horizontal="center"/>
    </xf>
    <xf numFmtId="2" fontId="4" fillId="4" borderId="9" xfId="0" applyNumberFormat="1" applyFont="1" applyFill="1" applyBorder="1" applyAlignment="1">
      <alignment horizontal="center"/>
    </xf>
    <xf numFmtId="10" fontId="4" fillId="4" borderId="8" xfId="0" applyNumberFormat="1" applyFont="1" applyFill="1" applyBorder="1" applyAlignment="1">
      <alignment horizontal="center"/>
    </xf>
    <xf numFmtId="10" fontId="4" fillId="4" borderId="9" xfId="0" applyNumberFormat="1" applyFont="1" applyFill="1" applyBorder="1" applyAlignment="1">
      <alignment horizontal="center"/>
    </xf>
    <xf numFmtId="166" fontId="4" fillId="0" borderId="28" xfId="0" applyNumberFormat="1" applyFont="1" applyBorder="1" applyAlignment="1" applyProtection="1">
      <alignment horizontal="center"/>
      <protection locked="0"/>
    </xf>
    <xf numFmtId="166" fontId="4" fillId="0" borderId="29" xfId="0" applyNumberFormat="1" applyFont="1" applyBorder="1" applyAlignment="1" applyProtection="1">
      <alignment horizontal="center"/>
      <protection locked="0"/>
    </xf>
    <xf numFmtId="0" fontId="4" fillId="7" borderId="55" xfId="0" applyFont="1" applyFill="1" applyBorder="1" applyAlignment="1">
      <alignment horizontal="left"/>
    </xf>
    <xf numFmtId="166" fontId="4" fillId="7" borderId="15" xfId="0" applyNumberFormat="1" applyFont="1" applyFill="1" applyBorder="1" applyAlignment="1">
      <alignment horizontal="center"/>
    </xf>
    <xf numFmtId="166" fontId="4" fillId="7" borderId="31" xfId="0" applyNumberFormat="1" applyFont="1" applyFill="1" applyBorder="1" applyAlignment="1">
      <alignment horizontal="center"/>
    </xf>
    <xf numFmtId="0" fontId="4" fillId="4" borderId="23" xfId="0" applyFont="1" applyFill="1" applyBorder="1" applyAlignment="1">
      <alignment horizontal="left"/>
    </xf>
    <xf numFmtId="0" fontId="35" fillId="10" borderId="23" xfId="0" applyFont="1" applyFill="1" applyBorder="1" applyAlignment="1" applyProtection="1">
      <alignment horizontal="left"/>
      <protection locked="0"/>
    </xf>
    <xf numFmtId="166" fontId="35" fillId="11" borderId="8" xfId="0" applyNumberFormat="1" applyFont="1" applyFill="1" applyBorder="1" applyAlignment="1" applyProtection="1">
      <alignment horizontal="center"/>
      <protection locked="0"/>
    </xf>
    <xf numFmtId="166" fontId="4" fillId="0" borderId="9" xfId="0" applyNumberFormat="1" applyFont="1" applyBorder="1" applyAlignment="1" applyProtection="1">
      <alignment horizontal="center"/>
      <protection locked="0"/>
    </xf>
    <xf numFmtId="10" fontId="4" fillId="8" borderId="23" xfId="0" applyNumberFormat="1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10" fontId="4" fillId="8" borderId="8" xfId="0" applyNumberFormat="1" applyFont="1" applyFill="1" applyBorder="1" applyAlignment="1">
      <alignment horizontal="center"/>
    </xf>
    <xf numFmtId="0" fontId="3" fillId="4" borderId="22" xfId="0" applyFont="1" applyFill="1" applyBorder="1" applyAlignment="1">
      <alignment horizontal="center"/>
    </xf>
    <xf numFmtId="0" fontId="3" fillId="4" borderId="17" xfId="0" applyFont="1" applyFill="1" applyBorder="1" applyAlignment="1">
      <alignment horizontal="center"/>
    </xf>
    <xf numFmtId="0" fontId="3" fillId="4" borderId="19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4" fillId="7" borderId="23" xfId="0" applyFont="1" applyFill="1" applyBorder="1" applyAlignment="1" applyProtection="1">
      <alignment horizontal="left"/>
      <protection locked="0"/>
    </xf>
    <xf numFmtId="166" fontId="4" fillId="0" borderId="8" xfId="0" applyNumberFormat="1" applyFont="1" applyBorder="1" applyAlignment="1" applyProtection="1">
      <alignment horizontal="center"/>
      <protection locked="0"/>
    </xf>
    <xf numFmtId="166" fontId="4" fillId="0" borderId="26" xfId="0" applyNumberFormat="1" applyFont="1" applyBorder="1" applyAlignment="1" applyProtection="1">
      <alignment horizontal="center"/>
      <protection locked="0"/>
    </xf>
    <xf numFmtId="0" fontId="4" fillId="7" borderId="54" xfId="0" applyFont="1" applyFill="1" applyBorder="1" applyAlignment="1" applyProtection="1">
      <alignment horizontal="left"/>
      <protection locked="0"/>
    </xf>
    <xf numFmtId="0" fontId="35" fillId="10" borderId="22" xfId="0" applyFont="1" applyFill="1" applyBorder="1" applyAlignment="1" applyProtection="1">
      <alignment horizontal="left"/>
      <protection locked="0"/>
    </xf>
    <xf numFmtId="166" fontId="35" fillId="11" borderId="18" xfId="0" applyNumberFormat="1" applyFont="1" applyFill="1" applyBorder="1" applyAlignment="1" applyProtection="1">
      <alignment horizontal="center"/>
      <protection locked="0"/>
    </xf>
    <xf numFmtId="166" fontId="4" fillId="0" borderId="17" xfId="0" applyNumberFormat="1" applyFont="1" applyBorder="1" applyAlignment="1" applyProtection="1">
      <alignment horizontal="center"/>
      <protection locked="0"/>
    </xf>
    <xf numFmtId="166" fontId="4" fillId="0" borderId="7" xfId="0" applyNumberFormat="1" applyFont="1" applyBorder="1" applyAlignment="1" applyProtection="1">
      <alignment horizontal="center"/>
      <protection locked="0"/>
    </xf>
    <xf numFmtId="166" fontId="4" fillId="0" borderId="25" xfId="0" applyNumberFormat="1" applyFont="1" applyBorder="1" applyAlignment="1" applyProtection="1">
      <alignment horizontal="center"/>
      <protection locked="0"/>
    </xf>
    <xf numFmtId="0" fontId="4" fillId="7" borderId="23" xfId="0" applyFont="1" applyFill="1" applyBorder="1" applyAlignment="1">
      <alignment horizontal="left"/>
    </xf>
    <xf numFmtId="166" fontId="4" fillId="7" borderId="8" xfId="0" applyNumberFormat="1" applyFont="1" applyFill="1" applyBorder="1" applyAlignment="1">
      <alignment horizontal="center"/>
    </xf>
    <xf numFmtId="166" fontId="4" fillId="7" borderId="9" xfId="0" applyNumberFormat="1" applyFont="1" applyFill="1" applyBorder="1" applyAlignment="1">
      <alignment horizontal="center"/>
    </xf>
    <xf numFmtId="2" fontId="4" fillId="6" borderId="8" xfId="0" applyNumberFormat="1" applyFont="1" applyFill="1" applyBorder="1" applyAlignment="1">
      <alignment horizontal="center"/>
    </xf>
    <xf numFmtId="2" fontId="4" fillId="6" borderId="9" xfId="0" applyNumberFormat="1" applyFont="1" applyFill="1" applyBorder="1" applyAlignment="1">
      <alignment horizontal="center"/>
    </xf>
    <xf numFmtId="0" fontId="4" fillId="6" borderId="23" xfId="0" applyFont="1" applyFill="1" applyBorder="1" applyAlignment="1">
      <alignment horizontal="left"/>
    </xf>
    <xf numFmtId="0" fontId="23" fillId="0" borderId="22" xfId="0" applyFont="1" applyBorder="1" applyAlignment="1">
      <alignment horizontal="center"/>
    </xf>
    <xf numFmtId="0" fontId="10" fillId="12" borderId="22" xfId="0" applyFont="1" applyFill="1" applyBorder="1" applyAlignment="1">
      <alignment horizontal="center"/>
    </xf>
    <xf numFmtId="0" fontId="23" fillId="0" borderId="0" xfId="0" applyFont="1" applyAlignment="1">
      <alignment horizontal="center"/>
    </xf>
    <xf numFmtId="0" fontId="4" fillId="7" borderId="27" xfId="0" applyFont="1" applyFill="1" applyBorder="1" applyAlignment="1">
      <alignment horizontal="left"/>
    </xf>
    <xf numFmtId="0" fontId="4" fillId="7" borderId="4" xfId="0" applyFont="1" applyFill="1" applyBorder="1" applyAlignment="1">
      <alignment horizontal="left"/>
    </xf>
    <xf numFmtId="166" fontId="4" fillId="7" borderId="4" xfId="0" applyNumberFormat="1" applyFont="1" applyFill="1" applyBorder="1" applyAlignment="1">
      <alignment horizontal="center"/>
    </xf>
    <xf numFmtId="166" fontId="4" fillId="7" borderId="5" xfId="0" applyNumberFormat="1" applyFont="1" applyFill="1" applyBorder="1" applyAlignment="1">
      <alignment horizontal="center"/>
    </xf>
    <xf numFmtId="0" fontId="34" fillId="0" borderId="0" xfId="0" applyFont="1" applyAlignment="1">
      <alignment horizontal="center" vertical="center" wrapText="1"/>
    </xf>
    <xf numFmtId="0" fontId="54" fillId="24" borderId="1" xfId="0" applyFont="1" applyFill="1" applyBorder="1" applyAlignment="1">
      <alignment horizontal="center" vertical="center"/>
    </xf>
    <xf numFmtId="0" fontId="54" fillId="24" borderId="16" xfId="0" applyFont="1" applyFill="1" applyBorder="1" applyAlignment="1">
      <alignment horizontal="center" vertical="center"/>
    </xf>
    <xf numFmtId="0" fontId="56" fillId="23" borderId="98" xfId="0" applyFont="1" applyFill="1" applyBorder="1" applyAlignment="1">
      <alignment horizontal="center" vertical="center" wrapText="1"/>
    </xf>
    <xf numFmtId="0" fontId="56" fillId="23" borderId="94" xfId="0" applyFont="1" applyFill="1" applyBorder="1" applyAlignment="1">
      <alignment horizontal="center" vertical="center" wrapText="1"/>
    </xf>
    <xf numFmtId="0" fontId="56" fillId="23" borderId="97" xfId="0" applyFont="1" applyFill="1" applyBorder="1" applyAlignment="1">
      <alignment horizontal="center" vertical="center" wrapText="1"/>
    </xf>
    <xf numFmtId="0" fontId="56" fillId="23" borderId="96" xfId="0" applyFont="1" applyFill="1" applyBorder="1" applyAlignment="1">
      <alignment horizontal="center" vertical="center" wrapText="1"/>
    </xf>
    <xf numFmtId="0" fontId="56" fillId="23" borderId="108" xfId="0" applyFont="1" applyFill="1" applyBorder="1" applyAlignment="1">
      <alignment horizontal="center" vertical="center" wrapText="1"/>
    </xf>
    <xf numFmtId="0" fontId="56" fillId="23" borderId="106" xfId="0" applyFont="1" applyFill="1" applyBorder="1" applyAlignment="1">
      <alignment horizontal="center" vertical="center" wrapText="1"/>
    </xf>
    <xf numFmtId="0" fontId="54" fillId="24" borderId="87" xfId="0" applyFont="1" applyFill="1" applyBorder="1" applyAlignment="1">
      <alignment horizontal="center" vertical="center"/>
    </xf>
    <xf numFmtId="0" fontId="54" fillId="24" borderId="88" xfId="0" applyFont="1" applyFill="1" applyBorder="1" applyAlignment="1">
      <alignment horizontal="center" vertical="center"/>
    </xf>
    <xf numFmtId="0" fontId="54" fillId="24" borderId="89" xfId="0" applyFont="1" applyFill="1" applyBorder="1" applyAlignment="1">
      <alignment horizontal="center" vertical="center"/>
    </xf>
    <xf numFmtId="0" fontId="55" fillId="25" borderId="85" xfId="0" applyFont="1" applyFill="1" applyBorder="1" applyAlignment="1">
      <alignment horizontal="left" vertical="center" wrapText="1"/>
    </xf>
    <xf numFmtId="0" fontId="55" fillId="25" borderId="0" xfId="0" applyFont="1" applyFill="1" applyAlignment="1">
      <alignment horizontal="left" vertical="center" wrapText="1"/>
    </xf>
    <xf numFmtId="0" fontId="55" fillId="25" borderId="86" xfId="0" applyFont="1" applyFill="1" applyBorder="1" applyAlignment="1">
      <alignment horizontal="left" vertical="center" wrapText="1"/>
    </xf>
    <xf numFmtId="0" fontId="35" fillId="26" borderId="90" xfId="0" applyFont="1" applyFill="1" applyBorder="1" applyAlignment="1">
      <alignment horizontal="center" vertical="center" wrapText="1"/>
    </xf>
    <xf numFmtId="0" fontId="35" fillId="26" borderId="91" xfId="0" applyFont="1" applyFill="1" applyBorder="1" applyAlignment="1">
      <alignment horizontal="center" vertical="center" wrapText="1"/>
    </xf>
    <xf numFmtId="0" fontId="55" fillId="28" borderId="109" xfId="0" applyFont="1" applyFill="1" applyBorder="1" applyAlignment="1">
      <alignment horizontal="left" vertical="center" wrapText="1"/>
    </xf>
    <xf numFmtId="0" fontId="55" fillId="28" borderId="110" xfId="0" applyFont="1" applyFill="1" applyBorder="1" applyAlignment="1">
      <alignment horizontal="left" vertical="center" wrapText="1"/>
    </xf>
    <xf numFmtId="0" fontId="55" fillId="28" borderId="111" xfId="0" applyFont="1" applyFill="1" applyBorder="1" applyAlignment="1">
      <alignment horizontal="left" vertical="center" wrapText="1"/>
    </xf>
    <xf numFmtId="0" fontId="56" fillId="23" borderId="112" xfId="0" applyFont="1" applyFill="1" applyBorder="1" applyAlignment="1">
      <alignment horizontal="center" vertical="center"/>
    </xf>
    <xf numFmtId="0" fontId="56" fillId="23" borderId="113" xfId="0" applyFont="1" applyFill="1" applyBorder="1" applyAlignment="1">
      <alignment horizontal="center" vertical="center"/>
    </xf>
    <xf numFmtId="0" fontId="56" fillId="23" borderId="114" xfId="0" applyFont="1" applyFill="1" applyBorder="1" applyAlignment="1">
      <alignment horizontal="center" vertical="center"/>
    </xf>
    <xf numFmtId="0" fontId="52" fillId="0" borderId="115" xfId="0" applyFont="1" applyBorder="1" applyAlignment="1">
      <alignment horizontal="center" vertical="center" wrapText="1"/>
    </xf>
    <xf numFmtId="0" fontId="52" fillId="0" borderId="116" xfId="0" applyFont="1" applyBorder="1" applyAlignment="1">
      <alignment horizontal="center" vertical="center" wrapText="1"/>
    </xf>
    <xf numFmtId="0" fontId="52" fillId="0" borderId="117" xfId="0" applyFont="1" applyBorder="1" applyAlignment="1">
      <alignment horizontal="center" vertical="center" wrapText="1"/>
    </xf>
    <xf numFmtId="0" fontId="52" fillId="27" borderId="115" xfId="0" applyFont="1" applyFill="1" applyBorder="1" applyAlignment="1">
      <alignment horizontal="center" vertical="center" wrapText="1"/>
    </xf>
    <xf numFmtId="0" fontId="52" fillId="27" borderId="116" xfId="0" applyFont="1" applyFill="1" applyBorder="1" applyAlignment="1">
      <alignment horizontal="center" vertical="center" wrapText="1"/>
    </xf>
    <xf numFmtId="0" fontId="52" fillId="27" borderId="117" xfId="0" applyFont="1" applyFill="1" applyBorder="1" applyAlignment="1">
      <alignment horizontal="center" vertical="center" wrapText="1"/>
    </xf>
    <xf numFmtId="0" fontId="52" fillId="27" borderId="103" xfId="0" applyFont="1" applyFill="1" applyBorder="1" applyAlignment="1">
      <alignment horizontal="center" vertical="center" wrapText="1"/>
    </xf>
    <xf numFmtId="0" fontId="52" fillId="27" borderId="107" xfId="0" applyFont="1" applyFill="1" applyBorder="1" applyAlignment="1">
      <alignment horizontal="center" vertical="center" wrapText="1"/>
    </xf>
    <xf numFmtId="0" fontId="52" fillId="27" borderId="118" xfId="0" applyFont="1" applyFill="1" applyBorder="1" applyAlignment="1">
      <alignment horizontal="center" vertical="center" wrapText="1"/>
    </xf>
    <xf numFmtId="0" fontId="52" fillId="26" borderId="91" xfId="0" applyFont="1" applyFill="1" applyBorder="1" applyAlignment="1">
      <alignment horizontal="center" vertical="center"/>
    </xf>
    <xf numFmtId="0" fontId="52" fillId="26" borderId="92" xfId="0" applyFont="1" applyFill="1" applyBorder="1" applyAlignment="1">
      <alignment horizontal="center" vertical="center"/>
    </xf>
    <xf numFmtId="0" fontId="40" fillId="0" borderId="57" xfId="0" applyFont="1" applyBorder="1" applyAlignment="1">
      <alignment horizontal="left" vertical="center" wrapText="1"/>
    </xf>
    <xf numFmtId="0" fontId="49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8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0" fontId="40" fillId="0" borderId="76" xfId="0" applyFont="1" applyBorder="1" applyAlignment="1">
      <alignment horizontal="left" vertical="center" wrapText="1"/>
    </xf>
    <xf numFmtId="0" fontId="40" fillId="0" borderId="73" xfId="0" applyFont="1" applyBorder="1" applyAlignment="1">
      <alignment horizontal="left" vertical="center" wrapText="1"/>
    </xf>
    <xf numFmtId="0" fontId="40" fillId="0" borderId="77" xfId="0" applyFont="1" applyBorder="1" applyAlignment="1">
      <alignment horizontal="left" vertical="center" wrapText="1"/>
    </xf>
    <xf numFmtId="0" fontId="40" fillId="0" borderId="78" xfId="0" applyFont="1" applyBorder="1" applyAlignment="1">
      <alignment horizontal="left" vertical="center" wrapText="1"/>
    </xf>
    <xf numFmtId="0" fontId="40" fillId="0" borderId="55" xfId="0" applyFont="1" applyBorder="1" applyAlignment="1">
      <alignment horizontal="left" vertical="center" wrapText="1"/>
    </xf>
    <xf numFmtId="0" fontId="40" fillId="0" borderId="31" xfId="0" applyFont="1" applyBorder="1" applyAlignment="1">
      <alignment horizontal="left" vertical="center" wrapText="1"/>
    </xf>
    <xf numFmtId="0" fontId="19" fillId="0" borderId="74" xfId="0" applyFont="1" applyBorder="1" applyAlignment="1">
      <alignment horizontal="center" vertical="center"/>
    </xf>
    <xf numFmtId="0" fontId="40" fillId="0" borderId="75" xfId="0" applyFont="1" applyBorder="1" applyAlignment="1">
      <alignment horizontal="center" vertical="center"/>
    </xf>
    <xf numFmtId="0" fontId="57" fillId="29" borderId="74" xfId="0" applyFont="1" applyFill="1" applyBorder="1" applyAlignment="1">
      <alignment horizontal="center" vertical="center"/>
    </xf>
    <xf numFmtId="0" fontId="19" fillId="0" borderId="57" xfId="0" applyFont="1" applyBorder="1" applyAlignment="1">
      <alignment vertical="center"/>
    </xf>
    <xf numFmtId="0" fontId="41" fillId="0" borderId="0" xfId="0" applyFont="1" applyAlignment="1">
      <alignment vertical="center"/>
    </xf>
    <xf numFmtId="0" fontId="42" fillId="0" borderId="0" xfId="0" applyFont="1" applyAlignment="1">
      <alignment horizontal="center" vertical="center"/>
    </xf>
    <xf numFmtId="0" fontId="40" fillId="0" borderId="57" xfId="0" applyFont="1" applyBorder="1" applyAlignment="1">
      <alignment vertical="center" wrapText="1"/>
    </xf>
    <xf numFmtId="0" fontId="41" fillId="0" borderId="57" xfId="0" applyFont="1" applyBorder="1" applyAlignment="1">
      <alignment vertical="center"/>
    </xf>
    <xf numFmtId="0" fontId="40" fillId="0" borderId="57" xfId="0" applyFont="1" applyBorder="1" applyAlignment="1">
      <alignment vertical="center"/>
    </xf>
    <xf numFmtId="0" fontId="43" fillId="0" borderId="19" xfId="0" applyFont="1" applyFill="1" applyBorder="1" applyAlignment="1">
      <alignment horizontal="left" vertical="center" wrapText="1"/>
    </xf>
  </cellXfs>
  <cellStyles count="6">
    <cellStyle name="Komma 2" xfId="2" xr:uid="{9A15DB16-AC56-4B1C-B1FA-109392DA5A8C}"/>
    <cellStyle name="Prozent 2" xfId="3" xr:uid="{C99D48E9-F77D-4B3C-B4F4-10BC43930501}"/>
    <cellStyle name="Standard" xfId="0" builtinId="0"/>
    <cellStyle name="Standard 2" xfId="1" xr:uid="{BD246245-DCE4-4353-B148-E05A0212ECE0}"/>
    <cellStyle name="Standard 3" xfId="5" xr:uid="{09EAA06B-F081-E740-9498-6059285E22C5}"/>
    <cellStyle name="Währung 2" xfId="4" xr:uid="{D1EEB12E-973F-4E9B-93F6-7C6840E4AB66}"/>
  </cellStyles>
  <dxfs count="1">
    <dxf>
      <font>
        <b/>
        <i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F2DDDC"/>
      <color rgb="FFE9EFB3"/>
      <color rgb="FFA3B7CC"/>
      <color rgb="FFE3C567"/>
      <color rgb="FFFFFF00"/>
      <color rgb="FFD6D6D6"/>
      <color rgb="FFD1BF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pro Monat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FLUKTUATION!$P$2:$P$11</c:f>
              <c:strCache>
                <c:ptCount val="10"/>
                <c:pt idx="0">
                  <c:v>Januar</c:v>
                </c:pt>
                <c:pt idx="1">
                  <c:v>Februar</c:v>
                </c:pt>
                <c:pt idx="2">
                  <c:v>Marz</c:v>
                </c:pt>
                <c:pt idx="3">
                  <c:v>Mai</c:v>
                </c:pt>
                <c:pt idx="4">
                  <c:v>Juni</c:v>
                </c:pt>
                <c:pt idx="5">
                  <c:v>Juli</c:v>
                </c:pt>
                <c:pt idx="6">
                  <c:v>August</c:v>
                </c:pt>
                <c:pt idx="7">
                  <c:v>September</c:v>
                </c:pt>
                <c:pt idx="8">
                  <c:v>Oktober</c:v>
                </c:pt>
                <c:pt idx="9">
                  <c:v>November</c:v>
                </c:pt>
              </c:strCache>
            </c:strRef>
          </c:cat>
          <c:val>
            <c:numRef>
              <c:f>FLUKTUATION!$Q$2:$Q$11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85-403E-BB20-04CE46D4D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7274592"/>
        <c:axId val="2117276512"/>
      </c:barChart>
      <c:catAx>
        <c:axId val="2117274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7276512"/>
        <c:crosses val="autoZero"/>
        <c:auto val="1"/>
        <c:lblAlgn val="ctr"/>
        <c:lblOffset val="100"/>
        <c:noMultiLvlLbl val="0"/>
      </c:catAx>
      <c:valAx>
        <c:axId val="2117276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727459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Kategorie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Kategorien</c:v>
          </c:tx>
          <c:cat>
            <c:strRef>
              <c:f>FLUKTUATION!$P$21:$P$25</c:f>
              <c:strCache>
                <c:ptCount val="5"/>
                <c:pt idx="0">
                  <c:v>Erste 90 Tage</c:v>
                </c:pt>
                <c:pt idx="1">
                  <c:v>Erfahrene MA</c:v>
                </c:pt>
                <c:pt idx="2">
                  <c:v>Wichtige Austritte</c:v>
                </c:pt>
                <c:pt idx="3">
                  <c:v>Normal</c:v>
                </c:pt>
                <c:pt idx="4">
                  <c:v>Neutral</c:v>
                </c:pt>
              </c:strCache>
            </c:strRef>
          </c:cat>
          <c:val>
            <c:numRef>
              <c:f>FLUKTUATION!$Q$21:$Q$25</c:f>
              <c:numCache>
                <c:formatCode>General</c:formatCode>
                <c:ptCount val="5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F1-4CE5-BC50-37B428B05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Austrittsgrund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FLUKTUATION!$R$41:$R$45</c:f>
              <c:strCache>
                <c:ptCount val="5"/>
                <c:pt idx="0">
                  <c:v>Dienstgeber Kuendigung</c:v>
                </c:pt>
                <c:pt idx="1">
                  <c:v>Einvernehmliche Aufloesung</c:v>
                </c:pt>
                <c:pt idx="2">
                  <c:v>Dienstnehmer Kuendigung</c:v>
                </c:pt>
                <c:pt idx="3">
                  <c:v>Karenz</c:v>
                </c:pt>
                <c:pt idx="4">
                  <c:v>Unberechtigter vorzeitiger Austritt</c:v>
                </c:pt>
              </c:strCache>
            </c:strRef>
          </c:cat>
          <c:val>
            <c:numRef>
              <c:f>FLUKTUATION!$S$41:$S$45</c:f>
              <c:numCache>
                <c:formatCode>General</c:formatCode>
                <c:ptCount val="5"/>
                <c:pt idx="0">
                  <c:v>3</c:v>
                </c:pt>
                <c:pt idx="1">
                  <c:v>1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EE-4103-A046-E98E096EB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7280352"/>
        <c:axId val="2117264032"/>
      </c:barChart>
      <c:catAx>
        <c:axId val="2117280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117264032"/>
        <c:crosses val="autoZero"/>
        <c:auto val="1"/>
        <c:lblAlgn val="ctr"/>
        <c:lblOffset val="100"/>
        <c:noMultiLvlLbl val="0"/>
      </c:catAx>
      <c:valAx>
        <c:axId val="211726403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1172803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28575</xdr:colOff>
      <xdr:row>1</xdr:row>
      <xdr:rowOff>698500</xdr:rowOff>
    </xdr:from>
    <xdr:to>
      <xdr:col>10</xdr:col>
      <xdr:colOff>13758</xdr:colOff>
      <xdr:row>1</xdr:row>
      <xdr:rowOff>889000</xdr:rowOff>
    </xdr:to>
    <xdr:sp macro="ShowLOHNTABELLE_TESTButtonHelp" textlink="">
      <xdr:nvSpPr>
        <xdr:cNvPr id="12" name="btn_LOHNTABELLE_TESTHelp">
          <a:extLst>
            <a:ext uri="{FF2B5EF4-FFF2-40B4-BE49-F238E27FC236}">
              <a16:creationId xmlns:a16="http://schemas.microsoft.com/office/drawing/2014/main" id="{4932D790-DC40-61B3-2547-68A7577254E7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  <xdr:twoCellAnchor editAs="absolute">
    <xdr:from>
      <xdr:col>8</xdr:col>
      <xdr:colOff>13758</xdr:colOff>
      <xdr:row>1</xdr:row>
      <xdr:rowOff>51858</xdr:rowOff>
    </xdr:from>
    <xdr:to>
      <xdr:col>9</xdr:col>
      <xdr:colOff>1722967</xdr:colOff>
      <xdr:row>1</xdr:row>
      <xdr:rowOff>242358</xdr:rowOff>
    </xdr:to>
    <xdr:sp macro="AddNewKVPeriodOnTop" textlink="">
      <xdr:nvSpPr>
        <xdr:cNvPr id="6" name="btn_AddNewKVPeriodOnTop">
          <a:extLst>
            <a:ext uri="{FF2B5EF4-FFF2-40B4-BE49-F238E27FC236}">
              <a16:creationId xmlns:a16="http://schemas.microsoft.com/office/drawing/2014/main" id="{80780316-73F3-9ED7-F5C1-00515C347C4A}"/>
            </a:ext>
          </a:extLst>
        </xdr:cNvPr>
        <xdr:cNvSpPr/>
      </xdr:nvSpPr>
      <xdr:spPr>
        <a:xfrm>
          <a:off x="8718550" y="406400"/>
          <a:ext cx="3302000" cy="190500"/>
        </a:xfrm>
        <a:prstGeom prst="roundRect">
          <a:avLst/>
        </a:prstGeom>
        <a:solidFill>
          <a:srgbClr val="366092"/>
        </a:solidFill>
        <a:ln>
          <a:solidFill>
            <a:srgbClr val="2140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1) Neue Periode</a:t>
          </a:r>
        </a:p>
      </xdr:txBody>
    </xdr:sp>
    <xdr:clientData/>
  </xdr:twoCellAnchor>
  <xdr:twoCellAnchor editAs="absolute">
    <xdr:from>
      <xdr:col>8</xdr:col>
      <xdr:colOff>13758</xdr:colOff>
      <xdr:row>1</xdr:row>
      <xdr:rowOff>267758</xdr:rowOff>
    </xdr:from>
    <xdr:to>
      <xdr:col>9</xdr:col>
      <xdr:colOff>1722967</xdr:colOff>
      <xdr:row>1</xdr:row>
      <xdr:rowOff>458258</xdr:rowOff>
    </xdr:to>
    <xdr:sp macro="AddCustomKVMonatsstunden" textlink="">
      <xdr:nvSpPr>
        <xdr:cNvPr id="7" name="btn_AddCustomKVMonatsstunden">
          <a:extLst>
            <a:ext uri="{FF2B5EF4-FFF2-40B4-BE49-F238E27FC236}">
              <a16:creationId xmlns:a16="http://schemas.microsoft.com/office/drawing/2014/main" id="{1452B05A-C798-6A0F-69E3-54DB695B79A8}"/>
            </a:ext>
          </a:extLst>
        </xdr:cNvPr>
        <xdr:cNvSpPr/>
      </xdr:nvSpPr>
      <xdr:spPr>
        <a:xfrm>
          <a:off x="8718550" y="622300"/>
          <a:ext cx="3302000" cy="190500"/>
        </a:xfrm>
        <a:prstGeom prst="roundRect">
          <a:avLst/>
        </a:prstGeom>
        <a:solidFill>
          <a:srgbClr val="548235"/>
        </a:solidFill>
        <a:ln>
          <a:solidFill>
            <a:srgbClr val="38572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2) Eigene Stunden</a:t>
          </a:r>
        </a:p>
      </xdr:txBody>
    </xdr:sp>
    <xdr:clientData/>
  </xdr:twoCellAnchor>
  <xdr:twoCellAnchor editAs="absolute">
    <xdr:from>
      <xdr:col>8</xdr:col>
      <xdr:colOff>13758</xdr:colOff>
      <xdr:row>1</xdr:row>
      <xdr:rowOff>483658</xdr:rowOff>
    </xdr:from>
    <xdr:to>
      <xdr:col>9</xdr:col>
      <xdr:colOff>1722967</xdr:colOff>
      <xdr:row>1</xdr:row>
      <xdr:rowOff>674158</xdr:rowOff>
    </xdr:to>
    <xdr:sp macro="DeleteSelectedKVPeriods" textlink="">
      <xdr:nvSpPr>
        <xdr:cNvPr id="8" name="btn_DeleteKVPeriods">
          <a:extLst>
            <a:ext uri="{FF2B5EF4-FFF2-40B4-BE49-F238E27FC236}">
              <a16:creationId xmlns:a16="http://schemas.microsoft.com/office/drawing/2014/main" id="{C4552526-11C4-074D-A81B-6C8D23E75CBE}"/>
            </a:ext>
          </a:extLst>
        </xdr:cNvPr>
        <xdr:cNvSpPr/>
      </xdr:nvSpPr>
      <xdr:spPr>
        <a:xfrm>
          <a:off x="8718550" y="838200"/>
          <a:ext cx="3302000" cy="190500"/>
        </a:xfrm>
        <a:prstGeom prst="roundRect">
          <a:avLst/>
        </a:prstGeom>
        <a:solidFill>
          <a:srgbClr val="C0504D"/>
        </a:solidFill>
        <a:ln>
          <a:solidFill>
            <a:srgbClr val="842E2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3) Alte Periode loeschen</a:t>
          </a:r>
        </a:p>
      </xdr:txBody>
    </xdr:sp>
    <xdr:clientData/>
  </xdr:twoCellAnchor>
  <xdr:twoCellAnchor editAs="absolute">
    <xdr:from>
      <xdr:col>8</xdr:col>
      <xdr:colOff>13758</xdr:colOff>
      <xdr:row>1</xdr:row>
      <xdr:rowOff>699558</xdr:rowOff>
    </xdr:from>
    <xdr:to>
      <xdr:col>9</xdr:col>
      <xdr:colOff>1722967</xdr:colOff>
      <xdr:row>1</xdr:row>
      <xdr:rowOff>890058</xdr:rowOff>
    </xdr:to>
    <xdr:sp macro="ShowLOHNTABELLEButtonHelp" textlink="">
      <xdr:nvSpPr>
        <xdr:cNvPr id="9" name="btn_LOHNTABELLEHelp">
          <a:extLst>
            <a:ext uri="{FF2B5EF4-FFF2-40B4-BE49-F238E27FC236}">
              <a16:creationId xmlns:a16="http://schemas.microsoft.com/office/drawing/2014/main" id="{29DAE2F8-C715-73A1-FF7D-83B125D25F31}"/>
            </a:ext>
          </a:extLst>
        </xdr:cNvPr>
        <xdr:cNvSpPr/>
      </xdr:nvSpPr>
      <xdr:spPr>
        <a:xfrm>
          <a:off x="8718550" y="1054100"/>
          <a:ext cx="33020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17</xdr:col>
          <xdr:colOff>457200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25400</xdr:colOff>
      <xdr:row>25</xdr:row>
      <xdr:rowOff>12700</xdr:rowOff>
    </xdr:from>
    <xdr:to>
      <xdr:col>18</xdr:col>
      <xdr:colOff>152400</xdr:colOff>
      <xdr:row>28</xdr:row>
      <xdr:rowOff>6350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FC57DD53-6D32-3318-484A-ED4D6DFBD72B}"/>
            </a:ext>
          </a:extLst>
        </xdr:cNvPr>
        <xdr:cNvSpPr/>
      </xdr:nvSpPr>
      <xdr:spPr>
        <a:xfrm>
          <a:off x="16922750" y="50927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19</xdr:col>
          <xdr:colOff>114300</xdr:colOff>
          <xdr:row>1</xdr:row>
          <xdr:rowOff>165100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CBD84E76-9592-4B2E-A72B-780142AFAA1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965E14F4-42E5-443E-BE9E-32D5BE75956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76200</xdr:rowOff>
        </xdr:from>
        <xdr:to>
          <xdr:col>18</xdr:col>
          <xdr:colOff>571500</xdr:colOff>
          <xdr:row>1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DB19571-57EA-46CD-A333-A38D408950D4}"/>
            </a:ext>
          </a:extLst>
        </xdr:cNvPr>
        <xdr:cNvSpPr/>
      </xdr:nvSpPr>
      <xdr:spPr>
        <a:xfrm>
          <a:off x="190500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EFEC6BD-B8D6-40AB-A5C4-0CEFE39E0E27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34F42C4E-3211-C149-83A2-6E9C8B6712F0}"/>
            </a:ext>
          </a:extLst>
        </xdr:cNvPr>
        <xdr:cNvSpPr/>
      </xdr:nvSpPr>
      <xdr:spPr>
        <a:xfrm>
          <a:off x="188531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A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8AAF8835-C08B-4BEC-B025-348B6E52485D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698500</xdr:colOff>
          <xdr:row>1</xdr:row>
          <xdr:rowOff>152400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B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1817145-B0AC-4265-85C7-5E9D9C29F707}"/>
            </a:ext>
          </a:extLst>
        </xdr:cNvPr>
        <xdr:cNvSpPr/>
      </xdr:nvSpPr>
      <xdr:spPr>
        <a:xfrm>
          <a:off x="189992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685800</xdr:colOff>
          <xdr:row>1</xdr:row>
          <xdr:rowOff>165100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25B27030-DD97-4D72-9458-0299F688273A}"/>
            </a:ext>
          </a:extLst>
        </xdr:cNvPr>
        <xdr:cNvSpPr/>
      </xdr:nvSpPr>
      <xdr:spPr>
        <a:xfrm>
          <a:off x="18910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D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42F424AA-DF50-45B3-AE82-AD894B46ABBD}"/>
            </a:ext>
          </a:extLst>
        </xdr:cNvPr>
        <xdr:cNvSpPr/>
      </xdr:nvSpPr>
      <xdr:spPr>
        <a:xfrm>
          <a:off x="189293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E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E0AD477-D6CF-42DF-AF13-33A5F85CE1EF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152854</xdr:colOff>
      <xdr:row>3</xdr:row>
      <xdr:rowOff>352713</xdr:rowOff>
    </xdr:from>
    <xdr:to>
      <xdr:col>1</xdr:col>
      <xdr:colOff>708025</xdr:colOff>
      <xdr:row>5</xdr:row>
      <xdr:rowOff>92363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499218" y="941531"/>
          <a:ext cx="555171" cy="4762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2</xdr:col>
      <xdr:colOff>1206500</xdr:colOff>
      <xdr:row>39</xdr:row>
      <xdr:rowOff>152400</xdr:rowOff>
    </xdr:to>
    <xdr:graphicFrame macro="">
      <xdr:nvGraphicFramePr>
        <xdr:cNvPr id="29" name="Diagramm 28">
          <a:extLst>
            <a:ext uri="{FF2B5EF4-FFF2-40B4-BE49-F238E27FC236}">
              <a16:creationId xmlns:a16="http://schemas.microsoft.com/office/drawing/2014/main" id="{5E8BB39D-3D94-1561-78DD-34F1602ED1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1409700</xdr:colOff>
      <xdr:row>28</xdr:row>
      <xdr:rowOff>0</xdr:rowOff>
    </xdr:from>
    <xdr:to>
      <xdr:col>4</xdr:col>
      <xdr:colOff>1498600</xdr:colOff>
      <xdr:row>39</xdr:row>
      <xdr:rowOff>152400</xdr:rowOff>
    </xdr:to>
    <xdr:graphicFrame macro="">
      <xdr:nvGraphicFramePr>
        <xdr:cNvPr id="30" name="Diagramm 29">
          <a:extLst>
            <a:ext uri="{FF2B5EF4-FFF2-40B4-BE49-F238E27FC236}">
              <a16:creationId xmlns:a16="http://schemas.microsoft.com/office/drawing/2014/main" id="{E90951B8-A778-6537-587B-FDD47FBE92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40</xdr:row>
      <xdr:rowOff>76200</xdr:rowOff>
    </xdr:from>
    <xdr:to>
      <xdr:col>4</xdr:col>
      <xdr:colOff>1498600</xdr:colOff>
      <xdr:row>52</xdr:row>
      <xdr:rowOff>0</xdr:rowOff>
    </xdr:to>
    <xdr:graphicFrame macro="">
      <xdr:nvGraphicFramePr>
        <xdr:cNvPr id="31" name="Diagramm 30">
          <a:extLst>
            <a:ext uri="{FF2B5EF4-FFF2-40B4-BE49-F238E27FC236}">
              <a16:creationId xmlns:a16="http://schemas.microsoft.com/office/drawing/2014/main" id="{976B1D20-2714-83F4-19A4-769331B08C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50DC-6A2C-6747-BC8B-D9AA73B73494}">
  <sheetPr codeName="Tabelle20"/>
  <dimension ref="A1:J344"/>
  <sheetViews>
    <sheetView showGridLines="0" zoomScale="120" zoomScaleNormal="120" workbookViewId="0">
      <pane ySplit="3" topLeftCell="A4" activePane="bottomLeft" state="frozen"/>
      <selection pane="bottomLeft" activeCell="H6" sqref="H6"/>
    </sheetView>
  </sheetViews>
  <sheetFormatPr baseColWidth="10" defaultRowHeight="18" customHeight="1"/>
  <cols>
    <col min="1" max="1" width="16.81640625" style="87" customWidth="1"/>
    <col min="2" max="3" width="13.6328125" style="87" customWidth="1"/>
    <col min="4" max="4" width="14.81640625" style="87" customWidth="1"/>
    <col min="5" max="5" width="12.6328125" style="87" customWidth="1"/>
    <col min="6" max="6" width="24.6328125" style="87" customWidth="1"/>
    <col min="7" max="7" width="13.81640625" style="87" customWidth="1"/>
    <col min="8" max="8" width="14.6328125" style="94" customWidth="1"/>
    <col min="9" max="9" width="22.81640625" style="87" customWidth="1"/>
    <col min="10" max="10" width="24.81640625" style="87" customWidth="1"/>
    <col min="11" max="11" width="3.6328125" customWidth="1"/>
    <col min="12" max="14" width="18.81640625" customWidth="1"/>
    <col min="27" max="29" width="0" hidden="1" customWidth="1"/>
  </cols>
  <sheetData>
    <row r="1" spans="1:10" ht="28" customHeight="1">
      <c r="A1" s="316" t="s">
        <v>292</v>
      </c>
      <c r="B1" s="316"/>
      <c r="C1" s="316"/>
      <c r="D1" s="316"/>
      <c r="E1" s="316"/>
      <c r="F1" s="316"/>
      <c r="G1" s="316"/>
      <c r="H1" s="316"/>
      <c r="I1" s="316"/>
      <c r="J1" s="316"/>
    </row>
    <row r="2" spans="1:10" ht="74" customHeight="1">
      <c r="A2" s="323" t="s">
        <v>352</v>
      </c>
      <c r="B2" s="323"/>
      <c r="C2" s="323"/>
      <c r="D2" s="323"/>
      <c r="E2" s="323"/>
      <c r="F2" s="323"/>
      <c r="G2" s="323"/>
      <c r="H2" s="323"/>
      <c r="I2" s="449"/>
      <c r="J2" s="449"/>
    </row>
    <row r="3" spans="1:10" ht="24" customHeight="1">
      <c r="A3" s="101" t="s">
        <v>297</v>
      </c>
      <c r="B3" s="101" t="s">
        <v>342</v>
      </c>
      <c r="C3" s="101" t="s">
        <v>343</v>
      </c>
      <c r="D3" s="101" t="s">
        <v>301</v>
      </c>
      <c r="E3" s="101" t="s">
        <v>298</v>
      </c>
      <c r="F3" s="101" t="s">
        <v>344</v>
      </c>
      <c r="G3" s="101" t="s">
        <v>299</v>
      </c>
      <c r="H3" s="102" t="s">
        <v>1</v>
      </c>
      <c r="I3" s="101" t="s">
        <v>300</v>
      </c>
      <c r="J3" s="101" t="s">
        <v>345</v>
      </c>
    </row>
    <row r="4" spans="1:10" ht="24" customHeight="1" thickBot="1">
      <c r="A4" s="324" t="s">
        <v>470</v>
      </c>
      <c r="B4" s="325"/>
      <c r="C4" s="325"/>
      <c r="D4" s="326"/>
      <c r="E4" s="326"/>
      <c r="F4" s="326"/>
      <c r="G4" s="327"/>
      <c r="H4" s="328"/>
      <c r="I4" s="326"/>
      <c r="J4" s="329"/>
    </row>
    <row r="5" spans="1:10" ht="24" customHeight="1">
      <c r="A5" s="147" t="s">
        <v>469</v>
      </c>
      <c r="B5" s="129">
        <v>46143</v>
      </c>
      <c r="C5" s="129">
        <v>46507</v>
      </c>
      <c r="D5" s="130" t="s">
        <v>302</v>
      </c>
      <c r="E5" s="130" t="s">
        <v>2</v>
      </c>
      <c r="F5" s="130" t="s">
        <v>293</v>
      </c>
      <c r="G5" s="103">
        <v>173</v>
      </c>
      <c r="H5" s="104">
        <v>1000</v>
      </c>
      <c r="I5" s="130" t="str">
        <f t="shared" ref="I5:I36" si="0">IF($A5="","",IF(OR($B5="",$C5="",$D5="",$E5="",$F5=""),"Stammdaten fehlen",IF(AND($G5="",$H5=""),"Werte fehlen",IF($G5="","Monatsstunden fehlen",IF($H5="","Monatslohn fehlt","OK")))))</f>
        <v>OK</v>
      </c>
      <c r="J5" s="155" t="str">
        <f t="shared" ref="J5:J36" si="1">IF($G5="","",IF(COUNTIFS($A:$A,$A5,$D:$D,$D5,$G:$G,$G5)&gt;1,"Doppelte Monatsstunden",""))</f>
        <v/>
      </c>
    </row>
    <row r="6" spans="1:10" ht="24" customHeight="1">
      <c r="A6" s="148" t="s">
        <v>469</v>
      </c>
      <c r="B6" s="131">
        <v>46143</v>
      </c>
      <c r="C6" s="131">
        <v>46507</v>
      </c>
      <c r="D6" s="132" t="s">
        <v>302</v>
      </c>
      <c r="E6" s="132" t="s">
        <v>2</v>
      </c>
      <c r="F6" s="132" t="s">
        <v>293</v>
      </c>
      <c r="G6" s="105">
        <v>151.38</v>
      </c>
      <c r="H6" s="106">
        <v>2300</v>
      </c>
      <c r="I6" s="132" t="str">
        <f t="shared" si="0"/>
        <v>OK</v>
      </c>
      <c r="J6" s="156" t="str">
        <f t="shared" si="1"/>
        <v/>
      </c>
    </row>
    <row r="7" spans="1:10" ht="24" customHeight="1">
      <c r="A7" s="148" t="s">
        <v>469</v>
      </c>
      <c r="B7" s="131">
        <v>46143</v>
      </c>
      <c r="C7" s="131">
        <v>46507</v>
      </c>
      <c r="D7" s="132" t="s">
        <v>302</v>
      </c>
      <c r="E7" s="132" t="s">
        <v>2</v>
      </c>
      <c r="F7" s="132" t="s">
        <v>293</v>
      </c>
      <c r="G7" s="105">
        <v>138.4</v>
      </c>
      <c r="H7" s="106">
        <v>2300</v>
      </c>
      <c r="I7" s="132" t="str">
        <f t="shared" si="0"/>
        <v>OK</v>
      </c>
      <c r="J7" s="156" t="str">
        <f t="shared" si="1"/>
        <v/>
      </c>
    </row>
    <row r="8" spans="1:10" ht="24" customHeight="1">
      <c r="A8" s="148" t="s">
        <v>469</v>
      </c>
      <c r="B8" s="131">
        <v>46143</v>
      </c>
      <c r="C8" s="131">
        <v>46507</v>
      </c>
      <c r="D8" s="132" t="s">
        <v>302</v>
      </c>
      <c r="E8" s="132" t="s">
        <v>2</v>
      </c>
      <c r="F8" s="132" t="s">
        <v>293</v>
      </c>
      <c r="G8" s="105">
        <v>129.75</v>
      </c>
      <c r="H8" s="106">
        <v>2300</v>
      </c>
      <c r="I8" s="132" t="str">
        <f t="shared" si="0"/>
        <v>OK</v>
      </c>
      <c r="J8" s="156" t="str">
        <f t="shared" si="1"/>
        <v/>
      </c>
    </row>
    <row r="9" spans="1:10" ht="24" customHeight="1">
      <c r="A9" s="148" t="s">
        <v>469</v>
      </c>
      <c r="B9" s="131">
        <v>46143</v>
      </c>
      <c r="C9" s="131">
        <v>46507</v>
      </c>
      <c r="D9" s="132" t="s">
        <v>302</v>
      </c>
      <c r="E9" s="132" t="s">
        <v>2</v>
      </c>
      <c r="F9" s="132" t="s">
        <v>293</v>
      </c>
      <c r="G9" s="105">
        <v>108.13</v>
      </c>
      <c r="H9" s="106">
        <v>2222</v>
      </c>
      <c r="I9" s="132" t="str">
        <f t="shared" si="0"/>
        <v>OK</v>
      </c>
      <c r="J9" s="156" t="str">
        <f t="shared" si="1"/>
        <v/>
      </c>
    </row>
    <row r="10" spans="1:10" ht="24" customHeight="1">
      <c r="A10" s="148" t="s">
        <v>469</v>
      </c>
      <c r="B10" s="131">
        <v>46143</v>
      </c>
      <c r="C10" s="131">
        <v>46507</v>
      </c>
      <c r="D10" s="132" t="s">
        <v>302</v>
      </c>
      <c r="E10" s="132" t="s">
        <v>2</v>
      </c>
      <c r="F10" s="132" t="s">
        <v>293</v>
      </c>
      <c r="G10" s="105">
        <v>103.8</v>
      </c>
      <c r="H10" s="106">
        <v>2111</v>
      </c>
      <c r="I10" s="132" t="str">
        <f t="shared" si="0"/>
        <v>OK</v>
      </c>
      <c r="J10" s="156" t="str">
        <f t="shared" si="1"/>
        <v/>
      </c>
    </row>
    <row r="11" spans="1:10" ht="24" customHeight="1">
      <c r="A11" s="148" t="s">
        <v>469</v>
      </c>
      <c r="B11" s="131">
        <v>46143</v>
      </c>
      <c r="C11" s="131">
        <v>46507</v>
      </c>
      <c r="D11" s="132" t="s">
        <v>302</v>
      </c>
      <c r="E11" s="132" t="s">
        <v>2</v>
      </c>
      <c r="F11" s="132" t="s">
        <v>293</v>
      </c>
      <c r="G11" s="105">
        <v>86.5</v>
      </c>
      <c r="H11" s="106">
        <v>1333</v>
      </c>
      <c r="I11" s="132" t="str">
        <f t="shared" si="0"/>
        <v>OK</v>
      </c>
      <c r="J11" s="156" t="str">
        <f t="shared" si="1"/>
        <v/>
      </c>
    </row>
    <row r="12" spans="1:10" ht="24" customHeight="1">
      <c r="A12" s="148" t="s">
        <v>469</v>
      </c>
      <c r="B12" s="131">
        <v>46143</v>
      </c>
      <c r="C12" s="131">
        <v>46507</v>
      </c>
      <c r="D12" s="132" t="s">
        <v>302</v>
      </c>
      <c r="E12" s="132" t="s">
        <v>2</v>
      </c>
      <c r="F12" s="132" t="s">
        <v>293</v>
      </c>
      <c r="G12" s="105">
        <v>69.2</v>
      </c>
      <c r="H12" s="106"/>
      <c r="I12" s="132" t="str">
        <f t="shared" si="0"/>
        <v>Monatslohn fehlt</v>
      </c>
      <c r="J12" s="156" t="str">
        <f t="shared" si="1"/>
        <v/>
      </c>
    </row>
    <row r="13" spans="1:10" ht="24" customHeight="1">
      <c r="A13" s="148" t="s">
        <v>469</v>
      </c>
      <c r="B13" s="131">
        <v>46143</v>
      </c>
      <c r="C13" s="131">
        <v>46507</v>
      </c>
      <c r="D13" s="132" t="s">
        <v>302</v>
      </c>
      <c r="E13" s="132" t="s">
        <v>2</v>
      </c>
      <c r="F13" s="132" t="s">
        <v>293</v>
      </c>
      <c r="G13" s="105">
        <v>64</v>
      </c>
      <c r="H13" s="106"/>
      <c r="I13" s="132" t="str">
        <f t="shared" si="0"/>
        <v>Monatslohn fehlt</v>
      </c>
      <c r="J13" s="156" t="str">
        <f t="shared" si="1"/>
        <v/>
      </c>
    </row>
    <row r="14" spans="1:10" ht="24" customHeight="1">
      <c r="A14" s="148" t="s">
        <v>469</v>
      </c>
      <c r="B14" s="131">
        <v>46143</v>
      </c>
      <c r="C14" s="131">
        <v>46507</v>
      </c>
      <c r="D14" s="132" t="s">
        <v>302</v>
      </c>
      <c r="E14" s="132" t="s">
        <v>2</v>
      </c>
      <c r="F14" s="132" t="s">
        <v>293</v>
      </c>
      <c r="G14" s="105">
        <v>51.9</v>
      </c>
      <c r="H14" s="106"/>
      <c r="I14" s="132" t="str">
        <f t="shared" si="0"/>
        <v>Monatslohn fehlt</v>
      </c>
      <c r="J14" s="156" t="str">
        <f t="shared" si="1"/>
        <v/>
      </c>
    </row>
    <row r="15" spans="1:10" ht="24" customHeight="1">
      <c r="A15" s="148" t="s">
        <v>469</v>
      </c>
      <c r="B15" s="131">
        <v>46143</v>
      </c>
      <c r="C15" s="131">
        <v>46507</v>
      </c>
      <c r="D15" s="132" t="s">
        <v>302</v>
      </c>
      <c r="E15" s="132" t="s">
        <v>2</v>
      </c>
      <c r="F15" s="132" t="s">
        <v>293</v>
      </c>
      <c r="G15" s="105">
        <v>47.58</v>
      </c>
      <c r="H15" s="106"/>
      <c r="I15" s="132" t="str">
        <f t="shared" si="0"/>
        <v>Monatslohn fehlt</v>
      </c>
      <c r="J15" s="156" t="str">
        <f t="shared" si="1"/>
        <v/>
      </c>
    </row>
    <row r="16" spans="1:10" ht="24" customHeight="1">
      <c r="A16" s="148" t="s">
        <v>469</v>
      </c>
      <c r="B16" s="131">
        <v>46143</v>
      </c>
      <c r="C16" s="131">
        <v>46507</v>
      </c>
      <c r="D16" s="132" t="s">
        <v>302</v>
      </c>
      <c r="E16" s="132" t="s">
        <v>2</v>
      </c>
      <c r="F16" s="132" t="s">
        <v>293</v>
      </c>
      <c r="G16" s="105">
        <v>43.25</v>
      </c>
      <c r="H16" s="106"/>
      <c r="I16" s="132" t="str">
        <f t="shared" si="0"/>
        <v>Monatslohn fehlt</v>
      </c>
      <c r="J16" s="156" t="str">
        <f t="shared" si="1"/>
        <v/>
      </c>
    </row>
    <row r="17" spans="1:10" ht="24" customHeight="1">
      <c r="A17" s="148" t="s">
        <v>469</v>
      </c>
      <c r="B17" s="131">
        <v>46143</v>
      </c>
      <c r="C17" s="131">
        <v>46507</v>
      </c>
      <c r="D17" s="132" t="s">
        <v>302</v>
      </c>
      <c r="E17" s="132" t="s">
        <v>2</v>
      </c>
      <c r="F17" s="132" t="s">
        <v>293</v>
      </c>
      <c r="G17" s="105">
        <v>34.6</v>
      </c>
      <c r="H17" s="106"/>
      <c r="I17" s="132" t="str">
        <f t="shared" si="0"/>
        <v>Monatslohn fehlt</v>
      </c>
      <c r="J17" s="156" t="str">
        <f t="shared" si="1"/>
        <v/>
      </c>
    </row>
    <row r="18" spans="1:10" ht="24" customHeight="1">
      <c r="A18" s="148" t="s">
        <v>469</v>
      </c>
      <c r="B18" s="131">
        <v>46143</v>
      </c>
      <c r="C18" s="131">
        <v>46507</v>
      </c>
      <c r="D18" s="132" t="s">
        <v>302</v>
      </c>
      <c r="E18" s="132" t="s">
        <v>2</v>
      </c>
      <c r="F18" s="132" t="s">
        <v>293</v>
      </c>
      <c r="G18" s="105">
        <v>32.01</v>
      </c>
      <c r="H18" s="106"/>
      <c r="I18" s="132" t="str">
        <f t="shared" si="0"/>
        <v>Monatslohn fehlt</v>
      </c>
      <c r="J18" s="156" t="str">
        <f t="shared" si="1"/>
        <v/>
      </c>
    </row>
    <row r="19" spans="1:10" ht="24" customHeight="1" thickBot="1">
      <c r="A19" s="148" t="s">
        <v>469</v>
      </c>
      <c r="B19" s="131">
        <v>46143</v>
      </c>
      <c r="C19" s="131">
        <v>46507</v>
      </c>
      <c r="D19" s="132" t="s">
        <v>302</v>
      </c>
      <c r="E19" s="132" t="s">
        <v>2</v>
      </c>
      <c r="F19" s="132" t="s">
        <v>293</v>
      </c>
      <c r="G19" s="105">
        <v>10</v>
      </c>
      <c r="H19" s="106"/>
      <c r="I19" s="132" t="str">
        <f t="shared" si="0"/>
        <v>Monatslohn fehlt</v>
      </c>
      <c r="J19" s="156" t="str">
        <f t="shared" si="1"/>
        <v/>
      </c>
    </row>
    <row r="20" spans="1:10" ht="24" customHeight="1">
      <c r="A20" s="149" t="s">
        <v>469</v>
      </c>
      <c r="B20" s="133">
        <v>46143</v>
      </c>
      <c r="C20" s="133">
        <v>46507</v>
      </c>
      <c r="D20" s="134" t="s">
        <v>3</v>
      </c>
      <c r="E20" s="134" t="s">
        <v>2</v>
      </c>
      <c r="F20" s="134" t="s">
        <v>294</v>
      </c>
      <c r="G20" s="107">
        <v>173</v>
      </c>
      <c r="H20" s="108"/>
      <c r="I20" s="134" t="str">
        <f t="shared" si="0"/>
        <v>Monatslohn fehlt</v>
      </c>
      <c r="J20" s="157" t="str">
        <f t="shared" si="1"/>
        <v/>
      </c>
    </row>
    <row r="21" spans="1:10" ht="24" customHeight="1">
      <c r="A21" s="148" t="s">
        <v>469</v>
      </c>
      <c r="B21" s="131">
        <v>46143</v>
      </c>
      <c r="C21" s="131">
        <v>46507</v>
      </c>
      <c r="D21" s="132" t="s">
        <v>3</v>
      </c>
      <c r="E21" s="132" t="s">
        <v>2</v>
      </c>
      <c r="F21" s="132" t="s">
        <v>294</v>
      </c>
      <c r="G21" s="105">
        <v>151.38</v>
      </c>
      <c r="H21" s="106"/>
      <c r="I21" s="132" t="str">
        <f t="shared" si="0"/>
        <v>Monatslohn fehlt</v>
      </c>
      <c r="J21" s="156" t="str">
        <f t="shared" si="1"/>
        <v/>
      </c>
    </row>
    <row r="22" spans="1:10" ht="24" customHeight="1">
      <c r="A22" s="148" t="s">
        <v>469</v>
      </c>
      <c r="B22" s="131">
        <v>46143</v>
      </c>
      <c r="C22" s="131">
        <v>46507</v>
      </c>
      <c r="D22" s="132" t="s">
        <v>3</v>
      </c>
      <c r="E22" s="132" t="s">
        <v>2</v>
      </c>
      <c r="F22" s="132" t="s">
        <v>294</v>
      </c>
      <c r="G22" s="105">
        <v>138.4</v>
      </c>
      <c r="H22" s="106"/>
      <c r="I22" s="132" t="str">
        <f t="shared" si="0"/>
        <v>Monatslohn fehlt</v>
      </c>
      <c r="J22" s="156" t="str">
        <f t="shared" si="1"/>
        <v/>
      </c>
    </row>
    <row r="23" spans="1:10" ht="24" customHeight="1">
      <c r="A23" s="148" t="s">
        <v>469</v>
      </c>
      <c r="B23" s="131">
        <v>46143</v>
      </c>
      <c r="C23" s="131">
        <v>46507</v>
      </c>
      <c r="D23" s="132" t="s">
        <v>3</v>
      </c>
      <c r="E23" s="132" t="s">
        <v>2</v>
      </c>
      <c r="F23" s="132" t="s">
        <v>294</v>
      </c>
      <c r="G23" s="105">
        <v>129.75</v>
      </c>
      <c r="H23" s="106"/>
      <c r="I23" s="132" t="str">
        <f t="shared" si="0"/>
        <v>Monatslohn fehlt</v>
      </c>
      <c r="J23" s="156" t="str">
        <f t="shared" si="1"/>
        <v/>
      </c>
    </row>
    <row r="24" spans="1:10" ht="24" customHeight="1">
      <c r="A24" s="148" t="s">
        <v>469</v>
      </c>
      <c r="B24" s="131">
        <v>46143</v>
      </c>
      <c r="C24" s="131">
        <v>46507</v>
      </c>
      <c r="D24" s="132" t="s">
        <v>3</v>
      </c>
      <c r="E24" s="132" t="s">
        <v>2</v>
      </c>
      <c r="F24" s="132" t="s">
        <v>294</v>
      </c>
      <c r="G24" s="105">
        <v>108.13</v>
      </c>
      <c r="H24" s="106"/>
      <c r="I24" s="132" t="str">
        <f t="shared" si="0"/>
        <v>Monatslohn fehlt</v>
      </c>
      <c r="J24" s="156" t="str">
        <f t="shared" si="1"/>
        <v/>
      </c>
    </row>
    <row r="25" spans="1:10" ht="24" customHeight="1">
      <c r="A25" s="148" t="s">
        <v>469</v>
      </c>
      <c r="B25" s="131">
        <v>46143</v>
      </c>
      <c r="C25" s="131">
        <v>46507</v>
      </c>
      <c r="D25" s="132" t="s">
        <v>3</v>
      </c>
      <c r="E25" s="132" t="s">
        <v>2</v>
      </c>
      <c r="F25" s="132" t="s">
        <v>294</v>
      </c>
      <c r="G25" s="105">
        <v>103.8</v>
      </c>
      <c r="H25" s="106"/>
      <c r="I25" s="132" t="str">
        <f t="shared" si="0"/>
        <v>Monatslohn fehlt</v>
      </c>
      <c r="J25" s="156" t="str">
        <f t="shared" si="1"/>
        <v/>
      </c>
    </row>
    <row r="26" spans="1:10" ht="24" customHeight="1">
      <c r="A26" s="148" t="s">
        <v>469</v>
      </c>
      <c r="B26" s="131">
        <v>46143</v>
      </c>
      <c r="C26" s="131">
        <v>46507</v>
      </c>
      <c r="D26" s="132" t="s">
        <v>3</v>
      </c>
      <c r="E26" s="132" t="s">
        <v>2</v>
      </c>
      <c r="F26" s="132" t="s">
        <v>294</v>
      </c>
      <c r="G26" s="105">
        <v>100</v>
      </c>
      <c r="H26" s="106"/>
      <c r="I26" s="132" t="str">
        <f t="shared" si="0"/>
        <v>Monatslohn fehlt</v>
      </c>
      <c r="J26" s="156" t="str">
        <f t="shared" si="1"/>
        <v/>
      </c>
    </row>
    <row r="27" spans="1:10" ht="24" customHeight="1">
      <c r="A27" s="148" t="s">
        <v>469</v>
      </c>
      <c r="B27" s="131">
        <v>46143</v>
      </c>
      <c r="C27" s="131">
        <v>46507</v>
      </c>
      <c r="D27" s="132" t="s">
        <v>3</v>
      </c>
      <c r="E27" s="132" t="s">
        <v>2</v>
      </c>
      <c r="F27" s="132" t="s">
        <v>294</v>
      </c>
      <c r="G27" s="105">
        <v>86.5</v>
      </c>
      <c r="H27" s="106"/>
      <c r="I27" s="132" t="str">
        <f t="shared" si="0"/>
        <v>Monatslohn fehlt</v>
      </c>
      <c r="J27" s="156" t="str">
        <f t="shared" si="1"/>
        <v/>
      </c>
    </row>
    <row r="28" spans="1:10" ht="24" customHeight="1">
      <c r="A28" s="148" t="s">
        <v>469</v>
      </c>
      <c r="B28" s="131">
        <v>46143</v>
      </c>
      <c r="C28" s="131">
        <v>46507</v>
      </c>
      <c r="D28" s="132" t="s">
        <v>3</v>
      </c>
      <c r="E28" s="132" t="s">
        <v>2</v>
      </c>
      <c r="F28" s="132" t="s">
        <v>294</v>
      </c>
      <c r="G28" s="105">
        <v>69.2</v>
      </c>
      <c r="H28" s="106"/>
      <c r="I28" s="132" t="str">
        <f t="shared" si="0"/>
        <v>Monatslohn fehlt</v>
      </c>
      <c r="J28" s="156" t="str">
        <f t="shared" si="1"/>
        <v/>
      </c>
    </row>
    <row r="29" spans="1:10" ht="24" customHeight="1">
      <c r="A29" s="148" t="s">
        <v>469</v>
      </c>
      <c r="B29" s="131">
        <v>46143</v>
      </c>
      <c r="C29" s="131">
        <v>46507</v>
      </c>
      <c r="D29" s="132" t="s">
        <v>3</v>
      </c>
      <c r="E29" s="132" t="s">
        <v>2</v>
      </c>
      <c r="F29" s="132" t="s">
        <v>294</v>
      </c>
      <c r="G29" s="105">
        <v>51.9</v>
      </c>
      <c r="H29" s="106"/>
      <c r="I29" s="132" t="str">
        <f t="shared" si="0"/>
        <v>Monatslohn fehlt</v>
      </c>
      <c r="J29" s="156" t="str">
        <f t="shared" si="1"/>
        <v/>
      </c>
    </row>
    <row r="30" spans="1:10" ht="24" customHeight="1">
      <c r="A30" s="148" t="s">
        <v>469</v>
      </c>
      <c r="B30" s="131">
        <v>46143</v>
      </c>
      <c r="C30" s="131">
        <v>46507</v>
      </c>
      <c r="D30" s="132" t="s">
        <v>3</v>
      </c>
      <c r="E30" s="132" t="s">
        <v>2</v>
      </c>
      <c r="F30" s="132" t="s">
        <v>294</v>
      </c>
      <c r="G30" s="105">
        <v>47.58</v>
      </c>
      <c r="H30" s="106"/>
      <c r="I30" s="132" t="str">
        <f t="shared" si="0"/>
        <v>Monatslohn fehlt</v>
      </c>
      <c r="J30" s="156" t="str">
        <f t="shared" si="1"/>
        <v/>
      </c>
    </row>
    <row r="31" spans="1:10" ht="24" customHeight="1">
      <c r="A31" s="148" t="s">
        <v>469</v>
      </c>
      <c r="B31" s="131">
        <v>46143</v>
      </c>
      <c r="C31" s="131">
        <v>46507</v>
      </c>
      <c r="D31" s="132" t="s">
        <v>3</v>
      </c>
      <c r="E31" s="132" t="s">
        <v>2</v>
      </c>
      <c r="F31" s="132" t="s">
        <v>294</v>
      </c>
      <c r="G31" s="105">
        <v>43.25</v>
      </c>
      <c r="H31" s="106"/>
      <c r="I31" s="132" t="str">
        <f t="shared" si="0"/>
        <v>Monatslohn fehlt</v>
      </c>
      <c r="J31" s="156" t="str">
        <f t="shared" si="1"/>
        <v/>
      </c>
    </row>
    <row r="32" spans="1:10" ht="24" customHeight="1">
      <c r="A32" s="148" t="s">
        <v>469</v>
      </c>
      <c r="B32" s="131">
        <v>46143</v>
      </c>
      <c r="C32" s="131">
        <v>46507</v>
      </c>
      <c r="D32" s="132" t="s">
        <v>3</v>
      </c>
      <c r="E32" s="132" t="s">
        <v>2</v>
      </c>
      <c r="F32" s="132" t="s">
        <v>294</v>
      </c>
      <c r="G32" s="105">
        <v>34.6</v>
      </c>
      <c r="H32" s="106"/>
      <c r="I32" s="132" t="str">
        <f t="shared" si="0"/>
        <v>Monatslohn fehlt</v>
      </c>
      <c r="J32" s="156" t="str">
        <f t="shared" si="1"/>
        <v/>
      </c>
    </row>
    <row r="33" spans="1:10" ht="24" customHeight="1">
      <c r="A33" s="148" t="s">
        <v>469</v>
      </c>
      <c r="B33" s="131">
        <v>46143</v>
      </c>
      <c r="C33" s="131">
        <v>46507</v>
      </c>
      <c r="D33" s="132" t="s">
        <v>3</v>
      </c>
      <c r="E33" s="132" t="s">
        <v>2</v>
      </c>
      <c r="F33" s="132" t="s">
        <v>294</v>
      </c>
      <c r="G33" s="105">
        <v>32.01</v>
      </c>
      <c r="H33" s="106"/>
      <c r="I33" s="132" t="str">
        <f t="shared" si="0"/>
        <v>Monatslohn fehlt</v>
      </c>
      <c r="J33" s="156" t="str">
        <f t="shared" si="1"/>
        <v/>
      </c>
    </row>
    <row r="34" spans="1:10" ht="24" customHeight="1" thickBot="1">
      <c r="A34" s="148" t="s">
        <v>469</v>
      </c>
      <c r="B34" s="131">
        <v>46143</v>
      </c>
      <c r="C34" s="131">
        <v>46507</v>
      </c>
      <c r="D34" s="132" t="s">
        <v>3</v>
      </c>
      <c r="E34" s="132" t="s">
        <v>2</v>
      </c>
      <c r="F34" s="132" t="s">
        <v>294</v>
      </c>
      <c r="G34" s="105"/>
      <c r="H34" s="106"/>
      <c r="I34" s="132" t="str">
        <f t="shared" si="0"/>
        <v>Werte fehlen</v>
      </c>
      <c r="J34" s="156" t="str">
        <f t="shared" si="1"/>
        <v/>
      </c>
    </row>
    <row r="35" spans="1:10" ht="24" customHeight="1">
      <c r="A35" s="149" t="s">
        <v>469</v>
      </c>
      <c r="B35" s="133">
        <v>46143</v>
      </c>
      <c r="C35" s="133">
        <v>46507</v>
      </c>
      <c r="D35" s="134" t="s">
        <v>4</v>
      </c>
      <c r="E35" s="134" t="s">
        <v>2</v>
      </c>
      <c r="F35" s="134" t="s">
        <v>295</v>
      </c>
      <c r="G35" s="107">
        <v>173</v>
      </c>
      <c r="H35" s="108"/>
      <c r="I35" s="134" t="str">
        <f t="shared" si="0"/>
        <v>Monatslohn fehlt</v>
      </c>
      <c r="J35" s="157" t="str">
        <f t="shared" si="1"/>
        <v/>
      </c>
    </row>
    <row r="36" spans="1:10" ht="24" customHeight="1">
      <c r="A36" s="148" t="s">
        <v>469</v>
      </c>
      <c r="B36" s="131">
        <v>46143</v>
      </c>
      <c r="C36" s="131">
        <v>46507</v>
      </c>
      <c r="D36" s="132" t="s">
        <v>4</v>
      </c>
      <c r="E36" s="132" t="s">
        <v>2</v>
      </c>
      <c r="F36" s="132" t="s">
        <v>295</v>
      </c>
      <c r="G36" s="105">
        <v>151.38</v>
      </c>
      <c r="H36" s="106"/>
      <c r="I36" s="132" t="str">
        <f t="shared" si="0"/>
        <v>Monatslohn fehlt</v>
      </c>
      <c r="J36" s="156" t="str">
        <f t="shared" si="1"/>
        <v/>
      </c>
    </row>
    <row r="37" spans="1:10" ht="24" customHeight="1">
      <c r="A37" s="148" t="s">
        <v>469</v>
      </c>
      <c r="B37" s="131">
        <v>46143</v>
      </c>
      <c r="C37" s="131">
        <v>46507</v>
      </c>
      <c r="D37" s="132" t="s">
        <v>4</v>
      </c>
      <c r="E37" s="132" t="s">
        <v>2</v>
      </c>
      <c r="F37" s="132" t="s">
        <v>295</v>
      </c>
      <c r="G37" s="105">
        <v>138.4</v>
      </c>
      <c r="H37" s="106"/>
      <c r="I37" s="132" t="str">
        <f t="shared" ref="I37:I68" si="2">IF($A37="","",IF(OR($B37="",$C37="",$D37="",$E37="",$F37=""),"Stammdaten fehlen",IF(AND($G37="",$H37=""),"Werte fehlen",IF($G37="","Monatsstunden fehlen",IF($H37="","Monatslohn fehlt","OK")))))</f>
        <v>Monatslohn fehlt</v>
      </c>
      <c r="J37" s="156" t="str">
        <f t="shared" ref="J37:J68" si="3">IF($G37="","",IF(COUNTIFS($A:$A,$A37,$D:$D,$D37,$G:$G,$G37)&gt;1,"Doppelte Monatsstunden",""))</f>
        <v/>
      </c>
    </row>
    <row r="38" spans="1:10" ht="24" customHeight="1">
      <c r="A38" s="148" t="s">
        <v>469</v>
      </c>
      <c r="B38" s="131">
        <v>46143</v>
      </c>
      <c r="C38" s="131">
        <v>46507</v>
      </c>
      <c r="D38" s="132" t="s">
        <v>4</v>
      </c>
      <c r="E38" s="132" t="s">
        <v>2</v>
      </c>
      <c r="F38" s="132" t="s">
        <v>295</v>
      </c>
      <c r="G38" s="105">
        <v>129.75</v>
      </c>
      <c r="H38" s="106"/>
      <c r="I38" s="132" t="str">
        <f t="shared" si="2"/>
        <v>Monatslohn fehlt</v>
      </c>
      <c r="J38" s="156" t="str">
        <f t="shared" si="3"/>
        <v/>
      </c>
    </row>
    <row r="39" spans="1:10" ht="24" customHeight="1">
      <c r="A39" s="148" t="s">
        <v>469</v>
      </c>
      <c r="B39" s="131">
        <v>46143</v>
      </c>
      <c r="C39" s="131">
        <v>46507</v>
      </c>
      <c r="D39" s="132" t="s">
        <v>4</v>
      </c>
      <c r="E39" s="132" t="s">
        <v>2</v>
      </c>
      <c r="F39" s="132" t="s">
        <v>295</v>
      </c>
      <c r="G39" s="105">
        <v>108.13</v>
      </c>
      <c r="H39" s="106"/>
      <c r="I39" s="132" t="str">
        <f t="shared" si="2"/>
        <v>Monatslohn fehlt</v>
      </c>
      <c r="J39" s="156" t="str">
        <f t="shared" si="3"/>
        <v/>
      </c>
    </row>
    <row r="40" spans="1:10" ht="24" customHeight="1">
      <c r="A40" s="148" t="s">
        <v>469</v>
      </c>
      <c r="B40" s="131">
        <v>46143</v>
      </c>
      <c r="C40" s="131">
        <v>46507</v>
      </c>
      <c r="D40" s="132" t="s">
        <v>4</v>
      </c>
      <c r="E40" s="132" t="s">
        <v>2</v>
      </c>
      <c r="F40" s="132" t="s">
        <v>295</v>
      </c>
      <c r="G40" s="105">
        <v>103.8</v>
      </c>
      <c r="H40" s="106"/>
      <c r="I40" s="132" t="str">
        <f t="shared" si="2"/>
        <v>Monatslohn fehlt</v>
      </c>
      <c r="J40" s="156" t="str">
        <f t="shared" si="3"/>
        <v/>
      </c>
    </row>
    <row r="41" spans="1:10" ht="24" customHeight="1">
      <c r="A41" s="148" t="s">
        <v>469</v>
      </c>
      <c r="B41" s="131">
        <v>46143</v>
      </c>
      <c r="C41" s="131">
        <v>46507</v>
      </c>
      <c r="D41" s="132" t="s">
        <v>4</v>
      </c>
      <c r="E41" s="132" t="s">
        <v>2</v>
      </c>
      <c r="F41" s="132" t="s">
        <v>295</v>
      </c>
      <c r="G41" s="105">
        <v>86.5</v>
      </c>
      <c r="H41" s="106"/>
      <c r="I41" s="132" t="str">
        <f t="shared" si="2"/>
        <v>Monatslohn fehlt</v>
      </c>
      <c r="J41" s="156" t="str">
        <f t="shared" si="3"/>
        <v/>
      </c>
    </row>
    <row r="42" spans="1:10" ht="24" customHeight="1">
      <c r="A42" s="148" t="s">
        <v>469</v>
      </c>
      <c r="B42" s="131">
        <v>46143</v>
      </c>
      <c r="C42" s="131">
        <v>46507</v>
      </c>
      <c r="D42" s="132" t="s">
        <v>4</v>
      </c>
      <c r="E42" s="132" t="s">
        <v>2</v>
      </c>
      <c r="F42" s="132" t="s">
        <v>295</v>
      </c>
      <c r="G42" s="105">
        <v>69.2</v>
      </c>
      <c r="H42" s="106"/>
      <c r="I42" s="132" t="str">
        <f t="shared" si="2"/>
        <v>Monatslohn fehlt</v>
      </c>
      <c r="J42" s="156" t="str">
        <f t="shared" si="3"/>
        <v/>
      </c>
    </row>
    <row r="43" spans="1:10" ht="24" customHeight="1">
      <c r="A43" s="148" t="s">
        <v>469</v>
      </c>
      <c r="B43" s="131">
        <v>46143</v>
      </c>
      <c r="C43" s="131">
        <v>46507</v>
      </c>
      <c r="D43" s="132" t="s">
        <v>4</v>
      </c>
      <c r="E43" s="132" t="s">
        <v>2</v>
      </c>
      <c r="F43" s="132" t="s">
        <v>295</v>
      </c>
      <c r="G43" s="105">
        <v>51.9</v>
      </c>
      <c r="H43" s="106"/>
      <c r="I43" s="132" t="str">
        <f t="shared" si="2"/>
        <v>Monatslohn fehlt</v>
      </c>
      <c r="J43" s="156" t="str">
        <f t="shared" si="3"/>
        <v/>
      </c>
    </row>
    <row r="44" spans="1:10" ht="24" customHeight="1">
      <c r="A44" s="148" t="s">
        <v>469</v>
      </c>
      <c r="B44" s="131">
        <v>46143</v>
      </c>
      <c r="C44" s="131">
        <v>46507</v>
      </c>
      <c r="D44" s="132" t="s">
        <v>4</v>
      </c>
      <c r="E44" s="132" t="s">
        <v>2</v>
      </c>
      <c r="F44" s="132" t="s">
        <v>295</v>
      </c>
      <c r="G44" s="105">
        <v>47.58</v>
      </c>
      <c r="H44" s="106"/>
      <c r="I44" s="132" t="str">
        <f t="shared" si="2"/>
        <v>Monatslohn fehlt</v>
      </c>
      <c r="J44" s="156" t="str">
        <f t="shared" si="3"/>
        <v/>
      </c>
    </row>
    <row r="45" spans="1:10" ht="24" customHeight="1">
      <c r="A45" s="148" t="s">
        <v>469</v>
      </c>
      <c r="B45" s="131">
        <v>46143</v>
      </c>
      <c r="C45" s="131">
        <v>46507</v>
      </c>
      <c r="D45" s="132" t="s">
        <v>4</v>
      </c>
      <c r="E45" s="132" t="s">
        <v>2</v>
      </c>
      <c r="F45" s="132" t="s">
        <v>295</v>
      </c>
      <c r="G45" s="105">
        <v>43.25</v>
      </c>
      <c r="H45" s="106"/>
      <c r="I45" s="132" t="str">
        <f t="shared" si="2"/>
        <v>Monatslohn fehlt</v>
      </c>
      <c r="J45" s="156" t="str">
        <f t="shared" si="3"/>
        <v/>
      </c>
    </row>
    <row r="46" spans="1:10" ht="24" customHeight="1">
      <c r="A46" s="148" t="s">
        <v>469</v>
      </c>
      <c r="B46" s="131">
        <v>46143</v>
      </c>
      <c r="C46" s="131">
        <v>46507</v>
      </c>
      <c r="D46" s="132" t="s">
        <v>4</v>
      </c>
      <c r="E46" s="132" t="s">
        <v>2</v>
      </c>
      <c r="F46" s="132" t="s">
        <v>295</v>
      </c>
      <c r="G46" s="105">
        <v>34.6</v>
      </c>
      <c r="H46" s="106"/>
      <c r="I46" s="132" t="str">
        <f t="shared" si="2"/>
        <v>Monatslohn fehlt</v>
      </c>
      <c r="J46" s="156" t="str">
        <f t="shared" si="3"/>
        <v/>
      </c>
    </row>
    <row r="47" spans="1:10" ht="24" customHeight="1">
      <c r="A47" s="148" t="s">
        <v>469</v>
      </c>
      <c r="B47" s="131">
        <v>46143</v>
      </c>
      <c r="C47" s="131">
        <v>46507</v>
      </c>
      <c r="D47" s="132" t="s">
        <v>4</v>
      </c>
      <c r="E47" s="132" t="s">
        <v>2</v>
      </c>
      <c r="F47" s="132" t="s">
        <v>295</v>
      </c>
      <c r="G47" s="105">
        <v>32.01</v>
      </c>
      <c r="H47" s="106"/>
      <c r="I47" s="132" t="str">
        <f t="shared" si="2"/>
        <v>Monatslohn fehlt</v>
      </c>
      <c r="J47" s="156" t="str">
        <f t="shared" si="3"/>
        <v/>
      </c>
    </row>
    <row r="48" spans="1:10" ht="24" customHeight="1">
      <c r="A48" s="148" t="s">
        <v>469</v>
      </c>
      <c r="B48" s="131">
        <v>46143</v>
      </c>
      <c r="C48" s="131">
        <v>46507</v>
      </c>
      <c r="D48" s="132" t="s">
        <v>4</v>
      </c>
      <c r="E48" s="132" t="s">
        <v>2</v>
      </c>
      <c r="F48" s="132" t="s">
        <v>295</v>
      </c>
      <c r="G48" s="105"/>
      <c r="H48" s="106"/>
      <c r="I48" s="132" t="str">
        <f t="shared" si="2"/>
        <v>Werte fehlen</v>
      </c>
      <c r="J48" s="156" t="str">
        <f t="shared" si="3"/>
        <v/>
      </c>
    </row>
    <row r="49" spans="1:10" ht="24" customHeight="1" thickBot="1">
      <c r="A49" s="148" t="s">
        <v>469</v>
      </c>
      <c r="B49" s="131">
        <v>46143</v>
      </c>
      <c r="C49" s="131">
        <v>46507</v>
      </c>
      <c r="D49" s="132" t="s">
        <v>4</v>
      </c>
      <c r="E49" s="132" t="s">
        <v>2</v>
      </c>
      <c r="F49" s="132" t="s">
        <v>295</v>
      </c>
      <c r="G49" s="105"/>
      <c r="H49" s="106"/>
      <c r="I49" s="132" t="str">
        <f t="shared" si="2"/>
        <v>Werte fehlen</v>
      </c>
      <c r="J49" s="156" t="str">
        <f t="shared" si="3"/>
        <v/>
      </c>
    </row>
    <row r="50" spans="1:10" ht="24" customHeight="1">
      <c r="A50" s="149" t="s">
        <v>469</v>
      </c>
      <c r="B50" s="133">
        <v>46143</v>
      </c>
      <c r="C50" s="133">
        <v>46507</v>
      </c>
      <c r="D50" s="134" t="s">
        <v>5</v>
      </c>
      <c r="E50" s="134" t="s">
        <v>2</v>
      </c>
      <c r="F50" s="134" t="s">
        <v>296</v>
      </c>
      <c r="G50" s="107">
        <v>173</v>
      </c>
      <c r="H50" s="108"/>
      <c r="I50" s="134" t="str">
        <f t="shared" si="2"/>
        <v>Monatslohn fehlt</v>
      </c>
      <c r="J50" s="157" t="str">
        <f t="shared" si="3"/>
        <v/>
      </c>
    </row>
    <row r="51" spans="1:10" ht="24" customHeight="1">
      <c r="A51" s="148" t="s">
        <v>469</v>
      </c>
      <c r="B51" s="131">
        <v>46143</v>
      </c>
      <c r="C51" s="131">
        <v>46507</v>
      </c>
      <c r="D51" s="132" t="s">
        <v>5</v>
      </c>
      <c r="E51" s="132" t="s">
        <v>2</v>
      </c>
      <c r="F51" s="132" t="s">
        <v>296</v>
      </c>
      <c r="G51" s="105">
        <v>151.38</v>
      </c>
      <c r="H51" s="106"/>
      <c r="I51" s="132" t="str">
        <f t="shared" si="2"/>
        <v>Monatslohn fehlt</v>
      </c>
      <c r="J51" s="156" t="str">
        <f t="shared" si="3"/>
        <v/>
      </c>
    </row>
    <row r="52" spans="1:10" ht="24" customHeight="1">
      <c r="A52" s="148" t="s">
        <v>469</v>
      </c>
      <c r="B52" s="131">
        <v>46143</v>
      </c>
      <c r="C52" s="131">
        <v>46507</v>
      </c>
      <c r="D52" s="132" t="s">
        <v>5</v>
      </c>
      <c r="E52" s="132" t="s">
        <v>2</v>
      </c>
      <c r="F52" s="132" t="s">
        <v>296</v>
      </c>
      <c r="G52" s="105">
        <v>138.4</v>
      </c>
      <c r="H52" s="106"/>
      <c r="I52" s="132" t="str">
        <f t="shared" si="2"/>
        <v>Monatslohn fehlt</v>
      </c>
      <c r="J52" s="156" t="str">
        <f t="shared" si="3"/>
        <v/>
      </c>
    </row>
    <row r="53" spans="1:10" ht="24" customHeight="1">
      <c r="A53" s="148" t="s">
        <v>469</v>
      </c>
      <c r="B53" s="131">
        <v>46143</v>
      </c>
      <c r="C53" s="131">
        <v>46507</v>
      </c>
      <c r="D53" s="132" t="s">
        <v>5</v>
      </c>
      <c r="E53" s="132" t="s">
        <v>2</v>
      </c>
      <c r="F53" s="132" t="s">
        <v>296</v>
      </c>
      <c r="G53" s="105">
        <v>129.75</v>
      </c>
      <c r="H53" s="106"/>
      <c r="I53" s="132" t="str">
        <f t="shared" si="2"/>
        <v>Monatslohn fehlt</v>
      </c>
      <c r="J53" s="156" t="str">
        <f t="shared" si="3"/>
        <v/>
      </c>
    </row>
    <row r="54" spans="1:10" ht="24" customHeight="1">
      <c r="A54" s="148" t="s">
        <v>469</v>
      </c>
      <c r="B54" s="131">
        <v>46143</v>
      </c>
      <c r="C54" s="131">
        <v>46507</v>
      </c>
      <c r="D54" s="132" t="s">
        <v>5</v>
      </c>
      <c r="E54" s="132" t="s">
        <v>2</v>
      </c>
      <c r="F54" s="132" t="s">
        <v>296</v>
      </c>
      <c r="G54" s="105">
        <v>108.13</v>
      </c>
      <c r="H54" s="106"/>
      <c r="I54" s="132" t="str">
        <f t="shared" si="2"/>
        <v>Monatslohn fehlt</v>
      </c>
      <c r="J54" s="156" t="str">
        <f t="shared" si="3"/>
        <v/>
      </c>
    </row>
    <row r="55" spans="1:10" ht="24" customHeight="1">
      <c r="A55" s="148" t="s">
        <v>469</v>
      </c>
      <c r="B55" s="131">
        <v>46143</v>
      </c>
      <c r="C55" s="131">
        <v>46507</v>
      </c>
      <c r="D55" s="132" t="s">
        <v>5</v>
      </c>
      <c r="E55" s="132" t="s">
        <v>2</v>
      </c>
      <c r="F55" s="132" t="s">
        <v>296</v>
      </c>
      <c r="G55" s="105">
        <v>103.8</v>
      </c>
      <c r="H55" s="106"/>
      <c r="I55" s="132" t="str">
        <f t="shared" si="2"/>
        <v>Monatslohn fehlt</v>
      </c>
      <c r="J55" s="156" t="str">
        <f t="shared" si="3"/>
        <v/>
      </c>
    </row>
    <row r="56" spans="1:10" ht="24" customHeight="1">
      <c r="A56" s="148" t="s">
        <v>469</v>
      </c>
      <c r="B56" s="131">
        <v>46143</v>
      </c>
      <c r="C56" s="131">
        <v>46507</v>
      </c>
      <c r="D56" s="132" t="s">
        <v>5</v>
      </c>
      <c r="E56" s="132" t="s">
        <v>2</v>
      </c>
      <c r="F56" s="132" t="s">
        <v>296</v>
      </c>
      <c r="G56" s="105">
        <v>86.5</v>
      </c>
      <c r="H56" s="106"/>
      <c r="I56" s="132" t="str">
        <f t="shared" si="2"/>
        <v>Monatslohn fehlt</v>
      </c>
      <c r="J56" s="156" t="str">
        <f t="shared" si="3"/>
        <v/>
      </c>
    </row>
    <row r="57" spans="1:10" ht="24" customHeight="1">
      <c r="A57" s="148" t="s">
        <v>469</v>
      </c>
      <c r="B57" s="131">
        <v>46143</v>
      </c>
      <c r="C57" s="131">
        <v>46507</v>
      </c>
      <c r="D57" s="132" t="s">
        <v>5</v>
      </c>
      <c r="E57" s="132" t="s">
        <v>2</v>
      </c>
      <c r="F57" s="132" t="s">
        <v>296</v>
      </c>
      <c r="G57" s="105">
        <v>69.2</v>
      </c>
      <c r="H57" s="106"/>
      <c r="I57" s="132" t="str">
        <f t="shared" si="2"/>
        <v>Monatslohn fehlt</v>
      </c>
      <c r="J57" s="156" t="str">
        <f t="shared" si="3"/>
        <v/>
      </c>
    </row>
    <row r="58" spans="1:10" ht="24" customHeight="1">
      <c r="A58" s="148" t="s">
        <v>469</v>
      </c>
      <c r="B58" s="131">
        <v>46143</v>
      </c>
      <c r="C58" s="131">
        <v>46507</v>
      </c>
      <c r="D58" s="132" t="s">
        <v>5</v>
      </c>
      <c r="E58" s="132" t="s">
        <v>2</v>
      </c>
      <c r="F58" s="132" t="s">
        <v>296</v>
      </c>
      <c r="G58" s="105">
        <v>51.9</v>
      </c>
      <c r="H58" s="106"/>
      <c r="I58" s="132" t="str">
        <f t="shared" si="2"/>
        <v>Monatslohn fehlt</v>
      </c>
      <c r="J58" s="156" t="str">
        <f t="shared" si="3"/>
        <v/>
      </c>
    </row>
    <row r="59" spans="1:10" ht="24" customHeight="1">
      <c r="A59" s="148" t="s">
        <v>469</v>
      </c>
      <c r="B59" s="131">
        <v>46143</v>
      </c>
      <c r="C59" s="131">
        <v>46507</v>
      </c>
      <c r="D59" s="132" t="s">
        <v>5</v>
      </c>
      <c r="E59" s="132" t="s">
        <v>2</v>
      </c>
      <c r="F59" s="132" t="s">
        <v>296</v>
      </c>
      <c r="G59" s="105">
        <v>47.58</v>
      </c>
      <c r="H59" s="106"/>
      <c r="I59" s="132" t="str">
        <f t="shared" si="2"/>
        <v>Monatslohn fehlt</v>
      </c>
      <c r="J59" s="156" t="str">
        <f t="shared" si="3"/>
        <v/>
      </c>
    </row>
    <row r="60" spans="1:10" ht="24" customHeight="1">
      <c r="A60" s="148" t="s">
        <v>469</v>
      </c>
      <c r="B60" s="131">
        <v>46143</v>
      </c>
      <c r="C60" s="131">
        <v>46507</v>
      </c>
      <c r="D60" s="132" t="s">
        <v>5</v>
      </c>
      <c r="E60" s="132" t="s">
        <v>2</v>
      </c>
      <c r="F60" s="132" t="s">
        <v>296</v>
      </c>
      <c r="G60" s="105">
        <v>43.25</v>
      </c>
      <c r="H60" s="106"/>
      <c r="I60" s="132" t="str">
        <f t="shared" si="2"/>
        <v>Monatslohn fehlt</v>
      </c>
      <c r="J60" s="156" t="str">
        <f t="shared" si="3"/>
        <v/>
      </c>
    </row>
    <row r="61" spans="1:10" ht="24" customHeight="1">
      <c r="A61" s="148" t="s">
        <v>469</v>
      </c>
      <c r="B61" s="131">
        <v>46143</v>
      </c>
      <c r="C61" s="131">
        <v>46507</v>
      </c>
      <c r="D61" s="132" t="s">
        <v>5</v>
      </c>
      <c r="E61" s="132" t="s">
        <v>2</v>
      </c>
      <c r="F61" s="132" t="s">
        <v>296</v>
      </c>
      <c r="G61" s="105">
        <v>34.6</v>
      </c>
      <c r="H61" s="106"/>
      <c r="I61" s="132" t="str">
        <f t="shared" si="2"/>
        <v>Monatslohn fehlt</v>
      </c>
      <c r="J61" s="156" t="str">
        <f t="shared" si="3"/>
        <v/>
      </c>
    </row>
    <row r="62" spans="1:10" ht="24" customHeight="1">
      <c r="A62" s="148" t="s">
        <v>469</v>
      </c>
      <c r="B62" s="131">
        <v>46143</v>
      </c>
      <c r="C62" s="131">
        <v>46507</v>
      </c>
      <c r="D62" s="132" t="s">
        <v>5</v>
      </c>
      <c r="E62" s="132" t="s">
        <v>2</v>
      </c>
      <c r="F62" s="132" t="s">
        <v>296</v>
      </c>
      <c r="G62" s="105">
        <v>32.01</v>
      </c>
      <c r="H62" s="106"/>
      <c r="I62" s="132" t="str">
        <f t="shared" si="2"/>
        <v>Monatslohn fehlt</v>
      </c>
      <c r="J62" s="156" t="str">
        <f t="shared" si="3"/>
        <v/>
      </c>
    </row>
    <row r="63" spans="1:10" ht="24" customHeight="1">
      <c r="A63" s="148" t="s">
        <v>469</v>
      </c>
      <c r="B63" s="131">
        <v>46143</v>
      </c>
      <c r="C63" s="131">
        <v>46507</v>
      </c>
      <c r="D63" s="132" t="s">
        <v>5</v>
      </c>
      <c r="E63" s="132" t="s">
        <v>2</v>
      </c>
      <c r="F63" s="132" t="s">
        <v>296</v>
      </c>
      <c r="G63" s="105"/>
      <c r="H63" s="106"/>
      <c r="I63" s="132" t="str">
        <f t="shared" si="2"/>
        <v>Werte fehlen</v>
      </c>
      <c r="J63" s="156" t="str">
        <f t="shared" si="3"/>
        <v/>
      </c>
    </row>
    <row r="64" spans="1:10" ht="24" customHeight="1" thickBot="1">
      <c r="A64" s="148" t="s">
        <v>469</v>
      </c>
      <c r="B64" s="131">
        <v>46143</v>
      </c>
      <c r="C64" s="131">
        <v>46507</v>
      </c>
      <c r="D64" s="132" t="s">
        <v>5</v>
      </c>
      <c r="E64" s="132" t="s">
        <v>2</v>
      </c>
      <c r="F64" s="132" t="s">
        <v>296</v>
      </c>
      <c r="G64" s="105"/>
      <c r="H64" s="106"/>
      <c r="I64" s="132" t="str">
        <f t="shared" si="2"/>
        <v>Werte fehlen</v>
      </c>
      <c r="J64" s="156" t="str">
        <f t="shared" si="3"/>
        <v/>
      </c>
    </row>
    <row r="65" spans="1:10" ht="24" customHeight="1">
      <c r="A65" s="150" t="s">
        <v>469</v>
      </c>
      <c r="B65" s="135">
        <v>46143</v>
      </c>
      <c r="C65" s="135">
        <v>46507</v>
      </c>
      <c r="D65" s="136" t="s">
        <v>303</v>
      </c>
      <c r="E65" s="136" t="s">
        <v>6</v>
      </c>
      <c r="F65" s="136" t="s">
        <v>293</v>
      </c>
      <c r="G65" s="109">
        <v>173</v>
      </c>
      <c r="H65" s="110"/>
      <c r="I65" s="136" t="str">
        <f t="shared" si="2"/>
        <v>Monatslohn fehlt</v>
      </c>
      <c r="J65" s="158" t="str">
        <f t="shared" si="3"/>
        <v/>
      </c>
    </row>
    <row r="66" spans="1:10" ht="24" customHeight="1">
      <c r="A66" s="151" t="s">
        <v>469</v>
      </c>
      <c r="B66" s="137">
        <v>46143</v>
      </c>
      <c r="C66" s="137">
        <v>46507</v>
      </c>
      <c r="D66" s="138" t="s">
        <v>303</v>
      </c>
      <c r="E66" s="138" t="s">
        <v>6</v>
      </c>
      <c r="F66" s="138" t="s">
        <v>293</v>
      </c>
      <c r="G66" s="111">
        <v>151.38</v>
      </c>
      <c r="H66" s="112"/>
      <c r="I66" s="138" t="str">
        <f t="shared" si="2"/>
        <v>Monatslohn fehlt</v>
      </c>
      <c r="J66" s="159" t="str">
        <f t="shared" si="3"/>
        <v/>
      </c>
    </row>
    <row r="67" spans="1:10" ht="24" customHeight="1">
      <c r="A67" s="151" t="s">
        <v>469</v>
      </c>
      <c r="B67" s="137">
        <v>46143</v>
      </c>
      <c r="C67" s="137">
        <v>46507</v>
      </c>
      <c r="D67" s="138" t="s">
        <v>303</v>
      </c>
      <c r="E67" s="138" t="s">
        <v>6</v>
      </c>
      <c r="F67" s="138" t="s">
        <v>293</v>
      </c>
      <c r="G67" s="111">
        <v>138.4</v>
      </c>
      <c r="H67" s="112"/>
      <c r="I67" s="138" t="str">
        <f t="shared" si="2"/>
        <v>Monatslohn fehlt</v>
      </c>
      <c r="J67" s="159" t="str">
        <f t="shared" si="3"/>
        <v/>
      </c>
    </row>
    <row r="68" spans="1:10" ht="24" customHeight="1">
      <c r="A68" s="151" t="s">
        <v>469</v>
      </c>
      <c r="B68" s="137">
        <v>46143</v>
      </c>
      <c r="C68" s="137">
        <v>46507</v>
      </c>
      <c r="D68" s="138" t="s">
        <v>303</v>
      </c>
      <c r="E68" s="138" t="s">
        <v>6</v>
      </c>
      <c r="F68" s="138" t="s">
        <v>293</v>
      </c>
      <c r="G68" s="111">
        <v>129.75</v>
      </c>
      <c r="H68" s="112"/>
      <c r="I68" s="138" t="str">
        <f t="shared" si="2"/>
        <v>Monatslohn fehlt</v>
      </c>
      <c r="J68" s="159" t="str">
        <f t="shared" si="3"/>
        <v/>
      </c>
    </row>
    <row r="69" spans="1:10" ht="24" customHeight="1">
      <c r="A69" s="151" t="s">
        <v>469</v>
      </c>
      <c r="B69" s="137">
        <v>46143</v>
      </c>
      <c r="C69" s="137">
        <v>46507</v>
      </c>
      <c r="D69" s="138" t="s">
        <v>303</v>
      </c>
      <c r="E69" s="138" t="s">
        <v>6</v>
      </c>
      <c r="F69" s="138" t="s">
        <v>293</v>
      </c>
      <c r="G69" s="111">
        <v>108.13</v>
      </c>
      <c r="H69" s="112"/>
      <c r="I69" s="138" t="str">
        <f t="shared" ref="I69:I100" si="4">IF($A69="","",IF(OR($B69="",$C69="",$D69="",$E69="",$F69=""),"Stammdaten fehlen",IF(AND($G69="",$H69=""),"Werte fehlen",IF($G69="","Monatsstunden fehlen",IF($H69="","Monatslohn fehlt","OK")))))</f>
        <v>Monatslohn fehlt</v>
      </c>
      <c r="J69" s="159" t="str">
        <f t="shared" ref="J69:J100" si="5">IF($G69="","",IF(COUNTIFS($A:$A,$A69,$D:$D,$D69,$G:$G,$G69)&gt;1,"Doppelte Monatsstunden",""))</f>
        <v/>
      </c>
    </row>
    <row r="70" spans="1:10" ht="24" customHeight="1">
      <c r="A70" s="151" t="s">
        <v>469</v>
      </c>
      <c r="B70" s="137">
        <v>46143</v>
      </c>
      <c r="C70" s="137">
        <v>46507</v>
      </c>
      <c r="D70" s="138" t="s">
        <v>303</v>
      </c>
      <c r="E70" s="138" t="s">
        <v>6</v>
      </c>
      <c r="F70" s="138" t="s">
        <v>293</v>
      </c>
      <c r="G70" s="111">
        <v>103.8</v>
      </c>
      <c r="H70" s="112"/>
      <c r="I70" s="138" t="str">
        <f t="shared" si="4"/>
        <v>Monatslohn fehlt</v>
      </c>
      <c r="J70" s="159" t="str">
        <f t="shared" si="5"/>
        <v/>
      </c>
    </row>
    <row r="71" spans="1:10" ht="24" customHeight="1">
      <c r="A71" s="151" t="s">
        <v>469</v>
      </c>
      <c r="B71" s="137">
        <v>46143</v>
      </c>
      <c r="C71" s="137">
        <v>46507</v>
      </c>
      <c r="D71" s="138" t="s">
        <v>303</v>
      </c>
      <c r="E71" s="138" t="s">
        <v>6</v>
      </c>
      <c r="F71" s="138" t="s">
        <v>293</v>
      </c>
      <c r="G71" s="111">
        <v>86.5</v>
      </c>
      <c r="H71" s="112"/>
      <c r="I71" s="138" t="str">
        <f t="shared" si="4"/>
        <v>Monatslohn fehlt</v>
      </c>
      <c r="J71" s="159" t="str">
        <f t="shared" si="5"/>
        <v/>
      </c>
    </row>
    <row r="72" spans="1:10" ht="24" customHeight="1">
      <c r="A72" s="151" t="s">
        <v>469</v>
      </c>
      <c r="B72" s="137">
        <v>46143</v>
      </c>
      <c r="C72" s="137">
        <v>46507</v>
      </c>
      <c r="D72" s="138" t="s">
        <v>303</v>
      </c>
      <c r="E72" s="138" t="s">
        <v>6</v>
      </c>
      <c r="F72" s="138" t="s">
        <v>293</v>
      </c>
      <c r="G72" s="111">
        <v>69.2</v>
      </c>
      <c r="H72" s="112"/>
      <c r="I72" s="138" t="str">
        <f t="shared" si="4"/>
        <v>Monatslohn fehlt</v>
      </c>
      <c r="J72" s="159" t="str">
        <f t="shared" si="5"/>
        <v/>
      </c>
    </row>
    <row r="73" spans="1:10" ht="24" customHeight="1">
      <c r="A73" s="151" t="s">
        <v>469</v>
      </c>
      <c r="B73" s="137">
        <v>46143</v>
      </c>
      <c r="C73" s="137">
        <v>46507</v>
      </c>
      <c r="D73" s="138" t="s">
        <v>303</v>
      </c>
      <c r="E73" s="138" t="s">
        <v>6</v>
      </c>
      <c r="F73" s="138" t="s">
        <v>293</v>
      </c>
      <c r="G73" s="111">
        <v>51.9</v>
      </c>
      <c r="H73" s="112"/>
      <c r="I73" s="138" t="str">
        <f t="shared" si="4"/>
        <v>Monatslohn fehlt</v>
      </c>
      <c r="J73" s="159" t="str">
        <f t="shared" si="5"/>
        <v/>
      </c>
    </row>
    <row r="74" spans="1:10" ht="24" customHeight="1">
      <c r="A74" s="151" t="s">
        <v>469</v>
      </c>
      <c r="B74" s="137">
        <v>46143</v>
      </c>
      <c r="C74" s="137">
        <v>46507</v>
      </c>
      <c r="D74" s="138" t="s">
        <v>303</v>
      </c>
      <c r="E74" s="138" t="s">
        <v>6</v>
      </c>
      <c r="F74" s="138" t="s">
        <v>293</v>
      </c>
      <c r="G74" s="111">
        <v>47.58</v>
      </c>
      <c r="H74" s="112"/>
      <c r="I74" s="138" t="str">
        <f t="shared" si="4"/>
        <v>Monatslohn fehlt</v>
      </c>
      <c r="J74" s="159" t="str">
        <f t="shared" si="5"/>
        <v/>
      </c>
    </row>
    <row r="75" spans="1:10" ht="24" customHeight="1">
      <c r="A75" s="151" t="s">
        <v>469</v>
      </c>
      <c r="B75" s="137">
        <v>46143</v>
      </c>
      <c r="C75" s="137">
        <v>46507</v>
      </c>
      <c r="D75" s="138" t="s">
        <v>303</v>
      </c>
      <c r="E75" s="138" t="s">
        <v>6</v>
      </c>
      <c r="F75" s="138" t="s">
        <v>293</v>
      </c>
      <c r="G75" s="111">
        <v>43.25</v>
      </c>
      <c r="H75" s="112"/>
      <c r="I75" s="138" t="str">
        <f t="shared" si="4"/>
        <v>Monatslohn fehlt</v>
      </c>
      <c r="J75" s="159" t="str">
        <f t="shared" si="5"/>
        <v/>
      </c>
    </row>
    <row r="76" spans="1:10" ht="24" customHeight="1">
      <c r="A76" s="151" t="s">
        <v>469</v>
      </c>
      <c r="B76" s="137">
        <v>46143</v>
      </c>
      <c r="C76" s="137">
        <v>46507</v>
      </c>
      <c r="D76" s="138" t="s">
        <v>303</v>
      </c>
      <c r="E76" s="138" t="s">
        <v>6</v>
      </c>
      <c r="F76" s="138" t="s">
        <v>293</v>
      </c>
      <c r="G76" s="111">
        <v>34.6</v>
      </c>
      <c r="H76" s="112"/>
      <c r="I76" s="138" t="str">
        <f t="shared" si="4"/>
        <v>Monatslohn fehlt</v>
      </c>
      <c r="J76" s="159" t="str">
        <f t="shared" si="5"/>
        <v/>
      </c>
    </row>
    <row r="77" spans="1:10" ht="24" customHeight="1">
      <c r="A77" s="151" t="s">
        <v>469</v>
      </c>
      <c r="B77" s="137">
        <v>46143</v>
      </c>
      <c r="C77" s="137">
        <v>46507</v>
      </c>
      <c r="D77" s="138" t="s">
        <v>303</v>
      </c>
      <c r="E77" s="138" t="s">
        <v>6</v>
      </c>
      <c r="F77" s="138" t="s">
        <v>293</v>
      </c>
      <c r="G77" s="111">
        <v>32.01</v>
      </c>
      <c r="H77" s="112"/>
      <c r="I77" s="138" t="str">
        <f t="shared" si="4"/>
        <v>Monatslohn fehlt</v>
      </c>
      <c r="J77" s="159" t="str">
        <f t="shared" si="5"/>
        <v/>
      </c>
    </row>
    <row r="78" spans="1:10" ht="24" customHeight="1">
      <c r="A78" s="151" t="s">
        <v>469</v>
      </c>
      <c r="B78" s="137">
        <v>46143</v>
      </c>
      <c r="C78" s="137">
        <v>46507</v>
      </c>
      <c r="D78" s="138" t="s">
        <v>303</v>
      </c>
      <c r="E78" s="138" t="s">
        <v>6</v>
      </c>
      <c r="F78" s="138" t="s">
        <v>293</v>
      </c>
      <c r="G78" s="111"/>
      <c r="H78" s="112"/>
      <c r="I78" s="138" t="str">
        <f t="shared" si="4"/>
        <v>Werte fehlen</v>
      </c>
      <c r="J78" s="159" t="str">
        <f t="shared" si="5"/>
        <v/>
      </c>
    </row>
    <row r="79" spans="1:10" ht="24" customHeight="1" thickBot="1">
      <c r="A79" s="151" t="s">
        <v>469</v>
      </c>
      <c r="B79" s="137">
        <v>46143</v>
      </c>
      <c r="C79" s="137">
        <v>46507</v>
      </c>
      <c r="D79" s="138" t="s">
        <v>303</v>
      </c>
      <c r="E79" s="138" t="s">
        <v>6</v>
      </c>
      <c r="F79" s="138" t="s">
        <v>293</v>
      </c>
      <c r="G79" s="111"/>
      <c r="H79" s="112"/>
      <c r="I79" s="138" t="str">
        <f t="shared" si="4"/>
        <v>Werte fehlen</v>
      </c>
      <c r="J79" s="159" t="str">
        <f t="shared" si="5"/>
        <v/>
      </c>
    </row>
    <row r="80" spans="1:10" ht="24" customHeight="1">
      <c r="A80" s="150" t="s">
        <v>469</v>
      </c>
      <c r="B80" s="135">
        <v>46143</v>
      </c>
      <c r="C80" s="135">
        <v>46507</v>
      </c>
      <c r="D80" s="136" t="s">
        <v>7</v>
      </c>
      <c r="E80" s="136" t="s">
        <v>6</v>
      </c>
      <c r="F80" s="136" t="s">
        <v>294</v>
      </c>
      <c r="G80" s="109">
        <v>173</v>
      </c>
      <c r="H80" s="110"/>
      <c r="I80" s="136" t="str">
        <f t="shared" si="4"/>
        <v>Monatslohn fehlt</v>
      </c>
      <c r="J80" s="158" t="str">
        <f t="shared" si="5"/>
        <v/>
      </c>
    </row>
    <row r="81" spans="1:10" ht="24" customHeight="1">
      <c r="A81" s="151" t="s">
        <v>469</v>
      </c>
      <c r="B81" s="137">
        <v>46143</v>
      </c>
      <c r="C81" s="137">
        <v>46507</v>
      </c>
      <c r="D81" s="138" t="s">
        <v>7</v>
      </c>
      <c r="E81" s="138" t="s">
        <v>6</v>
      </c>
      <c r="F81" s="138" t="s">
        <v>294</v>
      </c>
      <c r="G81" s="111">
        <v>151.38</v>
      </c>
      <c r="H81" s="112"/>
      <c r="I81" s="138" t="str">
        <f t="shared" si="4"/>
        <v>Monatslohn fehlt</v>
      </c>
      <c r="J81" s="159" t="str">
        <f t="shared" si="5"/>
        <v/>
      </c>
    </row>
    <row r="82" spans="1:10" ht="24" customHeight="1">
      <c r="A82" s="151" t="s">
        <v>469</v>
      </c>
      <c r="B82" s="137">
        <v>46143</v>
      </c>
      <c r="C82" s="137">
        <v>46507</v>
      </c>
      <c r="D82" s="138" t="s">
        <v>7</v>
      </c>
      <c r="E82" s="138" t="s">
        <v>6</v>
      </c>
      <c r="F82" s="138" t="s">
        <v>294</v>
      </c>
      <c r="G82" s="111">
        <v>138.4</v>
      </c>
      <c r="H82" s="112"/>
      <c r="I82" s="138" t="str">
        <f t="shared" si="4"/>
        <v>Monatslohn fehlt</v>
      </c>
      <c r="J82" s="159" t="str">
        <f t="shared" si="5"/>
        <v/>
      </c>
    </row>
    <row r="83" spans="1:10" ht="24" customHeight="1">
      <c r="A83" s="151" t="s">
        <v>469</v>
      </c>
      <c r="B83" s="137">
        <v>46143</v>
      </c>
      <c r="C83" s="137">
        <v>46507</v>
      </c>
      <c r="D83" s="138" t="s">
        <v>7</v>
      </c>
      <c r="E83" s="138" t="s">
        <v>6</v>
      </c>
      <c r="F83" s="138" t="s">
        <v>294</v>
      </c>
      <c r="G83" s="111">
        <v>129.75</v>
      </c>
      <c r="H83" s="112"/>
      <c r="I83" s="138" t="str">
        <f t="shared" si="4"/>
        <v>Monatslohn fehlt</v>
      </c>
      <c r="J83" s="159" t="str">
        <f t="shared" si="5"/>
        <v/>
      </c>
    </row>
    <row r="84" spans="1:10" ht="24" customHeight="1">
      <c r="A84" s="151" t="s">
        <v>469</v>
      </c>
      <c r="B84" s="137">
        <v>46143</v>
      </c>
      <c r="C84" s="137">
        <v>46507</v>
      </c>
      <c r="D84" s="138" t="s">
        <v>7</v>
      </c>
      <c r="E84" s="138" t="s">
        <v>6</v>
      </c>
      <c r="F84" s="138" t="s">
        <v>294</v>
      </c>
      <c r="G84" s="111">
        <v>108.13</v>
      </c>
      <c r="H84" s="112"/>
      <c r="I84" s="138" t="str">
        <f t="shared" si="4"/>
        <v>Monatslohn fehlt</v>
      </c>
      <c r="J84" s="159" t="str">
        <f t="shared" si="5"/>
        <v/>
      </c>
    </row>
    <row r="85" spans="1:10" ht="24" customHeight="1">
      <c r="A85" s="151" t="s">
        <v>469</v>
      </c>
      <c r="B85" s="137">
        <v>46143</v>
      </c>
      <c r="C85" s="137">
        <v>46507</v>
      </c>
      <c r="D85" s="138" t="s">
        <v>7</v>
      </c>
      <c r="E85" s="138" t="s">
        <v>6</v>
      </c>
      <c r="F85" s="138" t="s">
        <v>294</v>
      </c>
      <c r="G85" s="111">
        <v>103.8</v>
      </c>
      <c r="H85" s="112"/>
      <c r="I85" s="138" t="str">
        <f t="shared" si="4"/>
        <v>Monatslohn fehlt</v>
      </c>
      <c r="J85" s="159" t="str">
        <f t="shared" si="5"/>
        <v/>
      </c>
    </row>
    <row r="86" spans="1:10" ht="24" customHeight="1">
      <c r="A86" s="151" t="s">
        <v>469</v>
      </c>
      <c r="B86" s="137">
        <v>46143</v>
      </c>
      <c r="C86" s="137">
        <v>46507</v>
      </c>
      <c r="D86" s="138" t="s">
        <v>7</v>
      </c>
      <c r="E86" s="138" t="s">
        <v>6</v>
      </c>
      <c r="F86" s="138" t="s">
        <v>294</v>
      </c>
      <c r="G86" s="111">
        <v>86.5</v>
      </c>
      <c r="H86" s="112"/>
      <c r="I86" s="138" t="str">
        <f t="shared" si="4"/>
        <v>Monatslohn fehlt</v>
      </c>
      <c r="J86" s="159" t="str">
        <f t="shared" si="5"/>
        <v/>
      </c>
    </row>
    <row r="87" spans="1:10" ht="24" customHeight="1">
      <c r="A87" s="151" t="s">
        <v>469</v>
      </c>
      <c r="B87" s="137">
        <v>46143</v>
      </c>
      <c r="C87" s="137">
        <v>46507</v>
      </c>
      <c r="D87" s="138" t="s">
        <v>7</v>
      </c>
      <c r="E87" s="138" t="s">
        <v>6</v>
      </c>
      <c r="F87" s="138" t="s">
        <v>294</v>
      </c>
      <c r="G87" s="111">
        <v>69.2</v>
      </c>
      <c r="H87" s="112"/>
      <c r="I87" s="138" t="str">
        <f t="shared" si="4"/>
        <v>Monatslohn fehlt</v>
      </c>
      <c r="J87" s="159" t="str">
        <f t="shared" si="5"/>
        <v/>
      </c>
    </row>
    <row r="88" spans="1:10" ht="24" customHeight="1">
      <c r="A88" s="151" t="s">
        <v>469</v>
      </c>
      <c r="B88" s="137">
        <v>46143</v>
      </c>
      <c r="C88" s="137">
        <v>46507</v>
      </c>
      <c r="D88" s="138" t="s">
        <v>7</v>
      </c>
      <c r="E88" s="138" t="s">
        <v>6</v>
      </c>
      <c r="F88" s="138" t="s">
        <v>294</v>
      </c>
      <c r="G88" s="111">
        <v>51.9</v>
      </c>
      <c r="H88" s="112"/>
      <c r="I88" s="138" t="str">
        <f t="shared" si="4"/>
        <v>Monatslohn fehlt</v>
      </c>
      <c r="J88" s="159" t="str">
        <f t="shared" si="5"/>
        <v/>
      </c>
    </row>
    <row r="89" spans="1:10" ht="24" customHeight="1">
      <c r="A89" s="151" t="s">
        <v>469</v>
      </c>
      <c r="B89" s="137">
        <v>46143</v>
      </c>
      <c r="C89" s="137">
        <v>46507</v>
      </c>
      <c r="D89" s="138" t="s">
        <v>7</v>
      </c>
      <c r="E89" s="138" t="s">
        <v>6</v>
      </c>
      <c r="F89" s="138" t="s">
        <v>294</v>
      </c>
      <c r="G89" s="111">
        <v>47.58</v>
      </c>
      <c r="H89" s="112"/>
      <c r="I89" s="138" t="str">
        <f t="shared" si="4"/>
        <v>Monatslohn fehlt</v>
      </c>
      <c r="J89" s="159" t="str">
        <f t="shared" si="5"/>
        <v/>
      </c>
    </row>
    <row r="90" spans="1:10" ht="24" customHeight="1">
      <c r="A90" s="151" t="s">
        <v>469</v>
      </c>
      <c r="B90" s="137">
        <v>46143</v>
      </c>
      <c r="C90" s="137">
        <v>46507</v>
      </c>
      <c r="D90" s="138" t="s">
        <v>7</v>
      </c>
      <c r="E90" s="138" t="s">
        <v>6</v>
      </c>
      <c r="F90" s="138" t="s">
        <v>294</v>
      </c>
      <c r="G90" s="111">
        <v>43.25</v>
      </c>
      <c r="H90" s="112"/>
      <c r="I90" s="138" t="str">
        <f t="shared" si="4"/>
        <v>Monatslohn fehlt</v>
      </c>
      <c r="J90" s="159" t="str">
        <f t="shared" si="5"/>
        <v/>
      </c>
    </row>
    <row r="91" spans="1:10" ht="24" customHeight="1">
      <c r="A91" s="151" t="s">
        <v>469</v>
      </c>
      <c r="B91" s="137">
        <v>46143</v>
      </c>
      <c r="C91" s="137">
        <v>46507</v>
      </c>
      <c r="D91" s="138" t="s">
        <v>7</v>
      </c>
      <c r="E91" s="138" t="s">
        <v>6</v>
      </c>
      <c r="F91" s="138" t="s">
        <v>294</v>
      </c>
      <c r="G91" s="111">
        <v>34.6</v>
      </c>
      <c r="H91" s="112"/>
      <c r="I91" s="138" t="str">
        <f t="shared" si="4"/>
        <v>Monatslohn fehlt</v>
      </c>
      <c r="J91" s="159" t="str">
        <f t="shared" si="5"/>
        <v/>
      </c>
    </row>
    <row r="92" spans="1:10" ht="24" customHeight="1">
      <c r="A92" s="151" t="s">
        <v>469</v>
      </c>
      <c r="B92" s="137">
        <v>46143</v>
      </c>
      <c r="C92" s="137">
        <v>46507</v>
      </c>
      <c r="D92" s="138" t="s">
        <v>7</v>
      </c>
      <c r="E92" s="138" t="s">
        <v>6</v>
      </c>
      <c r="F92" s="138" t="s">
        <v>294</v>
      </c>
      <c r="G92" s="111">
        <v>32.01</v>
      </c>
      <c r="H92" s="112"/>
      <c r="I92" s="138" t="str">
        <f t="shared" si="4"/>
        <v>Monatslohn fehlt</v>
      </c>
      <c r="J92" s="159" t="str">
        <f t="shared" si="5"/>
        <v/>
      </c>
    </row>
    <row r="93" spans="1:10" ht="24" customHeight="1">
      <c r="A93" s="151" t="s">
        <v>469</v>
      </c>
      <c r="B93" s="137">
        <v>46143</v>
      </c>
      <c r="C93" s="137">
        <v>46507</v>
      </c>
      <c r="D93" s="138" t="s">
        <v>7</v>
      </c>
      <c r="E93" s="138" t="s">
        <v>6</v>
      </c>
      <c r="F93" s="138" t="s">
        <v>294</v>
      </c>
      <c r="G93" s="111"/>
      <c r="H93" s="112"/>
      <c r="I93" s="138" t="str">
        <f t="shared" si="4"/>
        <v>Werte fehlen</v>
      </c>
      <c r="J93" s="159" t="str">
        <f t="shared" si="5"/>
        <v/>
      </c>
    </row>
    <row r="94" spans="1:10" ht="24" customHeight="1" thickBot="1">
      <c r="A94" s="151" t="s">
        <v>469</v>
      </c>
      <c r="B94" s="137">
        <v>46143</v>
      </c>
      <c r="C94" s="137">
        <v>46507</v>
      </c>
      <c r="D94" s="138" t="s">
        <v>7</v>
      </c>
      <c r="E94" s="138" t="s">
        <v>6</v>
      </c>
      <c r="F94" s="138" t="s">
        <v>294</v>
      </c>
      <c r="G94" s="111"/>
      <c r="H94" s="112"/>
      <c r="I94" s="138" t="str">
        <f t="shared" si="4"/>
        <v>Werte fehlen</v>
      </c>
      <c r="J94" s="159" t="str">
        <f t="shared" si="5"/>
        <v/>
      </c>
    </row>
    <row r="95" spans="1:10" ht="24" customHeight="1">
      <c r="A95" s="150" t="s">
        <v>469</v>
      </c>
      <c r="B95" s="135">
        <v>46143</v>
      </c>
      <c r="C95" s="135">
        <v>46507</v>
      </c>
      <c r="D95" s="136" t="s">
        <v>8</v>
      </c>
      <c r="E95" s="136" t="s">
        <v>6</v>
      </c>
      <c r="F95" s="136" t="s">
        <v>295</v>
      </c>
      <c r="G95" s="109">
        <v>173</v>
      </c>
      <c r="H95" s="110"/>
      <c r="I95" s="136" t="str">
        <f t="shared" si="4"/>
        <v>Monatslohn fehlt</v>
      </c>
      <c r="J95" s="158" t="str">
        <f t="shared" si="5"/>
        <v/>
      </c>
    </row>
    <row r="96" spans="1:10" ht="24" customHeight="1">
      <c r="A96" s="151" t="s">
        <v>469</v>
      </c>
      <c r="B96" s="137">
        <v>46143</v>
      </c>
      <c r="C96" s="137">
        <v>46507</v>
      </c>
      <c r="D96" s="138" t="s">
        <v>8</v>
      </c>
      <c r="E96" s="138" t="s">
        <v>6</v>
      </c>
      <c r="F96" s="138" t="s">
        <v>295</v>
      </c>
      <c r="G96" s="111">
        <v>151.38</v>
      </c>
      <c r="H96" s="112"/>
      <c r="I96" s="138" t="str">
        <f t="shared" si="4"/>
        <v>Monatslohn fehlt</v>
      </c>
      <c r="J96" s="159" t="str">
        <f t="shared" si="5"/>
        <v/>
      </c>
    </row>
    <row r="97" spans="1:10" ht="24" customHeight="1">
      <c r="A97" s="151" t="s">
        <v>469</v>
      </c>
      <c r="B97" s="137">
        <v>46143</v>
      </c>
      <c r="C97" s="137">
        <v>46507</v>
      </c>
      <c r="D97" s="138" t="s">
        <v>8</v>
      </c>
      <c r="E97" s="138" t="s">
        <v>6</v>
      </c>
      <c r="F97" s="138" t="s">
        <v>295</v>
      </c>
      <c r="G97" s="111">
        <v>138.4</v>
      </c>
      <c r="H97" s="112"/>
      <c r="I97" s="138" t="str">
        <f t="shared" si="4"/>
        <v>Monatslohn fehlt</v>
      </c>
      <c r="J97" s="159" t="str">
        <f t="shared" si="5"/>
        <v/>
      </c>
    </row>
    <row r="98" spans="1:10" ht="24" customHeight="1">
      <c r="A98" s="151" t="s">
        <v>469</v>
      </c>
      <c r="B98" s="137">
        <v>46143</v>
      </c>
      <c r="C98" s="137">
        <v>46507</v>
      </c>
      <c r="D98" s="138" t="s">
        <v>8</v>
      </c>
      <c r="E98" s="138" t="s">
        <v>6</v>
      </c>
      <c r="F98" s="138" t="s">
        <v>295</v>
      </c>
      <c r="G98" s="111">
        <v>129.75</v>
      </c>
      <c r="H98" s="112"/>
      <c r="I98" s="138" t="str">
        <f t="shared" si="4"/>
        <v>Monatslohn fehlt</v>
      </c>
      <c r="J98" s="159" t="str">
        <f t="shared" si="5"/>
        <v/>
      </c>
    </row>
    <row r="99" spans="1:10" ht="24" customHeight="1">
      <c r="A99" s="151" t="s">
        <v>469</v>
      </c>
      <c r="B99" s="137">
        <v>46143</v>
      </c>
      <c r="C99" s="137">
        <v>46507</v>
      </c>
      <c r="D99" s="138" t="s">
        <v>8</v>
      </c>
      <c r="E99" s="138" t="s">
        <v>6</v>
      </c>
      <c r="F99" s="138" t="s">
        <v>295</v>
      </c>
      <c r="G99" s="111">
        <v>108.13</v>
      </c>
      <c r="H99" s="112"/>
      <c r="I99" s="138" t="str">
        <f t="shared" si="4"/>
        <v>Monatslohn fehlt</v>
      </c>
      <c r="J99" s="159" t="str">
        <f t="shared" si="5"/>
        <v/>
      </c>
    </row>
    <row r="100" spans="1:10" ht="24" customHeight="1">
      <c r="A100" s="151" t="s">
        <v>469</v>
      </c>
      <c r="B100" s="137">
        <v>46143</v>
      </c>
      <c r="C100" s="137">
        <v>46507</v>
      </c>
      <c r="D100" s="138" t="s">
        <v>8</v>
      </c>
      <c r="E100" s="138" t="s">
        <v>6</v>
      </c>
      <c r="F100" s="138" t="s">
        <v>295</v>
      </c>
      <c r="G100" s="111">
        <v>103.8</v>
      </c>
      <c r="H100" s="112"/>
      <c r="I100" s="138" t="str">
        <f t="shared" si="4"/>
        <v>Monatslohn fehlt</v>
      </c>
      <c r="J100" s="159" t="str">
        <f t="shared" si="5"/>
        <v/>
      </c>
    </row>
    <row r="101" spans="1:10" ht="24" customHeight="1">
      <c r="A101" s="151" t="s">
        <v>469</v>
      </c>
      <c r="B101" s="137">
        <v>46143</v>
      </c>
      <c r="C101" s="137">
        <v>46507</v>
      </c>
      <c r="D101" s="138" t="s">
        <v>8</v>
      </c>
      <c r="E101" s="138" t="s">
        <v>6</v>
      </c>
      <c r="F101" s="138" t="s">
        <v>295</v>
      </c>
      <c r="G101" s="111">
        <v>86.5</v>
      </c>
      <c r="H101" s="112"/>
      <c r="I101" s="138" t="str">
        <f t="shared" ref="I101:I132" si="6">IF($A101="","",IF(OR($B101="",$C101="",$D101="",$E101="",$F101=""),"Stammdaten fehlen",IF(AND($G101="",$H101=""),"Werte fehlen",IF($G101="","Monatsstunden fehlen",IF($H101="","Monatslohn fehlt","OK")))))</f>
        <v>Monatslohn fehlt</v>
      </c>
      <c r="J101" s="159" t="str">
        <f t="shared" ref="J101:J132" si="7">IF($G101="","",IF(COUNTIFS($A:$A,$A101,$D:$D,$D101,$G:$G,$G101)&gt;1,"Doppelte Monatsstunden",""))</f>
        <v/>
      </c>
    </row>
    <row r="102" spans="1:10" ht="24" customHeight="1">
      <c r="A102" s="151" t="s">
        <v>469</v>
      </c>
      <c r="B102" s="137">
        <v>46143</v>
      </c>
      <c r="C102" s="137">
        <v>46507</v>
      </c>
      <c r="D102" s="138" t="s">
        <v>8</v>
      </c>
      <c r="E102" s="138" t="s">
        <v>6</v>
      </c>
      <c r="F102" s="138" t="s">
        <v>295</v>
      </c>
      <c r="G102" s="111">
        <v>69.2</v>
      </c>
      <c r="H102" s="112"/>
      <c r="I102" s="138" t="str">
        <f t="shared" si="6"/>
        <v>Monatslohn fehlt</v>
      </c>
      <c r="J102" s="159" t="str">
        <f t="shared" si="7"/>
        <v/>
      </c>
    </row>
    <row r="103" spans="1:10" ht="24" customHeight="1">
      <c r="A103" s="151" t="s">
        <v>469</v>
      </c>
      <c r="B103" s="137">
        <v>46143</v>
      </c>
      <c r="C103" s="137">
        <v>46507</v>
      </c>
      <c r="D103" s="138" t="s">
        <v>8</v>
      </c>
      <c r="E103" s="138" t="s">
        <v>6</v>
      </c>
      <c r="F103" s="138" t="s">
        <v>295</v>
      </c>
      <c r="G103" s="111">
        <v>51.9</v>
      </c>
      <c r="H103" s="112"/>
      <c r="I103" s="138" t="str">
        <f t="shared" si="6"/>
        <v>Monatslohn fehlt</v>
      </c>
      <c r="J103" s="159" t="str">
        <f t="shared" si="7"/>
        <v/>
      </c>
    </row>
    <row r="104" spans="1:10" ht="24" customHeight="1">
      <c r="A104" s="151" t="s">
        <v>469</v>
      </c>
      <c r="B104" s="137">
        <v>46143</v>
      </c>
      <c r="C104" s="137">
        <v>46507</v>
      </c>
      <c r="D104" s="138" t="s">
        <v>8</v>
      </c>
      <c r="E104" s="138" t="s">
        <v>6</v>
      </c>
      <c r="F104" s="138" t="s">
        <v>295</v>
      </c>
      <c r="G104" s="111">
        <v>47.58</v>
      </c>
      <c r="H104" s="112"/>
      <c r="I104" s="138" t="str">
        <f t="shared" si="6"/>
        <v>Monatslohn fehlt</v>
      </c>
      <c r="J104" s="159" t="str">
        <f t="shared" si="7"/>
        <v/>
      </c>
    </row>
    <row r="105" spans="1:10" ht="24" customHeight="1">
      <c r="A105" s="151" t="s">
        <v>469</v>
      </c>
      <c r="B105" s="137">
        <v>46143</v>
      </c>
      <c r="C105" s="137">
        <v>46507</v>
      </c>
      <c r="D105" s="138" t="s">
        <v>8</v>
      </c>
      <c r="E105" s="138" t="s">
        <v>6</v>
      </c>
      <c r="F105" s="138" t="s">
        <v>295</v>
      </c>
      <c r="G105" s="111">
        <v>43.25</v>
      </c>
      <c r="H105" s="112"/>
      <c r="I105" s="138" t="str">
        <f t="shared" si="6"/>
        <v>Monatslohn fehlt</v>
      </c>
      <c r="J105" s="159" t="str">
        <f t="shared" si="7"/>
        <v/>
      </c>
    </row>
    <row r="106" spans="1:10" ht="24" customHeight="1">
      <c r="A106" s="151" t="s">
        <v>469</v>
      </c>
      <c r="B106" s="137">
        <v>46143</v>
      </c>
      <c r="C106" s="137">
        <v>46507</v>
      </c>
      <c r="D106" s="138" t="s">
        <v>8</v>
      </c>
      <c r="E106" s="138" t="s">
        <v>6</v>
      </c>
      <c r="F106" s="138" t="s">
        <v>295</v>
      </c>
      <c r="G106" s="111">
        <v>34.6</v>
      </c>
      <c r="H106" s="112"/>
      <c r="I106" s="138" t="str">
        <f t="shared" si="6"/>
        <v>Monatslohn fehlt</v>
      </c>
      <c r="J106" s="159" t="str">
        <f t="shared" si="7"/>
        <v/>
      </c>
    </row>
    <row r="107" spans="1:10" ht="24" customHeight="1">
      <c r="A107" s="151" t="s">
        <v>469</v>
      </c>
      <c r="B107" s="137">
        <v>46143</v>
      </c>
      <c r="C107" s="137">
        <v>46507</v>
      </c>
      <c r="D107" s="138" t="s">
        <v>8</v>
      </c>
      <c r="E107" s="138" t="s">
        <v>6</v>
      </c>
      <c r="F107" s="138" t="s">
        <v>295</v>
      </c>
      <c r="G107" s="111">
        <v>32.01</v>
      </c>
      <c r="H107" s="112"/>
      <c r="I107" s="138" t="str">
        <f t="shared" si="6"/>
        <v>Monatslohn fehlt</v>
      </c>
      <c r="J107" s="159" t="str">
        <f t="shared" si="7"/>
        <v/>
      </c>
    </row>
    <row r="108" spans="1:10" ht="24" customHeight="1">
      <c r="A108" s="151" t="s">
        <v>469</v>
      </c>
      <c r="B108" s="137">
        <v>46143</v>
      </c>
      <c r="C108" s="137">
        <v>46507</v>
      </c>
      <c r="D108" s="138" t="s">
        <v>8</v>
      </c>
      <c r="E108" s="138" t="s">
        <v>6</v>
      </c>
      <c r="F108" s="138" t="s">
        <v>295</v>
      </c>
      <c r="G108" s="111"/>
      <c r="H108" s="112"/>
      <c r="I108" s="138" t="str">
        <f t="shared" si="6"/>
        <v>Werte fehlen</v>
      </c>
      <c r="J108" s="159" t="str">
        <f t="shared" si="7"/>
        <v/>
      </c>
    </row>
    <row r="109" spans="1:10" ht="24" customHeight="1" thickBot="1">
      <c r="A109" s="151" t="s">
        <v>469</v>
      </c>
      <c r="B109" s="137">
        <v>46143</v>
      </c>
      <c r="C109" s="137">
        <v>46507</v>
      </c>
      <c r="D109" s="138" t="s">
        <v>8</v>
      </c>
      <c r="E109" s="138" t="s">
        <v>6</v>
      </c>
      <c r="F109" s="138" t="s">
        <v>295</v>
      </c>
      <c r="G109" s="111"/>
      <c r="H109" s="112"/>
      <c r="I109" s="138" t="str">
        <f t="shared" si="6"/>
        <v>Werte fehlen</v>
      </c>
      <c r="J109" s="159" t="str">
        <f t="shared" si="7"/>
        <v/>
      </c>
    </row>
    <row r="110" spans="1:10" ht="24" customHeight="1">
      <c r="A110" s="150" t="s">
        <v>469</v>
      </c>
      <c r="B110" s="135">
        <v>46143</v>
      </c>
      <c r="C110" s="135">
        <v>46507</v>
      </c>
      <c r="D110" s="136" t="s">
        <v>9</v>
      </c>
      <c r="E110" s="136" t="s">
        <v>6</v>
      </c>
      <c r="F110" s="136" t="s">
        <v>296</v>
      </c>
      <c r="G110" s="109">
        <v>173</v>
      </c>
      <c r="H110" s="110"/>
      <c r="I110" s="136" t="str">
        <f t="shared" si="6"/>
        <v>Monatslohn fehlt</v>
      </c>
      <c r="J110" s="158" t="str">
        <f t="shared" si="7"/>
        <v/>
      </c>
    </row>
    <row r="111" spans="1:10" ht="24" customHeight="1">
      <c r="A111" s="151" t="s">
        <v>469</v>
      </c>
      <c r="B111" s="137">
        <v>46143</v>
      </c>
      <c r="C111" s="137">
        <v>46507</v>
      </c>
      <c r="D111" s="138" t="s">
        <v>9</v>
      </c>
      <c r="E111" s="138" t="s">
        <v>6</v>
      </c>
      <c r="F111" s="138" t="s">
        <v>296</v>
      </c>
      <c r="G111" s="111">
        <v>151.38</v>
      </c>
      <c r="H111" s="112"/>
      <c r="I111" s="138" t="str">
        <f t="shared" si="6"/>
        <v>Monatslohn fehlt</v>
      </c>
      <c r="J111" s="159" t="str">
        <f t="shared" si="7"/>
        <v/>
      </c>
    </row>
    <row r="112" spans="1:10" ht="24" customHeight="1">
      <c r="A112" s="151" t="s">
        <v>469</v>
      </c>
      <c r="B112" s="137">
        <v>46143</v>
      </c>
      <c r="C112" s="137">
        <v>46507</v>
      </c>
      <c r="D112" s="138" t="s">
        <v>9</v>
      </c>
      <c r="E112" s="138" t="s">
        <v>6</v>
      </c>
      <c r="F112" s="138" t="s">
        <v>296</v>
      </c>
      <c r="G112" s="111">
        <v>138.4</v>
      </c>
      <c r="H112" s="112"/>
      <c r="I112" s="138" t="str">
        <f t="shared" si="6"/>
        <v>Monatslohn fehlt</v>
      </c>
      <c r="J112" s="159" t="str">
        <f t="shared" si="7"/>
        <v/>
      </c>
    </row>
    <row r="113" spans="1:10" ht="24" customHeight="1">
      <c r="A113" s="151" t="s">
        <v>469</v>
      </c>
      <c r="B113" s="137">
        <v>46143</v>
      </c>
      <c r="C113" s="137">
        <v>46507</v>
      </c>
      <c r="D113" s="138" t="s">
        <v>9</v>
      </c>
      <c r="E113" s="138" t="s">
        <v>6</v>
      </c>
      <c r="F113" s="138" t="s">
        <v>296</v>
      </c>
      <c r="G113" s="111">
        <v>129.75</v>
      </c>
      <c r="H113" s="112"/>
      <c r="I113" s="138" t="str">
        <f t="shared" si="6"/>
        <v>Monatslohn fehlt</v>
      </c>
      <c r="J113" s="159" t="str">
        <f t="shared" si="7"/>
        <v/>
      </c>
    </row>
    <row r="114" spans="1:10" ht="24" customHeight="1">
      <c r="A114" s="151" t="s">
        <v>469</v>
      </c>
      <c r="B114" s="137">
        <v>46143</v>
      </c>
      <c r="C114" s="137">
        <v>46507</v>
      </c>
      <c r="D114" s="138" t="s">
        <v>9</v>
      </c>
      <c r="E114" s="138" t="s">
        <v>6</v>
      </c>
      <c r="F114" s="138" t="s">
        <v>296</v>
      </c>
      <c r="G114" s="111">
        <v>108.13</v>
      </c>
      <c r="H114" s="112"/>
      <c r="I114" s="138" t="str">
        <f t="shared" si="6"/>
        <v>Monatslohn fehlt</v>
      </c>
      <c r="J114" s="159" t="str">
        <f t="shared" si="7"/>
        <v/>
      </c>
    </row>
    <row r="115" spans="1:10" ht="24" customHeight="1">
      <c r="A115" s="151" t="s">
        <v>469</v>
      </c>
      <c r="B115" s="137">
        <v>46143</v>
      </c>
      <c r="C115" s="137">
        <v>46507</v>
      </c>
      <c r="D115" s="138" t="s">
        <v>9</v>
      </c>
      <c r="E115" s="138" t="s">
        <v>6</v>
      </c>
      <c r="F115" s="138" t="s">
        <v>296</v>
      </c>
      <c r="G115" s="111">
        <v>103.8</v>
      </c>
      <c r="H115" s="112"/>
      <c r="I115" s="138" t="str">
        <f t="shared" si="6"/>
        <v>Monatslohn fehlt</v>
      </c>
      <c r="J115" s="159" t="str">
        <f t="shared" si="7"/>
        <v/>
      </c>
    </row>
    <row r="116" spans="1:10" ht="24" customHeight="1">
      <c r="A116" s="151" t="s">
        <v>469</v>
      </c>
      <c r="B116" s="137">
        <v>46143</v>
      </c>
      <c r="C116" s="137">
        <v>46507</v>
      </c>
      <c r="D116" s="138" t="s">
        <v>9</v>
      </c>
      <c r="E116" s="138" t="s">
        <v>6</v>
      </c>
      <c r="F116" s="138" t="s">
        <v>296</v>
      </c>
      <c r="G116" s="111">
        <v>86.5</v>
      </c>
      <c r="H116" s="112"/>
      <c r="I116" s="138" t="str">
        <f t="shared" si="6"/>
        <v>Monatslohn fehlt</v>
      </c>
      <c r="J116" s="159" t="str">
        <f t="shared" si="7"/>
        <v/>
      </c>
    </row>
    <row r="117" spans="1:10" ht="24" customHeight="1">
      <c r="A117" s="151" t="s">
        <v>469</v>
      </c>
      <c r="B117" s="137">
        <v>46143</v>
      </c>
      <c r="C117" s="137">
        <v>46507</v>
      </c>
      <c r="D117" s="138" t="s">
        <v>9</v>
      </c>
      <c r="E117" s="138" t="s">
        <v>6</v>
      </c>
      <c r="F117" s="138" t="s">
        <v>296</v>
      </c>
      <c r="G117" s="111">
        <v>69.2</v>
      </c>
      <c r="H117" s="112"/>
      <c r="I117" s="138" t="str">
        <f t="shared" si="6"/>
        <v>Monatslohn fehlt</v>
      </c>
      <c r="J117" s="159" t="str">
        <f t="shared" si="7"/>
        <v/>
      </c>
    </row>
    <row r="118" spans="1:10" ht="24" customHeight="1">
      <c r="A118" s="151" t="s">
        <v>469</v>
      </c>
      <c r="B118" s="137">
        <v>46143</v>
      </c>
      <c r="C118" s="137">
        <v>46507</v>
      </c>
      <c r="D118" s="138" t="s">
        <v>9</v>
      </c>
      <c r="E118" s="138" t="s">
        <v>6</v>
      </c>
      <c r="F118" s="138" t="s">
        <v>296</v>
      </c>
      <c r="G118" s="111">
        <v>51.9</v>
      </c>
      <c r="H118" s="112"/>
      <c r="I118" s="138" t="str">
        <f t="shared" si="6"/>
        <v>Monatslohn fehlt</v>
      </c>
      <c r="J118" s="159" t="str">
        <f t="shared" si="7"/>
        <v/>
      </c>
    </row>
    <row r="119" spans="1:10" ht="24" customHeight="1">
      <c r="A119" s="151" t="s">
        <v>469</v>
      </c>
      <c r="B119" s="137">
        <v>46143</v>
      </c>
      <c r="C119" s="137">
        <v>46507</v>
      </c>
      <c r="D119" s="138" t="s">
        <v>9</v>
      </c>
      <c r="E119" s="138" t="s">
        <v>6</v>
      </c>
      <c r="F119" s="138" t="s">
        <v>296</v>
      </c>
      <c r="G119" s="111">
        <v>47.58</v>
      </c>
      <c r="H119" s="112"/>
      <c r="I119" s="138" t="str">
        <f t="shared" si="6"/>
        <v>Monatslohn fehlt</v>
      </c>
      <c r="J119" s="159" t="str">
        <f t="shared" si="7"/>
        <v/>
      </c>
    </row>
    <row r="120" spans="1:10" ht="24" customHeight="1">
      <c r="A120" s="151" t="s">
        <v>469</v>
      </c>
      <c r="B120" s="137">
        <v>46143</v>
      </c>
      <c r="C120" s="137">
        <v>46507</v>
      </c>
      <c r="D120" s="138" t="s">
        <v>9</v>
      </c>
      <c r="E120" s="138" t="s">
        <v>6</v>
      </c>
      <c r="F120" s="138" t="s">
        <v>296</v>
      </c>
      <c r="G120" s="111">
        <v>43.25</v>
      </c>
      <c r="H120" s="112"/>
      <c r="I120" s="138" t="str">
        <f t="shared" si="6"/>
        <v>Monatslohn fehlt</v>
      </c>
      <c r="J120" s="159" t="str">
        <f t="shared" si="7"/>
        <v/>
      </c>
    </row>
    <row r="121" spans="1:10" ht="24" customHeight="1">
      <c r="A121" s="151" t="s">
        <v>469</v>
      </c>
      <c r="B121" s="137">
        <v>46143</v>
      </c>
      <c r="C121" s="137">
        <v>46507</v>
      </c>
      <c r="D121" s="138" t="s">
        <v>9</v>
      </c>
      <c r="E121" s="138" t="s">
        <v>6</v>
      </c>
      <c r="F121" s="138" t="s">
        <v>296</v>
      </c>
      <c r="G121" s="111">
        <v>34.6</v>
      </c>
      <c r="H121" s="112"/>
      <c r="I121" s="138" t="str">
        <f t="shared" si="6"/>
        <v>Monatslohn fehlt</v>
      </c>
      <c r="J121" s="159" t="str">
        <f t="shared" si="7"/>
        <v/>
      </c>
    </row>
    <row r="122" spans="1:10" ht="24" customHeight="1">
      <c r="A122" s="151" t="s">
        <v>469</v>
      </c>
      <c r="B122" s="137">
        <v>46143</v>
      </c>
      <c r="C122" s="137">
        <v>46507</v>
      </c>
      <c r="D122" s="138" t="s">
        <v>9</v>
      </c>
      <c r="E122" s="138" t="s">
        <v>6</v>
      </c>
      <c r="F122" s="138" t="s">
        <v>296</v>
      </c>
      <c r="G122" s="111">
        <v>32.01</v>
      </c>
      <c r="H122" s="112"/>
      <c r="I122" s="138" t="str">
        <f t="shared" si="6"/>
        <v>Monatslohn fehlt</v>
      </c>
      <c r="J122" s="159" t="str">
        <f t="shared" si="7"/>
        <v/>
      </c>
    </row>
    <row r="123" spans="1:10" ht="24" customHeight="1">
      <c r="A123" s="151" t="s">
        <v>469</v>
      </c>
      <c r="B123" s="137">
        <v>46143</v>
      </c>
      <c r="C123" s="137">
        <v>46507</v>
      </c>
      <c r="D123" s="138" t="s">
        <v>9</v>
      </c>
      <c r="E123" s="138" t="s">
        <v>6</v>
      </c>
      <c r="F123" s="138" t="s">
        <v>296</v>
      </c>
      <c r="G123" s="111"/>
      <c r="H123" s="112"/>
      <c r="I123" s="138" t="str">
        <f t="shared" si="6"/>
        <v>Werte fehlen</v>
      </c>
      <c r="J123" s="159" t="str">
        <f t="shared" si="7"/>
        <v/>
      </c>
    </row>
    <row r="124" spans="1:10" ht="24" customHeight="1" thickBot="1">
      <c r="A124" s="151" t="s">
        <v>469</v>
      </c>
      <c r="B124" s="137">
        <v>46143</v>
      </c>
      <c r="C124" s="137">
        <v>46507</v>
      </c>
      <c r="D124" s="138" t="s">
        <v>9</v>
      </c>
      <c r="E124" s="138" t="s">
        <v>6</v>
      </c>
      <c r="F124" s="138" t="s">
        <v>296</v>
      </c>
      <c r="G124" s="111"/>
      <c r="H124" s="112"/>
      <c r="I124" s="138" t="str">
        <f t="shared" si="6"/>
        <v>Werte fehlen</v>
      </c>
      <c r="J124" s="159" t="str">
        <f t="shared" si="7"/>
        <v/>
      </c>
    </row>
    <row r="125" spans="1:10" ht="24" customHeight="1">
      <c r="A125" s="152" t="s">
        <v>469</v>
      </c>
      <c r="B125" s="143">
        <v>46143</v>
      </c>
      <c r="C125" s="143">
        <v>46507</v>
      </c>
      <c r="D125" s="144" t="s">
        <v>304</v>
      </c>
      <c r="E125" s="144" t="s">
        <v>10</v>
      </c>
      <c r="F125" s="144" t="s">
        <v>293</v>
      </c>
      <c r="G125" s="113">
        <v>173</v>
      </c>
      <c r="H125" s="114"/>
      <c r="I125" s="144" t="str">
        <f t="shared" si="6"/>
        <v>Monatslohn fehlt</v>
      </c>
      <c r="J125" s="160" t="str">
        <f t="shared" si="7"/>
        <v/>
      </c>
    </row>
    <row r="126" spans="1:10" ht="24" customHeight="1">
      <c r="A126" s="153" t="s">
        <v>469</v>
      </c>
      <c r="B126" s="145">
        <v>46143</v>
      </c>
      <c r="C126" s="145">
        <v>46507</v>
      </c>
      <c r="D126" s="146" t="s">
        <v>304</v>
      </c>
      <c r="E126" s="146" t="s">
        <v>10</v>
      </c>
      <c r="F126" s="146" t="s">
        <v>293</v>
      </c>
      <c r="G126" s="115">
        <v>151.38</v>
      </c>
      <c r="H126" s="116"/>
      <c r="I126" s="146" t="str">
        <f t="shared" si="6"/>
        <v>Monatslohn fehlt</v>
      </c>
      <c r="J126" s="161" t="str">
        <f t="shared" si="7"/>
        <v/>
      </c>
    </row>
    <row r="127" spans="1:10" ht="24" customHeight="1">
      <c r="A127" s="153" t="s">
        <v>469</v>
      </c>
      <c r="B127" s="145">
        <v>46143</v>
      </c>
      <c r="C127" s="145">
        <v>46507</v>
      </c>
      <c r="D127" s="146" t="s">
        <v>304</v>
      </c>
      <c r="E127" s="146" t="s">
        <v>10</v>
      </c>
      <c r="F127" s="146" t="s">
        <v>293</v>
      </c>
      <c r="G127" s="115">
        <v>138.4</v>
      </c>
      <c r="H127" s="116"/>
      <c r="I127" s="146" t="str">
        <f t="shared" si="6"/>
        <v>Monatslohn fehlt</v>
      </c>
      <c r="J127" s="161" t="str">
        <f t="shared" si="7"/>
        <v/>
      </c>
    </row>
    <row r="128" spans="1:10" ht="24" customHeight="1">
      <c r="A128" s="153" t="s">
        <v>469</v>
      </c>
      <c r="B128" s="145">
        <v>46143</v>
      </c>
      <c r="C128" s="145">
        <v>46507</v>
      </c>
      <c r="D128" s="146" t="s">
        <v>304</v>
      </c>
      <c r="E128" s="146" t="s">
        <v>10</v>
      </c>
      <c r="F128" s="146" t="s">
        <v>293</v>
      </c>
      <c r="G128" s="115">
        <v>129.75</v>
      </c>
      <c r="H128" s="116"/>
      <c r="I128" s="146" t="str">
        <f t="shared" si="6"/>
        <v>Monatslohn fehlt</v>
      </c>
      <c r="J128" s="161" t="str">
        <f t="shared" si="7"/>
        <v/>
      </c>
    </row>
    <row r="129" spans="1:10" ht="24" customHeight="1">
      <c r="A129" s="153" t="s">
        <v>469</v>
      </c>
      <c r="B129" s="145">
        <v>46143</v>
      </c>
      <c r="C129" s="145">
        <v>46507</v>
      </c>
      <c r="D129" s="146" t="s">
        <v>304</v>
      </c>
      <c r="E129" s="146" t="s">
        <v>10</v>
      </c>
      <c r="F129" s="146" t="s">
        <v>293</v>
      </c>
      <c r="G129" s="115">
        <v>108.13</v>
      </c>
      <c r="H129" s="116"/>
      <c r="I129" s="146" t="str">
        <f t="shared" si="6"/>
        <v>Monatslohn fehlt</v>
      </c>
      <c r="J129" s="161" t="str">
        <f t="shared" si="7"/>
        <v/>
      </c>
    </row>
    <row r="130" spans="1:10" ht="24" customHeight="1">
      <c r="A130" s="153" t="s">
        <v>469</v>
      </c>
      <c r="B130" s="145">
        <v>46143</v>
      </c>
      <c r="C130" s="145">
        <v>46507</v>
      </c>
      <c r="D130" s="146" t="s">
        <v>304</v>
      </c>
      <c r="E130" s="146" t="s">
        <v>10</v>
      </c>
      <c r="F130" s="146" t="s">
        <v>293</v>
      </c>
      <c r="G130" s="115">
        <v>103.8</v>
      </c>
      <c r="H130" s="116"/>
      <c r="I130" s="146" t="str">
        <f t="shared" si="6"/>
        <v>Monatslohn fehlt</v>
      </c>
      <c r="J130" s="161" t="str">
        <f t="shared" si="7"/>
        <v/>
      </c>
    </row>
    <row r="131" spans="1:10" ht="24" customHeight="1">
      <c r="A131" s="153" t="s">
        <v>469</v>
      </c>
      <c r="B131" s="145">
        <v>46143</v>
      </c>
      <c r="C131" s="145">
        <v>46507</v>
      </c>
      <c r="D131" s="146" t="s">
        <v>304</v>
      </c>
      <c r="E131" s="146" t="s">
        <v>10</v>
      </c>
      <c r="F131" s="146" t="s">
        <v>293</v>
      </c>
      <c r="G131" s="115">
        <v>86.5</v>
      </c>
      <c r="H131" s="116"/>
      <c r="I131" s="146" t="str">
        <f t="shared" si="6"/>
        <v>Monatslohn fehlt</v>
      </c>
      <c r="J131" s="161" t="str">
        <f t="shared" si="7"/>
        <v/>
      </c>
    </row>
    <row r="132" spans="1:10" ht="24" customHeight="1">
      <c r="A132" s="153" t="s">
        <v>469</v>
      </c>
      <c r="B132" s="145">
        <v>46143</v>
      </c>
      <c r="C132" s="145">
        <v>46507</v>
      </c>
      <c r="D132" s="146" t="s">
        <v>304</v>
      </c>
      <c r="E132" s="146" t="s">
        <v>10</v>
      </c>
      <c r="F132" s="146" t="s">
        <v>293</v>
      </c>
      <c r="G132" s="115">
        <v>69.2</v>
      </c>
      <c r="H132" s="116"/>
      <c r="I132" s="146" t="str">
        <f t="shared" si="6"/>
        <v>Monatslohn fehlt</v>
      </c>
      <c r="J132" s="161" t="str">
        <f t="shared" si="7"/>
        <v/>
      </c>
    </row>
    <row r="133" spans="1:10" ht="24" customHeight="1">
      <c r="A133" s="153" t="s">
        <v>469</v>
      </c>
      <c r="B133" s="145">
        <v>46143</v>
      </c>
      <c r="C133" s="145">
        <v>46507</v>
      </c>
      <c r="D133" s="146" t="s">
        <v>304</v>
      </c>
      <c r="E133" s="146" t="s">
        <v>10</v>
      </c>
      <c r="F133" s="146" t="s">
        <v>293</v>
      </c>
      <c r="G133" s="115">
        <v>51.9</v>
      </c>
      <c r="H133" s="116"/>
      <c r="I133" s="146" t="str">
        <f t="shared" ref="I133:I164" si="8">IF($A133="","",IF(OR($B133="",$C133="",$D133="",$E133="",$F133=""),"Stammdaten fehlen",IF(AND($G133="",$H133=""),"Werte fehlen",IF($G133="","Monatsstunden fehlen",IF($H133="","Monatslohn fehlt","OK")))))</f>
        <v>Monatslohn fehlt</v>
      </c>
      <c r="J133" s="161" t="str">
        <f t="shared" ref="J133:J164" si="9">IF($G133="","",IF(COUNTIFS($A:$A,$A133,$D:$D,$D133,$G:$G,$G133)&gt;1,"Doppelte Monatsstunden",""))</f>
        <v/>
      </c>
    </row>
    <row r="134" spans="1:10" ht="24" customHeight="1">
      <c r="A134" s="153" t="s">
        <v>469</v>
      </c>
      <c r="B134" s="145">
        <v>46143</v>
      </c>
      <c r="C134" s="145">
        <v>46507</v>
      </c>
      <c r="D134" s="146" t="s">
        <v>304</v>
      </c>
      <c r="E134" s="146" t="s">
        <v>10</v>
      </c>
      <c r="F134" s="146" t="s">
        <v>293</v>
      </c>
      <c r="G134" s="115">
        <v>47.58</v>
      </c>
      <c r="H134" s="116"/>
      <c r="I134" s="146" t="str">
        <f t="shared" si="8"/>
        <v>Monatslohn fehlt</v>
      </c>
      <c r="J134" s="161" t="str">
        <f t="shared" si="9"/>
        <v/>
      </c>
    </row>
    <row r="135" spans="1:10" ht="24" customHeight="1">
      <c r="A135" s="153" t="s">
        <v>469</v>
      </c>
      <c r="B135" s="145">
        <v>46143</v>
      </c>
      <c r="C135" s="145">
        <v>46507</v>
      </c>
      <c r="D135" s="146" t="s">
        <v>304</v>
      </c>
      <c r="E135" s="146" t="s">
        <v>10</v>
      </c>
      <c r="F135" s="146" t="s">
        <v>293</v>
      </c>
      <c r="G135" s="115">
        <v>43.25</v>
      </c>
      <c r="H135" s="116"/>
      <c r="I135" s="146" t="str">
        <f t="shared" si="8"/>
        <v>Monatslohn fehlt</v>
      </c>
      <c r="J135" s="161" t="str">
        <f t="shared" si="9"/>
        <v/>
      </c>
    </row>
    <row r="136" spans="1:10" ht="24" customHeight="1">
      <c r="A136" s="153" t="s">
        <v>469</v>
      </c>
      <c r="B136" s="145">
        <v>46143</v>
      </c>
      <c r="C136" s="145">
        <v>46507</v>
      </c>
      <c r="D136" s="146" t="s">
        <v>304</v>
      </c>
      <c r="E136" s="146" t="s">
        <v>10</v>
      </c>
      <c r="F136" s="146" t="s">
        <v>293</v>
      </c>
      <c r="G136" s="115">
        <v>34.6</v>
      </c>
      <c r="H136" s="116"/>
      <c r="I136" s="146" t="str">
        <f t="shared" si="8"/>
        <v>Monatslohn fehlt</v>
      </c>
      <c r="J136" s="161" t="str">
        <f t="shared" si="9"/>
        <v/>
      </c>
    </row>
    <row r="137" spans="1:10" ht="24" customHeight="1">
      <c r="A137" s="153" t="s">
        <v>469</v>
      </c>
      <c r="B137" s="145">
        <v>46143</v>
      </c>
      <c r="C137" s="145">
        <v>46507</v>
      </c>
      <c r="D137" s="146" t="s">
        <v>304</v>
      </c>
      <c r="E137" s="146" t="s">
        <v>10</v>
      </c>
      <c r="F137" s="146" t="s">
        <v>293</v>
      </c>
      <c r="G137" s="115">
        <v>32.01</v>
      </c>
      <c r="H137" s="116"/>
      <c r="I137" s="146" t="str">
        <f t="shared" si="8"/>
        <v>Monatslohn fehlt</v>
      </c>
      <c r="J137" s="161" t="str">
        <f t="shared" si="9"/>
        <v/>
      </c>
    </row>
    <row r="138" spans="1:10" ht="24" customHeight="1">
      <c r="A138" s="153" t="s">
        <v>469</v>
      </c>
      <c r="B138" s="145">
        <v>46143</v>
      </c>
      <c r="C138" s="145">
        <v>46507</v>
      </c>
      <c r="D138" s="146" t="s">
        <v>304</v>
      </c>
      <c r="E138" s="146" t="s">
        <v>10</v>
      </c>
      <c r="F138" s="146" t="s">
        <v>293</v>
      </c>
      <c r="G138" s="115"/>
      <c r="H138" s="116"/>
      <c r="I138" s="146" t="str">
        <f t="shared" si="8"/>
        <v>Werte fehlen</v>
      </c>
      <c r="J138" s="161" t="str">
        <f t="shared" si="9"/>
        <v/>
      </c>
    </row>
    <row r="139" spans="1:10" ht="24" customHeight="1" thickBot="1">
      <c r="A139" s="153" t="s">
        <v>469</v>
      </c>
      <c r="B139" s="145">
        <v>46143</v>
      </c>
      <c r="C139" s="145">
        <v>46507</v>
      </c>
      <c r="D139" s="146" t="s">
        <v>304</v>
      </c>
      <c r="E139" s="146" t="s">
        <v>10</v>
      </c>
      <c r="F139" s="146" t="s">
        <v>293</v>
      </c>
      <c r="G139" s="115"/>
      <c r="H139" s="116"/>
      <c r="I139" s="146" t="str">
        <f t="shared" si="8"/>
        <v>Werte fehlen</v>
      </c>
      <c r="J139" s="161" t="str">
        <f t="shared" si="9"/>
        <v/>
      </c>
    </row>
    <row r="140" spans="1:10" ht="24" customHeight="1">
      <c r="A140" s="152" t="s">
        <v>469</v>
      </c>
      <c r="B140" s="143">
        <v>46143</v>
      </c>
      <c r="C140" s="143">
        <v>46507</v>
      </c>
      <c r="D140" s="144" t="s">
        <v>11</v>
      </c>
      <c r="E140" s="144" t="s">
        <v>10</v>
      </c>
      <c r="F140" s="144" t="s">
        <v>294</v>
      </c>
      <c r="G140" s="113">
        <v>173</v>
      </c>
      <c r="H140" s="114"/>
      <c r="I140" s="144" t="str">
        <f t="shared" si="8"/>
        <v>Monatslohn fehlt</v>
      </c>
      <c r="J140" s="160" t="str">
        <f t="shared" si="9"/>
        <v/>
      </c>
    </row>
    <row r="141" spans="1:10" ht="24" customHeight="1">
      <c r="A141" s="153" t="s">
        <v>469</v>
      </c>
      <c r="B141" s="145">
        <v>46143</v>
      </c>
      <c r="C141" s="145">
        <v>46507</v>
      </c>
      <c r="D141" s="146" t="s">
        <v>11</v>
      </c>
      <c r="E141" s="146" t="s">
        <v>10</v>
      </c>
      <c r="F141" s="146" t="s">
        <v>294</v>
      </c>
      <c r="G141" s="115">
        <v>151.38</v>
      </c>
      <c r="H141" s="116"/>
      <c r="I141" s="146" t="str">
        <f t="shared" si="8"/>
        <v>Monatslohn fehlt</v>
      </c>
      <c r="J141" s="161" t="str">
        <f t="shared" si="9"/>
        <v/>
      </c>
    </row>
    <row r="142" spans="1:10" ht="24" customHeight="1">
      <c r="A142" s="153" t="s">
        <v>469</v>
      </c>
      <c r="B142" s="145">
        <v>46143</v>
      </c>
      <c r="C142" s="145">
        <v>46507</v>
      </c>
      <c r="D142" s="146" t="s">
        <v>11</v>
      </c>
      <c r="E142" s="146" t="s">
        <v>10</v>
      </c>
      <c r="F142" s="146" t="s">
        <v>294</v>
      </c>
      <c r="G142" s="115">
        <v>138.4</v>
      </c>
      <c r="H142" s="116"/>
      <c r="I142" s="146" t="str">
        <f t="shared" si="8"/>
        <v>Monatslohn fehlt</v>
      </c>
      <c r="J142" s="161" t="str">
        <f t="shared" si="9"/>
        <v/>
      </c>
    </row>
    <row r="143" spans="1:10" ht="24" customHeight="1">
      <c r="A143" s="153" t="s">
        <v>469</v>
      </c>
      <c r="B143" s="145">
        <v>46143</v>
      </c>
      <c r="C143" s="145">
        <v>46507</v>
      </c>
      <c r="D143" s="146" t="s">
        <v>11</v>
      </c>
      <c r="E143" s="146" t="s">
        <v>10</v>
      </c>
      <c r="F143" s="146" t="s">
        <v>294</v>
      </c>
      <c r="G143" s="115">
        <v>129.75</v>
      </c>
      <c r="H143" s="116"/>
      <c r="I143" s="146" t="str">
        <f t="shared" si="8"/>
        <v>Monatslohn fehlt</v>
      </c>
      <c r="J143" s="161" t="str">
        <f t="shared" si="9"/>
        <v/>
      </c>
    </row>
    <row r="144" spans="1:10" ht="24" customHeight="1">
      <c r="A144" s="153" t="s">
        <v>469</v>
      </c>
      <c r="B144" s="145">
        <v>46143</v>
      </c>
      <c r="C144" s="145">
        <v>46507</v>
      </c>
      <c r="D144" s="146" t="s">
        <v>11</v>
      </c>
      <c r="E144" s="146" t="s">
        <v>10</v>
      </c>
      <c r="F144" s="146" t="s">
        <v>294</v>
      </c>
      <c r="G144" s="115">
        <v>108.13</v>
      </c>
      <c r="H144" s="116"/>
      <c r="I144" s="146" t="str">
        <f t="shared" si="8"/>
        <v>Monatslohn fehlt</v>
      </c>
      <c r="J144" s="161" t="str">
        <f t="shared" si="9"/>
        <v/>
      </c>
    </row>
    <row r="145" spans="1:10" ht="24" customHeight="1">
      <c r="A145" s="153" t="s">
        <v>469</v>
      </c>
      <c r="B145" s="145">
        <v>46143</v>
      </c>
      <c r="C145" s="145">
        <v>46507</v>
      </c>
      <c r="D145" s="146" t="s">
        <v>11</v>
      </c>
      <c r="E145" s="146" t="s">
        <v>10</v>
      </c>
      <c r="F145" s="146" t="s">
        <v>294</v>
      </c>
      <c r="G145" s="115">
        <v>103.8</v>
      </c>
      <c r="H145" s="116"/>
      <c r="I145" s="146" t="str">
        <f t="shared" si="8"/>
        <v>Monatslohn fehlt</v>
      </c>
      <c r="J145" s="161" t="str">
        <f t="shared" si="9"/>
        <v/>
      </c>
    </row>
    <row r="146" spans="1:10" ht="24" customHeight="1">
      <c r="A146" s="153" t="s">
        <v>469</v>
      </c>
      <c r="B146" s="145">
        <v>46143</v>
      </c>
      <c r="C146" s="145">
        <v>46507</v>
      </c>
      <c r="D146" s="146" t="s">
        <v>11</v>
      </c>
      <c r="E146" s="146" t="s">
        <v>10</v>
      </c>
      <c r="F146" s="146" t="s">
        <v>294</v>
      </c>
      <c r="G146" s="115">
        <v>86.5</v>
      </c>
      <c r="H146" s="116"/>
      <c r="I146" s="146" t="str">
        <f t="shared" si="8"/>
        <v>Monatslohn fehlt</v>
      </c>
      <c r="J146" s="161" t="str">
        <f t="shared" si="9"/>
        <v/>
      </c>
    </row>
    <row r="147" spans="1:10" ht="24" customHeight="1">
      <c r="A147" s="153" t="s">
        <v>469</v>
      </c>
      <c r="B147" s="145">
        <v>46143</v>
      </c>
      <c r="C147" s="145">
        <v>46507</v>
      </c>
      <c r="D147" s="146" t="s">
        <v>11</v>
      </c>
      <c r="E147" s="146" t="s">
        <v>10</v>
      </c>
      <c r="F147" s="146" t="s">
        <v>294</v>
      </c>
      <c r="G147" s="115">
        <v>69.2</v>
      </c>
      <c r="H147" s="116"/>
      <c r="I147" s="146" t="str">
        <f t="shared" si="8"/>
        <v>Monatslohn fehlt</v>
      </c>
      <c r="J147" s="161" t="str">
        <f t="shared" si="9"/>
        <v/>
      </c>
    </row>
    <row r="148" spans="1:10" ht="24" customHeight="1">
      <c r="A148" s="153" t="s">
        <v>469</v>
      </c>
      <c r="B148" s="145">
        <v>46143</v>
      </c>
      <c r="C148" s="145">
        <v>46507</v>
      </c>
      <c r="D148" s="146" t="s">
        <v>11</v>
      </c>
      <c r="E148" s="146" t="s">
        <v>10</v>
      </c>
      <c r="F148" s="146" t="s">
        <v>294</v>
      </c>
      <c r="G148" s="115">
        <v>51.9</v>
      </c>
      <c r="H148" s="116"/>
      <c r="I148" s="146" t="str">
        <f t="shared" si="8"/>
        <v>Monatslohn fehlt</v>
      </c>
      <c r="J148" s="161" t="str">
        <f t="shared" si="9"/>
        <v/>
      </c>
    </row>
    <row r="149" spans="1:10" ht="24" customHeight="1">
      <c r="A149" s="153" t="s">
        <v>469</v>
      </c>
      <c r="B149" s="145">
        <v>46143</v>
      </c>
      <c r="C149" s="145">
        <v>46507</v>
      </c>
      <c r="D149" s="146" t="s">
        <v>11</v>
      </c>
      <c r="E149" s="146" t="s">
        <v>10</v>
      </c>
      <c r="F149" s="146" t="s">
        <v>294</v>
      </c>
      <c r="G149" s="115">
        <v>47.58</v>
      </c>
      <c r="H149" s="116"/>
      <c r="I149" s="146" t="str">
        <f t="shared" si="8"/>
        <v>Monatslohn fehlt</v>
      </c>
      <c r="J149" s="161" t="str">
        <f t="shared" si="9"/>
        <v/>
      </c>
    </row>
    <row r="150" spans="1:10" ht="24" customHeight="1">
      <c r="A150" s="153" t="s">
        <v>469</v>
      </c>
      <c r="B150" s="145">
        <v>46143</v>
      </c>
      <c r="C150" s="145">
        <v>46507</v>
      </c>
      <c r="D150" s="146" t="s">
        <v>11</v>
      </c>
      <c r="E150" s="146" t="s">
        <v>10</v>
      </c>
      <c r="F150" s="146" t="s">
        <v>294</v>
      </c>
      <c r="G150" s="115">
        <v>43.25</v>
      </c>
      <c r="H150" s="116"/>
      <c r="I150" s="146" t="str">
        <f t="shared" si="8"/>
        <v>Monatslohn fehlt</v>
      </c>
      <c r="J150" s="161" t="str">
        <f t="shared" si="9"/>
        <v/>
      </c>
    </row>
    <row r="151" spans="1:10" ht="24" customHeight="1">
      <c r="A151" s="153" t="s">
        <v>469</v>
      </c>
      <c r="B151" s="145">
        <v>46143</v>
      </c>
      <c r="C151" s="145">
        <v>46507</v>
      </c>
      <c r="D151" s="146" t="s">
        <v>11</v>
      </c>
      <c r="E151" s="146" t="s">
        <v>10</v>
      </c>
      <c r="F151" s="146" t="s">
        <v>294</v>
      </c>
      <c r="G151" s="115">
        <v>34.6</v>
      </c>
      <c r="H151" s="116"/>
      <c r="I151" s="146" t="str">
        <f t="shared" si="8"/>
        <v>Monatslohn fehlt</v>
      </c>
      <c r="J151" s="161" t="str">
        <f t="shared" si="9"/>
        <v/>
      </c>
    </row>
    <row r="152" spans="1:10" ht="24" customHeight="1">
      <c r="A152" s="153" t="s">
        <v>469</v>
      </c>
      <c r="B152" s="145">
        <v>46143</v>
      </c>
      <c r="C152" s="145">
        <v>46507</v>
      </c>
      <c r="D152" s="146" t="s">
        <v>11</v>
      </c>
      <c r="E152" s="146" t="s">
        <v>10</v>
      </c>
      <c r="F152" s="146" t="s">
        <v>294</v>
      </c>
      <c r="G152" s="115">
        <v>32.01</v>
      </c>
      <c r="H152" s="116"/>
      <c r="I152" s="146" t="str">
        <f t="shared" si="8"/>
        <v>Monatslohn fehlt</v>
      </c>
      <c r="J152" s="161" t="str">
        <f t="shared" si="9"/>
        <v/>
      </c>
    </row>
    <row r="153" spans="1:10" ht="24" customHeight="1">
      <c r="A153" s="153" t="s">
        <v>469</v>
      </c>
      <c r="B153" s="145">
        <v>46143</v>
      </c>
      <c r="C153" s="145">
        <v>46507</v>
      </c>
      <c r="D153" s="146" t="s">
        <v>11</v>
      </c>
      <c r="E153" s="146" t="s">
        <v>10</v>
      </c>
      <c r="F153" s="146" t="s">
        <v>294</v>
      </c>
      <c r="G153" s="115"/>
      <c r="H153" s="116"/>
      <c r="I153" s="146" t="str">
        <f t="shared" si="8"/>
        <v>Werte fehlen</v>
      </c>
      <c r="J153" s="161" t="str">
        <f t="shared" si="9"/>
        <v/>
      </c>
    </row>
    <row r="154" spans="1:10" ht="24" customHeight="1" thickBot="1">
      <c r="A154" s="153" t="s">
        <v>469</v>
      </c>
      <c r="B154" s="145">
        <v>46143</v>
      </c>
      <c r="C154" s="145">
        <v>46507</v>
      </c>
      <c r="D154" s="146" t="s">
        <v>11</v>
      </c>
      <c r="E154" s="146" t="s">
        <v>10</v>
      </c>
      <c r="F154" s="146" t="s">
        <v>294</v>
      </c>
      <c r="G154" s="115"/>
      <c r="H154" s="116"/>
      <c r="I154" s="146" t="str">
        <f t="shared" si="8"/>
        <v>Werte fehlen</v>
      </c>
      <c r="J154" s="161" t="str">
        <f t="shared" si="9"/>
        <v/>
      </c>
    </row>
    <row r="155" spans="1:10" ht="24" customHeight="1">
      <c r="A155" s="152" t="s">
        <v>469</v>
      </c>
      <c r="B155" s="143">
        <v>46143</v>
      </c>
      <c r="C155" s="143">
        <v>46507</v>
      </c>
      <c r="D155" s="144" t="s">
        <v>12</v>
      </c>
      <c r="E155" s="144" t="s">
        <v>10</v>
      </c>
      <c r="F155" s="144" t="s">
        <v>295</v>
      </c>
      <c r="G155" s="113">
        <v>173</v>
      </c>
      <c r="H155" s="114"/>
      <c r="I155" s="144" t="str">
        <f t="shared" si="8"/>
        <v>Monatslohn fehlt</v>
      </c>
      <c r="J155" s="160" t="str">
        <f t="shared" si="9"/>
        <v/>
      </c>
    </row>
    <row r="156" spans="1:10" ht="24" customHeight="1">
      <c r="A156" s="153" t="s">
        <v>469</v>
      </c>
      <c r="B156" s="145">
        <v>46143</v>
      </c>
      <c r="C156" s="145">
        <v>46507</v>
      </c>
      <c r="D156" s="146" t="s">
        <v>12</v>
      </c>
      <c r="E156" s="146" t="s">
        <v>10</v>
      </c>
      <c r="F156" s="146" t="s">
        <v>295</v>
      </c>
      <c r="G156" s="115">
        <v>151.38</v>
      </c>
      <c r="H156" s="116"/>
      <c r="I156" s="146" t="str">
        <f t="shared" si="8"/>
        <v>Monatslohn fehlt</v>
      </c>
      <c r="J156" s="161" t="str">
        <f t="shared" si="9"/>
        <v/>
      </c>
    </row>
    <row r="157" spans="1:10" ht="24" customHeight="1">
      <c r="A157" s="153" t="s">
        <v>469</v>
      </c>
      <c r="B157" s="145">
        <v>46143</v>
      </c>
      <c r="C157" s="145">
        <v>46507</v>
      </c>
      <c r="D157" s="146" t="s">
        <v>12</v>
      </c>
      <c r="E157" s="146" t="s">
        <v>10</v>
      </c>
      <c r="F157" s="146" t="s">
        <v>295</v>
      </c>
      <c r="G157" s="115">
        <v>138.4</v>
      </c>
      <c r="H157" s="116"/>
      <c r="I157" s="146" t="str">
        <f t="shared" si="8"/>
        <v>Monatslohn fehlt</v>
      </c>
      <c r="J157" s="161" t="str">
        <f t="shared" si="9"/>
        <v/>
      </c>
    </row>
    <row r="158" spans="1:10" ht="24" customHeight="1">
      <c r="A158" s="153" t="s">
        <v>469</v>
      </c>
      <c r="B158" s="145">
        <v>46143</v>
      </c>
      <c r="C158" s="145">
        <v>46507</v>
      </c>
      <c r="D158" s="146" t="s">
        <v>12</v>
      </c>
      <c r="E158" s="146" t="s">
        <v>10</v>
      </c>
      <c r="F158" s="146" t="s">
        <v>295</v>
      </c>
      <c r="G158" s="115">
        <v>129.75</v>
      </c>
      <c r="H158" s="116"/>
      <c r="I158" s="146" t="str">
        <f t="shared" si="8"/>
        <v>Monatslohn fehlt</v>
      </c>
      <c r="J158" s="161" t="str">
        <f t="shared" si="9"/>
        <v/>
      </c>
    </row>
    <row r="159" spans="1:10" ht="24" customHeight="1">
      <c r="A159" s="153" t="s">
        <v>469</v>
      </c>
      <c r="B159" s="145">
        <v>46143</v>
      </c>
      <c r="C159" s="145">
        <v>46507</v>
      </c>
      <c r="D159" s="146" t="s">
        <v>12</v>
      </c>
      <c r="E159" s="146" t="s">
        <v>10</v>
      </c>
      <c r="F159" s="146" t="s">
        <v>295</v>
      </c>
      <c r="G159" s="115">
        <v>108.13</v>
      </c>
      <c r="H159" s="116"/>
      <c r="I159" s="146" t="str">
        <f t="shared" si="8"/>
        <v>Monatslohn fehlt</v>
      </c>
      <c r="J159" s="161" t="str">
        <f t="shared" si="9"/>
        <v/>
      </c>
    </row>
    <row r="160" spans="1:10" ht="24" customHeight="1">
      <c r="A160" s="153" t="s">
        <v>469</v>
      </c>
      <c r="B160" s="145">
        <v>46143</v>
      </c>
      <c r="C160" s="145">
        <v>46507</v>
      </c>
      <c r="D160" s="146" t="s">
        <v>12</v>
      </c>
      <c r="E160" s="146" t="s">
        <v>10</v>
      </c>
      <c r="F160" s="146" t="s">
        <v>295</v>
      </c>
      <c r="G160" s="115">
        <v>103.8</v>
      </c>
      <c r="H160" s="116"/>
      <c r="I160" s="146" t="str">
        <f t="shared" si="8"/>
        <v>Monatslohn fehlt</v>
      </c>
      <c r="J160" s="161" t="str">
        <f t="shared" si="9"/>
        <v/>
      </c>
    </row>
    <row r="161" spans="1:10" ht="24" customHeight="1">
      <c r="A161" s="153" t="s">
        <v>469</v>
      </c>
      <c r="B161" s="145">
        <v>46143</v>
      </c>
      <c r="C161" s="145">
        <v>46507</v>
      </c>
      <c r="D161" s="146" t="s">
        <v>12</v>
      </c>
      <c r="E161" s="146" t="s">
        <v>10</v>
      </c>
      <c r="F161" s="146" t="s">
        <v>295</v>
      </c>
      <c r="G161" s="115">
        <v>86.5</v>
      </c>
      <c r="H161" s="116"/>
      <c r="I161" s="146" t="str">
        <f t="shared" si="8"/>
        <v>Monatslohn fehlt</v>
      </c>
      <c r="J161" s="161" t="str">
        <f t="shared" si="9"/>
        <v/>
      </c>
    </row>
    <row r="162" spans="1:10" ht="24" customHeight="1">
      <c r="A162" s="153" t="s">
        <v>469</v>
      </c>
      <c r="B162" s="145">
        <v>46143</v>
      </c>
      <c r="C162" s="145">
        <v>46507</v>
      </c>
      <c r="D162" s="146" t="s">
        <v>12</v>
      </c>
      <c r="E162" s="146" t="s">
        <v>10</v>
      </c>
      <c r="F162" s="146" t="s">
        <v>295</v>
      </c>
      <c r="G162" s="115">
        <v>69.2</v>
      </c>
      <c r="H162" s="116"/>
      <c r="I162" s="146" t="str">
        <f t="shared" si="8"/>
        <v>Monatslohn fehlt</v>
      </c>
      <c r="J162" s="161" t="str">
        <f t="shared" si="9"/>
        <v/>
      </c>
    </row>
    <row r="163" spans="1:10" ht="24" customHeight="1">
      <c r="A163" s="153" t="s">
        <v>469</v>
      </c>
      <c r="B163" s="145">
        <v>46143</v>
      </c>
      <c r="C163" s="145">
        <v>46507</v>
      </c>
      <c r="D163" s="146" t="s">
        <v>12</v>
      </c>
      <c r="E163" s="146" t="s">
        <v>10</v>
      </c>
      <c r="F163" s="146" t="s">
        <v>295</v>
      </c>
      <c r="G163" s="115">
        <v>51.9</v>
      </c>
      <c r="H163" s="116"/>
      <c r="I163" s="146" t="str">
        <f t="shared" si="8"/>
        <v>Monatslohn fehlt</v>
      </c>
      <c r="J163" s="161" t="str">
        <f t="shared" si="9"/>
        <v/>
      </c>
    </row>
    <row r="164" spans="1:10" ht="24" customHeight="1">
      <c r="A164" s="153" t="s">
        <v>469</v>
      </c>
      <c r="B164" s="145">
        <v>46143</v>
      </c>
      <c r="C164" s="145">
        <v>46507</v>
      </c>
      <c r="D164" s="146" t="s">
        <v>12</v>
      </c>
      <c r="E164" s="146" t="s">
        <v>10</v>
      </c>
      <c r="F164" s="146" t="s">
        <v>295</v>
      </c>
      <c r="G164" s="115">
        <v>47.58</v>
      </c>
      <c r="H164" s="116"/>
      <c r="I164" s="146" t="str">
        <f t="shared" si="8"/>
        <v>Monatslohn fehlt</v>
      </c>
      <c r="J164" s="161" t="str">
        <f t="shared" si="9"/>
        <v/>
      </c>
    </row>
    <row r="165" spans="1:10" ht="24" customHeight="1">
      <c r="A165" s="153" t="s">
        <v>469</v>
      </c>
      <c r="B165" s="145">
        <v>46143</v>
      </c>
      <c r="C165" s="145">
        <v>46507</v>
      </c>
      <c r="D165" s="146" t="s">
        <v>12</v>
      </c>
      <c r="E165" s="146" t="s">
        <v>10</v>
      </c>
      <c r="F165" s="146" t="s">
        <v>295</v>
      </c>
      <c r="G165" s="115">
        <v>43.25</v>
      </c>
      <c r="H165" s="116"/>
      <c r="I165" s="146" t="str">
        <f t="shared" ref="I165:I184" si="10">IF($A165="","",IF(OR($B165="",$C165="",$D165="",$E165="",$F165=""),"Stammdaten fehlen",IF(AND($G165="",$H165=""),"Werte fehlen",IF($G165="","Monatsstunden fehlen",IF($H165="","Monatslohn fehlt","OK")))))</f>
        <v>Monatslohn fehlt</v>
      </c>
      <c r="J165" s="161" t="str">
        <f t="shared" ref="J165:J184" si="11">IF($G165="","",IF(COUNTIFS($A:$A,$A165,$D:$D,$D165,$G:$G,$G165)&gt;1,"Doppelte Monatsstunden",""))</f>
        <v/>
      </c>
    </row>
    <row r="166" spans="1:10" ht="24" customHeight="1">
      <c r="A166" s="153" t="s">
        <v>469</v>
      </c>
      <c r="B166" s="145">
        <v>46143</v>
      </c>
      <c r="C166" s="145">
        <v>46507</v>
      </c>
      <c r="D166" s="146" t="s">
        <v>12</v>
      </c>
      <c r="E166" s="146" t="s">
        <v>10</v>
      </c>
      <c r="F166" s="146" t="s">
        <v>295</v>
      </c>
      <c r="G166" s="115">
        <v>34.6</v>
      </c>
      <c r="H166" s="116"/>
      <c r="I166" s="146" t="str">
        <f t="shared" si="10"/>
        <v>Monatslohn fehlt</v>
      </c>
      <c r="J166" s="161" t="str">
        <f t="shared" si="11"/>
        <v/>
      </c>
    </row>
    <row r="167" spans="1:10" ht="24" customHeight="1">
      <c r="A167" s="153" t="s">
        <v>469</v>
      </c>
      <c r="B167" s="145">
        <v>46143</v>
      </c>
      <c r="C167" s="145">
        <v>46507</v>
      </c>
      <c r="D167" s="146" t="s">
        <v>12</v>
      </c>
      <c r="E167" s="146" t="s">
        <v>10</v>
      </c>
      <c r="F167" s="146" t="s">
        <v>295</v>
      </c>
      <c r="G167" s="115">
        <v>32.01</v>
      </c>
      <c r="H167" s="116"/>
      <c r="I167" s="146" t="str">
        <f t="shared" si="10"/>
        <v>Monatslohn fehlt</v>
      </c>
      <c r="J167" s="161" t="str">
        <f t="shared" si="11"/>
        <v/>
      </c>
    </row>
    <row r="168" spans="1:10" ht="24" customHeight="1">
      <c r="A168" s="153" t="s">
        <v>469</v>
      </c>
      <c r="B168" s="145">
        <v>46143</v>
      </c>
      <c r="C168" s="145">
        <v>46507</v>
      </c>
      <c r="D168" s="146" t="s">
        <v>12</v>
      </c>
      <c r="E168" s="146" t="s">
        <v>10</v>
      </c>
      <c r="F168" s="146" t="s">
        <v>295</v>
      </c>
      <c r="G168" s="115"/>
      <c r="H168" s="116"/>
      <c r="I168" s="146" t="str">
        <f t="shared" si="10"/>
        <v>Werte fehlen</v>
      </c>
      <c r="J168" s="161" t="str">
        <f t="shared" si="11"/>
        <v/>
      </c>
    </row>
    <row r="169" spans="1:10" ht="24" customHeight="1" thickBot="1">
      <c r="A169" s="153" t="s">
        <v>469</v>
      </c>
      <c r="B169" s="145">
        <v>46143</v>
      </c>
      <c r="C169" s="145">
        <v>46507</v>
      </c>
      <c r="D169" s="146" t="s">
        <v>12</v>
      </c>
      <c r="E169" s="146" t="s">
        <v>10</v>
      </c>
      <c r="F169" s="146" t="s">
        <v>295</v>
      </c>
      <c r="G169" s="115"/>
      <c r="H169" s="116"/>
      <c r="I169" s="146" t="str">
        <f t="shared" si="10"/>
        <v>Werte fehlen</v>
      </c>
      <c r="J169" s="161" t="str">
        <f t="shared" si="11"/>
        <v/>
      </c>
    </row>
    <row r="170" spans="1:10" ht="24" customHeight="1">
      <c r="A170" s="152" t="s">
        <v>469</v>
      </c>
      <c r="B170" s="143">
        <v>46143</v>
      </c>
      <c r="C170" s="143">
        <v>46507</v>
      </c>
      <c r="D170" s="144" t="s">
        <v>13</v>
      </c>
      <c r="E170" s="144" t="s">
        <v>10</v>
      </c>
      <c r="F170" s="144" t="s">
        <v>296</v>
      </c>
      <c r="G170" s="113">
        <v>173</v>
      </c>
      <c r="H170" s="114"/>
      <c r="I170" s="144" t="str">
        <f t="shared" si="10"/>
        <v>Monatslohn fehlt</v>
      </c>
      <c r="J170" s="160" t="str">
        <f t="shared" si="11"/>
        <v/>
      </c>
    </row>
    <row r="171" spans="1:10" ht="24" customHeight="1">
      <c r="A171" s="153" t="s">
        <v>469</v>
      </c>
      <c r="B171" s="145">
        <v>46143</v>
      </c>
      <c r="C171" s="145">
        <v>46507</v>
      </c>
      <c r="D171" s="146" t="s">
        <v>13</v>
      </c>
      <c r="E171" s="146" t="s">
        <v>10</v>
      </c>
      <c r="F171" s="146" t="s">
        <v>296</v>
      </c>
      <c r="G171" s="115">
        <v>151.38</v>
      </c>
      <c r="H171" s="116"/>
      <c r="I171" s="146" t="str">
        <f t="shared" si="10"/>
        <v>Monatslohn fehlt</v>
      </c>
      <c r="J171" s="161" t="str">
        <f t="shared" si="11"/>
        <v/>
      </c>
    </row>
    <row r="172" spans="1:10" ht="24" customHeight="1">
      <c r="A172" s="153" t="s">
        <v>469</v>
      </c>
      <c r="B172" s="145">
        <v>46143</v>
      </c>
      <c r="C172" s="145">
        <v>46507</v>
      </c>
      <c r="D172" s="146" t="s">
        <v>13</v>
      </c>
      <c r="E172" s="146" t="s">
        <v>10</v>
      </c>
      <c r="F172" s="146" t="s">
        <v>296</v>
      </c>
      <c r="G172" s="115">
        <v>138.4</v>
      </c>
      <c r="H172" s="116"/>
      <c r="I172" s="146" t="str">
        <f t="shared" si="10"/>
        <v>Monatslohn fehlt</v>
      </c>
      <c r="J172" s="161" t="str">
        <f t="shared" si="11"/>
        <v/>
      </c>
    </row>
    <row r="173" spans="1:10" ht="24" customHeight="1">
      <c r="A173" s="153" t="s">
        <v>469</v>
      </c>
      <c r="B173" s="145">
        <v>46143</v>
      </c>
      <c r="C173" s="145">
        <v>46507</v>
      </c>
      <c r="D173" s="146" t="s">
        <v>13</v>
      </c>
      <c r="E173" s="146" t="s">
        <v>10</v>
      </c>
      <c r="F173" s="146" t="s">
        <v>296</v>
      </c>
      <c r="G173" s="115">
        <v>129.75</v>
      </c>
      <c r="H173" s="116"/>
      <c r="I173" s="146" t="str">
        <f t="shared" si="10"/>
        <v>Monatslohn fehlt</v>
      </c>
      <c r="J173" s="161" t="str">
        <f t="shared" si="11"/>
        <v/>
      </c>
    </row>
    <row r="174" spans="1:10" ht="24" customHeight="1">
      <c r="A174" s="153" t="s">
        <v>469</v>
      </c>
      <c r="B174" s="145">
        <v>46143</v>
      </c>
      <c r="C174" s="145">
        <v>46507</v>
      </c>
      <c r="D174" s="146" t="s">
        <v>13</v>
      </c>
      <c r="E174" s="146" t="s">
        <v>10</v>
      </c>
      <c r="F174" s="146" t="s">
        <v>296</v>
      </c>
      <c r="G174" s="115">
        <v>108.13</v>
      </c>
      <c r="H174" s="116"/>
      <c r="I174" s="146" t="str">
        <f t="shared" si="10"/>
        <v>Monatslohn fehlt</v>
      </c>
      <c r="J174" s="161" t="str">
        <f t="shared" si="11"/>
        <v/>
      </c>
    </row>
    <row r="175" spans="1:10" ht="24" customHeight="1">
      <c r="A175" s="153" t="s">
        <v>469</v>
      </c>
      <c r="B175" s="145">
        <v>46143</v>
      </c>
      <c r="C175" s="145">
        <v>46507</v>
      </c>
      <c r="D175" s="146" t="s">
        <v>13</v>
      </c>
      <c r="E175" s="146" t="s">
        <v>10</v>
      </c>
      <c r="F175" s="146" t="s">
        <v>296</v>
      </c>
      <c r="G175" s="115">
        <v>103.8</v>
      </c>
      <c r="H175" s="116"/>
      <c r="I175" s="146" t="str">
        <f t="shared" si="10"/>
        <v>Monatslohn fehlt</v>
      </c>
      <c r="J175" s="161" t="str">
        <f t="shared" si="11"/>
        <v/>
      </c>
    </row>
    <row r="176" spans="1:10" ht="24" customHeight="1">
      <c r="A176" s="153" t="s">
        <v>469</v>
      </c>
      <c r="B176" s="145">
        <v>46143</v>
      </c>
      <c r="C176" s="145">
        <v>46507</v>
      </c>
      <c r="D176" s="146" t="s">
        <v>13</v>
      </c>
      <c r="E176" s="146" t="s">
        <v>10</v>
      </c>
      <c r="F176" s="146" t="s">
        <v>296</v>
      </c>
      <c r="G176" s="115">
        <v>86.5</v>
      </c>
      <c r="H176" s="116"/>
      <c r="I176" s="146" t="str">
        <f t="shared" si="10"/>
        <v>Monatslohn fehlt</v>
      </c>
      <c r="J176" s="161" t="str">
        <f t="shared" si="11"/>
        <v/>
      </c>
    </row>
    <row r="177" spans="1:10" ht="24" customHeight="1">
      <c r="A177" s="153" t="s">
        <v>469</v>
      </c>
      <c r="B177" s="145">
        <v>46143</v>
      </c>
      <c r="C177" s="145">
        <v>46507</v>
      </c>
      <c r="D177" s="146" t="s">
        <v>13</v>
      </c>
      <c r="E177" s="146" t="s">
        <v>10</v>
      </c>
      <c r="F177" s="146" t="s">
        <v>296</v>
      </c>
      <c r="G177" s="115">
        <v>69.2</v>
      </c>
      <c r="H177" s="116"/>
      <c r="I177" s="146" t="str">
        <f t="shared" si="10"/>
        <v>Monatslohn fehlt</v>
      </c>
      <c r="J177" s="161" t="str">
        <f t="shared" si="11"/>
        <v/>
      </c>
    </row>
    <row r="178" spans="1:10" ht="24" customHeight="1">
      <c r="A178" s="153" t="s">
        <v>469</v>
      </c>
      <c r="B178" s="145">
        <v>46143</v>
      </c>
      <c r="C178" s="145">
        <v>46507</v>
      </c>
      <c r="D178" s="146" t="s">
        <v>13</v>
      </c>
      <c r="E178" s="146" t="s">
        <v>10</v>
      </c>
      <c r="F178" s="146" t="s">
        <v>296</v>
      </c>
      <c r="G178" s="115">
        <v>51.9</v>
      </c>
      <c r="H178" s="116"/>
      <c r="I178" s="146" t="str">
        <f t="shared" si="10"/>
        <v>Monatslohn fehlt</v>
      </c>
      <c r="J178" s="161" t="str">
        <f t="shared" si="11"/>
        <v/>
      </c>
    </row>
    <row r="179" spans="1:10" ht="24" customHeight="1">
      <c r="A179" s="153" t="s">
        <v>469</v>
      </c>
      <c r="B179" s="145">
        <v>46143</v>
      </c>
      <c r="C179" s="145">
        <v>46507</v>
      </c>
      <c r="D179" s="146" t="s">
        <v>13</v>
      </c>
      <c r="E179" s="146" t="s">
        <v>10</v>
      </c>
      <c r="F179" s="146" t="s">
        <v>296</v>
      </c>
      <c r="G179" s="115">
        <v>47.58</v>
      </c>
      <c r="H179" s="116"/>
      <c r="I179" s="146" t="str">
        <f t="shared" si="10"/>
        <v>Monatslohn fehlt</v>
      </c>
      <c r="J179" s="161" t="str">
        <f t="shared" si="11"/>
        <v/>
      </c>
    </row>
    <row r="180" spans="1:10" ht="24" customHeight="1">
      <c r="A180" s="153" t="s">
        <v>469</v>
      </c>
      <c r="B180" s="145">
        <v>46143</v>
      </c>
      <c r="C180" s="145">
        <v>46507</v>
      </c>
      <c r="D180" s="146" t="s">
        <v>13</v>
      </c>
      <c r="E180" s="146" t="s">
        <v>10</v>
      </c>
      <c r="F180" s="146" t="s">
        <v>296</v>
      </c>
      <c r="G180" s="115">
        <v>43.25</v>
      </c>
      <c r="H180" s="116"/>
      <c r="I180" s="146" t="str">
        <f t="shared" si="10"/>
        <v>Monatslohn fehlt</v>
      </c>
      <c r="J180" s="161" t="str">
        <f t="shared" si="11"/>
        <v/>
      </c>
    </row>
    <row r="181" spans="1:10" ht="24" customHeight="1">
      <c r="A181" s="153" t="s">
        <v>469</v>
      </c>
      <c r="B181" s="145">
        <v>46143</v>
      </c>
      <c r="C181" s="145">
        <v>46507</v>
      </c>
      <c r="D181" s="146" t="s">
        <v>13</v>
      </c>
      <c r="E181" s="146" t="s">
        <v>10</v>
      </c>
      <c r="F181" s="146" t="s">
        <v>296</v>
      </c>
      <c r="G181" s="115">
        <v>34.6</v>
      </c>
      <c r="H181" s="116"/>
      <c r="I181" s="146" t="str">
        <f t="shared" si="10"/>
        <v>Monatslohn fehlt</v>
      </c>
      <c r="J181" s="161" t="str">
        <f t="shared" si="11"/>
        <v/>
      </c>
    </row>
    <row r="182" spans="1:10" ht="24" customHeight="1">
      <c r="A182" s="153" t="s">
        <v>469</v>
      </c>
      <c r="B182" s="145">
        <v>46143</v>
      </c>
      <c r="C182" s="145">
        <v>46507</v>
      </c>
      <c r="D182" s="146" t="s">
        <v>13</v>
      </c>
      <c r="E182" s="146" t="s">
        <v>10</v>
      </c>
      <c r="F182" s="146" t="s">
        <v>296</v>
      </c>
      <c r="G182" s="115">
        <v>32.01</v>
      </c>
      <c r="H182" s="116"/>
      <c r="I182" s="146" t="str">
        <f t="shared" si="10"/>
        <v>Monatslohn fehlt</v>
      </c>
      <c r="J182" s="161" t="str">
        <f t="shared" si="11"/>
        <v/>
      </c>
    </row>
    <row r="183" spans="1:10" ht="24" customHeight="1">
      <c r="A183" s="153" t="s">
        <v>469</v>
      </c>
      <c r="B183" s="145">
        <v>46143</v>
      </c>
      <c r="C183" s="145">
        <v>46507</v>
      </c>
      <c r="D183" s="146" t="s">
        <v>13</v>
      </c>
      <c r="E183" s="146" t="s">
        <v>10</v>
      </c>
      <c r="F183" s="146" t="s">
        <v>296</v>
      </c>
      <c r="G183" s="115"/>
      <c r="H183" s="116"/>
      <c r="I183" s="146" t="str">
        <f t="shared" si="10"/>
        <v>Werte fehlen</v>
      </c>
      <c r="J183" s="161" t="str">
        <f t="shared" si="11"/>
        <v/>
      </c>
    </row>
    <row r="184" spans="1:10" ht="24" customHeight="1">
      <c r="A184" s="154" t="s">
        <v>469</v>
      </c>
      <c r="B184" s="139">
        <v>46143</v>
      </c>
      <c r="C184" s="139">
        <v>46507</v>
      </c>
      <c r="D184" s="140" t="s">
        <v>13</v>
      </c>
      <c r="E184" s="140" t="s">
        <v>10</v>
      </c>
      <c r="F184" s="140" t="s">
        <v>296</v>
      </c>
      <c r="G184" s="141"/>
      <c r="H184" s="142"/>
      <c r="I184" s="140" t="str">
        <f t="shared" si="10"/>
        <v>Werte fehlen</v>
      </c>
      <c r="J184" s="162" t="str">
        <f t="shared" si="11"/>
        <v/>
      </c>
    </row>
    <row r="185" spans="1:10" ht="24" customHeight="1" thickBot="1">
      <c r="A185" s="317" t="s">
        <v>346</v>
      </c>
      <c r="B185" s="318"/>
      <c r="C185" s="318"/>
      <c r="D185" s="319"/>
      <c r="E185" s="319"/>
      <c r="F185" s="319"/>
      <c r="G185" s="320"/>
      <c r="H185" s="321"/>
      <c r="I185" s="319"/>
      <c r="J185" s="322"/>
    </row>
    <row r="186" spans="1:10" ht="24" customHeight="1">
      <c r="A186" s="147" t="s">
        <v>305</v>
      </c>
      <c r="B186" s="129">
        <v>45778</v>
      </c>
      <c r="C186" s="129">
        <v>46142</v>
      </c>
      <c r="D186" s="130" t="s">
        <v>302</v>
      </c>
      <c r="E186" s="130" t="s">
        <v>2</v>
      </c>
      <c r="F186" s="130" t="s">
        <v>293</v>
      </c>
      <c r="G186" s="103">
        <v>173</v>
      </c>
      <c r="H186" s="104">
        <v>2021</v>
      </c>
      <c r="I186" s="130" t="str">
        <f t="shared" ref="I186:I217" si="12">IF($A186="","",IF(OR($B186="",$C186="",$D186="",$E186="",$F186=""),"Stammdaten fehlen",IF(AND($G186="",$H186=""),"Werte fehlen",IF($G186="","Monatsstunden fehlen",IF($H186="","Monatslohn fehlt","OK")))))</f>
        <v>OK</v>
      </c>
      <c r="J186" s="155" t="str">
        <f t="shared" ref="J186:J217" si="13">IF($G186="","",IF(COUNTIFS($A:$A,$A186,$D:$D,$D186,$G:$G,$G186)&gt;1,"Doppelte Monatsstunden",""))</f>
        <v/>
      </c>
    </row>
    <row r="187" spans="1:10" ht="24" customHeight="1">
      <c r="A187" s="148" t="s">
        <v>305</v>
      </c>
      <c r="B187" s="131">
        <v>45778</v>
      </c>
      <c r="C187" s="131">
        <v>46142</v>
      </c>
      <c r="D187" s="132" t="s">
        <v>302</v>
      </c>
      <c r="E187" s="132" t="s">
        <v>2</v>
      </c>
      <c r="F187" s="132" t="s">
        <v>293</v>
      </c>
      <c r="G187" s="105">
        <v>151.38</v>
      </c>
      <c r="H187" s="106">
        <v>1768.38</v>
      </c>
      <c r="I187" s="132" t="str">
        <f t="shared" si="12"/>
        <v>OK</v>
      </c>
      <c r="J187" s="156" t="str">
        <f t="shared" si="13"/>
        <v/>
      </c>
    </row>
    <row r="188" spans="1:10" ht="24" customHeight="1">
      <c r="A188" s="148" t="s">
        <v>305</v>
      </c>
      <c r="B188" s="131">
        <v>45778</v>
      </c>
      <c r="C188" s="131">
        <v>46142</v>
      </c>
      <c r="D188" s="132" t="s">
        <v>302</v>
      </c>
      <c r="E188" s="132" t="s">
        <v>2</v>
      </c>
      <c r="F188" s="132" t="s">
        <v>293</v>
      </c>
      <c r="G188" s="105">
        <v>138.4</v>
      </c>
      <c r="H188" s="106">
        <v>1616.8</v>
      </c>
      <c r="I188" s="132" t="str">
        <f t="shared" si="12"/>
        <v>OK</v>
      </c>
      <c r="J188" s="156" t="str">
        <f t="shared" si="13"/>
        <v/>
      </c>
    </row>
    <row r="189" spans="1:10" ht="24" customHeight="1">
      <c r="A189" s="148" t="s">
        <v>305</v>
      </c>
      <c r="B189" s="131">
        <v>45778</v>
      </c>
      <c r="C189" s="131">
        <v>46142</v>
      </c>
      <c r="D189" s="132" t="s">
        <v>302</v>
      </c>
      <c r="E189" s="132" t="s">
        <v>2</v>
      </c>
      <c r="F189" s="132" t="s">
        <v>293</v>
      </c>
      <c r="G189" s="105">
        <v>129.75</v>
      </c>
      <c r="H189" s="106">
        <v>1515.75</v>
      </c>
      <c r="I189" s="132" t="str">
        <f t="shared" si="12"/>
        <v>OK</v>
      </c>
      <c r="J189" s="156" t="str">
        <f t="shared" si="13"/>
        <v/>
      </c>
    </row>
    <row r="190" spans="1:10" ht="24" customHeight="1">
      <c r="A190" s="148" t="s">
        <v>305</v>
      </c>
      <c r="B190" s="131">
        <v>45778</v>
      </c>
      <c r="C190" s="131">
        <v>46142</v>
      </c>
      <c r="D190" s="132" t="s">
        <v>302</v>
      </c>
      <c r="E190" s="132" t="s">
        <v>2</v>
      </c>
      <c r="F190" s="132" t="s">
        <v>293</v>
      </c>
      <c r="G190" s="105">
        <v>108.13</v>
      </c>
      <c r="H190" s="106">
        <v>1263.1300000000001</v>
      </c>
      <c r="I190" s="132" t="str">
        <f t="shared" si="12"/>
        <v>OK</v>
      </c>
      <c r="J190" s="156" t="str">
        <f t="shared" si="13"/>
        <v/>
      </c>
    </row>
    <row r="191" spans="1:10" ht="24" customHeight="1">
      <c r="A191" s="148" t="s">
        <v>305</v>
      </c>
      <c r="B191" s="131">
        <v>45778</v>
      </c>
      <c r="C191" s="131">
        <v>46142</v>
      </c>
      <c r="D191" s="132" t="s">
        <v>302</v>
      </c>
      <c r="E191" s="132" t="s">
        <v>2</v>
      </c>
      <c r="F191" s="132" t="s">
        <v>293</v>
      </c>
      <c r="G191" s="105">
        <v>103.8</v>
      </c>
      <c r="H191" s="106">
        <v>1212.5999999999999</v>
      </c>
      <c r="I191" s="132" t="str">
        <f t="shared" si="12"/>
        <v>OK</v>
      </c>
      <c r="J191" s="156" t="str">
        <f t="shared" si="13"/>
        <v/>
      </c>
    </row>
    <row r="192" spans="1:10" ht="24" customHeight="1">
      <c r="A192" s="148" t="s">
        <v>305</v>
      </c>
      <c r="B192" s="131">
        <v>45778</v>
      </c>
      <c r="C192" s="131">
        <v>46142</v>
      </c>
      <c r="D192" s="132" t="s">
        <v>302</v>
      </c>
      <c r="E192" s="132" t="s">
        <v>2</v>
      </c>
      <c r="F192" s="132" t="s">
        <v>293</v>
      </c>
      <c r="G192" s="105">
        <v>86.5</v>
      </c>
      <c r="H192" s="106">
        <v>1010.5</v>
      </c>
      <c r="I192" s="132" t="str">
        <f t="shared" si="12"/>
        <v>OK</v>
      </c>
      <c r="J192" s="156" t="str">
        <f t="shared" si="13"/>
        <v/>
      </c>
    </row>
    <row r="193" spans="1:10" ht="24" customHeight="1">
      <c r="A193" s="148" t="s">
        <v>305</v>
      </c>
      <c r="B193" s="131">
        <v>45778</v>
      </c>
      <c r="C193" s="131">
        <v>46142</v>
      </c>
      <c r="D193" s="132" t="s">
        <v>302</v>
      </c>
      <c r="E193" s="132" t="s">
        <v>2</v>
      </c>
      <c r="F193" s="132" t="s">
        <v>293</v>
      </c>
      <c r="G193" s="105">
        <v>69.2</v>
      </c>
      <c r="H193" s="106">
        <v>808.4</v>
      </c>
      <c r="I193" s="132" t="str">
        <f t="shared" si="12"/>
        <v>OK</v>
      </c>
      <c r="J193" s="156" t="str">
        <f t="shared" si="13"/>
        <v/>
      </c>
    </row>
    <row r="194" spans="1:10" ht="24" customHeight="1">
      <c r="A194" s="148" t="s">
        <v>305</v>
      </c>
      <c r="B194" s="131">
        <v>45778</v>
      </c>
      <c r="C194" s="131">
        <v>46142</v>
      </c>
      <c r="D194" s="132" t="s">
        <v>302</v>
      </c>
      <c r="E194" s="132" t="s">
        <v>2</v>
      </c>
      <c r="F194" s="132" t="s">
        <v>293</v>
      </c>
      <c r="G194" s="105">
        <v>64</v>
      </c>
      <c r="H194" s="106">
        <v>1000</v>
      </c>
      <c r="I194" s="132" t="str">
        <f t="shared" si="12"/>
        <v>OK</v>
      </c>
      <c r="J194" s="156" t="str">
        <f t="shared" si="13"/>
        <v/>
      </c>
    </row>
    <row r="195" spans="1:10" ht="24" customHeight="1">
      <c r="A195" s="148" t="s">
        <v>305</v>
      </c>
      <c r="B195" s="131">
        <v>45778</v>
      </c>
      <c r="C195" s="131">
        <v>46142</v>
      </c>
      <c r="D195" s="132" t="s">
        <v>302</v>
      </c>
      <c r="E195" s="132" t="s">
        <v>2</v>
      </c>
      <c r="F195" s="132" t="s">
        <v>293</v>
      </c>
      <c r="G195" s="105">
        <v>51.9</v>
      </c>
      <c r="H195" s="106">
        <v>606.29999999999995</v>
      </c>
      <c r="I195" s="132" t="str">
        <f t="shared" si="12"/>
        <v>OK</v>
      </c>
      <c r="J195" s="156" t="str">
        <f t="shared" si="13"/>
        <v/>
      </c>
    </row>
    <row r="196" spans="1:10" ht="24" customHeight="1">
      <c r="A196" s="148" t="s">
        <v>305</v>
      </c>
      <c r="B196" s="131">
        <v>45778</v>
      </c>
      <c r="C196" s="131">
        <v>46142</v>
      </c>
      <c r="D196" s="132" t="s">
        <v>302</v>
      </c>
      <c r="E196" s="132" t="s">
        <v>2</v>
      </c>
      <c r="F196" s="132" t="s">
        <v>293</v>
      </c>
      <c r="G196" s="105">
        <v>47.58</v>
      </c>
      <c r="H196" s="106">
        <v>555.78</v>
      </c>
      <c r="I196" s="132" t="str">
        <f t="shared" si="12"/>
        <v>OK</v>
      </c>
      <c r="J196" s="156" t="str">
        <f t="shared" si="13"/>
        <v/>
      </c>
    </row>
    <row r="197" spans="1:10" ht="24" customHeight="1">
      <c r="A197" s="148" t="s">
        <v>305</v>
      </c>
      <c r="B197" s="131">
        <v>45778</v>
      </c>
      <c r="C197" s="131">
        <v>46142</v>
      </c>
      <c r="D197" s="132" t="s">
        <v>302</v>
      </c>
      <c r="E197" s="132" t="s">
        <v>2</v>
      </c>
      <c r="F197" s="132" t="s">
        <v>293</v>
      </c>
      <c r="G197" s="105">
        <v>43.25</v>
      </c>
      <c r="H197" s="106">
        <v>505.25</v>
      </c>
      <c r="I197" s="132" t="str">
        <f t="shared" si="12"/>
        <v>OK</v>
      </c>
      <c r="J197" s="156" t="str">
        <f t="shared" si="13"/>
        <v/>
      </c>
    </row>
    <row r="198" spans="1:10" ht="24" customHeight="1">
      <c r="A198" s="148" t="s">
        <v>305</v>
      </c>
      <c r="B198" s="131">
        <v>45778</v>
      </c>
      <c r="C198" s="131">
        <v>46142</v>
      </c>
      <c r="D198" s="132" t="s">
        <v>302</v>
      </c>
      <c r="E198" s="132" t="s">
        <v>2</v>
      </c>
      <c r="F198" s="132" t="s">
        <v>293</v>
      </c>
      <c r="G198" s="105">
        <v>34.6</v>
      </c>
      <c r="H198" s="106">
        <v>404.2</v>
      </c>
      <c r="I198" s="132" t="str">
        <f t="shared" si="12"/>
        <v>OK</v>
      </c>
      <c r="J198" s="156" t="str">
        <f t="shared" si="13"/>
        <v/>
      </c>
    </row>
    <row r="199" spans="1:10" ht="24" customHeight="1">
      <c r="A199" s="148" t="s">
        <v>305</v>
      </c>
      <c r="B199" s="131">
        <v>45778</v>
      </c>
      <c r="C199" s="131">
        <v>46142</v>
      </c>
      <c r="D199" s="132" t="s">
        <v>302</v>
      </c>
      <c r="E199" s="132" t="s">
        <v>2</v>
      </c>
      <c r="F199" s="132" t="s">
        <v>293</v>
      </c>
      <c r="G199" s="105">
        <v>32.01</v>
      </c>
      <c r="H199" s="106">
        <v>373.89</v>
      </c>
      <c r="I199" s="132" t="str">
        <f t="shared" si="12"/>
        <v>OK</v>
      </c>
      <c r="J199" s="156" t="str">
        <f t="shared" si="13"/>
        <v/>
      </c>
    </row>
    <row r="200" spans="1:10" ht="24" customHeight="1" thickBot="1">
      <c r="A200" s="148" t="s">
        <v>305</v>
      </c>
      <c r="B200" s="131">
        <v>45778</v>
      </c>
      <c r="C200" s="131">
        <v>46142</v>
      </c>
      <c r="D200" s="132" t="s">
        <v>302</v>
      </c>
      <c r="E200" s="132" t="s">
        <v>2</v>
      </c>
      <c r="F200" s="132" t="s">
        <v>293</v>
      </c>
      <c r="G200" s="105">
        <v>10</v>
      </c>
      <c r="H200" s="106">
        <v>60</v>
      </c>
      <c r="I200" s="132" t="str">
        <f t="shared" si="12"/>
        <v>OK</v>
      </c>
      <c r="J200" s="156" t="str">
        <f t="shared" si="13"/>
        <v/>
      </c>
    </row>
    <row r="201" spans="1:10" ht="24" customHeight="1">
      <c r="A201" s="149" t="s">
        <v>305</v>
      </c>
      <c r="B201" s="133">
        <v>45778</v>
      </c>
      <c r="C201" s="133">
        <v>46142</v>
      </c>
      <c r="D201" s="134" t="s">
        <v>3</v>
      </c>
      <c r="E201" s="134" t="s">
        <v>2</v>
      </c>
      <c r="F201" s="134" t="s">
        <v>294</v>
      </c>
      <c r="G201" s="107">
        <v>173</v>
      </c>
      <c r="H201" s="108">
        <v>2082</v>
      </c>
      <c r="I201" s="134" t="str">
        <f t="shared" si="12"/>
        <v>OK</v>
      </c>
      <c r="J201" s="157" t="str">
        <f t="shared" si="13"/>
        <v/>
      </c>
    </row>
    <row r="202" spans="1:10" ht="24" customHeight="1">
      <c r="A202" s="148" t="s">
        <v>305</v>
      </c>
      <c r="B202" s="131">
        <v>45778</v>
      </c>
      <c r="C202" s="131">
        <v>46142</v>
      </c>
      <c r="D202" s="132" t="s">
        <v>3</v>
      </c>
      <c r="E202" s="132" t="s">
        <v>2</v>
      </c>
      <c r="F202" s="132" t="s">
        <v>294</v>
      </c>
      <c r="G202" s="105">
        <v>151.38</v>
      </c>
      <c r="H202" s="106">
        <v>1821.75</v>
      </c>
      <c r="I202" s="132" t="str">
        <f t="shared" si="12"/>
        <v>OK</v>
      </c>
      <c r="J202" s="156" t="str">
        <f t="shared" si="13"/>
        <v/>
      </c>
    </row>
    <row r="203" spans="1:10" ht="24" customHeight="1">
      <c r="A203" s="148" t="s">
        <v>305</v>
      </c>
      <c r="B203" s="131">
        <v>45778</v>
      </c>
      <c r="C203" s="131">
        <v>46142</v>
      </c>
      <c r="D203" s="132" t="s">
        <v>3</v>
      </c>
      <c r="E203" s="132" t="s">
        <v>2</v>
      </c>
      <c r="F203" s="132" t="s">
        <v>294</v>
      </c>
      <c r="G203" s="105">
        <v>138.4</v>
      </c>
      <c r="H203" s="106">
        <v>1665.6</v>
      </c>
      <c r="I203" s="132" t="str">
        <f t="shared" si="12"/>
        <v>OK</v>
      </c>
      <c r="J203" s="156" t="str">
        <f t="shared" si="13"/>
        <v/>
      </c>
    </row>
    <row r="204" spans="1:10" ht="24" customHeight="1">
      <c r="A204" s="148" t="s">
        <v>305</v>
      </c>
      <c r="B204" s="131">
        <v>45778</v>
      </c>
      <c r="C204" s="131">
        <v>46142</v>
      </c>
      <c r="D204" s="132" t="s">
        <v>3</v>
      </c>
      <c r="E204" s="132" t="s">
        <v>2</v>
      </c>
      <c r="F204" s="132" t="s">
        <v>294</v>
      </c>
      <c r="G204" s="105">
        <v>129.75</v>
      </c>
      <c r="H204" s="106">
        <v>1561.5</v>
      </c>
      <c r="I204" s="132" t="str">
        <f t="shared" si="12"/>
        <v>OK</v>
      </c>
      <c r="J204" s="156" t="str">
        <f t="shared" si="13"/>
        <v/>
      </c>
    </row>
    <row r="205" spans="1:10" ht="24" customHeight="1">
      <c r="A205" s="148" t="s">
        <v>305</v>
      </c>
      <c r="B205" s="131">
        <v>45778</v>
      </c>
      <c r="C205" s="131">
        <v>46142</v>
      </c>
      <c r="D205" s="132" t="s">
        <v>3</v>
      </c>
      <c r="E205" s="132" t="s">
        <v>2</v>
      </c>
      <c r="F205" s="132" t="s">
        <v>294</v>
      </c>
      <c r="G205" s="105">
        <v>108.13</v>
      </c>
      <c r="H205" s="106">
        <v>1301.25</v>
      </c>
      <c r="I205" s="132" t="str">
        <f t="shared" si="12"/>
        <v>OK</v>
      </c>
      <c r="J205" s="156" t="str">
        <f t="shared" si="13"/>
        <v/>
      </c>
    </row>
    <row r="206" spans="1:10" ht="24" customHeight="1">
      <c r="A206" s="148" t="s">
        <v>305</v>
      </c>
      <c r="B206" s="131">
        <v>45778</v>
      </c>
      <c r="C206" s="131">
        <v>46142</v>
      </c>
      <c r="D206" s="132" t="s">
        <v>3</v>
      </c>
      <c r="E206" s="132" t="s">
        <v>2</v>
      </c>
      <c r="F206" s="132" t="s">
        <v>294</v>
      </c>
      <c r="G206" s="105">
        <v>103.8</v>
      </c>
      <c r="H206" s="106">
        <v>1249.2</v>
      </c>
      <c r="I206" s="132" t="str">
        <f t="shared" si="12"/>
        <v>OK</v>
      </c>
      <c r="J206" s="156" t="str">
        <f t="shared" si="13"/>
        <v/>
      </c>
    </row>
    <row r="207" spans="1:10" ht="24" customHeight="1">
      <c r="A207" s="148" t="s">
        <v>305</v>
      </c>
      <c r="B207" s="131">
        <v>45778</v>
      </c>
      <c r="C207" s="131">
        <v>46142</v>
      </c>
      <c r="D207" s="132" t="s">
        <v>3</v>
      </c>
      <c r="E207" s="132" t="s">
        <v>2</v>
      </c>
      <c r="F207" s="132" t="s">
        <v>294</v>
      </c>
      <c r="G207" s="105">
        <v>100</v>
      </c>
      <c r="H207" s="106">
        <v>2000</v>
      </c>
      <c r="I207" s="132" t="str">
        <f t="shared" si="12"/>
        <v>OK</v>
      </c>
      <c r="J207" s="156" t="str">
        <f t="shared" si="13"/>
        <v/>
      </c>
    </row>
    <row r="208" spans="1:10" ht="24" customHeight="1">
      <c r="A208" s="148" t="s">
        <v>305</v>
      </c>
      <c r="B208" s="131">
        <v>45778</v>
      </c>
      <c r="C208" s="131">
        <v>46142</v>
      </c>
      <c r="D208" s="132" t="s">
        <v>3</v>
      </c>
      <c r="E208" s="132" t="s">
        <v>2</v>
      </c>
      <c r="F208" s="132" t="s">
        <v>294</v>
      </c>
      <c r="G208" s="105">
        <v>86.5</v>
      </c>
      <c r="H208" s="106">
        <v>1041.2</v>
      </c>
      <c r="I208" s="132" t="str">
        <f t="shared" si="12"/>
        <v>OK</v>
      </c>
      <c r="J208" s="156" t="str">
        <f t="shared" si="13"/>
        <v/>
      </c>
    </row>
    <row r="209" spans="1:10" ht="24" customHeight="1">
      <c r="A209" s="148" t="s">
        <v>305</v>
      </c>
      <c r="B209" s="131">
        <v>45778</v>
      </c>
      <c r="C209" s="131">
        <v>46142</v>
      </c>
      <c r="D209" s="132" t="s">
        <v>3</v>
      </c>
      <c r="E209" s="132" t="s">
        <v>2</v>
      </c>
      <c r="F209" s="132" t="s">
        <v>294</v>
      </c>
      <c r="G209" s="105">
        <v>69.2</v>
      </c>
      <c r="H209" s="106">
        <v>832.8</v>
      </c>
      <c r="I209" s="132" t="str">
        <f t="shared" si="12"/>
        <v>OK</v>
      </c>
      <c r="J209" s="156" t="str">
        <f t="shared" si="13"/>
        <v/>
      </c>
    </row>
    <row r="210" spans="1:10" ht="24" customHeight="1">
      <c r="A210" s="148" t="s">
        <v>305</v>
      </c>
      <c r="B210" s="131">
        <v>45778</v>
      </c>
      <c r="C210" s="131">
        <v>46142</v>
      </c>
      <c r="D210" s="132" t="s">
        <v>3</v>
      </c>
      <c r="E210" s="132" t="s">
        <v>2</v>
      </c>
      <c r="F210" s="132" t="s">
        <v>294</v>
      </c>
      <c r="G210" s="105">
        <v>51.9</v>
      </c>
      <c r="H210" s="106">
        <v>624.6</v>
      </c>
      <c r="I210" s="132" t="str">
        <f t="shared" si="12"/>
        <v>OK</v>
      </c>
      <c r="J210" s="156" t="str">
        <f t="shared" si="13"/>
        <v/>
      </c>
    </row>
    <row r="211" spans="1:10" ht="24" customHeight="1">
      <c r="A211" s="148" t="s">
        <v>305</v>
      </c>
      <c r="B211" s="131">
        <v>45778</v>
      </c>
      <c r="C211" s="131">
        <v>46142</v>
      </c>
      <c r="D211" s="132" t="s">
        <v>3</v>
      </c>
      <c r="E211" s="132" t="s">
        <v>2</v>
      </c>
      <c r="F211" s="132" t="s">
        <v>294</v>
      </c>
      <c r="G211" s="105">
        <v>47.58</v>
      </c>
      <c r="H211" s="106">
        <v>575.54999999999995</v>
      </c>
      <c r="I211" s="132" t="str">
        <f t="shared" si="12"/>
        <v>OK</v>
      </c>
      <c r="J211" s="156" t="str">
        <f t="shared" si="13"/>
        <v/>
      </c>
    </row>
    <row r="212" spans="1:10" ht="24" customHeight="1">
      <c r="A212" s="148" t="s">
        <v>305</v>
      </c>
      <c r="B212" s="131">
        <v>45778</v>
      </c>
      <c r="C212" s="131">
        <v>46142</v>
      </c>
      <c r="D212" s="132" t="s">
        <v>3</v>
      </c>
      <c r="E212" s="132" t="s">
        <v>2</v>
      </c>
      <c r="F212" s="132" t="s">
        <v>294</v>
      </c>
      <c r="G212" s="105">
        <v>43.25</v>
      </c>
      <c r="H212" s="106">
        <v>520.5</v>
      </c>
      <c r="I212" s="132" t="str">
        <f t="shared" si="12"/>
        <v>OK</v>
      </c>
      <c r="J212" s="156" t="str">
        <f t="shared" si="13"/>
        <v/>
      </c>
    </row>
    <row r="213" spans="1:10" ht="24" customHeight="1">
      <c r="A213" s="148" t="s">
        <v>305</v>
      </c>
      <c r="B213" s="131">
        <v>45778</v>
      </c>
      <c r="C213" s="131">
        <v>46142</v>
      </c>
      <c r="D213" s="132" t="s">
        <v>3</v>
      </c>
      <c r="E213" s="132" t="s">
        <v>2</v>
      </c>
      <c r="F213" s="132" t="s">
        <v>294</v>
      </c>
      <c r="G213" s="105">
        <v>34.6</v>
      </c>
      <c r="H213" s="106">
        <v>416.4</v>
      </c>
      <c r="I213" s="132" t="str">
        <f t="shared" si="12"/>
        <v>OK</v>
      </c>
      <c r="J213" s="156" t="str">
        <f t="shared" si="13"/>
        <v/>
      </c>
    </row>
    <row r="214" spans="1:10" ht="24" customHeight="1" thickBot="1">
      <c r="A214" s="148" t="s">
        <v>305</v>
      </c>
      <c r="B214" s="131">
        <v>45778</v>
      </c>
      <c r="C214" s="131">
        <v>46142</v>
      </c>
      <c r="D214" s="132" t="s">
        <v>3</v>
      </c>
      <c r="E214" s="132" t="s">
        <v>2</v>
      </c>
      <c r="F214" s="132" t="s">
        <v>294</v>
      </c>
      <c r="G214" s="105">
        <v>32.01</v>
      </c>
      <c r="H214" s="106">
        <v>385.17</v>
      </c>
      <c r="I214" s="132" t="str">
        <f t="shared" si="12"/>
        <v>OK</v>
      </c>
      <c r="J214" s="156" t="str">
        <f t="shared" si="13"/>
        <v/>
      </c>
    </row>
    <row r="215" spans="1:10" ht="24" customHeight="1">
      <c r="A215" s="149" t="s">
        <v>305</v>
      </c>
      <c r="B215" s="133">
        <v>45778</v>
      </c>
      <c r="C215" s="133">
        <v>46142</v>
      </c>
      <c r="D215" s="134" t="s">
        <v>4</v>
      </c>
      <c r="E215" s="134" t="s">
        <v>2</v>
      </c>
      <c r="F215" s="134" t="s">
        <v>295</v>
      </c>
      <c r="G215" s="107">
        <v>173</v>
      </c>
      <c r="H215" s="108">
        <v>2123</v>
      </c>
      <c r="I215" s="134" t="str">
        <f t="shared" si="12"/>
        <v>OK</v>
      </c>
      <c r="J215" s="157" t="str">
        <f t="shared" si="13"/>
        <v/>
      </c>
    </row>
    <row r="216" spans="1:10" ht="24" customHeight="1">
      <c r="A216" s="148" t="s">
        <v>305</v>
      </c>
      <c r="B216" s="131">
        <v>45778</v>
      </c>
      <c r="C216" s="131">
        <v>46142</v>
      </c>
      <c r="D216" s="132" t="s">
        <v>4</v>
      </c>
      <c r="E216" s="132" t="s">
        <v>2</v>
      </c>
      <c r="F216" s="132" t="s">
        <v>295</v>
      </c>
      <c r="G216" s="105">
        <v>151.38</v>
      </c>
      <c r="H216" s="106">
        <v>1857.63</v>
      </c>
      <c r="I216" s="132" t="str">
        <f t="shared" si="12"/>
        <v>OK</v>
      </c>
      <c r="J216" s="156" t="str">
        <f t="shared" si="13"/>
        <v/>
      </c>
    </row>
    <row r="217" spans="1:10" ht="24" customHeight="1">
      <c r="A217" s="148" t="s">
        <v>305</v>
      </c>
      <c r="B217" s="131">
        <v>45778</v>
      </c>
      <c r="C217" s="131">
        <v>46142</v>
      </c>
      <c r="D217" s="132" t="s">
        <v>4</v>
      </c>
      <c r="E217" s="132" t="s">
        <v>2</v>
      </c>
      <c r="F217" s="132" t="s">
        <v>295</v>
      </c>
      <c r="G217" s="105">
        <v>138.4</v>
      </c>
      <c r="H217" s="106">
        <v>1698.4</v>
      </c>
      <c r="I217" s="132" t="str">
        <f t="shared" si="12"/>
        <v>OK</v>
      </c>
      <c r="J217" s="156" t="str">
        <f t="shared" si="13"/>
        <v/>
      </c>
    </row>
    <row r="218" spans="1:10" ht="24" customHeight="1">
      <c r="A218" s="148" t="s">
        <v>305</v>
      </c>
      <c r="B218" s="131">
        <v>45778</v>
      </c>
      <c r="C218" s="131">
        <v>46142</v>
      </c>
      <c r="D218" s="132" t="s">
        <v>4</v>
      </c>
      <c r="E218" s="132" t="s">
        <v>2</v>
      </c>
      <c r="F218" s="132" t="s">
        <v>295</v>
      </c>
      <c r="G218" s="105">
        <v>129.75</v>
      </c>
      <c r="H218" s="106">
        <v>1592.25</v>
      </c>
      <c r="I218" s="132" t="str">
        <f t="shared" ref="I218:I249" si="14">IF($A218="","",IF(OR($B218="",$C218="",$D218="",$E218="",$F218=""),"Stammdaten fehlen",IF(AND($G218="",$H218=""),"Werte fehlen",IF($G218="","Monatsstunden fehlen",IF($H218="","Monatslohn fehlt","OK")))))</f>
        <v>OK</v>
      </c>
      <c r="J218" s="156" t="str">
        <f t="shared" ref="J218:J249" si="15">IF($G218="","",IF(COUNTIFS($A:$A,$A218,$D:$D,$D218,$G:$G,$G218)&gt;1,"Doppelte Monatsstunden",""))</f>
        <v/>
      </c>
    </row>
    <row r="219" spans="1:10" ht="24" customHeight="1">
      <c r="A219" s="148" t="s">
        <v>305</v>
      </c>
      <c r="B219" s="131">
        <v>45778</v>
      </c>
      <c r="C219" s="131">
        <v>46142</v>
      </c>
      <c r="D219" s="132" t="s">
        <v>4</v>
      </c>
      <c r="E219" s="132" t="s">
        <v>2</v>
      </c>
      <c r="F219" s="132" t="s">
        <v>295</v>
      </c>
      <c r="G219" s="105">
        <v>108.13</v>
      </c>
      <c r="H219" s="106">
        <v>1326.88</v>
      </c>
      <c r="I219" s="132" t="str">
        <f t="shared" si="14"/>
        <v>OK</v>
      </c>
      <c r="J219" s="156" t="str">
        <f t="shared" si="15"/>
        <v/>
      </c>
    </row>
    <row r="220" spans="1:10" ht="24" customHeight="1">
      <c r="A220" s="148" t="s">
        <v>305</v>
      </c>
      <c r="B220" s="131">
        <v>45778</v>
      </c>
      <c r="C220" s="131">
        <v>46142</v>
      </c>
      <c r="D220" s="132" t="s">
        <v>4</v>
      </c>
      <c r="E220" s="132" t="s">
        <v>2</v>
      </c>
      <c r="F220" s="132" t="s">
        <v>295</v>
      </c>
      <c r="G220" s="105">
        <v>103.8</v>
      </c>
      <c r="H220" s="106">
        <v>1273.8</v>
      </c>
      <c r="I220" s="132" t="str">
        <f t="shared" si="14"/>
        <v>OK</v>
      </c>
      <c r="J220" s="156" t="str">
        <f t="shared" si="15"/>
        <v/>
      </c>
    </row>
    <row r="221" spans="1:10" ht="24" customHeight="1">
      <c r="A221" s="148" t="s">
        <v>305</v>
      </c>
      <c r="B221" s="131">
        <v>45778</v>
      </c>
      <c r="C221" s="131">
        <v>46142</v>
      </c>
      <c r="D221" s="132" t="s">
        <v>4</v>
      </c>
      <c r="E221" s="132" t="s">
        <v>2</v>
      </c>
      <c r="F221" s="132" t="s">
        <v>295</v>
      </c>
      <c r="G221" s="105">
        <v>86.5</v>
      </c>
      <c r="H221" s="106">
        <v>1061.5</v>
      </c>
      <c r="I221" s="132" t="str">
        <f t="shared" si="14"/>
        <v>OK</v>
      </c>
      <c r="J221" s="156" t="str">
        <f t="shared" si="15"/>
        <v/>
      </c>
    </row>
    <row r="222" spans="1:10" ht="24" customHeight="1">
      <c r="A222" s="148" t="s">
        <v>305</v>
      </c>
      <c r="B222" s="131">
        <v>45778</v>
      </c>
      <c r="C222" s="131">
        <v>46142</v>
      </c>
      <c r="D222" s="132" t="s">
        <v>4</v>
      </c>
      <c r="E222" s="132" t="s">
        <v>2</v>
      </c>
      <c r="F222" s="132" t="s">
        <v>295</v>
      </c>
      <c r="G222" s="105">
        <v>69.2</v>
      </c>
      <c r="H222" s="106">
        <v>849.2</v>
      </c>
      <c r="I222" s="132" t="str">
        <f t="shared" si="14"/>
        <v>OK</v>
      </c>
      <c r="J222" s="156" t="str">
        <f t="shared" si="15"/>
        <v/>
      </c>
    </row>
    <row r="223" spans="1:10" ht="24" customHeight="1">
      <c r="A223" s="148" t="s">
        <v>305</v>
      </c>
      <c r="B223" s="131">
        <v>45778</v>
      </c>
      <c r="C223" s="131">
        <v>46142</v>
      </c>
      <c r="D223" s="132" t="s">
        <v>4</v>
      </c>
      <c r="E223" s="132" t="s">
        <v>2</v>
      </c>
      <c r="F223" s="132" t="s">
        <v>295</v>
      </c>
      <c r="G223" s="105">
        <v>51.9</v>
      </c>
      <c r="H223" s="106">
        <v>636.9</v>
      </c>
      <c r="I223" s="132" t="str">
        <f t="shared" si="14"/>
        <v>OK</v>
      </c>
      <c r="J223" s="156" t="str">
        <f t="shared" si="15"/>
        <v/>
      </c>
    </row>
    <row r="224" spans="1:10" ht="24" customHeight="1">
      <c r="A224" s="148" t="s">
        <v>305</v>
      </c>
      <c r="B224" s="131">
        <v>45778</v>
      </c>
      <c r="C224" s="131">
        <v>46142</v>
      </c>
      <c r="D224" s="132" t="s">
        <v>4</v>
      </c>
      <c r="E224" s="132" t="s">
        <v>2</v>
      </c>
      <c r="F224" s="132" t="s">
        <v>295</v>
      </c>
      <c r="G224" s="105">
        <v>47.58</v>
      </c>
      <c r="H224" s="106">
        <v>583.83000000000004</v>
      </c>
      <c r="I224" s="132" t="str">
        <f t="shared" si="14"/>
        <v>OK</v>
      </c>
      <c r="J224" s="156" t="str">
        <f t="shared" si="15"/>
        <v/>
      </c>
    </row>
    <row r="225" spans="1:10" ht="24" customHeight="1">
      <c r="A225" s="148" t="s">
        <v>305</v>
      </c>
      <c r="B225" s="131">
        <v>45778</v>
      </c>
      <c r="C225" s="131">
        <v>46142</v>
      </c>
      <c r="D225" s="132" t="s">
        <v>4</v>
      </c>
      <c r="E225" s="132" t="s">
        <v>2</v>
      </c>
      <c r="F225" s="132" t="s">
        <v>295</v>
      </c>
      <c r="G225" s="105">
        <v>43.25</v>
      </c>
      <c r="H225" s="106">
        <v>530.75</v>
      </c>
      <c r="I225" s="132" t="str">
        <f t="shared" si="14"/>
        <v>OK</v>
      </c>
      <c r="J225" s="156" t="str">
        <f t="shared" si="15"/>
        <v/>
      </c>
    </row>
    <row r="226" spans="1:10" ht="24" customHeight="1">
      <c r="A226" s="148" t="s">
        <v>305</v>
      </c>
      <c r="B226" s="131">
        <v>45778</v>
      </c>
      <c r="C226" s="131">
        <v>46142</v>
      </c>
      <c r="D226" s="132" t="s">
        <v>4</v>
      </c>
      <c r="E226" s="132" t="s">
        <v>2</v>
      </c>
      <c r="F226" s="132" t="s">
        <v>295</v>
      </c>
      <c r="G226" s="105">
        <v>34.6</v>
      </c>
      <c r="H226" s="106">
        <v>424.6</v>
      </c>
      <c r="I226" s="132" t="str">
        <f t="shared" si="14"/>
        <v>OK</v>
      </c>
      <c r="J226" s="156" t="str">
        <f t="shared" si="15"/>
        <v/>
      </c>
    </row>
    <row r="227" spans="1:10" ht="24" customHeight="1" thickBot="1">
      <c r="A227" s="148" t="s">
        <v>305</v>
      </c>
      <c r="B227" s="131">
        <v>45778</v>
      </c>
      <c r="C227" s="131">
        <v>46142</v>
      </c>
      <c r="D227" s="132" t="s">
        <v>4</v>
      </c>
      <c r="E227" s="132" t="s">
        <v>2</v>
      </c>
      <c r="F227" s="132" t="s">
        <v>295</v>
      </c>
      <c r="G227" s="105">
        <v>32.01</v>
      </c>
      <c r="H227" s="106">
        <v>392.76</v>
      </c>
      <c r="I227" s="132" t="str">
        <f t="shared" si="14"/>
        <v>OK</v>
      </c>
      <c r="J227" s="156" t="str">
        <f t="shared" si="15"/>
        <v/>
      </c>
    </row>
    <row r="228" spans="1:10" ht="24" customHeight="1">
      <c r="A228" s="149" t="s">
        <v>305</v>
      </c>
      <c r="B228" s="133">
        <v>45778</v>
      </c>
      <c r="C228" s="133">
        <v>46142</v>
      </c>
      <c r="D228" s="134" t="s">
        <v>5</v>
      </c>
      <c r="E228" s="134" t="s">
        <v>2</v>
      </c>
      <c r="F228" s="134" t="s">
        <v>296</v>
      </c>
      <c r="G228" s="107">
        <v>173</v>
      </c>
      <c r="H228" s="108">
        <v>2183</v>
      </c>
      <c r="I228" s="134" t="str">
        <f t="shared" si="14"/>
        <v>OK</v>
      </c>
      <c r="J228" s="157" t="str">
        <f t="shared" si="15"/>
        <v/>
      </c>
    </row>
    <row r="229" spans="1:10" ht="24" customHeight="1">
      <c r="A229" s="148" t="s">
        <v>305</v>
      </c>
      <c r="B229" s="131">
        <v>45778</v>
      </c>
      <c r="C229" s="131">
        <v>46142</v>
      </c>
      <c r="D229" s="132" t="s">
        <v>5</v>
      </c>
      <c r="E229" s="132" t="s">
        <v>2</v>
      </c>
      <c r="F229" s="132" t="s">
        <v>296</v>
      </c>
      <c r="G229" s="105">
        <v>151.38</v>
      </c>
      <c r="H229" s="106">
        <v>1910.13</v>
      </c>
      <c r="I229" s="132" t="str">
        <f t="shared" si="14"/>
        <v>OK</v>
      </c>
      <c r="J229" s="156" t="str">
        <f t="shared" si="15"/>
        <v/>
      </c>
    </row>
    <row r="230" spans="1:10" ht="24" customHeight="1">
      <c r="A230" s="148" t="s">
        <v>305</v>
      </c>
      <c r="B230" s="131">
        <v>45778</v>
      </c>
      <c r="C230" s="131">
        <v>46142</v>
      </c>
      <c r="D230" s="132" t="s">
        <v>5</v>
      </c>
      <c r="E230" s="132" t="s">
        <v>2</v>
      </c>
      <c r="F230" s="132" t="s">
        <v>296</v>
      </c>
      <c r="G230" s="105">
        <v>138.4</v>
      </c>
      <c r="H230" s="106">
        <v>1746.4</v>
      </c>
      <c r="I230" s="132" t="str">
        <f t="shared" si="14"/>
        <v>OK</v>
      </c>
      <c r="J230" s="156" t="str">
        <f t="shared" si="15"/>
        <v/>
      </c>
    </row>
    <row r="231" spans="1:10" ht="24" customHeight="1">
      <c r="A231" s="148" t="s">
        <v>305</v>
      </c>
      <c r="B231" s="131">
        <v>45778</v>
      </c>
      <c r="C231" s="131">
        <v>46142</v>
      </c>
      <c r="D231" s="132" t="s">
        <v>5</v>
      </c>
      <c r="E231" s="132" t="s">
        <v>2</v>
      </c>
      <c r="F231" s="132" t="s">
        <v>296</v>
      </c>
      <c r="G231" s="105">
        <v>129.75</v>
      </c>
      <c r="H231" s="106">
        <v>1637.25</v>
      </c>
      <c r="I231" s="132" t="str">
        <f t="shared" si="14"/>
        <v>OK</v>
      </c>
      <c r="J231" s="156" t="str">
        <f t="shared" si="15"/>
        <v/>
      </c>
    </row>
    <row r="232" spans="1:10" ht="24" customHeight="1">
      <c r="A232" s="148" t="s">
        <v>305</v>
      </c>
      <c r="B232" s="131">
        <v>45778</v>
      </c>
      <c r="C232" s="131">
        <v>46142</v>
      </c>
      <c r="D232" s="132" t="s">
        <v>5</v>
      </c>
      <c r="E232" s="132" t="s">
        <v>2</v>
      </c>
      <c r="F232" s="132" t="s">
        <v>296</v>
      </c>
      <c r="G232" s="105">
        <v>108.13</v>
      </c>
      <c r="H232" s="106">
        <v>1364.38</v>
      </c>
      <c r="I232" s="132" t="str">
        <f t="shared" si="14"/>
        <v>OK</v>
      </c>
      <c r="J232" s="156" t="str">
        <f t="shared" si="15"/>
        <v/>
      </c>
    </row>
    <row r="233" spans="1:10" ht="24" customHeight="1">
      <c r="A233" s="148" t="s">
        <v>305</v>
      </c>
      <c r="B233" s="131">
        <v>45778</v>
      </c>
      <c r="C233" s="131">
        <v>46142</v>
      </c>
      <c r="D233" s="132" t="s">
        <v>5</v>
      </c>
      <c r="E233" s="132" t="s">
        <v>2</v>
      </c>
      <c r="F233" s="132" t="s">
        <v>296</v>
      </c>
      <c r="G233" s="105">
        <v>103.8</v>
      </c>
      <c r="H233" s="106">
        <v>1309.8</v>
      </c>
      <c r="I233" s="132" t="str">
        <f t="shared" si="14"/>
        <v>OK</v>
      </c>
      <c r="J233" s="156" t="str">
        <f t="shared" si="15"/>
        <v/>
      </c>
    </row>
    <row r="234" spans="1:10" ht="24" customHeight="1">
      <c r="A234" s="148" t="s">
        <v>305</v>
      </c>
      <c r="B234" s="131">
        <v>45778</v>
      </c>
      <c r="C234" s="131">
        <v>46142</v>
      </c>
      <c r="D234" s="132" t="s">
        <v>5</v>
      </c>
      <c r="E234" s="132" t="s">
        <v>2</v>
      </c>
      <c r="F234" s="132" t="s">
        <v>296</v>
      </c>
      <c r="G234" s="105">
        <v>86.5</v>
      </c>
      <c r="H234" s="106">
        <v>1091.5</v>
      </c>
      <c r="I234" s="132" t="str">
        <f t="shared" si="14"/>
        <v>OK</v>
      </c>
      <c r="J234" s="156" t="str">
        <f t="shared" si="15"/>
        <v/>
      </c>
    </row>
    <row r="235" spans="1:10" ht="24" customHeight="1">
      <c r="A235" s="148" t="s">
        <v>305</v>
      </c>
      <c r="B235" s="131">
        <v>45778</v>
      </c>
      <c r="C235" s="131">
        <v>46142</v>
      </c>
      <c r="D235" s="132" t="s">
        <v>5</v>
      </c>
      <c r="E235" s="132" t="s">
        <v>2</v>
      </c>
      <c r="F235" s="132" t="s">
        <v>296</v>
      </c>
      <c r="G235" s="105">
        <v>69.2</v>
      </c>
      <c r="H235" s="106">
        <v>873.2</v>
      </c>
      <c r="I235" s="132" t="str">
        <f t="shared" si="14"/>
        <v>OK</v>
      </c>
      <c r="J235" s="156" t="str">
        <f t="shared" si="15"/>
        <v/>
      </c>
    </row>
    <row r="236" spans="1:10" ht="24" customHeight="1">
      <c r="A236" s="148" t="s">
        <v>305</v>
      </c>
      <c r="B236" s="131">
        <v>45778</v>
      </c>
      <c r="C236" s="131">
        <v>46142</v>
      </c>
      <c r="D236" s="132" t="s">
        <v>5</v>
      </c>
      <c r="E236" s="132" t="s">
        <v>2</v>
      </c>
      <c r="F236" s="132" t="s">
        <v>296</v>
      </c>
      <c r="G236" s="105">
        <v>51.9</v>
      </c>
      <c r="H236" s="106">
        <v>654.9</v>
      </c>
      <c r="I236" s="132" t="str">
        <f t="shared" si="14"/>
        <v>OK</v>
      </c>
      <c r="J236" s="156" t="str">
        <f t="shared" si="15"/>
        <v/>
      </c>
    </row>
    <row r="237" spans="1:10" ht="24" customHeight="1">
      <c r="A237" s="148" t="s">
        <v>305</v>
      </c>
      <c r="B237" s="131">
        <v>45778</v>
      </c>
      <c r="C237" s="131">
        <v>46142</v>
      </c>
      <c r="D237" s="132" t="s">
        <v>5</v>
      </c>
      <c r="E237" s="132" t="s">
        <v>2</v>
      </c>
      <c r="F237" s="132" t="s">
        <v>296</v>
      </c>
      <c r="G237" s="105">
        <v>47.58</v>
      </c>
      <c r="H237" s="106">
        <v>600.33000000000004</v>
      </c>
      <c r="I237" s="132" t="str">
        <f t="shared" si="14"/>
        <v>OK</v>
      </c>
      <c r="J237" s="156" t="str">
        <f t="shared" si="15"/>
        <v/>
      </c>
    </row>
    <row r="238" spans="1:10" ht="24" customHeight="1">
      <c r="A238" s="148" t="s">
        <v>305</v>
      </c>
      <c r="B238" s="131">
        <v>45778</v>
      </c>
      <c r="C238" s="131">
        <v>46142</v>
      </c>
      <c r="D238" s="132" t="s">
        <v>5</v>
      </c>
      <c r="E238" s="132" t="s">
        <v>2</v>
      </c>
      <c r="F238" s="132" t="s">
        <v>296</v>
      </c>
      <c r="G238" s="105">
        <v>43.25</v>
      </c>
      <c r="H238" s="106">
        <v>545.75</v>
      </c>
      <c r="I238" s="132" t="str">
        <f t="shared" si="14"/>
        <v>OK</v>
      </c>
      <c r="J238" s="156" t="str">
        <f t="shared" si="15"/>
        <v/>
      </c>
    </row>
    <row r="239" spans="1:10" ht="24" customHeight="1">
      <c r="A239" s="148" t="s">
        <v>305</v>
      </c>
      <c r="B239" s="131">
        <v>45778</v>
      </c>
      <c r="C239" s="131">
        <v>46142</v>
      </c>
      <c r="D239" s="132" t="s">
        <v>5</v>
      </c>
      <c r="E239" s="132" t="s">
        <v>2</v>
      </c>
      <c r="F239" s="132" t="s">
        <v>296</v>
      </c>
      <c r="G239" s="105">
        <v>34.6</v>
      </c>
      <c r="H239" s="106">
        <v>436.6</v>
      </c>
      <c r="I239" s="132" t="str">
        <f t="shared" si="14"/>
        <v>OK</v>
      </c>
      <c r="J239" s="156" t="str">
        <f t="shared" si="15"/>
        <v/>
      </c>
    </row>
    <row r="240" spans="1:10" ht="24" customHeight="1" thickBot="1">
      <c r="A240" s="148" t="s">
        <v>305</v>
      </c>
      <c r="B240" s="131">
        <v>45778</v>
      </c>
      <c r="C240" s="131">
        <v>46142</v>
      </c>
      <c r="D240" s="132" t="s">
        <v>5</v>
      </c>
      <c r="E240" s="132" t="s">
        <v>2</v>
      </c>
      <c r="F240" s="132" t="s">
        <v>296</v>
      </c>
      <c r="G240" s="105">
        <v>32.01</v>
      </c>
      <c r="H240" s="106">
        <v>403.86</v>
      </c>
      <c r="I240" s="132" t="str">
        <f t="shared" si="14"/>
        <v>OK</v>
      </c>
      <c r="J240" s="156" t="str">
        <f t="shared" si="15"/>
        <v/>
      </c>
    </row>
    <row r="241" spans="1:10" ht="24" customHeight="1">
      <c r="A241" s="150" t="s">
        <v>305</v>
      </c>
      <c r="B241" s="135">
        <v>45778</v>
      </c>
      <c r="C241" s="135">
        <v>46142</v>
      </c>
      <c r="D241" s="136" t="s">
        <v>303</v>
      </c>
      <c r="E241" s="136" t="s">
        <v>6</v>
      </c>
      <c r="F241" s="136" t="s">
        <v>293</v>
      </c>
      <c r="G241" s="109">
        <v>173</v>
      </c>
      <c r="H241" s="110">
        <v>2160</v>
      </c>
      <c r="I241" s="136" t="str">
        <f t="shared" si="14"/>
        <v>OK</v>
      </c>
      <c r="J241" s="158" t="str">
        <f t="shared" si="15"/>
        <v/>
      </c>
    </row>
    <row r="242" spans="1:10" ht="24" customHeight="1">
      <c r="A242" s="151" t="s">
        <v>305</v>
      </c>
      <c r="B242" s="137">
        <v>45778</v>
      </c>
      <c r="C242" s="137">
        <v>46142</v>
      </c>
      <c r="D242" s="138" t="s">
        <v>303</v>
      </c>
      <c r="E242" s="138" t="s">
        <v>6</v>
      </c>
      <c r="F242" s="138" t="s">
        <v>293</v>
      </c>
      <c r="G242" s="111">
        <v>151.38</v>
      </c>
      <c r="H242" s="112">
        <v>1890</v>
      </c>
      <c r="I242" s="138" t="str">
        <f t="shared" si="14"/>
        <v>OK</v>
      </c>
      <c r="J242" s="159" t="str">
        <f t="shared" si="15"/>
        <v/>
      </c>
    </row>
    <row r="243" spans="1:10" ht="24" customHeight="1">
      <c r="A243" s="151" t="s">
        <v>305</v>
      </c>
      <c r="B243" s="137">
        <v>45778</v>
      </c>
      <c r="C243" s="137">
        <v>46142</v>
      </c>
      <c r="D243" s="138" t="s">
        <v>303</v>
      </c>
      <c r="E243" s="138" t="s">
        <v>6</v>
      </c>
      <c r="F243" s="138" t="s">
        <v>293</v>
      </c>
      <c r="G243" s="111">
        <v>138.4</v>
      </c>
      <c r="H243" s="112">
        <v>1728</v>
      </c>
      <c r="I243" s="138" t="str">
        <f t="shared" si="14"/>
        <v>OK</v>
      </c>
      <c r="J243" s="159" t="str">
        <f t="shared" si="15"/>
        <v/>
      </c>
    </row>
    <row r="244" spans="1:10" ht="24" customHeight="1">
      <c r="A244" s="151" t="s">
        <v>305</v>
      </c>
      <c r="B244" s="137">
        <v>45778</v>
      </c>
      <c r="C244" s="137">
        <v>46142</v>
      </c>
      <c r="D244" s="138" t="s">
        <v>303</v>
      </c>
      <c r="E244" s="138" t="s">
        <v>6</v>
      </c>
      <c r="F244" s="138" t="s">
        <v>293</v>
      </c>
      <c r="G244" s="111">
        <v>129.75</v>
      </c>
      <c r="H244" s="112">
        <v>1620</v>
      </c>
      <c r="I244" s="138" t="str">
        <f t="shared" si="14"/>
        <v>OK</v>
      </c>
      <c r="J244" s="159" t="str">
        <f t="shared" si="15"/>
        <v/>
      </c>
    </row>
    <row r="245" spans="1:10" ht="24" customHeight="1">
      <c r="A245" s="151" t="s">
        <v>305</v>
      </c>
      <c r="B245" s="137">
        <v>45778</v>
      </c>
      <c r="C245" s="137">
        <v>46142</v>
      </c>
      <c r="D245" s="138" t="s">
        <v>303</v>
      </c>
      <c r="E245" s="138" t="s">
        <v>6</v>
      </c>
      <c r="F245" s="138" t="s">
        <v>293</v>
      </c>
      <c r="G245" s="111">
        <v>108.13</v>
      </c>
      <c r="H245" s="112">
        <v>1350</v>
      </c>
      <c r="I245" s="138" t="str">
        <f t="shared" si="14"/>
        <v>OK</v>
      </c>
      <c r="J245" s="159" t="str">
        <f t="shared" si="15"/>
        <v/>
      </c>
    </row>
    <row r="246" spans="1:10" ht="24" customHeight="1">
      <c r="A246" s="151" t="s">
        <v>305</v>
      </c>
      <c r="B246" s="137">
        <v>45778</v>
      </c>
      <c r="C246" s="137">
        <v>46142</v>
      </c>
      <c r="D246" s="138" t="s">
        <v>303</v>
      </c>
      <c r="E246" s="138" t="s">
        <v>6</v>
      </c>
      <c r="F246" s="138" t="s">
        <v>293</v>
      </c>
      <c r="G246" s="111">
        <v>103.8</v>
      </c>
      <c r="H246" s="112">
        <v>1296</v>
      </c>
      <c r="I246" s="138" t="str">
        <f t="shared" si="14"/>
        <v>OK</v>
      </c>
      <c r="J246" s="159" t="str">
        <f t="shared" si="15"/>
        <v/>
      </c>
    </row>
    <row r="247" spans="1:10" ht="24" customHeight="1">
      <c r="A247" s="151" t="s">
        <v>305</v>
      </c>
      <c r="B247" s="137">
        <v>45778</v>
      </c>
      <c r="C247" s="137">
        <v>46142</v>
      </c>
      <c r="D247" s="138" t="s">
        <v>303</v>
      </c>
      <c r="E247" s="138" t="s">
        <v>6</v>
      </c>
      <c r="F247" s="138" t="s">
        <v>293</v>
      </c>
      <c r="G247" s="111">
        <v>86.5</v>
      </c>
      <c r="H247" s="112">
        <v>1080</v>
      </c>
      <c r="I247" s="138" t="str">
        <f t="shared" si="14"/>
        <v>OK</v>
      </c>
      <c r="J247" s="159" t="str">
        <f t="shared" si="15"/>
        <v/>
      </c>
    </row>
    <row r="248" spans="1:10" ht="24" customHeight="1">
      <c r="A248" s="151" t="s">
        <v>305</v>
      </c>
      <c r="B248" s="137">
        <v>45778</v>
      </c>
      <c r="C248" s="137">
        <v>46142</v>
      </c>
      <c r="D248" s="138" t="s">
        <v>303</v>
      </c>
      <c r="E248" s="138" t="s">
        <v>6</v>
      </c>
      <c r="F248" s="138" t="s">
        <v>293</v>
      </c>
      <c r="G248" s="111">
        <v>69.2</v>
      </c>
      <c r="H248" s="112">
        <v>864</v>
      </c>
      <c r="I248" s="138" t="str">
        <f t="shared" si="14"/>
        <v>OK</v>
      </c>
      <c r="J248" s="159" t="str">
        <f t="shared" si="15"/>
        <v/>
      </c>
    </row>
    <row r="249" spans="1:10" ht="24" customHeight="1">
      <c r="A249" s="151" t="s">
        <v>305</v>
      </c>
      <c r="B249" s="137">
        <v>45778</v>
      </c>
      <c r="C249" s="137">
        <v>46142</v>
      </c>
      <c r="D249" s="138" t="s">
        <v>303</v>
      </c>
      <c r="E249" s="138" t="s">
        <v>6</v>
      </c>
      <c r="F249" s="138" t="s">
        <v>293</v>
      </c>
      <c r="G249" s="111">
        <v>51.9</v>
      </c>
      <c r="H249" s="112">
        <v>648</v>
      </c>
      <c r="I249" s="138" t="str">
        <f t="shared" si="14"/>
        <v>OK</v>
      </c>
      <c r="J249" s="159" t="str">
        <f t="shared" si="15"/>
        <v/>
      </c>
    </row>
    <row r="250" spans="1:10" ht="24" customHeight="1">
      <c r="A250" s="151" t="s">
        <v>305</v>
      </c>
      <c r="B250" s="137">
        <v>45778</v>
      </c>
      <c r="C250" s="137">
        <v>46142</v>
      </c>
      <c r="D250" s="138" t="s">
        <v>303</v>
      </c>
      <c r="E250" s="138" t="s">
        <v>6</v>
      </c>
      <c r="F250" s="138" t="s">
        <v>293</v>
      </c>
      <c r="G250" s="111">
        <v>47.58</v>
      </c>
      <c r="H250" s="112">
        <v>594</v>
      </c>
      <c r="I250" s="138" t="str">
        <f t="shared" ref="I250:I281" si="16">IF($A250="","",IF(OR($B250="",$C250="",$D250="",$E250="",$F250=""),"Stammdaten fehlen",IF(AND($G250="",$H250=""),"Werte fehlen",IF($G250="","Monatsstunden fehlen",IF($H250="","Monatslohn fehlt","OK")))))</f>
        <v>OK</v>
      </c>
      <c r="J250" s="159" t="str">
        <f t="shared" ref="J250:J281" si="17">IF($G250="","",IF(COUNTIFS($A:$A,$A250,$D:$D,$D250,$G:$G,$G250)&gt;1,"Doppelte Monatsstunden",""))</f>
        <v/>
      </c>
    </row>
    <row r="251" spans="1:10" ht="24" customHeight="1">
      <c r="A251" s="151" t="s">
        <v>305</v>
      </c>
      <c r="B251" s="137">
        <v>45778</v>
      </c>
      <c r="C251" s="137">
        <v>46142</v>
      </c>
      <c r="D251" s="138" t="s">
        <v>303</v>
      </c>
      <c r="E251" s="138" t="s">
        <v>6</v>
      </c>
      <c r="F251" s="138" t="s">
        <v>293</v>
      </c>
      <c r="G251" s="111">
        <v>43.25</v>
      </c>
      <c r="H251" s="112">
        <v>540</v>
      </c>
      <c r="I251" s="138" t="str">
        <f t="shared" si="16"/>
        <v>OK</v>
      </c>
      <c r="J251" s="159" t="str">
        <f t="shared" si="17"/>
        <v/>
      </c>
    </row>
    <row r="252" spans="1:10" ht="24" customHeight="1">
      <c r="A252" s="151" t="s">
        <v>305</v>
      </c>
      <c r="B252" s="137">
        <v>45778</v>
      </c>
      <c r="C252" s="137">
        <v>46142</v>
      </c>
      <c r="D252" s="138" t="s">
        <v>303</v>
      </c>
      <c r="E252" s="138" t="s">
        <v>6</v>
      </c>
      <c r="F252" s="138" t="s">
        <v>293</v>
      </c>
      <c r="G252" s="111">
        <v>34.6</v>
      </c>
      <c r="H252" s="112">
        <v>432</v>
      </c>
      <c r="I252" s="138" t="str">
        <f t="shared" si="16"/>
        <v>OK</v>
      </c>
      <c r="J252" s="159" t="str">
        <f t="shared" si="17"/>
        <v/>
      </c>
    </row>
    <row r="253" spans="1:10" ht="24" customHeight="1" thickBot="1">
      <c r="A253" s="151" t="s">
        <v>305</v>
      </c>
      <c r="B253" s="137">
        <v>45778</v>
      </c>
      <c r="C253" s="137">
        <v>46142</v>
      </c>
      <c r="D253" s="138" t="s">
        <v>303</v>
      </c>
      <c r="E253" s="138" t="s">
        <v>6</v>
      </c>
      <c r="F253" s="138" t="s">
        <v>293</v>
      </c>
      <c r="G253" s="111">
        <v>32.01</v>
      </c>
      <c r="H253" s="112">
        <v>399.6</v>
      </c>
      <c r="I253" s="138" t="str">
        <f t="shared" si="16"/>
        <v>OK</v>
      </c>
      <c r="J253" s="159" t="str">
        <f t="shared" si="17"/>
        <v/>
      </c>
    </row>
    <row r="254" spans="1:10" ht="24" customHeight="1">
      <c r="A254" s="150" t="s">
        <v>305</v>
      </c>
      <c r="B254" s="135">
        <v>45778</v>
      </c>
      <c r="C254" s="135">
        <v>46142</v>
      </c>
      <c r="D254" s="136" t="s">
        <v>7</v>
      </c>
      <c r="E254" s="136" t="s">
        <v>6</v>
      </c>
      <c r="F254" s="136" t="s">
        <v>294</v>
      </c>
      <c r="G254" s="109">
        <v>173</v>
      </c>
      <c r="H254" s="110">
        <v>2160</v>
      </c>
      <c r="I254" s="136" t="str">
        <f t="shared" si="16"/>
        <v>OK</v>
      </c>
      <c r="J254" s="158" t="str">
        <f t="shared" si="17"/>
        <v/>
      </c>
    </row>
    <row r="255" spans="1:10" ht="24" customHeight="1">
      <c r="A255" s="151" t="s">
        <v>305</v>
      </c>
      <c r="B255" s="137">
        <v>45778</v>
      </c>
      <c r="C255" s="137">
        <v>46142</v>
      </c>
      <c r="D255" s="138" t="s">
        <v>7</v>
      </c>
      <c r="E255" s="138" t="s">
        <v>6</v>
      </c>
      <c r="F255" s="138" t="s">
        <v>294</v>
      </c>
      <c r="G255" s="111">
        <v>151.38</v>
      </c>
      <c r="H255" s="112">
        <v>1890</v>
      </c>
      <c r="I255" s="138" t="str">
        <f t="shared" si="16"/>
        <v>OK</v>
      </c>
      <c r="J255" s="159" t="str">
        <f t="shared" si="17"/>
        <v/>
      </c>
    </row>
    <row r="256" spans="1:10" ht="24" customHeight="1">
      <c r="A256" s="151" t="s">
        <v>305</v>
      </c>
      <c r="B256" s="137">
        <v>45778</v>
      </c>
      <c r="C256" s="137">
        <v>46142</v>
      </c>
      <c r="D256" s="138" t="s">
        <v>7</v>
      </c>
      <c r="E256" s="138" t="s">
        <v>6</v>
      </c>
      <c r="F256" s="138" t="s">
        <v>294</v>
      </c>
      <c r="G256" s="111">
        <v>138.4</v>
      </c>
      <c r="H256" s="112">
        <v>1728</v>
      </c>
      <c r="I256" s="138" t="str">
        <f t="shared" si="16"/>
        <v>OK</v>
      </c>
      <c r="J256" s="159" t="str">
        <f t="shared" si="17"/>
        <v/>
      </c>
    </row>
    <row r="257" spans="1:10" ht="24" customHeight="1">
      <c r="A257" s="151" t="s">
        <v>305</v>
      </c>
      <c r="B257" s="137">
        <v>45778</v>
      </c>
      <c r="C257" s="137">
        <v>46142</v>
      </c>
      <c r="D257" s="138" t="s">
        <v>7</v>
      </c>
      <c r="E257" s="138" t="s">
        <v>6</v>
      </c>
      <c r="F257" s="138" t="s">
        <v>294</v>
      </c>
      <c r="G257" s="111">
        <v>129.75</v>
      </c>
      <c r="H257" s="112">
        <v>1620</v>
      </c>
      <c r="I257" s="138" t="str">
        <f t="shared" si="16"/>
        <v>OK</v>
      </c>
      <c r="J257" s="159" t="str">
        <f t="shared" si="17"/>
        <v/>
      </c>
    </row>
    <row r="258" spans="1:10" ht="24" customHeight="1">
      <c r="A258" s="151" t="s">
        <v>305</v>
      </c>
      <c r="B258" s="137">
        <v>45778</v>
      </c>
      <c r="C258" s="137">
        <v>46142</v>
      </c>
      <c r="D258" s="138" t="s">
        <v>7</v>
      </c>
      <c r="E258" s="138" t="s">
        <v>6</v>
      </c>
      <c r="F258" s="138" t="s">
        <v>294</v>
      </c>
      <c r="G258" s="111">
        <v>108.13</v>
      </c>
      <c r="H258" s="112">
        <v>1350</v>
      </c>
      <c r="I258" s="138" t="str">
        <f t="shared" si="16"/>
        <v>OK</v>
      </c>
      <c r="J258" s="159" t="str">
        <f t="shared" si="17"/>
        <v/>
      </c>
    </row>
    <row r="259" spans="1:10" ht="24" customHeight="1">
      <c r="A259" s="151" t="s">
        <v>305</v>
      </c>
      <c r="B259" s="137">
        <v>45778</v>
      </c>
      <c r="C259" s="137">
        <v>46142</v>
      </c>
      <c r="D259" s="138" t="s">
        <v>7</v>
      </c>
      <c r="E259" s="138" t="s">
        <v>6</v>
      </c>
      <c r="F259" s="138" t="s">
        <v>294</v>
      </c>
      <c r="G259" s="111">
        <v>103.8</v>
      </c>
      <c r="H259" s="112">
        <v>1296</v>
      </c>
      <c r="I259" s="138" t="str">
        <f t="shared" si="16"/>
        <v>OK</v>
      </c>
      <c r="J259" s="159" t="str">
        <f t="shared" si="17"/>
        <v/>
      </c>
    </row>
    <row r="260" spans="1:10" ht="24" customHeight="1">
      <c r="A260" s="151" t="s">
        <v>305</v>
      </c>
      <c r="B260" s="137">
        <v>45778</v>
      </c>
      <c r="C260" s="137">
        <v>46142</v>
      </c>
      <c r="D260" s="138" t="s">
        <v>7</v>
      </c>
      <c r="E260" s="138" t="s">
        <v>6</v>
      </c>
      <c r="F260" s="138" t="s">
        <v>294</v>
      </c>
      <c r="G260" s="111">
        <v>86.5</v>
      </c>
      <c r="H260" s="112">
        <v>1080</v>
      </c>
      <c r="I260" s="138" t="str">
        <f t="shared" si="16"/>
        <v>OK</v>
      </c>
      <c r="J260" s="159" t="str">
        <f t="shared" si="17"/>
        <v/>
      </c>
    </row>
    <row r="261" spans="1:10" ht="24" customHeight="1">
      <c r="A261" s="151" t="s">
        <v>305</v>
      </c>
      <c r="B261" s="137">
        <v>45778</v>
      </c>
      <c r="C261" s="137">
        <v>46142</v>
      </c>
      <c r="D261" s="138" t="s">
        <v>7</v>
      </c>
      <c r="E261" s="138" t="s">
        <v>6</v>
      </c>
      <c r="F261" s="138" t="s">
        <v>294</v>
      </c>
      <c r="G261" s="111">
        <v>69.2</v>
      </c>
      <c r="H261" s="112">
        <v>864</v>
      </c>
      <c r="I261" s="138" t="str">
        <f t="shared" si="16"/>
        <v>OK</v>
      </c>
      <c r="J261" s="159" t="str">
        <f t="shared" si="17"/>
        <v/>
      </c>
    </row>
    <row r="262" spans="1:10" ht="24" customHeight="1">
      <c r="A262" s="151" t="s">
        <v>305</v>
      </c>
      <c r="B262" s="137">
        <v>45778</v>
      </c>
      <c r="C262" s="137">
        <v>46142</v>
      </c>
      <c r="D262" s="138" t="s">
        <v>7</v>
      </c>
      <c r="E262" s="138" t="s">
        <v>6</v>
      </c>
      <c r="F262" s="138" t="s">
        <v>294</v>
      </c>
      <c r="G262" s="111">
        <v>51.9</v>
      </c>
      <c r="H262" s="112">
        <v>648</v>
      </c>
      <c r="I262" s="138" t="str">
        <f t="shared" si="16"/>
        <v>OK</v>
      </c>
      <c r="J262" s="159" t="str">
        <f t="shared" si="17"/>
        <v/>
      </c>
    </row>
    <row r="263" spans="1:10" ht="24" customHeight="1">
      <c r="A263" s="151" t="s">
        <v>305</v>
      </c>
      <c r="B263" s="137">
        <v>45778</v>
      </c>
      <c r="C263" s="137">
        <v>46142</v>
      </c>
      <c r="D263" s="138" t="s">
        <v>7</v>
      </c>
      <c r="E263" s="138" t="s">
        <v>6</v>
      </c>
      <c r="F263" s="138" t="s">
        <v>294</v>
      </c>
      <c r="G263" s="111">
        <v>47.58</v>
      </c>
      <c r="H263" s="112">
        <v>594</v>
      </c>
      <c r="I263" s="138" t="str">
        <f t="shared" si="16"/>
        <v>OK</v>
      </c>
      <c r="J263" s="159" t="str">
        <f t="shared" si="17"/>
        <v/>
      </c>
    </row>
    <row r="264" spans="1:10" ht="24" customHeight="1">
      <c r="A264" s="151" t="s">
        <v>305</v>
      </c>
      <c r="B264" s="137">
        <v>45778</v>
      </c>
      <c r="C264" s="137">
        <v>46142</v>
      </c>
      <c r="D264" s="138" t="s">
        <v>7</v>
      </c>
      <c r="E264" s="138" t="s">
        <v>6</v>
      </c>
      <c r="F264" s="138" t="s">
        <v>294</v>
      </c>
      <c r="G264" s="111">
        <v>43.25</v>
      </c>
      <c r="H264" s="112">
        <v>540</v>
      </c>
      <c r="I264" s="138" t="str">
        <f t="shared" si="16"/>
        <v>OK</v>
      </c>
      <c r="J264" s="159" t="str">
        <f t="shared" si="17"/>
        <v/>
      </c>
    </row>
    <row r="265" spans="1:10" ht="24" customHeight="1">
      <c r="A265" s="151" t="s">
        <v>305</v>
      </c>
      <c r="B265" s="137">
        <v>45778</v>
      </c>
      <c r="C265" s="137">
        <v>46142</v>
      </c>
      <c r="D265" s="138" t="s">
        <v>7</v>
      </c>
      <c r="E265" s="138" t="s">
        <v>6</v>
      </c>
      <c r="F265" s="138" t="s">
        <v>294</v>
      </c>
      <c r="G265" s="111">
        <v>34.6</v>
      </c>
      <c r="H265" s="112">
        <v>432</v>
      </c>
      <c r="I265" s="138" t="str">
        <f t="shared" si="16"/>
        <v>OK</v>
      </c>
      <c r="J265" s="159" t="str">
        <f t="shared" si="17"/>
        <v/>
      </c>
    </row>
    <row r="266" spans="1:10" ht="24" customHeight="1" thickBot="1">
      <c r="A266" s="151" t="s">
        <v>305</v>
      </c>
      <c r="B266" s="137">
        <v>45778</v>
      </c>
      <c r="C266" s="137">
        <v>46142</v>
      </c>
      <c r="D266" s="138" t="s">
        <v>7</v>
      </c>
      <c r="E266" s="138" t="s">
        <v>6</v>
      </c>
      <c r="F266" s="138" t="s">
        <v>294</v>
      </c>
      <c r="G266" s="111">
        <v>32.01</v>
      </c>
      <c r="H266" s="112">
        <v>399.6</v>
      </c>
      <c r="I266" s="138" t="str">
        <f t="shared" si="16"/>
        <v>OK</v>
      </c>
      <c r="J266" s="159" t="str">
        <f t="shared" si="17"/>
        <v/>
      </c>
    </row>
    <row r="267" spans="1:10" ht="24" customHeight="1">
      <c r="A267" s="150" t="s">
        <v>305</v>
      </c>
      <c r="B267" s="135">
        <v>45778</v>
      </c>
      <c r="C267" s="135">
        <v>46142</v>
      </c>
      <c r="D267" s="136" t="s">
        <v>8</v>
      </c>
      <c r="E267" s="136" t="s">
        <v>6</v>
      </c>
      <c r="F267" s="136" t="s">
        <v>295</v>
      </c>
      <c r="G267" s="109">
        <v>173</v>
      </c>
      <c r="H267" s="110">
        <v>2163</v>
      </c>
      <c r="I267" s="136" t="str">
        <f t="shared" si="16"/>
        <v>OK</v>
      </c>
      <c r="J267" s="158" t="str">
        <f t="shared" si="17"/>
        <v/>
      </c>
    </row>
    <row r="268" spans="1:10" ht="24" customHeight="1">
      <c r="A268" s="151" t="s">
        <v>305</v>
      </c>
      <c r="B268" s="137">
        <v>45778</v>
      </c>
      <c r="C268" s="137">
        <v>46142</v>
      </c>
      <c r="D268" s="138" t="s">
        <v>8</v>
      </c>
      <c r="E268" s="138" t="s">
        <v>6</v>
      </c>
      <c r="F268" s="138" t="s">
        <v>295</v>
      </c>
      <c r="G268" s="111">
        <v>151.38</v>
      </c>
      <c r="H268" s="112">
        <v>1892.63</v>
      </c>
      <c r="I268" s="138" t="str">
        <f t="shared" si="16"/>
        <v>OK</v>
      </c>
      <c r="J268" s="159" t="str">
        <f t="shared" si="17"/>
        <v/>
      </c>
    </row>
    <row r="269" spans="1:10" ht="24" customHeight="1">
      <c r="A269" s="151" t="s">
        <v>305</v>
      </c>
      <c r="B269" s="137">
        <v>45778</v>
      </c>
      <c r="C269" s="137">
        <v>46142</v>
      </c>
      <c r="D269" s="138" t="s">
        <v>8</v>
      </c>
      <c r="E269" s="138" t="s">
        <v>6</v>
      </c>
      <c r="F269" s="138" t="s">
        <v>295</v>
      </c>
      <c r="G269" s="111">
        <v>138.4</v>
      </c>
      <c r="H269" s="112">
        <v>1730.4</v>
      </c>
      <c r="I269" s="138" t="str">
        <f t="shared" si="16"/>
        <v>OK</v>
      </c>
      <c r="J269" s="159" t="str">
        <f t="shared" si="17"/>
        <v/>
      </c>
    </row>
    <row r="270" spans="1:10" ht="24" customHeight="1">
      <c r="A270" s="151" t="s">
        <v>305</v>
      </c>
      <c r="B270" s="137">
        <v>45778</v>
      </c>
      <c r="C270" s="137">
        <v>46142</v>
      </c>
      <c r="D270" s="138" t="s">
        <v>8</v>
      </c>
      <c r="E270" s="138" t="s">
        <v>6</v>
      </c>
      <c r="F270" s="138" t="s">
        <v>295</v>
      </c>
      <c r="G270" s="111">
        <v>129.75</v>
      </c>
      <c r="H270" s="112">
        <v>1622.25</v>
      </c>
      <c r="I270" s="138" t="str">
        <f t="shared" si="16"/>
        <v>OK</v>
      </c>
      <c r="J270" s="159" t="str">
        <f t="shared" si="17"/>
        <v/>
      </c>
    </row>
    <row r="271" spans="1:10" ht="24" customHeight="1">
      <c r="A271" s="151" t="s">
        <v>305</v>
      </c>
      <c r="B271" s="137">
        <v>45778</v>
      </c>
      <c r="C271" s="137">
        <v>46142</v>
      </c>
      <c r="D271" s="138" t="s">
        <v>8</v>
      </c>
      <c r="E271" s="138" t="s">
        <v>6</v>
      </c>
      <c r="F271" s="138" t="s">
        <v>295</v>
      </c>
      <c r="G271" s="111">
        <v>108.13</v>
      </c>
      <c r="H271" s="112">
        <v>1351.88</v>
      </c>
      <c r="I271" s="138" t="str">
        <f t="shared" si="16"/>
        <v>OK</v>
      </c>
      <c r="J271" s="159" t="str">
        <f t="shared" si="17"/>
        <v/>
      </c>
    </row>
    <row r="272" spans="1:10" ht="24" customHeight="1">
      <c r="A272" s="151" t="s">
        <v>305</v>
      </c>
      <c r="B272" s="137">
        <v>45778</v>
      </c>
      <c r="C272" s="137">
        <v>46142</v>
      </c>
      <c r="D272" s="138" t="s">
        <v>8</v>
      </c>
      <c r="E272" s="138" t="s">
        <v>6</v>
      </c>
      <c r="F272" s="138" t="s">
        <v>295</v>
      </c>
      <c r="G272" s="111">
        <v>103.8</v>
      </c>
      <c r="H272" s="112">
        <v>1297.8</v>
      </c>
      <c r="I272" s="138" t="str">
        <f t="shared" si="16"/>
        <v>OK</v>
      </c>
      <c r="J272" s="159" t="str">
        <f t="shared" si="17"/>
        <v/>
      </c>
    </row>
    <row r="273" spans="1:10" ht="24" customHeight="1">
      <c r="A273" s="151" t="s">
        <v>305</v>
      </c>
      <c r="B273" s="137">
        <v>45778</v>
      </c>
      <c r="C273" s="137">
        <v>46142</v>
      </c>
      <c r="D273" s="138" t="s">
        <v>8</v>
      </c>
      <c r="E273" s="138" t="s">
        <v>6</v>
      </c>
      <c r="F273" s="138" t="s">
        <v>295</v>
      </c>
      <c r="G273" s="111">
        <v>86.5</v>
      </c>
      <c r="H273" s="112">
        <v>1081.5</v>
      </c>
      <c r="I273" s="138" t="str">
        <f t="shared" si="16"/>
        <v>OK</v>
      </c>
      <c r="J273" s="159" t="str">
        <f t="shared" si="17"/>
        <v/>
      </c>
    </row>
    <row r="274" spans="1:10" ht="24" customHeight="1">
      <c r="A274" s="151" t="s">
        <v>305</v>
      </c>
      <c r="B274" s="137">
        <v>45778</v>
      </c>
      <c r="C274" s="137">
        <v>46142</v>
      </c>
      <c r="D274" s="138" t="s">
        <v>8</v>
      </c>
      <c r="E274" s="138" t="s">
        <v>6</v>
      </c>
      <c r="F274" s="138" t="s">
        <v>295</v>
      </c>
      <c r="G274" s="111">
        <v>69.2</v>
      </c>
      <c r="H274" s="112">
        <v>865.2</v>
      </c>
      <c r="I274" s="138" t="str">
        <f t="shared" si="16"/>
        <v>OK</v>
      </c>
      <c r="J274" s="159" t="str">
        <f t="shared" si="17"/>
        <v/>
      </c>
    </row>
    <row r="275" spans="1:10" ht="24" customHeight="1">
      <c r="A275" s="151" t="s">
        <v>305</v>
      </c>
      <c r="B275" s="137">
        <v>45778</v>
      </c>
      <c r="C275" s="137">
        <v>46142</v>
      </c>
      <c r="D275" s="138" t="s">
        <v>8</v>
      </c>
      <c r="E275" s="138" t="s">
        <v>6</v>
      </c>
      <c r="F275" s="138" t="s">
        <v>295</v>
      </c>
      <c r="G275" s="111">
        <v>51.9</v>
      </c>
      <c r="H275" s="112">
        <v>648.9</v>
      </c>
      <c r="I275" s="138" t="str">
        <f t="shared" si="16"/>
        <v>OK</v>
      </c>
      <c r="J275" s="159" t="str">
        <f t="shared" si="17"/>
        <v/>
      </c>
    </row>
    <row r="276" spans="1:10" ht="24" customHeight="1">
      <c r="A276" s="151" t="s">
        <v>305</v>
      </c>
      <c r="B276" s="137">
        <v>45778</v>
      </c>
      <c r="C276" s="137">
        <v>46142</v>
      </c>
      <c r="D276" s="138" t="s">
        <v>8</v>
      </c>
      <c r="E276" s="138" t="s">
        <v>6</v>
      </c>
      <c r="F276" s="138" t="s">
        <v>295</v>
      </c>
      <c r="G276" s="111">
        <v>47.58</v>
      </c>
      <c r="H276" s="112">
        <v>594.83000000000004</v>
      </c>
      <c r="I276" s="138" t="str">
        <f t="shared" si="16"/>
        <v>OK</v>
      </c>
      <c r="J276" s="159" t="str">
        <f t="shared" si="17"/>
        <v/>
      </c>
    </row>
    <row r="277" spans="1:10" ht="24" customHeight="1">
      <c r="A277" s="151" t="s">
        <v>305</v>
      </c>
      <c r="B277" s="137">
        <v>45778</v>
      </c>
      <c r="C277" s="137">
        <v>46142</v>
      </c>
      <c r="D277" s="138" t="s">
        <v>8</v>
      </c>
      <c r="E277" s="138" t="s">
        <v>6</v>
      </c>
      <c r="F277" s="138" t="s">
        <v>295</v>
      </c>
      <c r="G277" s="111">
        <v>43.25</v>
      </c>
      <c r="H277" s="112">
        <v>540.75</v>
      </c>
      <c r="I277" s="138" t="str">
        <f t="shared" si="16"/>
        <v>OK</v>
      </c>
      <c r="J277" s="159" t="str">
        <f t="shared" si="17"/>
        <v/>
      </c>
    </row>
    <row r="278" spans="1:10" ht="24" customHeight="1">
      <c r="A278" s="151" t="s">
        <v>305</v>
      </c>
      <c r="B278" s="137">
        <v>45778</v>
      </c>
      <c r="C278" s="137">
        <v>46142</v>
      </c>
      <c r="D278" s="138" t="s">
        <v>8</v>
      </c>
      <c r="E278" s="138" t="s">
        <v>6</v>
      </c>
      <c r="F278" s="138" t="s">
        <v>295</v>
      </c>
      <c r="G278" s="111">
        <v>34.6</v>
      </c>
      <c r="H278" s="112">
        <v>432.6</v>
      </c>
      <c r="I278" s="138" t="str">
        <f t="shared" si="16"/>
        <v>OK</v>
      </c>
      <c r="J278" s="159" t="str">
        <f t="shared" si="17"/>
        <v/>
      </c>
    </row>
    <row r="279" spans="1:10" ht="24" customHeight="1" thickBot="1">
      <c r="A279" s="151" t="s">
        <v>305</v>
      </c>
      <c r="B279" s="137">
        <v>45778</v>
      </c>
      <c r="C279" s="137">
        <v>46142</v>
      </c>
      <c r="D279" s="138" t="s">
        <v>8</v>
      </c>
      <c r="E279" s="138" t="s">
        <v>6</v>
      </c>
      <c r="F279" s="138" t="s">
        <v>295</v>
      </c>
      <c r="G279" s="111">
        <v>32.01</v>
      </c>
      <c r="H279" s="112">
        <v>400.16</v>
      </c>
      <c r="I279" s="138" t="str">
        <f t="shared" si="16"/>
        <v>OK</v>
      </c>
      <c r="J279" s="159" t="str">
        <f t="shared" si="17"/>
        <v/>
      </c>
    </row>
    <row r="280" spans="1:10" ht="24" customHeight="1">
      <c r="A280" s="150" t="s">
        <v>305</v>
      </c>
      <c r="B280" s="135">
        <v>45778</v>
      </c>
      <c r="C280" s="135">
        <v>46142</v>
      </c>
      <c r="D280" s="136" t="s">
        <v>9</v>
      </c>
      <c r="E280" s="136" t="s">
        <v>6</v>
      </c>
      <c r="F280" s="136" t="s">
        <v>296</v>
      </c>
      <c r="G280" s="109">
        <v>173</v>
      </c>
      <c r="H280" s="110">
        <v>2225</v>
      </c>
      <c r="I280" s="136" t="str">
        <f t="shared" si="16"/>
        <v>OK</v>
      </c>
      <c r="J280" s="158" t="str">
        <f t="shared" si="17"/>
        <v/>
      </c>
    </row>
    <row r="281" spans="1:10" ht="24" customHeight="1">
      <c r="A281" s="151" t="s">
        <v>305</v>
      </c>
      <c r="B281" s="137">
        <v>45778</v>
      </c>
      <c r="C281" s="137">
        <v>46142</v>
      </c>
      <c r="D281" s="138" t="s">
        <v>9</v>
      </c>
      <c r="E281" s="138" t="s">
        <v>6</v>
      </c>
      <c r="F281" s="138" t="s">
        <v>296</v>
      </c>
      <c r="G281" s="111">
        <v>151.38</v>
      </c>
      <c r="H281" s="112">
        <v>1946.88</v>
      </c>
      <c r="I281" s="138" t="str">
        <f t="shared" si="16"/>
        <v>OK</v>
      </c>
      <c r="J281" s="159" t="str">
        <f t="shared" si="17"/>
        <v/>
      </c>
    </row>
    <row r="282" spans="1:10" ht="24" customHeight="1">
      <c r="A282" s="151" t="s">
        <v>305</v>
      </c>
      <c r="B282" s="137">
        <v>45778</v>
      </c>
      <c r="C282" s="137">
        <v>46142</v>
      </c>
      <c r="D282" s="138" t="s">
        <v>9</v>
      </c>
      <c r="E282" s="138" t="s">
        <v>6</v>
      </c>
      <c r="F282" s="138" t="s">
        <v>296</v>
      </c>
      <c r="G282" s="111">
        <v>138.4</v>
      </c>
      <c r="H282" s="112">
        <v>1780</v>
      </c>
      <c r="I282" s="138" t="str">
        <f t="shared" ref="I282:I313" si="18">IF($A282="","",IF(OR($B282="",$C282="",$D282="",$E282="",$F282=""),"Stammdaten fehlen",IF(AND($G282="",$H282=""),"Werte fehlen",IF($G282="","Monatsstunden fehlen",IF($H282="","Monatslohn fehlt","OK")))))</f>
        <v>OK</v>
      </c>
      <c r="J282" s="159" t="str">
        <f t="shared" ref="J282:J313" si="19">IF($G282="","",IF(COUNTIFS($A:$A,$A282,$D:$D,$D282,$G:$G,$G282)&gt;1,"Doppelte Monatsstunden",""))</f>
        <v/>
      </c>
    </row>
    <row r="283" spans="1:10" ht="24" customHeight="1">
      <c r="A283" s="151" t="s">
        <v>305</v>
      </c>
      <c r="B283" s="137">
        <v>45778</v>
      </c>
      <c r="C283" s="137">
        <v>46142</v>
      </c>
      <c r="D283" s="138" t="s">
        <v>9</v>
      </c>
      <c r="E283" s="138" t="s">
        <v>6</v>
      </c>
      <c r="F283" s="138" t="s">
        <v>296</v>
      </c>
      <c r="G283" s="111">
        <v>129.75</v>
      </c>
      <c r="H283" s="112">
        <v>1668.75</v>
      </c>
      <c r="I283" s="138" t="str">
        <f t="shared" si="18"/>
        <v>OK</v>
      </c>
      <c r="J283" s="159" t="str">
        <f t="shared" si="19"/>
        <v/>
      </c>
    </row>
    <row r="284" spans="1:10" ht="24" customHeight="1">
      <c r="A284" s="151" t="s">
        <v>305</v>
      </c>
      <c r="B284" s="137">
        <v>45778</v>
      </c>
      <c r="C284" s="137">
        <v>46142</v>
      </c>
      <c r="D284" s="138" t="s">
        <v>9</v>
      </c>
      <c r="E284" s="138" t="s">
        <v>6</v>
      </c>
      <c r="F284" s="138" t="s">
        <v>296</v>
      </c>
      <c r="G284" s="111">
        <v>108.13</v>
      </c>
      <c r="H284" s="112">
        <v>1390.63</v>
      </c>
      <c r="I284" s="138" t="str">
        <f t="shared" si="18"/>
        <v>OK</v>
      </c>
      <c r="J284" s="159" t="str">
        <f t="shared" si="19"/>
        <v/>
      </c>
    </row>
    <row r="285" spans="1:10" ht="24" customHeight="1">
      <c r="A285" s="151" t="s">
        <v>305</v>
      </c>
      <c r="B285" s="137">
        <v>45778</v>
      </c>
      <c r="C285" s="137">
        <v>46142</v>
      </c>
      <c r="D285" s="138" t="s">
        <v>9</v>
      </c>
      <c r="E285" s="138" t="s">
        <v>6</v>
      </c>
      <c r="F285" s="138" t="s">
        <v>296</v>
      </c>
      <c r="G285" s="111">
        <v>103.8</v>
      </c>
      <c r="H285" s="112">
        <v>1335</v>
      </c>
      <c r="I285" s="138" t="str">
        <f t="shared" si="18"/>
        <v>OK</v>
      </c>
      <c r="J285" s="159" t="str">
        <f t="shared" si="19"/>
        <v/>
      </c>
    </row>
    <row r="286" spans="1:10" ht="24" customHeight="1">
      <c r="A286" s="151" t="s">
        <v>305</v>
      </c>
      <c r="B286" s="137">
        <v>45778</v>
      </c>
      <c r="C286" s="137">
        <v>46142</v>
      </c>
      <c r="D286" s="138" t="s">
        <v>9</v>
      </c>
      <c r="E286" s="138" t="s">
        <v>6</v>
      </c>
      <c r="F286" s="138" t="s">
        <v>296</v>
      </c>
      <c r="G286" s="111">
        <v>86.5</v>
      </c>
      <c r="H286" s="112">
        <v>1112.5</v>
      </c>
      <c r="I286" s="138" t="str">
        <f t="shared" si="18"/>
        <v>OK</v>
      </c>
      <c r="J286" s="159" t="str">
        <f t="shared" si="19"/>
        <v/>
      </c>
    </row>
    <row r="287" spans="1:10" ht="24" customHeight="1">
      <c r="A287" s="151" t="s">
        <v>305</v>
      </c>
      <c r="B287" s="137">
        <v>45778</v>
      </c>
      <c r="C287" s="137">
        <v>46142</v>
      </c>
      <c r="D287" s="138" t="s">
        <v>9</v>
      </c>
      <c r="E287" s="138" t="s">
        <v>6</v>
      </c>
      <c r="F287" s="138" t="s">
        <v>296</v>
      </c>
      <c r="G287" s="111">
        <v>69.2</v>
      </c>
      <c r="H287" s="112">
        <v>890</v>
      </c>
      <c r="I287" s="138" t="str">
        <f t="shared" si="18"/>
        <v>OK</v>
      </c>
      <c r="J287" s="159" t="str">
        <f t="shared" si="19"/>
        <v/>
      </c>
    </row>
    <row r="288" spans="1:10" ht="24" customHeight="1">
      <c r="A288" s="151" t="s">
        <v>305</v>
      </c>
      <c r="B288" s="137">
        <v>45778</v>
      </c>
      <c r="C288" s="137">
        <v>46142</v>
      </c>
      <c r="D288" s="138" t="s">
        <v>9</v>
      </c>
      <c r="E288" s="138" t="s">
        <v>6</v>
      </c>
      <c r="F288" s="138" t="s">
        <v>296</v>
      </c>
      <c r="G288" s="111">
        <v>51.9</v>
      </c>
      <c r="H288" s="112">
        <v>667.5</v>
      </c>
      <c r="I288" s="138" t="str">
        <f t="shared" si="18"/>
        <v>OK</v>
      </c>
      <c r="J288" s="159" t="str">
        <f t="shared" si="19"/>
        <v/>
      </c>
    </row>
    <row r="289" spans="1:10" ht="24" customHeight="1">
      <c r="A289" s="151" t="s">
        <v>305</v>
      </c>
      <c r="B289" s="137">
        <v>45778</v>
      </c>
      <c r="C289" s="137">
        <v>46142</v>
      </c>
      <c r="D289" s="138" t="s">
        <v>9</v>
      </c>
      <c r="E289" s="138" t="s">
        <v>6</v>
      </c>
      <c r="F289" s="138" t="s">
        <v>296</v>
      </c>
      <c r="G289" s="111">
        <v>47.58</v>
      </c>
      <c r="H289" s="112">
        <v>611.88</v>
      </c>
      <c r="I289" s="138" t="str">
        <f t="shared" si="18"/>
        <v>OK</v>
      </c>
      <c r="J289" s="159" t="str">
        <f t="shared" si="19"/>
        <v/>
      </c>
    </row>
    <row r="290" spans="1:10" ht="24" customHeight="1">
      <c r="A290" s="151" t="s">
        <v>305</v>
      </c>
      <c r="B290" s="137">
        <v>45778</v>
      </c>
      <c r="C290" s="137">
        <v>46142</v>
      </c>
      <c r="D290" s="138" t="s">
        <v>9</v>
      </c>
      <c r="E290" s="138" t="s">
        <v>6</v>
      </c>
      <c r="F290" s="138" t="s">
        <v>296</v>
      </c>
      <c r="G290" s="111">
        <v>43.25</v>
      </c>
      <c r="H290" s="112">
        <v>556.25</v>
      </c>
      <c r="I290" s="138" t="str">
        <f t="shared" si="18"/>
        <v>OK</v>
      </c>
      <c r="J290" s="159" t="str">
        <f t="shared" si="19"/>
        <v/>
      </c>
    </row>
    <row r="291" spans="1:10" ht="24" customHeight="1">
      <c r="A291" s="151" t="s">
        <v>305</v>
      </c>
      <c r="B291" s="137">
        <v>45778</v>
      </c>
      <c r="C291" s="137">
        <v>46142</v>
      </c>
      <c r="D291" s="138" t="s">
        <v>9</v>
      </c>
      <c r="E291" s="138" t="s">
        <v>6</v>
      </c>
      <c r="F291" s="138" t="s">
        <v>296</v>
      </c>
      <c r="G291" s="111">
        <v>34.6</v>
      </c>
      <c r="H291" s="112">
        <v>445</v>
      </c>
      <c r="I291" s="138" t="str">
        <f t="shared" si="18"/>
        <v>OK</v>
      </c>
      <c r="J291" s="159" t="str">
        <f t="shared" si="19"/>
        <v/>
      </c>
    </row>
    <row r="292" spans="1:10" ht="24" customHeight="1" thickBot="1">
      <c r="A292" s="151" t="s">
        <v>305</v>
      </c>
      <c r="B292" s="137">
        <v>45778</v>
      </c>
      <c r="C292" s="137">
        <v>46142</v>
      </c>
      <c r="D292" s="138" t="s">
        <v>9</v>
      </c>
      <c r="E292" s="138" t="s">
        <v>6</v>
      </c>
      <c r="F292" s="138" t="s">
        <v>296</v>
      </c>
      <c r="G292" s="111">
        <v>32.01</v>
      </c>
      <c r="H292" s="112">
        <v>411.63</v>
      </c>
      <c r="I292" s="138" t="str">
        <f t="shared" si="18"/>
        <v>OK</v>
      </c>
      <c r="J292" s="159" t="str">
        <f t="shared" si="19"/>
        <v/>
      </c>
    </row>
    <row r="293" spans="1:10" ht="24" customHeight="1">
      <c r="A293" s="152" t="s">
        <v>305</v>
      </c>
      <c r="B293" s="143">
        <v>45778</v>
      </c>
      <c r="C293" s="143">
        <v>46142</v>
      </c>
      <c r="D293" s="144" t="s">
        <v>304</v>
      </c>
      <c r="E293" s="144" t="s">
        <v>10</v>
      </c>
      <c r="F293" s="144" t="s">
        <v>293</v>
      </c>
      <c r="G293" s="113">
        <v>173</v>
      </c>
      <c r="H293" s="114">
        <v>2300</v>
      </c>
      <c r="I293" s="144" t="str">
        <f t="shared" si="18"/>
        <v>OK</v>
      </c>
      <c r="J293" s="160" t="str">
        <f t="shared" si="19"/>
        <v/>
      </c>
    </row>
    <row r="294" spans="1:10" ht="24" customHeight="1">
      <c r="A294" s="153" t="s">
        <v>305</v>
      </c>
      <c r="B294" s="145">
        <v>45778</v>
      </c>
      <c r="C294" s="145">
        <v>46142</v>
      </c>
      <c r="D294" s="146" t="s">
        <v>304</v>
      </c>
      <c r="E294" s="146" t="s">
        <v>10</v>
      </c>
      <c r="F294" s="146" t="s">
        <v>293</v>
      </c>
      <c r="G294" s="115">
        <v>151.38</v>
      </c>
      <c r="H294" s="116">
        <v>2012.5</v>
      </c>
      <c r="I294" s="146" t="str">
        <f t="shared" si="18"/>
        <v>OK</v>
      </c>
      <c r="J294" s="161" t="str">
        <f t="shared" si="19"/>
        <v/>
      </c>
    </row>
    <row r="295" spans="1:10" ht="24" customHeight="1">
      <c r="A295" s="153" t="s">
        <v>305</v>
      </c>
      <c r="B295" s="145">
        <v>45778</v>
      </c>
      <c r="C295" s="145">
        <v>46142</v>
      </c>
      <c r="D295" s="146" t="s">
        <v>304</v>
      </c>
      <c r="E295" s="146" t="s">
        <v>10</v>
      </c>
      <c r="F295" s="146" t="s">
        <v>293</v>
      </c>
      <c r="G295" s="115">
        <v>138.4</v>
      </c>
      <c r="H295" s="116">
        <v>1840</v>
      </c>
      <c r="I295" s="146" t="str">
        <f t="shared" si="18"/>
        <v>OK</v>
      </c>
      <c r="J295" s="161" t="str">
        <f t="shared" si="19"/>
        <v/>
      </c>
    </row>
    <row r="296" spans="1:10" ht="24" customHeight="1">
      <c r="A296" s="153" t="s">
        <v>305</v>
      </c>
      <c r="B296" s="145">
        <v>45778</v>
      </c>
      <c r="C296" s="145">
        <v>46142</v>
      </c>
      <c r="D296" s="146" t="s">
        <v>304</v>
      </c>
      <c r="E296" s="146" t="s">
        <v>10</v>
      </c>
      <c r="F296" s="146" t="s">
        <v>293</v>
      </c>
      <c r="G296" s="115">
        <v>129.75</v>
      </c>
      <c r="H296" s="116">
        <v>1725</v>
      </c>
      <c r="I296" s="146" t="str">
        <f t="shared" si="18"/>
        <v>OK</v>
      </c>
      <c r="J296" s="161" t="str">
        <f t="shared" si="19"/>
        <v/>
      </c>
    </row>
    <row r="297" spans="1:10" ht="24" customHeight="1">
      <c r="A297" s="153" t="s">
        <v>305</v>
      </c>
      <c r="B297" s="145">
        <v>45778</v>
      </c>
      <c r="C297" s="145">
        <v>46142</v>
      </c>
      <c r="D297" s="146" t="s">
        <v>304</v>
      </c>
      <c r="E297" s="146" t="s">
        <v>10</v>
      </c>
      <c r="F297" s="146" t="s">
        <v>293</v>
      </c>
      <c r="G297" s="115">
        <v>108.13</v>
      </c>
      <c r="H297" s="116">
        <v>1437.5</v>
      </c>
      <c r="I297" s="146" t="str">
        <f t="shared" si="18"/>
        <v>OK</v>
      </c>
      <c r="J297" s="161" t="str">
        <f t="shared" si="19"/>
        <v/>
      </c>
    </row>
    <row r="298" spans="1:10" ht="24" customHeight="1">
      <c r="A298" s="153" t="s">
        <v>305</v>
      </c>
      <c r="B298" s="145">
        <v>45778</v>
      </c>
      <c r="C298" s="145">
        <v>46142</v>
      </c>
      <c r="D298" s="146" t="s">
        <v>304</v>
      </c>
      <c r="E298" s="146" t="s">
        <v>10</v>
      </c>
      <c r="F298" s="146" t="s">
        <v>293</v>
      </c>
      <c r="G298" s="115">
        <v>103.8</v>
      </c>
      <c r="H298" s="116">
        <v>1380</v>
      </c>
      <c r="I298" s="146" t="str">
        <f t="shared" si="18"/>
        <v>OK</v>
      </c>
      <c r="J298" s="161" t="str">
        <f t="shared" si="19"/>
        <v/>
      </c>
    </row>
    <row r="299" spans="1:10" ht="24" customHeight="1">
      <c r="A299" s="153" t="s">
        <v>305</v>
      </c>
      <c r="B299" s="145">
        <v>45778</v>
      </c>
      <c r="C299" s="145">
        <v>46142</v>
      </c>
      <c r="D299" s="146" t="s">
        <v>304</v>
      </c>
      <c r="E299" s="146" t="s">
        <v>10</v>
      </c>
      <c r="F299" s="146" t="s">
        <v>293</v>
      </c>
      <c r="G299" s="115">
        <v>86.5</v>
      </c>
      <c r="H299" s="116">
        <v>1150</v>
      </c>
      <c r="I299" s="146" t="str">
        <f t="shared" si="18"/>
        <v>OK</v>
      </c>
      <c r="J299" s="161" t="str">
        <f t="shared" si="19"/>
        <v/>
      </c>
    </row>
    <row r="300" spans="1:10" ht="24" customHeight="1">
      <c r="A300" s="153" t="s">
        <v>305</v>
      </c>
      <c r="B300" s="145">
        <v>45778</v>
      </c>
      <c r="C300" s="145">
        <v>46142</v>
      </c>
      <c r="D300" s="146" t="s">
        <v>304</v>
      </c>
      <c r="E300" s="146" t="s">
        <v>10</v>
      </c>
      <c r="F300" s="146" t="s">
        <v>293</v>
      </c>
      <c r="G300" s="115">
        <v>69.2</v>
      </c>
      <c r="H300" s="116">
        <v>920</v>
      </c>
      <c r="I300" s="146" t="str">
        <f t="shared" si="18"/>
        <v>OK</v>
      </c>
      <c r="J300" s="161" t="str">
        <f t="shared" si="19"/>
        <v/>
      </c>
    </row>
    <row r="301" spans="1:10" ht="24" customHeight="1">
      <c r="A301" s="153" t="s">
        <v>305</v>
      </c>
      <c r="B301" s="145">
        <v>45778</v>
      </c>
      <c r="C301" s="145">
        <v>46142</v>
      </c>
      <c r="D301" s="146" t="s">
        <v>304</v>
      </c>
      <c r="E301" s="146" t="s">
        <v>10</v>
      </c>
      <c r="F301" s="146" t="s">
        <v>293</v>
      </c>
      <c r="G301" s="115">
        <v>51.9</v>
      </c>
      <c r="H301" s="116">
        <v>690</v>
      </c>
      <c r="I301" s="146" t="str">
        <f t="shared" si="18"/>
        <v>OK</v>
      </c>
      <c r="J301" s="161" t="str">
        <f t="shared" si="19"/>
        <v/>
      </c>
    </row>
    <row r="302" spans="1:10" ht="24" customHeight="1">
      <c r="A302" s="153" t="s">
        <v>305</v>
      </c>
      <c r="B302" s="145">
        <v>45778</v>
      </c>
      <c r="C302" s="145">
        <v>46142</v>
      </c>
      <c r="D302" s="146" t="s">
        <v>304</v>
      </c>
      <c r="E302" s="146" t="s">
        <v>10</v>
      </c>
      <c r="F302" s="146" t="s">
        <v>293</v>
      </c>
      <c r="G302" s="115">
        <v>47.58</v>
      </c>
      <c r="H302" s="116">
        <v>632.5</v>
      </c>
      <c r="I302" s="146" t="str">
        <f t="shared" si="18"/>
        <v>OK</v>
      </c>
      <c r="J302" s="161" t="str">
        <f t="shared" si="19"/>
        <v/>
      </c>
    </row>
    <row r="303" spans="1:10" ht="24" customHeight="1">
      <c r="A303" s="153" t="s">
        <v>305</v>
      </c>
      <c r="B303" s="145">
        <v>45778</v>
      </c>
      <c r="C303" s="145">
        <v>46142</v>
      </c>
      <c r="D303" s="146" t="s">
        <v>304</v>
      </c>
      <c r="E303" s="146" t="s">
        <v>10</v>
      </c>
      <c r="F303" s="146" t="s">
        <v>293</v>
      </c>
      <c r="G303" s="115">
        <v>43.25</v>
      </c>
      <c r="H303" s="116">
        <v>575</v>
      </c>
      <c r="I303" s="146" t="str">
        <f t="shared" si="18"/>
        <v>OK</v>
      </c>
      <c r="J303" s="161" t="str">
        <f t="shared" si="19"/>
        <v/>
      </c>
    </row>
    <row r="304" spans="1:10" ht="24" customHeight="1">
      <c r="A304" s="153" t="s">
        <v>305</v>
      </c>
      <c r="B304" s="145">
        <v>45778</v>
      </c>
      <c r="C304" s="145">
        <v>46142</v>
      </c>
      <c r="D304" s="146" t="s">
        <v>304</v>
      </c>
      <c r="E304" s="146" t="s">
        <v>10</v>
      </c>
      <c r="F304" s="146" t="s">
        <v>293</v>
      </c>
      <c r="G304" s="115">
        <v>34.6</v>
      </c>
      <c r="H304" s="116">
        <v>460</v>
      </c>
      <c r="I304" s="146" t="str">
        <f t="shared" si="18"/>
        <v>OK</v>
      </c>
      <c r="J304" s="161" t="str">
        <f t="shared" si="19"/>
        <v/>
      </c>
    </row>
    <row r="305" spans="1:10" ht="24" customHeight="1" thickBot="1">
      <c r="A305" s="153" t="s">
        <v>305</v>
      </c>
      <c r="B305" s="145">
        <v>45778</v>
      </c>
      <c r="C305" s="145">
        <v>46142</v>
      </c>
      <c r="D305" s="146" t="s">
        <v>304</v>
      </c>
      <c r="E305" s="146" t="s">
        <v>10</v>
      </c>
      <c r="F305" s="146" t="s">
        <v>293</v>
      </c>
      <c r="G305" s="115">
        <v>32.01</v>
      </c>
      <c r="H305" s="116">
        <v>425.5</v>
      </c>
      <c r="I305" s="146" t="str">
        <f t="shared" si="18"/>
        <v>OK</v>
      </c>
      <c r="J305" s="161" t="str">
        <f t="shared" si="19"/>
        <v/>
      </c>
    </row>
    <row r="306" spans="1:10" ht="24" customHeight="1">
      <c r="A306" s="152" t="s">
        <v>305</v>
      </c>
      <c r="B306" s="143">
        <v>45778</v>
      </c>
      <c r="C306" s="143">
        <v>46142</v>
      </c>
      <c r="D306" s="144" t="s">
        <v>11</v>
      </c>
      <c r="E306" s="144" t="s">
        <v>10</v>
      </c>
      <c r="F306" s="144" t="s">
        <v>294</v>
      </c>
      <c r="G306" s="113">
        <v>173</v>
      </c>
      <c r="H306" s="114">
        <v>2300</v>
      </c>
      <c r="I306" s="144" t="str">
        <f t="shared" si="18"/>
        <v>OK</v>
      </c>
      <c r="J306" s="160" t="str">
        <f t="shared" si="19"/>
        <v/>
      </c>
    </row>
    <row r="307" spans="1:10" ht="24" customHeight="1">
      <c r="A307" s="153" t="s">
        <v>305</v>
      </c>
      <c r="B307" s="145">
        <v>45778</v>
      </c>
      <c r="C307" s="145">
        <v>46142</v>
      </c>
      <c r="D307" s="146" t="s">
        <v>11</v>
      </c>
      <c r="E307" s="146" t="s">
        <v>10</v>
      </c>
      <c r="F307" s="146" t="s">
        <v>294</v>
      </c>
      <c r="G307" s="115">
        <v>151.38</v>
      </c>
      <c r="H307" s="116">
        <v>2012.5</v>
      </c>
      <c r="I307" s="146" t="str">
        <f t="shared" si="18"/>
        <v>OK</v>
      </c>
      <c r="J307" s="161" t="str">
        <f t="shared" si="19"/>
        <v/>
      </c>
    </row>
    <row r="308" spans="1:10" ht="24" customHeight="1">
      <c r="A308" s="153" t="s">
        <v>305</v>
      </c>
      <c r="B308" s="145">
        <v>45778</v>
      </c>
      <c r="C308" s="145">
        <v>46142</v>
      </c>
      <c r="D308" s="146" t="s">
        <v>11</v>
      </c>
      <c r="E308" s="146" t="s">
        <v>10</v>
      </c>
      <c r="F308" s="146" t="s">
        <v>294</v>
      </c>
      <c r="G308" s="115">
        <v>138.4</v>
      </c>
      <c r="H308" s="116">
        <v>1840</v>
      </c>
      <c r="I308" s="146" t="str">
        <f t="shared" si="18"/>
        <v>OK</v>
      </c>
      <c r="J308" s="161" t="str">
        <f t="shared" si="19"/>
        <v/>
      </c>
    </row>
    <row r="309" spans="1:10" ht="24" customHeight="1">
      <c r="A309" s="153" t="s">
        <v>305</v>
      </c>
      <c r="B309" s="145">
        <v>45778</v>
      </c>
      <c r="C309" s="145">
        <v>46142</v>
      </c>
      <c r="D309" s="146" t="s">
        <v>11</v>
      </c>
      <c r="E309" s="146" t="s">
        <v>10</v>
      </c>
      <c r="F309" s="146" t="s">
        <v>294</v>
      </c>
      <c r="G309" s="115">
        <v>129.75</v>
      </c>
      <c r="H309" s="116">
        <v>1725</v>
      </c>
      <c r="I309" s="146" t="str">
        <f t="shared" si="18"/>
        <v>OK</v>
      </c>
      <c r="J309" s="161" t="str">
        <f t="shared" si="19"/>
        <v/>
      </c>
    </row>
    <row r="310" spans="1:10" ht="24" customHeight="1">
      <c r="A310" s="153" t="s">
        <v>305</v>
      </c>
      <c r="B310" s="145">
        <v>45778</v>
      </c>
      <c r="C310" s="145">
        <v>46142</v>
      </c>
      <c r="D310" s="146" t="s">
        <v>11</v>
      </c>
      <c r="E310" s="146" t="s">
        <v>10</v>
      </c>
      <c r="F310" s="146" t="s">
        <v>294</v>
      </c>
      <c r="G310" s="115">
        <v>108.13</v>
      </c>
      <c r="H310" s="116">
        <v>1437.5</v>
      </c>
      <c r="I310" s="146" t="str">
        <f t="shared" si="18"/>
        <v>OK</v>
      </c>
      <c r="J310" s="161" t="str">
        <f t="shared" si="19"/>
        <v/>
      </c>
    </row>
    <row r="311" spans="1:10" ht="24" customHeight="1">
      <c r="A311" s="153" t="s">
        <v>305</v>
      </c>
      <c r="B311" s="145">
        <v>45778</v>
      </c>
      <c r="C311" s="145">
        <v>46142</v>
      </c>
      <c r="D311" s="146" t="s">
        <v>11</v>
      </c>
      <c r="E311" s="146" t="s">
        <v>10</v>
      </c>
      <c r="F311" s="146" t="s">
        <v>294</v>
      </c>
      <c r="G311" s="115">
        <v>103.8</v>
      </c>
      <c r="H311" s="116">
        <v>1380</v>
      </c>
      <c r="I311" s="146" t="str">
        <f t="shared" si="18"/>
        <v>OK</v>
      </c>
      <c r="J311" s="161" t="str">
        <f t="shared" si="19"/>
        <v/>
      </c>
    </row>
    <row r="312" spans="1:10" ht="24" customHeight="1">
      <c r="A312" s="153" t="s">
        <v>305</v>
      </c>
      <c r="B312" s="145">
        <v>45778</v>
      </c>
      <c r="C312" s="145">
        <v>46142</v>
      </c>
      <c r="D312" s="146" t="s">
        <v>11</v>
      </c>
      <c r="E312" s="146" t="s">
        <v>10</v>
      </c>
      <c r="F312" s="146" t="s">
        <v>294</v>
      </c>
      <c r="G312" s="115">
        <v>86.5</v>
      </c>
      <c r="H312" s="116">
        <v>1150</v>
      </c>
      <c r="I312" s="146" t="str">
        <f t="shared" si="18"/>
        <v>OK</v>
      </c>
      <c r="J312" s="161" t="str">
        <f t="shared" si="19"/>
        <v/>
      </c>
    </row>
    <row r="313" spans="1:10" ht="24" customHeight="1">
      <c r="A313" s="153" t="s">
        <v>305</v>
      </c>
      <c r="B313" s="145">
        <v>45778</v>
      </c>
      <c r="C313" s="145">
        <v>46142</v>
      </c>
      <c r="D313" s="146" t="s">
        <v>11</v>
      </c>
      <c r="E313" s="146" t="s">
        <v>10</v>
      </c>
      <c r="F313" s="146" t="s">
        <v>294</v>
      </c>
      <c r="G313" s="115">
        <v>69.2</v>
      </c>
      <c r="H313" s="116">
        <v>920</v>
      </c>
      <c r="I313" s="146" t="str">
        <f t="shared" si="18"/>
        <v>OK</v>
      </c>
      <c r="J313" s="161" t="str">
        <f t="shared" si="19"/>
        <v/>
      </c>
    </row>
    <row r="314" spans="1:10" ht="24" customHeight="1">
      <c r="A314" s="153" t="s">
        <v>305</v>
      </c>
      <c r="B314" s="145">
        <v>45778</v>
      </c>
      <c r="C314" s="145">
        <v>46142</v>
      </c>
      <c r="D314" s="146" t="s">
        <v>11</v>
      </c>
      <c r="E314" s="146" t="s">
        <v>10</v>
      </c>
      <c r="F314" s="146" t="s">
        <v>294</v>
      </c>
      <c r="G314" s="115">
        <v>51.9</v>
      </c>
      <c r="H314" s="116">
        <v>690</v>
      </c>
      <c r="I314" s="146" t="str">
        <f t="shared" ref="I314:I344" si="20">IF($A314="","",IF(OR($B314="",$C314="",$D314="",$E314="",$F314=""),"Stammdaten fehlen",IF(AND($G314="",$H314=""),"Werte fehlen",IF($G314="","Monatsstunden fehlen",IF($H314="","Monatslohn fehlt","OK")))))</f>
        <v>OK</v>
      </c>
      <c r="J314" s="161" t="str">
        <f t="shared" ref="J314:J344" si="21">IF($G314="","",IF(COUNTIFS($A:$A,$A314,$D:$D,$D314,$G:$G,$G314)&gt;1,"Doppelte Monatsstunden",""))</f>
        <v/>
      </c>
    </row>
    <row r="315" spans="1:10" ht="24" customHeight="1">
      <c r="A315" s="153" t="s">
        <v>305</v>
      </c>
      <c r="B315" s="145">
        <v>45778</v>
      </c>
      <c r="C315" s="145">
        <v>46142</v>
      </c>
      <c r="D315" s="146" t="s">
        <v>11</v>
      </c>
      <c r="E315" s="146" t="s">
        <v>10</v>
      </c>
      <c r="F315" s="146" t="s">
        <v>294</v>
      </c>
      <c r="G315" s="115">
        <v>47.58</v>
      </c>
      <c r="H315" s="116">
        <v>632.5</v>
      </c>
      <c r="I315" s="146" t="str">
        <f t="shared" si="20"/>
        <v>OK</v>
      </c>
      <c r="J315" s="161" t="str">
        <f t="shared" si="21"/>
        <v/>
      </c>
    </row>
    <row r="316" spans="1:10" ht="24" customHeight="1">
      <c r="A316" s="153" t="s">
        <v>305</v>
      </c>
      <c r="B316" s="145">
        <v>45778</v>
      </c>
      <c r="C316" s="145">
        <v>46142</v>
      </c>
      <c r="D316" s="146" t="s">
        <v>11</v>
      </c>
      <c r="E316" s="146" t="s">
        <v>10</v>
      </c>
      <c r="F316" s="146" t="s">
        <v>294</v>
      </c>
      <c r="G316" s="115">
        <v>43.25</v>
      </c>
      <c r="H316" s="116">
        <v>575</v>
      </c>
      <c r="I316" s="146" t="str">
        <f t="shared" si="20"/>
        <v>OK</v>
      </c>
      <c r="J316" s="161" t="str">
        <f t="shared" si="21"/>
        <v/>
      </c>
    </row>
    <row r="317" spans="1:10" ht="24" customHeight="1">
      <c r="A317" s="153" t="s">
        <v>305</v>
      </c>
      <c r="B317" s="145">
        <v>45778</v>
      </c>
      <c r="C317" s="145">
        <v>46142</v>
      </c>
      <c r="D317" s="146" t="s">
        <v>11</v>
      </c>
      <c r="E317" s="146" t="s">
        <v>10</v>
      </c>
      <c r="F317" s="146" t="s">
        <v>294</v>
      </c>
      <c r="G317" s="115">
        <v>34.6</v>
      </c>
      <c r="H317" s="116">
        <v>460</v>
      </c>
      <c r="I317" s="146" t="str">
        <f t="shared" si="20"/>
        <v>OK</v>
      </c>
      <c r="J317" s="161" t="str">
        <f t="shared" si="21"/>
        <v/>
      </c>
    </row>
    <row r="318" spans="1:10" ht="24" customHeight="1" thickBot="1">
      <c r="A318" s="153" t="s">
        <v>305</v>
      </c>
      <c r="B318" s="145">
        <v>45778</v>
      </c>
      <c r="C318" s="145">
        <v>46142</v>
      </c>
      <c r="D318" s="146" t="s">
        <v>11</v>
      </c>
      <c r="E318" s="146" t="s">
        <v>10</v>
      </c>
      <c r="F318" s="146" t="s">
        <v>294</v>
      </c>
      <c r="G318" s="115">
        <v>32.01</v>
      </c>
      <c r="H318" s="116">
        <v>425.5</v>
      </c>
      <c r="I318" s="146" t="str">
        <f t="shared" si="20"/>
        <v>OK</v>
      </c>
      <c r="J318" s="161" t="str">
        <f t="shared" si="21"/>
        <v/>
      </c>
    </row>
    <row r="319" spans="1:10" ht="24" customHeight="1">
      <c r="A319" s="152" t="s">
        <v>305</v>
      </c>
      <c r="B319" s="143">
        <v>45778</v>
      </c>
      <c r="C319" s="143">
        <v>46142</v>
      </c>
      <c r="D319" s="144" t="s">
        <v>12</v>
      </c>
      <c r="E319" s="144" t="s">
        <v>10</v>
      </c>
      <c r="F319" s="144" t="s">
        <v>295</v>
      </c>
      <c r="G319" s="113">
        <v>173</v>
      </c>
      <c r="H319" s="114">
        <v>2300</v>
      </c>
      <c r="I319" s="144" t="str">
        <f t="shared" si="20"/>
        <v>OK</v>
      </c>
      <c r="J319" s="160" t="str">
        <f t="shared" si="21"/>
        <v/>
      </c>
    </row>
    <row r="320" spans="1:10" ht="24" customHeight="1">
      <c r="A320" s="153" t="s">
        <v>305</v>
      </c>
      <c r="B320" s="145">
        <v>45778</v>
      </c>
      <c r="C320" s="145">
        <v>46142</v>
      </c>
      <c r="D320" s="146" t="s">
        <v>12</v>
      </c>
      <c r="E320" s="146" t="s">
        <v>10</v>
      </c>
      <c r="F320" s="146" t="s">
        <v>295</v>
      </c>
      <c r="G320" s="115">
        <v>151.38</v>
      </c>
      <c r="H320" s="116">
        <v>2012.5</v>
      </c>
      <c r="I320" s="146" t="str">
        <f t="shared" si="20"/>
        <v>OK</v>
      </c>
      <c r="J320" s="161" t="str">
        <f t="shared" si="21"/>
        <v/>
      </c>
    </row>
    <row r="321" spans="1:10" ht="24" customHeight="1">
      <c r="A321" s="153" t="s">
        <v>305</v>
      </c>
      <c r="B321" s="145">
        <v>45778</v>
      </c>
      <c r="C321" s="145">
        <v>46142</v>
      </c>
      <c r="D321" s="146" t="s">
        <v>12</v>
      </c>
      <c r="E321" s="146" t="s">
        <v>10</v>
      </c>
      <c r="F321" s="146" t="s">
        <v>295</v>
      </c>
      <c r="G321" s="115">
        <v>138.4</v>
      </c>
      <c r="H321" s="116">
        <v>1840</v>
      </c>
      <c r="I321" s="146" t="str">
        <f t="shared" si="20"/>
        <v>OK</v>
      </c>
      <c r="J321" s="161" t="str">
        <f t="shared" si="21"/>
        <v/>
      </c>
    </row>
    <row r="322" spans="1:10" ht="24" customHeight="1">
      <c r="A322" s="153" t="s">
        <v>305</v>
      </c>
      <c r="B322" s="145">
        <v>45778</v>
      </c>
      <c r="C322" s="145">
        <v>46142</v>
      </c>
      <c r="D322" s="146" t="s">
        <v>12</v>
      </c>
      <c r="E322" s="146" t="s">
        <v>10</v>
      </c>
      <c r="F322" s="146" t="s">
        <v>295</v>
      </c>
      <c r="G322" s="115">
        <v>129.75</v>
      </c>
      <c r="H322" s="116">
        <v>1725</v>
      </c>
      <c r="I322" s="146" t="str">
        <f t="shared" si="20"/>
        <v>OK</v>
      </c>
      <c r="J322" s="161" t="str">
        <f t="shared" si="21"/>
        <v/>
      </c>
    </row>
    <row r="323" spans="1:10" ht="24" customHeight="1">
      <c r="A323" s="153" t="s">
        <v>305</v>
      </c>
      <c r="B323" s="145">
        <v>45778</v>
      </c>
      <c r="C323" s="145">
        <v>46142</v>
      </c>
      <c r="D323" s="146" t="s">
        <v>12</v>
      </c>
      <c r="E323" s="146" t="s">
        <v>10</v>
      </c>
      <c r="F323" s="146" t="s">
        <v>295</v>
      </c>
      <c r="G323" s="115">
        <v>108.13</v>
      </c>
      <c r="H323" s="116">
        <v>1437.5</v>
      </c>
      <c r="I323" s="146" t="str">
        <f t="shared" si="20"/>
        <v>OK</v>
      </c>
      <c r="J323" s="161" t="str">
        <f t="shared" si="21"/>
        <v/>
      </c>
    </row>
    <row r="324" spans="1:10" ht="24" customHeight="1">
      <c r="A324" s="153" t="s">
        <v>305</v>
      </c>
      <c r="B324" s="145">
        <v>45778</v>
      </c>
      <c r="C324" s="145">
        <v>46142</v>
      </c>
      <c r="D324" s="146" t="s">
        <v>12</v>
      </c>
      <c r="E324" s="146" t="s">
        <v>10</v>
      </c>
      <c r="F324" s="146" t="s">
        <v>295</v>
      </c>
      <c r="G324" s="115">
        <v>103.8</v>
      </c>
      <c r="H324" s="116">
        <v>1380</v>
      </c>
      <c r="I324" s="146" t="str">
        <f t="shared" si="20"/>
        <v>OK</v>
      </c>
      <c r="J324" s="161" t="str">
        <f t="shared" si="21"/>
        <v/>
      </c>
    </row>
    <row r="325" spans="1:10" ht="24" customHeight="1">
      <c r="A325" s="153" t="s">
        <v>305</v>
      </c>
      <c r="B325" s="145">
        <v>45778</v>
      </c>
      <c r="C325" s="145">
        <v>46142</v>
      </c>
      <c r="D325" s="146" t="s">
        <v>12</v>
      </c>
      <c r="E325" s="146" t="s">
        <v>10</v>
      </c>
      <c r="F325" s="146" t="s">
        <v>295</v>
      </c>
      <c r="G325" s="115">
        <v>86.5</v>
      </c>
      <c r="H325" s="116">
        <v>1150</v>
      </c>
      <c r="I325" s="146" t="str">
        <f t="shared" si="20"/>
        <v>OK</v>
      </c>
      <c r="J325" s="161" t="str">
        <f t="shared" si="21"/>
        <v/>
      </c>
    </row>
    <row r="326" spans="1:10" ht="24" customHeight="1">
      <c r="A326" s="153" t="s">
        <v>305</v>
      </c>
      <c r="B326" s="145">
        <v>45778</v>
      </c>
      <c r="C326" s="145">
        <v>46142</v>
      </c>
      <c r="D326" s="146" t="s">
        <v>12</v>
      </c>
      <c r="E326" s="146" t="s">
        <v>10</v>
      </c>
      <c r="F326" s="146" t="s">
        <v>295</v>
      </c>
      <c r="G326" s="115">
        <v>69.2</v>
      </c>
      <c r="H326" s="116">
        <v>920</v>
      </c>
      <c r="I326" s="146" t="str">
        <f t="shared" si="20"/>
        <v>OK</v>
      </c>
      <c r="J326" s="161" t="str">
        <f t="shared" si="21"/>
        <v/>
      </c>
    </row>
    <row r="327" spans="1:10" ht="24" customHeight="1">
      <c r="A327" s="153" t="s">
        <v>305</v>
      </c>
      <c r="B327" s="145">
        <v>45778</v>
      </c>
      <c r="C327" s="145">
        <v>46142</v>
      </c>
      <c r="D327" s="146" t="s">
        <v>12</v>
      </c>
      <c r="E327" s="146" t="s">
        <v>10</v>
      </c>
      <c r="F327" s="146" t="s">
        <v>295</v>
      </c>
      <c r="G327" s="115">
        <v>51.9</v>
      </c>
      <c r="H327" s="116">
        <v>690</v>
      </c>
      <c r="I327" s="146" t="str">
        <f t="shared" si="20"/>
        <v>OK</v>
      </c>
      <c r="J327" s="161" t="str">
        <f t="shared" si="21"/>
        <v/>
      </c>
    </row>
    <row r="328" spans="1:10" ht="24" customHeight="1">
      <c r="A328" s="153" t="s">
        <v>305</v>
      </c>
      <c r="B328" s="145">
        <v>45778</v>
      </c>
      <c r="C328" s="145">
        <v>46142</v>
      </c>
      <c r="D328" s="146" t="s">
        <v>12</v>
      </c>
      <c r="E328" s="146" t="s">
        <v>10</v>
      </c>
      <c r="F328" s="146" t="s">
        <v>295</v>
      </c>
      <c r="G328" s="115">
        <v>47.58</v>
      </c>
      <c r="H328" s="116">
        <v>632.5</v>
      </c>
      <c r="I328" s="146" t="str">
        <f t="shared" si="20"/>
        <v>OK</v>
      </c>
      <c r="J328" s="161" t="str">
        <f t="shared" si="21"/>
        <v/>
      </c>
    </row>
    <row r="329" spans="1:10" ht="24" customHeight="1">
      <c r="A329" s="153" t="s">
        <v>305</v>
      </c>
      <c r="B329" s="145">
        <v>45778</v>
      </c>
      <c r="C329" s="145">
        <v>46142</v>
      </c>
      <c r="D329" s="146" t="s">
        <v>12</v>
      </c>
      <c r="E329" s="146" t="s">
        <v>10</v>
      </c>
      <c r="F329" s="146" t="s">
        <v>295</v>
      </c>
      <c r="G329" s="115">
        <v>43.25</v>
      </c>
      <c r="H329" s="116">
        <v>575</v>
      </c>
      <c r="I329" s="146" t="str">
        <f t="shared" si="20"/>
        <v>OK</v>
      </c>
      <c r="J329" s="161" t="str">
        <f t="shared" si="21"/>
        <v/>
      </c>
    </row>
    <row r="330" spans="1:10" ht="24" customHeight="1">
      <c r="A330" s="153" t="s">
        <v>305</v>
      </c>
      <c r="B330" s="145">
        <v>45778</v>
      </c>
      <c r="C330" s="145">
        <v>46142</v>
      </c>
      <c r="D330" s="146" t="s">
        <v>12</v>
      </c>
      <c r="E330" s="146" t="s">
        <v>10</v>
      </c>
      <c r="F330" s="146" t="s">
        <v>295</v>
      </c>
      <c r="G330" s="115">
        <v>34.6</v>
      </c>
      <c r="H330" s="116">
        <v>460</v>
      </c>
      <c r="I330" s="146" t="str">
        <f t="shared" si="20"/>
        <v>OK</v>
      </c>
      <c r="J330" s="161" t="str">
        <f t="shared" si="21"/>
        <v/>
      </c>
    </row>
    <row r="331" spans="1:10" ht="24" customHeight="1" thickBot="1">
      <c r="A331" s="153" t="s">
        <v>305</v>
      </c>
      <c r="B331" s="145">
        <v>45778</v>
      </c>
      <c r="C331" s="145">
        <v>46142</v>
      </c>
      <c r="D331" s="146" t="s">
        <v>12</v>
      </c>
      <c r="E331" s="146" t="s">
        <v>10</v>
      </c>
      <c r="F331" s="146" t="s">
        <v>295</v>
      </c>
      <c r="G331" s="115">
        <v>32.01</v>
      </c>
      <c r="H331" s="116">
        <v>425.5</v>
      </c>
      <c r="I331" s="146" t="str">
        <f t="shared" si="20"/>
        <v>OK</v>
      </c>
      <c r="J331" s="161" t="str">
        <f t="shared" si="21"/>
        <v/>
      </c>
    </row>
    <row r="332" spans="1:10" ht="24" customHeight="1">
      <c r="A332" s="152" t="s">
        <v>305</v>
      </c>
      <c r="B332" s="143">
        <v>45778</v>
      </c>
      <c r="C332" s="143">
        <v>46142</v>
      </c>
      <c r="D332" s="144" t="s">
        <v>13</v>
      </c>
      <c r="E332" s="144" t="s">
        <v>10</v>
      </c>
      <c r="F332" s="144" t="s">
        <v>296</v>
      </c>
      <c r="G332" s="113">
        <v>173</v>
      </c>
      <c r="H332" s="114">
        <v>2328</v>
      </c>
      <c r="I332" s="144" t="str">
        <f t="shared" si="20"/>
        <v>OK</v>
      </c>
      <c r="J332" s="160" t="str">
        <f t="shared" si="21"/>
        <v/>
      </c>
    </row>
    <row r="333" spans="1:10" ht="24" customHeight="1">
      <c r="A333" s="153" t="s">
        <v>305</v>
      </c>
      <c r="B333" s="145">
        <v>45778</v>
      </c>
      <c r="C333" s="145">
        <v>46142</v>
      </c>
      <c r="D333" s="146" t="s">
        <v>13</v>
      </c>
      <c r="E333" s="146" t="s">
        <v>10</v>
      </c>
      <c r="F333" s="146" t="s">
        <v>296</v>
      </c>
      <c r="G333" s="115">
        <v>151.38</v>
      </c>
      <c r="H333" s="116">
        <v>2037</v>
      </c>
      <c r="I333" s="146" t="str">
        <f t="shared" si="20"/>
        <v>OK</v>
      </c>
      <c r="J333" s="161" t="str">
        <f t="shared" si="21"/>
        <v/>
      </c>
    </row>
    <row r="334" spans="1:10" ht="24" customHeight="1">
      <c r="A334" s="153" t="s">
        <v>305</v>
      </c>
      <c r="B334" s="145">
        <v>45778</v>
      </c>
      <c r="C334" s="145">
        <v>46142</v>
      </c>
      <c r="D334" s="146" t="s">
        <v>13</v>
      </c>
      <c r="E334" s="146" t="s">
        <v>10</v>
      </c>
      <c r="F334" s="146" t="s">
        <v>296</v>
      </c>
      <c r="G334" s="115">
        <v>138.4</v>
      </c>
      <c r="H334" s="116">
        <v>1862.4</v>
      </c>
      <c r="I334" s="146" t="str">
        <f t="shared" si="20"/>
        <v>OK</v>
      </c>
      <c r="J334" s="161" t="str">
        <f t="shared" si="21"/>
        <v/>
      </c>
    </row>
    <row r="335" spans="1:10" ht="24" customHeight="1">
      <c r="A335" s="153" t="s">
        <v>305</v>
      </c>
      <c r="B335" s="145">
        <v>45778</v>
      </c>
      <c r="C335" s="145">
        <v>46142</v>
      </c>
      <c r="D335" s="146" t="s">
        <v>13</v>
      </c>
      <c r="E335" s="146" t="s">
        <v>10</v>
      </c>
      <c r="F335" s="146" t="s">
        <v>296</v>
      </c>
      <c r="G335" s="115">
        <v>129.75</v>
      </c>
      <c r="H335" s="116">
        <v>1476</v>
      </c>
      <c r="I335" s="146" t="str">
        <f t="shared" si="20"/>
        <v>OK</v>
      </c>
      <c r="J335" s="161" t="str">
        <f t="shared" si="21"/>
        <v/>
      </c>
    </row>
    <row r="336" spans="1:10" ht="24" customHeight="1">
      <c r="A336" s="153" t="s">
        <v>305</v>
      </c>
      <c r="B336" s="145">
        <v>45778</v>
      </c>
      <c r="C336" s="145">
        <v>46142</v>
      </c>
      <c r="D336" s="146" t="s">
        <v>13</v>
      </c>
      <c r="E336" s="146" t="s">
        <v>10</v>
      </c>
      <c r="F336" s="146" t="s">
        <v>296</v>
      </c>
      <c r="G336" s="115">
        <v>108.13</v>
      </c>
      <c r="H336" s="116">
        <v>1455</v>
      </c>
      <c r="I336" s="146" t="str">
        <f t="shared" si="20"/>
        <v>OK</v>
      </c>
      <c r="J336" s="161" t="str">
        <f t="shared" si="21"/>
        <v/>
      </c>
    </row>
    <row r="337" spans="1:10" ht="24" customHeight="1">
      <c r="A337" s="153" t="s">
        <v>305</v>
      </c>
      <c r="B337" s="145">
        <v>45778</v>
      </c>
      <c r="C337" s="145">
        <v>46142</v>
      </c>
      <c r="D337" s="146" t="s">
        <v>13</v>
      </c>
      <c r="E337" s="146" t="s">
        <v>10</v>
      </c>
      <c r="F337" s="146" t="s">
        <v>296</v>
      </c>
      <c r="G337" s="115">
        <v>103.8</v>
      </c>
      <c r="H337" s="116">
        <v>1396.8</v>
      </c>
      <c r="I337" s="146" t="str">
        <f t="shared" si="20"/>
        <v>OK</v>
      </c>
      <c r="J337" s="161" t="str">
        <f t="shared" si="21"/>
        <v/>
      </c>
    </row>
    <row r="338" spans="1:10" ht="24" customHeight="1">
      <c r="A338" s="153" t="s">
        <v>305</v>
      </c>
      <c r="B338" s="145">
        <v>45778</v>
      </c>
      <c r="C338" s="145">
        <v>46142</v>
      </c>
      <c r="D338" s="146" t="s">
        <v>13</v>
      </c>
      <c r="E338" s="146" t="s">
        <v>10</v>
      </c>
      <c r="F338" s="146" t="s">
        <v>296</v>
      </c>
      <c r="G338" s="115">
        <v>86.5</v>
      </c>
      <c r="H338" s="116">
        <v>1164</v>
      </c>
      <c r="I338" s="146" t="str">
        <f t="shared" si="20"/>
        <v>OK</v>
      </c>
      <c r="J338" s="161" t="str">
        <f t="shared" si="21"/>
        <v/>
      </c>
    </row>
    <row r="339" spans="1:10" ht="24" customHeight="1">
      <c r="A339" s="153" t="s">
        <v>305</v>
      </c>
      <c r="B339" s="145">
        <v>45778</v>
      </c>
      <c r="C339" s="145">
        <v>46142</v>
      </c>
      <c r="D339" s="146" t="s">
        <v>13</v>
      </c>
      <c r="E339" s="146" t="s">
        <v>10</v>
      </c>
      <c r="F339" s="146" t="s">
        <v>296</v>
      </c>
      <c r="G339" s="115">
        <v>69.2</v>
      </c>
      <c r="H339" s="116">
        <v>931.2</v>
      </c>
      <c r="I339" s="146" t="str">
        <f t="shared" si="20"/>
        <v>OK</v>
      </c>
      <c r="J339" s="161" t="str">
        <f t="shared" si="21"/>
        <v/>
      </c>
    </row>
    <row r="340" spans="1:10" ht="24" customHeight="1">
      <c r="A340" s="153" t="s">
        <v>305</v>
      </c>
      <c r="B340" s="145">
        <v>45778</v>
      </c>
      <c r="C340" s="145">
        <v>46142</v>
      </c>
      <c r="D340" s="146" t="s">
        <v>13</v>
      </c>
      <c r="E340" s="146" t="s">
        <v>10</v>
      </c>
      <c r="F340" s="146" t="s">
        <v>296</v>
      </c>
      <c r="G340" s="115">
        <v>51.9</v>
      </c>
      <c r="H340" s="116">
        <v>698.4</v>
      </c>
      <c r="I340" s="146" t="str">
        <f t="shared" si="20"/>
        <v>OK</v>
      </c>
      <c r="J340" s="161" t="str">
        <f t="shared" si="21"/>
        <v/>
      </c>
    </row>
    <row r="341" spans="1:10" ht="24" customHeight="1">
      <c r="A341" s="153" t="s">
        <v>305</v>
      </c>
      <c r="B341" s="145">
        <v>45778</v>
      </c>
      <c r="C341" s="145">
        <v>46142</v>
      </c>
      <c r="D341" s="146" t="s">
        <v>13</v>
      </c>
      <c r="E341" s="146" t="s">
        <v>10</v>
      </c>
      <c r="F341" s="146" t="s">
        <v>296</v>
      </c>
      <c r="G341" s="115">
        <v>47.58</v>
      </c>
      <c r="H341" s="116">
        <v>640</v>
      </c>
      <c r="I341" s="146" t="str">
        <f t="shared" si="20"/>
        <v>OK</v>
      </c>
      <c r="J341" s="161" t="str">
        <f t="shared" si="21"/>
        <v/>
      </c>
    </row>
    <row r="342" spans="1:10" ht="24" customHeight="1">
      <c r="A342" s="153" t="s">
        <v>305</v>
      </c>
      <c r="B342" s="145">
        <v>45778</v>
      </c>
      <c r="C342" s="145">
        <v>46142</v>
      </c>
      <c r="D342" s="146" t="s">
        <v>13</v>
      </c>
      <c r="E342" s="146" t="s">
        <v>10</v>
      </c>
      <c r="F342" s="146" t="s">
        <v>296</v>
      </c>
      <c r="G342" s="115">
        <v>43.25</v>
      </c>
      <c r="H342" s="116">
        <v>582</v>
      </c>
      <c r="I342" s="146" t="str">
        <f t="shared" si="20"/>
        <v>OK</v>
      </c>
      <c r="J342" s="161" t="str">
        <f t="shared" si="21"/>
        <v/>
      </c>
    </row>
    <row r="343" spans="1:10" ht="24" customHeight="1">
      <c r="A343" s="153" t="s">
        <v>305</v>
      </c>
      <c r="B343" s="145">
        <v>45778</v>
      </c>
      <c r="C343" s="145">
        <v>46142</v>
      </c>
      <c r="D343" s="146" t="s">
        <v>13</v>
      </c>
      <c r="E343" s="146" t="s">
        <v>10</v>
      </c>
      <c r="F343" s="146" t="s">
        <v>296</v>
      </c>
      <c r="G343" s="115">
        <v>34.6</v>
      </c>
      <c r="H343" s="116">
        <v>465.6</v>
      </c>
      <c r="I343" s="146" t="str">
        <f t="shared" si="20"/>
        <v>OK</v>
      </c>
      <c r="J343" s="161" t="str">
        <f t="shared" si="21"/>
        <v/>
      </c>
    </row>
    <row r="344" spans="1:10" ht="24" customHeight="1" thickBot="1">
      <c r="A344" s="163" t="s">
        <v>305</v>
      </c>
      <c r="B344" s="164">
        <v>45778</v>
      </c>
      <c r="C344" s="164">
        <v>46142</v>
      </c>
      <c r="D344" s="165" t="s">
        <v>13</v>
      </c>
      <c r="E344" s="165" t="s">
        <v>10</v>
      </c>
      <c r="F344" s="165" t="s">
        <v>296</v>
      </c>
      <c r="G344" s="117">
        <v>32.01</v>
      </c>
      <c r="H344" s="118">
        <v>430.68</v>
      </c>
      <c r="I344" s="165" t="str">
        <f t="shared" si="20"/>
        <v>OK</v>
      </c>
      <c r="J344" s="166" t="str">
        <f t="shared" si="21"/>
        <v/>
      </c>
    </row>
  </sheetData>
  <sheetProtection algorithmName="SHA-512" hashValue="osHyVfpEq2Z7PCeAHByAYwkcdPNMYvb1ZuGf2aXCdyE2FZistdVxscCjyHKAG1NbNFDTwYOMoHXZqI3hMJdx4Q==" saltValue="K5BToiZyLF6jm0VVmcN6jQ==" spinCount="100000" sheet="1" objects="1" scenarios="1" sort="0" autoFilter="0"/>
  <mergeCells count="4">
    <mergeCell ref="A1:J1"/>
    <mergeCell ref="A185:J185"/>
    <mergeCell ref="A2:H2"/>
    <mergeCell ref="A4:J4"/>
  </mergeCells>
  <phoneticPr fontId="13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498EB-A7B0-4D9D-AADA-748E52BFD0D1}">
  <sheetPr codeName="Tabelle1"/>
  <dimension ref="B1:U59"/>
  <sheetViews>
    <sheetView showGridLines="0" zoomScale="130" zoomScaleNormal="130" workbookViewId="0">
      <selection activeCell="E22" sqref="E22"/>
    </sheetView>
  </sheetViews>
  <sheetFormatPr baseColWidth="10" defaultColWidth="11.453125" defaultRowHeight="14.5"/>
  <cols>
    <col min="1" max="1" width="4" customWidth="1"/>
    <col min="2" max="2" width="18" customWidth="1"/>
    <col min="3" max="3" width="14.6328125" customWidth="1"/>
    <col min="4" max="5" width="17.6328125" customWidth="1"/>
    <col min="6" max="6" width="17" customWidth="1"/>
    <col min="7" max="7" width="3.453125" customWidth="1"/>
    <col min="9" max="9" width="10.6328125" customWidth="1"/>
    <col min="10" max="10" width="3.81640625" customWidth="1"/>
    <col min="13" max="13" width="3.453125" customWidth="1"/>
  </cols>
  <sheetData>
    <row r="1" spans="2:15" ht="15" customHeight="1">
      <c r="B1" s="122"/>
      <c r="C1" s="121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</row>
    <row r="2" spans="2:15" ht="17.25" customHeight="1"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</row>
    <row r="3" spans="2:15" ht="18" customHeight="1">
      <c r="B3" s="332" t="s">
        <v>14</v>
      </c>
      <c r="C3" s="332"/>
      <c r="D3" s="332"/>
      <c r="E3" s="332"/>
      <c r="F3" s="332"/>
      <c r="H3" s="330" t="s">
        <v>15</v>
      </c>
      <c r="I3" s="330"/>
      <c r="K3" s="334" t="s">
        <v>16</v>
      </c>
      <c r="L3" s="334"/>
      <c r="N3" s="330" t="s">
        <v>17</v>
      </c>
      <c r="O3" s="330"/>
    </row>
    <row r="4" spans="2:15" ht="15" customHeight="1">
      <c r="B4" s="332"/>
      <c r="C4" s="332"/>
      <c r="D4" s="332"/>
      <c r="E4" s="332"/>
      <c r="F4" s="332"/>
      <c r="H4" s="330"/>
      <c r="I4" s="330"/>
      <c r="K4" s="334"/>
      <c r="L4" s="334"/>
      <c r="N4" s="330"/>
      <c r="O4" s="330"/>
    </row>
    <row r="5" spans="2:15">
      <c r="B5" s="21"/>
      <c r="C5" s="21" t="s">
        <v>18</v>
      </c>
      <c r="D5" s="21" t="s">
        <v>19</v>
      </c>
      <c r="E5" s="21" t="s">
        <v>20</v>
      </c>
      <c r="F5" s="21" t="s">
        <v>21</v>
      </c>
      <c r="H5" s="331" t="s">
        <v>22</v>
      </c>
      <c r="I5" s="331"/>
      <c r="K5" s="331" t="s">
        <v>22</v>
      </c>
      <c r="L5" s="331"/>
      <c r="N5" s="331" t="s">
        <v>23</v>
      </c>
      <c r="O5" s="331"/>
    </row>
    <row r="6" spans="2:15">
      <c r="B6" s="22" t="s">
        <v>24</v>
      </c>
      <c r="C6" s="3">
        <v>400000</v>
      </c>
      <c r="D6" s="3">
        <v>100000</v>
      </c>
      <c r="E6" s="23">
        <f>Januar!$Q$37</f>
        <v>0.25</v>
      </c>
      <c r="F6" s="16">
        <v>30000</v>
      </c>
      <c r="H6" s="24" t="s">
        <v>24</v>
      </c>
      <c r="I6" s="17">
        <v>600</v>
      </c>
      <c r="K6" s="24" t="s">
        <v>24</v>
      </c>
      <c r="L6" s="17">
        <v>9300</v>
      </c>
      <c r="N6" s="24" t="s">
        <v>24</v>
      </c>
      <c r="O6" s="3">
        <v>1250</v>
      </c>
    </row>
    <row r="7" spans="2:15">
      <c r="B7" s="22" t="s">
        <v>25</v>
      </c>
      <c r="C7" s="3">
        <v>400000</v>
      </c>
      <c r="D7" s="3">
        <v>100000</v>
      </c>
      <c r="E7" s="23">
        <f>Februar!$Q$37</f>
        <v>0.25</v>
      </c>
      <c r="F7" s="16">
        <v>30000</v>
      </c>
      <c r="H7" s="24" t="s">
        <v>26</v>
      </c>
      <c r="I7" s="17">
        <v>600</v>
      </c>
      <c r="K7" s="24" t="s">
        <v>26</v>
      </c>
      <c r="L7" s="17">
        <v>9300</v>
      </c>
      <c r="N7" s="24" t="s">
        <v>26</v>
      </c>
      <c r="O7" s="3">
        <v>1250</v>
      </c>
    </row>
    <row r="8" spans="2:15">
      <c r="B8" s="22" t="s">
        <v>27</v>
      </c>
      <c r="C8" s="3">
        <v>400000</v>
      </c>
      <c r="D8" s="3">
        <v>100000</v>
      </c>
      <c r="E8" s="23">
        <f>Marz!$Q$37</f>
        <v>0.25</v>
      </c>
      <c r="F8" s="16">
        <v>30000</v>
      </c>
      <c r="H8" s="24" t="s">
        <v>27</v>
      </c>
      <c r="I8" s="17">
        <v>600</v>
      </c>
      <c r="K8" s="24" t="s">
        <v>27</v>
      </c>
      <c r="L8" s="17">
        <v>9300</v>
      </c>
      <c r="N8" s="24" t="s">
        <v>27</v>
      </c>
      <c r="O8" s="3">
        <v>1250</v>
      </c>
    </row>
    <row r="9" spans="2:15">
      <c r="B9" s="22" t="s">
        <v>28</v>
      </c>
      <c r="C9" s="3">
        <v>400000</v>
      </c>
      <c r="D9" s="3">
        <v>100000</v>
      </c>
      <c r="E9" s="23">
        <f>April!$Q$37</f>
        <v>0.25</v>
      </c>
      <c r="F9" s="16">
        <v>30000</v>
      </c>
      <c r="H9" s="24" t="s">
        <v>28</v>
      </c>
      <c r="I9" s="17">
        <v>600</v>
      </c>
      <c r="K9" s="24" t="s">
        <v>28</v>
      </c>
      <c r="L9" s="17">
        <v>9300</v>
      </c>
      <c r="N9" s="24" t="s">
        <v>28</v>
      </c>
      <c r="O9" s="3">
        <v>1250</v>
      </c>
    </row>
    <row r="10" spans="2:15">
      <c r="B10" s="22" t="s">
        <v>29</v>
      </c>
      <c r="C10" s="3">
        <v>400000</v>
      </c>
      <c r="D10" s="3">
        <v>100000</v>
      </c>
      <c r="E10" s="23">
        <f>Mai!$Q$37</f>
        <v>0.25</v>
      </c>
      <c r="F10" s="16">
        <v>30000</v>
      </c>
      <c r="H10" s="24" t="s">
        <v>29</v>
      </c>
      <c r="I10" s="17">
        <v>600</v>
      </c>
      <c r="K10" s="24" t="s">
        <v>29</v>
      </c>
      <c r="L10" s="17">
        <v>9300</v>
      </c>
      <c r="N10" s="24" t="s">
        <v>29</v>
      </c>
      <c r="O10" s="3">
        <v>1250</v>
      </c>
    </row>
    <row r="11" spans="2:15">
      <c r="B11" s="22" t="s">
        <v>30</v>
      </c>
      <c r="C11" s="3">
        <v>400000</v>
      </c>
      <c r="D11" s="3">
        <v>100000</v>
      </c>
      <c r="E11" s="23">
        <f>Juni!$Q$37</f>
        <v>0.25</v>
      </c>
      <c r="F11" s="16">
        <v>30000</v>
      </c>
      <c r="H11" s="24" t="s">
        <v>30</v>
      </c>
      <c r="I11" s="17">
        <v>600</v>
      </c>
      <c r="K11" s="24" t="s">
        <v>30</v>
      </c>
      <c r="L11" s="17">
        <v>9300</v>
      </c>
      <c r="N11" s="24" t="s">
        <v>30</v>
      </c>
      <c r="O11" s="3">
        <v>1250</v>
      </c>
    </row>
    <row r="12" spans="2:15">
      <c r="B12" s="22" t="s">
        <v>31</v>
      </c>
      <c r="C12" s="3">
        <v>400000</v>
      </c>
      <c r="D12" s="3">
        <v>100000</v>
      </c>
      <c r="E12" s="23">
        <f>Juli!$Q$37</f>
        <v>0.25</v>
      </c>
      <c r="F12" s="16">
        <v>30000</v>
      </c>
      <c r="H12" s="24" t="s">
        <v>31</v>
      </c>
      <c r="I12" s="17">
        <v>600</v>
      </c>
      <c r="K12" s="24" t="s">
        <v>31</v>
      </c>
      <c r="L12" s="17">
        <v>9300</v>
      </c>
      <c r="N12" s="24" t="s">
        <v>31</v>
      </c>
      <c r="O12" s="3">
        <v>1250</v>
      </c>
    </row>
    <row r="13" spans="2:15">
      <c r="B13" s="22" t="s">
        <v>32</v>
      </c>
      <c r="C13" s="3">
        <v>400000</v>
      </c>
      <c r="D13" s="3">
        <v>100000</v>
      </c>
      <c r="E13" s="23">
        <f>August!$Q$37</f>
        <v>0.25</v>
      </c>
      <c r="F13" s="16">
        <v>30000</v>
      </c>
      <c r="H13" s="24" t="s">
        <v>32</v>
      </c>
      <c r="I13" s="17">
        <v>620</v>
      </c>
      <c r="K13" s="24" t="s">
        <v>32</v>
      </c>
      <c r="L13" s="17">
        <v>9300</v>
      </c>
      <c r="N13" s="24" t="s">
        <v>32</v>
      </c>
      <c r="O13" s="3">
        <v>1250</v>
      </c>
    </row>
    <row r="14" spans="2:15">
      <c r="B14" s="22" t="s">
        <v>33</v>
      </c>
      <c r="C14" s="3">
        <v>400000</v>
      </c>
      <c r="D14" s="3">
        <v>100000</v>
      </c>
      <c r="E14" s="23">
        <f>September!$Q$37</f>
        <v>0.25</v>
      </c>
      <c r="F14" s="16">
        <v>30000</v>
      </c>
      <c r="H14" s="24" t="s">
        <v>33</v>
      </c>
      <c r="I14" s="17">
        <v>600</v>
      </c>
      <c r="K14" s="24" t="s">
        <v>33</v>
      </c>
      <c r="L14" s="17">
        <v>9300</v>
      </c>
      <c r="N14" s="24" t="s">
        <v>33</v>
      </c>
      <c r="O14" s="3">
        <v>1250</v>
      </c>
    </row>
    <row r="15" spans="2:15">
      <c r="B15" s="22" t="s">
        <v>34</v>
      </c>
      <c r="C15" s="3">
        <v>400000</v>
      </c>
      <c r="D15" s="3">
        <v>100000</v>
      </c>
      <c r="E15" s="23">
        <f>Oktober!$Q$37</f>
        <v>0.25</v>
      </c>
      <c r="F15" s="16">
        <v>30000</v>
      </c>
      <c r="H15" s="24" t="s">
        <v>34</v>
      </c>
      <c r="I15" s="17">
        <v>600</v>
      </c>
      <c r="K15" s="24" t="s">
        <v>34</v>
      </c>
      <c r="L15" s="17">
        <v>9300</v>
      </c>
      <c r="N15" s="24" t="s">
        <v>34</v>
      </c>
      <c r="O15" s="3">
        <v>1250</v>
      </c>
    </row>
    <row r="16" spans="2:15">
      <c r="B16" s="22" t="s">
        <v>35</v>
      </c>
      <c r="C16" s="3">
        <v>400000</v>
      </c>
      <c r="D16" s="3">
        <v>100000</v>
      </c>
      <c r="E16" s="23">
        <f>November!$Q$37</f>
        <v>0.25</v>
      </c>
      <c r="F16" s="16">
        <v>30000</v>
      </c>
      <c r="H16" s="24" t="s">
        <v>35</v>
      </c>
      <c r="I16" s="17">
        <v>600</v>
      </c>
      <c r="K16" s="24" t="s">
        <v>35</v>
      </c>
      <c r="L16" s="17">
        <v>9300</v>
      </c>
      <c r="N16" s="24" t="s">
        <v>35</v>
      </c>
      <c r="O16" s="3">
        <v>1250</v>
      </c>
    </row>
    <row r="17" spans="2:21">
      <c r="B17" s="22" t="s">
        <v>36</v>
      </c>
      <c r="C17" s="3">
        <v>400000</v>
      </c>
      <c r="D17" s="3">
        <v>100000</v>
      </c>
      <c r="E17" s="23">
        <f>Dezember!$Q$37</f>
        <v>0.25</v>
      </c>
      <c r="F17" s="16">
        <v>30000</v>
      </c>
      <c r="H17" s="24" t="s">
        <v>36</v>
      </c>
      <c r="I17" s="17">
        <v>600</v>
      </c>
      <c r="K17" s="24" t="s">
        <v>36</v>
      </c>
      <c r="L17" s="17">
        <v>9300</v>
      </c>
      <c r="N17" s="24" t="s">
        <v>36</v>
      </c>
      <c r="O17" s="3">
        <v>1250</v>
      </c>
    </row>
    <row r="19" spans="2:21" ht="14.5" customHeight="1">
      <c r="B19" s="333" t="s">
        <v>37</v>
      </c>
      <c r="C19" s="333"/>
      <c r="D19" s="333"/>
      <c r="E19" s="333"/>
      <c r="F19" s="333"/>
      <c r="H19" s="330" t="s">
        <v>38</v>
      </c>
      <c r="I19" s="330"/>
      <c r="K19" s="334" t="s">
        <v>39</v>
      </c>
      <c r="L19" s="334"/>
      <c r="N19" s="119"/>
      <c r="O19" s="119"/>
      <c r="P19" s="119"/>
      <c r="Q19" s="119"/>
      <c r="R19" s="119"/>
      <c r="S19" s="119"/>
      <c r="T19" s="119"/>
      <c r="U19" s="119"/>
    </row>
    <row r="20" spans="2:21">
      <c r="B20" s="333"/>
      <c r="C20" s="333"/>
      <c r="D20" s="333"/>
      <c r="E20" s="333"/>
      <c r="F20" s="333"/>
      <c r="H20" s="330"/>
      <c r="I20" s="330"/>
      <c r="K20" s="334"/>
      <c r="L20" s="334"/>
      <c r="N20" s="119"/>
      <c r="O20" s="119"/>
      <c r="P20" s="119"/>
      <c r="Q20" s="119"/>
      <c r="R20" s="119"/>
      <c r="S20" s="119"/>
      <c r="T20" s="119"/>
      <c r="U20" s="119"/>
    </row>
    <row r="21" spans="2:21">
      <c r="B21" s="21"/>
      <c r="C21" s="21" t="s">
        <v>18</v>
      </c>
      <c r="D21" s="21" t="s">
        <v>19</v>
      </c>
      <c r="E21" s="21" t="s">
        <v>20</v>
      </c>
      <c r="F21" s="21" t="s">
        <v>21</v>
      </c>
      <c r="H21" s="331" t="s">
        <v>22</v>
      </c>
      <c r="I21" s="331"/>
      <c r="K21" s="331" t="s">
        <v>22</v>
      </c>
      <c r="L21" s="331"/>
      <c r="N21" s="119"/>
      <c r="O21" s="119"/>
      <c r="P21" s="119"/>
      <c r="Q21" s="119"/>
      <c r="R21" s="119"/>
      <c r="S21" s="119"/>
      <c r="T21" s="119"/>
      <c r="U21" s="119"/>
    </row>
    <row r="22" spans="2:21">
      <c r="B22" s="22" t="s">
        <v>24</v>
      </c>
      <c r="C22" s="3">
        <v>425000</v>
      </c>
      <c r="D22" s="31">
        <f>UBERSICHT!G7</f>
        <v>96111.986000000004</v>
      </c>
      <c r="E22" s="23">
        <v>0.22614584941176472</v>
      </c>
      <c r="F22" s="16">
        <v>29000</v>
      </c>
      <c r="H22" s="24" t="s">
        <v>24</v>
      </c>
      <c r="I22" s="17">
        <v>150</v>
      </c>
      <c r="K22" s="24" t="s">
        <v>24</v>
      </c>
      <c r="L22" s="17">
        <v>1</v>
      </c>
      <c r="N22" s="119"/>
      <c r="O22" s="119"/>
      <c r="P22" s="119"/>
      <c r="Q22" s="119"/>
      <c r="R22" s="119"/>
      <c r="S22" s="119"/>
      <c r="T22" s="119"/>
      <c r="U22" s="119"/>
    </row>
    <row r="23" spans="2:21">
      <c r="B23" s="22" t="s">
        <v>25</v>
      </c>
      <c r="C23" s="3">
        <v>425000</v>
      </c>
      <c r="D23" s="31">
        <f>UBERSICHT!G8</f>
        <v>109771.0129</v>
      </c>
      <c r="E23" s="23">
        <v>0.25828473623529413</v>
      </c>
      <c r="F23" s="16">
        <v>29000</v>
      </c>
      <c r="H23" s="24" t="s">
        <v>26</v>
      </c>
      <c r="I23" s="17">
        <v>0</v>
      </c>
      <c r="K23" s="24" t="s">
        <v>26</v>
      </c>
      <c r="L23" s="17">
        <v>2</v>
      </c>
      <c r="N23" s="119"/>
      <c r="O23" s="119"/>
      <c r="P23" s="119"/>
      <c r="Q23" s="119"/>
      <c r="R23" s="119"/>
      <c r="S23" s="119"/>
      <c r="T23" s="119"/>
      <c r="U23" s="119"/>
    </row>
    <row r="24" spans="2:21">
      <c r="B24" s="22" t="s">
        <v>27</v>
      </c>
      <c r="C24" s="3">
        <v>430000</v>
      </c>
      <c r="D24" s="31">
        <f>UBERSICHT!G9</f>
        <v>113271.0961</v>
      </c>
      <c r="E24" s="23">
        <v>0.26342115372093022</v>
      </c>
      <c r="F24" s="16">
        <v>29000</v>
      </c>
      <c r="H24" s="24" t="s">
        <v>27</v>
      </c>
      <c r="I24" s="17">
        <v>0</v>
      </c>
      <c r="K24" s="24" t="s">
        <v>27</v>
      </c>
      <c r="L24" s="17">
        <v>3</v>
      </c>
      <c r="N24" s="119"/>
      <c r="O24" s="119"/>
      <c r="P24" s="119"/>
      <c r="Q24" s="119"/>
      <c r="R24" s="119"/>
      <c r="S24" s="119"/>
      <c r="T24" s="119"/>
      <c r="U24" s="119"/>
    </row>
    <row r="25" spans="2:21">
      <c r="B25" s="22" t="s">
        <v>28</v>
      </c>
      <c r="C25" s="3">
        <v>423000</v>
      </c>
      <c r="D25" s="31">
        <f>UBERSICHT!G11</f>
        <v>111850.4</v>
      </c>
      <c r="E25" s="23">
        <v>0.26442174940898344</v>
      </c>
      <c r="F25" s="16">
        <v>29000</v>
      </c>
      <c r="H25" s="24" t="s">
        <v>28</v>
      </c>
      <c r="I25" s="17">
        <v>150</v>
      </c>
      <c r="K25" s="24" t="s">
        <v>28</v>
      </c>
      <c r="L25" s="17">
        <v>4</v>
      </c>
      <c r="N25" s="119"/>
      <c r="O25" s="119"/>
      <c r="P25" s="119"/>
      <c r="Q25" s="119"/>
      <c r="R25" s="119"/>
      <c r="S25" s="119"/>
      <c r="T25" s="119"/>
      <c r="U25" s="119"/>
    </row>
    <row r="26" spans="2:21">
      <c r="B26" s="22" t="s">
        <v>29</v>
      </c>
      <c r="C26" s="3">
        <v>420000</v>
      </c>
      <c r="D26" s="31">
        <f>UBERSICHT!G12</f>
        <v>133750.30969999998</v>
      </c>
      <c r="E26" s="23">
        <v>0.31845311833333328</v>
      </c>
      <c r="F26" s="16">
        <v>31000</v>
      </c>
      <c r="H26" s="24" t="s">
        <v>29</v>
      </c>
      <c r="I26" s="17">
        <v>450</v>
      </c>
      <c r="K26" s="24" t="s">
        <v>29</v>
      </c>
      <c r="L26" s="17">
        <v>5</v>
      </c>
      <c r="M26" s="25"/>
      <c r="N26" s="119"/>
      <c r="O26" s="119"/>
      <c r="P26" s="119"/>
      <c r="Q26" s="119"/>
      <c r="R26" s="119"/>
      <c r="S26" s="119"/>
      <c r="T26" s="119"/>
      <c r="U26" s="119"/>
    </row>
    <row r="27" spans="2:21">
      <c r="B27" s="22" t="s">
        <v>30</v>
      </c>
      <c r="C27" s="3">
        <v>435000</v>
      </c>
      <c r="D27" s="31">
        <f>UBERSICHT!G13</f>
        <v>128297.51669999999</v>
      </c>
      <c r="E27" s="23">
        <v>0.29493681999999999</v>
      </c>
      <c r="F27" s="16">
        <v>31000</v>
      </c>
      <c r="H27" s="24" t="s">
        <v>30</v>
      </c>
      <c r="I27" s="17">
        <v>150</v>
      </c>
      <c r="K27" s="24" t="s">
        <v>30</v>
      </c>
      <c r="L27" s="17">
        <v>6</v>
      </c>
      <c r="M27" s="25"/>
      <c r="N27" s="119"/>
      <c r="O27" s="119"/>
      <c r="P27" s="119"/>
      <c r="Q27" s="119"/>
      <c r="R27" s="119"/>
      <c r="S27" s="119"/>
      <c r="T27" s="119"/>
      <c r="U27" s="119"/>
    </row>
    <row r="28" spans="2:21">
      <c r="B28" s="22" t="s">
        <v>31</v>
      </c>
      <c r="C28" s="3">
        <v>435000</v>
      </c>
      <c r="D28" s="31">
        <f>UBERSICHT!G15</f>
        <v>116275.37420000001</v>
      </c>
      <c r="E28" s="23">
        <v>0.26729971080459769</v>
      </c>
      <c r="F28" s="16">
        <v>31000</v>
      </c>
      <c r="H28" s="24" t="s">
        <v>31</v>
      </c>
      <c r="I28" s="17">
        <v>0</v>
      </c>
      <c r="K28" s="24" t="s">
        <v>31</v>
      </c>
      <c r="L28" s="17">
        <v>7</v>
      </c>
      <c r="M28" s="25"/>
      <c r="N28" s="119"/>
      <c r="O28" s="119"/>
      <c r="P28" s="119"/>
      <c r="Q28" s="119"/>
      <c r="R28" s="119"/>
      <c r="S28" s="119"/>
      <c r="T28" s="119"/>
      <c r="U28" s="119"/>
    </row>
    <row r="29" spans="2:21">
      <c r="B29" s="22" t="s">
        <v>32</v>
      </c>
      <c r="C29" s="3">
        <v>435000</v>
      </c>
      <c r="D29" s="31">
        <f>UBERSICHT!G16</f>
        <v>125232.6</v>
      </c>
      <c r="E29" s="23">
        <v>0.28789103448275866</v>
      </c>
      <c r="F29" s="16">
        <v>31000</v>
      </c>
      <c r="H29" s="24" t="s">
        <v>32</v>
      </c>
      <c r="I29" s="17">
        <v>150</v>
      </c>
      <c r="K29" s="24" t="s">
        <v>32</v>
      </c>
      <c r="L29" s="17">
        <v>8</v>
      </c>
      <c r="M29" s="25"/>
      <c r="N29" s="119"/>
      <c r="O29" s="119"/>
      <c r="P29" s="119"/>
      <c r="Q29" s="119"/>
      <c r="R29" s="119"/>
      <c r="S29" s="119"/>
      <c r="T29" s="119"/>
      <c r="U29" s="119"/>
    </row>
    <row r="30" spans="2:21">
      <c r="B30" s="22" t="s">
        <v>33</v>
      </c>
      <c r="C30" s="3">
        <v>450000</v>
      </c>
      <c r="D30" s="31">
        <f>UBERSICHT!G17</f>
        <v>122626.26669999999</v>
      </c>
      <c r="E30" s="23">
        <v>0.27250281488888889</v>
      </c>
      <c r="F30" s="16">
        <v>31000</v>
      </c>
      <c r="H30" s="24" t="s">
        <v>33</v>
      </c>
      <c r="I30" s="17">
        <v>0</v>
      </c>
      <c r="K30" s="24" t="s">
        <v>33</v>
      </c>
      <c r="L30" s="17">
        <v>9</v>
      </c>
      <c r="N30" s="119"/>
      <c r="O30" s="119"/>
      <c r="P30" s="119"/>
      <c r="Q30" s="119"/>
      <c r="R30" s="119"/>
      <c r="S30" s="119"/>
      <c r="T30" s="119"/>
      <c r="U30" s="119"/>
    </row>
    <row r="31" spans="2:21">
      <c r="B31" s="22" t="s">
        <v>34</v>
      </c>
      <c r="C31" s="3">
        <v>401000</v>
      </c>
      <c r="D31" s="31">
        <f>UBERSICHT!G19</f>
        <v>120161.4387</v>
      </c>
      <c r="E31" s="23">
        <v>0.29965446059850376</v>
      </c>
      <c r="F31" s="16">
        <v>31000</v>
      </c>
      <c r="H31" s="24" t="s">
        <v>34</v>
      </c>
      <c r="I31" s="17">
        <v>0</v>
      </c>
      <c r="K31" s="24" t="s">
        <v>34</v>
      </c>
      <c r="L31" s="17">
        <v>10</v>
      </c>
      <c r="N31" s="119"/>
      <c r="O31" s="119"/>
      <c r="P31" s="119"/>
      <c r="Q31" s="119"/>
      <c r="R31" s="119"/>
      <c r="S31" s="119"/>
      <c r="T31" s="119"/>
      <c r="U31" s="119"/>
    </row>
    <row r="32" spans="2:21">
      <c r="B32" s="22" t="s">
        <v>35</v>
      </c>
      <c r="C32" s="3">
        <v>398000</v>
      </c>
      <c r="D32" s="31">
        <f>UBERSICHT!G20</f>
        <v>118009.9333</v>
      </c>
      <c r="E32" s="23">
        <v>0.29650737010050254</v>
      </c>
      <c r="F32" s="16">
        <v>31000</v>
      </c>
      <c r="H32" s="24" t="s">
        <v>35</v>
      </c>
      <c r="I32" s="17">
        <v>150</v>
      </c>
      <c r="K32" s="24" t="s">
        <v>35</v>
      </c>
      <c r="L32" s="17">
        <v>11</v>
      </c>
      <c r="N32" s="119"/>
      <c r="O32" s="119"/>
      <c r="P32" s="119"/>
      <c r="Q32" s="119"/>
      <c r="R32" s="119"/>
      <c r="S32" s="119"/>
      <c r="T32" s="119"/>
      <c r="U32" s="119"/>
    </row>
    <row r="33" spans="2:21">
      <c r="B33" s="22" t="s">
        <v>36</v>
      </c>
      <c r="C33" s="3">
        <v>390000</v>
      </c>
      <c r="D33" s="31">
        <f>UBERSICHT!G21</f>
        <v>117276.6</v>
      </c>
      <c r="E33" s="23">
        <v>0.30070923076923078</v>
      </c>
      <c r="F33" s="16">
        <v>31000</v>
      </c>
      <c r="H33" s="24" t="s">
        <v>36</v>
      </c>
      <c r="I33" s="17">
        <v>400</v>
      </c>
      <c r="K33" s="24" t="s">
        <v>36</v>
      </c>
      <c r="L33" s="17">
        <v>12</v>
      </c>
      <c r="N33" s="119"/>
      <c r="O33" s="119"/>
      <c r="P33" s="119"/>
      <c r="Q33" s="119"/>
      <c r="R33" s="119"/>
      <c r="S33" s="119"/>
      <c r="T33" s="119"/>
      <c r="U33" s="119"/>
    </row>
    <row r="34" spans="2:21">
      <c r="N34" s="119"/>
      <c r="O34" s="119"/>
      <c r="P34" s="119"/>
      <c r="Q34" s="119"/>
      <c r="R34" s="119"/>
      <c r="S34" s="119"/>
      <c r="T34" s="119"/>
      <c r="U34" s="119"/>
    </row>
    <row r="35" spans="2:21" ht="14.5" customHeight="1">
      <c r="B35" s="123" t="s">
        <v>353</v>
      </c>
      <c r="C35" s="16">
        <v>2026</v>
      </c>
      <c r="D35" s="36"/>
      <c r="E35" s="36"/>
      <c r="N35" s="119"/>
      <c r="O35" s="119"/>
      <c r="P35" s="119"/>
      <c r="Q35" s="119"/>
      <c r="R35" s="119"/>
      <c r="S35" s="119"/>
      <c r="T35" s="119"/>
      <c r="U35" s="119"/>
    </row>
    <row r="36" spans="2:21">
      <c r="B36" s="36"/>
      <c r="C36" s="36"/>
      <c r="D36" s="36"/>
      <c r="N36" s="119"/>
      <c r="O36" s="119"/>
      <c r="P36" s="119"/>
      <c r="Q36" s="119"/>
      <c r="R36" s="119"/>
      <c r="S36" s="119"/>
      <c r="T36" s="119"/>
      <c r="U36" s="119"/>
    </row>
    <row r="37" spans="2:21" ht="15.5" hidden="1">
      <c r="B37" s="81" t="s">
        <v>194</v>
      </c>
      <c r="C37" s="81" t="s">
        <v>198</v>
      </c>
      <c r="N37" s="119"/>
      <c r="O37" s="119"/>
      <c r="P37" s="119"/>
      <c r="Q37" s="119"/>
      <c r="R37" s="119"/>
      <c r="S37" s="119"/>
      <c r="T37" s="119"/>
      <c r="U37" s="119"/>
    </row>
    <row r="38" spans="2:21" ht="15.5" hidden="1">
      <c r="B38" s="124" t="s">
        <v>199</v>
      </c>
      <c r="C38" s="79">
        <v>0</v>
      </c>
      <c r="N38" s="119"/>
      <c r="O38" s="119"/>
      <c r="P38" s="119"/>
      <c r="Q38" s="119"/>
      <c r="R38" s="119"/>
      <c r="S38" s="119"/>
      <c r="T38" s="119"/>
      <c r="U38" s="119"/>
    </row>
    <row r="39" spans="2:21" ht="15.5" hidden="1">
      <c r="B39" s="124" t="s">
        <v>200</v>
      </c>
      <c r="C39" s="79">
        <v>0</v>
      </c>
      <c r="N39" s="119"/>
      <c r="O39" s="119"/>
      <c r="P39" s="119"/>
      <c r="Q39" s="119"/>
      <c r="R39" s="119"/>
      <c r="S39" s="119"/>
      <c r="T39" s="119"/>
      <c r="U39" s="119"/>
    </row>
    <row r="40" spans="2:21" ht="15.5" hidden="1">
      <c r="B40" s="124" t="s">
        <v>196</v>
      </c>
      <c r="C40" s="79">
        <v>0</v>
      </c>
      <c r="N40" s="119"/>
      <c r="O40" s="119"/>
      <c r="P40" s="119"/>
      <c r="Q40" s="119"/>
      <c r="R40" s="119"/>
      <c r="S40" s="119"/>
      <c r="T40" s="119"/>
      <c r="U40" s="119"/>
    </row>
    <row r="41" spans="2:21" ht="15.5" hidden="1">
      <c r="B41" s="124" t="s">
        <v>201</v>
      </c>
      <c r="C41" s="79">
        <v>0</v>
      </c>
      <c r="N41" s="119"/>
      <c r="O41" s="119"/>
      <c r="P41" s="119"/>
      <c r="Q41" s="119"/>
      <c r="R41" s="119"/>
      <c r="S41" s="119"/>
      <c r="T41" s="119"/>
      <c r="U41" s="119"/>
    </row>
    <row r="42" spans="2:21" ht="15.5" hidden="1">
      <c r="B42" s="124" t="s">
        <v>202</v>
      </c>
      <c r="C42" s="79">
        <v>0.35</v>
      </c>
      <c r="N42" s="119"/>
      <c r="O42" s="119"/>
      <c r="P42" s="119"/>
      <c r="Q42" s="119"/>
      <c r="R42" s="119"/>
      <c r="S42" s="119"/>
      <c r="T42" s="119"/>
      <c r="U42" s="119"/>
    </row>
    <row r="43" spans="2:21" ht="15.5" hidden="1">
      <c r="B43" s="124" t="s">
        <v>203</v>
      </c>
      <c r="C43" s="79">
        <v>0.35</v>
      </c>
    </row>
    <row r="44" spans="2:21" ht="31" hidden="1">
      <c r="B44" s="124" t="s">
        <v>197</v>
      </c>
      <c r="C44" s="79">
        <v>0.5</v>
      </c>
    </row>
    <row r="45" spans="2:21" ht="31" hidden="1">
      <c r="B45" s="124" t="s">
        <v>204</v>
      </c>
      <c r="C45" s="79">
        <v>0.6</v>
      </c>
    </row>
    <row r="46" spans="2:21" ht="31" hidden="1">
      <c r="B46" s="124" t="s">
        <v>195</v>
      </c>
      <c r="C46" s="79">
        <v>0.75</v>
      </c>
    </row>
    <row r="47" spans="2:21" ht="31" hidden="1">
      <c r="B47" s="124" t="s">
        <v>205</v>
      </c>
      <c r="C47" s="79">
        <v>1</v>
      </c>
    </row>
    <row r="48" spans="2:21" ht="31" hidden="1">
      <c r="B48" s="124" t="s">
        <v>206</v>
      </c>
      <c r="C48" s="79">
        <v>1.1000000000000001</v>
      </c>
    </row>
    <row r="49" spans="2:3" ht="15.5" hidden="1">
      <c r="B49" s="124" t="s">
        <v>207</v>
      </c>
      <c r="C49" s="79">
        <v>0.7</v>
      </c>
    </row>
    <row r="50" spans="2:3" ht="15.5" hidden="1">
      <c r="B50" s="7"/>
      <c r="C50" s="7"/>
    </row>
    <row r="51" spans="2:3" ht="15.5" hidden="1">
      <c r="B51" s="7"/>
      <c r="C51" s="7"/>
    </row>
    <row r="52" spans="2:3" ht="15.5" hidden="1">
      <c r="B52" s="81" t="s">
        <v>208</v>
      </c>
      <c r="C52" s="81" t="s">
        <v>209</v>
      </c>
    </row>
    <row r="53" spans="2:3" ht="15.5" hidden="1">
      <c r="B53" s="80" t="s">
        <v>210</v>
      </c>
      <c r="C53" s="79">
        <v>0.3</v>
      </c>
    </row>
    <row r="54" spans="2:3" ht="15.5" hidden="1">
      <c r="B54" s="80" t="s">
        <v>211</v>
      </c>
      <c r="C54" s="79">
        <v>0.5</v>
      </c>
    </row>
    <row r="55" spans="2:3" ht="15.5" hidden="1">
      <c r="B55" s="80" t="s">
        <v>212</v>
      </c>
      <c r="C55" s="79">
        <v>0.75</v>
      </c>
    </row>
    <row r="56" spans="2:3" ht="15.5" hidden="1">
      <c r="B56" s="80" t="s">
        <v>213</v>
      </c>
      <c r="C56" s="79">
        <v>1</v>
      </c>
    </row>
    <row r="57" spans="2:3" ht="15.5" hidden="1">
      <c r="B57" s="80" t="s">
        <v>214</v>
      </c>
      <c r="C57" s="79">
        <v>1.25</v>
      </c>
    </row>
    <row r="58" spans="2:3" ht="15.5" hidden="1">
      <c r="B58" s="80" t="s">
        <v>215</v>
      </c>
      <c r="C58" s="79">
        <v>1.5</v>
      </c>
    </row>
    <row r="59" spans="2:3" ht="15.5" hidden="1">
      <c r="B59" s="80" t="s">
        <v>216</v>
      </c>
      <c r="C59" s="79">
        <v>2</v>
      </c>
    </row>
  </sheetData>
  <sheetProtection algorithmName="SHA-512" hashValue="0oa+1nJCBHnAWTWLQHYKfTZdg0IKFxPmRhQSQEzTMDr9BVYM7FRH5n67oIIyqLN2Cc3owbaqaiChMsy8rG2D2g==" saltValue="3qIAtSMVCSTnValo7KkNJg==" spinCount="100000" sheet="1" objects="1" scenarios="1" sort="0" autoFilter="0"/>
  <mergeCells count="12">
    <mergeCell ref="B19:F20"/>
    <mergeCell ref="H19:I20"/>
    <mergeCell ref="H21:I21"/>
    <mergeCell ref="K3:L4"/>
    <mergeCell ref="K5:L5"/>
    <mergeCell ref="K19:L20"/>
    <mergeCell ref="K21:L21"/>
    <mergeCell ref="N3:O4"/>
    <mergeCell ref="N5:O5"/>
    <mergeCell ref="H3:I4"/>
    <mergeCell ref="H5:I5"/>
    <mergeCell ref="B3:F4"/>
  </mergeCells>
  <pageMargins left="0.7" right="0.7" top="0.78740157499999996" bottom="0.78740157499999996" header="0.3" footer="0.3"/>
  <pageSetup paperSize="9" orientation="portrait" verticalDpi="597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3687-B48C-C149-AA6B-D0C939B88226}">
  <sheetPr codeName="Tabelle18"/>
  <dimension ref="A1:D22"/>
  <sheetViews>
    <sheetView zoomScale="118" workbookViewId="0">
      <selection activeCell="G14" sqref="G14"/>
    </sheetView>
  </sheetViews>
  <sheetFormatPr baseColWidth="10" defaultRowHeight="14.5"/>
  <cols>
    <col min="1" max="1" width="14.81640625" customWidth="1"/>
    <col min="2" max="2" width="34.81640625" customWidth="1"/>
    <col min="3" max="4" width="44.81640625" customWidth="1"/>
  </cols>
  <sheetData>
    <row r="1" spans="1:4" ht="21">
      <c r="A1" s="336" t="s">
        <v>392</v>
      </c>
      <c r="B1" s="337"/>
      <c r="C1" s="337"/>
      <c r="D1" s="337"/>
    </row>
    <row r="2" spans="1:4">
      <c r="A2" s="122" t="s">
        <v>363</v>
      </c>
      <c r="B2" s="122" t="s">
        <v>364</v>
      </c>
    </row>
    <row r="3" spans="1:4" ht="36" customHeight="1">
      <c r="A3" s="335" t="s">
        <v>393</v>
      </c>
      <c r="B3" s="335"/>
      <c r="C3" s="335"/>
      <c r="D3" s="335"/>
    </row>
    <row r="4" spans="1:4">
      <c r="A4" s="125" t="s">
        <v>222</v>
      </c>
      <c r="B4" s="125" t="s">
        <v>394</v>
      </c>
      <c r="C4" s="125" t="s">
        <v>395</v>
      </c>
      <c r="D4" s="125" t="s">
        <v>396</v>
      </c>
    </row>
    <row r="5" spans="1:4" ht="29">
      <c r="A5" s="125" t="s">
        <v>397</v>
      </c>
      <c r="B5" s="126" t="s">
        <v>398</v>
      </c>
      <c r="C5" s="127" t="s">
        <v>399</v>
      </c>
      <c r="D5" s="127" t="s">
        <v>400</v>
      </c>
    </row>
    <row r="6" spans="1:4" ht="29">
      <c r="A6" s="125" t="s">
        <v>397</v>
      </c>
      <c r="B6" s="126" t="s">
        <v>401</v>
      </c>
      <c r="C6" s="127" t="s">
        <v>402</v>
      </c>
      <c r="D6" s="127" t="s">
        <v>403</v>
      </c>
    </row>
    <row r="7" spans="1:4" ht="28" customHeight="1">
      <c r="A7" s="125" t="s">
        <v>397</v>
      </c>
      <c r="B7" s="126" t="s">
        <v>404</v>
      </c>
      <c r="C7" s="127" t="s">
        <v>405</v>
      </c>
      <c r="D7" s="127" t="s">
        <v>406</v>
      </c>
    </row>
    <row r="8" spans="1:4" ht="29">
      <c r="A8" s="125" t="s">
        <v>407</v>
      </c>
      <c r="B8" s="126" t="s">
        <v>408</v>
      </c>
      <c r="C8" s="127" t="s">
        <v>409</v>
      </c>
      <c r="D8" s="127" t="s">
        <v>410</v>
      </c>
    </row>
    <row r="9" spans="1:4" ht="28" customHeight="1">
      <c r="A9" s="125" t="s">
        <v>411</v>
      </c>
      <c r="B9" s="126" t="s">
        <v>412</v>
      </c>
      <c r="C9" s="127" t="s">
        <v>413</v>
      </c>
      <c r="D9" s="127" t="s">
        <v>414</v>
      </c>
    </row>
    <row r="10" spans="1:4" ht="29">
      <c r="A10" s="125" t="s">
        <v>411</v>
      </c>
      <c r="B10" s="126" t="s">
        <v>415</v>
      </c>
      <c r="C10" s="127" t="s">
        <v>416</v>
      </c>
      <c r="D10" s="127" t="s">
        <v>417</v>
      </c>
    </row>
    <row r="11" spans="1:4" ht="28" customHeight="1">
      <c r="A11" s="125" t="s">
        <v>411</v>
      </c>
      <c r="B11" s="126" t="s">
        <v>418</v>
      </c>
      <c r="C11" s="127" t="s">
        <v>419</v>
      </c>
      <c r="D11" s="127" t="s">
        <v>414</v>
      </c>
    </row>
    <row r="12" spans="1:4" ht="28" customHeight="1">
      <c r="A12" s="125" t="s">
        <v>411</v>
      </c>
      <c r="B12" s="126" t="s">
        <v>420</v>
      </c>
      <c r="C12" s="127" t="s">
        <v>421</v>
      </c>
      <c r="D12" s="127" t="s">
        <v>422</v>
      </c>
    </row>
    <row r="13" spans="1:4" ht="29">
      <c r="A13" s="125" t="s">
        <v>423</v>
      </c>
      <c r="B13" s="126" t="s">
        <v>424</v>
      </c>
      <c r="C13" s="127" t="s">
        <v>425</v>
      </c>
      <c r="D13" s="127" t="s">
        <v>426</v>
      </c>
    </row>
    <row r="14" spans="1:4" ht="28" customHeight="1">
      <c r="A14" s="125" t="s">
        <v>423</v>
      </c>
      <c r="B14" s="126" t="s">
        <v>427</v>
      </c>
      <c r="C14" s="127" t="s">
        <v>428</v>
      </c>
      <c r="D14" s="127" t="s">
        <v>426</v>
      </c>
    </row>
    <row r="15" spans="1:4" ht="29">
      <c r="A15" s="125" t="s">
        <v>423</v>
      </c>
      <c r="B15" s="126" t="s">
        <v>429</v>
      </c>
      <c r="C15" s="127" t="s">
        <v>430</v>
      </c>
      <c r="D15" s="127" t="s">
        <v>431</v>
      </c>
    </row>
    <row r="16" spans="1:4" ht="28" customHeight="1">
      <c r="A16" s="125" t="s">
        <v>432</v>
      </c>
      <c r="B16" s="126" t="s">
        <v>433</v>
      </c>
      <c r="C16" s="127" t="s">
        <v>434</v>
      </c>
      <c r="D16" s="127" t="s">
        <v>435</v>
      </c>
    </row>
    <row r="17" spans="1:4" ht="28" customHeight="1">
      <c r="A17" s="125" t="s">
        <v>432</v>
      </c>
      <c r="B17" s="126" t="s">
        <v>436</v>
      </c>
      <c r="C17" s="127" t="s">
        <v>437</v>
      </c>
      <c r="D17" s="127" t="s">
        <v>438</v>
      </c>
    </row>
    <row r="18" spans="1:4" ht="28" customHeight="1">
      <c r="A18" s="125" t="s">
        <v>439</v>
      </c>
      <c r="B18" s="126" t="s">
        <v>440</v>
      </c>
      <c r="C18" s="127" t="s">
        <v>441</v>
      </c>
      <c r="D18" s="127" t="s">
        <v>442</v>
      </c>
    </row>
    <row r="19" spans="1:4" ht="29">
      <c r="A19" s="125" t="s">
        <v>443</v>
      </c>
      <c r="B19" s="126" t="s">
        <v>444</v>
      </c>
      <c r="C19" s="127" t="s">
        <v>445</v>
      </c>
      <c r="D19" s="127" t="s">
        <v>446</v>
      </c>
    </row>
    <row r="20" spans="1:4" ht="28" customHeight="1">
      <c r="A20" s="125" t="s">
        <v>443</v>
      </c>
      <c r="B20" s="126" t="s">
        <v>447</v>
      </c>
      <c r="C20" s="127" t="s">
        <v>448</v>
      </c>
      <c r="D20" s="127" t="s">
        <v>449</v>
      </c>
    </row>
    <row r="21" spans="1:4" ht="28" customHeight="1">
      <c r="A21" s="125" t="s">
        <v>450</v>
      </c>
      <c r="B21" s="126" t="s">
        <v>451</v>
      </c>
      <c r="C21" s="127" t="s">
        <v>452</v>
      </c>
      <c r="D21" s="127" t="s">
        <v>453</v>
      </c>
    </row>
    <row r="22" spans="1:4" ht="43.5">
      <c r="A22" s="125" t="s">
        <v>454</v>
      </c>
      <c r="B22" s="126" t="s">
        <v>455</v>
      </c>
      <c r="C22" s="127" t="s">
        <v>456</v>
      </c>
      <c r="D22" s="127" t="s">
        <v>457</v>
      </c>
    </row>
  </sheetData>
  <sheetProtection algorithmName="SHA-512" hashValue="Q7T34rHHA8BBh9X5LrFaQHFRE5JVOhuhJpOcBwJlnhWigwMt7A4cPP3uaCsSciVwKf5pFClSlracXc++xonGEw==" saltValue="3kYF13oj6N/zCaadP5lIAw==" spinCount="100000" sheet="1" objects="1" scenarios="1" sort="0" autoFilter="0"/>
  <mergeCells count="2">
    <mergeCell ref="A3:D3"/>
    <mergeCell ref="A1:D1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A7708-1352-4EA7-A823-D3D63D9A24C6}">
  <sheetPr codeName="Tabelle3"/>
  <dimension ref="A1:AC123"/>
  <sheetViews>
    <sheetView showGridLines="0" showRowColHeaders="0" zoomScale="110" zoomScaleNormal="110" workbookViewId="0">
      <pane ySplit="2" topLeftCell="A3" activePane="bottomLeft" state="frozen"/>
      <selection activeCell="T24" sqref="T24"/>
      <selection pane="bottomLeft" activeCell="F40" sqref="F40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6" customHeight="1">
      <c r="A1" s="38">
        <v>1</v>
      </c>
      <c r="B1" s="302" t="s">
        <v>191</v>
      </c>
      <c r="C1" s="314" t="s">
        <v>40</v>
      </c>
      <c r="D1" s="286" t="s">
        <v>192</v>
      </c>
      <c r="E1" s="286" t="s">
        <v>0</v>
      </c>
      <c r="F1" s="286" t="s">
        <v>41</v>
      </c>
      <c r="G1" s="288" t="s">
        <v>42</v>
      </c>
      <c r="H1" s="305" t="s">
        <v>43</v>
      </c>
      <c r="I1" s="290" t="s">
        <v>193</v>
      </c>
      <c r="J1" s="292" t="s">
        <v>44</v>
      </c>
      <c r="K1" s="294" t="s">
        <v>45</v>
      </c>
      <c r="L1" s="296" t="s">
        <v>46</v>
      </c>
      <c r="M1" s="298" t="s">
        <v>47</v>
      </c>
      <c r="N1" s="303" t="s">
        <v>194</v>
      </c>
      <c r="AB1" s="8">
        <f>DATE(EINSTELLUNG!$C$35,$A$1,1)</f>
        <v>46023</v>
      </c>
    </row>
    <row r="2" spans="1:28" ht="16" customHeight="1" thickBot="1">
      <c r="A2" s="39"/>
      <c r="B2" s="302"/>
      <c r="C2" s="315"/>
      <c r="D2" s="287"/>
      <c r="E2" s="287"/>
      <c r="F2" s="287"/>
      <c r="G2" s="289"/>
      <c r="H2" s="306"/>
      <c r="I2" s="291"/>
      <c r="J2" s="293"/>
      <c r="K2" s="295"/>
      <c r="L2" s="297"/>
      <c r="M2" s="299"/>
      <c r="N2" s="303"/>
      <c r="AB2" s="8">
        <f>EOMONTH(DATE(EINSTELLUNG!$C$35,$A$1,1),0)</f>
        <v>46053</v>
      </c>
    </row>
    <row r="3" spans="1:28" ht="16" customHeight="1" thickBot="1">
      <c r="A3" s="40" t="s">
        <v>48</v>
      </c>
      <c r="B3" s="76">
        <v>401006</v>
      </c>
      <c r="C3" s="49" t="s">
        <v>235</v>
      </c>
      <c r="D3" s="50">
        <v>38188</v>
      </c>
      <c r="E3" s="51" t="s">
        <v>13</v>
      </c>
      <c r="F3" s="52">
        <v>173</v>
      </c>
      <c r="G3" s="88">
        <f>IF(OR(E3="",F3=""),"",PID_KVLohnLookup($A$1,E3,F3,LOHNTABELLE!$H$4))</f>
        <v>2328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61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2328</v>
      </c>
      <c r="M3" s="70"/>
      <c r="N3" s="54"/>
      <c r="O3" s="300" t="s">
        <v>49</v>
      </c>
      <c r="P3" s="300" t="s">
        <v>50</v>
      </c>
      <c r="Q3" s="307" t="s">
        <v>51</v>
      </c>
      <c r="R3" s="309" t="s">
        <v>52</v>
      </c>
      <c r="AB3" s="10"/>
    </row>
    <row r="4" spans="1:28" ht="16" customHeight="1" thickBot="1">
      <c r="A4" s="40" t="s">
        <v>53</v>
      </c>
      <c r="B4" s="77">
        <v>401010</v>
      </c>
      <c r="C4" s="42" t="s">
        <v>236</v>
      </c>
      <c r="D4" s="43">
        <v>39388</v>
      </c>
      <c r="E4" s="44" t="s">
        <v>5</v>
      </c>
      <c r="F4" s="45">
        <v>173</v>
      </c>
      <c r="G4" s="89">
        <f>IF(OR(E4="",F4=""),"",PID_KVLohnLookup($A$1,E4,F4,LOHNTABELLE!$H$4))</f>
        <v>2183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62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2183</v>
      </c>
      <c r="M4" s="71"/>
      <c r="N4" s="55"/>
      <c r="O4" s="301"/>
      <c r="P4" s="301"/>
      <c r="Q4" s="308"/>
      <c r="R4" s="310"/>
    </row>
    <row r="5" spans="1:28" ht="16" customHeight="1" thickBot="1">
      <c r="A5" s="41" t="s">
        <v>54</v>
      </c>
      <c r="B5" s="77">
        <v>401049</v>
      </c>
      <c r="C5" s="42" t="s">
        <v>237</v>
      </c>
      <c r="D5" s="43">
        <v>41130</v>
      </c>
      <c r="E5" s="44" t="s">
        <v>4</v>
      </c>
      <c r="F5" s="45">
        <v>173</v>
      </c>
      <c r="G5" s="89">
        <f>IF(OR(E5="",F5=""),"",PID_KVLohnLookup($A$1,E5,F5,LOHNTABELLE!$H$4))</f>
        <v>2123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62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2123</v>
      </c>
      <c r="M5" s="71"/>
      <c r="N5" s="55"/>
      <c r="O5" s="53" cm="1">
        <f t="array" ref="O5">SUMPRODUCT((F3:F82/4.310808)/5*2.08)</f>
        <v>722.46717552718769</v>
      </c>
      <c r="P5" s="15">
        <f>EINSTELLUNG!I6</f>
        <v>600</v>
      </c>
      <c r="Q5" s="14">
        <f>P5-O5</f>
        <v>-122.46717552718769</v>
      </c>
      <c r="R5" s="18">
        <f>IFERROR(Q5*Q42, 0)</f>
        <v>-1465.0815383420763</v>
      </c>
    </row>
    <row r="6" spans="1:28" ht="16" customHeight="1" thickBot="1">
      <c r="A6" s="40" t="s">
        <v>55</v>
      </c>
      <c r="B6" s="77">
        <v>401047</v>
      </c>
      <c r="C6" s="42" t="s">
        <v>238</v>
      </c>
      <c r="D6" s="43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62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311" t="str">
        <f>IF(Q5&lt;0, "Schlecht! Zu wenig Urlaub abgebaut.", IF(Q5&gt;0, "Gut! Mehr Urlaub abgebaut als aufgebaut.", ""))</f>
        <v>Schlecht! Zu wenig Urlaub abgebaut.</v>
      </c>
      <c r="P6" s="312"/>
      <c r="Q6" s="312"/>
      <c r="R6" s="313"/>
    </row>
    <row r="7" spans="1:28" ht="16" customHeight="1" thickBot="1">
      <c r="A7" s="40" t="s">
        <v>56</v>
      </c>
      <c r="B7" s="77">
        <v>401051</v>
      </c>
      <c r="C7" s="42" t="s">
        <v>239</v>
      </c>
      <c r="D7" s="43">
        <v>41176</v>
      </c>
      <c r="E7" s="44" t="s">
        <v>2</v>
      </c>
      <c r="F7" s="45">
        <v>173</v>
      </c>
      <c r="G7" s="89">
        <f>IF(OR(E7="",F7=""),"",PID_KVLohnLookup($A$1,E7,F7,LOHNTABELLE!$H$4))</f>
        <v>2021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62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2021</v>
      </c>
      <c r="M7" s="71"/>
      <c r="N7" s="55"/>
    </row>
    <row r="8" spans="1:28" ht="16" customHeight="1" thickBot="1">
      <c r="A8" s="40" t="s">
        <v>57</v>
      </c>
      <c r="B8" s="77">
        <v>401138</v>
      </c>
      <c r="C8" s="42" t="s">
        <v>240</v>
      </c>
      <c r="D8" s="43">
        <v>42006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62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66" t="s">
        <v>58</v>
      </c>
      <c r="P8" s="267"/>
      <c r="Q8" s="268">
        <f>SUM(H3:H82)</f>
        <v>7469.83</v>
      </c>
      <c r="R8" s="268"/>
    </row>
    <row r="9" spans="1:28" ht="16" customHeight="1" thickBot="1">
      <c r="A9" s="41" t="s">
        <v>59</v>
      </c>
      <c r="B9" s="77">
        <v>401197</v>
      </c>
      <c r="C9" s="42" t="s">
        <v>241</v>
      </c>
      <c r="D9" s="43">
        <v>42644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62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66" t="s">
        <v>60</v>
      </c>
      <c r="P9" s="267"/>
      <c r="Q9" s="268">
        <f>EINSTELLUNG!L22</f>
        <v>1</v>
      </c>
      <c r="R9" s="268"/>
      <c r="S9" s="19">
        <f>IFERROR(Q9/Q8, 0)</f>
        <v>1.3387185518278194E-4</v>
      </c>
    </row>
    <row r="10" spans="1:28" ht="16" customHeight="1" thickBot="1">
      <c r="A10" s="40" t="s">
        <v>61</v>
      </c>
      <c r="B10" s="77">
        <v>401276</v>
      </c>
      <c r="C10" s="42" t="s">
        <v>242</v>
      </c>
      <c r="D10" s="43">
        <v>43252</v>
      </c>
      <c r="E10" s="44" t="s">
        <v>3</v>
      </c>
      <c r="F10" s="45">
        <v>173</v>
      </c>
      <c r="G10" s="89">
        <f>IF(OR(E10="",F10=""),"",PID_KVLohnLookup($A$1,E10,F10,LOHNTABELLE!$H$4))</f>
        <v>2082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62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71"/>
      <c r="N10" s="55"/>
      <c r="O10" s="266" t="s">
        <v>62</v>
      </c>
      <c r="P10" s="267"/>
      <c r="Q10" s="268">
        <f>EINSTELLUNG!I22</f>
        <v>150</v>
      </c>
      <c r="R10" s="268"/>
    </row>
    <row r="11" spans="1:28" ht="16" customHeight="1" thickBot="1">
      <c r="A11" s="40" t="s">
        <v>63</v>
      </c>
      <c r="B11" s="77">
        <v>401307</v>
      </c>
      <c r="C11" s="42" t="s">
        <v>243</v>
      </c>
      <c r="D11" s="43">
        <v>43571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62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66" t="s">
        <v>64</v>
      </c>
      <c r="P11" s="267"/>
      <c r="Q11" s="268">
        <f>P5</f>
        <v>600</v>
      </c>
      <c r="R11" s="268"/>
    </row>
    <row r="12" spans="1:28" ht="16" customHeight="1" thickBot="1">
      <c r="A12" s="40" t="s">
        <v>65</v>
      </c>
      <c r="B12" s="77">
        <v>401308</v>
      </c>
      <c r="C12" s="42" t="s">
        <v>244</v>
      </c>
      <c r="D12" s="43">
        <v>43579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62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66" t="s">
        <v>66</v>
      </c>
      <c r="P12" s="267"/>
      <c r="Q12" s="272"/>
      <c r="R12" s="272"/>
    </row>
    <row r="13" spans="1:28" ht="16" customHeight="1" thickBot="1">
      <c r="A13" s="41" t="s">
        <v>67</v>
      </c>
      <c r="B13" s="77">
        <v>401394</v>
      </c>
      <c r="C13" s="42" t="s">
        <v>245</v>
      </c>
      <c r="D13" s="43">
        <v>44379</v>
      </c>
      <c r="E13" s="44" t="s">
        <v>2</v>
      </c>
      <c r="F13" s="45">
        <v>173</v>
      </c>
      <c r="G13" s="89">
        <f>IF(OR(E13="",F13=""),"",PID_KVLohnLookup($A$1,E13,F13,LOHNTABELLE!$H$4))</f>
        <v>2021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62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2021</v>
      </c>
      <c r="M13" s="71"/>
      <c r="N13" s="55"/>
      <c r="O13" s="266" t="s">
        <v>68</v>
      </c>
      <c r="P13" s="267"/>
      <c r="Q13" s="268">
        <f>Q8-Q9-Q10-Q11-Q12</f>
        <v>6718.83</v>
      </c>
      <c r="R13" s="268"/>
    </row>
    <row r="14" spans="1:28" ht="16" customHeight="1" thickBot="1">
      <c r="A14" s="40" t="s">
        <v>69</v>
      </c>
      <c r="B14" s="77">
        <v>401389</v>
      </c>
      <c r="C14" s="42" t="s">
        <v>246</v>
      </c>
      <c r="D14" s="43">
        <v>44384</v>
      </c>
      <c r="E14" s="44" t="s">
        <v>11</v>
      </c>
      <c r="F14" s="45">
        <v>173</v>
      </c>
      <c r="G14" s="89">
        <f>IF(OR(E14="",F14=""),"",PID_KVLohnLookup($A$1,E14,F14,LOHNTABELLE!$H$4))</f>
        <v>2300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62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2300</v>
      </c>
      <c r="M14" s="71"/>
      <c r="N14" s="55"/>
      <c r="O14" s="266" t="s">
        <v>70</v>
      </c>
      <c r="P14" s="267"/>
      <c r="Q14" s="268">
        <f>EINSTELLUNG!L6</f>
        <v>9300</v>
      </c>
      <c r="R14" s="268"/>
    </row>
    <row r="15" spans="1:28" ht="16" customHeight="1" thickBot="1">
      <c r="A15" s="40" t="s">
        <v>71</v>
      </c>
      <c r="B15" s="77">
        <v>401432</v>
      </c>
      <c r="C15" s="42" t="s">
        <v>247</v>
      </c>
      <c r="D15" s="43">
        <v>44441</v>
      </c>
      <c r="E15" s="44" t="s">
        <v>2</v>
      </c>
      <c r="F15" s="45">
        <v>173</v>
      </c>
      <c r="G15" s="89">
        <f>IF(OR(E15="",F15=""),"",PID_KVLohnLookup($A$1,E15,F15,LOHNTABELLE!$H$4))</f>
        <v>2021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62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2021</v>
      </c>
      <c r="M15" s="71"/>
      <c r="N15" s="55"/>
      <c r="O15" s="266" t="s">
        <v>72</v>
      </c>
      <c r="P15" s="267"/>
      <c r="Q15" s="268">
        <f>Q13-Q14</f>
        <v>-2581.17</v>
      </c>
      <c r="R15" s="268"/>
      <c r="S15" s="35"/>
      <c r="T15" s="35"/>
      <c r="U15" s="35"/>
    </row>
    <row r="16" spans="1:28" ht="16" customHeight="1" thickBot="1">
      <c r="A16" s="40" t="s">
        <v>73</v>
      </c>
      <c r="B16" s="77">
        <v>401558</v>
      </c>
      <c r="C16" s="42" t="s">
        <v>248</v>
      </c>
      <c r="D16" s="43">
        <v>44460</v>
      </c>
      <c r="E16" s="44" t="s">
        <v>2</v>
      </c>
      <c r="F16" s="45">
        <v>173</v>
      </c>
      <c r="G16" s="89">
        <f>IF(OR(E16="",F16=""),"",PID_KVLohnLookup($A$1,E16,F16,LOHNTABELLE!$H$4))</f>
        <v>2021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62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71"/>
      <c r="N16" s="55"/>
      <c r="O16" s="304" t="str">
        <f>IF(Q15&lt;0, "Schlecht! Zu wenig Stunden für Dienstplan.", IF(Q15&gt;0, "Du hast mehr als genug Stunden für Dienstplan.", ""))</f>
        <v>Schlecht! Zu wenig Stunden für Dienstplan.</v>
      </c>
      <c r="P16" s="304"/>
      <c r="Q16" s="304"/>
      <c r="R16" s="304"/>
      <c r="W16" s="12"/>
    </row>
    <row r="17" spans="1:29" ht="16" customHeight="1" thickBot="1">
      <c r="A17" s="41" t="s">
        <v>74</v>
      </c>
      <c r="B17" s="77">
        <v>401476</v>
      </c>
      <c r="C17" s="42" t="s">
        <v>249</v>
      </c>
      <c r="D17" s="43">
        <v>44504</v>
      </c>
      <c r="E17" s="44" t="s">
        <v>2</v>
      </c>
      <c r="F17" s="45">
        <v>173</v>
      </c>
      <c r="G17" s="89">
        <f>IF(OR(E17="",F17=""),"",PID_KVLohnLookup($A$1,E17,F17,LOHNTABELLE!$H$4))</f>
        <v>2021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62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71"/>
      <c r="N17" s="55"/>
      <c r="O17" s="269" t="s">
        <v>75</v>
      </c>
      <c r="P17" s="270"/>
      <c r="Q17" s="271">
        <f>SUM(L3:L82)</f>
        <v>89361.986021505378</v>
      </c>
      <c r="R17" s="271"/>
      <c r="W17" s="12"/>
    </row>
    <row r="18" spans="1:29" ht="16" customHeight="1" thickBot="1">
      <c r="A18" s="40" t="s">
        <v>76</v>
      </c>
      <c r="B18" s="77">
        <v>401479</v>
      </c>
      <c r="C18" s="42" t="s">
        <v>250</v>
      </c>
      <c r="D18" s="43">
        <v>44511</v>
      </c>
      <c r="E18" s="44" t="s">
        <v>6</v>
      </c>
      <c r="F18" s="45">
        <v>173</v>
      </c>
      <c r="G18" s="89">
        <f>IF(OR(E18="",F18=""),"",PID_KVLohnLookup($A$1,E18,F18,LOHNTABELLE!$H$4))</f>
        <v>2160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62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71"/>
      <c r="N18" s="55"/>
      <c r="O18" s="240"/>
      <c r="P18" s="241"/>
      <c r="Q18" s="263"/>
      <c r="R18" s="263"/>
    </row>
    <row r="19" spans="1:29" ht="16" customHeight="1" thickBot="1">
      <c r="A19" s="40" t="s">
        <v>77</v>
      </c>
      <c r="B19" s="77">
        <v>401481</v>
      </c>
      <c r="C19" s="42" t="s">
        <v>251</v>
      </c>
      <c r="D19" s="43">
        <v>44531</v>
      </c>
      <c r="E19" s="44" t="s">
        <v>2</v>
      </c>
      <c r="F19" s="45">
        <v>173</v>
      </c>
      <c r="G19" s="89">
        <f>IF(OR(E19="",F19=""),"",PID_KVLohnLookup($A$1,E19,F19,LOHNTABELLE!$H$4))</f>
        <v>2021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62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71"/>
      <c r="N19" s="55"/>
      <c r="O19" s="240"/>
      <c r="P19" s="241"/>
      <c r="Q19" s="263"/>
      <c r="R19" s="263"/>
    </row>
    <row r="20" spans="1:29" ht="16" customHeight="1" thickBot="1">
      <c r="A20" s="40" t="s">
        <v>78</v>
      </c>
      <c r="B20" s="77">
        <v>401564</v>
      </c>
      <c r="C20" s="42" t="s">
        <v>252</v>
      </c>
      <c r="D20" s="43">
        <v>44824</v>
      </c>
      <c r="E20" s="44" t="s">
        <v>2</v>
      </c>
      <c r="F20" s="45">
        <v>173</v>
      </c>
      <c r="G20" s="89">
        <f>IF(OR(E20="",F20=""),"",PID_KVLohnLookup($A$1,E20,F20,LOHNTABELLE!$H$4))</f>
        <v>2021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62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71"/>
      <c r="N20" s="55"/>
      <c r="O20" s="240"/>
      <c r="P20" s="241"/>
      <c r="Q20" s="263">
        <v>500</v>
      </c>
      <c r="R20" s="263"/>
    </row>
    <row r="21" spans="1:29" ht="16" customHeight="1" thickBot="1">
      <c r="A21" s="41" t="s">
        <v>80</v>
      </c>
      <c r="B21" s="77">
        <v>401089</v>
      </c>
      <c r="C21" s="42" t="s">
        <v>253</v>
      </c>
      <c r="D21" s="43">
        <v>44868</v>
      </c>
      <c r="E21" s="44" t="s">
        <v>3</v>
      </c>
      <c r="F21" s="45">
        <v>173</v>
      </c>
      <c r="G21" s="89">
        <f>IF(OR(E21="",F21=""),"",PID_KVLohnLookup($A$1,E21,F21,LOHNTABELLE!$H$4))</f>
        <v>2082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62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2082</v>
      </c>
      <c r="M21" s="71"/>
      <c r="N21" s="55"/>
      <c r="O21" s="240" t="s">
        <v>320</v>
      </c>
      <c r="P21" s="241"/>
      <c r="Q21" s="263">
        <v>5000</v>
      </c>
      <c r="R21" s="263"/>
    </row>
    <row r="22" spans="1:29" ht="16" customHeight="1" thickBot="1">
      <c r="A22" s="40" t="s">
        <v>81</v>
      </c>
      <c r="B22" s="77">
        <v>401583</v>
      </c>
      <c r="C22" s="42" t="s">
        <v>254</v>
      </c>
      <c r="D22" s="43">
        <v>44900</v>
      </c>
      <c r="E22" s="44" t="s">
        <v>13</v>
      </c>
      <c r="F22" s="45">
        <v>47.58</v>
      </c>
      <c r="G22" s="89">
        <f>IF(OR(E22="",F22=""),"",PID_KVLohnLookup($A$1,E22,F22,LOHNTABELLE!$H$4))</f>
        <v>640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47.58</v>
      </c>
      <c r="I22" s="62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640</v>
      </c>
      <c r="M22" s="71"/>
      <c r="N22" s="55"/>
      <c r="O22" s="240"/>
      <c r="P22" s="241"/>
      <c r="Q22" s="263"/>
      <c r="R22" s="263"/>
    </row>
    <row r="23" spans="1:29" ht="16" customHeight="1" thickBot="1">
      <c r="A23" s="40" t="s">
        <v>82</v>
      </c>
      <c r="B23" s="77">
        <v>401589</v>
      </c>
      <c r="C23" s="42" t="s">
        <v>255</v>
      </c>
      <c r="D23" s="43">
        <v>44926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62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240"/>
      <c r="P23" s="241"/>
      <c r="Q23" s="263"/>
      <c r="R23" s="263"/>
      <c r="W23" s="12"/>
    </row>
    <row r="24" spans="1:29" ht="16" customHeight="1" thickBot="1">
      <c r="A24" s="40" t="s">
        <v>83</v>
      </c>
      <c r="B24" s="77">
        <v>401602</v>
      </c>
      <c r="C24" s="42" t="s">
        <v>256</v>
      </c>
      <c r="D24" s="43">
        <v>45975</v>
      </c>
      <c r="E24" s="44" t="s">
        <v>2</v>
      </c>
      <c r="F24" s="45">
        <v>86.5</v>
      </c>
      <c r="G24" s="89">
        <f>IF(OR(E24="",F24=""),"",PID_KVLohnLookup($A$1,E24,F24,LOHNTABELLE!$H$4))</f>
        <v>1010.5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86.5</v>
      </c>
      <c r="I24" s="62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1010.5</v>
      </c>
      <c r="M24" s="71"/>
      <c r="N24" s="55"/>
      <c r="O24" s="240"/>
      <c r="P24" s="241"/>
      <c r="Q24" s="263"/>
      <c r="R24" s="263"/>
      <c r="W24" s="12"/>
    </row>
    <row r="25" spans="1:29" ht="16" customHeight="1" thickBot="1">
      <c r="A25" s="41" t="s">
        <v>84</v>
      </c>
      <c r="B25" s="77">
        <v>401605</v>
      </c>
      <c r="C25" s="42" t="s">
        <v>257</v>
      </c>
      <c r="D25" s="43">
        <v>44986</v>
      </c>
      <c r="E25" s="44" t="s">
        <v>2</v>
      </c>
      <c r="F25" s="45">
        <v>86.5</v>
      </c>
      <c r="G25" s="89">
        <f>IF(OR(E25="",F25=""),"",PID_KVLohnLookup($A$1,E25,F25,LOHNTABELLE!$H$4))</f>
        <v>1010.5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62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1010.5</v>
      </c>
      <c r="M25" s="71"/>
      <c r="N25" s="55"/>
      <c r="O25" s="348"/>
      <c r="P25" s="349"/>
      <c r="Q25" s="280"/>
      <c r="R25" s="280"/>
    </row>
    <row r="26" spans="1:29" ht="16" customHeight="1" thickBot="1">
      <c r="A26" s="40" t="s">
        <v>85</v>
      </c>
      <c r="B26" s="77">
        <v>401626</v>
      </c>
      <c r="C26" s="42" t="s">
        <v>258</v>
      </c>
      <c r="D26" s="43">
        <v>45063</v>
      </c>
      <c r="E26" s="44" t="s">
        <v>2</v>
      </c>
      <c r="F26" s="45">
        <v>86.5</v>
      </c>
      <c r="G26" s="89">
        <f>IF(OR(E26="",F26=""),"",PID_KVLohnLookup($A$1,E26,F26,LOHNTABELLE!$H$4))</f>
        <v>1010.5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62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1010.5</v>
      </c>
      <c r="M26" s="71"/>
      <c r="N26" s="55"/>
      <c r="O26" s="282"/>
      <c r="P26" s="350"/>
      <c r="Q26" s="283"/>
      <c r="R26" s="284"/>
    </row>
    <row r="27" spans="1:29" ht="16" customHeight="1" thickBot="1">
      <c r="A27" s="40" t="s">
        <v>86</v>
      </c>
      <c r="B27" s="77">
        <v>401633</v>
      </c>
      <c r="C27" s="42" t="s">
        <v>259</v>
      </c>
      <c r="D27" s="43">
        <v>45089</v>
      </c>
      <c r="E27" s="44" t="s">
        <v>10</v>
      </c>
      <c r="F27" s="45">
        <v>86.5</v>
      </c>
      <c r="G27" s="89">
        <f>IF(OR(E27="",F27=""),"",PID_KVLohnLookup($A$1,E27,F27,LOHNTABELLE!$H$4))</f>
        <v>1150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62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1150</v>
      </c>
      <c r="M27" s="71"/>
      <c r="N27" s="55"/>
      <c r="O27" s="240"/>
      <c r="P27" s="241"/>
      <c r="Q27" s="263"/>
      <c r="R27" s="285"/>
      <c r="S27" s="244" t="s">
        <v>87</v>
      </c>
      <c r="T27" s="245"/>
      <c r="U27" s="245"/>
      <c r="V27" s="245"/>
    </row>
    <row r="28" spans="1:29" ht="16" customHeight="1" thickBot="1">
      <c r="A28" s="40" t="s">
        <v>88</v>
      </c>
      <c r="B28" s="77">
        <v>401647</v>
      </c>
      <c r="C28" s="42" t="s">
        <v>260</v>
      </c>
      <c r="D28" s="43">
        <v>45182</v>
      </c>
      <c r="E28" s="44" t="s">
        <v>2</v>
      </c>
      <c r="F28" s="45">
        <v>86.5</v>
      </c>
      <c r="G28" s="89">
        <f>IF(OR(E28="",F28=""),"",PID_KVLohnLookup($A$1,E28,F28,LOHNTABELLE!$H$4))</f>
        <v>1010.5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62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1010.5</v>
      </c>
      <c r="M28" s="71"/>
      <c r="N28" s="55"/>
      <c r="O28" s="273"/>
      <c r="P28" s="274"/>
      <c r="Q28" s="275"/>
      <c r="R28" s="276"/>
    </row>
    <row r="29" spans="1:29" ht="16" customHeight="1" thickBot="1">
      <c r="A29" s="41" t="s">
        <v>89</v>
      </c>
      <c r="B29" s="77">
        <v>401661</v>
      </c>
      <c r="C29" s="42" t="s">
        <v>261</v>
      </c>
      <c r="D29" s="43">
        <v>45261</v>
      </c>
      <c r="E29" s="44" t="s">
        <v>2</v>
      </c>
      <c r="F29" s="45">
        <v>86.5</v>
      </c>
      <c r="G29" s="89">
        <f>IF(OR(E29="",F29=""),"",PID_KVLohnLookup($A$1,E29,F29,LOHNTABELLE!$H$4))</f>
        <v>1010.5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62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1010.5</v>
      </c>
      <c r="M29" s="71"/>
      <c r="N29" s="55"/>
      <c r="O29" s="248" t="s">
        <v>90</v>
      </c>
      <c r="P29" s="249"/>
      <c r="Q29" s="250">
        <f>EINSTELLUNG!O6</f>
        <v>1250</v>
      </c>
      <c r="R29" s="251"/>
    </row>
    <row r="30" spans="1:29" ht="16" customHeight="1" thickBot="1">
      <c r="A30" s="40" t="s">
        <v>91</v>
      </c>
      <c r="B30" s="77">
        <v>401670</v>
      </c>
      <c r="C30" s="42" t="s">
        <v>262</v>
      </c>
      <c r="D30" s="43">
        <v>45358</v>
      </c>
      <c r="E30" s="44" t="s">
        <v>2</v>
      </c>
      <c r="F30" s="45">
        <v>86.5</v>
      </c>
      <c r="G30" s="89">
        <f>IF(OR(E30="",F30=""),"",PID_KVLohnLookup($A$1,E30,F30,LOHNTABELLE!$H$4))</f>
        <v>1010.5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62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1010.5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401678</v>
      </c>
      <c r="C31" s="42" t="s">
        <v>263</v>
      </c>
      <c r="D31" s="43">
        <v>45414</v>
      </c>
      <c r="E31" s="44" t="s">
        <v>2</v>
      </c>
      <c r="F31" s="45">
        <v>86.5</v>
      </c>
      <c r="G31" s="89">
        <f>IF(OR(E31="",F31=""),"",PID_KVLohnLookup($A$1,E31,F31,LOHNTABELLE!$H$4))</f>
        <v>1010.5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62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1010.5</v>
      </c>
      <c r="M31" s="71"/>
      <c r="N31" s="55"/>
      <c r="O31" s="252">
        <v>0</v>
      </c>
      <c r="P31" s="253"/>
      <c r="Q31" s="254">
        <v>1.9607843137254902E-2</v>
      </c>
      <c r="R31" s="255"/>
    </row>
    <row r="32" spans="1:29" ht="16" customHeight="1" thickBot="1">
      <c r="A32" s="40" t="s">
        <v>94</v>
      </c>
      <c r="B32" s="77">
        <v>401691</v>
      </c>
      <c r="C32" s="42" t="s">
        <v>264</v>
      </c>
      <c r="D32" s="43">
        <v>45539</v>
      </c>
      <c r="E32" s="44" t="s">
        <v>2</v>
      </c>
      <c r="F32" s="45">
        <v>86.5</v>
      </c>
      <c r="G32" s="89">
        <f>IF(OR(E32="",F32=""),"",PID_KVLohnLookup($A$1,E32,F32,LOHNTABELLE!$H$4))</f>
        <v>1010.5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69.75</v>
      </c>
      <c r="I32" s="62">
        <v>46047</v>
      </c>
      <c r="J32" s="92">
        <v>2</v>
      </c>
      <c r="K32" s="68">
        <f t="shared" si="0"/>
        <v>67.36666666666666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882.28602150537631</v>
      </c>
      <c r="M32" s="71"/>
      <c r="N32" s="55" t="s">
        <v>197</v>
      </c>
    </row>
    <row r="33" spans="1:24" ht="16" customHeight="1" thickBot="1">
      <c r="A33" s="41" t="s">
        <v>95</v>
      </c>
      <c r="B33" s="77">
        <v>401690</v>
      </c>
      <c r="C33" s="42" t="s">
        <v>265</v>
      </c>
      <c r="D33" s="43">
        <v>45536</v>
      </c>
      <c r="E33" s="44" t="s">
        <v>2</v>
      </c>
      <c r="F33" s="45">
        <v>86.5</v>
      </c>
      <c r="G33" s="89">
        <f>IF(OR(E33="",F33=""),"",PID_KVLohnLookup($A$1,E33,F33,LOHNTABELLE!$H$4))</f>
        <v>1010.5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62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1010.5</v>
      </c>
      <c r="M33" s="71"/>
      <c r="N33" s="55"/>
      <c r="O33" s="256"/>
      <c r="P33" s="257"/>
      <c r="Q33" s="338" t="s">
        <v>96</v>
      </c>
      <c r="R33" s="339"/>
      <c r="S33" s="342" t="s">
        <v>97</v>
      </c>
      <c r="T33" s="343"/>
      <c r="U33" s="342" t="s">
        <v>98</v>
      </c>
      <c r="V33" s="343"/>
    </row>
    <row r="34" spans="1:24" ht="16" customHeight="1" thickBot="1">
      <c r="A34" s="40" t="s">
        <v>99</v>
      </c>
      <c r="B34" s="77">
        <v>401703</v>
      </c>
      <c r="C34" s="42" t="s">
        <v>266</v>
      </c>
      <c r="D34" s="43">
        <v>45616</v>
      </c>
      <c r="E34" s="44" t="s">
        <v>2</v>
      </c>
      <c r="F34" s="45">
        <v>86.5</v>
      </c>
      <c r="G34" s="89">
        <f>IF(OR(E34="",F34=""),"",PID_KVLohnLookup($A$1,E34,F34,LOHNTABELLE!$H$4))</f>
        <v>1010.5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62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1010.5</v>
      </c>
      <c r="M34" s="71"/>
      <c r="N34" s="55"/>
      <c r="O34" s="256"/>
      <c r="P34" s="257"/>
      <c r="Q34" s="340"/>
      <c r="R34" s="341"/>
      <c r="S34" s="344"/>
      <c r="T34" s="345"/>
      <c r="U34" s="344"/>
      <c r="V34" s="345"/>
    </row>
    <row r="35" spans="1:24" ht="16" customHeight="1" thickBot="1">
      <c r="A35" s="40" t="s">
        <v>100</v>
      </c>
      <c r="B35" s="77">
        <v>401214</v>
      </c>
      <c r="C35" s="42" t="s">
        <v>267</v>
      </c>
      <c r="D35" s="43">
        <v>45636</v>
      </c>
      <c r="E35" s="44" t="s">
        <v>3</v>
      </c>
      <c r="F35" s="45">
        <v>86.5</v>
      </c>
      <c r="G35" s="89">
        <f>IF(OR(E35="",F35=""),"",PID_KVLohnLookup($A$1,E35,F35,LOHNTABELLE!$H$4))</f>
        <v>1041.2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62"/>
      <c r="J35" s="92"/>
      <c r="K35" s="68">
        <f t="shared" ref="K35:K82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1041.2</v>
      </c>
      <c r="M35" s="71"/>
      <c r="N35" s="55"/>
      <c r="O35" s="264" t="s">
        <v>101</v>
      </c>
      <c r="P35" s="265"/>
      <c r="Q35" s="238">
        <f>EINSTELLUNG!C6</f>
        <v>400000</v>
      </c>
      <c r="R35" s="238"/>
      <c r="S35" s="238">
        <f>EINSTELLUNG!C22</f>
        <v>425000</v>
      </c>
      <c r="T35" s="238"/>
      <c r="U35" s="242">
        <f>S35-Q35</f>
        <v>25000</v>
      </c>
      <c r="V35" s="242"/>
    </row>
    <row r="36" spans="1:24" ht="16" customHeight="1" thickBot="1">
      <c r="A36" s="40" t="s">
        <v>102</v>
      </c>
      <c r="B36" s="77">
        <v>401715</v>
      </c>
      <c r="C36" s="42" t="s">
        <v>268</v>
      </c>
      <c r="D36" s="43">
        <v>45755</v>
      </c>
      <c r="E36" s="44" t="s">
        <v>2</v>
      </c>
      <c r="F36" s="45">
        <v>86.5</v>
      </c>
      <c r="G36" s="89">
        <f>IF(OR(E36="",F36=""),"",PID_KVLohnLookup($A$1,E36,F36,LOHNTABELLE!$H$4))</f>
        <v>1010.5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62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1010.5</v>
      </c>
      <c r="M36" s="71"/>
      <c r="N36" s="55"/>
      <c r="O36" s="264" t="s">
        <v>103</v>
      </c>
      <c r="P36" s="265"/>
      <c r="Q36" s="238">
        <f>EINSTELLUNG!D6</f>
        <v>100000</v>
      </c>
      <c r="R36" s="238"/>
      <c r="S36" s="238">
        <f>SumMergedCells(Q17:R29)</f>
        <v>96111.986000000004</v>
      </c>
      <c r="T36" s="238"/>
      <c r="U36" s="242">
        <f t="shared" ref="U36:U41" si="2">S36-Q36</f>
        <v>-3888.0139999999956</v>
      </c>
      <c r="V36" s="242"/>
    </row>
    <row r="37" spans="1:24" ht="16" customHeight="1" thickBot="1">
      <c r="A37" s="41" t="s">
        <v>104</v>
      </c>
      <c r="B37" s="77">
        <v>401716</v>
      </c>
      <c r="C37" s="42" t="s">
        <v>269</v>
      </c>
      <c r="D37" s="43">
        <v>45800</v>
      </c>
      <c r="E37" s="44" t="s">
        <v>2</v>
      </c>
      <c r="F37" s="45">
        <v>86.5</v>
      </c>
      <c r="G37" s="89">
        <f>IF(OR(E37="",F37=""),"",PID_KVLohnLookup($A$1,E37,F37,LOHNTABELLE!$H$4))</f>
        <v>1010.5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62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1010.5</v>
      </c>
      <c r="M37" s="71"/>
      <c r="N37" s="55"/>
      <c r="O37" s="264" t="s">
        <v>105</v>
      </c>
      <c r="P37" s="265"/>
      <c r="Q37" s="246">
        <f>IF(ISERROR(Q36/Q35), 0, Q36/Q35)</f>
        <v>0.25</v>
      </c>
      <c r="R37" s="246"/>
      <c r="S37" s="246">
        <f>IF(ISERROR(S36/S35), 0, S36/S35)</f>
        <v>0.22614584941176472</v>
      </c>
      <c r="T37" s="246"/>
      <c r="U37" s="247">
        <f t="shared" si="2"/>
        <v>-2.3854150588235284E-2</v>
      </c>
      <c r="V37" s="247"/>
    </row>
    <row r="38" spans="1:24" ht="16" customHeight="1" thickBot="1">
      <c r="A38" s="40" t="s">
        <v>106</v>
      </c>
      <c r="B38" s="77">
        <v>401717</v>
      </c>
      <c r="C38" s="42" t="s">
        <v>270</v>
      </c>
      <c r="D38" s="43">
        <v>45814</v>
      </c>
      <c r="E38" s="44" t="s">
        <v>2</v>
      </c>
      <c r="F38" s="45">
        <v>86.5</v>
      </c>
      <c r="G38" s="89">
        <f>IF(OR(E38="",F38=""),"",PID_KVLohnLookup($A$1,E38,F38,LOHNTABELLE!$H$4))</f>
        <v>1010.5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62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71"/>
      <c r="N38" s="55"/>
      <c r="O38" s="264" t="s">
        <v>107</v>
      </c>
      <c r="P38" s="265"/>
      <c r="Q38" s="239">
        <f>EINSTELLUNG!F6</f>
        <v>30000</v>
      </c>
      <c r="R38" s="239"/>
      <c r="S38" s="239">
        <f>EINSTELLUNG!F22</f>
        <v>29000</v>
      </c>
      <c r="T38" s="239"/>
      <c r="U38" s="243">
        <f t="shared" si="2"/>
        <v>-1000</v>
      </c>
      <c r="V38" s="243"/>
    </row>
    <row r="39" spans="1:24" ht="16" customHeight="1" thickBot="1">
      <c r="A39" s="40" t="s">
        <v>108</v>
      </c>
      <c r="B39" s="77">
        <v>401722</v>
      </c>
      <c r="C39" s="42" t="s">
        <v>271</v>
      </c>
      <c r="D39" s="43">
        <v>45848</v>
      </c>
      <c r="E39" s="44" t="s">
        <v>2</v>
      </c>
      <c r="F39" s="45">
        <v>86.5</v>
      </c>
      <c r="G39" s="89">
        <f>IF(OR(E39="",F39=""),"",PID_KVLohnLookup($A$1,E39,F39,LOHNTABELLE!$H$4))</f>
        <v>1010.5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62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71"/>
      <c r="N39" s="55"/>
      <c r="O39" s="264" t="s">
        <v>109</v>
      </c>
      <c r="P39" s="265"/>
      <c r="Q39" s="238">
        <f>IF(Q38=0, 0, Q35/Q38)</f>
        <v>13.333333333333334</v>
      </c>
      <c r="R39" s="238"/>
      <c r="S39" s="238">
        <f>IF(S38=0, 0, S35/S38)</f>
        <v>14.655172413793103</v>
      </c>
      <c r="T39" s="238"/>
      <c r="U39" s="242">
        <f t="shared" si="2"/>
        <v>1.3218390804597693</v>
      </c>
      <c r="V39" s="242"/>
    </row>
    <row r="40" spans="1:24" ht="16" customHeight="1" thickBot="1">
      <c r="A40" s="40" t="s">
        <v>110</v>
      </c>
      <c r="B40" s="77">
        <v>401723</v>
      </c>
      <c r="C40" s="42" t="s">
        <v>272</v>
      </c>
      <c r="D40" s="43">
        <v>45852</v>
      </c>
      <c r="E40" s="44" t="s">
        <v>2</v>
      </c>
      <c r="F40" s="45">
        <v>173</v>
      </c>
      <c r="G40" s="89">
        <f>IF(OR(E40="",F40=""),"",PID_KVLohnLookup($A$1,E40,F40,LOHNTABELLE!$H$4))</f>
        <v>2021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173</v>
      </c>
      <c r="I40" s="62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2021</v>
      </c>
      <c r="M40" s="71"/>
      <c r="N40" s="55"/>
      <c r="O40" s="264" t="s">
        <v>111</v>
      </c>
      <c r="P40" s="265"/>
      <c r="Q40" s="238">
        <f>IF(Q13=0, 0, Q35/Q13)</f>
        <v>59.534174848894821</v>
      </c>
      <c r="R40" s="238"/>
      <c r="S40" s="238">
        <f>IF(Q13=0, 0, S35/Q13)</f>
        <v>63.255060776950749</v>
      </c>
      <c r="T40" s="238"/>
      <c r="U40" s="242">
        <f t="shared" si="2"/>
        <v>3.7208859280559281</v>
      </c>
      <c r="V40" s="242"/>
    </row>
    <row r="41" spans="1:24" ht="16" customHeight="1" thickBot="1">
      <c r="A41" s="41" t="s">
        <v>112</v>
      </c>
      <c r="B41" s="77">
        <v>401726</v>
      </c>
      <c r="C41" s="42" t="s">
        <v>273</v>
      </c>
      <c r="D41" s="43">
        <v>45870</v>
      </c>
      <c r="E41" s="44" t="s">
        <v>2</v>
      </c>
      <c r="F41" s="45">
        <v>173</v>
      </c>
      <c r="G41" s="89">
        <f>IF(OR(E41="",F41=""),"",PID_KVLohnLookup($A$1,E41,F41,LOHNTABELLE!$H$4))</f>
        <v>2021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173</v>
      </c>
      <c r="I41" s="62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2021</v>
      </c>
      <c r="M41" s="71"/>
      <c r="N41" s="55"/>
      <c r="O41" s="264" t="s">
        <v>113</v>
      </c>
      <c r="P41" s="265"/>
      <c r="Q41" s="239">
        <f>IF(Q13=0, 0, Q38/Q13)</f>
        <v>4.4650631136671119</v>
      </c>
      <c r="R41" s="239"/>
      <c r="S41" s="239">
        <f>IF(Q13=0, 0, S38/Q13)</f>
        <v>4.3162276765448748</v>
      </c>
      <c r="T41" s="239"/>
      <c r="U41" s="243">
        <f t="shared" si="2"/>
        <v>-0.14883543712223712</v>
      </c>
      <c r="V41" s="243"/>
    </row>
    <row r="42" spans="1:24" ht="16" customHeight="1" thickBot="1">
      <c r="A42" s="40" t="s">
        <v>114</v>
      </c>
      <c r="B42" s="77">
        <v>401731</v>
      </c>
      <c r="C42" s="42" t="s">
        <v>274</v>
      </c>
      <c r="D42" s="43">
        <v>45899</v>
      </c>
      <c r="E42" s="44" t="s">
        <v>2</v>
      </c>
      <c r="F42" s="45">
        <v>173</v>
      </c>
      <c r="G42" s="89">
        <f>IF(OR(E42="",F42=""),"",PID_KVLohnLookup($A$1,E42,F42,LOHNTABELLE!$H$4))</f>
        <v>2021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173</v>
      </c>
      <c r="I42" s="62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2021</v>
      </c>
      <c r="M42" s="71"/>
      <c r="N42" s="55"/>
      <c r="O42" s="264" t="s">
        <v>115</v>
      </c>
      <c r="P42" s="265"/>
      <c r="Q42" s="235">
        <f>IFERROR(Q17/Q8, 0)</f>
        <v>11.963054851516752</v>
      </c>
      <c r="R42" s="236"/>
      <c r="S42" s="236"/>
      <c r="T42" s="236"/>
      <c r="U42" s="236"/>
      <c r="V42" s="237"/>
    </row>
    <row r="43" spans="1:24" ht="16" customHeight="1" thickBot="1">
      <c r="A43" s="40" t="s">
        <v>116</v>
      </c>
      <c r="B43" s="77">
        <v>401730</v>
      </c>
      <c r="C43" s="42" t="s">
        <v>275</v>
      </c>
      <c r="D43" s="43">
        <v>45895</v>
      </c>
      <c r="E43" s="44" t="s">
        <v>2</v>
      </c>
      <c r="F43" s="45">
        <v>173</v>
      </c>
      <c r="G43" s="89">
        <f>IF(OR(E43="",F43=""),"",PID_KVLohnLookup($A$1,E43,F43,LOHNTABELLE!$H$4))</f>
        <v>2021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173</v>
      </c>
      <c r="I43" s="62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2021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2" t="s">
        <v>276</v>
      </c>
      <c r="D44" s="43">
        <v>45904</v>
      </c>
      <c r="E44" s="44" t="s">
        <v>2</v>
      </c>
      <c r="F44" s="45">
        <v>173</v>
      </c>
      <c r="G44" s="89">
        <f>IF(OR(E44="",F44=""),"",PID_KVLohnLookup($A$1,E44,F44,LOHNTABELLE!$H$4))</f>
        <v>2021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173</v>
      </c>
      <c r="I44" s="62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2021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2" t="s">
        <v>277</v>
      </c>
      <c r="D45" s="43">
        <v>45906</v>
      </c>
      <c r="E45" s="44" t="s">
        <v>2</v>
      </c>
      <c r="F45" s="45">
        <v>173</v>
      </c>
      <c r="G45" s="89">
        <f>IF(OR(E45="",F45=""),"",PID_KVLohnLookup($A$1,E45,F45,LOHNTABELLE!$H$4))</f>
        <v>2021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173</v>
      </c>
      <c r="I45" s="62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2021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2" t="s">
        <v>278</v>
      </c>
      <c r="D46" s="43">
        <v>45906</v>
      </c>
      <c r="E46" s="44" t="s">
        <v>2</v>
      </c>
      <c r="F46" s="45">
        <v>173</v>
      </c>
      <c r="G46" s="89">
        <f>IF(OR(E46="",F46=""),"",PID_KVLohnLookup($A$1,E46,F46,LOHNTABELLE!$H$4))</f>
        <v>2021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173</v>
      </c>
      <c r="I46" s="62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2021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2" t="s">
        <v>279</v>
      </c>
      <c r="D47" s="43">
        <v>45909</v>
      </c>
      <c r="E47" s="44" t="s">
        <v>2</v>
      </c>
      <c r="F47" s="45">
        <v>173</v>
      </c>
      <c r="G47" s="89">
        <f>IF(OR(E47="",F47=""),"",PID_KVLohnLookup($A$1,E47,F47,LOHNTABELLE!$H$4))</f>
        <v>2021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173</v>
      </c>
      <c r="I47" s="62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2021</v>
      </c>
      <c r="M47" s="71"/>
      <c r="N47" s="55"/>
    </row>
    <row r="48" spans="1:24" ht="16" customHeight="1" thickBot="1">
      <c r="A48" s="40" t="s">
        <v>122</v>
      </c>
      <c r="B48" s="77">
        <v>401747</v>
      </c>
      <c r="C48" s="46" t="s">
        <v>280</v>
      </c>
      <c r="D48" s="47">
        <v>45941</v>
      </c>
      <c r="E48" s="44" t="s">
        <v>2</v>
      </c>
      <c r="F48" s="45">
        <v>173</v>
      </c>
      <c r="G48" s="89">
        <f>IF(OR(E48="",F48=""),"",PID_KVLohnLookup($A$1,E48,F48,LOHNTABELLE!$H$4))</f>
        <v>2021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173</v>
      </c>
      <c r="I48" s="62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2021</v>
      </c>
      <c r="M48" s="71"/>
      <c r="N48" s="55"/>
    </row>
    <row r="49" spans="1:14" ht="16" customHeight="1" thickBot="1">
      <c r="A49" s="41" t="s">
        <v>123</v>
      </c>
      <c r="B49" s="77">
        <v>401748</v>
      </c>
      <c r="C49" s="46" t="s">
        <v>281</v>
      </c>
      <c r="D49" s="47">
        <v>45941</v>
      </c>
      <c r="E49" s="44" t="s">
        <v>2</v>
      </c>
      <c r="F49" s="45">
        <v>173</v>
      </c>
      <c r="G49" s="89">
        <f>IF(OR(E49="",F49=""),"",PID_KVLohnLookup($A$1,E49,F49,LOHNTABELLE!$H$4))</f>
        <v>2021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62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2021</v>
      </c>
      <c r="M49" s="71"/>
      <c r="N49" s="55"/>
    </row>
    <row r="50" spans="1:14" ht="16" customHeight="1" thickBot="1">
      <c r="A50" s="40" t="s">
        <v>124</v>
      </c>
      <c r="B50" s="77">
        <v>401746</v>
      </c>
      <c r="C50" s="48" t="s">
        <v>282</v>
      </c>
      <c r="D50" s="47">
        <v>45941</v>
      </c>
      <c r="E50" s="44" t="s">
        <v>2</v>
      </c>
      <c r="F50" s="45">
        <v>173</v>
      </c>
      <c r="G50" s="89">
        <f>IF(OR(E50="",F50=""),"",PID_KVLohnLookup($A$1,E50,F50,LOHNTABELLE!$H$4))</f>
        <v>2021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62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2021</v>
      </c>
      <c r="M50" s="71"/>
      <c r="N50" s="55"/>
    </row>
    <row r="51" spans="1:14" ht="16" customHeight="1" thickBot="1">
      <c r="A51" s="40" t="s">
        <v>125</v>
      </c>
      <c r="B51" s="77">
        <v>401745</v>
      </c>
      <c r="C51" s="46" t="s">
        <v>283</v>
      </c>
      <c r="D51" s="47">
        <v>45934</v>
      </c>
      <c r="E51" s="44" t="s">
        <v>2</v>
      </c>
      <c r="F51" s="45">
        <v>173</v>
      </c>
      <c r="G51" s="89">
        <f>IF(OR(E51="",F51=""),"",PID_KVLohnLookup($A$1,E51,F51,LOHNTABELLE!$H$4))</f>
        <v>2021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62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2021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47">
        <v>45961</v>
      </c>
      <c r="E52" s="44" t="s">
        <v>2</v>
      </c>
      <c r="F52" s="45">
        <v>173</v>
      </c>
      <c r="G52" s="89">
        <f>IF(OR(E52="",F52=""),"",PID_KVLohnLookup($A$1,E52,F52,LOHNTABELLE!$H$4))</f>
        <v>2021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62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2021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47">
        <v>45986</v>
      </c>
      <c r="E53" s="44" t="s">
        <v>2</v>
      </c>
      <c r="F53" s="45">
        <v>173</v>
      </c>
      <c r="G53" s="89">
        <f>IF(OR(E53="",F53=""),"",PID_KVLohnLookup($A$1,E53,F53,LOHNTABELLE!$H$4))</f>
        <v>2021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62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2021</v>
      </c>
      <c r="M53" s="71"/>
      <c r="N53" s="55"/>
    </row>
    <row r="54" spans="1:14" ht="16" customHeight="1" thickBot="1">
      <c r="A54" s="40" t="s">
        <v>128</v>
      </c>
      <c r="B54" s="77">
        <v>401754</v>
      </c>
      <c r="C54" s="46" t="s">
        <v>286</v>
      </c>
      <c r="D54" s="47">
        <v>46014</v>
      </c>
      <c r="E54" s="44" t="s">
        <v>2</v>
      </c>
      <c r="F54" s="45">
        <v>173</v>
      </c>
      <c r="G54" s="89">
        <f>IF(OR(E54="",F54=""),"",PID_KVLohnLookup($A$1,E54,F54,LOHNTABELLE!$H$4))</f>
        <v>2021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62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71"/>
      <c r="N54" s="55"/>
    </row>
    <row r="55" spans="1:14" ht="16" customHeight="1" thickBot="1">
      <c r="A55" s="40" t="s">
        <v>129</v>
      </c>
      <c r="B55" s="77"/>
      <c r="C55" s="46"/>
      <c r="D55" s="47"/>
      <c r="E55" s="44"/>
      <c r="F55" s="45"/>
      <c r="G55" s="89" t="str">
        <f>IF(OR(E55="",F55=""),"",PID_KVLohnLookup($A$1,E55,F55,LOHNTABELLE!$H$4))</f>
        <v/>
      </c>
      <c r="H55" s="65" t="str">
        <f>IF(AND(ISNUMBER(D55),ISNUMBER(F55)),ROUNDDOWN(MIN(IF(OR(ISBLANK(I55),I55=""),EOMONTH(DATE(EINSTELLUNG!$C$35,$A$1,1),0),I55)-MAX(D55,DATE(EINSTELLUNG!$C$35,$A$1,1))+1)/DAY(EOMONTH(DATE(EINSTELLUNG!$C$35,$A$1,1),0))*F55,2),"")</f>
        <v/>
      </c>
      <c r="I55" s="62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0</v>
      </c>
      <c r="M55" s="71"/>
      <c r="N55" s="55"/>
    </row>
    <row r="56" spans="1:14" ht="16" customHeight="1" thickBot="1">
      <c r="A56" s="40" t="s">
        <v>130</v>
      </c>
      <c r="B56" s="77"/>
      <c r="C56" s="46"/>
      <c r="D56" s="47"/>
      <c r="E56" s="44"/>
      <c r="F56" s="45"/>
      <c r="G56" s="89" t="str">
        <f>IF(OR(E56="",F56=""),"",PID_KVLohnLookup($A$1,E56,F56,LOHNTABELLE!$H$4))</f>
        <v/>
      </c>
      <c r="H56" s="65" t="str">
        <f>IF(AND(ISNUMBER(D56),ISNUMBER(F56)),ROUNDDOWN(MIN(IF(OR(ISBLANK(I56),I56=""),EOMONTH(DATE(EINSTELLUNG!$C$35,$A$1,1),0),I56)-MAX(D56,DATE(EINSTELLUNG!$C$35,$A$1,1))+1)/DAY(EOMONTH(DATE(EINSTELLUNG!$C$35,$A$1,1),0))*F56,2),"")</f>
        <v/>
      </c>
      <c r="I56" s="62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0</v>
      </c>
      <c r="M56" s="71"/>
      <c r="N56" s="55"/>
    </row>
    <row r="57" spans="1:14" ht="16" customHeight="1" thickBot="1">
      <c r="A57" s="41" t="s">
        <v>131</v>
      </c>
      <c r="B57" s="77"/>
      <c r="C57" s="46"/>
      <c r="D57" s="47"/>
      <c r="E57" s="44"/>
      <c r="F57" s="45"/>
      <c r="G57" s="89" t="str">
        <f>IF(OR(E57="",F57=""),"",PID_KVLohnLookup($A$1,E57,F57,LOHNTABELLE!$H$4))</f>
        <v/>
      </c>
      <c r="H57" s="65" t="str">
        <f>IF(AND(ISNUMBER(D57),ISNUMBER(F57)),ROUNDDOWN(MIN(IF(OR(ISBLANK(I57),I57=""),EOMONTH(DATE(EINSTELLUNG!$C$35,$A$1,1),0),I57)-MAX(D57,DATE(EINSTELLUNG!$C$35,$A$1,1))+1)/DAY(EOMONTH(DATE(EINSTELLUNG!$C$35,$A$1,1),0))*F57,2),"")</f>
        <v/>
      </c>
      <c r="I57" s="62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0</v>
      </c>
      <c r="M57" s="71"/>
      <c r="N57" s="55"/>
    </row>
    <row r="58" spans="1:14" ht="16" customHeight="1" thickBot="1">
      <c r="A58" s="40" t="s">
        <v>132</v>
      </c>
      <c r="B58" s="77"/>
      <c r="C58" s="46"/>
      <c r="D58" s="47"/>
      <c r="E58" s="44"/>
      <c r="F58" s="45"/>
      <c r="G58" s="89" t="str">
        <f>IF(OR(E58="",F58=""),"",PID_KVLohnLookup($A$1,E58,F58,LOHNTABELLE!$H$4))</f>
        <v/>
      </c>
      <c r="H58" s="65" t="str">
        <f>IF(AND(ISNUMBER(D58),ISNUMBER(F58)),ROUNDDOWN(MIN(IF(OR(ISBLANK(I58),I58=""),EOMONTH(DATE(EINSTELLUNG!$C$35,$A$1,1),0),I58)-MAX(D58,DATE(EINSTELLUNG!$C$35,$A$1,1))+1)/DAY(EOMONTH(DATE(EINSTELLUNG!$C$35,$A$1,1),0))*F58,2),"")</f>
        <v/>
      </c>
      <c r="I58" s="62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0</v>
      </c>
      <c r="M58" s="71"/>
      <c r="N58" s="55"/>
    </row>
    <row r="59" spans="1:14" ht="16" customHeight="1" thickBot="1">
      <c r="A59" s="40" t="s">
        <v>133</v>
      </c>
      <c r="B59" s="77"/>
      <c r="C59" s="46"/>
      <c r="D59" s="47"/>
      <c r="E59" s="44"/>
      <c r="F59" s="45"/>
      <c r="G59" s="89" t="str">
        <f>IF(OR(E59="",F59=""),"",PID_KVLohnLookup($A$1,E59,F59,LOHNTABELLE!$H$4))</f>
        <v/>
      </c>
      <c r="H59" s="65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62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0</v>
      </c>
      <c r="M59" s="71"/>
      <c r="N59" s="55"/>
    </row>
    <row r="60" spans="1:14" ht="16" customHeight="1" thickBot="1">
      <c r="A60" s="40" t="s">
        <v>134</v>
      </c>
      <c r="B60" s="77"/>
      <c r="C60" s="46"/>
      <c r="D60" s="47"/>
      <c r="E60" s="44"/>
      <c r="F60" s="45"/>
      <c r="G60" s="89" t="str">
        <f>IF(OR(E60="",F60=""),"",PID_KVLohnLookup($A$1,E60,F60,LOHNTABELLE!$H$4))</f>
        <v/>
      </c>
      <c r="H60" s="65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62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71"/>
      <c r="N60" s="55"/>
    </row>
    <row r="61" spans="1:14" ht="16" customHeight="1" thickBot="1">
      <c r="A61" s="41" t="s">
        <v>135</v>
      </c>
      <c r="B61" s="77"/>
      <c r="C61" s="46"/>
      <c r="D61" s="47"/>
      <c r="E61" s="44"/>
      <c r="F61" s="45"/>
      <c r="G61" s="89" t="str">
        <f>IF(OR(E61="",F61=""),"",PID_KVLohnLookup($A$1,E61,F61,LOHNTABELLE!$H$4))</f>
        <v/>
      </c>
      <c r="H61" s="65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62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71"/>
      <c r="N61" s="55"/>
    </row>
    <row r="62" spans="1:14" ht="16" customHeight="1" thickBot="1">
      <c r="A62" s="40" t="s">
        <v>136</v>
      </c>
      <c r="B62" s="77"/>
      <c r="C62" s="46"/>
      <c r="D62" s="47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62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47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62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47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62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47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62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47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62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47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62"/>
      <c r="J67" s="92"/>
      <c r="K67" s="68">
        <f t="shared" si="1"/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47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62"/>
      <c r="J68" s="92"/>
      <c r="K68" s="68">
        <f t="shared" si="1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47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62"/>
      <c r="J69" s="92"/>
      <c r="K69" s="68">
        <f t="shared" si="1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47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62"/>
      <c r="J70" s="92"/>
      <c r="K70" s="68">
        <f t="shared" si="1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47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62"/>
      <c r="J71" s="92"/>
      <c r="K71" s="68">
        <f t="shared" si="1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47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62"/>
      <c r="J72" s="92"/>
      <c r="K72" s="68">
        <f t="shared" si="1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47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62"/>
      <c r="J73" s="92"/>
      <c r="K73" s="68">
        <f t="shared" si="1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47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62"/>
      <c r="J74" s="92"/>
      <c r="K74" s="68">
        <f t="shared" si="1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47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62"/>
      <c r="J75" s="92"/>
      <c r="K75" s="68">
        <f t="shared" si="1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47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62"/>
      <c r="J76" s="92"/>
      <c r="K76" s="68">
        <f t="shared" si="1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47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62"/>
      <c r="J77" s="92"/>
      <c r="K77" s="68">
        <f t="shared" si="1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47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62"/>
      <c r="J78" s="92"/>
      <c r="K78" s="68">
        <f t="shared" si="1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47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62"/>
      <c r="J79" s="92"/>
      <c r="K79" s="68">
        <f t="shared" si="1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47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62"/>
      <c r="J80" s="92"/>
      <c r="K80" s="68">
        <f t="shared" si="1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47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62"/>
      <c r="J81" s="92"/>
      <c r="K81" s="68">
        <f t="shared" si="1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5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63"/>
      <c r="J82" s="93"/>
      <c r="K82" s="69">
        <f t="shared" si="1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114" spans="11:14" ht="16" customHeight="1">
      <c r="K114" s="351"/>
      <c r="L114" s="351"/>
      <c r="M114" s="351"/>
      <c r="N114" s="37"/>
    </row>
    <row r="115" spans="11:14" ht="16" customHeight="1">
      <c r="K115" s="351"/>
      <c r="L115" s="351"/>
      <c r="M115" s="351"/>
      <c r="N115" s="37"/>
    </row>
    <row r="116" spans="11:14" ht="16" customHeight="1">
      <c r="K116" s="346"/>
      <c r="L116" s="346"/>
      <c r="M116" s="26"/>
      <c r="N116" s="26"/>
    </row>
    <row r="117" spans="11:14" ht="16" customHeight="1">
      <c r="K117" s="346"/>
      <c r="L117" s="346"/>
      <c r="M117" s="26"/>
      <c r="N117" s="26"/>
    </row>
    <row r="118" spans="11:14" ht="16" customHeight="1">
      <c r="K118" s="352"/>
      <c r="L118" s="352"/>
      <c r="M118" s="27"/>
      <c r="N118" s="27"/>
    </row>
    <row r="119" spans="11:14" ht="16" customHeight="1">
      <c r="K119" s="347"/>
      <c r="L119" s="347"/>
      <c r="M119" s="28"/>
      <c r="N119" s="28"/>
    </row>
    <row r="120" spans="11:14" ht="16" customHeight="1">
      <c r="K120" s="346"/>
      <c r="L120" s="346"/>
      <c r="M120" s="26"/>
      <c r="N120" s="26"/>
    </row>
    <row r="121" spans="11:14" ht="16" customHeight="1">
      <c r="K121" s="346"/>
      <c r="L121" s="346"/>
      <c r="M121" s="26"/>
      <c r="N121" s="26"/>
    </row>
    <row r="122" spans="11:14" ht="16" customHeight="1">
      <c r="K122" s="347"/>
      <c r="L122" s="347"/>
      <c r="M122" s="28"/>
      <c r="N122" s="28"/>
    </row>
    <row r="123" spans="11:14" ht="16" customHeight="1">
      <c r="K123" s="29"/>
      <c r="L123" s="29"/>
      <c r="M123" s="29"/>
      <c r="N123" s="29"/>
    </row>
  </sheetData>
  <sheetProtection algorithmName="SHA-512" hashValue="/RSo9fwUH7f+zKMQwu1VePoEKE6hFDBO/qEb6L1i40eiMadM5o78qJfIzPYXnfSp+1MA/nGuzpH6ccNxFvu21Q==" saltValue="Laz3SYldh7Do0cXlPqYRag==" spinCount="100000" sheet="1" objects="1" scenarios="1" sort="0" autoFilter="0"/>
  <mergeCells count="107">
    <mergeCell ref="B1:B2"/>
    <mergeCell ref="N1:N2"/>
    <mergeCell ref="K114:L115"/>
    <mergeCell ref="M114:M115"/>
    <mergeCell ref="K116:L116"/>
    <mergeCell ref="K117:L117"/>
    <mergeCell ref="K118:L118"/>
    <mergeCell ref="K119:L119"/>
    <mergeCell ref="K120:L120"/>
    <mergeCell ref="M1:M2"/>
    <mergeCell ref="D1:D2"/>
    <mergeCell ref="C1:C2"/>
    <mergeCell ref="E1:E2"/>
    <mergeCell ref="F1:F2"/>
    <mergeCell ref="G1:G2"/>
    <mergeCell ref="H1:H2"/>
    <mergeCell ref="I1:I2"/>
    <mergeCell ref="J1:J2"/>
    <mergeCell ref="K1:K2"/>
    <mergeCell ref="L1:L2"/>
    <mergeCell ref="K121:L121"/>
    <mergeCell ref="K122:L122"/>
    <mergeCell ref="R3:R4"/>
    <mergeCell ref="O35:P35"/>
    <mergeCell ref="Q35:R35"/>
    <mergeCell ref="S35:T35"/>
    <mergeCell ref="U35:V35"/>
    <mergeCell ref="O13:P13"/>
    <mergeCell ref="Q13:R13"/>
    <mergeCell ref="O14:P14"/>
    <mergeCell ref="Q14:R14"/>
    <mergeCell ref="O29:P29"/>
    <mergeCell ref="Q29:R29"/>
    <mergeCell ref="Q25:R25"/>
    <mergeCell ref="Q26:R26"/>
    <mergeCell ref="O27:P27"/>
    <mergeCell ref="Q27:R27"/>
    <mergeCell ref="O28:P28"/>
    <mergeCell ref="Q28:R28"/>
    <mergeCell ref="O25:P25"/>
    <mergeCell ref="O26:P26"/>
    <mergeCell ref="Q24:R24"/>
    <mergeCell ref="O31:P31"/>
    <mergeCell ref="Q31:R31"/>
    <mergeCell ref="O36:P36"/>
    <mergeCell ref="Q36:R36"/>
    <mergeCell ref="S36:T36"/>
    <mergeCell ref="U36:V36"/>
    <mergeCell ref="O33:P34"/>
    <mergeCell ref="Q33:R34"/>
    <mergeCell ref="S33:T34"/>
    <mergeCell ref="U33:V34"/>
    <mergeCell ref="O9:P9"/>
    <mergeCell ref="Q9:R9"/>
    <mergeCell ref="Q23:R23"/>
    <mergeCell ref="Q22:R22"/>
    <mergeCell ref="O21:P21"/>
    <mergeCell ref="O10:P10"/>
    <mergeCell ref="Q10:R10"/>
    <mergeCell ref="O11:P11"/>
    <mergeCell ref="Q11:R11"/>
    <mergeCell ref="O12:P12"/>
    <mergeCell ref="Q12:R12"/>
    <mergeCell ref="Q17:R17"/>
    <mergeCell ref="Q18:R18"/>
    <mergeCell ref="Q19:R19"/>
    <mergeCell ref="O39:P39"/>
    <mergeCell ref="Q39:R39"/>
    <mergeCell ref="S39:T39"/>
    <mergeCell ref="U39:V39"/>
    <mergeCell ref="Q37:R37"/>
    <mergeCell ref="S37:T37"/>
    <mergeCell ref="U37:V37"/>
    <mergeCell ref="O38:P38"/>
    <mergeCell ref="Q38:R38"/>
    <mergeCell ref="S38:T38"/>
    <mergeCell ref="U38:V38"/>
    <mergeCell ref="O37:P37"/>
    <mergeCell ref="O40:P40"/>
    <mergeCell ref="Q40:R40"/>
    <mergeCell ref="S40:T40"/>
    <mergeCell ref="U40:V40"/>
    <mergeCell ref="O41:P41"/>
    <mergeCell ref="Q41:R41"/>
    <mergeCell ref="S41:T41"/>
    <mergeCell ref="U41:V41"/>
    <mergeCell ref="O42:P42"/>
    <mergeCell ref="Q42:V42"/>
    <mergeCell ref="O6:R6"/>
    <mergeCell ref="Q3:Q4"/>
    <mergeCell ref="P3:P4"/>
    <mergeCell ref="O3:O4"/>
    <mergeCell ref="Q20:R20"/>
    <mergeCell ref="O15:P15"/>
    <mergeCell ref="Q15:R15"/>
    <mergeCell ref="O16:R16"/>
    <mergeCell ref="S27:V27"/>
    <mergeCell ref="Q21:R21"/>
    <mergeCell ref="O22:P22"/>
    <mergeCell ref="O23:P23"/>
    <mergeCell ref="O17:P17"/>
    <mergeCell ref="O24:P24"/>
    <mergeCell ref="O20:P20"/>
    <mergeCell ref="O18:P18"/>
    <mergeCell ref="O19:P19"/>
    <mergeCell ref="O8:P8"/>
    <mergeCell ref="Q8:R8"/>
  </mergeCells>
  <phoneticPr fontId="13" type="noConversion"/>
  <dataValidations count="5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D4A596C1-1E4E-4F45-93A3-34EED55BA633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DCB561-BAA8-FA4B-AA8B-130AD1E46F5D}">
      <formula1>KV_DD_JANUAR_3</formula1>
    </dataValidation>
    <dataValidation type="list" allowBlank="1" showInputMessage="1" showErrorMessage="1" sqref="F4" xr:uid="{FD542A93-5B67-4B45-90EB-3CE9F5E6934B}">
      <formula1>KV_DD_JANUAR_4</formula1>
    </dataValidation>
    <dataValidation type="list" allowBlank="1" showInputMessage="1" showErrorMessage="1" sqref="F5" xr:uid="{438A8753-20A5-3542-8135-96BCD3941ED2}">
      <formula1>KV_DD_JANUAR_5</formula1>
    </dataValidation>
    <dataValidation type="list" allowBlank="1" showInputMessage="1" showErrorMessage="1" sqref="F6" xr:uid="{AD1B0AF8-6FE6-E740-B7C6-C9E9BDC6A499}">
      <formula1>KV_DD_JANUAR_6</formula1>
    </dataValidation>
    <dataValidation type="list" allowBlank="1" showInputMessage="1" showErrorMessage="1" sqref="F7" xr:uid="{DB77C2F7-19AF-FD4C-926C-842EA1A40043}">
      <formula1>KV_DD_JANUAR_7</formula1>
    </dataValidation>
    <dataValidation type="list" allowBlank="1" showInputMessage="1" showErrorMessage="1" sqref="F8" xr:uid="{210B9443-8E45-B745-898A-15A60A1C71E2}">
      <formula1>KV_DD_JANUAR_8</formula1>
    </dataValidation>
    <dataValidation type="list" allowBlank="1" showInputMessage="1" showErrorMessage="1" sqref="F9" xr:uid="{10BF2332-7A26-1147-BE02-1E59AEC06896}">
      <formula1>KV_DD_JANUAR_9</formula1>
    </dataValidation>
    <dataValidation type="list" allowBlank="1" showInputMessage="1" showErrorMessage="1" sqref="F10" xr:uid="{D9B9FF5A-BBE4-E243-9AF4-BFD18C872ECB}">
      <formula1>KV_DD_JANUAR_10</formula1>
    </dataValidation>
    <dataValidation type="list" allowBlank="1" showInputMessage="1" showErrorMessage="1" sqref="F11" xr:uid="{E6519469-F766-E841-AE9B-5BB0F9AE0999}">
      <formula1>KV_DD_JANUAR_11</formula1>
    </dataValidation>
    <dataValidation type="list" allowBlank="1" showInputMessage="1" showErrorMessage="1" sqref="F12" xr:uid="{78C144E0-D790-3F44-8052-2FD0C16A88DF}">
      <formula1>KV_DD_JANUAR_12</formula1>
    </dataValidation>
    <dataValidation type="list" allowBlank="1" showInputMessage="1" showErrorMessage="1" sqref="F13" xr:uid="{9A083B6C-E70E-024F-9B70-011F839331D6}">
      <formula1>KV_DD_JANUAR_13</formula1>
    </dataValidation>
    <dataValidation type="list" allowBlank="1" showInputMessage="1" showErrorMessage="1" sqref="F14" xr:uid="{636A302D-CC8F-474F-B602-F2751EDFFF17}">
      <formula1>KV_DD_JANUAR_14</formula1>
    </dataValidation>
    <dataValidation type="list" allowBlank="1" showInputMessage="1" showErrorMessage="1" sqref="F15" xr:uid="{D48409C7-0EA0-804B-9167-9966B2C9B817}">
      <formula1>KV_DD_JANUAR_15</formula1>
    </dataValidation>
    <dataValidation type="list" allowBlank="1" showInputMessage="1" showErrorMessage="1" sqref="F16" xr:uid="{D75EB4AD-C963-3040-9E3F-27D65F087802}">
      <formula1>KV_DD_JANUAR_16</formula1>
    </dataValidation>
    <dataValidation type="list" allowBlank="1" showInputMessage="1" showErrorMessage="1" sqref="F17" xr:uid="{89618825-CD16-CE4C-BD94-DCDFFB6D6846}">
      <formula1>KV_DD_JANUAR_17</formula1>
    </dataValidation>
    <dataValidation type="list" allowBlank="1" showInputMessage="1" showErrorMessage="1" sqref="F18" xr:uid="{16E166C8-3715-E14A-BA47-60946B9A374D}">
      <formula1>KV_DD_JANUAR_18</formula1>
    </dataValidation>
    <dataValidation type="list" allowBlank="1" showInputMessage="1" showErrorMessage="1" sqref="F19" xr:uid="{1386D9B6-9CFC-5B43-B650-6F1579F25469}">
      <formula1>KV_DD_JANUAR_19</formula1>
    </dataValidation>
    <dataValidation type="list" allowBlank="1" showInputMessage="1" showErrorMessage="1" sqref="F20" xr:uid="{F5D784CE-A316-B64C-BA30-85F2EDCD602A}">
      <formula1>KV_DD_JANUAR_20</formula1>
    </dataValidation>
    <dataValidation type="list" allowBlank="1" showInputMessage="1" showErrorMessage="1" sqref="F21" xr:uid="{5B4CE9EE-9EE6-CA44-A658-902929C006F7}">
      <formula1>KV_DD_JANUAR_21</formula1>
    </dataValidation>
    <dataValidation type="list" allowBlank="1" showInputMessage="1" showErrorMessage="1" sqref="F22" xr:uid="{A608D024-D97E-B845-AB76-056F3E96A5ED}">
      <formula1>KV_DD_JANUAR_22</formula1>
    </dataValidation>
    <dataValidation type="list" allowBlank="1" showInputMessage="1" showErrorMessage="1" sqref="F23" xr:uid="{E678348A-81FB-B14D-ACE6-9E7668749989}">
      <formula1>KV_DD_JANUAR_23</formula1>
    </dataValidation>
    <dataValidation type="list" allowBlank="1" showInputMessage="1" showErrorMessage="1" sqref="F24" xr:uid="{7D713643-8818-6F4C-9643-E5E25453F3B9}">
      <formula1>KV_DD_JANUAR_24</formula1>
    </dataValidation>
    <dataValidation type="list" allowBlank="1" showInputMessage="1" showErrorMessage="1" sqref="F25" xr:uid="{E3B563CE-5FB7-044A-B5FA-78B5DE1C02AA}">
      <formula1>KV_DD_JANUAR_25</formula1>
    </dataValidation>
    <dataValidation type="list" allowBlank="1" showInputMessage="1" showErrorMessage="1" sqref="F26" xr:uid="{37093C6D-2508-6546-8F03-6B6F36229FC2}">
      <formula1>KV_DD_JANUAR_26</formula1>
    </dataValidation>
    <dataValidation type="list" allowBlank="1" showInputMessage="1" showErrorMessage="1" sqref="F27" xr:uid="{54982217-24F4-754A-BB1B-551DAB79AAA9}">
      <formula1>KV_DD_JANUAR_27</formula1>
    </dataValidation>
    <dataValidation type="list" allowBlank="1" showInputMessage="1" showErrorMessage="1" sqref="F28" xr:uid="{1E8F42C9-E4CB-2D48-B5DC-6987E4D7E8BE}">
      <formula1>KV_DD_JANUAR_28</formula1>
    </dataValidation>
    <dataValidation type="list" allowBlank="1" showInputMessage="1" showErrorMessage="1" sqref="F29" xr:uid="{5DCF6EDB-BDD4-6D40-9B01-286DF7BD4840}">
      <formula1>KV_DD_JANUAR_29</formula1>
    </dataValidation>
    <dataValidation type="list" allowBlank="1" showInputMessage="1" showErrorMessage="1" sqref="F30" xr:uid="{5FACB6DE-EE04-0E46-9DD8-C198A84A254C}">
      <formula1>KV_DD_JANUAR_30</formula1>
    </dataValidation>
    <dataValidation type="list" allowBlank="1" showInputMessage="1" showErrorMessage="1" sqref="F31" xr:uid="{5D40EC97-9916-194E-AAE6-C41F57B37F26}">
      <formula1>KV_DD_JANUAR_31</formula1>
    </dataValidation>
    <dataValidation type="list" allowBlank="1" showInputMessage="1" showErrorMessage="1" sqref="F32" xr:uid="{3CE23826-D4ED-5A46-A17A-1B3E36DE54E1}">
      <formula1>KV_DD_JANUAR_32</formula1>
    </dataValidation>
    <dataValidation type="list" allowBlank="1" showInputMessage="1" showErrorMessage="1" sqref="F33" xr:uid="{F746793C-1ECF-9440-B30F-20F831C6E68F}">
      <formula1>KV_DD_JANUAR_33</formula1>
    </dataValidation>
    <dataValidation type="list" allowBlank="1" showInputMessage="1" showErrorMessage="1" sqref="F34" xr:uid="{C6BB5564-2DA2-F341-A02D-DEDE276B7DC8}">
      <formula1>KV_DD_JANUAR_34</formula1>
    </dataValidation>
    <dataValidation type="list" allowBlank="1" showInputMessage="1" showErrorMessage="1" sqref="F35" xr:uid="{C22FEF9D-537A-E54A-9B33-A3B03C053A22}">
      <formula1>KV_DD_JANUAR_35</formula1>
    </dataValidation>
    <dataValidation type="list" allowBlank="1" showInputMessage="1" showErrorMessage="1" sqref="F36" xr:uid="{57775DB4-F8A7-8848-9997-58B2190A9F41}">
      <formula1>KV_DD_JANUAR_36</formula1>
    </dataValidation>
    <dataValidation type="list" allowBlank="1" showInputMessage="1" showErrorMessage="1" sqref="F37" xr:uid="{33D35F7E-5479-5B45-9E1B-ECB0D0BAE715}">
      <formula1>KV_DD_JANUAR_37</formula1>
    </dataValidation>
    <dataValidation type="list" allowBlank="1" showInputMessage="1" showErrorMessage="1" sqref="F38" xr:uid="{D0F39BE9-C785-D040-99F8-0F6EC43B7DA3}">
      <formula1>KV_DD_JANUAR_38</formula1>
    </dataValidation>
    <dataValidation type="list" allowBlank="1" showInputMessage="1" showErrorMessage="1" sqref="F39" xr:uid="{D82D6A7F-E254-C245-9D26-F964FB35BF98}">
      <formula1>KV_DD_JANUAR_39</formula1>
    </dataValidation>
    <dataValidation type="list" allowBlank="1" showInputMessage="1" showErrorMessage="1" sqref="F40" xr:uid="{EB2F1CD3-CA71-434E-BCEC-3034EC674B0F}">
      <formula1>KV_DD_JANUAR_40</formula1>
    </dataValidation>
    <dataValidation type="list" allowBlank="1" showInputMessage="1" showErrorMessage="1" sqref="F41" xr:uid="{36D774D9-7FD5-6841-BEFB-D3B226BC7E46}">
      <formula1>KV_DD_JANUAR_41</formula1>
    </dataValidation>
    <dataValidation type="list" allowBlank="1" showInputMessage="1" showErrorMessage="1" sqref="F42" xr:uid="{4AB3CE03-30C5-314A-A76D-217A69E5AE9F}">
      <formula1>KV_DD_JANUAR_42</formula1>
    </dataValidation>
    <dataValidation type="list" allowBlank="1" showInputMessage="1" showErrorMessage="1" sqref="F43" xr:uid="{1DFD937E-8709-3345-9673-38CE4EB5DE6D}">
      <formula1>KV_DD_JANUAR_43</formula1>
    </dataValidation>
    <dataValidation type="list" allowBlank="1" showInputMessage="1" showErrorMessage="1" sqref="F44" xr:uid="{2FC0E0B9-3187-5A45-956A-3EE593FB5371}">
      <formula1>KV_DD_JANUAR_44</formula1>
    </dataValidation>
    <dataValidation type="list" allowBlank="1" showInputMessage="1" showErrorMessage="1" sqref="F45" xr:uid="{9C733A57-BC2E-104B-A411-96E555205D39}">
      <formula1>KV_DD_JANUAR_45</formula1>
    </dataValidation>
    <dataValidation type="list" allowBlank="1" showInputMessage="1" showErrorMessage="1" sqref="F46" xr:uid="{7B9DF2A9-68FF-BC42-8A8E-81543B43D174}">
      <formula1>KV_DD_JANUAR_46</formula1>
    </dataValidation>
    <dataValidation type="list" allowBlank="1" showInputMessage="1" showErrorMessage="1" sqref="F47" xr:uid="{8508E8AF-1359-944B-BC1A-391D959BA3D5}">
      <formula1>KV_DD_JANUAR_47</formula1>
    </dataValidation>
    <dataValidation type="list" allowBlank="1" showInputMessage="1" showErrorMessage="1" sqref="F48" xr:uid="{F13992A0-601E-854D-B873-712E4B5ECE9F}">
      <formula1>KV_DD_JANUAR_48</formula1>
    </dataValidation>
    <dataValidation type="list" allowBlank="1" showInputMessage="1" showErrorMessage="1" sqref="F49" xr:uid="{E74A9023-39A3-3740-8896-02CCD704CC34}">
      <formula1>KV_DD_JANUAR_49</formula1>
    </dataValidation>
    <dataValidation type="list" allowBlank="1" showInputMessage="1" showErrorMessage="1" sqref="F50" xr:uid="{A90EE3A5-5FFF-A54D-9D1A-D55241983373}">
      <formula1>KV_DD_JANUAR_50</formula1>
    </dataValidation>
    <dataValidation type="list" allowBlank="1" showInputMessage="1" showErrorMessage="1" sqref="F51" xr:uid="{9B3ECF20-A5B8-5349-B353-3FD7F1BC3B7E}">
      <formula1>KV_DD_JANUAR_51</formula1>
    </dataValidation>
    <dataValidation type="list" allowBlank="1" showInputMessage="1" showErrorMessage="1" sqref="F52" xr:uid="{16411886-D1CA-A046-94A4-AFBC896F1F81}">
      <formula1>KV_DD_JANUAR_52</formula1>
    </dataValidation>
    <dataValidation type="list" allowBlank="1" showInputMessage="1" showErrorMessage="1" sqref="F53" xr:uid="{84A7B5EF-A69A-B442-B0E2-170F379A9EE7}">
      <formula1>KV_DD_JANUAR_53</formula1>
    </dataValidation>
    <dataValidation type="list" allowBlank="1" showInputMessage="1" showErrorMessage="1" sqref="F54" xr:uid="{86D8E3E7-455C-1F40-BAD1-B9D745317220}">
      <formula1>KV_DD_JANUAR_54</formula1>
    </dataValidation>
    <dataValidation type="date" allowBlank="1" showDropDown="1" showErrorMessage="1" sqref="I3:I82" xr:uid="{E3478813-0F58-F145-B25C-A4533A425D58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17</xdr:col>
                    <xdr:colOff>457200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5CEEE5B-71EB-9D45-9AA0-7B223E338153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60D1A-830E-4301-BB91-3D8AD61B4820}">
  <sheetPr codeName="Tabelle16"/>
  <dimension ref="A1:O24"/>
  <sheetViews>
    <sheetView zoomScaleNormal="100" workbookViewId="0"/>
  </sheetViews>
  <sheetFormatPr baseColWidth="10" defaultColWidth="11.453125" defaultRowHeight="14.5"/>
  <sheetData>
    <row r="1" spans="1:13">
      <c r="A1" t="b">
        <v>1</v>
      </c>
    </row>
    <row r="7" spans="1:13">
      <c r="M7" s="5" t="s">
        <v>157</v>
      </c>
    </row>
    <row r="8" spans="1:13">
      <c r="M8" s="5" t="s">
        <v>158</v>
      </c>
    </row>
    <row r="9" spans="1:13">
      <c r="M9" s="5" t="s">
        <v>79</v>
      </c>
    </row>
    <row r="11" spans="1:13">
      <c r="M11" s="5" t="s">
        <v>159</v>
      </c>
    </row>
    <row r="12" spans="1:13">
      <c r="M12" s="5" t="s">
        <v>160</v>
      </c>
    </row>
    <row r="13" spans="1:13">
      <c r="M13" s="5" t="s">
        <v>161</v>
      </c>
    </row>
    <row r="14" spans="1:13">
      <c r="M14" s="5" t="s">
        <v>162</v>
      </c>
    </row>
    <row r="15" spans="1:13">
      <c r="M15" s="5" t="s">
        <v>163</v>
      </c>
    </row>
    <row r="21" spans="15:15">
      <c r="O21" s="6"/>
    </row>
    <row r="24" spans="15:15">
      <c r="O24" s="6"/>
    </row>
  </sheetData>
  <sheetProtection algorithmName="SHA-512" hashValue="UnIC1VR6ah1vW5f+WHVKDKMA63981WfGumbOrBMuQujObYUI5URjqRfsCwl1WJ/sw+FmMG7UkUYtkJcaLL7RbA==" saltValue="ELlvEW9Di1VApr2KjB8bnA==" spinCount="100000" sheet="1" objects="1" scenarios="1" sort="0" autoFilter="0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9A160-70C4-4D47-B6DF-F8EEA29113B1}">
  <sheetPr codeName="Tabelle4"/>
  <dimension ref="A1:AC86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S36" sqref="S36:T36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6" customHeight="1">
      <c r="A1" s="38">
        <v>2</v>
      </c>
      <c r="B1" s="302" t="s">
        <v>191</v>
      </c>
      <c r="C1" s="314" t="s">
        <v>40</v>
      </c>
      <c r="D1" s="286" t="s">
        <v>192</v>
      </c>
      <c r="E1" s="286" t="s">
        <v>0</v>
      </c>
      <c r="F1" s="286" t="s">
        <v>41</v>
      </c>
      <c r="G1" s="288" t="s">
        <v>42</v>
      </c>
      <c r="H1" s="305" t="s">
        <v>43</v>
      </c>
      <c r="I1" s="290" t="s">
        <v>193</v>
      </c>
      <c r="J1" s="292" t="s">
        <v>44</v>
      </c>
      <c r="K1" s="294" t="s">
        <v>45</v>
      </c>
      <c r="L1" s="296" t="s">
        <v>46</v>
      </c>
      <c r="M1" s="298" t="s">
        <v>47</v>
      </c>
      <c r="N1" s="303" t="s">
        <v>194</v>
      </c>
      <c r="AB1" s="8">
        <f>DATE(EINSTELLUNG!$C$35,$A$1,1)</f>
        <v>46054</v>
      </c>
    </row>
    <row r="2" spans="1:28" ht="16" customHeight="1" thickBot="1">
      <c r="A2" s="39"/>
      <c r="B2" s="302"/>
      <c r="C2" s="315"/>
      <c r="D2" s="287"/>
      <c r="E2" s="287"/>
      <c r="F2" s="287"/>
      <c r="G2" s="289"/>
      <c r="H2" s="306"/>
      <c r="I2" s="291"/>
      <c r="J2" s="293"/>
      <c r="K2" s="295"/>
      <c r="L2" s="297"/>
      <c r="M2" s="299"/>
      <c r="N2" s="303"/>
      <c r="AB2" s="8">
        <f>EOMONTH(DATE(EINSTELLUNG!$C$35,$A$1,1),0)</f>
        <v>46081</v>
      </c>
    </row>
    <row r="3" spans="1:28" ht="16" customHeight="1" thickBot="1">
      <c r="A3" s="40" t="s">
        <v>48</v>
      </c>
      <c r="B3" s="76">
        <v>401006</v>
      </c>
      <c r="C3" s="73" t="s">
        <v>235</v>
      </c>
      <c r="D3" s="95">
        <v>38188</v>
      </c>
      <c r="E3" s="51" t="s">
        <v>13</v>
      </c>
      <c r="F3" s="74">
        <v>173</v>
      </c>
      <c r="G3" s="88">
        <f>IF(OR(E3="",F3=""),"",PID_KVLohnLookup($A$1,E3,F3,LOHNTABELLE!$H$4))</f>
        <v>2328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2328</v>
      </c>
      <c r="M3" s="70"/>
      <c r="N3" s="54"/>
      <c r="O3" s="300" t="s">
        <v>49</v>
      </c>
      <c r="P3" s="300" t="s">
        <v>50</v>
      </c>
      <c r="Q3" s="307" t="s">
        <v>51</v>
      </c>
      <c r="R3" s="309" t="s">
        <v>52</v>
      </c>
      <c r="AB3" s="10"/>
    </row>
    <row r="4" spans="1:28" ht="16" customHeight="1" thickBot="1">
      <c r="A4" s="40" t="s">
        <v>53</v>
      </c>
      <c r="B4" s="77">
        <v>401010</v>
      </c>
      <c r="C4" s="46" t="s">
        <v>236</v>
      </c>
      <c r="D4" s="96">
        <v>39388</v>
      </c>
      <c r="E4" s="44" t="s">
        <v>5</v>
      </c>
      <c r="F4" s="45">
        <v>173</v>
      </c>
      <c r="G4" s="89">
        <f>IF(OR(E4="",F4=""),"",PID_KVLohnLookup($A$1,E4,F4,LOHNTABELLE!$H$4))</f>
        <v>2183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2183</v>
      </c>
      <c r="M4" s="71"/>
      <c r="N4" s="55"/>
      <c r="O4" s="301"/>
      <c r="P4" s="301"/>
      <c r="Q4" s="308"/>
      <c r="R4" s="310"/>
    </row>
    <row r="5" spans="1:28" ht="16" customHeight="1" thickBot="1">
      <c r="A5" s="41" t="s">
        <v>54</v>
      </c>
      <c r="B5" s="77">
        <v>401047</v>
      </c>
      <c r="C5" s="46" t="s">
        <v>238</v>
      </c>
      <c r="D5" s="96">
        <v>41154</v>
      </c>
      <c r="E5" s="44" t="s">
        <v>4</v>
      </c>
      <c r="F5" s="45">
        <v>173</v>
      </c>
      <c r="G5" s="89">
        <f>IF(OR(E5="",F5=""),"",PID_KVLohnLookup($A$1,E5,F5,LOHNTABELLE!$H$4))</f>
        <v>2123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2123</v>
      </c>
      <c r="M5" s="71"/>
      <c r="N5" s="55"/>
      <c r="O5" s="53" cm="1">
        <f t="array" ref="O5">SUMPRODUCT((F3:F82/4.310808)/5*2.08)</f>
        <v>847.67804086844035</v>
      </c>
      <c r="P5" s="15">
        <f>EINSTELLUNG!I7</f>
        <v>600</v>
      </c>
      <c r="Q5" s="14">
        <f>P5-O5</f>
        <v>-247.67804086844035</v>
      </c>
      <c r="R5" s="18">
        <f>IFERROR(Q5*Q42, 0)</f>
        <v>-2966.3738056847014</v>
      </c>
    </row>
    <row r="6" spans="1:28" ht="16" customHeight="1" thickBot="1">
      <c r="A6" s="40" t="s">
        <v>55</v>
      </c>
      <c r="B6" s="77">
        <v>401049</v>
      </c>
      <c r="C6" s="48" t="s">
        <v>237</v>
      </c>
      <c r="D6" s="96">
        <v>41130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389" t="str">
        <f>IF(Q5&lt;0, "Schlecht! Zu wenig Urlaub abgebaut.", IF(Q5&gt;0, "Gut! Mehr Urlaub abgebaut als aufgebaut.", ""))</f>
        <v>Schlecht! Zu wenig Urlaub abgebaut.</v>
      </c>
      <c r="P6" s="389"/>
      <c r="Q6" s="389"/>
      <c r="R6" s="389"/>
    </row>
    <row r="7" spans="1:28" ht="16" customHeight="1" thickBot="1">
      <c r="A7" s="40" t="s">
        <v>56</v>
      </c>
      <c r="B7" s="77">
        <v>401051</v>
      </c>
      <c r="C7" s="46" t="s">
        <v>239</v>
      </c>
      <c r="D7" s="96">
        <v>41176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401089</v>
      </c>
      <c r="C8" s="46" t="s">
        <v>253</v>
      </c>
      <c r="D8" s="96">
        <v>44868</v>
      </c>
      <c r="E8" s="44" t="s">
        <v>3</v>
      </c>
      <c r="F8" s="45">
        <v>173</v>
      </c>
      <c r="G8" s="89">
        <f>IF(OR(E8="",F8=""),"",PID_KVLohnLookup($A$1,E8,F8,LOHNTABELLE!$H$4))</f>
        <v>2082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71"/>
      <c r="N8" s="55"/>
      <c r="O8" s="387" t="s">
        <v>58</v>
      </c>
      <c r="P8" s="266"/>
      <c r="Q8" s="385">
        <f>SUM(H3:H82)</f>
        <v>8643.5099999999984</v>
      </c>
      <c r="R8" s="386"/>
    </row>
    <row r="9" spans="1:28" ht="16" customHeight="1" thickBot="1">
      <c r="A9" s="41" t="s">
        <v>59</v>
      </c>
      <c r="B9" s="77">
        <v>401138</v>
      </c>
      <c r="C9" s="46" t="s">
        <v>240</v>
      </c>
      <c r="D9" s="96">
        <v>42006</v>
      </c>
      <c r="E9" s="44" t="s">
        <v>4</v>
      </c>
      <c r="F9" s="45">
        <v>173</v>
      </c>
      <c r="G9" s="89">
        <f>IF(OR(E9="",F9=""),"",PID_KVLohnLookup($A$1,E9,F9,LOHNTABELLE!$H$4))</f>
        <v>2123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71"/>
      <c r="N9" s="55"/>
      <c r="O9" s="387" t="s">
        <v>60</v>
      </c>
      <c r="P9" s="266"/>
      <c r="Q9" s="385">
        <f>EINSTELLUNG!L23</f>
        <v>2</v>
      </c>
      <c r="R9" s="386"/>
      <c r="S9" s="19">
        <f>IFERROR(Q9/Q8, 0)</f>
        <v>2.313874803176025E-4</v>
      </c>
    </row>
    <row r="10" spans="1:28" ht="16" customHeight="1" thickBot="1">
      <c r="A10" s="40" t="s">
        <v>61</v>
      </c>
      <c r="B10" s="77">
        <v>401197</v>
      </c>
      <c r="C10" s="46" t="s">
        <v>241</v>
      </c>
      <c r="D10" s="96">
        <v>42644</v>
      </c>
      <c r="E10" s="44" t="s">
        <v>3</v>
      </c>
      <c r="F10" s="45">
        <v>173</v>
      </c>
      <c r="G10" s="89">
        <f>IF(OR(E10="",F10=""),"",PID_KVLohnLookup($A$1,E10,F10,LOHNTABELLE!$H$4))</f>
        <v>2082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71"/>
      <c r="N10" s="55"/>
      <c r="O10" s="387" t="s">
        <v>62</v>
      </c>
      <c r="P10" s="266"/>
      <c r="Q10" s="385">
        <f>EINSTELLUNG!I23</f>
        <v>0</v>
      </c>
      <c r="R10" s="386"/>
    </row>
    <row r="11" spans="1:28" ht="16" customHeight="1" thickBot="1">
      <c r="A11" s="40" t="s">
        <v>63</v>
      </c>
      <c r="B11" s="77">
        <v>401214</v>
      </c>
      <c r="C11" s="46" t="s">
        <v>267</v>
      </c>
      <c r="D11" s="96">
        <v>45636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387" t="s">
        <v>64</v>
      </c>
      <c r="P11" s="266"/>
      <c r="Q11" s="385">
        <f>P5</f>
        <v>600</v>
      </c>
      <c r="R11" s="386"/>
    </row>
    <row r="12" spans="1:28" ht="16" customHeight="1" thickBot="1">
      <c r="A12" s="40" t="s">
        <v>65</v>
      </c>
      <c r="B12" s="77">
        <v>401276</v>
      </c>
      <c r="C12" s="46" t="s">
        <v>242</v>
      </c>
      <c r="D12" s="96">
        <v>43252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387" t="s">
        <v>68</v>
      </c>
      <c r="P12" s="266"/>
      <c r="Q12" s="385">
        <f>Q8-Q9-Q10-Q11</f>
        <v>8041.5099999999984</v>
      </c>
      <c r="R12" s="386"/>
    </row>
    <row r="13" spans="1:28" ht="16" customHeight="1" thickBot="1">
      <c r="A13" s="41" t="s">
        <v>67</v>
      </c>
      <c r="B13" s="77">
        <v>401307</v>
      </c>
      <c r="C13" s="46" t="s">
        <v>243</v>
      </c>
      <c r="D13" s="96">
        <v>43571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387" t="s">
        <v>70</v>
      </c>
      <c r="P13" s="266"/>
      <c r="Q13" s="385">
        <f>EINSTELLUNG!L7</f>
        <v>9300</v>
      </c>
      <c r="R13" s="386"/>
    </row>
    <row r="14" spans="1:28" ht="16" customHeight="1" thickBot="1">
      <c r="A14" s="40" t="s">
        <v>69</v>
      </c>
      <c r="B14" s="77">
        <v>401308</v>
      </c>
      <c r="C14" s="46" t="s">
        <v>244</v>
      </c>
      <c r="D14" s="96">
        <v>43579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387" t="s">
        <v>72</v>
      </c>
      <c r="P14" s="266"/>
      <c r="Q14" s="385">
        <f>Q12-Q13</f>
        <v>-1258.4900000000016</v>
      </c>
      <c r="R14" s="386"/>
    </row>
    <row r="15" spans="1:28" ht="16" customHeight="1" thickBot="1">
      <c r="A15" s="40" t="s">
        <v>71</v>
      </c>
      <c r="B15" s="77">
        <v>401389</v>
      </c>
      <c r="C15" s="46" t="s">
        <v>246</v>
      </c>
      <c r="D15" s="96">
        <v>44384</v>
      </c>
      <c r="E15" s="44" t="s">
        <v>11</v>
      </c>
      <c r="F15" s="45">
        <v>173</v>
      </c>
      <c r="G15" s="89">
        <f>IF(OR(E15="",F15=""),"",PID_KVLohnLookup($A$1,E15,F15,LOHNTABELLE!$H$4))</f>
        <v>2300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71"/>
      <c r="N15" s="55"/>
      <c r="O15" s="388" t="str">
        <f>IF(Q14&lt;0, "Schlecht! Zu wenig Stunden für Dienstplan.", IF(Q14&gt;0, "Du hast mehr als genug Stunden für Dienstplan.", ""))</f>
        <v>Schlecht! Zu wenig Stunden für Dienstplan.</v>
      </c>
      <c r="P15" s="388"/>
      <c r="Q15" s="388"/>
      <c r="R15" s="388"/>
      <c r="S15" s="35"/>
      <c r="T15" s="35"/>
      <c r="U15" s="35"/>
    </row>
    <row r="16" spans="1:28" ht="16" customHeight="1" thickBot="1">
      <c r="A16" s="40" t="s">
        <v>73</v>
      </c>
      <c r="B16" s="77">
        <v>401394</v>
      </c>
      <c r="C16" s="46" t="s">
        <v>245</v>
      </c>
      <c r="D16" s="96">
        <v>44379</v>
      </c>
      <c r="E16" s="44" t="s">
        <v>2</v>
      </c>
      <c r="F16" s="45">
        <v>173</v>
      </c>
      <c r="G16" s="89">
        <f>IF(OR(E16="",F16=""),"",PID_KVLohnLookup($A$1,E16,F16,LOHNTABELLE!$H$4))</f>
        <v>2021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71"/>
      <c r="N16" s="55"/>
      <c r="W16" s="12"/>
    </row>
    <row r="17" spans="1:29" ht="16" customHeight="1" thickBot="1">
      <c r="A17" s="41" t="s">
        <v>74</v>
      </c>
      <c r="B17" s="77">
        <v>401432</v>
      </c>
      <c r="C17" s="46" t="s">
        <v>247</v>
      </c>
      <c r="D17" s="96">
        <v>44441</v>
      </c>
      <c r="E17" s="44" t="s">
        <v>2</v>
      </c>
      <c r="F17" s="45">
        <v>173</v>
      </c>
      <c r="G17" s="89">
        <f>IF(OR(E17="",F17=""),"",PID_KVLohnLookup($A$1,E17,F17,LOHNTABELLE!$H$4))</f>
        <v>2021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71"/>
      <c r="N17" s="55"/>
      <c r="O17" s="382" t="s">
        <v>75</v>
      </c>
      <c r="P17" s="269"/>
      <c r="Q17" s="383">
        <f>SUM(L3:L82)</f>
        <v>103521.01285714286</v>
      </c>
      <c r="R17" s="384"/>
      <c r="W17" s="12"/>
    </row>
    <row r="18" spans="1:29" ht="16" customHeight="1" thickBot="1">
      <c r="A18" s="40" t="s">
        <v>76</v>
      </c>
      <c r="B18" s="77">
        <v>401476</v>
      </c>
      <c r="C18" s="46" t="s">
        <v>249</v>
      </c>
      <c r="D18" s="96">
        <v>44504</v>
      </c>
      <c r="E18" s="44" t="s">
        <v>2</v>
      </c>
      <c r="F18" s="45">
        <v>173</v>
      </c>
      <c r="G18" s="89">
        <f>IF(OR(E18="",F18=""),"",PID_KVLohnLookup($A$1,E18,F18,LOHNTABELLE!$H$4))</f>
        <v>2021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71"/>
      <c r="N18" s="55"/>
      <c r="O18" s="363"/>
      <c r="P18" s="260"/>
      <c r="Q18" s="364"/>
      <c r="R18" s="365"/>
    </row>
    <row r="19" spans="1:29" ht="16" customHeight="1" thickBot="1">
      <c r="A19" s="40" t="s">
        <v>77</v>
      </c>
      <c r="B19" s="77">
        <v>401479</v>
      </c>
      <c r="C19" s="46" t="s">
        <v>250</v>
      </c>
      <c r="D19" s="96">
        <v>44511</v>
      </c>
      <c r="E19" s="44" t="s">
        <v>6</v>
      </c>
      <c r="F19" s="45">
        <v>173</v>
      </c>
      <c r="G19" s="89">
        <f>IF(OR(E19="",F19=""),"",PID_KVLohnLookup($A$1,E19,F19,LOHNTABELLE!$H$4))</f>
        <v>2160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71"/>
      <c r="N19" s="55"/>
      <c r="O19" s="363"/>
      <c r="P19" s="260"/>
      <c r="Q19" s="364"/>
      <c r="R19" s="365"/>
    </row>
    <row r="20" spans="1:29" ht="16" customHeight="1" thickBot="1">
      <c r="A20" s="40" t="s">
        <v>78</v>
      </c>
      <c r="B20" s="77">
        <v>401481</v>
      </c>
      <c r="C20" s="46" t="s">
        <v>251</v>
      </c>
      <c r="D20" s="96">
        <v>44531</v>
      </c>
      <c r="E20" s="44" t="s">
        <v>2</v>
      </c>
      <c r="F20" s="45">
        <v>173</v>
      </c>
      <c r="G20" s="89">
        <f>IF(OR(E20="",F20=""),"",PID_KVLohnLookup($A$1,E20,F20,LOHNTABELLE!$H$4))</f>
        <v>2021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71"/>
      <c r="N20" s="55"/>
      <c r="O20" s="363"/>
      <c r="P20" s="260"/>
      <c r="Q20" s="364"/>
      <c r="R20" s="365"/>
    </row>
    <row r="21" spans="1:29" ht="16" customHeight="1" thickBot="1">
      <c r="A21" s="41" t="s">
        <v>80</v>
      </c>
      <c r="B21" s="77">
        <v>401558</v>
      </c>
      <c r="C21" s="46" t="s">
        <v>248</v>
      </c>
      <c r="D21" s="96">
        <v>44460</v>
      </c>
      <c r="E21" s="44" t="s">
        <v>2</v>
      </c>
      <c r="F21" s="45">
        <v>173</v>
      </c>
      <c r="G21" s="89">
        <f>IF(OR(E21="",F21=""),"",PID_KVLohnLookup($A$1,E21,F21,LOHNTABELLE!$H$4))</f>
        <v>2021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71"/>
      <c r="N21" s="55"/>
      <c r="O21" s="363" t="s">
        <v>320</v>
      </c>
      <c r="P21" s="260"/>
      <c r="Q21" s="364">
        <v>5000</v>
      </c>
      <c r="R21" s="365"/>
    </row>
    <row r="22" spans="1:29" ht="16" customHeight="1" thickBot="1">
      <c r="A22" s="40" t="s">
        <v>81</v>
      </c>
      <c r="B22" s="77">
        <v>401564</v>
      </c>
      <c r="C22" s="46" t="s">
        <v>252</v>
      </c>
      <c r="D22" s="96">
        <v>44824</v>
      </c>
      <c r="E22" s="44" t="s">
        <v>2</v>
      </c>
      <c r="F22" s="45">
        <v>173</v>
      </c>
      <c r="G22" s="89">
        <f>IF(OR(E22="",F22=""),"",PID_KVLohnLookup($A$1,E22,F22,LOHNTABELLE!$H$4))</f>
        <v>2021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71"/>
      <c r="N22" s="55"/>
      <c r="O22" s="363"/>
      <c r="P22" s="260"/>
      <c r="Q22" s="364"/>
      <c r="R22" s="365"/>
    </row>
    <row r="23" spans="1:29" ht="16" customHeight="1" thickBot="1">
      <c r="A23" s="40" t="s">
        <v>82</v>
      </c>
      <c r="B23" s="77">
        <v>401583</v>
      </c>
      <c r="C23" s="46" t="s">
        <v>254</v>
      </c>
      <c r="D23" s="96">
        <v>44900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363"/>
      <c r="P23" s="260"/>
      <c r="Q23" s="364"/>
      <c r="R23" s="365"/>
      <c r="W23" s="12"/>
    </row>
    <row r="24" spans="1:29" ht="16" customHeight="1" thickBot="1">
      <c r="A24" s="40" t="s">
        <v>83</v>
      </c>
      <c r="B24" s="77">
        <v>401589</v>
      </c>
      <c r="C24" s="46" t="s">
        <v>255</v>
      </c>
      <c r="D24" s="96">
        <v>44926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363"/>
      <c r="P24" s="260"/>
      <c r="Q24" s="364"/>
      <c r="R24" s="365"/>
      <c r="W24" s="12"/>
    </row>
    <row r="25" spans="1:29" ht="16" customHeight="1" thickBot="1">
      <c r="A25" s="41" t="s">
        <v>84</v>
      </c>
      <c r="B25" s="77">
        <v>401602</v>
      </c>
      <c r="C25" s="46" t="s">
        <v>256</v>
      </c>
      <c r="D25" s="96">
        <v>45975</v>
      </c>
      <c r="E25" s="44" t="s">
        <v>2</v>
      </c>
      <c r="F25" s="45">
        <v>173</v>
      </c>
      <c r="G25" s="89">
        <f>IF(OR(E25="",F25=""),"",PID_KVLohnLookup($A$1,E25,F25,LOHNTABELLE!$H$4))</f>
        <v>2021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2021</v>
      </c>
      <c r="M25" s="71"/>
      <c r="N25" s="55"/>
      <c r="O25" s="377"/>
      <c r="P25" s="277"/>
      <c r="Q25" s="378"/>
      <c r="R25" s="379"/>
    </row>
    <row r="26" spans="1:29" ht="16" customHeight="1" thickBot="1">
      <c r="A26" s="40" t="s">
        <v>85</v>
      </c>
      <c r="B26" s="77">
        <v>401605</v>
      </c>
      <c r="C26" s="46" t="s">
        <v>257</v>
      </c>
      <c r="D26" s="96">
        <v>44986</v>
      </c>
      <c r="E26" s="44" t="s">
        <v>2</v>
      </c>
      <c r="F26" s="45">
        <v>173</v>
      </c>
      <c r="G26" s="89">
        <f>IF(OR(E26="",F26=""),"",PID_KVLohnLookup($A$1,E26,F26,LOHNTABELLE!$H$4))</f>
        <v>2021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71"/>
      <c r="N26" s="55"/>
      <c r="O26" s="281"/>
      <c r="P26" s="282"/>
      <c r="Q26" s="380"/>
      <c r="R26" s="381"/>
    </row>
    <row r="27" spans="1:29" ht="16" customHeight="1" thickBot="1">
      <c r="A27" s="40" t="s">
        <v>86</v>
      </c>
      <c r="B27" s="77">
        <v>401626</v>
      </c>
      <c r="C27" s="46" t="s">
        <v>258</v>
      </c>
      <c r="D27" s="96">
        <v>45063</v>
      </c>
      <c r="E27" s="44" t="s">
        <v>2</v>
      </c>
      <c r="F27" s="45">
        <v>173</v>
      </c>
      <c r="G27" s="89">
        <f>IF(OR(E27="",F27=""),"",PID_KVLohnLookup($A$1,E27,F27,LOHNTABELLE!$H$4))</f>
        <v>2021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71"/>
      <c r="N27" s="55"/>
      <c r="O27" s="373"/>
      <c r="P27" s="240"/>
      <c r="Q27" s="374"/>
      <c r="R27" s="375"/>
      <c r="S27" s="244" t="s">
        <v>87</v>
      </c>
      <c r="T27" s="245"/>
      <c r="U27" s="245"/>
      <c r="V27" s="245"/>
    </row>
    <row r="28" spans="1:29" ht="16" customHeight="1" thickBot="1">
      <c r="A28" s="40" t="s">
        <v>88</v>
      </c>
      <c r="B28" s="77">
        <v>401633</v>
      </c>
      <c r="C28" s="46" t="s">
        <v>259</v>
      </c>
      <c r="D28" s="96">
        <v>45089</v>
      </c>
      <c r="E28" s="44" t="s">
        <v>10</v>
      </c>
      <c r="F28" s="45">
        <v>173</v>
      </c>
      <c r="G28" s="89">
        <f>IF(OR(E28="",F28=""),"",PID_KVLohnLookup($A$1,E28,F28,LOHNTABELLE!$H$4))</f>
        <v>2300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71"/>
      <c r="N28" s="55"/>
      <c r="O28" s="376"/>
      <c r="P28" s="273"/>
      <c r="Q28" s="357"/>
      <c r="R28" s="358"/>
    </row>
    <row r="29" spans="1:29" ht="16" customHeight="1" thickBot="1">
      <c r="A29" s="41" t="s">
        <v>89</v>
      </c>
      <c r="B29" s="77">
        <v>401647</v>
      </c>
      <c r="C29" s="46" t="s">
        <v>260</v>
      </c>
      <c r="D29" s="96">
        <v>45182</v>
      </c>
      <c r="E29" s="44" t="s">
        <v>2</v>
      </c>
      <c r="F29" s="45">
        <v>173</v>
      </c>
      <c r="G29" s="89">
        <f>IF(OR(E29="",F29=""),"",PID_KVLohnLookup($A$1,E29,F29,LOHNTABELLE!$H$4))</f>
        <v>2021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2021</v>
      </c>
      <c r="M29" s="71"/>
      <c r="N29" s="55"/>
      <c r="O29" s="359" t="s">
        <v>90</v>
      </c>
      <c r="P29" s="248"/>
      <c r="Q29" s="360">
        <f>EINSTELLUNG!O7</f>
        <v>1250</v>
      </c>
      <c r="R29" s="361"/>
    </row>
    <row r="30" spans="1:29" ht="16" customHeight="1" thickBot="1">
      <c r="A30" s="40" t="s">
        <v>91</v>
      </c>
      <c r="B30" s="77">
        <v>401661</v>
      </c>
      <c r="C30" s="46" t="s">
        <v>261</v>
      </c>
      <c r="D30" s="96">
        <v>45261</v>
      </c>
      <c r="E30" s="44" t="s">
        <v>2</v>
      </c>
      <c r="F30" s="45">
        <v>173</v>
      </c>
      <c r="G30" s="89">
        <f>IF(OR(E30="",F30=""),"",PID_KVLohnLookup($A$1,E30,F30,LOHNTABELLE!$H$4))</f>
        <v>2021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401670</v>
      </c>
      <c r="C31" s="46" t="s">
        <v>262</v>
      </c>
      <c r="D31" s="96">
        <v>45358</v>
      </c>
      <c r="E31" s="44" t="s">
        <v>2</v>
      </c>
      <c r="F31" s="45">
        <v>173</v>
      </c>
      <c r="G31" s="89">
        <f>IF(OR(E31="",F31=""),"",PID_KVLohnLookup($A$1,E31,F31,LOHNTABELLE!$H$4))</f>
        <v>2021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71"/>
      <c r="N31" s="55"/>
      <c r="O31" s="366">
        <v>0</v>
      </c>
      <c r="P31" s="367"/>
      <c r="Q31" s="368">
        <v>1.7241379310344827E-2</v>
      </c>
      <c r="R31" s="252"/>
    </row>
    <row r="32" spans="1:29" ht="16" customHeight="1" thickBot="1">
      <c r="A32" s="40" t="s">
        <v>94</v>
      </c>
      <c r="B32" s="77">
        <v>401678</v>
      </c>
      <c r="C32" s="46" t="s">
        <v>263</v>
      </c>
      <c r="D32" s="96">
        <v>45414</v>
      </c>
      <c r="E32" s="44" t="s">
        <v>2</v>
      </c>
      <c r="F32" s="45">
        <v>173</v>
      </c>
      <c r="G32" s="89">
        <f>IF(OR(E32="",F32=""),"",PID_KVLohnLookup($A$1,E32,F32,LOHNTABELLE!$H$4))</f>
        <v>2021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71"/>
      <c r="N32" s="55"/>
    </row>
    <row r="33" spans="1:24" ht="16" customHeight="1" thickBot="1">
      <c r="A33" s="41" t="s">
        <v>95</v>
      </c>
      <c r="B33" s="77">
        <v>401690</v>
      </c>
      <c r="C33" s="46" t="s">
        <v>265</v>
      </c>
      <c r="D33" s="96">
        <v>45536</v>
      </c>
      <c r="E33" s="44" t="s">
        <v>2</v>
      </c>
      <c r="F33" s="45">
        <v>173</v>
      </c>
      <c r="G33" s="89">
        <f>IF(OR(E33="",F33=""),"",PID_KVLohnLookup($A$1,E33,F33,LOHNTABELLE!$H$4))</f>
        <v>2021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71"/>
      <c r="N33" s="55"/>
      <c r="O33" s="369"/>
      <c r="P33" s="370"/>
      <c r="Q33" s="338" t="s">
        <v>96</v>
      </c>
      <c r="R33" s="339"/>
      <c r="S33" s="342" t="s">
        <v>97</v>
      </c>
      <c r="T33" s="343"/>
      <c r="U33" s="342" t="s">
        <v>98</v>
      </c>
      <c r="V33" s="343"/>
    </row>
    <row r="34" spans="1:24" ht="16" customHeight="1" thickBot="1">
      <c r="A34" s="40" t="s">
        <v>99</v>
      </c>
      <c r="B34" s="77">
        <v>401703</v>
      </c>
      <c r="C34" s="46" t="s">
        <v>266</v>
      </c>
      <c r="D34" s="96">
        <v>45616</v>
      </c>
      <c r="E34" s="44" t="s">
        <v>2</v>
      </c>
      <c r="F34" s="45">
        <v>173</v>
      </c>
      <c r="G34" s="89">
        <f>IF(OR(E34="",F34=""),"",PID_KVLohnLookup($A$1,E34,F34,LOHNTABELLE!$H$4))</f>
        <v>2021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71"/>
      <c r="N34" s="55"/>
      <c r="O34" s="371"/>
      <c r="P34" s="372"/>
      <c r="Q34" s="340"/>
      <c r="R34" s="341"/>
      <c r="S34" s="344"/>
      <c r="T34" s="345"/>
      <c r="U34" s="344"/>
      <c r="V34" s="345"/>
    </row>
    <row r="35" spans="1:24" ht="16" customHeight="1" thickBot="1">
      <c r="A35" s="40" t="s">
        <v>100</v>
      </c>
      <c r="B35" s="77">
        <v>401715</v>
      </c>
      <c r="C35" s="46" t="s">
        <v>268</v>
      </c>
      <c r="D35" s="96">
        <v>45755</v>
      </c>
      <c r="E35" s="44" t="s">
        <v>2</v>
      </c>
      <c r="F35" s="45">
        <v>173</v>
      </c>
      <c r="G35" s="89">
        <f>IF(OR(E35="",F35=""),"",PID_KVLohnLookup($A$1,E35,F35,LOHNTABELLE!$H$4))</f>
        <v>2021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71"/>
      <c r="N35" s="55"/>
      <c r="O35" s="362" t="s">
        <v>101</v>
      </c>
      <c r="P35" s="264"/>
      <c r="Q35" s="235">
        <f>EINSTELLUNG!C7</f>
        <v>400000</v>
      </c>
      <c r="R35" s="237"/>
      <c r="S35" s="235">
        <f>EINSTELLUNG!C23</f>
        <v>425000</v>
      </c>
      <c r="T35" s="237"/>
      <c r="U35" s="242">
        <f>S35-Q35</f>
        <v>25000</v>
      </c>
      <c r="V35" s="242"/>
    </row>
    <row r="36" spans="1:24" ht="16" customHeight="1" thickBot="1">
      <c r="A36" s="40" t="s">
        <v>102</v>
      </c>
      <c r="B36" s="77">
        <v>401716</v>
      </c>
      <c r="C36" s="46" t="s">
        <v>269</v>
      </c>
      <c r="D36" s="96">
        <v>45800</v>
      </c>
      <c r="E36" s="44" t="s">
        <v>2</v>
      </c>
      <c r="F36" s="45">
        <v>173</v>
      </c>
      <c r="G36" s="89">
        <f>IF(OR(E36="",F36=""),"",PID_KVLohnLookup($A$1,E36,F36,LOHNTABELLE!$H$4))</f>
        <v>2021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71"/>
      <c r="N36" s="55"/>
      <c r="O36" s="362" t="s">
        <v>103</v>
      </c>
      <c r="P36" s="264"/>
      <c r="Q36" s="235">
        <f>EINSTELLUNG!D7</f>
        <v>100000</v>
      </c>
      <c r="R36" s="237"/>
      <c r="S36" s="238">
        <f>SumMergedCells(Q17:R29)</f>
        <v>109771.0129</v>
      </c>
      <c r="T36" s="238"/>
      <c r="U36" s="242">
        <f t="shared" ref="U36:U41" si="2">S36-Q36</f>
        <v>9771.0129000000015</v>
      </c>
      <c r="V36" s="242"/>
    </row>
    <row r="37" spans="1:24" ht="16" customHeight="1" thickBot="1">
      <c r="A37" s="41" t="s">
        <v>104</v>
      </c>
      <c r="B37" s="77">
        <v>401717</v>
      </c>
      <c r="C37" s="46" t="s">
        <v>270</v>
      </c>
      <c r="D37" s="96">
        <v>45814</v>
      </c>
      <c r="E37" s="44" t="s">
        <v>2</v>
      </c>
      <c r="F37" s="45">
        <v>173</v>
      </c>
      <c r="G37" s="89">
        <f>IF(OR(E37="",F37=""),"",PID_KVLohnLookup($A$1,E37,F37,LOHNTABELLE!$H$4))</f>
        <v>2021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71"/>
      <c r="N37" s="55"/>
      <c r="O37" s="362" t="s">
        <v>105</v>
      </c>
      <c r="P37" s="264"/>
      <c r="Q37" s="355">
        <f>IF(ISERROR(Q36/Q35), 0, Q36/Q35)</f>
        <v>0.25</v>
      </c>
      <c r="R37" s="356"/>
      <c r="S37" s="355">
        <f>IF(ISERROR(S36/S35), 0, S36/S35)</f>
        <v>0.25828473623529413</v>
      </c>
      <c r="T37" s="356"/>
      <c r="U37" s="247">
        <f t="shared" si="2"/>
        <v>8.2847362352941323E-3</v>
      </c>
      <c r="V37" s="247"/>
    </row>
    <row r="38" spans="1:24" ht="16" customHeight="1" thickBot="1">
      <c r="A38" s="40" t="s">
        <v>106</v>
      </c>
      <c r="B38" s="77">
        <v>401722</v>
      </c>
      <c r="C38" s="46" t="s">
        <v>271</v>
      </c>
      <c r="D38" s="96">
        <v>45848</v>
      </c>
      <c r="E38" s="44" t="s">
        <v>2</v>
      </c>
      <c r="F38" s="45">
        <v>86.5</v>
      </c>
      <c r="G38" s="89">
        <f>IF(OR(E38="",F38=""),"",PID_KVLohnLookup($A$1,E38,F38,LOHNTABELLE!$H$4))</f>
        <v>1010.5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71"/>
      <c r="N38" s="55"/>
      <c r="O38" s="362" t="s">
        <v>107</v>
      </c>
      <c r="P38" s="264"/>
      <c r="Q38" s="353">
        <f>EINSTELLUNG!F7</f>
        <v>30000</v>
      </c>
      <c r="R38" s="354"/>
      <c r="S38" s="353">
        <f>EINSTELLUNG!F23</f>
        <v>29000</v>
      </c>
      <c r="T38" s="354"/>
      <c r="U38" s="243">
        <f t="shared" si="2"/>
        <v>-1000</v>
      </c>
      <c r="V38" s="243"/>
    </row>
    <row r="39" spans="1:24" ht="16" customHeight="1" thickBot="1">
      <c r="A39" s="40" t="s">
        <v>108</v>
      </c>
      <c r="B39" s="77">
        <v>401723</v>
      </c>
      <c r="C39" s="46" t="s">
        <v>272</v>
      </c>
      <c r="D39" s="96">
        <v>45852</v>
      </c>
      <c r="E39" s="44" t="s">
        <v>2</v>
      </c>
      <c r="F39" s="45">
        <v>86.5</v>
      </c>
      <c r="G39" s="89">
        <f>IF(OR(E39="",F39=""),"",PID_KVLohnLookup($A$1,E39,F39,LOHNTABELLE!$H$4))</f>
        <v>1010.5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71"/>
      <c r="N39" s="55"/>
      <c r="O39" s="362" t="s">
        <v>109</v>
      </c>
      <c r="P39" s="264"/>
      <c r="Q39" s="235">
        <f>IF(Q38=0, 0, Q35/Q38)</f>
        <v>13.333333333333334</v>
      </c>
      <c r="R39" s="237"/>
      <c r="S39" s="235">
        <f>IF(S38=0, 0, S35/S38)</f>
        <v>14.655172413793103</v>
      </c>
      <c r="T39" s="237"/>
      <c r="U39" s="242">
        <f t="shared" si="2"/>
        <v>1.3218390804597693</v>
      </c>
      <c r="V39" s="242"/>
    </row>
    <row r="40" spans="1:24" ht="16" customHeight="1" thickBot="1">
      <c r="A40" s="40" t="s">
        <v>110</v>
      </c>
      <c r="B40" s="77">
        <v>401726</v>
      </c>
      <c r="C40" s="46" t="s">
        <v>273</v>
      </c>
      <c r="D40" s="96">
        <v>45870</v>
      </c>
      <c r="E40" s="44" t="s">
        <v>2</v>
      </c>
      <c r="F40" s="45">
        <v>86.5</v>
      </c>
      <c r="G40" s="89">
        <f>IF(OR(E40="",F40=""),"",PID_KVLohnLookup($A$1,E40,F40,LOHNTABELLE!$H$4))</f>
        <v>1010.5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71"/>
      <c r="N40" s="55"/>
      <c r="O40" s="264" t="s">
        <v>111</v>
      </c>
      <c r="P40" s="265"/>
      <c r="Q40" s="238">
        <f>IF(Q12=0, 0, Q35/Q12)</f>
        <v>49.74190170751514</v>
      </c>
      <c r="R40" s="238"/>
      <c r="S40" s="238">
        <f>IF(Q12=0, 0, S35/Q12)</f>
        <v>52.850770564234836</v>
      </c>
      <c r="T40" s="238"/>
      <c r="U40" s="242">
        <f t="shared" si="2"/>
        <v>3.1088688567196954</v>
      </c>
      <c r="V40" s="242"/>
    </row>
    <row r="41" spans="1:24" ht="16" customHeight="1" thickBot="1">
      <c r="A41" s="41" t="s">
        <v>112</v>
      </c>
      <c r="B41" s="77">
        <v>401730</v>
      </c>
      <c r="C41" s="46" t="s">
        <v>275</v>
      </c>
      <c r="D41" s="96">
        <v>45895</v>
      </c>
      <c r="E41" s="44" t="s">
        <v>2</v>
      </c>
      <c r="F41" s="45">
        <v>86.5</v>
      </c>
      <c r="G41" s="89">
        <f>IF(OR(E41="",F41=""),"",PID_KVLohnLookup($A$1,E41,F41,LOHNTABELLE!$H$4))</f>
        <v>1010.5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71"/>
      <c r="N41" s="55"/>
      <c r="O41" s="264" t="s">
        <v>113</v>
      </c>
      <c r="P41" s="265"/>
      <c r="Q41" s="239">
        <f>IF(Q12=0, 0, Q38/Q12)</f>
        <v>3.7306426280636353</v>
      </c>
      <c r="R41" s="239"/>
      <c r="S41" s="239">
        <f>IF(Q12=0, 0, S38/Q12)</f>
        <v>3.6062878737948476</v>
      </c>
      <c r="T41" s="239"/>
      <c r="U41" s="243">
        <f t="shared" si="2"/>
        <v>-0.12435475426878773</v>
      </c>
      <c r="V41" s="243"/>
    </row>
    <row r="42" spans="1:24" ht="16" customHeight="1" thickBot="1">
      <c r="A42" s="40" t="s">
        <v>114</v>
      </c>
      <c r="B42" s="77">
        <v>401731</v>
      </c>
      <c r="C42" s="46" t="s">
        <v>274</v>
      </c>
      <c r="D42" s="96">
        <v>45899</v>
      </c>
      <c r="E42" s="44" t="s">
        <v>2</v>
      </c>
      <c r="F42" s="45">
        <v>86.5</v>
      </c>
      <c r="G42" s="89">
        <f>IF(OR(E42="",F42=""),"",PID_KVLohnLookup($A$1,E42,F42,LOHNTABELLE!$H$4))</f>
        <v>1010.5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71"/>
      <c r="N42" s="55"/>
      <c r="O42" s="264" t="s">
        <v>115</v>
      </c>
      <c r="P42" s="265"/>
      <c r="Q42" s="235">
        <f>IFERROR(Q17/Q8, 0)</f>
        <v>11.976733162470209</v>
      </c>
      <c r="R42" s="236"/>
      <c r="S42" s="236"/>
      <c r="T42" s="236"/>
      <c r="U42" s="236"/>
      <c r="V42" s="237"/>
    </row>
    <row r="43" spans="1:24" ht="16" customHeight="1" thickBot="1">
      <c r="A43" s="40" t="s">
        <v>116</v>
      </c>
      <c r="B43" s="77">
        <v>401734</v>
      </c>
      <c r="C43" s="46" t="s">
        <v>276</v>
      </c>
      <c r="D43" s="96">
        <v>45904</v>
      </c>
      <c r="E43" s="44" t="s">
        <v>2</v>
      </c>
      <c r="F43" s="45">
        <v>86.5</v>
      </c>
      <c r="G43" s="89">
        <f>IF(OR(E43="",F43=""),"",PID_KVLohnLookup($A$1,E43,F43,LOHNTABELLE!$H$4))</f>
        <v>1010.5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71"/>
      <c r="N43" s="55"/>
    </row>
    <row r="44" spans="1:24" ht="16" customHeight="1" thickBot="1">
      <c r="A44" s="40" t="s">
        <v>117</v>
      </c>
      <c r="B44" s="77">
        <v>401736</v>
      </c>
      <c r="C44" s="46" t="s">
        <v>277</v>
      </c>
      <c r="D44" s="96">
        <v>45906</v>
      </c>
      <c r="E44" s="44" t="s">
        <v>2</v>
      </c>
      <c r="F44" s="45">
        <v>86.5</v>
      </c>
      <c r="G44" s="89">
        <f>IF(OR(E44="",F44=""),"",PID_KVLohnLookup($A$1,E44,F44,LOHNTABELLE!$H$4))</f>
        <v>1010.5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401737</v>
      </c>
      <c r="C45" s="46" t="s">
        <v>278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1010.5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71"/>
      <c r="N45" s="55"/>
      <c r="O45" s="30"/>
    </row>
    <row r="46" spans="1:24" ht="16" customHeight="1" thickBot="1">
      <c r="A46" s="40" t="s">
        <v>120</v>
      </c>
      <c r="B46" s="77">
        <v>401738</v>
      </c>
      <c r="C46" s="46" t="s">
        <v>279</v>
      </c>
      <c r="D46" s="96">
        <v>45909</v>
      </c>
      <c r="E46" s="44" t="s">
        <v>2</v>
      </c>
      <c r="F46" s="45">
        <v>86.5</v>
      </c>
      <c r="G46" s="89">
        <f>IF(OR(E46="",F46=""),"",PID_KVLohnLookup($A$1,E46,F46,LOHNTABELLE!$H$4))</f>
        <v>1010.5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71"/>
      <c r="N46" s="55"/>
    </row>
    <row r="47" spans="1:24" ht="16" customHeight="1" thickBot="1">
      <c r="A47" s="40" t="s">
        <v>121</v>
      </c>
      <c r="B47" s="77">
        <v>401745</v>
      </c>
      <c r="C47" s="48" t="s">
        <v>283</v>
      </c>
      <c r="D47" s="96">
        <v>45934</v>
      </c>
      <c r="E47" s="44" t="s">
        <v>2</v>
      </c>
      <c r="F47" s="45">
        <v>86.5</v>
      </c>
      <c r="G47" s="89">
        <f>IF(OR(E47="",F47=""),"",PID_KVLohnLookup($A$1,E47,F47,LOHNTABELLE!$H$4))</f>
        <v>1010.5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71"/>
      <c r="N47" s="55"/>
    </row>
    <row r="48" spans="1:24" ht="16" customHeight="1" thickBot="1">
      <c r="A48" s="40" t="s">
        <v>122</v>
      </c>
      <c r="B48" s="77">
        <v>401746</v>
      </c>
      <c r="C48" s="46" t="s">
        <v>282</v>
      </c>
      <c r="D48" s="96">
        <v>45941</v>
      </c>
      <c r="E48" s="44" t="s">
        <v>2</v>
      </c>
      <c r="F48" s="45">
        <v>86.5</v>
      </c>
      <c r="G48" s="89">
        <f>IF(OR(E48="",F48=""),"",PID_KVLohnLookup($A$1,E48,F48,LOHNTABELLE!$H$4))</f>
        <v>1010.5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71"/>
      <c r="N48" s="55"/>
    </row>
    <row r="49" spans="1:14" ht="16" customHeight="1" thickBot="1">
      <c r="A49" s="41" t="s">
        <v>123</v>
      </c>
      <c r="B49" s="77">
        <v>401747</v>
      </c>
      <c r="C49" s="46" t="s">
        <v>280</v>
      </c>
      <c r="D49" s="96">
        <v>45941</v>
      </c>
      <c r="E49" s="44" t="s">
        <v>2</v>
      </c>
      <c r="F49" s="45">
        <v>138.4</v>
      </c>
      <c r="G49" s="89">
        <f>IF(OR(E49="",F49=""),"",PID_KVLohnLookup($A$1,E49,F49,LOHNTABELLE!$H$4))</f>
        <v>1616.8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138.4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1616.8</v>
      </c>
      <c r="M49" s="71"/>
      <c r="N49" s="55"/>
    </row>
    <row r="50" spans="1:14" ht="16" customHeight="1" thickBot="1">
      <c r="A50" s="40" t="s">
        <v>124</v>
      </c>
      <c r="B50" s="77">
        <v>401748</v>
      </c>
      <c r="C50" s="46" t="s">
        <v>281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1010.5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71"/>
      <c r="N50" s="55"/>
    </row>
    <row r="51" spans="1:14" ht="16" customHeight="1" thickBot="1">
      <c r="A51" s="40" t="s">
        <v>125</v>
      </c>
      <c r="B51" s="77">
        <v>401751</v>
      </c>
      <c r="C51" s="46" t="s">
        <v>284</v>
      </c>
      <c r="D51" s="96">
        <v>45961</v>
      </c>
      <c r="E51" s="44" t="s">
        <v>2</v>
      </c>
      <c r="F51" s="45">
        <v>86.5</v>
      </c>
      <c r="G51" s="89">
        <f>IF(OR(E51="",F51=""),"",PID_KVLohnLookup($A$1,E51,F51,LOHNTABELLE!$H$4))</f>
        <v>1010.5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71"/>
      <c r="N51" s="55"/>
    </row>
    <row r="52" spans="1:14" ht="16" customHeight="1" thickBot="1">
      <c r="A52" s="40" t="s">
        <v>126</v>
      </c>
      <c r="B52" s="77">
        <v>401752</v>
      </c>
      <c r="C52" s="46" t="s">
        <v>285</v>
      </c>
      <c r="D52" s="96">
        <v>45986</v>
      </c>
      <c r="E52" s="44" t="s">
        <v>2</v>
      </c>
      <c r="F52" s="45">
        <v>86.5</v>
      </c>
      <c r="G52" s="89">
        <f>IF(OR(E52="",F52=""),"",PID_KVLohnLookup($A$1,E52,F52,LOHNTABELLE!$H$4))</f>
        <v>1010.5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71"/>
      <c r="N52" s="55"/>
    </row>
    <row r="53" spans="1:14" ht="16" customHeight="1" thickBot="1">
      <c r="A53" s="41" t="s">
        <v>127</v>
      </c>
      <c r="B53" s="77">
        <v>401754</v>
      </c>
      <c r="C53" s="46" t="s">
        <v>286</v>
      </c>
      <c r="D53" s="96">
        <v>46014</v>
      </c>
      <c r="E53" s="44" t="s">
        <v>2</v>
      </c>
      <c r="F53" s="45">
        <v>86.5</v>
      </c>
      <c r="G53" s="89">
        <f>IF(OR(E53="",F53=""),"",PID_KVLohnLookup($A$1,E53,F53,LOHNTABELLE!$H$4))</f>
        <v>1010.5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71"/>
      <c r="N53" s="55"/>
    </row>
    <row r="54" spans="1:14" ht="16" customHeight="1" thickBot="1">
      <c r="A54" s="40" t="s">
        <v>128</v>
      </c>
      <c r="B54" s="77">
        <v>402405</v>
      </c>
      <c r="C54" s="46" t="s">
        <v>330</v>
      </c>
      <c r="D54" s="96">
        <v>46054</v>
      </c>
      <c r="E54" s="44" t="s">
        <v>2</v>
      </c>
      <c r="F54" s="45">
        <v>173</v>
      </c>
      <c r="G54" s="89">
        <f>IF(OR(E54="",F54=""),"",PID_KVLohnLookup($A$1,E54,F54,LOHNTABELLE!$H$4))</f>
        <v>2021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71"/>
      <c r="N54" s="55"/>
    </row>
    <row r="55" spans="1:14" ht="16" customHeight="1" thickBot="1">
      <c r="A55" s="40" t="s">
        <v>129</v>
      </c>
      <c r="B55" s="77">
        <v>55</v>
      </c>
      <c r="C55" s="46" t="s">
        <v>331</v>
      </c>
      <c r="D55" s="96">
        <v>46054</v>
      </c>
      <c r="E55" s="44" t="s">
        <v>2</v>
      </c>
      <c r="F55" s="45">
        <v>173</v>
      </c>
      <c r="G55" s="89">
        <f>IF(OR(E55="",F55=""),"",PID_KVLohnLookup($A$1,E55,F55,LOHNTABELLE!$H$4))</f>
        <v>2021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2021</v>
      </c>
      <c r="M55" s="71"/>
      <c r="N55" s="55"/>
    </row>
    <row r="56" spans="1:14" ht="16" customHeight="1" thickBot="1">
      <c r="A56" s="40" t="s">
        <v>130</v>
      </c>
      <c r="B56" s="77">
        <v>503000</v>
      </c>
      <c r="C56" s="46" t="s">
        <v>332</v>
      </c>
      <c r="D56" s="96">
        <v>42401</v>
      </c>
      <c r="E56" s="44" t="s">
        <v>2</v>
      </c>
      <c r="F56" s="45">
        <v>173</v>
      </c>
      <c r="G56" s="89">
        <f>IF(OR(E56="",F56=""),"",PID_KVLohnLookup($A$1,E56,F56,LOHNTABELLE!$H$4))</f>
        <v>2021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71"/>
      <c r="N56" s="55"/>
    </row>
    <row r="57" spans="1:14" ht="16" customHeight="1" thickBot="1">
      <c r="A57" s="41" t="s">
        <v>131</v>
      </c>
      <c r="B57" s="77">
        <v>504000</v>
      </c>
      <c r="C57" s="46" t="s">
        <v>333</v>
      </c>
      <c r="D57" s="96">
        <v>46054</v>
      </c>
      <c r="E57" s="44" t="s">
        <v>3</v>
      </c>
      <c r="F57" s="45">
        <v>138.4</v>
      </c>
      <c r="G57" s="89">
        <f>IF(OR(E57="",F57=""),"",PID_KVLohnLookup($A$1,E57,F57,LOHNTABELLE!$H$4))</f>
        <v>1665.6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1665.6</v>
      </c>
      <c r="M57" s="71"/>
      <c r="N57" s="55"/>
    </row>
    <row r="58" spans="1:14" ht="16" customHeight="1" thickBot="1">
      <c r="A58" s="40" t="s">
        <v>132</v>
      </c>
      <c r="B58" s="77">
        <v>505000</v>
      </c>
      <c r="C58" s="46" t="s">
        <v>334</v>
      </c>
      <c r="D58" s="96">
        <v>46054</v>
      </c>
      <c r="E58" s="44" t="s">
        <v>2</v>
      </c>
      <c r="F58" s="45">
        <v>138.4</v>
      </c>
      <c r="G58" s="89">
        <f>IF(OR(E58="",F58=""),"",PID_KVLohnLookup($A$1,E58,F58,LOHNTABELLE!$H$4))</f>
        <v>1616.8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1616.8</v>
      </c>
      <c r="M58" s="71"/>
      <c r="N58" s="55"/>
    </row>
    <row r="59" spans="1:14" ht="16" customHeight="1" thickBot="1">
      <c r="A59" s="40" t="s">
        <v>133</v>
      </c>
      <c r="B59" s="77">
        <v>500600</v>
      </c>
      <c r="C59" s="46" t="s">
        <v>335</v>
      </c>
      <c r="D59" s="96">
        <v>46054</v>
      </c>
      <c r="E59" s="44" t="s">
        <v>2</v>
      </c>
      <c r="F59" s="45">
        <v>173</v>
      </c>
      <c r="G59" s="89">
        <f>IF(OR(E59="",F59=""),"",PID_KVLohnLookup($A$1,E59,F59,LOHNTABELLE!$H$4))</f>
        <v>2021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2021</v>
      </c>
      <c r="M59" s="71"/>
      <c r="N59" s="55"/>
    </row>
    <row r="60" spans="1:14" ht="16" customHeight="1" thickBot="1">
      <c r="A60" s="40" t="s">
        <v>134</v>
      </c>
      <c r="B60" s="77">
        <v>600000</v>
      </c>
      <c r="C60" s="46" t="s">
        <v>336</v>
      </c>
      <c r="D60" s="96">
        <v>46054</v>
      </c>
      <c r="E60" s="44" t="s">
        <v>2</v>
      </c>
      <c r="F60" s="45">
        <v>151.38</v>
      </c>
      <c r="G60" s="89">
        <f>IF(OR(E60="",F60=""),"",PID_KVLohnLookup($A$1,E60,F60,LOHNTABELLE!$H$4))</f>
        <v>1768.38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10.81</v>
      </c>
      <c r="I60" s="99">
        <v>46055</v>
      </c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126.31285714285715</v>
      </c>
      <c r="M60" s="71"/>
      <c r="N60" s="55" t="s">
        <v>195</v>
      </c>
    </row>
    <row r="61" spans="1:14" ht="16" customHeight="1" thickBot="1">
      <c r="A61" s="41" t="s">
        <v>135</v>
      </c>
      <c r="B61" s="77">
        <v>700000</v>
      </c>
      <c r="C61" s="46" t="s">
        <v>347</v>
      </c>
      <c r="D61" s="96">
        <v>46054</v>
      </c>
      <c r="E61" s="44" t="s">
        <v>2</v>
      </c>
      <c r="F61" s="45">
        <v>173</v>
      </c>
      <c r="G61" s="89">
        <f>IF(OR(E61="",F61=""),"",PID_KVLohnLookup($A$1,E61,F61,LOHNTABELLE!$H$4))</f>
        <v>2021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71"/>
      <c r="N61" s="55"/>
    </row>
    <row r="62" spans="1:14" ht="16" customHeight="1" thickBot="1">
      <c r="A62" s="40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5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5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4" spans="1:15" ht="16" customHeight="1">
      <c r="O84" s="20"/>
    </row>
    <row r="85" spans="1:15" ht="16" customHeight="1">
      <c r="O85" s="20"/>
    </row>
    <row r="86" spans="1:15" ht="16" customHeight="1">
      <c r="O86" s="20"/>
    </row>
  </sheetData>
  <sheetProtection algorithmName="SHA-512" hashValue="QqOzW1Qp/xE122658qbJgWbno1eAqjAa5Gpxos1h+5fkJcW4fh6I+BsNubW+eDS7NJJvfMcUnFFlqCPoHzAvGA==" saltValue="0WVx9qWQxqA6z/5RX4omS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O39:P39"/>
    <mergeCell ref="Q39:R39"/>
    <mergeCell ref="I1:I2"/>
    <mergeCell ref="J1:J2"/>
    <mergeCell ref="K1:K2"/>
    <mergeCell ref="L1:L2"/>
    <mergeCell ref="M1:M2"/>
    <mergeCell ref="O36:P36"/>
    <mergeCell ref="Q36:R36"/>
    <mergeCell ref="O37:P37"/>
    <mergeCell ref="Q37:R37"/>
    <mergeCell ref="O38:P38"/>
    <mergeCell ref="Q38:R38"/>
    <mergeCell ref="P3:P4"/>
    <mergeCell ref="Q3:Q4"/>
    <mergeCell ref="O14:P14"/>
    <mergeCell ref="Q14:R14"/>
    <mergeCell ref="B1:B2"/>
    <mergeCell ref="N1:N2"/>
    <mergeCell ref="Q10:R10"/>
    <mergeCell ref="O15:R15"/>
    <mergeCell ref="H1:H2"/>
    <mergeCell ref="R3:R4"/>
    <mergeCell ref="O6:R6"/>
    <mergeCell ref="O8:P8"/>
    <mergeCell ref="Q8:R8"/>
    <mergeCell ref="O9:P9"/>
    <mergeCell ref="Q9:R9"/>
    <mergeCell ref="O10:P10"/>
    <mergeCell ref="O11:P11"/>
    <mergeCell ref="Q11:R11"/>
    <mergeCell ref="O12:P12"/>
    <mergeCell ref="Q12:R12"/>
    <mergeCell ref="O13:P13"/>
    <mergeCell ref="Q13:R13"/>
    <mergeCell ref="O3:O4"/>
    <mergeCell ref="C1:C2"/>
    <mergeCell ref="D1:D2"/>
    <mergeCell ref="E1:E2"/>
    <mergeCell ref="F1:F2"/>
    <mergeCell ref="G1:G2"/>
    <mergeCell ref="O25:P25"/>
    <mergeCell ref="Q25:R25"/>
    <mergeCell ref="O26:P26"/>
    <mergeCell ref="Q26:R26"/>
    <mergeCell ref="O17:P17"/>
    <mergeCell ref="Q17:R17"/>
    <mergeCell ref="O18:P18"/>
    <mergeCell ref="Q18:R18"/>
    <mergeCell ref="O19:P19"/>
    <mergeCell ref="Q19:R19"/>
    <mergeCell ref="O20:P20"/>
    <mergeCell ref="Q20:R20"/>
    <mergeCell ref="O21:P21"/>
    <mergeCell ref="Q21:R21"/>
    <mergeCell ref="S27:V27"/>
    <mergeCell ref="O35:P35"/>
    <mergeCell ref="O22:P22"/>
    <mergeCell ref="Q22:R22"/>
    <mergeCell ref="O23:P23"/>
    <mergeCell ref="Q23:R23"/>
    <mergeCell ref="O24:P24"/>
    <mergeCell ref="Q24:R24"/>
    <mergeCell ref="O31:P31"/>
    <mergeCell ref="Q31:R31"/>
    <mergeCell ref="O33:P34"/>
    <mergeCell ref="Q33:R34"/>
    <mergeCell ref="Q35:R35"/>
    <mergeCell ref="O27:P27"/>
    <mergeCell ref="Q27:R27"/>
    <mergeCell ref="O28:P28"/>
    <mergeCell ref="Q28:R28"/>
    <mergeCell ref="O29:P29"/>
    <mergeCell ref="Q29:R29"/>
    <mergeCell ref="O42:P42"/>
    <mergeCell ref="Q42:V42"/>
    <mergeCell ref="O40:P40"/>
    <mergeCell ref="Q40:R40"/>
    <mergeCell ref="S40:T40"/>
    <mergeCell ref="U40:V40"/>
    <mergeCell ref="O41:P41"/>
    <mergeCell ref="Q41:R41"/>
    <mergeCell ref="S41:T41"/>
    <mergeCell ref="U41:V41"/>
    <mergeCell ref="U38:V38"/>
    <mergeCell ref="S39:T39"/>
    <mergeCell ref="U39:V39"/>
    <mergeCell ref="S38:T38"/>
    <mergeCell ref="U33:V34"/>
    <mergeCell ref="S33:T34"/>
    <mergeCell ref="U37:V37"/>
    <mergeCell ref="S35:T35"/>
    <mergeCell ref="U35:V35"/>
    <mergeCell ref="S36:T36"/>
    <mergeCell ref="U36:V36"/>
    <mergeCell ref="S37:T37"/>
  </mergeCells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834F483C-C922-3C4D-B8F1-FBFA68547219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4C753EDB-44DD-9343-9BE9-321F667DB65A}">
      <formula1>KV_DD_FEBRUAR_3</formula1>
    </dataValidation>
    <dataValidation type="list" allowBlank="1" showInputMessage="1" showErrorMessage="1" sqref="F4" xr:uid="{537869AE-BC6E-CC45-8820-65764D5F723B}">
      <formula1>KV_DD_FEBRUAR_4</formula1>
    </dataValidation>
    <dataValidation type="list" allowBlank="1" showInputMessage="1" showErrorMessage="1" sqref="F5" xr:uid="{46422199-7754-A441-B6F5-EF60B7C9CEA7}">
      <formula1>KV_DD_FEBRUAR_5</formula1>
    </dataValidation>
    <dataValidation type="list" allowBlank="1" showInputMessage="1" showErrorMessage="1" sqref="F6" xr:uid="{93786A49-2993-7E40-8F98-25FB5F227EA4}">
      <formula1>KV_DD_FEBRUAR_6</formula1>
    </dataValidation>
    <dataValidation type="list" allowBlank="1" showInputMessage="1" showErrorMessage="1" sqref="F7" xr:uid="{5ECE8C42-433C-954C-82AB-6C51A0905E4E}">
      <formula1>KV_DD_FEBRUAR_7</formula1>
    </dataValidation>
    <dataValidation type="list" allowBlank="1" showInputMessage="1" showErrorMessage="1" sqref="F8" xr:uid="{77111411-777A-5B4B-8D40-E1CAD16E62C6}">
      <formula1>KV_DD_FEBRUAR_8</formula1>
    </dataValidation>
    <dataValidation type="list" allowBlank="1" showInputMessage="1" showErrorMessage="1" sqref="F9" xr:uid="{480AC1C2-E436-1C48-9F91-698DC48A01C3}">
      <formula1>KV_DD_FEBRUAR_9</formula1>
    </dataValidation>
    <dataValidation type="list" allowBlank="1" showInputMessage="1" showErrorMessage="1" sqref="F10" xr:uid="{2FFD2AAF-BDD1-DA49-A8DF-FCB4FB15E919}">
      <formula1>KV_DD_FEBRUAR_10</formula1>
    </dataValidation>
    <dataValidation type="list" allowBlank="1" showInputMessage="1" showErrorMessage="1" sqref="F11" xr:uid="{B09AD5F7-026A-3B4A-9ECD-FD90E7A111E4}">
      <formula1>KV_DD_FEBRUAR_11</formula1>
    </dataValidation>
    <dataValidation type="list" allowBlank="1" showInputMessage="1" showErrorMessage="1" sqref="F12" xr:uid="{037AB99D-BF99-CF4C-B634-95725C3E7EF8}">
      <formula1>KV_DD_FEBRUAR_12</formula1>
    </dataValidation>
    <dataValidation type="list" allowBlank="1" showInputMessage="1" showErrorMessage="1" sqref="F13" xr:uid="{ABD7AC04-3733-AC43-A75E-1324B78E1422}">
      <formula1>KV_DD_FEBRUAR_13</formula1>
    </dataValidation>
    <dataValidation type="list" allowBlank="1" showInputMessage="1" showErrorMessage="1" sqref="F14" xr:uid="{FA67E6D1-773E-034E-97E3-3922163B4F92}">
      <formula1>KV_DD_FEBRUAR_14</formula1>
    </dataValidation>
    <dataValidation type="list" allowBlank="1" showInputMessage="1" showErrorMessage="1" sqref="F15" xr:uid="{05C667FE-BD5E-FB46-9290-17F7FE93B975}">
      <formula1>KV_DD_FEBRUAR_15</formula1>
    </dataValidation>
    <dataValidation type="list" allowBlank="1" showInputMessage="1" showErrorMessage="1" sqref="F16" xr:uid="{5E4904D6-31A2-564F-98E5-B1C8E1DD7033}">
      <formula1>KV_DD_FEBRUAR_16</formula1>
    </dataValidation>
    <dataValidation type="list" allowBlank="1" showInputMessage="1" showErrorMessage="1" sqref="F17" xr:uid="{5BED0751-8F10-2E43-AA6B-E7B3A38A2876}">
      <formula1>KV_DD_FEBRUAR_17</formula1>
    </dataValidation>
    <dataValidation type="list" allowBlank="1" showInputMessage="1" showErrorMessage="1" sqref="F18" xr:uid="{1644BF23-620D-9B4E-9C03-97F702A7AED1}">
      <formula1>KV_DD_FEBRUAR_18</formula1>
    </dataValidation>
    <dataValidation type="list" allowBlank="1" showInputMessage="1" showErrorMessage="1" sqref="F19" xr:uid="{7C9A3CAF-5EFF-324D-8BE4-C4B239E37891}">
      <formula1>KV_DD_FEBRUAR_19</formula1>
    </dataValidation>
    <dataValidation type="list" allowBlank="1" showInputMessage="1" showErrorMessage="1" sqref="F20" xr:uid="{C759B474-3BBB-014D-822F-43E2F89C1A85}">
      <formula1>KV_DD_FEBRUAR_20</formula1>
    </dataValidation>
    <dataValidation type="list" allowBlank="1" showInputMessage="1" showErrorMessage="1" sqref="F21" xr:uid="{538F4B2D-5110-8D41-B61B-284425743A44}">
      <formula1>KV_DD_FEBRUAR_21</formula1>
    </dataValidation>
    <dataValidation type="list" allowBlank="1" showInputMessage="1" showErrorMessage="1" sqref="F22" xr:uid="{3C4C3886-A03D-E844-9EFE-653511BFFDB4}">
      <formula1>KV_DD_FEBRUAR_22</formula1>
    </dataValidation>
    <dataValidation type="list" allowBlank="1" showInputMessage="1" showErrorMessage="1" sqref="F23" xr:uid="{FC489A44-6076-684F-9081-7A91D5A1E304}">
      <formula1>KV_DD_FEBRUAR_23</formula1>
    </dataValidation>
    <dataValidation type="list" allowBlank="1" showInputMessage="1" showErrorMessage="1" sqref="F24" xr:uid="{CBCE5FD7-742C-2445-9638-DF8525904AC0}">
      <formula1>KV_DD_FEBRUAR_24</formula1>
    </dataValidation>
    <dataValidation type="list" allowBlank="1" showInputMessage="1" showErrorMessage="1" sqref="F25" xr:uid="{903A03E5-5EEB-3246-B0B9-18AF52B30FA4}">
      <formula1>KV_DD_FEBRUAR_25</formula1>
    </dataValidation>
    <dataValidation type="list" allowBlank="1" showInputMessage="1" showErrorMessage="1" sqref="F26" xr:uid="{6FA50965-FB88-074A-A2FC-59436A69D53B}">
      <formula1>KV_DD_FEBRUAR_26</formula1>
    </dataValidation>
    <dataValidation type="list" allowBlank="1" showInputMessage="1" showErrorMessage="1" sqref="F27" xr:uid="{20F2F035-8E9C-F849-8842-E7510A576E67}">
      <formula1>KV_DD_FEBRUAR_27</formula1>
    </dataValidation>
    <dataValidation type="list" allowBlank="1" showInputMessage="1" showErrorMessage="1" sqref="F28" xr:uid="{7BD9B2AD-0CE9-BE40-8129-5DC1CB942EFF}">
      <formula1>KV_DD_FEBRUAR_28</formula1>
    </dataValidation>
    <dataValidation type="list" allowBlank="1" showInputMessage="1" showErrorMessage="1" sqref="F29" xr:uid="{38230D19-0EBB-614C-8967-6BADF15E7FF7}">
      <formula1>KV_DD_FEBRUAR_29</formula1>
    </dataValidation>
    <dataValidation type="list" allowBlank="1" showInputMessage="1" showErrorMessage="1" sqref="F30" xr:uid="{10457BEE-64B4-4242-A3A1-265A80EFA051}">
      <formula1>KV_DD_FEBRUAR_30</formula1>
    </dataValidation>
    <dataValidation type="list" allowBlank="1" showInputMessage="1" showErrorMessage="1" sqref="F31" xr:uid="{28683BFD-20FE-4B4C-8FE6-72B6C82D573C}">
      <formula1>KV_DD_FEBRUAR_31</formula1>
    </dataValidation>
    <dataValidation type="list" allowBlank="1" showInputMessage="1" showErrorMessage="1" sqref="F32" xr:uid="{0A42B895-70E1-6B49-809A-ABE371C72F22}">
      <formula1>KV_DD_FEBRUAR_32</formula1>
    </dataValidation>
    <dataValidation type="list" allowBlank="1" showInputMessage="1" showErrorMessage="1" sqref="F33" xr:uid="{5B03ED83-99B3-9941-A8CF-FCBB261742F7}">
      <formula1>KV_DD_FEBRUAR_33</formula1>
    </dataValidation>
    <dataValidation type="list" allowBlank="1" showInputMessage="1" showErrorMessage="1" sqref="F34" xr:uid="{A6394C42-43C8-7F45-ABD2-AF3E4B8EB587}">
      <formula1>KV_DD_FEBRUAR_34</formula1>
    </dataValidation>
    <dataValidation type="list" allowBlank="1" showInputMessage="1" showErrorMessage="1" sqref="F35" xr:uid="{6DFFDAF5-F38B-2541-943E-B161F9782C8F}">
      <formula1>KV_DD_FEBRUAR_35</formula1>
    </dataValidation>
    <dataValidation type="list" allowBlank="1" showInputMessage="1" showErrorMessage="1" sqref="F36" xr:uid="{D67C2BE3-3368-3A4B-AC6A-81653810F9B8}">
      <formula1>KV_DD_FEBRUAR_36</formula1>
    </dataValidation>
    <dataValidation type="list" allowBlank="1" showInputMessage="1" showErrorMessage="1" sqref="F37" xr:uid="{0A8E6DED-C6B0-F14D-8754-710F4B4DE491}">
      <formula1>KV_DD_FEBRUAR_37</formula1>
    </dataValidation>
    <dataValidation type="list" allowBlank="1" showInputMessage="1" showErrorMessage="1" sqref="F38" xr:uid="{ADA272CE-A59D-5545-9D0B-6E25785CCD15}">
      <formula1>KV_DD_FEBRUAR_38</formula1>
    </dataValidation>
    <dataValidation type="list" allowBlank="1" showInputMessage="1" showErrorMessage="1" sqref="F39" xr:uid="{D03B2254-6E60-9048-A3DF-D3B2F69F27EE}">
      <formula1>KV_DD_FEBRUAR_39</formula1>
    </dataValidation>
    <dataValidation type="list" allowBlank="1" showInputMessage="1" showErrorMessage="1" sqref="F40" xr:uid="{64153BBD-3D03-A54A-B037-968CD079499C}">
      <formula1>KV_DD_FEBRUAR_40</formula1>
    </dataValidation>
    <dataValidation type="list" allowBlank="1" showInputMessage="1" showErrorMessage="1" sqref="F41" xr:uid="{4C797A71-E0D5-0B4A-8470-D3A1DFA79934}">
      <formula1>KV_DD_FEBRUAR_41</formula1>
    </dataValidation>
    <dataValidation type="list" allowBlank="1" showInputMessage="1" showErrorMessage="1" sqref="F42" xr:uid="{6124A100-F1EE-C542-929C-434FFA09C054}">
      <formula1>KV_DD_FEBRUAR_42</formula1>
    </dataValidation>
    <dataValidation type="list" allowBlank="1" showInputMessage="1" showErrorMessage="1" sqref="F43" xr:uid="{63C12324-BBA7-F74D-BF1D-B3EF1BC839B1}">
      <formula1>KV_DD_FEBRUAR_43</formula1>
    </dataValidation>
    <dataValidation type="list" allowBlank="1" showInputMessage="1" showErrorMessage="1" sqref="F44" xr:uid="{423104CA-5547-9843-87D0-C4332F2945CB}">
      <formula1>KV_DD_FEBRUAR_44</formula1>
    </dataValidation>
    <dataValidation type="list" allowBlank="1" showInputMessage="1" showErrorMessage="1" sqref="F45" xr:uid="{D1EC661F-8C41-7747-AD71-A4D3ED6DDB16}">
      <formula1>KV_DD_FEBRUAR_45</formula1>
    </dataValidation>
    <dataValidation type="list" allowBlank="1" showInputMessage="1" showErrorMessage="1" sqref="F46" xr:uid="{3B8A52A0-0D0C-7B40-82FA-587861C6F907}">
      <formula1>KV_DD_FEBRUAR_46</formula1>
    </dataValidation>
    <dataValidation type="list" allowBlank="1" showInputMessage="1" showErrorMessage="1" sqref="F47" xr:uid="{1FBBFA51-ADA0-1C42-95B2-06596694990A}">
      <formula1>KV_DD_FEBRUAR_47</formula1>
    </dataValidation>
    <dataValidation type="list" allowBlank="1" showInputMessage="1" showErrorMessage="1" sqref="F48" xr:uid="{BB2B513C-130A-EE47-B6C6-6A1CB8468C87}">
      <formula1>KV_DD_FEBRUAR_48</formula1>
    </dataValidation>
    <dataValidation type="list" allowBlank="1" showInputMessage="1" showErrorMessage="1" sqref="F49" xr:uid="{91B390CD-CD76-2344-B026-1BCA8DCD62AB}">
      <formula1>KV_DD_FEBRUAR_49</formula1>
    </dataValidation>
    <dataValidation type="list" allowBlank="1" showInputMessage="1" showErrorMessage="1" sqref="F50" xr:uid="{2263494B-C686-4D4A-93C2-8F17C5FF746D}">
      <formula1>KV_DD_FEBRUAR_50</formula1>
    </dataValidation>
    <dataValidation type="list" allowBlank="1" showInputMessage="1" showErrorMessage="1" sqref="F51" xr:uid="{5BAE8CC1-BC1C-B341-B28A-11E312825464}">
      <formula1>KV_DD_FEBRUAR_51</formula1>
    </dataValidation>
    <dataValidation type="list" allowBlank="1" showInputMessage="1" showErrorMessage="1" sqref="F52" xr:uid="{DBD620CA-40CF-AD44-BB68-13F325F4221E}">
      <formula1>KV_DD_FEBRUAR_52</formula1>
    </dataValidation>
    <dataValidation type="list" allowBlank="1" showInputMessage="1" showErrorMessage="1" sqref="F53" xr:uid="{51B4EAEB-76E9-464C-BA78-1EF8241A6496}">
      <formula1>KV_DD_FEBRUAR_53</formula1>
    </dataValidation>
    <dataValidation type="list" allowBlank="1" showInputMessage="1" showErrorMessage="1" sqref="F54" xr:uid="{31CD400B-38F2-0041-B73B-F518BD44A17C}">
      <formula1>KV_DD_FEBRUAR_54</formula1>
    </dataValidation>
    <dataValidation type="list" allowBlank="1" showInputMessage="1" showErrorMessage="1" sqref="F55" xr:uid="{49A924C5-8C60-2A47-B247-4180B46C50A0}">
      <formula1>KV_DD_FEBRUAR_55</formula1>
    </dataValidation>
    <dataValidation type="list" allowBlank="1" showInputMessage="1" showErrorMessage="1" sqref="F56" xr:uid="{9FB9A85B-1E93-4741-A715-D036190059DB}">
      <formula1>KV_DD_FEBRUAR_56</formula1>
    </dataValidation>
    <dataValidation type="list" allowBlank="1" showInputMessage="1" showErrorMessage="1" sqref="F57" xr:uid="{1EE6BA0D-DC24-6948-B15D-FD29EF087E6A}">
      <formula1>KV_DD_FEBRUAR_57</formula1>
    </dataValidation>
    <dataValidation type="list" allowBlank="1" showInputMessage="1" showErrorMessage="1" sqref="F58" xr:uid="{1E235BA7-9DDC-9242-82FC-2AF89E2FFD46}">
      <formula1>KV_DD_FEBRUAR_58</formula1>
    </dataValidation>
    <dataValidation type="list" allowBlank="1" showInputMessage="1" showErrorMessage="1" sqref="F59" xr:uid="{DD1BE7FF-459F-1348-9387-4AA57D44CD2E}">
      <formula1>KV_DD_FEBRUAR_59</formula1>
    </dataValidation>
    <dataValidation type="list" allowBlank="1" showInputMessage="1" showErrorMessage="1" sqref="F60" xr:uid="{B79E711E-1A67-D844-B724-242DC4A95F35}">
      <formula1>KV_DD_FEBRUAR_60</formula1>
    </dataValidation>
    <dataValidation type="list" allowBlank="1" showInputMessage="1" showErrorMessage="1" sqref="F61" xr:uid="{18BEE8DA-74CA-472A-AF4E-E99414C58015}">
      <formula1>KV_DD_FEBRUAR_61</formula1>
    </dataValidation>
    <dataValidation type="date" allowBlank="1" showDropDown="1" showErrorMessage="1" sqref="I3:I82" xr:uid="{DD85A82A-9461-C441-9D37-F8A57730742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19</xdr:col>
                    <xdr:colOff>114300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7B58AC-8252-4C40-AA96-453A8BEE2F0D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0595C-6B7B-4F68-9998-06D15D0933ED}">
  <sheetPr codeName="Tabelle5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6" customHeight="1">
      <c r="A1" s="38">
        <v>3</v>
      </c>
      <c r="B1" s="302" t="s">
        <v>191</v>
      </c>
      <c r="C1" s="314" t="s">
        <v>40</v>
      </c>
      <c r="D1" s="286" t="s">
        <v>192</v>
      </c>
      <c r="E1" s="286" t="s">
        <v>0</v>
      </c>
      <c r="F1" s="286" t="s">
        <v>41</v>
      </c>
      <c r="G1" s="288" t="s">
        <v>42</v>
      </c>
      <c r="H1" s="305" t="s">
        <v>43</v>
      </c>
      <c r="I1" s="290" t="s">
        <v>193</v>
      </c>
      <c r="J1" s="292" t="s">
        <v>44</v>
      </c>
      <c r="K1" s="294" t="s">
        <v>45</v>
      </c>
      <c r="L1" s="296" t="s">
        <v>46</v>
      </c>
      <c r="M1" s="298" t="s">
        <v>47</v>
      </c>
      <c r="N1" s="303" t="s">
        <v>194</v>
      </c>
      <c r="AB1" s="8">
        <f>DATE(EINSTELLUNG!$C$35,$A$1,1)</f>
        <v>46082</v>
      </c>
    </row>
    <row r="2" spans="1:28" ht="16" customHeight="1" thickBot="1">
      <c r="A2" s="39"/>
      <c r="B2" s="302"/>
      <c r="C2" s="315"/>
      <c r="D2" s="287"/>
      <c r="E2" s="287"/>
      <c r="F2" s="287"/>
      <c r="G2" s="289"/>
      <c r="H2" s="306"/>
      <c r="I2" s="291"/>
      <c r="J2" s="293"/>
      <c r="K2" s="295"/>
      <c r="L2" s="297"/>
      <c r="M2" s="299"/>
      <c r="N2" s="303"/>
      <c r="AB2" s="8">
        <f>EOMONTH(DATE(EINSTELLUNG!$C$35,$A$1,1),0)</f>
        <v>46112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2021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70"/>
      <c r="N3" s="54"/>
      <c r="O3" s="300" t="s">
        <v>49</v>
      </c>
      <c r="P3" s="300" t="s">
        <v>50</v>
      </c>
      <c r="Q3" s="307" t="s">
        <v>51</v>
      </c>
      <c r="R3" s="309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301"/>
      <c r="P4" s="301"/>
      <c r="Q4" s="308"/>
      <c r="R4" s="310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872.72021393669127</v>
      </c>
      <c r="P5" s="15">
        <f>EINSTELLUNG!I8</f>
        <v>600</v>
      </c>
      <c r="Q5" s="14">
        <f>P5-O5</f>
        <v>-272.72021393669127</v>
      </c>
      <c r="R5" s="18">
        <f>IFERROR(Q5*Q42, 0)</f>
        <v>-3271.7711676137656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311" t="str">
        <f>IF(Q5&lt;0, "Schlecht! Zu wenig Urlaub abgebaut.", IF(Q5&gt;0, "Gut! Mehr Urlaub abgebaut als aufgebaut.", ""))</f>
        <v>Schlecht! Zu wenig Urlaub abgebaut.</v>
      </c>
      <c r="P6" s="312"/>
      <c r="Q6" s="312"/>
      <c r="R6" s="313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66" t="s">
        <v>58</v>
      </c>
      <c r="P8" s="267"/>
      <c r="Q8" s="268">
        <f>SUM(H3:H82)</f>
        <v>8920.8000000000011</v>
      </c>
      <c r="R8" s="268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66" t="s">
        <v>60</v>
      </c>
      <c r="P9" s="267"/>
      <c r="Q9" s="268">
        <f>EINSTELLUNG!L24</f>
        <v>3</v>
      </c>
      <c r="R9" s="268"/>
      <c r="S9" s="19">
        <f>IFERROR(Q9/Q8, 0)</f>
        <v>3.3629270917406509E-4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66" t="s">
        <v>62</v>
      </c>
      <c r="P10" s="267"/>
      <c r="Q10" s="268">
        <f>EINSTELLUNG!I24</f>
        <v>0</v>
      </c>
      <c r="R10" s="268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66" t="s">
        <v>64</v>
      </c>
      <c r="P11" s="267"/>
      <c r="Q11" s="268">
        <f>P5</f>
        <v>600</v>
      </c>
      <c r="R11" s="268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66" t="s">
        <v>66</v>
      </c>
      <c r="P12" s="267"/>
      <c r="Q12" s="272">
        <v>-445</v>
      </c>
      <c r="R12" s="272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66" t="s">
        <v>68</v>
      </c>
      <c r="P13" s="267"/>
      <c r="Q13" s="268">
        <f>Q8-Q9-Q10-Q11-Q12</f>
        <v>8762.8000000000011</v>
      </c>
      <c r="R13" s="268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66" t="s">
        <v>70</v>
      </c>
      <c r="P14" s="267"/>
      <c r="Q14" s="268">
        <f>EINSTELLUNG!L8</f>
        <v>9300</v>
      </c>
      <c r="R14" s="268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66" t="s">
        <v>72</v>
      </c>
      <c r="P15" s="267"/>
      <c r="Q15" s="268">
        <f>Q13-Q14</f>
        <v>-537.19999999999891</v>
      </c>
      <c r="R15" s="268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304" t="str">
        <f>IF(Q15&lt;0, "Schlecht! Zu wenig Stunden für Dienstplan.", IF(Q15&gt;0, "Du hast mehr als genug Stunden für Dienstplan.", ""))</f>
        <v>Schlecht! Zu wenig Stunden für Dienstplan.</v>
      </c>
      <c r="P16" s="304"/>
      <c r="Q16" s="304"/>
      <c r="R16" s="304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2021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71"/>
      <c r="N17" s="55"/>
      <c r="O17" s="269" t="s">
        <v>75</v>
      </c>
      <c r="P17" s="270"/>
      <c r="Q17" s="271">
        <f>SUM(L3:L82)</f>
        <v>107021.09612903227</v>
      </c>
      <c r="R17" s="271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2021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71"/>
      <c r="N18" s="55"/>
      <c r="O18" s="260"/>
      <c r="P18" s="261"/>
      <c r="Q18" s="262"/>
      <c r="R18" s="263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2021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71"/>
      <c r="N19" s="55"/>
      <c r="O19" s="260"/>
      <c r="P19" s="261"/>
      <c r="Q19" s="262"/>
      <c r="R19" s="263"/>
    </row>
    <row r="20" spans="1:29" ht="16" customHeight="1" thickBot="1">
      <c r="A20" s="40" t="s">
        <v>78</v>
      </c>
      <c r="B20" s="77">
        <v>401479</v>
      </c>
      <c r="C20" s="46" t="s">
        <v>250</v>
      </c>
      <c r="D20" s="96">
        <v>44511</v>
      </c>
      <c r="E20" s="44" t="s">
        <v>6</v>
      </c>
      <c r="F20" s="45">
        <v>173</v>
      </c>
      <c r="G20" s="89">
        <f>IF(OR(E20="",F20=""),"",PID_KVLohnLookup($A$1,E20,F20,LOHNTABELLE!$H$4))</f>
        <v>2160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71"/>
      <c r="N20" s="55"/>
      <c r="O20" s="260"/>
      <c r="P20" s="261"/>
      <c r="Q20" s="262"/>
      <c r="R20" s="263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2</v>
      </c>
      <c r="F21" s="45">
        <v>173</v>
      </c>
      <c r="G21" s="89">
        <f>IF(OR(E21="",F21=""),"",PID_KVLohnLookup($A$1,E21,F21,LOHNTABELLE!$H$4))</f>
        <v>2021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71"/>
      <c r="N21" s="55"/>
      <c r="O21" s="260" t="s">
        <v>320</v>
      </c>
      <c r="P21" s="261"/>
      <c r="Q21" s="262">
        <v>5000</v>
      </c>
      <c r="R21" s="263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2021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71"/>
      <c r="N22" s="55"/>
      <c r="O22" s="260"/>
      <c r="P22" s="261"/>
      <c r="Q22" s="262"/>
      <c r="R22" s="263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2</v>
      </c>
      <c r="F23" s="45">
        <v>173</v>
      </c>
      <c r="G23" s="89">
        <f>IF(OR(E23="",F23=""),"",PID_KVLohnLookup($A$1,E23,F23,LOHNTABELLE!$H$4))</f>
        <v>2021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71"/>
      <c r="N23" s="55"/>
      <c r="O23" s="260"/>
      <c r="P23" s="261"/>
      <c r="Q23" s="262"/>
      <c r="R23" s="263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60"/>
      <c r="P24" s="261"/>
      <c r="Q24" s="262"/>
      <c r="R24" s="263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f>IF(OR(E25="",F25=""),"",PID_KVLohnLookup($A$1,E25,F25,LOHNTABELLE!$H$4))</f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277"/>
      <c r="P25" s="278"/>
      <c r="Q25" s="279"/>
      <c r="R25" s="280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173</v>
      </c>
      <c r="G26" s="89">
        <f>IF(OR(E26="",F26=""),"",PID_KVLohnLookup($A$1,E26,F26,LOHNTABELLE!$H$4))</f>
        <v>2021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71"/>
      <c r="N26" s="55"/>
      <c r="O26" s="282"/>
      <c r="P26" s="350"/>
      <c r="Q26" s="283"/>
      <c r="R26" s="284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173</v>
      </c>
      <c r="G27" s="89">
        <f>IF(OR(E27="",F27=""),"",PID_KVLohnLookup($A$1,E27,F27,LOHNTABELLE!$H$4))</f>
        <v>2021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71"/>
      <c r="N27" s="55"/>
      <c r="O27" s="240"/>
      <c r="P27" s="241"/>
      <c r="Q27" s="263"/>
      <c r="R27" s="285"/>
      <c r="S27" s="244" t="s">
        <v>87</v>
      </c>
      <c r="T27" s="245"/>
      <c r="U27" s="245"/>
      <c r="V27" s="245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173</v>
      </c>
      <c r="G28" s="89">
        <f>IF(OR(E28="",F28=""),"",PID_KVLohnLookup($A$1,E28,F28,LOHNTABELLE!$H$4))</f>
        <v>2021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71"/>
      <c r="N28" s="55"/>
      <c r="O28" s="273"/>
      <c r="P28" s="274"/>
      <c r="Q28" s="275"/>
      <c r="R28" s="276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173</v>
      </c>
      <c r="G29" s="89">
        <f>IF(OR(E29="",F29=""),"",PID_KVLohnLookup($A$1,E29,F29,LOHNTABELLE!$H$4))</f>
        <v>2300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71"/>
      <c r="N29" s="55"/>
      <c r="O29" s="248" t="s">
        <v>90</v>
      </c>
      <c r="P29" s="249"/>
      <c r="Q29" s="250">
        <f>EINSTELLUNG!O8</f>
        <v>1250</v>
      </c>
      <c r="R29" s="251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173</v>
      </c>
      <c r="G30" s="89">
        <f>IF(OR(E30="",F30=""),"",PID_KVLohnLookup($A$1,E30,F30,LOHNTABELLE!$H$4))</f>
        <v>2021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173</v>
      </c>
      <c r="G31" s="89">
        <f>IF(OR(E31="",F31=""),"",PID_KVLohnLookup($A$1,E31,F31,LOHNTABELLE!$H$4))</f>
        <v>2021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71"/>
      <c r="N31" s="55"/>
      <c r="O31" s="252">
        <v>0</v>
      </c>
      <c r="P31" s="253"/>
      <c r="Q31" s="254">
        <v>1.6949152542372881E-2</v>
      </c>
      <c r="R31" s="255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173</v>
      </c>
      <c r="G32" s="89">
        <f>IF(OR(E32="",F32=""),"",PID_KVLohnLookup($A$1,E32,F32,LOHNTABELLE!$H$4))</f>
        <v>2021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2021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71"/>
      <c r="N33" s="55"/>
      <c r="O33" s="256"/>
      <c r="P33" s="257"/>
      <c r="Q33" s="258" t="str">
        <f>EINSTELLUNG!B3</f>
        <v>Budget Zahlen</v>
      </c>
      <c r="R33" s="258"/>
      <c r="S33" s="259" t="str">
        <f>EINSTELLUNG!B19</f>
        <v>Projection/Aktuell Zahlen</v>
      </c>
      <c r="T33" s="259"/>
      <c r="U33" s="259" t="s">
        <v>98</v>
      </c>
      <c r="V33" s="259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173</v>
      </c>
      <c r="G34" s="89">
        <f>IF(OR(E34="",F34=""),"",PID_KVLohnLookup($A$1,E34,F34,LOHNTABELLE!$H$4))</f>
        <v>2021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71"/>
      <c r="N34" s="55"/>
      <c r="O34" s="256"/>
      <c r="P34" s="257"/>
      <c r="Q34" s="258"/>
      <c r="R34" s="258"/>
      <c r="S34" s="259"/>
      <c r="T34" s="259"/>
      <c r="U34" s="259"/>
      <c r="V34" s="259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173</v>
      </c>
      <c r="G35" s="89">
        <f>IF(OR(E35="",F35=""),"",PID_KVLohnLookup($A$1,E35,F35,LOHNTABELLE!$H$4))</f>
        <v>2021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71"/>
      <c r="N35" s="55"/>
      <c r="O35" s="264" t="s">
        <v>101</v>
      </c>
      <c r="P35" s="265"/>
      <c r="Q35" s="238">
        <f>EINSTELLUNG!C8</f>
        <v>400000</v>
      </c>
      <c r="R35" s="238"/>
      <c r="S35" s="238">
        <f>EINSTELLUNG!C24</f>
        <v>430000</v>
      </c>
      <c r="T35" s="238"/>
      <c r="U35" s="242">
        <f>S35-Q35</f>
        <v>30000</v>
      </c>
      <c r="V35" s="242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173</v>
      </c>
      <c r="G36" s="89">
        <f>IF(OR(E36="",F36=""),"",PID_KVLohnLookup($A$1,E36,F36,LOHNTABELLE!$H$4))</f>
        <v>2021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71"/>
      <c r="N36" s="55"/>
      <c r="O36" s="264" t="s">
        <v>103</v>
      </c>
      <c r="P36" s="265"/>
      <c r="Q36" s="238">
        <f>EINSTELLUNG!D8</f>
        <v>100000</v>
      </c>
      <c r="R36" s="238"/>
      <c r="S36" s="238">
        <f>SumMergedCells(Q17:R29)</f>
        <v>113271.0961</v>
      </c>
      <c r="T36" s="238"/>
      <c r="U36" s="242">
        <f t="shared" ref="U36:U41" si="2">S36-Q36</f>
        <v>13271.096099999995</v>
      </c>
      <c r="V36" s="242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173</v>
      </c>
      <c r="G37" s="89">
        <f>IF(OR(E37="",F37=""),"",PID_KVLohnLookup($A$1,E37,F37,LOHNTABELLE!$H$4))</f>
        <v>2021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71"/>
      <c r="N37" s="55"/>
      <c r="O37" s="264" t="s">
        <v>105</v>
      </c>
      <c r="P37" s="265"/>
      <c r="Q37" s="246">
        <f>IF(ISERROR(Q36/Q35), 0, Q36/Q35)</f>
        <v>0.25</v>
      </c>
      <c r="R37" s="246"/>
      <c r="S37" s="246">
        <f>IF(ISERROR(S36/S35), 0, S36/S35)</f>
        <v>0.26342115372093022</v>
      </c>
      <c r="T37" s="246"/>
      <c r="U37" s="247">
        <f t="shared" si="2"/>
        <v>1.3421153720930223E-2</v>
      </c>
      <c r="V37" s="247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173</v>
      </c>
      <c r="G38" s="89">
        <f>IF(OR(E38="",F38=""),"",PID_KVLohnLookup($A$1,E38,F38,LOHNTABELLE!$H$4))</f>
        <v>2021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71"/>
      <c r="N38" s="55"/>
      <c r="O38" s="264" t="s">
        <v>107</v>
      </c>
      <c r="P38" s="265"/>
      <c r="Q38" s="239">
        <f>EINSTELLUNG!F8</f>
        <v>30000</v>
      </c>
      <c r="R38" s="239"/>
      <c r="S38" s="239">
        <f>EINSTELLUNG!F24</f>
        <v>29000</v>
      </c>
      <c r="T38" s="239"/>
      <c r="U38" s="243">
        <f t="shared" si="2"/>
        <v>-1000</v>
      </c>
      <c r="V38" s="243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1010.5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71"/>
      <c r="N39" s="55"/>
      <c r="O39" s="264" t="s">
        <v>109</v>
      </c>
      <c r="P39" s="265"/>
      <c r="Q39" s="238">
        <f>IF(Q38=0, 0, Q35/Q38)</f>
        <v>13.333333333333334</v>
      </c>
      <c r="R39" s="238"/>
      <c r="S39" s="238">
        <f>IF(S38=0, 0, S35/S38)</f>
        <v>14.827586206896552</v>
      </c>
      <c r="T39" s="238"/>
      <c r="U39" s="242">
        <f t="shared" si="2"/>
        <v>1.4942528735632177</v>
      </c>
      <c r="V39" s="242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1010.5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71"/>
      <c r="N40" s="55"/>
      <c r="O40" s="264" t="s">
        <v>111</v>
      </c>
      <c r="P40" s="265"/>
      <c r="Q40" s="238">
        <f>IF(Q13=0, 0, Q35/Q13)</f>
        <v>45.647509928333406</v>
      </c>
      <c r="R40" s="238"/>
      <c r="S40" s="238">
        <f>IF(Q13=0, 0, S35/Q13)</f>
        <v>49.071073172958407</v>
      </c>
      <c r="T40" s="238"/>
      <c r="U40" s="242">
        <f t="shared" si="2"/>
        <v>3.4235632446250008</v>
      </c>
      <c r="V40" s="242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1010.5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71"/>
      <c r="N41" s="55"/>
      <c r="O41" s="264" t="s">
        <v>113</v>
      </c>
      <c r="P41" s="265"/>
      <c r="Q41" s="239">
        <f>IF(Q13=0, 0, Q38/Q13)</f>
        <v>3.4235632446250053</v>
      </c>
      <c r="R41" s="239"/>
      <c r="S41" s="239">
        <f>IF(Q13=0, 0, S38/Q13)</f>
        <v>3.3094444698041716</v>
      </c>
      <c r="T41" s="239"/>
      <c r="U41" s="243">
        <f t="shared" si="2"/>
        <v>-0.11411877482083366</v>
      </c>
      <c r="V41" s="243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151.38</v>
      </c>
      <c r="G42" s="89">
        <f>IF(OR(E42="",F42=""),"",PID_KVLohnLookup($A$1,E42,F42,LOHNTABELLE!$H$4))</f>
        <v>1768.38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151.38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1768.38</v>
      </c>
      <c r="M42" s="71"/>
      <c r="N42" s="55"/>
      <c r="O42" s="264" t="s">
        <v>115</v>
      </c>
      <c r="P42" s="265"/>
      <c r="Q42" s="235">
        <f>IFERROR(Q17/Q8, 0)</f>
        <v>11.996804785336771</v>
      </c>
      <c r="R42" s="236"/>
      <c r="S42" s="236"/>
      <c r="T42" s="236"/>
      <c r="U42" s="236"/>
      <c r="V42" s="237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1010.5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138.4</v>
      </c>
      <c r="G44" s="89">
        <f>IF(OR(E44="",F44=""),"",PID_KVLohnLookup($A$1,E44,F44,LOHNTABELLE!$H$4))</f>
        <v>1616.8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138.4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1616.8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1010.5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1010.5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1010.5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1010.5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1010.5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1010.5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1010.5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1010.5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1010.5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71"/>
      <c r="N53" s="55"/>
    </row>
    <row r="54" spans="1:14" ht="16" customHeight="1" thickBot="1">
      <c r="A54" s="40" t="s">
        <v>128</v>
      </c>
      <c r="B54" s="77">
        <v>401754</v>
      </c>
      <c r="C54" s="46" t="s">
        <v>286</v>
      </c>
      <c r="D54" s="96">
        <v>46014</v>
      </c>
      <c r="E54" s="44" t="s">
        <v>2</v>
      </c>
      <c r="F54" s="45">
        <v>86.5</v>
      </c>
      <c r="G54" s="89">
        <f>IF(OR(E54="",F54=""),"",PID_KVLohnLookup($A$1,E54,F54,LOHNTABELLE!$H$4))</f>
        <v>1010.5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41.85</v>
      </c>
      <c r="I54" s="99">
        <v>46096</v>
      </c>
      <c r="J54" s="92">
        <v>8</v>
      </c>
      <c r="K54" s="68">
        <f t="shared" si="1"/>
        <v>260.77419354838707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749.72580645161281</v>
      </c>
      <c r="M54" s="71"/>
      <c r="N54" s="55" t="s">
        <v>205</v>
      </c>
    </row>
    <row r="55" spans="1:14" ht="16" customHeight="1" thickBot="1">
      <c r="A55" s="40" t="s">
        <v>129</v>
      </c>
      <c r="B55" s="77">
        <v>401999</v>
      </c>
      <c r="C55" s="46" t="s">
        <v>319</v>
      </c>
      <c r="D55" s="96">
        <v>46082</v>
      </c>
      <c r="E55" s="44" t="s">
        <v>2</v>
      </c>
      <c r="F55" s="45">
        <v>173</v>
      </c>
      <c r="G55" s="89">
        <f>IF(OR(E55="",F55=""),"",PID_KVLohnLookup($A$1,E55,F55,LOHNTABELLE!$H$4))</f>
        <v>2021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2020.9999999999998</v>
      </c>
      <c r="M55" s="71"/>
      <c r="N55" s="55"/>
    </row>
    <row r="56" spans="1:14" ht="16" customHeight="1" thickBot="1">
      <c r="A56" s="40" t="s">
        <v>130</v>
      </c>
      <c r="B56" s="77">
        <v>402405</v>
      </c>
      <c r="C56" s="46" t="s">
        <v>330</v>
      </c>
      <c r="D56" s="96">
        <v>46054</v>
      </c>
      <c r="E56" s="44" t="s">
        <v>2</v>
      </c>
      <c r="F56" s="45">
        <v>173</v>
      </c>
      <c r="G56" s="89">
        <f>IF(OR(E56="",F56=""),"",PID_KVLohnLookup($A$1,E56,F56,LOHNTABELLE!$H$4))</f>
        <v>2021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71"/>
      <c r="N56" s="55"/>
    </row>
    <row r="57" spans="1:14" ht="16" customHeight="1" thickBot="1">
      <c r="A57" s="41" t="s">
        <v>131</v>
      </c>
      <c r="B57" s="77">
        <v>500600</v>
      </c>
      <c r="C57" s="48" t="s">
        <v>335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2021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71"/>
      <c r="N57" s="55"/>
    </row>
    <row r="58" spans="1:14" ht="16" customHeight="1" thickBot="1">
      <c r="A58" s="40" t="s">
        <v>132</v>
      </c>
      <c r="B58" s="77">
        <v>503000</v>
      </c>
      <c r="C58" s="46" t="s">
        <v>332</v>
      </c>
      <c r="D58" s="96">
        <v>42401</v>
      </c>
      <c r="E58" s="44" t="s">
        <v>2</v>
      </c>
      <c r="F58" s="45">
        <v>173</v>
      </c>
      <c r="G58" s="89">
        <f>IF(OR(E58="",F58=""),"",PID_KVLohnLookup($A$1,E58,F58,LOHNTABELLE!$H$4))</f>
        <v>2021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71"/>
      <c r="N58" s="55"/>
    </row>
    <row r="59" spans="1:14" ht="16" customHeight="1" thickBot="1">
      <c r="A59" s="40" t="s">
        <v>133</v>
      </c>
      <c r="B59" s="77">
        <v>504000</v>
      </c>
      <c r="C59" s="46" t="s">
        <v>333</v>
      </c>
      <c r="D59" s="96">
        <v>46054</v>
      </c>
      <c r="E59" s="44" t="s">
        <v>3</v>
      </c>
      <c r="F59" s="45">
        <v>138.4</v>
      </c>
      <c r="G59" s="89">
        <f>IF(OR(E59="",F59=""),"",PID_KVLohnLookup($A$1,E59,F59,LOHNTABELLE!$H$4))</f>
        <v>1665.6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71"/>
      <c r="N59" s="55"/>
    </row>
    <row r="60" spans="1:14" ht="16" customHeight="1" thickBot="1">
      <c r="A60" s="40" t="s">
        <v>134</v>
      </c>
      <c r="B60" s="77">
        <v>505000</v>
      </c>
      <c r="C60" s="46" t="s">
        <v>334</v>
      </c>
      <c r="D60" s="96">
        <v>46054</v>
      </c>
      <c r="E60" s="44" t="s">
        <v>2</v>
      </c>
      <c r="F60" s="45">
        <v>138.4</v>
      </c>
      <c r="G60" s="89">
        <f>IF(OR(E60="",F60=""),"",PID_KVLohnLookup($A$1,E60,F60,LOHNTABELLE!$H$4))</f>
        <v>1616.8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71"/>
      <c r="N60" s="55"/>
    </row>
    <row r="61" spans="1:14" ht="16" customHeight="1" thickBot="1">
      <c r="A61" s="41" t="s">
        <v>135</v>
      </c>
      <c r="B61" s="77">
        <v>700000</v>
      </c>
      <c r="C61" s="46" t="s">
        <v>347</v>
      </c>
      <c r="D61" s="96">
        <v>46054</v>
      </c>
      <c r="E61" s="44" t="s">
        <v>2</v>
      </c>
      <c r="F61" s="45">
        <v>173</v>
      </c>
      <c r="G61" s="89">
        <f>IF(OR(E61="",F61=""),"",PID_KVLohnLookup($A$1,E61,F61,LOHNTABELLE!$H$4))</f>
        <v>2021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71"/>
      <c r="N61" s="55"/>
    </row>
    <row r="62" spans="1:14" ht="16" customHeight="1" thickBot="1">
      <c r="A62" s="40" t="s">
        <v>136</v>
      </c>
      <c r="B62" s="77">
        <v>800000</v>
      </c>
      <c r="C62" s="46" t="s">
        <v>348</v>
      </c>
      <c r="D62" s="96">
        <v>46096</v>
      </c>
      <c r="E62" s="44" t="s">
        <v>2</v>
      </c>
      <c r="F62" s="45">
        <v>173</v>
      </c>
      <c r="G62" s="89">
        <f>IF(OR(E62="",F62=""),"",PID_KVLohnLookup($A$1,E62,F62,LOHNTABELLE!$H$4))</f>
        <v>2021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94.87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1108.2903225806451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</sheetData>
  <sheetProtection algorithmName="SHA-512" hashValue="XgNOtqfieHDVs6knkwOG8RTA7BtjWLU5oZOJI9XPaMpnFGh+c/3GNMNqfyTyeNExQWQZM0RK4KbtZ+zTiDkU5g==" saltValue="D6qZqafv1x9umVPVdb+ZJ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H1:H2"/>
    <mergeCell ref="C1:C2"/>
    <mergeCell ref="D1:D2"/>
    <mergeCell ref="E1:E2"/>
    <mergeCell ref="F1:F2"/>
    <mergeCell ref="G1:G2"/>
    <mergeCell ref="O16:R16"/>
    <mergeCell ref="Q3:Q4"/>
    <mergeCell ref="R3:R4"/>
    <mergeCell ref="O6:R6"/>
    <mergeCell ref="O8:P8"/>
    <mergeCell ref="Q8:R8"/>
    <mergeCell ref="O12:P12"/>
    <mergeCell ref="Q12:R12"/>
    <mergeCell ref="Q9:R9"/>
    <mergeCell ref="O10:P10"/>
    <mergeCell ref="Q10:R10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11:P11"/>
    <mergeCell ref="Q11:R11"/>
    <mergeCell ref="O13:P13"/>
    <mergeCell ref="Q13:R13"/>
    <mergeCell ref="O14:P14"/>
    <mergeCell ref="Q14:R14"/>
    <mergeCell ref="O15:P15"/>
    <mergeCell ref="Q15:R15"/>
    <mergeCell ref="O17:P17"/>
    <mergeCell ref="Q17:R17"/>
    <mergeCell ref="O18:P18"/>
    <mergeCell ref="Q18:R18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C2C64B2F-7D14-2C4C-ADDB-1E663902A46A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05EDB937-6384-A94F-BADA-5A43074F0B86}">
      <formula1>KV_DD_MARZ_3</formula1>
    </dataValidation>
    <dataValidation type="list" allowBlank="1" showInputMessage="1" showErrorMessage="1" sqref="F4" xr:uid="{FADAD080-A45A-904B-840F-BA598E7D6C23}">
      <formula1>KV_DD_MARZ_4</formula1>
    </dataValidation>
    <dataValidation type="list" allowBlank="1" showInputMessage="1" showErrorMessage="1" sqref="F5" xr:uid="{A0022542-8E36-D040-8A1B-7105160162EC}">
      <formula1>KV_DD_MARZ_5</formula1>
    </dataValidation>
    <dataValidation type="list" allowBlank="1" showInputMessage="1" showErrorMessage="1" sqref="F6" xr:uid="{4F2D8BBF-C601-F647-8FF0-BFCA9060DFCD}">
      <formula1>KV_DD_MARZ_6</formula1>
    </dataValidation>
    <dataValidation type="list" allowBlank="1" showInputMessage="1" showErrorMessage="1" sqref="F7" xr:uid="{647A791F-6703-354A-BFC8-D273184D863B}">
      <formula1>KV_DD_MARZ_7</formula1>
    </dataValidation>
    <dataValidation type="list" allowBlank="1" showInputMessage="1" showErrorMessage="1" sqref="F8" xr:uid="{A64FFE14-34CA-8B4F-9E40-9312722AFDBE}">
      <formula1>KV_DD_MARZ_8</formula1>
    </dataValidation>
    <dataValidation type="list" allowBlank="1" showInputMessage="1" showErrorMessage="1" sqref="F9" xr:uid="{096E3875-0DB7-C04B-9A6C-DEC48929D9CC}">
      <formula1>KV_DD_MARZ_9</formula1>
    </dataValidation>
    <dataValidation type="list" allowBlank="1" showInputMessage="1" showErrorMessage="1" sqref="F10" xr:uid="{D43251D3-EC88-9544-9B9B-31A7B2FBAE78}">
      <formula1>KV_DD_MARZ_10</formula1>
    </dataValidation>
    <dataValidation type="list" allowBlank="1" showInputMessage="1" showErrorMessage="1" sqref="F11" xr:uid="{0A370C0E-CD92-BD41-A002-D4697FD67CF2}">
      <formula1>KV_DD_MARZ_11</formula1>
    </dataValidation>
    <dataValidation type="list" allowBlank="1" showInputMessage="1" showErrorMessage="1" sqref="F12" xr:uid="{7DBEE388-FE93-3F4E-B64D-1BAC3F8D5D1F}">
      <formula1>KV_DD_MARZ_12</formula1>
    </dataValidation>
    <dataValidation type="list" allowBlank="1" showInputMessage="1" showErrorMessage="1" sqref="F13" xr:uid="{B75BED5C-8D8A-4A4E-8BD2-8B978C188A84}">
      <formula1>KV_DD_MARZ_13</formula1>
    </dataValidation>
    <dataValidation type="list" allowBlank="1" showInputMessage="1" showErrorMessage="1" sqref="F14" xr:uid="{1064DC0C-18A2-2142-8C05-CFCDFDB83C91}">
      <formula1>KV_DD_MARZ_14</formula1>
    </dataValidation>
    <dataValidation type="list" allowBlank="1" showInputMessage="1" showErrorMessage="1" sqref="F15" xr:uid="{C25E7601-31E5-5042-A6E6-DFC08E0BF158}">
      <formula1>KV_DD_MARZ_15</formula1>
    </dataValidation>
    <dataValidation type="list" allowBlank="1" showInputMessage="1" showErrorMessage="1" sqref="F16" xr:uid="{892CC97F-727C-DA4A-A450-D2DA5B64BB5A}">
      <formula1>KV_DD_MARZ_16</formula1>
    </dataValidation>
    <dataValidation type="list" allowBlank="1" showInputMessage="1" showErrorMessage="1" sqref="F17" xr:uid="{37B8A3F8-4E97-7646-BF25-A17AFC4768DA}">
      <formula1>KV_DD_MARZ_17</formula1>
    </dataValidation>
    <dataValidation type="list" allowBlank="1" showInputMessage="1" showErrorMessage="1" sqref="F18" xr:uid="{1BED2DD4-57B5-9749-8C57-7D7DE105E7B8}">
      <formula1>KV_DD_MARZ_18</formula1>
    </dataValidation>
    <dataValidation type="list" allowBlank="1" showInputMessage="1" showErrorMessage="1" sqref="F19" xr:uid="{4ADF56D9-79DD-424D-AD6C-E5CC3BCB346C}">
      <formula1>KV_DD_MARZ_19</formula1>
    </dataValidation>
    <dataValidation type="list" allowBlank="1" showInputMessage="1" showErrorMessage="1" sqref="F20" xr:uid="{281F70E3-9067-A049-A712-375CA78856A4}">
      <formula1>KV_DD_MARZ_20</formula1>
    </dataValidation>
    <dataValidation type="list" allowBlank="1" showInputMessage="1" showErrorMessage="1" sqref="F21" xr:uid="{71A3ACEE-8FB2-EF46-9C35-6978F986B78A}">
      <formula1>KV_DD_MARZ_21</formula1>
    </dataValidation>
    <dataValidation type="list" allowBlank="1" showInputMessage="1" showErrorMessage="1" sqref="F22" xr:uid="{3D85B5B8-9E8C-7F48-AE88-972AD66F5B41}">
      <formula1>KV_DD_MARZ_22</formula1>
    </dataValidation>
    <dataValidation type="list" allowBlank="1" showInputMessage="1" showErrorMessage="1" sqref="F23" xr:uid="{F8E741E8-71B2-4640-AF60-DCE154C0590C}">
      <formula1>KV_DD_MARZ_23</formula1>
    </dataValidation>
    <dataValidation type="list" allowBlank="1" showInputMessage="1" showErrorMessage="1" sqref="F24" xr:uid="{53FDB4A5-0E8D-E247-AFAB-ADE2799A4949}">
      <formula1>KV_DD_MARZ_24</formula1>
    </dataValidation>
    <dataValidation type="list" allowBlank="1" showInputMessage="1" showErrorMessage="1" sqref="F25" xr:uid="{0B1F669E-D10C-1F45-BACB-686361D0EC2A}">
      <formula1>KV_DD_MARZ_25</formula1>
    </dataValidation>
    <dataValidation type="list" allowBlank="1" showInputMessage="1" showErrorMessage="1" sqref="F26" xr:uid="{7E8DDA1A-9C91-2042-B623-D7E81B335DE4}">
      <formula1>KV_DD_MARZ_26</formula1>
    </dataValidation>
    <dataValidation type="list" allowBlank="1" showInputMessage="1" showErrorMessage="1" sqref="F27" xr:uid="{5CB5A555-D4CD-804D-A3BB-5615188F9402}">
      <formula1>KV_DD_MARZ_27</formula1>
    </dataValidation>
    <dataValidation type="list" allowBlank="1" showInputMessage="1" showErrorMessage="1" sqref="F28" xr:uid="{D97D7F22-A8C7-1346-B476-3646E43F00D6}">
      <formula1>KV_DD_MARZ_28</formula1>
    </dataValidation>
    <dataValidation type="list" allowBlank="1" showInputMessage="1" showErrorMessage="1" sqref="F29" xr:uid="{4B9B01FE-440D-C44D-8EC1-B6E172AB46E0}">
      <formula1>KV_DD_MARZ_29</formula1>
    </dataValidation>
    <dataValidation type="list" allowBlank="1" showInputMessage="1" showErrorMessage="1" sqref="F30" xr:uid="{7BA4BD6F-6F5F-FA4E-93DC-B59F9DC7344D}">
      <formula1>KV_DD_MARZ_30</formula1>
    </dataValidation>
    <dataValidation type="list" allowBlank="1" showInputMessage="1" showErrorMessage="1" sqref="F31" xr:uid="{3BDF71AE-2D15-5B4D-ABAC-09718C1DCAA6}">
      <formula1>KV_DD_MARZ_31</formula1>
    </dataValidation>
    <dataValidation type="list" allowBlank="1" showInputMessage="1" showErrorMessage="1" sqref="F32" xr:uid="{2E13F390-E9D2-8643-AA96-E750C34A1DB6}">
      <formula1>KV_DD_MARZ_32</formula1>
    </dataValidation>
    <dataValidation type="list" allowBlank="1" showInputMessage="1" showErrorMessage="1" sqref="F33" xr:uid="{3A42B839-A8F1-D148-AA01-FA369555AC09}">
      <formula1>KV_DD_MARZ_33</formula1>
    </dataValidation>
    <dataValidation type="list" allowBlank="1" showInputMessage="1" showErrorMessage="1" sqref="F34" xr:uid="{308A6FFA-51F9-3C49-AFB8-DF8BF7AD9975}">
      <formula1>KV_DD_MARZ_34</formula1>
    </dataValidation>
    <dataValidation type="list" allowBlank="1" showInputMessage="1" showErrorMessage="1" sqref="F35" xr:uid="{98C045FD-E3E5-B140-835D-3C3F58AE293F}">
      <formula1>KV_DD_MARZ_35</formula1>
    </dataValidation>
    <dataValidation type="list" allowBlank="1" showInputMessage="1" showErrorMessage="1" sqref="F36" xr:uid="{581AE79B-E44B-794F-A77B-9AE0B547B060}">
      <formula1>KV_DD_MARZ_36</formula1>
    </dataValidation>
    <dataValidation type="list" allowBlank="1" showInputMessage="1" showErrorMessage="1" sqref="F37" xr:uid="{26CA3630-1208-2048-BE68-4A882BAD47BD}">
      <formula1>KV_DD_MARZ_37</formula1>
    </dataValidation>
    <dataValidation type="list" allowBlank="1" showInputMessage="1" showErrorMessage="1" sqref="F38" xr:uid="{86B70E51-4A46-FD4C-905B-4E0DC0CBB24C}">
      <formula1>KV_DD_MARZ_38</formula1>
    </dataValidation>
    <dataValidation type="list" allowBlank="1" showInputMessage="1" showErrorMessage="1" sqref="F39" xr:uid="{70C594DA-D6F4-C04D-B732-F6F2115FDA52}">
      <formula1>KV_DD_MARZ_39</formula1>
    </dataValidation>
    <dataValidation type="list" allowBlank="1" showInputMessage="1" showErrorMessage="1" sqref="F40" xr:uid="{32F16A32-9CB3-7545-9324-E0E6C47E4416}">
      <formula1>KV_DD_MARZ_40</formula1>
    </dataValidation>
    <dataValidation type="list" allowBlank="1" showInputMessage="1" showErrorMessage="1" sqref="F41" xr:uid="{99A0AF96-B7BF-904A-A70B-1494007672CA}">
      <formula1>KV_DD_MARZ_41</formula1>
    </dataValidation>
    <dataValidation type="list" allowBlank="1" showInputMessage="1" showErrorMessage="1" sqref="F42" xr:uid="{59CFE85A-78FD-B046-B1E5-EBE4A97891A2}">
      <formula1>KV_DD_MARZ_42</formula1>
    </dataValidation>
    <dataValidation type="list" allowBlank="1" showInputMessage="1" showErrorMessage="1" sqref="F43" xr:uid="{CAE46CC6-0741-0646-AED3-C676A9B2E31F}">
      <formula1>KV_DD_MARZ_43</formula1>
    </dataValidation>
    <dataValidation type="list" allowBlank="1" showInputMessage="1" showErrorMessage="1" sqref="F44" xr:uid="{6F06D93E-F271-5842-8594-7E9AC47B1A89}">
      <formula1>KV_DD_MARZ_44</formula1>
    </dataValidation>
    <dataValidation type="list" allowBlank="1" showInputMessage="1" showErrorMessage="1" sqref="F45" xr:uid="{0CC345F5-6AD8-704D-AAF5-CC7D58A83197}">
      <formula1>KV_DD_MARZ_45</formula1>
    </dataValidation>
    <dataValidation type="list" allowBlank="1" showInputMessage="1" showErrorMessage="1" sqref="F46" xr:uid="{BA04E2C5-1791-2A4F-9ECA-88B96CA0A6B9}">
      <formula1>KV_DD_MARZ_46</formula1>
    </dataValidation>
    <dataValidation type="list" allowBlank="1" showInputMessage="1" showErrorMessage="1" sqref="F47" xr:uid="{4DD643EE-72FD-7D4B-982C-FF47124B8254}">
      <formula1>KV_DD_MARZ_47</formula1>
    </dataValidation>
    <dataValidation type="list" allowBlank="1" showInputMessage="1" showErrorMessage="1" sqref="F48" xr:uid="{F158B372-34E7-3948-A4EF-C3102D4EA0EE}">
      <formula1>KV_DD_MARZ_48</formula1>
    </dataValidation>
    <dataValidation type="list" allowBlank="1" showInputMessage="1" showErrorMessage="1" sqref="F49" xr:uid="{558F6DDF-FCB8-B24E-9B0A-BB3764F1D0DD}">
      <formula1>KV_DD_MARZ_49</formula1>
    </dataValidation>
    <dataValidation type="list" allowBlank="1" showInputMessage="1" showErrorMessage="1" sqref="F50" xr:uid="{1885B0B6-F663-9940-AA6E-F570EF320212}">
      <formula1>KV_DD_MARZ_50</formula1>
    </dataValidation>
    <dataValidation type="list" allowBlank="1" showInputMessage="1" showErrorMessage="1" sqref="F51" xr:uid="{8B5794B4-D969-B447-BB69-9BE146C0DCD9}">
      <formula1>KV_DD_MARZ_51</formula1>
    </dataValidation>
    <dataValidation type="list" allowBlank="1" showInputMessage="1" showErrorMessage="1" sqref="F52" xr:uid="{98606CBE-8AD1-7444-9942-9B6F47FC9935}">
      <formula1>KV_DD_MARZ_52</formula1>
    </dataValidation>
    <dataValidation type="list" allowBlank="1" showInputMessage="1" showErrorMessage="1" sqref="F53" xr:uid="{4153FF0A-4EE4-9246-8A11-F3F8DF9E3A67}">
      <formula1>KV_DD_MARZ_53</formula1>
    </dataValidation>
    <dataValidation type="list" allowBlank="1" showInputMessage="1" showErrorMessage="1" sqref="F54" xr:uid="{BECAE541-7169-9B40-ACBE-8D62775EFD9C}">
      <formula1>KV_DD_MARZ_54</formula1>
    </dataValidation>
    <dataValidation type="list" allowBlank="1" showInputMessage="1" showErrorMessage="1" sqref="F55" xr:uid="{733F0598-E476-034C-B6F6-4BBC1AF0E94D}">
      <formula1>KV_DD_MARZ_55</formula1>
    </dataValidation>
    <dataValidation type="list" allowBlank="1" showInputMessage="1" showErrorMessage="1" sqref="F56" xr:uid="{24178593-D739-E14A-BCE8-6D5C2FBD6196}">
      <formula1>KV_DD_MARZ_56</formula1>
    </dataValidation>
    <dataValidation type="list" allowBlank="1" showInputMessage="1" showErrorMessage="1" sqref="F57" xr:uid="{E55816ED-1987-D34C-818E-348B3E9B06D2}">
      <formula1>KV_DD_MARZ_57</formula1>
    </dataValidation>
    <dataValidation type="list" allowBlank="1" showInputMessage="1" showErrorMessage="1" sqref="F58" xr:uid="{EA33CB3F-9AD4-A443-8A6A-49FFE12CDC74}">
      <formula1>KV_DD_MARZ_58</formula1>
    </dataValidation>
    <dataValidation type="list" allowBlank="1" showInputMessage="1" showErrorMessage="1" sqref="F59" xr:uid="{A10602DA-1074-2349-B684-1A60F243E693}">
      <formula1>KV_DD_MARZ_59</formula1>
    </dataValidation>
    <dataValidation type="list" allowBlank="1" showInputMessage="1" showErrorMessage="1" sqref="F60" xr:uid="{40E4C185-BFB5-1A49-81FE-833A47CBB682}">
      <formula1>KV_DD_MARZ_60</formula1>
    </dataValidation>
    <dataValidation type="list" allowBlank="1" showInputMessage="1" showErrorMessage="1" sqref="F61" xr:uid="{67B4AEB2-99C3-3943-AC3F-59F5EBAB1FBD}">
      <formula1>KV_DD_MARZ_61</formula1>
    </dataValidation>
    <dataValidation type="list" allowBlank="1" showInputMessage="1" showErrorMessage="1" sqref="F62" xr:uid="{780D753A-F4D1-4223-93AE-3EC07175CCE8}">
      <formula1>KV_DD_MARZ_62</formula1>
    </dataValidation>
    <dataValidation type="date" allowBlank="1" showDropDown="1" showErrorMessage="1" sqref="I3:I82" xr:uid="{90EF2ED0-7045-1348-A2BD-05B6626A8941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76B77E2-CAC7-2A49-A388-C6FF69B30F01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575F9-786C-4425-96E4-E30C2373A72A}">
  <sheetPr codeName="Tabelle6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F26" sqref="F26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4</v>
      </c>
      <c r="B1" s="302" t="s">
        <v>191</v>
      </c>
      <c r="C1" s="314" t="s">
        <v>40</v>
      </c>
      <c r="D1" s="286" t="s">
        <v>192</v>
      </c>
      <c r="E1" s="286" t="s">
        <v>0</v>
      </c>
      <c r="F1" s="286" t="s">
        <v>41</v>
      </c>
      <c r="G1" s="288" t="s">
        <v>42</v>
      </c>
      <c r="H1" s="305" t="s">
        <v>43</v>
      </c>
      <c r="I1" s="290" t="s">
        <v>193</v>
      </c>
      <c r="J1" s="292" t="s">
        <v>44</v>
      </c>
      <c r="K1" s="294" t="s">
        <v>45</v>
      </c>
      <c r="L1" s="296" t="s">
        <v>46</v>
      </c>
      <c r="M1" s="298" t="s">
        <v>47</v>
      </c>
      <c r="N1" s="303" t="s">
        <v>194</v>
      </c>
      <c r="AB1" s="8">
        <f>DATE(EINSTELLUNG!$C$35,$A$1,1)</f>
        <v>46113</v>
      </c>
    </row>
    <row r="2" spans="1:28" ht="16" customHeight="1" thickBot="1">
      <c r="A2" s="39"/>
      <c r="B2" s="302"/>
      <c r="C2" s="315"/>
      <c r="D2" s="287"/>
      <c r="E2" s="287"/>
      <c r="F2" s="287"/>
      <c r="G2" s="289"/>
      <c r="H2" s="306"/>
      <c r="I2" s="291"/>
      <c r="J2" s="293"/>
      <c r="K2" s="295"/>
      <c r="L2" s="297"/>
      <c r="M2" s="299"/>
      <c r="N2" s="303"/>
      <c r="AB2" s="8">
        <f>EOMONTH(DATE(EINSTELLUNG!$C$35,$A$1,1),0)</f>
        <v>46142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2021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70"/>
      <c r="N3" s="54"/>
      <c r="O3" s="300" t="s">
        <v>49</v>
      </c>
      <c r="P3" s="300" t="s">
        <v>50</v>
      </c>
      <c r="Q3" s="307" t="s">
        <v>51</v>
      </c>
      <c r="R3" s="309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301"/>
      <c r="P4" s="301"/>
      <c r="Q4" s="308"/>
      <c r="R4" s="310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853.85414520897245</v>
      </c>
      <c r="P5" s="15">
        <f>EINSTELLUNG!I9</f>
        <v>600</v>
      </c>
      <c r="Q5" s="14">
        <f>P5-O5</f>
        <v>-253.85414520897245</v>
      </c>
      <c r="R5" s="18">
        <f>IFERROR(Q5*Q42, 0)</f>
        <v>-3047.5842099326733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311" t="str">
        <f>IF(Q5&lt;0, "Schlecht! Zu wenig Urlaub abgebaut.", IF(Q5&gt;0, "Gut! Mehr Urlaub abgebaut als aufgebaut.", ""))</f>
        <v>Schlecht! Zu wenig Urlaub abgebaut.</v>
      </c>
      <c r="P6" s="312"/>
      <c r="Q6" s="312"/>
      <c r="R6" s="313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66" t="s">
        <v>58</v>
      </c>
      <c r="P8" s="267"/>
      <c r="Q8" s="268">
        <f>SUM(H3:H82)</f>
        <v>8796.1799999999985</v>
      </c>
      <c r="R8" s="268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66" t="s">
        <v>60</v>
      </c>
      <c r="P9" s="267"/>
      <c r="Q9" s="268">
        <f>EINSTELLUNG!L25</f>
        <v>4</v>
      </c>
      <c r="R9" s="268"/>
      <c r="S9" s="19">
        <f>IFERROR(Q9/Q8, 0)</f>
        <v>4.5474285428447357E-4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66" t="s">
        <v>62</v>
      </c>
      <c r="P10" s="267"/>
      <c r="Q10" s="268">
        <f>EINSTELLUNG!I25</f>
        <v>150</v>
      </c>
      <c r="R10" s="268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66" t="s">
        <v>64</v>
      </c>
      <c r="P11" s="267"/>
      <c r="Q11" s="268">
        <f>P5</f>
        <v>600</v>
      </c>
      <c r="R11" s="268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66" t="s">
        <v>66</v>
      </c>
      <c r="P12" s="267"/>
      <c r="Q12" s="272">
        <v>-255</v>
      </c>
      <c r="R12" s="272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66" t="s">
        <v>68</v>
      </c>
      <c r="P13" s="267"/>
      <c r="Q13" s="268">
        <f>Q8-Q9-Q10-Q11-Q12</f>
        <v>8297.1799999999985</v>
      </c>
      <c r="R13" s="268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66" t="s">
        <v>70</v>
      </c>
      <c r="P14" s="267"/>
      <c r="Q14" s="268">
        <f>EINSTELLUNG!L9</f>
        <v>9300</v>
      </c>
      <c r="R14" s="268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66" t="s">
        <v>72</v>
      </c>
      <c r="P15" s="267"/>
      <c r="Q15" s="268">
        <f>Q13-Q14</f>
        <v>-1002.8200000000015</v>
      </c>
      <c r="R15" s="268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304" t="str">
        <f>IF(Q15&lt;0, "Schlecht! Zu wenig Stunden für Dienstplan.", IF(Q15&gt;0, "Du hast mehr als genug Stunden für Dienstplan.", ""))</f>
        <v>Schlecht! Zu wenig Stunden für Dienstplan.</v>
      </c>
      <c r="P16" s="304"/>
      <c r="Q16" s="304"/>
      <c r="R16" s="304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2021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71"/>
      <c r="N17" s="55"/>
      <c r="O17" s="269" t="s">
        <v>75</v>
      </c>
      <c r="P17" s="270"/>
      <c r="Q17" s="271">
        <f>SUM(L3:L82)</f>
        <v>105600.40000000001</v>
      </c>
      <c r="R17" s="271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2021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71"/>
      <c r="N18" s="55"/>
      <c r="O18" s="260"/>
      <c r="P18" s="261"/>
      <c r="Q18" s="262"/>
      <c r="R18" s="263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2021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71"/>
      <c r="N19" s="55"/>
      <c r="O19" s="260"/>
      <c r="P19" s="261"/>
      <c r="Q19" s="262"/>
      <c r="R19" s="263"/>
    </row>
    <row r="20" spans="1:29" ht="16" customHeight="1" thickBot="1">
      <c r="A20" s="40" t="s">
        <v>78</v>
      </c>
      <c r="B20" s="77">
        <v>401479</v>
      </c>
      <c r="C20" s="46" t="s">
        <v>250</v>
      </c>
      <c r="D20" s="96">
        <v>44511</v>
      </c>
      <c r="E20" s="44" t="s">
        <v>6</v>
      </c>
      <c r="F20" s="45">
        <v>151.38</v>
      </c>
      <c r="G20" s="89">
        <f>IF(OR(E20="",F20=""),"",PID_KVLohnLookup($A$1,E20,F20,LOHNTABELLE!$H$4))</f>
        <v>1890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151.38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1890</v>
      </c>
      <c r="M20" s="71"/>
      <c r="N20" s="55"/>
      <c r="O20" s="260"/>
      <c r="P20" s="261"/>
      <c r="Q20" s="262"/>
      <c r="R20" s="263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3</v>
      </c>
      <c r="F21" s="45">
        <v>173</v>
      </c>
      <c r="G21" s="89">
        <f>IF(OR(E21="",F21=""),"",PID_KVLohnLookup($A$1,E21,F21,LOHNTABELLE!$H$4))</f>
        <v>2082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2082</v>
      </c>
      <c r="M21" s="71"/>
      <c r="N21" s="55"/>
      <c r="O21" s="260" t="s">
        <v>320</v>
      </c>
      <c r="P21" s="261"/>
      <c r="Q21" s="262">
        <v>5000</v>
      </c>
      <c r="R21" s="263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2021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71"/>
      <c r="N22" s="55"/>
      <c r="O22" s="260"/>
      <c r="P22" s="261"/>
      <c r="Q22" s="262"/>
      <c r="R22" s="263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2</v>
      </c>
      <c r="F23" s="45">
        <v>173</v>
      </c>
      <c r="G23" s="89">
        <f>IF(OR(E23="",F23=""),"",PID_KVLohnLookup($A$1,E23,F23,LOHNTABELLE!$H$4))</f>
        <v>2021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71"/>
      <c r="N23" s="55"/>
      <c r="O23" s="260"/>
      <c r="P23" s="261"/>
      <c r="Q23" s="262"/>
      <c r="R23" s="263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60"/>
      <c r="P24" s="261"/>
      <c r="Q24" s="262"/>
      <c r="R24" s="263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f>IF(OR(E25="",F25=""),"",PID_KVLohnLookup($A$1,E25,F25,LOHNTABELLE!$H$4))</f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277"/>
      <c r="P25" s="278"/>
      <c r="Q25" s="279"/>
      <c r="R25" s="280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173</v>
      </c>
      <c r="G26" s="89">
        <f>IF(OR(E26="",F26=""),"",PID_KVLohnLookup($A$1,E26,F26,LOHNTABELLE!$H$4))</f>
        <v>2021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71"/>
      <c r="N26" s="55"/>
      <c r="O26" s="282"/>
      <c r="P26" s="350"/>
      <c r="Q26" s="283"/>
      <c r="R26" s="284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173</v>
      </c>
      <c r="G27" s="89">
        <f>IF(OR(E27="",F27=""),"",PID_KVLohnLookup($A$1,E27,F27,LOHNTABELLE!$H$4))</f>
        <v>2021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71"/>
      <c r="N27" s="55"/>
      <c r="O27" s="240"/>
      <c r="P27" s="241"/>
      <c r="Q27" s="263"/>
      <c r="R27" s="285"/>
      <c r="S27" s="244" t="s">
        <v>87</v>
      </c>
      <c r="T27" s="245"/>
      <c r="U27" s="245"/>
      <c r="V27" s="245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173</v>
      </c>
      <c r="G28" s="89">
        <f>IF(OR(E28="",F28=""),"",PID_KVLohnLookup($A$1,E28,F28,LOHNTABELLE!$H$4))</f>
        <v>2021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71"/>
      <c r="N28" s="55"/>
      <c r="O28" s="273"/>
      <c r="P28" s="274"/>
      <c r="Q28" s="275"/>
      <c r="R28" s="276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173</v>
      </c>
      <c r="G29" s="89">
        <f>IF(OR(E29="",F29=""),"",PID_KVLohnLookup($A$1,E29,F29,LOHNTABELLE!$H$4))</f>
        <v>2300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71"/>
      <c r="N29" s="55"/>
      <c r="O29" s="248" t="s">
        <v>90</v>
      </c>
      <c r="P29" s="249"/>
      <c r="Q29" s="250">
        <f>EINSTELLUNG!O9</f>
        <v>1250</v>
      </c>
      <c r="R29" s="251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173</v>
      </c>
      <c r="G30" s="89">
        <f>IF(OR(E30="",F30=""),"",PID_KVLohnLookup($A$1,E30,F30,LOHNTABELLE!$H$4))</f>
        <v>2021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173</v>
      </c>
      <c r="G31" s="89">
        <f>IF(OR(E31="",F31=""),"",PID_KVLohnLookup($A$1,E31,F31,LOHNTABELLE!$H$4))</f>
        <v>2021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71"/>
      <c r="N31" s="55"/>
      <c r="O31" s="252">
        <v>0</v>
      </c>
      <c r="P31" s="253"/>
      <c r="Q31" s="254">
        <v>0</v>
      </c>
      <c r="R31" s="255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173</v>
      </c>
      <c r="G32" s="89">
        <f>IF(OR(E32="",F32=""),"",PID_KVLohnLookup($A$1,E32,F32,LOHNTABELLE!$H$4))</f>
        <v>2021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2021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71"/>
      <c r="N33" s="55"/>
      <c r="O33" s="256"/>
      <c r="P33" s="257"/>
      <c r="Q33" s="258" t="str">
        <f>EINSTELLUNG!B3</f>
        <v>Budget Zahlen</v>
      </c>
      <c r="R33" s="258"/>
      <c r="S33" s="259" t="str">
        <f>EINSTELLUNG!B19</f>
        <v>Projection/Aktuell Zahlen</v>
      </c>
      <c r="T33" s="259"/>
      <c r="U33" s="259" t="s">
        <v>98</v>
      </c>
      <c r="V33" s="259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173</v>
      </c>
      <c r="G34" s="89">
        <f>IF(OR(E34="",F34=""),"",PID_KVLohnLookup($A$1,E34,F34,LOHNTABELLE!$H$4))</f>
        <v>2021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71"/>
      <c r="N34" s="55"/>
      <c r="O34" s="256"/>
      <c r="P34" s="257"/>
      <c r="Q34" s="258"/>
      <c r="R34" s="258"/>
      <c r="S34" s="259"/>
      <c r="T34" s="259"/>
      <c r="U34" s="259"/>
      <c r="V34" s="259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173</v>
      </c>
      <c r="G35" s="89">
        <f>IF(OR(E35="",F35=""),"",PID_KVLohnLookup($A$1,E35,F35,LOHNTABELLE!$H$4))</f>
        <v>2021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71"/>
      <c r="N35" s="55"/>
      <c r="O35" s="264" t="s">
        <v>101</v>
      </c>
      <c r="P35" s="265"/>
      <c r="Q35" s="238">
        <f>EINSTELLUNG!C9</f>
        <v>400000</v>
      </c>
      <c r="R35" s="238"/>
      <c r="S35" s="238">
        <f>EINSTELLUNG!C25</f>
        <v>423000</v>
      </c>
      <c r="T35" s="238"/>
      <c r="U35" s="242">
        <f>S35-Q35</f>
        <v>23000</v>
      </c>
      <c r="V35" s="242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173</v>
      </c>
      <c r="G36" s="89">
        <f>IF(OR(E36="",F36=""),"",PID_KVLohnLookup($A$1,E36,F36,LOHNTABELLE!$H$4))</f>
        <v>2021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71"/>
      <c r="N36" s="55"/>
      <c r="O36" s="264" t="s">
        <v>103</v>
      </c>
      <c r="P36" s="265"/>
      <c r="Q36" s="238">
        <f>EINSTELLUNG!D9</f>
        <v>100000</v>
      </c>
      <c r="R36" s="238"/>
      <c r="S36" s="238">
        <f>SumMergedCells(Q17:R29)</f>
        <v>111850.4</v>
      </c>
      <c r="T36" s="238"/>
      <c r="U36" s="242">
        <f t="shared" ref="U36:U41" si="2">S36-Q36</f>
        <v>11850.399999999994</v>
      </c>
      <c r="V36" s="242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173</v>
      </c>
      <c r="G37" s="89">
        <f>IF(OR(E37="",F37=""),"",PID_KVLohnLookup($A$1,E37,F37,LOHNTABELLE!$H$4))</f>
        <v>2021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71"/>
      <c r="N37" s="55"/>
      <c r="O37" s="264" t="s">
        <v>105</v>
      </c>
      <c r="P37" s="265"/>
      <c r="Q37" s="246">
        <f>IF(ISERROR(Q36/Q35), 0, Q36/Q35)</f>
        <v>0.25</v>
      </c>
      <c r="R37" s="246"/>
      <c r="S37" s="246">
        <f>IF(ISERROR(S36/S35), 0, S36/S35)</f>
        <v>0.26442174940898344</v>
      </c>
      <c r="T37" s="246"/>
      <c r="U37" s="247">
        <f t="shared" si="2"/>
        <v>1.4421749408983442E-2</v>
      </c>
      <c r="V37" s="247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173</v>
      </c>
      <c r="G38" s="89">
        <f>IF(OR(E38="",F38=""),"",PID_KVLohnLookup($A$1,E38,F38,LOHNTABELLE!$H$4))</f>
        <v>2021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71"/>
      <c r="N38" s="55"/>
      <c r="O38" s="264" t="s">
        <v>107</v>
      </c>
      <c r="P38" s="265"/>
      <c r="Q38" s="239">
        <f>EINSTELLUNG!F9</f>
        <v>30000</v>
      </c>
      <c r="R38" s="239"/>
      <c r="S38" s="239">
        <f>EINSTELLUNG!F25</f>
        <v>29000</v>
      </c>
      <c r="T38" s="239"/>
      <c r="U38" s="243">
        <f t="shared" si="2"/>
        <v>-1000</v>
      </c>
      <c r="V38" s="243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1010.5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71"/>
      <c r="N39" s="55"/>
      <c r="O39" s="264" t="s">
        <v>109</v>
      </c>
      <c r="P39" s="265"/>
      <c r="Q39" s="238">
        <f>IF(Q38=0, 0, Q35/Q38)</f>
        <v>13.333333333333334</v>
      </c>
      <c r="R39" s="238"/>
      <c r="S39" s="238">
        <f>IF(S38=0, 0, S35/S38)</f>
        <v>14.586206896551724</v>
      </c>
      <c r="T39" s="238"/>
      <c r="U39" s="242">
        <f t="shared" si="2"/>
        <v>1.2528735632183903</v>
      </c>
      <c r="V39" s="242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1010.5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71"/>
      <c r="N40" s="55"/>
      <c r="O40" s="264" t="s">
        <v>111</v>
      </c>
      <c r="P40" s="265"/>
      <c r="Q40" s="238">
        <f>IF(Q13=0, 0, Q35/Q13)</f>
        <v>48.209150578871387</v>
      </c>
      <c r="R40" s="238"/>
      <c r="S40" s="238">
        <f>IF(Q13=0, 0, S35/Q13)</f>
        <v>50.981176737156488</v>
      </c>
      <c r="T40" s="238"/>
      <c r="U40" s="242">
        <f t="shared" si="2"/>
        <v>2.7720261582851009</v>
      </c>
      <c r="V40" s="242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1010.5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71"/>
      <c r="N41" s="55"/>
      <c r="O41" s="264" t="s">
        <v>113</v>
      </c>
      <c r="P41" s="265"/>
      <c r="Q41" s="239">
        <f>IF(Q13=0, 0, Q38/Q13)</f>
        <v>3.615686293415354</v>
      </c>
      <c r="R41" s="239"/>
      <c r="S41" s="239">
        <f>IF(Q13=0, 0, S38/Q13)</f>
        <v>3.4951634169681753</v>
      </c>
      <c r="T41" s="239"/>
      <c r="U41" s="243">
        <f t="shared" si="2"/>
        <v>-0.12052287644717863</v>
      </c>
      <c r="V41" s="243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86.5</v>
      </c>
      <c r="G42" s="89">
        <f>IF(OR(E42="",F42=""),"",PID_KVLohnLookup($A$1,E42,F42,LOHNTABELLE!$H$4))</f>
        <v>1010.5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71"/>
      <c r="N42" s="55"/>
      <c r="O42" s="264" t="s">
        <v>115</v>
      </c>
      <c r="P42" s="265"/>
      <c r="Q42" s="235">
        <f>IFERROR(Q17/Q8, 0)</f>
        <v>12.005256827395531</v>
      </c>
      <c r="R42" s="236"/>
      <c r="S42" s="236"/>
      <c r="T42" s="236"/>
      <c r="U42" s="236"/>
      <c r="V42" s="237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1010.5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86.5</v>
      </c>
      <c r="G44" s="89">
        <f>IF(OR(E44="",F44=""),"",PID_KVLohnLookup($A$1,E44,F44,LOHNTABELLE!$H$4))</f>
        <v>1010.5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1010.5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1010.5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1010.5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1010.5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1010.5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1010.5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1010.5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1010.5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1010.5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71"/>
      <c r="N53" s="55"/>
    </row>
    <row r="54" spans="1:14" ht="16" customHeight="1" thickBot="1">
      <c r="A54" s="40" t="s">
        <v>128</v>
      </c>
      <c r="B54" s="77">
        <v>401999</v>
      </c>
      <c r="C54" s="46" t="s">
        <v>319</v>
      </c>
      <c r="D54" s="96">
        <v>46082</v>
      </c>
      <c r="E54" s="44" t="s">
        <v>2</v>
      </c>
      <c r="F54" s="45">
        <v>173</v>
      </c>
      <c r="G54" s="89">
        <f>IF(OR(E54="",F54=""),"",PID_KVLohnLookup($A$1,E54,F54,LOHNTABELLE!$H$4))</f>
        <v>2021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71"/>
      <c r="N54" s="55"/>
    </row>
    <row r="55" spans="1:14" ht="16" customHeight="1" thickBot="1">
      <c r="A55" s="40" t="s">
        <v>129</v>
      </c>
      <c r="B55" s="77">
        <v>402004</v>
      </c>
      <c r="C55" s="46" t="s">
        <v>328</v>
      </c>
      <c r="D55" s="96">
        <v>46122</v>
      </c>
      <c r="E55" s="44" t="s">
        <v>2</v>
      </c>
      <c r="F55" s="45">
        <v>173</v>
      </c>
      <c r="G55" s="89">
        <f>IF(OR(E55="",F55=""),"",PID_KVLohnLookup($A$1,E55,F55,LOHNTABELLE!$H$4))</f>
        <v>2021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121.1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1414.6999999999998</v>
      </c>
      <c r="M55" s="71"/>
      <c r="N55" s="55"/>
    </row>
    <row r="56" spans="1:14" ht="16" customHeight="1" thickBot="1">
      <c r="A56" s="40" t="s">
        <v>130</v>
      </c>
      <c r="B56" s="77">
        <v>402405</v>
      </c>
      <c r="C56" s="46" t="s">
        <v>330</v>
      </c>
      <c r="D56" s="96">
        <v>46054</v>
      </c>
      <c r="E56" s="44" t="s">
        <v>2</v>
      </c>
      <c r="F56" s="45">
        <v>173</v>
      </c>
      <c r="G56" s="89">
        <f>IF(OR(E56="",F56=""),"",PID_KVLohnLookup($A$1,E56,F56,LOHNTABELLE!$H$4))</f>
        <v>2021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71"/>
      <c r="N56" s="55"/>
    </row>
    <row r="57" spans="1:14" ht="16" customHeight="1" thickBot="1">
      <c r="A57" s="41" t="s">
        <v>131</v>
      </c>
      <c r="B57" s="77">
        <v>500600</v>
      </c>
      <c r="C57" s="46" t="s">
        <v>335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2021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71"/>
      <c r="N57" s="55"/>
    </row>
    <row r="58" spans="1:14" ht="16" customHeight="1" thickBot="1">
      <c r="A58" s="40" t="s">
        <v>132</v>
      </c>
      <c r="B58" s="77">
        <v>503000</v>
      </c>
      <c r="C58" s="46" t="s">
        <v>332</v>
      </c>
      <c r="D58" s="96">
        <v>42401</v>
      </c>
      <c r="E58" s="44" t="s">
        <v>2</v>
      </c>
      <c r="F58" s="45">
        <v>173</v>
      </c>
      <c r="G58" s="89">
        <f>IF(OR(E58="",F58=""),"",PID_KVLohnLookup($A$1,E58,F58,LOHNTABELLE!$H$4))</f>
        <v>2021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71"/>
      <c r="N58" s="55"/>
    </row>
    <row r="59" spans="1:14" ht="16" customHeight="1" thickBot="1">
      <c r="A59" s="40" t="s">
        <v>133</v>
      </c>
      <c r="B59" s="77">
        <v>504000</v>
      </c>
      <c r="C59" s="46" t="s">
        <v>333</v>
      </c>
      <c r="D59" s="96">
        <v>46054</v>
      </c>
      <c r="E59" s="44" t="s">
        <v>3</v>
      </c>
      <c r="F59" s="45">
        <v>138.4</v>
      </c>
      <c r="G59" s="89">
        <f>IF(OR(E59="",F59=""),"",PID_KVLohnLookup($A$1,E59,F59,LOHNTABELLE!$H$4))</f>
        <v>1665.6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71"/>
      <c r="N59" s="55"/>
    </row>
    <row r="60" spans="1:14" ht="16" customHeight="1" thickBot="1">
      <c r="A60" s="40" t="s">
        <v>134</v>
      </c>
      <c r="B60" s="77">
        <v>505000</v>
      </c>
      <c r="C60" s="46" t="s">
        <v>334</v>
      </c>
      <c r="D60" s="96">
        <v>46054</v>
      </c>
      <c r="E60" s="44" t="s">
        <v>2</v>
      </c>
      <c r="F60" s="45">
        <v>138.4</v>
      </c>
      <c r="G60" s="89">
        <f>IF(OR(E60="",F60=""),"",PID_KVLohnLookup($A$1,E60,F60,LOHNTABELLE!$H$4))</f>
        <v>1616.8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71"/>
      <c r="N60" s="55"/>
    </row>
    <row r="61" spans="1:14" ht="16" customHeight="1" thickBot="1">
      <c r="A61" s="41" t="s">
        <v>135</v>
      </c>
      <c r="B61" s="77">
        <v>700000</v>
      </c>
      <c r="C61" s="46" t="s">
        <v>347</v>
      </c>
      <c r="D61" s="96">
        <v>46054</v>
      </c>
      <c r="E61" s="44" t="s">
        <v>2</v>
      </c>
      <c r="F61" s="45">
        <v>138.4</v>
      </c>
      <c r="G61" s="89">
        <f>IF(OR(E61="",F61=""),"",PID_KVLohnLookup($A$1,E61,F61,LOHNTABELLE!$H$4))</f>
        <v>1616.8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1616.8</v>
      </c>
      <c r="M61" s="71"/>
      <c r="N61" s="55"/>
    </row>
    <row r="62" spans="1:14" ht="16" customHeight="1" thickBot="1">
      <c r="A62" s="40" t="s">
        <v>136</v>
      </c>
      <c r="B62" s="77">
        <v>800000</v>
      </c>
      <c r="C62" s="46" t="s">
        <v>348</v>
      </c>
      <c r="D62" s="96">
        <v>46082</v>
      </c>
      <c r="E62" s="44" t="s">
        <v>2</v>
      </c>
      <c r="F62" s="45">
        <v>64</v>
      </c>
      <c r="G62" s="89">
        <f>IF(OR(E62="",F62=""),"",PID_KVLohnLookup($A$1,E62,F62,LOHNTABELLE!$H$4))</f>
        <v>1000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64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1000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</sheetData>
  <sheetProtection algorithmName="SHA-512" hashValue="qDkX0uPTw3CYExJe+JW6SjsWfFk4mfOqCYZpSIXcLifJjZHMHaqU+adtkkec5VYYI2OpcPBkxWSssaDZDziENw==" saltValue="IsTgjlN8Ldyu/z9CRDpPu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59081476-6B17-2E4B-BADC-2CC983EC6F1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530405-A0E8-B948-B226-01C2E841FC3D}">
      <formula1>KV_DD_APRIL_3</formula1>
    </dataValidation>
    <dataValidation type="list" allowBlank="1" showInputMessage="1" showErrorMessage="1" sqref="F4" xr:uid="{4C0D4915-BF3B-6047-ACD4-F740C319A92D}">
      <formula1>KV_DD_APRIL_4</formula1>
    </dataValidation>
    <dataValidation type="list" allowBlank="1" showInputMessage="1" showErrorMessage="1" sqref="F5" xr:uid="{8566E618-CF2E-854F-80B4-F08413398A55}">
      <formula1>KV_DD_APRIL_5</formula1>
    </dataValidation>
    <dataValidation type="list" allowBlank="1" showInputMessage="1" showErrorMessage="1" sqref="F6" xr:uid="{E2658AA1-7B43-D04E-B174-AA580EAB6929}">
      <formula1>KV_DD_APRIL_6</formula1>
    </dataValidation>
    <dataValidation type="list" allowBlank="1" showInputMessage="1" showErrorMessage="1" sqref="F7" xr:uid="{D034C1E3-F7FA-7F4B-A514-F740C08FCF22}">
      <formula1>KV_DD_APRIL_7</formula1>
    </dataValidation>
    <dataValidation type="list" allowBlank="1" showInputMessage="1" showErrorMessage="1" sqref="F8" xr:uid="{41F4B920-1D23-704D-B233-131502C76E17}">
      <formula1>KV_DD_APRIL_8</formula1>
    </dataValidation>
    <dataValidation type="list" allowBlank="1" showInputMessage="1" showErrorMessage="1" sqref="F9" xr:uid="{E22EEB0E-A18F-DE4F-88B3-33E927874517}">
      <formula1>KV_DD_APRIL_9</formula1>
    </dataValidation>
    <dataValidation type="list" allowBlank="1" showInputMessage="1" showErrorMessage="1" sqref="F10" xr:uid="{BF652B0D-544F-DF40-A397-A8A111933891}">
      <formula1>KV_DD_APRIL_10</formula1>
    </dataValidation>
    <dataValidation type="list" allowBlank="1" showInputMessage="1" showErrorMessage="1" sqref="F11" xr:uid="{9B7C8669-A9C9-1A46-8942-FDED6847E648}">
      <formula1>KV_DD_APRIL_11</formula1>
    </dataValidation>
    <dataValidation type="list" allowBlank="1" showInputMessage="1" showErrorMessage="1" sqref="F12" xr:uid="{5868D6C8-5FCE-9049-B079-8122C2697612}">
      <formula1>KV_DD_APRIL_12</formula1>
    </dataValidation>
    <dataValidation type="list" allowBlank="1" showInputMessage="1" showErrorMessage="1" sqref="F13" xr:uid="{037C1802-57F0-214C-9C1F-FDFEDD88E60D}">
      <formula1>KV_DD_APRIL_13</formula1>
    </dataValidation>
    <dataValidation type="list" allowBlank="1" showInputMessage="1" showErrorMessage="1" sqref="F14" xr:uid="{1A90BD3A-F68F-F445-A3D4-FF0EC0C01CE6}">
      <formula1>KV_DD_APRIL_14</formula1>
    </dataValidation>
    <dataValidation type="list" allowBlank="1" showInputMessage="1" showErrorMessage="1" sqref="F15" xr:uid="{BB626B80-7E92-504E-8E70-419D97FF9118}">
      <formula1>KV_DD_APRIL_15</formula1>
    </dataValidation>
    <dataValidation type="list" allowBlank="1" showInputMessage="1" showErrorMessage="1" sqref="F16" xr:uid="{81D7F3E3-1C9D-154C-97EF-75B2BA6B0CAB}">
      <formula1>KV_DD_APRIL_16</formula1>
    </dataValidation>
    <dataValidation type="list" allowBlank="1" showInputMessage="1" showErrorMessage="1" sqref="F17" xr:uid="{C0EC9DE4-363E-B444-B634-D385CD0320D3}">
      <formula1>KV_DD_APRIL_17</formula1>
    </dataValidation>
    <dataValidation type="list" allowBlank="1" showInputMessage="1" showErrorMessage="1" sqref="F18" xr:uid="{BD6D6BC1-087E-3A41-9DE7-9F4FBF6741AD}">
      <formula1>KV_DD_APRIL_18</formula1>
    </dataValidation>
    <dataValidation type="list" allowBlank="1" showInputMessage="1" showErrorMessage="1" sqref="F19" xr:uid="{A8F6D250-2987-354B-8AA9-FC54026CCAC2}">
      <formula1>KV_DD_APRIL_19</formula1>
    </dataValidation>
    <dataValidation type="list" allowBlank="1" showInputMessage="1" showErrorMessage="1" sqref="F20" xr:uid="{AEEBC354-9854-E648-90C9-C4EACAE2E990}">
      <formula1>KV_DD_APRIL_20</formula1>
    </dataValidation>
    <dataValidation type="list" allowBlank="1" showInputMessage="1" showErrorMessage="1" sqref="F21" xr:uid="{40027D7F-A166-024A-A1B9-8C79934277E8}">
      <formula1>KV_DD_APRIL_21</formula1>
    </dataValidation>
    <dataValidation type="list" allowBlank="1" showInputMessage="1" showErrorMessage="1" sqref="F22" xr:uid="{F5AE4293-923D-344C-9CFA-D69E3B5BCE3B}">
      <formula1>KV_DD_APRIL_22</formula1>
    </dataValidation>
    <dataValidation type="list" allowBlank="1" showInputMessage="1" showErrorMessage="1" sqref="F23" xr:uid="{58B0B8D8-5517-AB4C-9815-904B7BF7A09F}">
      <formula1>KV_DD_APRIL_23</formula1>
    </dataValidation>
    <dataValidation type="list" allowBlank="1" showInputMessage="1" showErrorMessage="1" sqref="F24" xr:uid="{6CA8417F-CC7F-484B-A6F0-E1C3ABE8E694}">
      <formula1>KV_DD_APRIL_24</formula1>
    </dataValidation>
    <dataValidation type="list" allowBlank="1" showInputMessage="1" showErrorMessage="1" sqref="F25" xr:uid="{D2EDF383-A68F-A04A-AEBA-AD73EA5D86BB}">
      <formula1>KV_DD_APRIL_25</formula1>
    </dataValidation>
    <dataValidation type="list" allowBlank="1" showInputMessage="1" showErrorMessage="1" sqref="F26" xr:uid="{A075348E-CE92-9145-B80C-26FC543A5073}">
      <formula1>KV_DD_APRIL_26</formula1>
    </dataValidation>
    <dataValidation type="list" allowBlank="1" showInputMessage="1" showErrorMessage="1" sqref="F27" xr:uid="{2262CF8D-BFFA-F140-A4AC-C93A64EBEB37}">
      <formula1>KV_DD_APRIL_27</formula1>
    </dataValidation>
    <dataValidation type="list" allowBlank="1" showInputMessage="1" showErrorMessage="1" sqref="F28" xr:uid="{752B6F61-3939-CB4D-AB32-24B558B0F27F}">
      <formula1>KV_DD_APRIL_28</formula1>
    </dataValidation>
    <dataValidation type="list" allowBlank="1" showInputMessage="1" showErrorMessage="1" sqref="F29" xr:uid="{A7E8CBF0-280B-8B4C-808C-1C12B18FE728}">
      <formula1>KV_DD_APRIL_29</formula1>
    </dataValidation>
    <dataValidation type="list" allowBlank="1" showInputMessage="1" showErrorMessage="1" sqref="F30" xr:uid="{05EE6C42-034B-1E47-9339-F749BE03D833}">
      <formula1>KV_DD_APRIL_30</formula1>
    </dataValidation>
    <dataValidation type="list" allowBlank="1" showInputMessage="1" showErrorMessage="1" sqref="F31" xr:uid="{AE99E832-862E-ED43-A78F-2AB599B90E51}">
      <formula1>KV_DD_APRIL_31</formula1>
    </dataValidation>
    <dataValidation type="list" allowBlank="1" showInputMessage="1" showErrorMessage="1" sqref="F32" xr:uid="{4DD05F43-78B0-5C4D-AA6F-A714B9C84051}">
      <formula1>KV_DD_APRIL_32</formula1>
    </dataValidation>
    <dataValidation type="list" allowBlank="1" showInputMessage="1" showErrorMessage="1" sqref="F33" xr:uid="{EB62AE3C-C4CD-EF4F-A80D-3C308335CBF5}">
      <formula1>KV_DD_APRIL_33</formula1>
    </dataValidation>
    <dataValidation type="list" allowBlank="1" showInputMessage="1" showErrorMessage="1" sqref="F34" xr:uid="{6C3AD7FE-6BC6-EC49-B168-00955F0EF393}">
      <formula1>KV_DD_APRIL_34</formula1>
    </dataValidation>
    <dataValidation type="list" allowBlank="1" showInputMessage="1" showErrorMessage="1" sqref="F35" xr:uid="{96F4558A-83DF-2E4D-A324-5246B3C94325}">
      <formula1>KV_DD_APRIL_35</formula1>
    </dataValidation>
    <dataValidation type="list" allowBlank="1" showInputMessage="1" showErrorMessage="1" sqref="F36" xr:uid="{A2981F80-1AD5-5A4C-BAE2-FC38031FC334}">
      <formula1>KV_DD_APRIL_36</formula1>
    </dataValidation>
    <dataValidation type="list" allowBlank="1" showInputMessage="1" showErrorMessage="1" sqref="F37" xr:uid="{D637B90A-8723-2B4F-A8D3-17DA4D178299}">
      <formula1>KV_DD_APRIL_37</formula1>
    </dataValidation>
    <dataValidation type="list" allowBlank="1" showInputMessage="1" showErrorMessage="1" sqref="F38" xr:uid="{A5B0A27B-2633-4143-9969-7C4B91078D21}">
      <formula1>KV_DD_APRIL_38</formula1>
    </dataValidation>
    <dataValidation type="list" allowBlank="1" showInputMessage="1" showErrorMessage="1" sqref="F39" xr:uid="{F11ED597-2DF9-5040-A1BA-71C8C3EE4DFC}">
      <formula1>KV_DD_APRIL_39</formula1>
    </dataValidation>
    <dataValidation type="list" allowBlank="1" showInputMessage="1" showErrorMessage="1" sqref="F40" xr:uid="{530972BA-9E6B-D045-9B29-33956ED7AFF7}">
      <formula1>KV_DD_APRIL_40</formula1>
    </dataValidation>
    <dataValidation type="list" allowBlank="1" showInputMessage="1" showErrorMessage="1" sqref="F41" xr:uid="{DF3579EE-B9E5-8843-9074-5EED9EA7305B}">
      <formula1>KV_DD_APRIL_41</formula1>
    </dataValidation>
    <dataValidation type="list" allowBlank="1" showInputMessage="1" showErrorMessage="1" sqref="F42" xr:uid="{04DFBEE1-8045-A14C-8C81-3B2D6571A72E}">
      <formula1>KV_DD_APRIL_42</formula1>
    </dataValidation>
    <dataValidation type="list" allowBlank="1" showInputMessage="1" showErrorMessage="1" sqref="F43" xr:uid="{B19EF4CB-CAB8-D741-B266-0DB94223E757}">
      <formula1>KV_DD_APRIL_43</formula1>
    </dataValidation>
    <dataValidation type="list" allowBlank="1" showInputMessage="1" showErrorMessage="1" sqref="F44" xr:uid="{C56FD08D-24B4-014E-8075-9F23CABEA87C}">
      <formula1>KV_DD_APRIL_44</formula1>
    </dataValidation>
    <dataValidation type="list" allowBlank="1" showInputMessage="1" showErrorMessage="1" sqref="F45" xr:uid="{1385A17A-18DF-C541-82B5-73E805BE7BC2}">
      <formula1>KV_DD_APRIL_45</formula1>
    </dataValidation>
    <dataValidation type="list" allowBlank="1" showInputMessage="1" showErrorMessage="1" sqref="F46" xr:uid="{F741FCDB-4B50-F346-AF9D-A2913E7FF833}">
      <formula1>KV_DD_APRIL_46</formula1>
    </dataValidation>
    <dataValidation type="list" allowBlank="1" showInputMessage="1" showErrorMessage="1" sqref="F47" xr:uid="{335ADBAE-64A1-5C4D-BFD3-71C9964CD5E9}">
      <formula1>KV_DD_APRIL_47</formula1>
    </dataValidation>
    <dataValidation type="list" allowBlank="1" showInputMessage="1" showErrorMessage="1" sqref="F48" xr:uid="{22338095-AED6-7748-B228-A1B7D627E889}">
      <formula1>KV_DD_APRIL_48</formula1>
    </dataValidation>
    <dataValidation type="list" allowBlank="1" showInputMessage="1" showErrorMessage="1" sqref="F49" xr:uid="{6BF2690E-1ADD-864F-822A-9E0D7E9EDA90}">
      <formula1>KV_DD_APRIL_49</formula1>
    </dataValidation>
    <dataValidation type="list" allowBlank="1" showInputMessage="1" showErrorMessage="1" sqref="F50" xr:uid="{7CEF66C2-CE81-1F43-9B5C-C598593E20FB}">
      <formula1>KV_DD_APRIL_50</formula1>
    </dataValidation>
    <dataValidation type="list" allowBlank="1" showInputMessage="1" showErrorMessage="1" sqref="F51" xr:uid="{38A3CCA1-DBD1-E24C-9764-A931F2FB9D5C}">
      <formula1>KV_DD_APRIL_51</formula1>
    </dataValidation>
    <dataValidation type="list" allowBlank="1" showInputMessage="1" showErrorMessage="1" sqref="F52" xr:uid="{2F9138A5-EA5B-FE46-A872-D657AB83477F}">
      <formula1>KV_DD_APRIL_52</formula1>
    </dataValidation>
    <dataValidation type="list" allowBlank="1" showInputMessage="1" showErrorMessage="1" sqref="F53" xr:uid="{9EFF2D90-F11D-C943-ACDB-52AA2E377A50}">
      <formula1>KV_DD_APRIL_53</formula1>
    </dataValidation>
    <dataValidation type="list" allowBlank="1" showInputMessage="1" showErrorMessage="1" sqref="F54" xr:uid="{CCB03D4E-6747-4BB5-856F-2440BDAA3A5B}">
      <formula1>KV_DD_APRIL_54</formula1>
    </dataValidation>
    <dataValidation type="list" allowBlank="1" showInputMessage="1" showErrorMessage="1" sqref="F55" xr:uid="{CA962C55-0322-744B-926B-8A448D869723}">
      <formula1>KV_DD_APRIL_55</formula1>
    </dataValidation>
    <dataValidation type="list" allowBlank="1" showInputMessage="1" showErrorMessage="1" sqref="F56" xr:uid="{43AD68A2-CF88-994C-A902-E34DDE7FF4F6}">
      <formula1>KV_DD_APRIL_56</formula1>
    </dataValidation>
    <dataValidation type="list" allowBlank="1" showInputMessage="1" showErrorMessage="1" sqref="F57" xr:uid="{06056554-8E2B-4C48-B0D4-893356C8910A}">
      <formula1>KV_DD_APRIL_57</formula1>
    </dataValidation>
    <dataValidation type="list" allowBlank="1" showInputMessage="1" showErrorMessage="1" sqref="F58" xr:uid="{9CA09149-3AC0-F447-9C53-A533AFB3EDF4}">
      <formula1>KV_DD_APRIL_58</formula1>
    </dataValidation>
    <dataValidation type="list" allowBlank="1" showInputMessage="1" showErrorMessage="1" sqref="F59" xr:uid="{27C0A78D-9E79-C845-B0CA-BA08072B2225}">
      <formula1>KV_DD_APRIL_59</formula1>
    </dataValidation>
    <dataValidation type="list" allowBlank="1" showInputMessage="1" showErrorMessage="1" sqref="F60" xr:uid="{FA70F3B6-4DA0-6949-AD36-4C99D3EF9400}">
      <formula1>KV_DD_APRIL_60</formula1>
    </dataValidation>
    <dataValidation type="list" allowBlank="1" showInputMessage="1" showErrorMessage="1" sqref="F61" xr:uid="{35449690-F847-41D9-9D0F-13D9FCBC46B5}">
      <formula1>KV_DD_APRIL_61</formula1>
    </dataValidation>
    <dataValidation type="list" allowBlank="1" showInputMessage="1" showErrorMessage="1" sqref="F62" xr:uid="{95490940-887F-4C66-8640-1B530E68E1E0}">
      <formula1>KV_DD_APRIL_62</formula1>
    </dataValidation>
    <dataValidation type="date" allowBlank="1" showDropDown="1" showErrorMessage="1" sqref="I3:I82" xr:uid="{E803A541-355D-B449-880A-F8D87E82E3C4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76200</xdr:rowOff>
                  </from>
                  <to>
                    <xdr:col>18</xdr:col>
                    <xdr:colOff>571500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6DC5377-E1AC-8C43-8EC2-CE2C96736676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11FEA-CA19-4495-BE72-F4093B55D9A0}">
  <sheetPr codeName="Tabelle7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E3" sqref="E3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5</v>
      </c>
      <c r="B1" s="302" t="s">
        <v>191</v>
      </c>
      <c r="C1" s="314" t="s">
        <v>40</v>
      </c>
      <c r="D1" s="286" t="s">
        <v>192</v>
      </c>
      <c r="E1" s="286" t="s">
        <v>0</v>
      </c>
      <c r="F1" s="286" t="s">
        <v>41</v>
      </c>
      <c r="G1" s="288" t="s">
        <v>42</v>
      </c>
      <c r="H1" s="305" t="s">
        <v>43</v>
      </c>
      <c r="I1" s="290" t="s">
        <v>193</v>
      </c>
      <c r="J1" s="292" t="s">
        <v>44</v>
      </c>
      <c r="K1" s="294" t="s">
        <v>45</v>
      </c>
      <c r="L1" s="296" t="s">
        <v>46</v>
      </c>
      <c r="M1" s="298" t="s">
        <v>47</v>
      </c>
      <c r="N1" s="303" t="s">
        <v>194</v>
      </c>
      <c r="AB1" s="8">
        <f>DATE(EINSTELLUNG!$C$35,$A$1,1)</f>
        <v>46143</v>
      </c>
    </row>
    <row r="2" spans="1:28" ht="16" customHeight="1" thickBot="1">
      <c r="A2" s="39"/>
      <c r="B2" s="302"/>
      <c r="C2" s="315"/>
      <c r="D2" s="287"/>
      <c r="E2" s="287"/>
      <c r="F2" s="287"/>
      <c r="G2" s="289"/>
      <c r="H2" s="306"/>
      <c r="I2" s="291"/>
      <c r="J2" s="293"/>
      <c r="K2" s="295"/>
      <c r="L2" s="297"/>
      <c r="M2" s="299"/>
      <c r="N2" s="303"/>
      <c r="AB2" s="8">
        <f>EOMONTH(DATE(EINSTELLUNG!$C$35,$A$1,1),0)</f>
        <v>46173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1000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1000</v>
      </c>
      <c r="M3" s="70"/>
      <c r="N3" s="54"/>
      <c r="O3" s="300" t="s">
        <v>49</v>
      </c>
      <c r="P3" s="300" t="s">
        <v>50</v>
      </c>
      <c r="Q3" s="307" t="s">
        <v>51</v>
      </c>
      <c r="R3" s="309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3</v>
      </c>
      <c r="F4" s="45">
        <v>173</v>
      </c>
      <c r="G4" s="89">
        <f>IF(OR(E4="",F4=""),"",PID_KVLohnLookup($A$1,E4,F4,LOHNTABELLE!$H$4))</f>
        <v>2082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2082</v>
      </c>
      <c r="M4" s="71"/>
      <c r="N4" s="55"/>
      <c r="O4" s="301"/>
      <c r="P4" s="301"/>
      <c r="Q4" s="308"/>
      <c r="R4" s="310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886.49485664868416</v>
      </c>
      <c r="P5" s="15">
        <f>EINSTELLUNG!I10</f>
        <v>600</v>
      </c>
      <c r="Q5" s="14">
        <f>P5-O5</f>
        <v>-286.49485664868416</v>
      </c>
      <c r="R5" s="18">
        <f>IFERROR(Q5*Q42, 0)</f>
        <v>-2811.3740848995458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311" t="str">
        <f>IF(Q5&lt;0, "Schlecht! Zu wenig Urlaub abgebaut.", IF(Q5&gt;0, "Gut! Mehr Urlaub abgebaut als aufgebaut.", ""))</f>
        <v>Schlecht! Zu wenig Urlaub abgebaut.</v>
      </c>
      <c r="P6" s="312"/>
      <c r="Q6" s="312"/>
      <c r="R6" s="313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66" t="s">
        <v>58</v>
      </c>
      <c r="P8" s="267"/>
      <c r="Q8" s="268">
        <f>SUM(H3:H82)</f>
        <v>9062.83</v>
      </c>
      <c r="R8" s="268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66" t="s">
        <v>60</v>
      </c>
      <c r="P9" s="267"/>
      <c r="Q9" s="268">
        <f>EINSTELLUNG!L26</f>
        <v>5</v>
      </c>
      <c r="R9" s="268"/>
      <c r="S9" s="19">
        <f>IFERROR(Q9/Q8, 0)</f>
        <v>5.5170404829396559E-4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66" t="s">
        <v>62</v>
      </c>
      <c r="P10" s="267"/>
      <c r="Q10" s="268">
        <f>EINSTELLUNG!I26</f>
        <v>450</v>
      </c>
      <c r="R10" s="268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66" t="s">
        <v>64</v>
      </c>
      <c r="P11" s="267"/>
      <c r="Q11" s="268">
        <f>P5</f>
        <v>600</v>
      </c>
      <c r="R11" s="268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66" t="s">
        <v>68</v>
      </c>
      <c r="P12" s="267"/>
      <c r="Q12" s="268">
        <f>Q8-Q9-Q10-Q11</f>
        <v>8007.83</v>
      </c>
      <c r="R12" s="268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66" t="s">
        <v>70</v>
      </c>
      <c r="P13" s="267"/>
      <c r="Q13" s="268">
        <f>EINSTELLUNG!L10</f>
        <v>9300</v>
      </c>
      <c r="R13" s="268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66" t="s">
        <v>72</v>
      </c>
      <c r="P14" s="267"/>
      <c r="Q14" s="268">
        <f>Q12-Q13</f>
        <v>-1292.17</v>
      </c>
      <c r="R14" s="268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129.75</v>
      </c>
      <c r="G15" s="89">
        <f>IF(OR(E15="",F15=""),"",PID_KVLohnLookup($A$1,E15,F15,LOHNTABELLE!$H$4))</f>
        <v>1561.5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129.75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1561.5</v>
      </c>
      <c r="M15" s="71"/>
      <c r="N15" s="55"/>
      <c r="O15" s="390" t="str">
        <f>IF(Q14&lt;0, "Schlecht! Zu wenig Stunden für Dienstplan.", IF(Q14&gt;0, "Du hast mehr als genug Stunden für Dienstplan.", ""))</f>
        <v>Schlecht! Zu wenig Stunden für Dienstplan.</v>
      </c>
      <c r="P15" s="390"/>
      <c r="Q15" s="390"/>
      <c r="R15" s="390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1000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1000</v>
      </c>
      <c r="M17" s="71"/>
      <c r="N17" s="55"/>
      <c r="O17" s="269" t="s">
        <v>75</v>
      </c>
      <c r="P17" s="270"/>
      <c r="Q17" s="271">
        <f>SUM(L3:L82)</f>
        <v>88933.552580645162</v>
      </c>
      <c r="R17" s="271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1000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1000</v>
      </c>
      <c r="M18" s="71"/>
      <c r="N18" s="55"/>
      <c r="O18" s="260"/>
      <c r="P18" s="261"/>
      <c r="Q18" s="262"/>
      <c r="R18" s="263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1000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1000</v>
      </c>
      <c r="M19" s="71"/>
      <c r="N19" s="55"/>
      <c r="O19" s="260"/>
      <c r="P19" s="261"/>
      <c r="Q19" s="262"/>
      <c r="R19" s="263"/>
    </row>
    <row r="20" spans="1:29" ht="16" customHeight="1" thickBot="1">
      <c r="A20" s="40" t="s">
        <v>78</v>
      </c>
      <c r="B20" s="77">
        <v>401479</v>
      </c>
      <c r="C20" s="48" t="s">
        <v>250</v>
      </c>
      <c r="D20" s="96">
        <v>44511</v>
      </c>
      <c r="E20" s="44" t="s">
        <v>6</v>
      </c>
      <c r="F20" s="45">
        <v>173</v>
      </c>
      <c r="G20" s="89">
        <f>IF(OR(E20="",F20=""),"",PID_KVLohnLookup($A$1,E20,F20,LOHNTABELLE!$H$4))</f>
        <v>2160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71"/>
      <c r="N20" s="55"/>
      <c r="O20" s="260"/>
      <c r="P20" s="261"/>
      <c r="Q20" s="262"/>
      <c r="R20" s="263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2</v>
      </c>
      <c r="F21" s="45">
        <v>173</v>
      </c>
      <c r="G21" s="89">
        <f>IF(OR(E21="",F21=""),"",PID_KVLohnLookup($A$1,E21,F21,LOHNTABELLE!$H$4))</f>
        <v>1000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1000</v>
      </c>
      <c r="M21" s="71"/>
      <c r="N21" s="55"/>
      <c r="O21" s="260" t="s">
        <v>320</v>
      </c>
      <c r="P21" s="261"/>
      <c r="Q21" s="262">
        <v>5000</v>
      </c>
      <c r="R21" s="263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1000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1000</v>
      </c>
      <c r="M22" s="71"/>
      <c r="N22" s="55"/>
      <c r="O22" s="260"/>
      <c r="P22" s="261"/>
      <c r="Q22" s="262"/>
      <c r="R22" s="263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10</v>
      </c>
      <c r="F23" s="45">
        <v>151.38</v>
      </c>
      <c r="G23" s="89">
        <f>IF(OR(E23="",F23=""),"",PID_KVLohnLookup($A$1,E23,F23,LOHNTABELLE!$H$4))</f>
        <v>2012.5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151.38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2012.5</v>
      </c>
      <c r="M23" s="71"/>
      <c r="N23" s="55"/>
      <c r="O23" s="260"/>
      <c r="P23" s="261"/>
      <c r="Q23" s="262"/>
      <c r="R23" s="263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60"/>
      <c r="P24" s="261"/>
      <c r="Q24" s="262"/>
      <c r="R24" s="263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4</v>
      </c>
      <c r="F25" s="45">
        <v>151.38</v>
      </c>
      <c r="G25" s="89">
        <f>IF(OR(E25="",F25=""),"",PID_KVLohnLookup($A$1,E25,F25,LOHNTABELLE!$H$4))</f>
        <v>1857.63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151.38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1857.63</v>
      </c>
      <c r="M25" s="71"/>
      <c r="N25" s="55"/>
      <c r="O25" s="277"/>
      <c r="P25" s="278"/>
      <c r="Q25" s="279"/>
      <c r="R25" s="280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173</v>
      </c>
      <c r="G26" s="89">
        <f>IF(OR(E26="",F26=""),"",PID_KVLohnLookup($A$1,E26,F26,LOHNTABELLE!$H$4))</f>
        <v>1000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1000</v>
      </c>
      <c r="M26" s="71"/>
      <c r="N26" s="55"/>
      <c r="O26" s="282"/>
      <c r="P26" s="350"/>
      <c r="Q26" s="283"/>
      <c r="R26" s="284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173</v>
      </c>
      <c r="G27" s="89">
        <f>IF(OR(E27="",F27=""),"",PID_KVLohnLookup($A$1,E27,F27,LOHNTABELLE!$H$4))</f>
        <v>1000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1000</v>
      </c>
      <c r="M27" s="71"/>
      <c r="N27" s="55"/>
      <c r="O27" s="240"/>
      <c r="P27" s="241"/>
      <c r="Q27" s="263"/>
      <c r="R27" s="285"/>
      <c r="S27" s="244" t="s">
        <v>87</v>
      </c>
      <c r="T27" s="245"/>
      <c r="U27" s="245"/>
      <c r="V27" s="245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173</v>
      </c>
      <c r="G28" s="89">
        <f>IF(OR(E28="",F28=""),"",PID_KVLohnLookup($A$1,E28,F28,LOHNTABELLE!$H$4))</f>
        <v>1000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1000</v>
      </c>
      <c r="M28" s="71"/>
      <c r="N28" s="55"/>
      <c r="O28" s="273"/>
      <c r="P28" s="274"/>
      <c r="Q28" s="275"/>
      <c r="R28" s="276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173</v>
      </c>
      <c r="G29" s="89">
        <f>IF(OR(E29="",F29=""),"",PID_KVLohnLookup($A$1,E29,F29,LOHNTABELLE!$H$4))</f>
        <v>2300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71"/>
      <c r="N29" s="55"/>
      <c r="O29" s="248" t="s">
        <v>90</v>
      </c>
      <c r="P29" s="249"/>
      <c r="Q29" s="250">
        <f>EINSTELLUNG!O10</f>
        <v>1250</v>
      </c>
      <c r="R29" s="251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151.38</v>
      </c>
      <c r="G30" s="89">
        <f>IF(OR(E30="",F30=""),"",PID_KVLohnLookup($A$1,E30,F30,LOHNTABELLE!$H$4))</f>
        <v>2300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151.38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2300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173</v>
      </c>
      <c r="G31" s="89">
        <f>IF(OR(E31="",F31=""),"",PID_KVLohnLookup($A$1,E31,F31,LOHNTABELLE!$H$4))</f>
        <v>1000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1000</v>
      </c>
      <c r="M31" s="71"/>
      <c r="N31" s="55"/>
      <c r="O31" s="252">
        <v>0</v>
      </c>
      <c r="P31" s="253"/>
      <c r="Q31" s="254">
        <v>1.6393442622950821E-2</v>
      </c>
      <c r="R31" s="255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173</v>
      </c>
      <c r="G32" s="89">
        <f>IF(OR(E32="",F32=""),"",PID_KVLohnLookup($A$1,E32,F32,LOHNTABELLE!$H$4))</f>
        <v>1000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1000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1000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1000</v>
      </c>
      <c r="M33" s="71"/>
      <c r="N33" s="55"/>
      <c r="O33" s="256"/>
      <c r="P33" s="257"/>
      <c r="Q33" s="258" t="str">
        <f>EINSTELLUNG!B3</f>
        <v>Budget Zahlen</v>
      </c>
      <c r="R33" s="258"/>
      <c r="S33" s="259" t="str">
        <f>EINSTELLUNG!B19</f>
        <v>Projection/Aktuell Zahlen</v>
      </c>
      <c r="T33" s="259"/>
      <c r="U33" s="259" t="s">
        <v>98</v>
      </c>
      <c r="V33" s="259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173</v>
      </c>
      <c r="G34" s="89">
        <f>IF(OR(E34="",F34=""),"",PID_KVLohnLookup($A$1,E34,F34,LOHNTABELLE!$H$4))</f>
        <v>1000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1000</v>
      </c>
      <c r="M34" s="71"/>
      <c r="N34" s="55"/>
      <c r="O34" s="256"/>
      <c r="P34" s="257"/>
      <c r="Q34" s="258"/>
      <c r="R34" s="258"/>
      <c r="S34" s="259"/>
      <c r="T34" s="259"/>
      <c r="U34" s="259"/>
      <c r="V34" s="259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108.13</v>
      </c>
      <c r="G35" s="89">
        <f>IF(OR(E35="",F35=""),"",PID_KVLohnLookup($A$1,E35,F35,LOHNTABELLE!$H$4))</f>
        <v>2222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6.97</v>
      </c>
      <c r="I35" s="99">
        <v>46144</v>
      </c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143.35483870967741</v>
      </c>
      <c r="M35" s="71"/>
      <c r="N35" s="55" t="s">
        <v>205</v>
      </c>
      <c r="O35" s="264" t="s">
        <v>101</v>
      </c>
      <c r="P35" s="265"/>
      <c r="Q35" s="238">
        <f>EINSTELLUNG!C10</f>
        <v>400000</v>
      </c>
      <c r="R35" s="238"/>
      <c r="S35" s="238">
        <f>EINSTELLUNG!C26</f>
        <v>420000</v>
      </c>
      <c r="T35" s="238"/>
      <c r="U35" s="242">
        <f>S35-Q35</f>
        <v>20000</v>
      </c>
      <c r="V35" s="242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173</v>
      </c>
      <c r="G36" s="89">
        <f>IF(OR(E36="",F36=""),"",PID_KVLohnLookup($A$1,E36,F36,LOHNTABELLE!$H$4))</f>
        <v>1000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1000</v>
      </c>
      <c r="M36" s="71"/>
      <c r="N36" s="55"/>
      <c r="O36" s="264" t="s">
        <v>103</v>
      </c>
      <c r="P36" s="265"/>
      <c r="Q36" s="238">
        <f>EINSTELLUNG!D10</f>
        <v>100000</v>
      </c>
      <c r="R36" s="238"/>
      <c r="S36" s="238">
        <f ca="1">SumMergedCells(Q17:R29)</f>
        <v>95183.552599999995</v>
      </c>
      <c r="T36" s="238"/>
      <c r="U36" s="242">
        <f t="shared" ref="U36:U41" ca="1" si="2">S36-Q36</f>
        <v>-4816.4474000000046</v>
      </c>
      <c r="V36" s="242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173</v>
      </c>
      <c r="G37" s="89">
        <f>IF(OR(E37="",F37=""),"",PID_KVLohnLookup($A$1,E37,F37,LOHNTABELLE!$H$4))</f>
        <v>1000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1000</v>
      </c>
      <c r="M37" s="71"/>
      <c r="N37" s="55"/>
      <c r="O37" s="264" t="s">
        <v>105</v>
      </c>
      <c r="P37" s="265"/>
      <c r="Q37" s="246">
        <f>IF(ISERROR(Q36/Q35), 0, Q36/Q35)</f>
        <v>0.25</v>
      </c>
      <c r="R37" s="246"/>
      <c r="S37" s="246">
        <f ca="1">IF(ISERROR(S36/S35), 0, S36/S35)</f>
        <v>0.22662750619047617</v>
      </c>
      <c r="T37" s="246"/>
      <c r="U37" s="247">
        <f t="shared" ca="1" si="2"/>
        <v>-2.3372493809523831E-2</v>
      </c>
      <c r="V37" s="247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173</v>
      </c>
      <c r="G38" s="89">
        <f>IF(OR(E38="",F38=""),"",PID_KVLohnLookup($A$1,E38,F38,LOHNTABELLE!$H$4))</f>
        <v>1000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1000</v>
      </c>
      <c r="M38" s="71"/>
      <c r="N38" s="55"/>
      <c r="O38" s="264" t="s">
        <v>107</v>
      </c>
      <c r="P38" s="265"/>
      <c r="Q38" s="239">
        <f>EINSTELLUNG!F10</f>
        <v>30000</v>
      </c>
      <c r="R38" s="239"/>
      <c r="S38" s="239">
        <f>EINSTELLUNG!F26</f>
        <v>31000</v>
      </c>
      <c r="T38" s="239"/>
      <c r="U38" s="243">
        <f t="shared" si="2"/>
        <v>1000</v>
      </c>
      <c r="V38" s="243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64" t="s">
        <v>109</v>
      </c>
      <c r="P39" s="265"/>
      <c r="Q39" s="238">
        <f>IF(Q38=0, 0, Q35/Q38)</f>
        <v>13.333333333333334</v>
      </c>
      <c r="R39" s="238"/>
      <c r="S39" s="238">
        <f>IF(S38=0, 0, S35/S38)</f>
        <v>13.548387096774194</v>
      </c>
      <c r="T39" s="238"/>
      <c r="U39" s="242">
        <f t="shared" si="2"/>
        <v>0.21505376344086002</v>
      </c>
      <c r="V39" s="242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64" t="s">
        <v>111</v>
      </c>
      <c r="P40" s="265"/>
      <c r="Q40" s="238">
        <f>IF(Q12=0, 0, Q35/Q12)</f>
        <v>49.951110350744209</v>
      </c>
      <c r="R40" s="238"/>
      <c r="S40" s="238">
        <f>IF(Q12=0, 0, S35/Q12)</f>
        <v>52.448665868281417</v>
      </c>
      <c r="T40" s="238"/>
      <c r="U40" s="242">
        <f t="shared" si="2"/>
        <v>2.4975555175372079</v>
      </c>
      <c r="V40" s="242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64" t="s">
        <v>113</v>
      </c>
      <c r="P41" s="265"/>
      <c r="Q41" s="239">
        <f>IF(Q12=0, 0, Q38/Q12)</f>
        <v>3.7463332763058159</v>
      </c>
      <c r="R41" s="239"/>
      <c r="S41" s="239">
        <f>IF(Q12=0, 0, S38/Q12)</f>
        <v>3.8712110521826761</v>
      </c>
      <c r="T41" s="239"/>
      <c r="U41" s="243">
        <f t="shared" si="2"/>
        <v>0.12487777587686022</v>
      </c>
      <c r="V41" s="243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64" t="s">
        <v>115</v>
      </c>
      <c r="P42" s="265"/>
      <c r="Q42" s="235">
        <f>IFERROR(Q17/Q8, 0)</f>
        <v>9.8130001975812373</v>
      </c>
      <c r="R42" s="236"/>
      <c r="S42" s="236"/>
      <c r="T42" s="236"/>
      <c r="U42" s="236"/>
      <c r="V42" s="237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1333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1333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1333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71"/>
      <c r="N53" s="55"/>
    </row>
    <row r="54" spans="1:14" ht="16" customHeight="1" thickBot="1">
      <c r="A54" s="40" t="s">
        <v>128</v>
      </c>
      <c r="B54" s="77">
        <v>401999</v>
      </c>
      <c r="C54" s="46" t="s">
        <v>319</v>
      </c>
      <c r="D54" s="96">
        <v>46082</v>
      </c>
      <c r="E54" s="44" t="s">
        <v>2</v>
      </c>
      <c r="F54" s="45">
        <v>173</v>
      </c>
      <c r="G54" s="89">
        <f>IF(OR(E54="",F54=""),"",PID_KVLohnLookup($A$1,E54,F54,LOHNTABELLE!$H$4))</f>
        <v>1000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1000</v>
      </c>
      <c r="M54" s="71"/>
      <c r="N54" s="55"/>
    </row>
    <row r="55" spans="1:14" ht="16" customHeight="1" thickBot="1">
      <c r="A55" s="40" t="s">
        <v>129</v>
      </c>
      <c r="B55" s="77">
        <v>402000</v>
      </c>
      <c r="C55" s="46" t="s">
        <v>326</v>
      </c>
      <c r="D55" s="96">
        <v>46143</v>
      </c>
      <c r="E55" s="44" t="s">
        <v>2</v>
      </c>
      <c r="F55" s="45">
        <v>173</v>
      </c>
      <c r="G55" s="89">
        <f>IF(OR(E55="",F55=""),"",PID_KVLohnLookup($A$1,E55,F55,LOHNTABELLE!$H$4))</f>
        <v>1000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1000</v>
      </c>
      <c r="M55" s="71"/>
      <c r="N55" s="55"/>
    </row>
    <row r="56" spans="1:14" ht="16" customHeight="1" thickBot="1">
      <c r="A56" s="40" t="s">
        <v>130</v>
      </c>
      <c r="B56" s="77">
        <v>402004</v>
      </c>
      <c r="C56" s="46" t="s">
        <v>328</v>
      </c>
      <c r="D56" s="96">
        <v>46122</v>
      </c>
      <c r="E56" s="44" t="s">
        <v>2</v>
      </c>
      <c r="F56" s="45">
        <v>173</v>
      </c>
      <c r="G56" s="89">
        <f>IF(OR(E56="",F56=""),"",PID_KVLohnLookup($A$1,E56,F56,LOHNTABELLE!$H$4))</f>
        <v>1000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1000</v>
      </c>
      <c r="M56" s="71"/>
      <c r="N56" s="55"/>
    </row>
    <row r="57" spans="1:14" ht="16" customHeight="1" thickBot="1">
      <c r="A57" s="41" t="s">
        <v>131</v>
      </c>
      <c r="B57" s="77">
        <v>402405</v>
      </c>
      <c r="C57" s="46" t="s">
        <v>330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1000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1000</v>
      </c>
      <c r="M57" s="71"/>
      <c r="N57" s="55"/>
    </row>
    <row r="58" spans="1:14" ht="16" customHeight="1" thickBot="1">
      <c r="A58" s="40" t="s">
        <v>132</v>
      </c>
      <c r="B58" s="77">
        <v>500600</v>
      </c>
      <c r="C58" s="46" t="s">
        <v>335</v>
      </c>
      <c r="D58" s="96">
        <v>46054</v>
      </c>
      <c r="E58" s="44" t="s">
        <v>2</v>
      </c>
      <c r="F58" s="45">
        <v>173</v>
      </c>
      <c r="G58" s="89">
        <f>IF(OR(E58="",F58=""),"",PID_KVLohnLookup($A$1,E58,F58,LOHNTABELLE!$H$4))</f>
        <v>1000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1000</v>
      </c>
      <c r="M58" s="71"/>
      <c r="N58" s="55"/>
    </row>
    <row r="59" spans="1:14" ht="16" customHeight="1" thickBot="1">
      <c r="A59" s="40" t="s">
        <v>133</v>
      </c>
      <c r="B59" s="77">
        <v>502000</v>
      </c>
      <c r="C59" s="46" t="s">
        <v>329</v>
      </c>
      <c r="D59" s="96">
        <v>46147</v>
      </c>
      <c r="E59" s="44" t="s">
        <v>2</v>
      </c>
      <c r="F59" s="45">
        <v>173</v>
      </c>
      <c r="G59" s="89">
        <f>IF(OR(E59="",F59=""),"",PID_KVLohnLookup($A$1,E59,F59,LOHNTABELLE!$H$4))</f>
        <v>1000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150.66999999999999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870.9677419354839</v>
      </c>
      <c r="M59" s="71"/>
      <c r="N59" s="55"/>
    </row>
    <row r="60" spans="1:14" ht="16" customHeight="1" thickBot="1">
      <c r="A60" s="40" t="s">
        <v>134</v>
      </c>
      <c r="B60" s="77">
        <v>503000</v>
      </c>
      <c r="C60" s="46" t="s">
        <v>332</v>
      </c>
      <c r="D60" s="96">
        <v>42401</v>
      </c>
      <c r="E60" s="44" t="s">
        <v>2</v>
      </c>
      <c r="F60" s="45">
        <v>173</v>
      </c>
      <c r="G60" s="89">
        <f>IF(OR(E60="",F60=""),"",PID_KVLohnLookup($A$1,E60,F60,LOHNTABELLE!$H$4))</f>
        <v>1000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1000</v>
      </c>
      <c r="M60" s="71"/>
      <c r="N60" s="55"/>
    </row>
    <row r="61" spans="1:14" ht="16" customHeight="1" thickBot="1">
      <c r="A61" s="41" t="s">
        <v>135</v>
      </c>
      <c r="B61" s="77">
        <v>504000</v>
      </c>
      <c r="C61" s="46" t="s">
        <v>333</v>
      </c>
      <c r="D61" s="96">
        <v>46054</v>
      </c>
      <c r="E61" s="44" t="s">
        <v>3</v>
      </c>
      <c r="F61" s="45">
        <v>138.4</v>
      </c>
      <c r="G61" s="89">
        <f>IF(OR(E61="",F61=""),"",PID_KVLohnLookup($A$1,E61,F61,LOHNTABELLE!$H$4))</f>
        <v>1665.6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71"/>
      <c r="N61" s="55"/>
    </row>
    <row r="62" spans="1:14" ht="16" customHeight="1" thickBot="1">
      <c r="A62" s="40" t="s">
        <v>136</v>
      </c>
      <c r="B62" s="77">
        <v>505000</v>
      </c>
      <c r="C62" s="46" t="s">
        <v>334</v>
      </c>
      <c r="D62" s="96">
        <v>46054</v>
      </c>
      <c r="E62" s="44" t="s">
        <v>2</v>
      </c>
      <c r="F62" s="45">
        <v>138.4</v>
      </c>
      <c r="G62" s="89">
        <f>IF(OR(E62="",F62=""),"",PID_KVLohnLookup($A$1,E62,F62,LOHNTABELLE!$H$4))</f>
        <v>2300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71"/>
      <c r="N62" s="55"/>
    </row>
    <row r="63" spans="1:14" ht="16" customHeight="1" thickBot="1">
      <c r="A63" s="40" t="s">
        <v>137</v>
      </c>
      <c r="B63" s="77">
        <v>700000</v>
      </c>
      <c r="C63" s="46" t="s">
        <v>347</v>
      </c>
      <c r="D63" s="96">
        <v>46054</v>
      </c>
      <c r="E63" s="44" t="s">
        <v>2</v>
      </c>
      <c r="F63" s="45">
        <v>173</v>
      </c>
      <c r="G63" s="89">
        <f>IF(OR(E63="",F63=""),"",PID_KVLohnLookup($A$1,E63,F63,LOHNTABELLE!$H$4))</f>
        <v>1000</v>
      </c>
      <c r="H63" s="65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1000</v>
      </c>
      <c r="M63" s="71"/>
      <c r="N63" s="55"/>
    </row>
    <row r="64" spans="1:14" ht="16" customHeight="1" thickBot="1">
      <c r="A64" s="40" t="s">
        <v>138</v>
      </c>
      <c r="B64" s="77">
        <v>800000</v>
      </c>
      <c r="C64" s="46" t="s">
        <v>348</v>
      </c>
      <c r="D64" s="96">
        <v>46082</v>
      </c>
      <c r="E64" s="44" t="s">
        <v>2</v>
      </c>
      <c r="F64" s="45">
        <v>173</v>
      </c>
      <c r="G64" s="89">
        <f>IF(OR(E64="",F64=""),"",PID_KVLohnLookup($A$1,E64,F64,LOHNTABELLE!$H$4))</f>
        <v>1000</v>
      </c>
      <c r="H64" s="65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1000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</sheetData>
  <sheetProtection algorithmName="SHA-512" hashValue="ALyukyI4ARNQQ7w5ABMFi0DIEBHRJ7psEaZtthAcGHGy813wdawobzZ1p/rVxOEnub53NmqEzagMOkJ9U7SyiQ==" saltValue="s499d9bFM8hkQw5aOrnpS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EA01B69C-9C55-B341-B293-EDB77CCB546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4" xr:uid="{63DE23D1-30AD-6D4B-A61D-1EB7910898A4}">
      <formula1>KV_DD_MAI_4</formula1>
    </dataValidation>
    <dataValidation type="list" allowBlank="1" showInputMessage="1" showErrorMessage="1" sqref="F5" xr:uid="{60C48D45-3552-6648-BED3-CC634D6A21BD}">
      <formula1>KV_DD_MAI_5</formula1>
    </dataValidation>
    <dataValidation type="list" allowBlank="1" showInputMessage="1" showErrorMessage="1" sqref="F6" xr:uid="{2E7E3B55-901F-4143-90DD-1ABB8FAB685D}">
      <formula1>KV_DD_MAI_6</formula1>
    </dataValidation>
    <dataValidation type="list" allowBlank="1" showInputMessage="1" showErrorMessage="1" sqref="F7" xr:uid="{6E52B260-5056-8842-89A0-E38C3A39CB48}">
      <formula1>KV_DD_MAI_7</formula1>
    </dataValidation>
    <dataValidation type="list" allowBlank="1" showInputMessage="1" showErrorMessage="1" sqref="F8" xr:uid="{06C664BC-14C1-EA48-A7C8-BE972323133A}">
      <formula1>KV_DD_MAI_8</formula1>
    </dataValidation>
    <dataValidation type="list" allowBlank="1" showInputMessage="1" showErrorMessage="1" sqref="F9" xr:uid="{28761642-A004-CD4F-92AD-24CB8A617C03}">
      <formula1>KV_DD_MAI_9</formula1>
    </dataValidation>
    <dataValidation type="list" allowBlank="1" showInputMessage="1" showErrorMessage="1" sqref="F10" xr:uid="{BF496B2F-5689-4342-84E2-589176ACFCE7}">
      <formula1>KV_DD_MAI_10</formula1>
    </dataValidation>
    <dataValidation type="list" allowBlank="1" showInputMessage="1" showErrorMessage="1" sqref="F11" xr:uid="{ABEB0EEC-789D-D74A-BCE9-50722D942B23}">
      <formula1>KV_DD_MAI_11</formula1>
    </dataValidation>
    <dataValidation type="list" allowBlank="1" showInputMessage="1" showErrorMessage="1" sqref="F12" xr:uid="{071CA2A6-F58E-8048-AC88-BB09EA8E4BB5}">
      <formula1>KV_DD_MAI_12</formula1>
    </dataValidation>
    <dataValidation type="list" allowBlank="1" showInputMessage="1" showErrorMessage="1" sqref="F13" xr:uid="{925914B1-7817-EA44-8DF6-FED18B076D4B}">
      <formula1>KV_DD_MAI_13</formula1>
    </dataValidation>
    <dataValidation type="list" allowBlank="1" showInputMessage="1" showErrorMessage="1" sqref="F14" xr:uid="{C7BA3CBD-83C6-474F-959B-2BBBAAB2502E}">
      <formula1>KV_DD_MAI_14</formula1>
    </dataValidation>
    <dataValidation type="list" allowBlank="1" showInputMessage="1" showErrorMessage="1" sqref="F15" xr:uid="{35884072-7F9B-AA42-AA3E-E69D1C130548}">
      <formula1>KV_DD_MAI_15</formula1>
    </dataValidation>
    <dataValidation type="list" allowBlank="1" showInputMessage="1" showErrorMessage="1" sqref="F16" xr:uid="{00CDE5E0-3629-1840-924E-F21C2020E116}">
      <formula1>KV_DD_MAI_16</formula1>
    </dataValidation>
    <dataValidation type="list" allowBlank="1" showInputMessage="1" showErrorMessage="1" sqref="F17" xr:uid="{3BB40C20-FB69-5E48-A254-3D21DCD590B4}">
      <formula1>KV_DD_MAI_17</formula1>
    </dataValidation>
    <dataValidation type="list" allowBlank="1" showInputMessage="1" showErrorMessage="1" sqref="F18" xr:uid="{6D1A6156-735A-B447-B5EC-AB4B194E491E}">
      <formula1>KV_DD_MAI_18</formula1>
    </dataValidation>
    <dataValidation type="list" allowBlank="1" showInputMessage="1" showErrorMessage="1" sqref="F19" xr:uid="{636D1115-CCB2-FF48-BE10-96A32389BD21}">
      <formula1>KV_DD_MAI_19</formula1>
    </dataValidation>
    <dataValidation type="list" allowBlank="1" showInputMessage="1" showErrorMessage="1" sqref="F20" xr:uid="{D481FF9B-EAEC-A94A-9292-1D5AC4FB6486}">
      <formula1>KV_DD_MAI_20</formula1>
    </dataValidation>
    <dataValidation type="list" allowBlank="1" showInputMessage="1" showErrorMessage="1" sqref="F21" xr:uid="{73B3B14A-6C8D-E84E-A02A-B2B0E24A8840}">
      <formula1>KV_DD_MAI_21</formula1>
    </dataValidation>
    <dataValidation type="list" allowBlank="1" showInputMessage="1" showErrorMessage="1" sqref="F22" xr:uid="{87CAD20D-BF08-DE43-9A63-40C2FE12E369}">
      <formula1>KV_DD_MAI_22</formula1>
    </dataValidation>
    <dataValidation type="list" allowBlank="1" showInputMessage="1" showErrorMessage="1" sqref="F23" xr:uid="{AFECFF90-0457-FE4A-B6EE-945F176446E5}">
      <formula1>KV_DD_MAI_23</formula1>
    </dataValidation>
    <dataValidation type="list" allowBlank="1" showInputMessage="1" showErrorMessage="1" sqref="F24" xr:uid="{80A2F1BE-0E2F-874A-81CC-48BD1F36F9B7}">
      <formula1>KV_DD_MAI_24</formula1>
    </dataValidation>
    <dataValidation type="list" allowBlank="1" showInputMessage="1" showErrorMessage="1" sqref="F25" xr:uid="{D811D7C1-7DEE-F449-9721-81021D7C8165}">
      <formula1>KV_DD_MAI_25</formula1>
    </dataValidation>
    <dataValidation type="list" allowBlank="1" showInputMessage="1" showErrorMessage="1" sqref="F26" xr:uid="{AA005D0B-876D-4549-8772-D325F88A10C5}">
      <formula1>KV_DD_MAI_26</formula1>
    </dataValidation>
    <dataValidation type="list" allowBlank="1" showInputMessage="1" showErrorMessage="1" sqref="F27" xr:uid="{02909D9B-5495-9E45-8ABF-5C51948F5DCA}">
      <formula1>KV_DD_MAI_27</formula1>
    </dataValidation>
    <dataValidation type="list" allowBlank="1" showInputMessage="1" showErrorMessage="1" sqref="F28" xr:uid="{3A0A30D9-3E53-E340-971E-9029F3DC814C}">
      <formula1>KV_DD_MAI_28</formula1>
    </dataValidation>
    <dataValidation type="list" allowBlank="1" showInputMessage="1" showErrorMessage="1" sqref="F29" xr:uid="{ECCADA97-4D77-5949-AC9F-986A7396C67F}">
      <formula1>KV_DD_MAI_29</formula1>
    </dataValidation>
    <dataValidation type="list" allowBlank="1" showInputMessage="1" showErrorMessage="1" sqref="F30" xr:uid="{6A87DBD7-E90A-7B4D-B60A-B212E337EB38}">
      <formula1>KV_DD_MAI_30</formula1>
    </dataValidation>
    <dataValidation type="list" allowBlank="1" showInputMessage="1" showErrorMessage="1" sqref="F31" xr:uid="{0EEFE9E4-7B2F-3D49-BCDA-731048A15881}">
      <formula1>KV_DD_MAI_31</formula1>
    </dataValidation>
    <dataValidation type="list" allowBlank="1" showInputMessage="1" showErrorMessage="1" sqref="F32" xr:uid="{C0BD359B-80FF-F442-8A28-DDE371F2E2AB}">
      <formula1>KV_DD_MAI_32</formula1>
    </dataValidation>
    <dataValidation type="list" allowBlank="1" showInputMessage="1" showErrorMessage="1" sqref="F33" xr:uid="{8C0ADEFA-B0F5-8946-A957-E1A6BCB1027A}">
      <formula1>KV_DD_MAI_33</formula1>
    </dataValidation>
    <dataValidation type="list" allowBlank="1" showInputMessage="1" showErrorMessage="1" sqref="F34" xr:uid="{310A0BD6-68E5-CF4E-ACC2-311647434F59}">
      <formula1>KV_DD_MAI_34</formula1>
    </dataValidation>
    <dataValidation type="list" allowBlank="1" showInputMessage="1" showErrorMessage="1" sqref="F35" xr:uid="{D04B5CB5-CA6E-044A-9BBC-AF45F19B816B}">
      <formula1>KV_DD_MAI_35</formula1>
    </dataValidation>
    <dataValidation type="list" allowBlank="1" showInputMessage="1" showErrorMessage="1" sqref="F36" xr:uid="{8FCC8572-AF52-3149-A1CE-8D94FDE91660}">
      <formula1>KV_DD_MAI_36</formula1>
    </dataValidation>
    <dataValidation type="list" allowBlank="1" showInputMessage="1" showErrorMessage="1" sqref="F37" xr:uid="{CDA26681-775F-C949-A89E-CD993A027521}">
      <formula1>KV_DD_MAI_37</formula1>
    </dataValidation>
    <dataValidation type="list" allowBlank="1" showInputMessage="1" showErrorMessage="1" sqref="F38" xr:uid="{894FF15C-6C9A-3943-9B8E-E2D27BF1808C}">
      <formula1>KV_DD_MAI_38</formula1>
    </dataValidation>
    <dataValidation type="list" allowBlank="1" showInputMessage="1" showErrorMessage="1" sqref="F39" xr:uid="{DB95EA39-E2B8-9D4E-B85D-6C25C95801D7}">
      <formula1>KV_DD_MAI_39</formula1>
    </dataValidation>
    <dataValidation type="list" allowBlank="1" showInputMessage="1" showErrorMessage="1" sqref="F40" xr:uid="{1452E9B5-A6F5-8847-A521-40350078FC5E}">
      <formula1>KV_DD_MAI_40</formula1>
    </dataValidation>
    <dataValidation type="list" allowBlank="1" showInputMessage="1" showErrorMessage="1" sqref="F41" xr:uid="{DCA6BF12-5462-3646-8AD6-2D99FF2EA4B7}">
      <formula1>KV_DD_MAI_41</formula1>
    </dataValidation>
    <dataValidation type="list" allowBlank="1" showInputMessage="1" showErrorMessage="1" sqref="F42" xr:uid="{66C2D75B-43E4-7848-9C9F-C4C1C4E4F55C}">
      <formula1>KV_DD_MAI_42</formula1>
    </dataValidation>
    <dataValidation type="list" allowBlank="1" showInputMessage="1" showErrorMessage="1" sqref="F43" xr:uid="{8380D9E3-7DE1-DA4D-AA5E-64F5094DF8AF}">
      <formula1>KV_DD_MAI_43</formula1>
    </dataValidation>
    <dataValidation type="list" allowBlank="1" showInputMessage="1" showErrorMessage="1" sqref="F44" xr:uid="{9B5346C6-03FB-1044-9F85-4950C33455CF}">
      <formula1>KV_DD_MAI_44</formula1>
    </dataValidation>
    <dataValidation type="list" allowBlank="1" showInputMessage="1" showErrorMessage="1" sqref="F45" xr:uid="{09039BB4-32E1-0249-BFDB-A5D08DE59EDD}">
      <formula1>KV_DD_MAI_45</formula1>
    </dataValidation>
    <dataValidation type="list" allowBlank="1" showInputMessage="1" showErrorMessage="1" sqref="F46" xr:uid="{555D68DC-88F7-1146-A1BC-F30B570E2C04}">
      <formula1>KV_DD_MAI_46</formula1>
    </dataValidation>
    <dataValidation type="list" allowBlank="1" showInputMessage="1" showErrorMessage="1" sqref="F47" xr:uid="{012E5EE3-B24C-834D-8BED-43818D964652}">
      <formula1>KV_DD_MAI_47</formula1>
    </dataValidation>
    <dataValidation type="list" allowBlank="1" showInputMessage="1" showErrorMessage="1" sqref="F48" xr:uid="{72157713-2B09-3641-8175-FD02632299AF}">
      <formula1>KV_DD_MAI_48</formula1>
    </dataValidation>
    <dataValidation type="list" allowBlank="1" showInputMessage="1" showErrorMessage="1" sqref="F49" xr:uid="{38BBF33D-3DC4-EE41-A540-5F2332464279}">
      <formula1>KV_DD_MAI_49</formula1>
    </dataValidation>
    <dataValidation type="list" allowBlank="1" showInputMessage="1" showErrorMessage="1" sqref="F50" xr:uid="{893CEF00-93B7-DA45-B6A1-35B65E7C051A}">
      <formula1>KV_DD_MAI_50</formula1>
    </dataValidation>
    <dataValidation type="list" allowBlank="1" showInputMessage="1" showErrorMessage="1" sqref="F51" xr:uid="{CC5B4C69-D783-C64F-A7AF-9E0F8BCD417B}">
      <formula1>KV_DD_MAI_51</formula1>
    </dataValidation>
    <dataValidation type="list" allowBlank="1" showInputMessage="1" showErrorMessage="1" sqref="F52" xr:uid="{EAFCA945-9E99-F34A-93FD-67147762DA95}">
      <formula1>KV_DD_MAI_52</formula1>
    </dataValidation>
    <dataValidation type="list" allowBlank="1" showInputMessage="1" showErrorMessage="1" sqref="F53" xr:uid="{C1995C0B-13AC-44EC-8C43-FFD74A7C8923}">
      <formula1>KV_DD_MAI_53</formula1>
    </dataValidation>
    <dataValidation type="list" allowBlank="1" showInputMessage="1" showErrorMessage="1" sqref="F54" xr:uid="{EA762C1D-D426-4E5E-98BB-823A14EA605B}">
      <formula1>KV_DD_MAI_54</formula1>
    </dataValidation>
    <dataValidation type="list" allowBlank="1" showInputMessage="1" showErrorMessage="1" sqref="F56" xr:uid="{382F85B4-E7CD-224A-85CB-D3F854643D8C}">
      <formula1>KV_DD_MAI_56</formula1>
    </dataValidation>
    <dataValidation type="list" allowBlank="1" showInputMessage="1" showErrorMessage="1" sqref="F55" xr:uid="{9DBECE50-83B3-7548-8B16-17B5E60EE77C}">
      <formula1>KV_DD_MAI_55</formula1>
    </dataValidation>
    <dataValidation type="list" allowBlank="1" showInputMessage="1" showErrorMessage="1" sqref="F57" xr:uid="{DA0976BD-C25B-A544-8532-6DC6DD0B49C4}">
      <formula1>KV_DD_MAI_57</formula1>
    </dataValidation>
    <dataValidation type="list" allowBlank="1" showInputMessage="1" showErrorMessage="1" sqref="F58" xr:uid="{D0DC86D2-F9E1-B54A-A4E7-278EF6D6DB4A}">
      <formula1>KV_DD_MAI_58</formula1>
    </dataValidation>
    <dataValidation type="list" allowBlank="1" showInputMessage="1" showErrorMessage="1" sqref="F59" xr:uid="{AC6274FD-4CDA-4746-96AC-D0A2BC32F2AE}">
      <formula1>KV_DD_MAI_59</formula1>
    </dataValidation>
    <dataValidation type="list" allowBlank="1" showInputMessage="1" showErrorMessage="1" sqref="F60" xr:uid="{6442A6FE-86DA-ED4A-B43F-4AA539C05EA8}">
      <formula1>KV_DD_MAI_60</formula1>
    </dataValidation>
    <dataValidation type="list" allowBlank="1" showInputMessage="1" showErrorMessage="1" sqref="F61" xr:uid="{73E90480-5B52-594A-AFDD-120B67DACA68}">
      <formula1>KV_DD_MAI_61</formula1>
    </dataValidation>
    <dataValidation type="list" allowBlank="1" showInputMessage="1" showErrorMessage="1" sqref="F62" xr:uid="{562E69EF-4464-BE43-BF37-B49386710852}">
      <formula1>KV_DD_MAI_62</formula1>
    </dataValidation>
    <dataValidation type="list" allowBlank="1" showInputMessage="1" showErrorMessage="1" sqref="F63" xr:uid="{84C2C255-CC7E-3E44-94BA-D28068703D92}">
      <formula1>KV_DD_MAI_63</formula1>
    </dataValidation>
    <dataValidation type="list" allowBlank="1" showInputMessage="1" showErrorMessage="1" sqref="F64" xr:uid="{715954FE-C7A3-334D-8E51-2A2A2DEBAB9C}">
      <formula1>KV_DD_MAI_64</formula1>
    </dataValidation>
    <dataValidation type="date" allowBlank="1" showDropDown="1" showErrorMessage="1" sqref="I3:I82" xr:uid="{DBCEE0E7-419E-654C-883B-DDDE42977206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6EA34C-7C2E-BF49-9ABC-EBE2E7625CD6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F051E-963B-254F-8AE7-161E8976A58D}">
  <sheetPr codeName="Tabelle8"/>
  <dimension ref="A1:AC82"/>
  <sheetViews>
    <sheetView showGridLines="0" showRowColHeaders="0" tabSelected="1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6</v>
      </c>
      <c r="B1" s="302" t="s">
        <v>191</v>
      </c>
      <c r="C1" s="314" t="s">
        <v>40</v>
      </c>
      <c r="D1" s="286" t="s">
        <v>192</v>
      </c>
      <c r="E1" s="286" t="s">
        <v>0</v>
      </c>
      <c r="F1" s="286" t="s">
        <v>41</v>
      </c>
      <c r="G1" s="288" t="s">
        <v>42</v>
      </c>
      <c r="H1" s="305" t="s">
        <v>43</v>
      </c>
      <c r="I1" s="290" t="s">
        <v>193</v>
      </c>
      <c r="J1" s="292" t="s">
        <v>44</v>
      </c>
      <c r="K1" s="294" t="s">
        <v>45</v>
      </c>
      <c r="L1" s="296" t="s">
        <v>46</v>
      </c>
      <c r="M1" s="298" t="s">
        <v>47</v>
      </c>
      <c r="N1" s="303" t="s">
        <v>194</v>
      </c>
      <c r="AB1" s="8">
        <f>DATE(EINSTELLUNG!$C$35,$A$1,1)</f>
        <v>46174</v>
      </c>
    </row>
    <row r="2" spans="1:28" ht="16" customHeight="1" thickBot="1">
      <c r="A2" s="39"/>
      <c r="B2" s="302"/>
      <c r="C2" s="315"/>
      <c r="D2" s="287"/>
      <c r="E2" s="287"/>
      <c r="F2" s="287"/>
      <c r="G2" s="289"/>
      <c r="H2" s="306"/>
      <c r="I2" s="291"/>
      <c r="J2" s="293"/>
      <c r="K2" s="295"/>
      <c r="L2" s="297"/>
      <c r="M2" s="299"/>
      <c r="N2" s="303"/>
      <c r="AB2" s="8">
        <f>EOMONTH(DATE(EINSTELLUNG!$C$35,$A$1,1),0)</f>
        <v>46203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1000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1000</v>
      </c>
      <c r="M3" s="70"/>
      <c r="N3" s="54"/>
      <c r="O3" s="300" t="s">
        <v>49</v>
      </c>
      <c r="P3" s="300" t="s">
        <v>50</v>
      </c>
      <c r="Q3" s="307" t="s">
        <v>51</v>
      </c>
      <c r="R3" s="309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301"/>
      <c r="P4" s="301"/>
      <c r="Q4" s="308"/>
      <c r="R4" s="310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901.10134341404239</v>
      </c>
      <c r="P5" s="15">
        <f>EINSTELLUNG!I11</f>
        <v>600</v>
      </c>
      <c r="Q5" s="14">
        <f>P5-O5</f>
        <v>-301.10134341404239</v>
      </c>
      <c r="R5" s="18">
        <f>IFERROR(Q5*Q42, 0)</f>
        <v>-2869.7885120780302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115.33</v>
      </c>
      <c r="I6" s="99">
        <v>46193</v>
      </c>
      <c r="J6" s="92">
        <v>5</v>
      </c>
      <c r="K6" s="68">
        <f t="shared" si="0"/>
        <v>353.83333333333331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1769.1666666666665</v>
      </c>
      <c r="M6" s="71"/>
      <c r="N6" s="55" t="s">
        <v>196</v>
      </c>
      <c r="O6" s="311" t="str">
        <f>IF(Q5&lt;0, "Schlecht! Zu wenig Urlaub abgebaut.", IF(Q5&gt;0, "Gut! Mehr Urlaub abgebaut als aufgebaut.", ""))</f>
        <v>Schlecht! Zu wenig Urlaub abgebaut.</v>
      </c>
      <c r="P6" s="312"/>
      <c r="Q6" s="312"/>
      <c r="R6" s="313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66" t="s">
        <v>58</v>
      </c>
      <c r="P8" s="267"/>
      <c r="Q8" s="268">
        <f>SUM(H3:H82)</f>
        <v>9280.0099999999984</v>
      </c>
      <c r="R8" s="268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13</v>
      </c>
      <c r="F9" s="45">
        <v>173</v>
      </c>
      <c r="G9" s="89">
        <f>IF(OR(E9="",F9=""),"",PID_KVLohnLookup($A$1,E9,F9,LOHNTABELLE!$H$4))</f>
        <v>2328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2328</v>
      </c>
      <c r="M9" s="71"/>
      <c r="N9" s="55"/>
      <c r="O9" s="266" t="s">
        <v>60</v>
      </c>
      <c r="P9" s="267"/>
      <c r="Q9" s="268">
        <f>EINSTELLUNG!L27</f>
        <v>6</v>
      </c>
      <c r="R9" s="268"/>
      <c r="S9" s="19">
        <f>IFERROR(Q9/Q8, 0)</f>
        <v>6.4655102742346192E-4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66" t="s">
        <v>62</v>
      </c>
      <c r="P10" s="267"/>
      <c r="Q10" s="268">
        <f>EINSTELLUNG!I27</f>
        <v>150</v>
      </c>
      <c r="R10" s="268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66" t="s">
        <v>64</v>
      </c>
      <c r="P11" s="267"/>
      <c r="Q11" s="268">
        <f>P5</f>
        <v>600</v>
      </c>
      <c r="R11" s="268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66" t="s">
        <v>66</v>
      </c>
      <c r="P12" s="267"/>
      <c r="Q12" s="272">
        <v>21</v>
      </c>
      <c r="R12" s="272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66" t="s">
        <v>68</v>
      </c>
      <c r="P13" s="267"/>
      <c r="Q13" s="268">
        <f>Q8-Q9-Q10-Q11-Q12</f>
        <v>8503.0099999999984</v>
      </c>
      <c r="R13" s="268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151.38</v>
      </c>
      <c r="G14" s="89">
        <f>IF(OR(E14="",F14=""),"",PID_KVLohnLookup($A$1,E14,F14,LOHNTABELLE!$H$4))</f>
        <v>1821.75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151.38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1821.75</v>
      </c>
      <c r="M14" s="71"/>
      <c r="N14" s="55"/>
      <c r="O14" s="266" t="s">
        <v>70</v>
      </c>
      <c r="P14" s="267"/>
      <c r="Q14" s="268">
        <f>EINSTELLUNG!L11</f>
        <v>9300</v>
      </c>
      <c r="R14" s="268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66" t="s">
        <v>72</v>
      </c>
      <c r="P15" s="267"/>
      <c r="Q15" s="268">
        <f>Q13-Q14</f>
        <v>-796.9900000000016</v>
      </c>
      <c r="R15" s="268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304" t="str">
        <f>IF(Q15&lt;0, "Schlecht! Zu wenig Stunden für Dienstplan.", IF(Q15&gt;0, "Du hast mehr als genug Stunden für Dienstplan.", ""))</f>
        <v>Schlecht! Zu wenig Stunden für Dienstplan.</v>
      </c>
      <c r="P16" s="304"/>
      <c r="Q16" s="304"/>
      <c r="R16" s="304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1000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1000</v>
      </c>
      <c r="M17" s="71"/>
      <c r="N17" s="55"/>
      <c r="O17" s="269" t="s">
        <v>75</v>
      </c>
      <c r="P17" s="270"/>
      <c r="Q17" s="271">
        <f>SUM(L3:L82)</f>
        <v>88447.516666666663</v>
      </c>
      <c r="R17" s="271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1000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1000</v>
      </c>
      <c r="M18" s="71"/>
      <c r="N18" s="55"/>
      <c r="O18" s="260"/>
      <c r="P18" s="261"/>
      <c r="Q18" s="262"/>
      <c r="R18" s="263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1000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1000</v>
      </c>
      <c r="M19" s="71"/>
      <c r="N19" s="55"/>
      <c r="O19" s="260"/>
      <c r="P19" s="261"/>
      <c r="Q19" s="262"/>
      <c r="R19" s="263"/>
    </row>
    <row r="20" spans="1:29" ht="16" customHeight="1" thickBot="1">
      <c r="A20" s="40" t="s">
        <v>78</v>
      </c>
      <c r="B20" s="77">
        <v>401479</v>
      </c>
      <c r="C20" s="48" t="s">
        <v>250</v>
      </c>
      <c r="D20" s="96">
        <v>44511</v>
      </c>
      <c r="E20" s="44" t="s">
        <v>6</v>
      </c>
      <c r="F20" s="45">
        <v>173</v>
      </c>
      <c r="G20" s="89">
        <f>IF(OR(E20="",F20=""),"",PID_KVLohnLookup($A$1,E20,F20,LOHNTABELLE!$H$4))</f>
        <v>2160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71"/>
      <c r="N20" s="55"/>
      <c r="O20" s="260"/>
      <c r="P20" s="261"/>
      <c r="Q20" s="262"/>
      <c r="R20" s="263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2</v>
      </c>
      <c r="F21" s="45">
        <v>173</v>
      </c>
      <c r="G21" s="89">
        <f>IF(OR(E21="",F21=""),"",PID_KVLohnLookup($A$1,E21,F21,LOHNTABELLE!$H$4))</f>
        <v>1000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1000</v>
      </c>
      <c r="M21" s="71"/>
      <c r="N21" s="55"/>
      <c r="O21" s="260" t="s">
        <v>320</v>
      </c>
      <c r="P21" s="261"/>
      <c r="Q21" s="262">
        <v>5000</v>
      </c>
      <c r="R21" s="263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1000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1000</v>
      </c>
      <c r="M22" s="71"/>
      <c r="N22" s="55"/>
      <c r="O22" s="260"/>
      <c r="P22" s="261"/>
      <c r="Q22" s="262"/>
      <c r="R22" s="263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2</v>
      </c>
      <c r="F23" s="45">
        <v>173</v>
      </c>
      <c r="G23" s="89">
        <f>IF(OR(E23="",F23=""),"",PID_KVLohnLookup($A$1,E23,F23,LOHNTABELLE!$H$4))</f>
        <v>1000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1000</v>
      </c>
      <c r="M23" s="71"/>
      <c r="N23" s="55"/>
      <c r="O23" s="260"/>
      <c r="P23" s="261"/>
      <c r="Q23" s="262"/>
      <c r="R23" s="263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60"/>
      <c r="P24" s="261"/>
      <c r="Q24" s="262"/>
      <c r="R24" s="263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f>IF(OR(E25="",F25=""),"",PID_KVLohnLookup($A$1,E25,F25,LOHNTABELLE!$H$4))</f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277"/>
      <c r="P25" s="278"/>
      <c r="Q25" s="279"/>
      <c r="R25" s="280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173</v>
      </c>
      <c r="G26" s="89">
        <f>IF(OR(E26="",F26=""),"",PID_KVLohnLookup($A$1,E26,F26,LOHNTABELLE!$H$4))</f>
        <v>1000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1000</v>
      </c>
      <c r="M26" s="71"/>
      <c r="N26" s="55"/>
      <c r="O26" s="282"/>
      <c r="P26" s="350"/>
      <c r="Q26" s="283"/>
      <c r="R26" s="284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173</v>
      </c>
      <c r="G27" s="89">
        <f>IF(OR(E27="",F27=""),"",PID_KVLohnLookup($A$1,E27,F27,LOHNTABELLE!$H$4))</f>
        <v>1000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1000</v>
      </c>
      <c r="M27" s="71"/>
      <c r="N27" s="55"/>
      <c r="O27" s="240"/>
      <c r="P27" s="241"/>
      <c r="Q27" s="263"/>
      <c r="R27" s="285"/>
      <c r="S27" s="244" t="s">
        <v>87</v>
      </c>
      <c r="T27" s="245"/>
      <c r="U27" s="245"/>
      <c r="V27" s="245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173</v>
      </c>
      <c r="G28" s="89">
        <f>IF(OR(E28="",F28=""),"",PID_KVLohnLookup($A$1,E28,F28,LOHNTABELLE!$H$4))</f>
        <v>1000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1000</v>
      </c>
      <c r="M28" s="71"/>
      <c r="N28" s="55"/>
      <c r="O28" s="273"/>
      <c r="P28" s="274"/>
      <c r="Q28" s="275"/>
      <c r="R28" s="276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173</v>
      </c>
      <c r="G29" s="89">
        <f>IF(OR(E29="",F29=""),"",PID_KVLohnLookup($A$1,E29,F29,LOHNTABELLE!$H$4))</f>
        <v>2300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71"/>
      <c r="N29" s="55"/>
      <c r="O29" s="248" t="s">
        <v>90</v>
      </c>
      <c r="P29" s="249"/>
      <c r="Q29" s="250">
        <f>EINSTELLUNG!O11</f>
        <v>1250</v>
      </c>
      <c r="R29" s="251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173</v>
      </c>
      <c r="G30" s="89">
        <f>IF(OR(E30="",F30=""),"",PID_KVLohnLookup($A$1,E30,F30,LOHNTABELLE!$H$4))</f>
        <v>1000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1000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173</v>
      </c>
      <c r="G31" s="89">
        <f>IF(OR(E31="",F31=""),"",PID_KVLohnLookup($A$1,E31,F31,LOHNTABELLE!$H$4))</f>
        <v>1000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1000</v>
      </c>
      <c r="M31" s="71"/>
      <c r="N31" s="55"/>
      <c r="O31" s="252">
        <v>0</v>
      </c>
      <c r="P31" s="253"/>
      <c r="Q31" s="254">
        <v>1.6393442622950821E-2</v>
      </c>
      <c r="R31" s="255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173</v>
      </c>
      <c r="G32" s="89">
        <f>IF(OR(E32="",F32=""),"",PID_KVLohnLookup($A$1,E32,F32,LOHNTABELLE!$H$4))</f>
        <v>1000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1000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1000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1000</v>
      </c>
      <c r="M33" s="71"/>
      <c r="N33" s="55"/>
      <c r="O33" s="256"/>
      <c r="P33" s="257"/>
      <c r="Q33" s="258" t="str">
        <f>EINSTELLUNG!B3</f>
        <v>Budget Zahlen</v>
      </c>
      <c r="R33" s="258"/>
      <c r="S33" s="259" t="str">
        <f>EINSTELLUNG!B19</f>
        <v>Projection/Aktuell Zahlen</v>
      </c>
      <c r="T33" s="259"/>
      <c r="U33" s="259" t="s">
        <v>98</v>
      </c>
      <c r="V33" s="259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173</v>
      </c>
      <c r="G34" s="89">
        <f>IF(OR(E34="",F34=""),"",PID_KVLohnLookup($A$1,E34,F34,LOHNTABELLE!$H$4))</f>
        <v>1000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1000</v>
      </c>
      <c r="M34" s="71"/>
      <c r="N34" s="55"/>
      <c r="O34" s="256"/>
      <c r="P34" s="257"/>
      <c r="Q34" s="258"/>
      <c r="R34" s="258"/>
      <c r="S34" s="259"/>
      <c r="T34" s="259"/>
      <c r="U34" s="259"/>
      <c r="V34" s="259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173</v>
      </c>
      <c r="G35" s="89">
        <f>IF(OR(E35="",F35=""),"",PID_KVLohnLookup($A$1,E35,F35,LOHNTABELLE!$H$4))</f>
        <v>1000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1000</v>
      </c>
      <c r="M35" s="71"/>
      <c r="N35" s="55"/>
      <c r="O35" s="264" t="s">
        <v>101</v>
      </c>
      <c r="P35" s="265"/>
      <c r="Q35" s="238">
        <f>EINSTELLUNG!C11</f>
        <v>400000</v>
      </c>
      <c r="R35" s="238"/>
      <c r="S35" s="238">
        <f>EINSTELLUNG!C27</f>
        <v>435000</v>
      </c>
      <c r="T35" s="238"/>
      <c r="U35" s="242">
        <f>S35-Q35</f>
        <v>35000</v>
      </c>
      <c r="V35" s="242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173</v>
      </c>
      <c r="G36" s="89">
        <f>IF(OR(E36="",F36=""),"",PID_KVLohnLookup($A$1,E36,F36,LOHNTABELLE!$H$4))</f>
        <v>1000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1000</v>
      </c>
      <c r="M36" s="71"/>
      <c r="N36" s="55"/>
      <c r="O36" s="264" t="s">
        <v>103</v>
      </c>
      <c r="P36" s="265"/>
      <c r="Q36" s="238">
        <f>EINSTELLUNG!D11</f>
        <v>100000</v>
      </c>
      <c r="R36" s="238"/>
      <c r="S36" s="238">
        <f ca="1">SumMergedCells(Q17:R29)</f>
        <v>94697.516699999993</v>
      </c>
      <c r="T36" s="238"/>
      <c r="U36" s="242">
        <f t="shared" ref="U36:U41" ca="1" si="2">S36-Q36</f>
        <v>-5302.4833000000071</v>
      </c>
      <c r="V36" s="242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173</v>
      </c>
      <c r="G37" s="89">
        <f>IF(OR(E37="",F37=""),"",PID_KVLohnLookup($A$1,E37,F37,LOHNTABELLE!$H$4))</f>
        <v>1000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1000</v>
      </c>
      <c r="M37" s="71"/>
      <c r="N37" s="55"/>
      <c r="O37" s="264" t="s">
        <v>105</v>
      </c>
      <c r="P37" s="265"/>
      <c r="Q37" s="246">
        <f>IF(ISERROR(Q36/Q35), 0, Q36/Q35)</f>
        <v>0.25</v>
      </c>
      <c r="R37" s="246"/>
      <c r="S37" s="246">
        <f ca="1">IF(ISERROR(S36/S35), 0, S36/S35)</f>
        <v>0.21769544068965516</v>
      </c>
      <c r="T37" s="246"/>
      <c r="U37" s="247">
        <f t="shared" ca="1" si="2"/>
        <v>-3.2304559310344844E-2</v>
      </c>
      <c r="V37" s="247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173</v>
      </c>
      <c r="G38" s="89">
        <f>IF(OR(E38="",F38=""),"",PID_KVLohnLookup($A$1,E38,F38,LOHNTABELLE!$H$4))</f>
        <v>1000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1000</v>
      </c>
      <c r="M38" s="71"/>
      <c r="N38" s="55"/>
      <c r="O38" s="264" t="s">
        <v>107</v>
      </c>
      <c r="P38" s="265"/>
      <c r="Q38" s="239">
        <f>EINSTELLUNG!F11</f>
        <v>30000</v>
      </c>
      <c r="R38" s="239"/>
      <c r="S38" s="239">
        <f>EINSTELLUNG!F27</f>
        <v>31000</v>
      </c>
      <c r="T38" s="239"/>
      <c r="U38" s="243">
        <f t="shared" si="2"/>
        <v>1000</v>
      </c>
      <c r="V38" s="243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64" t="s">
        <v>109</v>
      </c>
      <c r="P39" s="265"/>
      <c r="Q39" s="238">
        <f>IF(Q38=0, 0, Q35/Q38)</f>
        <v>13.333333333333334</v>
      </c>
      <c r="R39" s="238"/>
      <c r="S39" s="238">
        <f>IF(S38=0, 0, S35/S38)</f>
        <v>14.03225806451613</v>
      </c>
      <c r="T39" s="238"/>
      <c r="U39" s="242">
        <f t="shared" si="2"/>
        <v>0.69892473118279597</v>
      </c>
      <c r="V39" s="242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64" t="s">
        <v>111</v>
      </c>
      <c r="P40" s="265"/>
      <c r="Q40" s="238">
        <f>IF(Q12=0, 0, Q35/Q12)</f>
        <v>19047.619047619046</v>
      </c>
      <c r="R40" s="238"/>
      <c r="S40" s="238">
        <f>IF(Q12=0, 0, S35/Q12)</f>
        <v>20714.285714285714</v>
      </c>
      <c r="T40" s="238"/>
      <c r="U40" s="242">
        <f t="shared" si="2"/>
        <v>1666.6666666666679</v>
      </c>
      <c r="V40" s="242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64" t="s">
        <v>113</v>
      </c>
      <c r="P41" s="265"/>
      <c r="Q41" s="239">
        <f>IF(Q12=0, 0, Q38/Q12)</f>
        <v>1428.5714285714287</v>
      </c>
      <c r="R41" s="239"/>
      <c r="S41" s="239">
        <f>IF(Q12=0, 0, S38/Q12)</f>
        <v>1476.1904761904761</v>
      </c>
      <c r="T41" s="239"/>
      <c r="U41" s="243">
        <f t="shared" si="2"/>
        <v>47.619047619047478</v>
      </c>
      <c r="V41" s="243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64" t="s">
        <v>115</v>
      </c>
      <c r="P42" s="265"/>
      <c r="Q42" s="235">
        <f>IFERROR(Q17/Q8, 0)</f>
        <v>9.5309721289811833</v>
      </c>
      <c r="R42" s="236"/>
      <c r="S42" s="236"/>
      <c r="T42" s="236"/>
      <c r="U42" s="236"/>
      <c r="V42" s="237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1333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1333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1333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71"/>
      <c r="N53" s="55"/>
    </row>
    <row r="54" spans="1:14" ht="16" customHeight="1" thickBot="1">
      <c r="A54" s="40" t="s">
        <v>128</v>
      </c>
      <c r="B54" s="77">
        <v>401999</v>
      </c>
      <c r="C54" s="46" t="s">
        <v>319</v>
      </c>
      <c r="D54" s="96">
        <v>46082</v>
      </c>
      <c r="E54" s="44" t="s">
        <v>2</v>
      </c>
      <c r="F54" s="45">
        <v>173</v>
      </c>
      <c r="G54" s="89">
        <f>IF(OR(E54="",F54=""),"",PID_KVLohnLookup($A$1,E54,F54,LOHNTABELLE!$H$4))</f>
        <v>1000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1000</v>
      </c>
      <c r="M54" s="71"/>
      <c r="N54" s="55"/>
    </row>
    <row r="55" spans="1:14" ht="16" customHeight="1" thickBot="1">
      <c r="A55" s="40" t="s">
        <v>129</v>
      </c>
      <c r="B55" s="77">
        <v>402000</v>
      </c>
      <c r="C55" s="46" t="s">
        <v>326</v>
      </c>
      <c r="D55" s="96">
        <v>46143</v>
      </c>
      <c r="E55" s="44" t="s">
        <v>2</v>
      </c>
      <c r="F55" s="45">
        <v>173</v>
      </c>
      <c r="G55" s="89">
        <f>IF(OR(E55="",F55=""),"",PID_KVLohnLookup($A$1,E55,F55,LOHNTABELLE!$H$4))</f>
        <v>1000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1000</v>
      </c>
      <c r="M55" s="71"/>
      <c r="N55" s="55"/>
    </row>
    <row r="56" spans="1:14" ht="16" customHeight="1" thickBot="1">
      <c r="A56" s="40" t="s">
        <v>130</v>
      </c>
      <c r="B56" s="77">
        <v>402004</v>
      </c>
      <c r="C56" s="46" t="s">
        <v>328</v>
      </c>
      <c r="D56" s="96">
        <v>46122</v>
      </c>
      <c r="E56" s="44" t="s">
        <v>2</v>
      </c>
      <c r="F56" s="45">
        <v>173</v>
      </c>
      <c r="G56" s="89">
        <f>IF(OR(E56="",F56=""),"",PID_KVLohnLookup($A$1,E56,F56,LOHNTABELLE!$H$4))</f>
        <v>1000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1000</v>
      </c>
      <c r="M56" s="71"/>
      <c r="N56" s="55"/>
    </row>
    <row r="57" spans="1:14" ht="16" customHeight="1" thickBot="1">
      <c r="A57" s="41" t="s">
        <v>131</v>
      </c>
      <c r="B57" s="77">
        <v>402405</v>
      </c>
      <c r="C57" s="46" t="s">
        <v>330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1000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1000</v>
      </c>
      <c r="M57" s="71"/>
      <c r="N57" s="55"/>
    </row>
    <row r="58" spans="1:14" ht="16" customHeight="1" thickBot="1">
      <c r="A58" s="40" t="s">
        <v>132</v>
      </c>
      <c r="B58" s="77">
        <v>500600</v>
      </c>
      <c r="C58" s="46" t="s">
        <v>335</v>
      </c>
      <c r="D58" s="96">
        <v>46054</v>
      </c>
      <c r="E58" s="44" t="s">
        <v>2</v>
      </c>
      <c r="F58" s="45">
        <v>173</v>
      </c>
      <c r="G58" s="89">
        <f>IF(OR(E58="",F58=""),"",PID_KVLohnLookup($A$1,E58,F58,LOHNTABELLE!$H$4))</f>
        <v>1000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1000</v>
      </c>
      <c r="M58" s="71"/>
      <c r="N58" s="55"/>
    </row>
    <row r="59" spans="1:14" ht="16" customHeight="1" thickBot="1">
      <c r="A59" s="40" t="s">
        <v>133</v>
      </c>
      <c r="B59" s="77">
        <v>502000</v>
      </c>
      <c r="C59" s="46" t="s">
        <v>329</v>
      </c>
      <c r="D59" s="96">
        <v>46147</v>
      </c>
      <c r="E59" s="44" t="s">
        <v>2</v>
      </c>
      <c r="F59" s="45">
        <v>173</v>
      </c>
      <c r="G59" s="89">
        <f>IF(OR(E59="",F59=""),"",PID_KVLohnLookup($A$1,E59,F59,LOHNTABELLE!$H$4))</f>
        <v>1000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1000</v>
      </c>
      <c r="M59" s="71"/>
      <c r="N59" s="55"/>
    </row>
    <row r="60" spans="1:14" ht="16" customHeight="1" thickBot="1">
      <c r="A60" s="40" t="s">
        <v>134</v>
      </c>
      <c r="B60" s="77">
        <v>503000</v>
      </c>
      <c r="C60" s="46" t="s">
        <v>332</v>
      </c>
      <c r="D60" s="96">
        <v>42401</v>
      </c>
      <c r="E60" s="44" t="s">
        <v>2</v>
      </c>
      <c r="F60" s="45">
        <v>173</v>
      </c>
      <c r="G60" s="89">
        <f>IF(OR(E60="",F60=""),"",PID_KVLohnLookup($A$1,E60,F60,LOHNTABELLE!$H$4))</f>
        <v>1000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1000</v>
      </c>
      <c r="M60" s="71"/>
      <c r="N60" s="55"/>
    </row>
    <row r="61" spans="1:14" ht="16" customHeight="1" thickBot="1">
      <c r="A61" s="41" t="s">
        <v>135</v>
      </c>
      <c r="B61" s="77">
        <v>504000</v>
      </c>
      <c r="C61" s="46" t="s">
        <v>333</v>
      </c>
      <c r="D61" s="96">
        <v>46054</v>
      </c>
      <c r="E61" s="44" t="s">
        <v>3</v>
      </c>
      <c r="F61" s="45">
        <v>138.4</v>
      </c>
      <c r="G61" s="89">
        <f>IF(OR(E61="",F61=""),"",PID_KVLohnLookup($A$1,E61,F61,LOHNTABELLE!$H$4))</f>
        <v>1665.6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71"/>
      <c r="N61" s="55"/>
    </row>
    <row r="62" spans="1:14" ht="16" customHeight="1" thickBot="1">
      <c r="A62" s="40" t="s">
        <v>136</v>
      </c>
      <c r="B62" s="77">
        <v>505000</v>
      </c>
      <c r="C62" s="46" t="s">
        <v>334</v>
      </c>
      <c r="D62" s="96">
        <v>46054</v>
      </c>
      <c r="E62" s="44" t="s">
        <v>2</v>
      </c>
      <c r="F62" s="45">
        <v>138.4</v>
      </c>
      <c r="G62" s="89">
        <f>IF(OR(E62="",F62=""),"",PID_KVLohnLookup($A$1,E62,F62,LOHNTABELLE!$H$4))</f>
        <v>2300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71"/>
      <c r="N62" s="55"/>
    </row>
    <row r="63" spans="1:14" ht="16" customHeight="1" thickBot="1">
      <c r="A63" s="40" t="s">
        <v>137</v>
      </c>
      <c r="B63" s="77">
        <v>700000</v>
      </c>
      <c r="C63" s="46" t="s">
        <v>347</v>
      </c>
      <c r="D63" s="96">
        <v>46054</v>
      </c>
      <c r="E63" s="44" t="s">
        <v>2</v>
      </c>
      <c r="F63" s="45">
        <v>173</v>
      </c>
      <c r="G63" s="89">
        <f>IF(OR(E63="",F63=""),"",PID_KVLohnLookup($A$1,E63,F63,LOHNTABELLE!$H$4))</f>
        <v>1000</v>
      </c>
      <c r="H63" s="65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1000</v>
      </c>
      <c r="M63" s="71"/>
      <c r="N63" s="55"/>
    </row>
    <row r="64" spans="1:14" ht="16" customHeight="1" thickBot="1">
      <c r="A64" s="40" t="s">
        <v>138</v>
      </c>
      <c r="B64" s="77">
        <v>800000</v>
      </c>
      <c r="C64" s="46" t="s">
        <v>348</v>
      </c>
      <c r="D64" s="96">
        <v>46082</v>
      </c>
      <c r="E64" s="44" t="s">
        <v>2</v>
      </c>
      <c r="F64" s="45">
        <v>173</v>
      </c>
      <c r="G64" s="89">
        <f>IF(OR(E64="",F64=""),"",PID_KVLohnLookup($A$1,E64,F64,LOHNTABELLE!$H$4))</f>
        <v>1000</v>
      </c>
      <c r="H64" s="65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1000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</sheetData>
  <sheetProtection algorithmName="SHA-512" hashValue="gGn9JMT6rFgcGZDFIdAUqr9VDpDPHHyl7FvXjW+JE6U6jbhJG19hGsfDUPUJ3GVL+FFMZJ0gagZ2mqMB9+mmbQ==" saltValue="d+xjCN0oNKRaBf3aKmB5IA==" spinCount="100000" sheet="1" objects="1" scenarios="1" sort="0" autoFilter="0"/>
  <sortState xmlns:xlrd2="http://schemas.microsoft.com/office/spreadsheetml/2017/richdata2" ref="B3:N82">
    <sortCondition ref="B3:B82"/>
    <sortCondition ref="C3:C82"/>
  </sortState>
  <dataConsolidate/>
  <mergeCells count="98">
    <mergeCell ref="B1:B2"/>
    <mergeCell ref="N1:N2"/>
    <mergeCell ref="H1:H2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M1:M2"/>
    <mergeCell ref="P3:P4"/>
    <mergeCell ref="Q3:Q4"/>
    <mergeCell ref="R3:R4"/>
    <mergeCell ref="O6:R6"/>
    <mergeCell ref="O8:P8"/>
    <mergeCell ref="Q8:R8"/>
    <mergeCell ref="O3:O4"/>
    <mergeCell ref="O9:P9"/>
    <mergeCell ref="Q9:R9"/>
    <mergeCell ref="O10:P10"/>
    <mergeCell ref="Q10:R10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19:P19"/>
    <mergeCell ref="Q19:R19"/>
    <mergeCell ref="O26:P26"/>
    <mergeCell ref="Q26:R26"/>
    <mergeCell ref="O27:P27"/>
    <mergeCell ref="Q27:R27"/>
    <mergeCell ref="O20:P20"/>
    <mergeCell ref="Q20:R20"/>
    <mergeCell ref="O21:P21"/>
    <mergeCell ref="Q21:R21"/>
    <mergeCell ref="O22:P22"/>
    <mergeCell ref="Q22:R22"/>
    <mergeCell ref="O23:P23"/>
    <mergeCell ref="Q23:R23"/>
    <mergeCell ref="O24:P24"/>
    <mergeCell ref="Q24:R24"/>
    <mergeCell ref="O25:P25"/>
    <mergeCell ref="Q25:R25"/>
    <mergeCell ref="S27:V27"/>
    <mergeCell ref="O29:P29"/>
    <mergeCell ref="Q29:R29"/>
    <mergeCell ref="O31:P31"/>
    <mergeCell ref="Q31:R31"/>
    <mergeCell ref="O28:P28"/>
    <mergeCell ref="Q28:R28"/>
    <mergeCell ref="O33:P34"/>
    <mergeCell ref="Q33:R34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37:P37"/>
    <mergeCell ref="Q37:R37"/>
    <mergeCell ref="S37:T37"/>
    <mergeCell ref="U37:V37"/>
    <mergeCell ref="U38:V38"/>
    <mergeCell ref="O39:P39"/>
    <mergeCell ref="Q39:R39"/>
    <mergeCell ref="S39:T39"/>
    <mergeCell ref="U39:V39"/>
    <mergeCell ref="O42:P42"/>
    <mergeCell ref="Q42:V42"/>
    <mergeCell ref="O15:P15"/>
    <mergeCell ref="Q15:R15"/>
    <mergeCell ref="O16:R16"/>
    <mergeCell ref="O40:P40"/>
    <mergeCell ref="Q40:R40"/>
    <mergeCell ref="S40:T40"/>
    <mergeCell ref="U40:V40"/>
    <mergeCell ref="O41:P41"/>
    <mergeCell ref="Q41:R41"/>
    <mergeCell ref="S41:T41"/>
    <mergeCell ref="U41:V41"/>
    <mergeCell ref="O38:P38"/>
    <mergeCell ref="Q38:R38"/>
    <mergeCell ref="S38:T38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033B1C7-2769-5F48-B4A3-B00BCAEE027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74284C4D-60CB-B44A-84C0-A3EE646ED46A}">
      <formula1>KV_DD_JUNI_3</formula1>
    </dataValidation>
    <dataValidation type="list" allowBlank="1" showInputMessage="1" showErrorMessage="1" sqref="F4" xr:uid="{5C95C9BB-0EC6-4048-877F-A1931DB0B44B}">
      <formula1>KV_DD_JUNI_4</formula1>
    </dataValidation>
    <dataValidation type="list" allowBlank="1" showInputMessage="1" showErrorMessage="1" sqref="F5" xr:uid="{7D84CA57-0EFE-D340-A989-BCE70C8EF3AE}">
      <formula1>KV_DD_JUNI_5</formula1>
    </dataValidation>
    <dataValidation type="list" allowBlank="1" showInputMessage="1" showErrorMessage="1" sqref="F6" xr:uid="{4D2AF967-DE0A-E047-AC2A-40B86C8BFD81}">
      <formula1>KV_DD_JUNI_6</formula1>
    </dataValidation>
    <dataValidation type="list" allowBlank="1" showInputMessage="1" showErrorMessage="1" sqref="F7" xr:uid="{A1590850-E4A1-B746-8537-B2925EDCD3FB}">
      <formula1>KV_DD_JUNI_7</formula1>
    </dataValidation>
    <dataValidation type="list" allowBlank="1" showInputMessage="1" showErrorMessage="1" sqref="F8" xr:uid="{161FA3E3-3616-674F-9A1B-FF49DD2D3314}">
      <formula1>KV_DD_JUNI_8</formula1>
    </dataValidation>
    <dataValidation type="list" allowBlank="1" showInputMessage="1" showErrorMessage="1" sqref="F9" xr:uid="{0BA92EEF-BAC9-DD44-AD47-501270090397}">
      <formula1>KV_DD_JUNI_9</formula1>
    </dataValidation>
    <dataValidation type="list" allowBlank="1" showInputMessage="1" showErrorMessage="1" sqref="F10" xr:uid="{3F6732F8-A02A-3E4F-B261-37793252BC21}">
      <formula1>KV_DD_JUNI_10</formula1>
    </dataValidation>
    <dataValidation type="list" allowBlank="1" showInputMessage="1" showErrorMessage="1" sqref="F11" xr:uid="{9591885F-BF07-7D4D-B045-2E394EC8054F}">
      <formula1>KV_DD_JUNI_11</formula1>
    </dataValidation>
    <dataValidation type="list" allowBlank="1" showInputMessage="1" showErrorMessage="1" sqref="F12" xr:uid="{15B66EE6-A419-4540-ACD5-BE1F2713D07E}">
      <formula1>KV_DD_JUNI_12</formula1>
    </dataValidation>
    <dataValidation type="list" allowBlank="1" showInputMessage="1" showErrorMessage="1" sqref="F13" xr:uid="{DCBCFB82-4CCC-E842-BADB-36B090B5C386}">
      <formula1>KV_DD_JUNI_13</formula1>
    </dataValidation>
    <dataValidation type="list" allowBlank="1" showInputMessage="1" showErrorMessage="1" sqref="F14" xr:uid="{0079C1B9-025E-5C43-93D0-49ECF806CA0F}">
      <formula1>KV_DD_JUNI_14</formula1>
    </dataValidation>
    <dataValidation type="list" allowBlank="1" showInputMessage="1" showErrorMessage="1" sqref="F15" xr:uid="{97BE743B-1FC4-914A-A098-6CD4EC839079}">
      <formula1>KV_DD_JUNI_15</formula1>
    </dataValidation>
    <dataValidation type="list" allowBlank="1" showInputMessage="1" showErrorMessage="1" sqref="F16" xr:uid="{6F322A57-16A0-E04F-A403-83E64EA09EF9}">
      <formula1>KV_DD_JUNI_16</formula1>
    </dataValidation>
    <dataValidation type="list" allowBlank="1" showInputMessage="1" showErrorMessage="1" sqref="F17" xr:uid="{80852DF7-F4B7-E149-BB98-5109241E1BF0}">
      <formula1>KV_DD_JUNI_17</formula1>
    </dataValidation>
    <dataValidation type="list" allowBlank="1" showInputMessage="1" showErrorMessage="1" sqref="F18" xr:uid="{BCA0055E-D601-CC4E-8E1A-A83B3607A962}">
      <formula1>KV_DD_JUNI_18</formula1>
    </dataValidation>
    <dataValidation type="list" allowBlank="1" showInputMessage="1" showErrorMessage="1" sqref="F19" xr:uid="{2708AB25-F6C3-FE45-9DC5-150A9C61BDDB}">
      <formula1>KV_DD_JUNI_19</formula1>
    </dataValidation>
    <dataValidation type="list" allowBlank="1" showInputMessage="1" showErrorMessage="1" sqref="F20" xr:uid="{E3602D53-5E54-4542-A8B1-CE6F9D9761A9}">
      <formula1>KV_DD_JUNI_20</formula1>
    </dataValidation>
    <dataValidation type="list" allowBlank="1" showInputMessage="1" showErrorMessage="1" sqref="F21" xr:uid="{1D3A9D11-A246-6546-9E8E-010C21ED7433}">
      <formula1>KV_DD_JUNI_21</formula1>
    </dataValidation>
    <dataValidation type="list" allowBlank="1" showInputMessage="1" showErrorMessage="1" sqref="F22" xr:uid="{948B6B80-B453-0B4A-BFBD-16A4DBC8FCDA}">
      <formula1>KV_DD_JUNI_22</formula1>
    </dataValidation>
    <dataValidation type="list" allowBlank="1" showInputMessage="1" showErrorMessage="1" sqref="F23" xr:uid="{27D434B2-8A35-C34B-8E76-B04D8A7FD57C}">
      <formula1>KV_DD_JUNI_23</formula1>
    </dataValidation>
    <dataValidation type="list" allowBlank="1" showInputMessage="1" showErrorMessage="1" sqref="F24" xr:uid="{8978BDE5-B459-FF45-A35F-E7BC5540DA8A}">
      <formula1>KV_DD_JUNI_24</formula1>
    </dataValidation>
    <dataValidation type="list" allowBlank="1" showInputMessage="1" showErrorMessage="1" sqref="F25" xr:uid="{2CD4D2BC-339C-CC41-872B-DF2A434B5B0C}">
      <formula1>KV_DD_JUNI_25</formula1>
    </dataValidation>
    <dataValidation type="list" allowBlank="1" showInputMessage="1" showErrorMessage="1" sqref="F26" xr:uid="{F4167F0C-EF46-1B47-A72C-830AD6E10B9C}">
      <formula1>KV_DD_JUNI_26</formula1>
    </dataValidation>
    <dataValidation type="list" allowBlank="1" showInputMessage="1" showErrorMessage="1" sqref="F27" xr:uid="{D8146894-1855-354F-8194-8810A3C44016}">
      <formula1>KV_DD_JUNI_27</formula1>
    </dataValidation>
    <dataValidation type="list" allowBlank="1" showInputMessage="1" showErrorMessage="1" sqref="F28" xr:uid="{BCE464D5-1855-AE43-B9E6-3EC22C13AD70}">
      <formula1>KV_DD_JUNI_28</formula1>
    </dataValidation>
    <dataValidation type="list" allowBlank="1" showInputMessage="1" showErrorMessage="1" sqref="F29" xr:uid="{A71CE8D9-F4BF-D24D-9708-D0EA5C09F766}">
      <formula1>KV_DD_JUNI_29</formula1>
    </dataValidation>
    <dataValidation type="list" allowBlank="1" showInputMessage="1" showErrorMessage="1" sqref="F30" xr:uid="{83BBFBCA-B710-7A40-B038-D35D44B50D7E}">
      <formula1>KV_DD_JUNI_30</formula1>
    </dataValidation>
    <dataValidation type="list" allowBlank="1" showInputMessage="1" showErrorMessage="1" sqref="F31" xr:uid="{331BB3D0-082A-1F41-9495-923B46ECE712}">
      <formula1>KV_DD_JUNI_31</formula1>
    </dataValidation>
    <dataValidation type="list" allowBlank="1" showInputMessage="1" showErrorMessage="1" sqref="F32" xr:uid="{632E56E7-D038-1D4F-B2F5-5B824C7818ED}">
      <formula1>KV_DD_JUNI_32</formula1>
    </dataValidation>
    <dataValidation type="list" allowBlank="1" showInputMessage="1" showErrorMessage="1" sqref="F33" xr:uid="{18F4AD59-7C8C-4848-8C44-704943045B65}">
      <formula1>KV_DD_JUNI_33</formula1>
    </dataValidation>
    <dataValidation type="list" allowBlank="1" showInputMessage="1" showErrorMessage="1" sqref="F34" xr:uid="{DFA64299-BC63-D244-A8DB-9B7A1E1E506D}">
      <formula1>KV_DD_JUNI_34</formula1>
    </dataValidation>
    <dataValidation type="list" allowBlank="1" showInputMessage="1" showErrorMessage="1" sqref="F35" xr:uid="{E01BC2A0-3210-6842-ADF7-F197CDD6D6EC}">
      <formula1>KV_DD_JUNI_35</formula1>
    </dataValidation>
    <dataValidation type="list" allowBlank="1" showInputMessage="1" showErrorMessage="1" sqref="F36" xr:uid="{90957132-2615-6D4E-AA91-D4537CDD5A05}">
      <formula1>KV_DD_JUNI_36</formula1>
    </dataValidation>
    <dataValidation type="list" allowBlank="1" showInputMessage="1" showErrorMessage="1" sqref="F37" xr:uid="{E7374205-4DEA-914B-8EF4-0888FC7E772D}">
      <formula1>KV_DD_JUNI_37</formula1>
    </dataValidation>
    <dataValidation type="list" allowBlank="1" showInputMessage="1" showErrorMessage="1" sqref="F38" xr:uid="{4447221B-6A7B-1344-B766-BC80488BABBC}">
      <formula1>KV_DD_JUNI_38</formula1>
    </dataValidation>
    <dataValidation type="list" allowBlank="1" showInputMessage="1" showErrorMessage="1" sqref="F39" xr:uid="{E9C2EF13-0996-1D46-BC49-7B1118812277}">
      <formula1>KV_DD_JUNI_39</formula1>
    </dataValidation>
    <dataValidation type="list" allowBlank="1" showInputMessage="1" showErrorMessage="1" sqref="F40" xr:uid="{5DA613C7-17AE-A342-BFC4-970781FB0F6E}">
      <formula1>KV_DD_JUNI_40</formula1>
    </dataValidation>
    <dataValidation type="list" allowBlank="1" showInputMessage="1" showErrorMessage="1" sqref="F41" xr:uid="{1FBE330D-A904-9D43-B017-4A9FF155C80E}">
      <formula1>KV_DD_JUNI_41</formula1>
    </dataValidation>
    <dataValidation type="list" allowBlank="1" showInputMessage="1" showErrorMessage="1" sqref="F42" xr:uid="{898D7605-5729-384B-900B-381B84CC8A3C}">
      <formula1>KV_DD_JUNI_42</formula1>
    </dataValidation>
    <dataValidation type="list" allowBlank="1" showInputMessage="1" showErrorMessage="1" sqref="F43" xr:uid="{8D396FC1-6ECE-A240-8799-D781DD71D023}">
      <formula1>KV_DD_JUNI_43</formula1>
    </dataValidation>
    <dataValidation type="list" allowBlank="1" showInputMessage="1" showErrorMessage="1" sqref="F44" xr:uid="{1DD2AC31-7E5E-824E-9453-063626E2FA76}">
      <formula1>KV_DD_JUNI_44</formula1>
    </dataValidation>
    <dataValidation type="list" allowBlank="1" showInputMessage="1" showErrorMessage="1" sqref="F45" xr:uid="{0E1C19BF-29E3-5548-B14F-7CCE5288DF4B}">
      <formula1>KV_DD_JUNI_45</formula1>
    </dataValidation>
    <dataValidation type="list" allowBlank="1" showInputMessage="1" showErrorMessage="1" sqref="F46" xr:uid="{D25936E3-9ABF-364B-BEE3-07767437F088}">
      <formula1>KV_DD_JUNI_46</formula1>
    </dataValidation>
    <dataValidation type="list" allowBlank="1" showInputMessage="1" showErrorMessage="1" sqref="F47" xr:uid="{4F2A47F0-7D8C-9345-9A27-19F7AB9D0678}">
      <formula1>KV_DD_JUNI_47</formula1>
    </dataValidation>
    <dataValidation type="list" allowBlank="1" showInputMessage="1" showErrorMessage="1" sqref="F48" xr:uid="{BC13C423-6136-3245-A4BD-031F9F770812}">
      <formula1>KV_DD_JUNI_48</formula1>
    </dataValidation>
    <dataValidation type="list" allowBlank="1" showInputMessage="1" showErrorMessage="1" sqref="F49" xr:uid="{968296B4-D55D-3A4F-B337-3E59584BF864}">
      <formula1>KV_DD_JUNI_49</formula1>
    </dataValidation>
    <dataValidation type="list" allowBlank="1" showInputMessage="1" showErrorMessage="1" sqref="F50" xr:uid="{55AA79E7-6B2B-BF40-8902-E6A187DC1017}">
      <formula1>KV_DD_JUNI_50</formula1>
    </dataValidation>
    <dataValidation type="list" allowBlank="1" showInputMessage="1" showErrorMessage="1" sqref="F51" xr:uid="{7BFF704D-E237-DB46-92B5-31BE5995C8DB}">
      <formula1>KV_DD_JUNI_51</formula1>
    </dataValidation>
    <dataValidation type="list" allowBlank="1" showInputMessage="1" showErrorMessage="1" sqref="F52" xr:uid="{6E0CCB34-2460-7B48-A5CA-ADB5A52C4DC7}">
      <formula1>KV_DD_JUNI_52</formula1>
    </dataValidation>
    <dataValidation type="list" allowBlank="1" showInputMessage="1" showErrorMessage="1" sqref="F53" xr:uid="{C8309A28-2FC1-D14E-AE5D-1C3E2CA82FB0}">
      <formula1>KV_DD_JUNI_53</formula1>
    </dataValidation>
    <dataValidation type="list" allowBlank="1" showInputMessage="1" showErrorMessage="1" sqref="F54" xr:uid="{B9EEAC45-A292-45CD-B67E-531A8306D398}">
      <formula1>KV_DD_JUNI_54</formula1>
    </dataValidation>
    <dataValidation type="list" allowBlank="1" showInputMessage="1" showErrorMessage="1" sqref="F55" xr:uid="{E76AB04B-B307-4616-82E7-844199DD36AC}">
      <formula1>KV_DD_JUNI_55</formula1>
    </dataValidation>
    <dataValidation type="list" allowBlank="1" showInputMessage="1" showErrorMessage="1" sqref="F56" xr:uid="{E942F83D-A867-EF44-BE7D-3886355A57CA}">
      <formula1>KV_DD_JUNI_56</formula1>
    </dataValidation>
    <dataValidation type="list" allowBlank="1" showInputMessage="1" showErrorMessage="1" sqref="F57" xr:uid="{1E15DE4D-F4A2-9342-B400-763E28DC004F}">
      <formula1>KV_DD_JUNI_57</formula1>
    </dataValidation>
    <dataValidation type="list" allowBlank="1" showInputMessage="1" showErrorMessage="1" sqref="F58" xr:uid="{5EFA36E1-FEDB-8943-A1CE-8F2D721D30D7}">
      <formula1>KV_DD_JUNI_58</formula1>
    </dataValidation>
    <dataValidation type="list" allowBlank="1" showInputMessage="1" showErrorMessage="1" sqref="F59" xr:uid="{04CF9C55-840F-C441-95D1-E8452309BBD6}">
      <formula1>KV_DD_JUNI_59</formula1>
    </dataValidation>
    <dataValidation type="list" allowBlank="1" showInputMessage="1" showErrorMessage="1" sqref="F60" xr:uid="{5F5A703F-18F2-094C-96AC-FBC5F9A6E6FD}">
      <formula1>KV_DD_JUNI_60</formula1>
    </dataValidation>
    <dataValidation type="list" allowBlank="1" showInputMessage="1" showErrorMessage="1" sqref="F61" xr:uid="{F7D4EF37-9DF4-8E4A-812C-4B1FBA2F052F}">
      <formula1>KV_DD_JUNI_61</formula1>
    </dataValidation>
    <dataValidation type="list" allowBlank="1" showInputMessage="1" showErrorMessage="1" sqref="F62" xr:uid="{D83C6268-CD4D-564C-8953-79BCF82C9674}">
      <formula1>KV_DD_JUNI_62</formula1>
    </dataValidation>
    <dataValidation type="list" allowBlank="1" showInputMessage="1" showErrorMessage="1" sqref="F63" xr:uid="{D9157D04-DBE2-4591-8A50-5940E52A90C8}">
      <formula1>KV_DD_JUNI_63</formula1>
    </dataValidation>
    <dataValidation type="date" allowBlank="1" showDropDown="1" showErrorMessage="1" sqref="I3:I82" xr:uid="{EC8C502F-2178-C143-89E9-B247DFF3F52F}">
      <formula1>$AB$1</formula1>
      <formula2>$AB$2</formula2>
    </dataValidation>
    <dataValidation type="list" allowBlank="1" showInputMessage="1" showErrorMessage="1" sqref="F64" xr:uid="{49286700-DE89-A648-802E-54174F9C8816}">
      <formula1>KV_DD_JUNI_64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DDBC63-0265-C64B-97E5-ECBC4C57D5B4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182FA-4A8B-4EFF-84FF-24677E264240}">
  <sheetPr codeName="Tabelle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7</v>
      </c>
      <c r="B1" s="302" t="s">
        <v>191</v>
      </c>
      <c r="C1" s="314" t="s">
        <v>40</v>
      </c>
      <c r="D1" s="286" t="s">
        <v>192</v>
      </c>
      <c r="E1" s="286" t="s">
        <v>0</v>
      </c>
      <c r="F1" s="286" t="s">
        <v>41</v>
      </c>
      <c r="G1" s="288" t="s">
        <v>42</v>
      </c>
      <c r="H1" s="305" t="s">
        <v>43</v>
      </c>
      <c r="I1" s="290" t="s">
        <v>193</v>
      </c>
      <c r="J1" s="292" t="s">
        <v>44</v>
      </c>
      <c r="K1" s="294" t="s">
        <v>45</v>
      </c>
      <c r="L1" s="296" t="s">
        <v>46</v>
      </c>
      <c r="M1" s="298" t="s">
        <v>47</v>
      </c>
      <c r="N1" s="303" t="s">
        <v>194</v>
      </c>
      <c r="AB1" s="8">
        <f>DATE(EINSTELLUNG!$C$35,$A$1,1)</f>
        <v>46204</v>
      </c>
    </row>
    <row r="2" spans="1:28" ht="16" customHeight="1" thickBot="1">
      <c r="A2" s="39"/>
      <c r="B2" s="302"/>
      <c r="C2" s="315"/>
      <c r="D2" s="287"/>
      <c r="E2" s="287"/>
      <c r="F2" s="287"/>
      <c r="G2" s="289"/>
      <c r="H2" s="306"/>
      <c r="I2" s="291"/>
      <c r="J2" s="293"/>
      <c r="K2" s="295"/>
      <c r="L2" s="297"/>
      <c r="M2" s="299"/>
      <c r="N2" s="303"/>
      <c r="AB2" s="8">
        <f>EOMONTH(DATE(EINSTELLUNG!$C$35,$A$1,1),0)</f>
        <v>46234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1000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1000</v>
      </c>
      <c r="M3" s="70"/>
      <c r="N3" s="54"/>
      <c r="O3" s="300" t="s">
        <v>49</v>
      </c>
      <c r="P3" s="300" t="s">
        <v>50</v>
      </c>
      <c r="Q3" s="307" t="s">
        <v>51</v>
      </c>
      <c r="R3" s="309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301"/>
      <c r="P4" s="301"/>
      <c r="Q4" s="308"/>
      <c r="R4" s="310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803.01901638857532</v>
      </c>
      <c r="P5" s="15">
        <f>EINSTELLUNG!I12</f>
        <v>600</v>
      </c>
      <c r="Q5" s="14">
        <f>P5-O5</f>
        <v>-203.01901638857532</v>
      </c>
      <c r="R5" s="18">
        <f>IFERROR(Q5*Q42, 0)</f>
        <v>-2245.4449941687817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311" t="str">
        <f>IF(Q5&lt;0, "Schlecht! Zu wenig Urlaub abgebaut.", IF(Q5&gt;0, "Gut! Mehr Urlaub abgebaut als aufgebaut.", ""))</f>
        <v>Schlecht! Zu wenig Urlaub abgebaut.</v>
      </c>
      <c r="P6" s="312"/>
      <c r="Q6" s="312"/>
      <c r="R6" s="313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66" t="s">
        <v>58</v>
      </c>
      <c r="P8" s="267"/>
      <c r="Q8" s="268">
        <f>SUM(H3:H82)</f>
        <v>8187.3599999999988</v>
      </c>
      <c r="R8" s="268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66" t="s">
        <v>60</v>
      </c>
      <c r="P9" s="267"/>
      <c r="Q9" s="268">
        <f>EINSTELLUNG!L28</f>
        <v>7</v>
      </c>
      <c r="R9" s="268"/>
      <c r="S9" s="19">
        <f>IFERROR(Q9/Q8, 0)</f>
        <v>8.5497645150573582E-4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66" t="s">
        <v>62</v>
      </c>
      <c r="P10" s="267"/>
      <c r="Q10" s="268">
        <f>EINSTELLUNG!I28</f>
        <v>0</v>
      </c>
      <c r="R10" s="268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66" t="s">
        <v>64</v>
      </c>
      <c r="P11" s="267"/>
      <c r="Q11" s="268">
        <f>P5</f>
        <v>600</v>
      </c>
      <c r="R11" s="268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66" t="s">
        <v>66</v>
      </c>
      <c r="P12" s="267"/>
      <c r="Q12" s="272">
        <v>-20</v>
      </c>
      <c r="R12" s="272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66" t="s">
        <v>68</v>
      </c>
      <c r="P13" s="267"/>
      <c r="Q13" s="268">
        <f>Q8-Q9-Q10-Q11-Q12</f>
        <v>7600.3599999999988</v>
      </c>
      <c r="R13" s="268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66" t="s">
        <v>70</v>
      </c>
      <c r="P14" s="267"/>
      <c r="Q14" s="268">
        <f>EINSTELLUNG!L12</f>
        <v>9300</v>
      </c>
      <c r="R14" s="268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66" t="s">
        <v>72</v>
      </c>
      <c r="P15" s="267"/>
      <c r="Q15" s="268">
        <f>Q13-Q14</f>
        <v>-1699.6400000000012</v>
      </c>
      <c r="R15" s="268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304" t="str">
        <f>IF(Q15&lt;0, "Schlecht! Zu wenig Stunden für Dienstplan.", IF(Q15&gt;0, "Du hast mehr als genug Stunden für Dienstplan.", ""))</f>
        <v>Schlecht! Zu wenig Stunden für Dienstplan.</v>
      </c>
      <c r="P16" s="304"/>
      <c r="Q16" s="304"/>
      <c r="R16" s="304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1000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1000</v>
      </c>
      <c r="M17" s="71"/>
      <c r="N17" s="55"/>
      <c r="O17" s="269" t="s">
        <v>75</v>
      </c>
      <c r="P17" s="270"/>
      <c r="Q17" s="271">
        <f>SUM(L3:L82)</f>
        <v>90554.406451612915</v>
      </c>
      <c r="R17" s="271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1000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1000</v>
      </c>
      <c r="M18" s="71"/>
      <c r="N18" s="55"/>
      <c r="O18" s="260"/>
      <c r="P18" s="261"/>
      <c r="Q18" s="262"/>
      <c r="R18" s="263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1000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39.06</v>
      </c>
      <c r="I19" s="99">
        <v>46210</v>
      </c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225.80645161290323</v>
      </c>
      <c r="M19" s="71"/>
      <c r="N19" s="55" t="s">
        <v>206</v>
      </c>
      <c r="O19" s="260"/>
      <c r="P19" s="261"/>
      <c r="Q19" s="262"/>
      <c r="R19" s="263"/>
    </row>
    <row r="20" spans="1:29" ht="16" customHeight="1" thickBot="1">
      <c r="A20" s="40" t="s">
        <v>78</v>
      </c>
      <c r="B20" s="77">
        <v>401479</v>
      </c>
      <c r="C20" s="48" t="s">
        <v>250</v>
      </c>
      <c r="D20" s="96">
        <v>44511</v>
      </c>
      <c r="E20" s="44" t="s">
        <v>6</v>
      </c>
      <c r="F20" s="45">
        <v>173</v>
      </c>
      <c r="G20" s="89">
        <f>IF(OR(E20="",F20=""),"",PID_KVLohnLookup($A$1,E20,F20,LOHNTABELLE!$H$4))</f>
        <v>2160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71"/>
      <c r="N20" s="55"/>
      <c r="O20" s="260"/>
      <c r="P20" s="261"/>
      <c r="Q20" s="262"/>
      <c r="R20" s="263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2</v>
      </c>
      <c r="F21" s="45">
        <v>173</v>
      </c>
      <c r="G21" s="89">
        <f>IF(OR(E21="",F21=""),"",PID_KVLohnLookup($A$1,E21,F21,LOHNTABELLE!$H$4))</f>
        <v>1000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1000</v>
      </c>
      <c r="M21" s="71"/>
      <c r="N21" s="55"/>
      <c r="O21" s="260" t="s">
        <v>320</v>
      </c>
      <c r="P21" s="261"/>
      <c r="Q21" s="262">
        <v>5000</v>
      </c>
      <c r="R21" s="263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1000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1000</v>
      </c>
      <c r="M22" s="71"/>
      <c r="N22" s="55"/>
      <c r="O22" s="260"/>
      <c r="P22" s="261"/>
      <c r="Q22" s="262"/>
      <c r="R22" s="263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2</v>
      </c>
      <c r="F23" s="45">
        <v>173</v>
      </c>
      <c r="G23" s="89">
        <f>IF(OR(E23="",F23=""),"",PID_KVLohnLookup($A$1,E23,F23,LOHNTABELLE!$H$4))</f>
        <v>1000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1000</v>
      </c>
      <c r="M23" s="71"/>
      <c r="N23" s="55"/>
      <c r="O23" s="260"/>
      <c r="P23" s="261"/>
      <c r="Q23" s="262"/>
      <c r="R23" s="263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60"/>
      <c r="P24" s="261"/>
      <c r="Q24" s="262"/>
      <c r="R24" s="263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f>IF(OR(E25="",F25=""),"",PID_KVLohnLookup($A$1,E25,F25,LOHNTABELLE!$H$4))</f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277"/>
      <c r="P25" s="278"/>
      <c r="Q25" s="279"/>
      <c r="R25" s="280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86.5</v>
      </c>
      <c r="G26" s="89">
        <f>IF(OR(E26="",F26=""),"",PID_KVLohnLookup($A$1,E26,F26,LOHNTABELLE!$H$4))</f>
        <v>1333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1333</v>
      </c>
      <c r="M26" s="71"/>
      <c r="N26" s="55"/>
      <c r="O26" s="281"/>
      <c r="P26" s="282"/>
      <c r="Q26" s="283"/>
      <c r="R26" s="284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86.5</v>
      </c>
      <c r="G27" s="89">
        <f>IF(OR(E27="",F27=""),"",PID_KVLohnLookup($A$1,E27,F27,LOHNTABELLE!$H$4))</f>
        <v>1333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1333</v>
      </c>
      <c r="M27" s="71"/>
      <c r="N27" s="55"/>
      <c r="O27" s="240"/>
      <c r="P27" s="241"/>
      <c r="Q27" s="263"/>
      <c r="R27" s="285"/>
      <c r="S27" s="244" t="s">
        <v>87</v>
      </c>
      <c r="T27" s="245"/>
      <c r="U27" s="245"/>
      <c r="V27" s="245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86.5</v>
      </c>
      <c r="G28" s="89">
        <f>IF(OR(E28="",F28=""),"",PID_KVLohnLookup($A$1,E28,F28,LOHNTABELLE!$H$4))</f>
        <v>1333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1333</v>
      </c>
      <c r="M28" s="71"/>
      <c r="N28" s="55"/>
      <c r="O28" s="273"/>
      <c r="P28" s="274"/>
      <c r="Q28" s="275"/>
      <c r="R28" s="276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86.5</v>
      </c>
      <c r="G29" s="89">
        <f>IF(OR(E29="",F29=""),"",PID_KVLohnLookup($A$1,E29,F29,LOHNTABELLE!$H$4))</f>
        <v>1150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1150</v>
      </c>
      <c r="M29" s="71"/>
      <c r="N29" s="55"/>
      <c r="O29" s="248" t="s">
        <v>90</v>
      </c>
      <c r="P29" s="249"/>
      <c r="Q29" s="250">
        <f>EINSTELLUNG!O12</f>
        <v>1250</v>
      </c>
      <c r="R29" s="251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86.5</v>
      </c>
      <c r="G30" s="89">
        <f>IF(OR(E30="",F30=""),"",PID_KVLohnLookup($A$1,E30,F30,LOHNTABELLE!$H$4))</f>
        <v>1333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1333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86.5</v>
      </c>
      <c r="G31" s="89">
        <f>IF(OR(E31="",F31=""),"",PID_KVLohnLookup($A$1,E31,F31,LOHNTABELLE!$H$4))</f>
        <v>1333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1333</v>
      </c>
      <c r="M31" s="71"/>
      <c r="N31" s="55"/>
      <c r="O31" s="252">
        <v>0</v>
      </c>
      <c r="P31" s="253"/>
      <c r="Q31" s="254">
        <v>1.6393442622950821E-2</v>
      </c>
      <c r="R31" s="255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86.5</v>
      </c>
      <c r="G32" s="89">
        <f>IF(OR(E32="",F32=""),"",PID_KVLohnLookup($A$1,E32,F32,LOHNTABELLE!$H$4))</f>
        <v>1333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1333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1000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1000</v>
      </c>
      <c r="M33" s="71"/>
      <c r="N33" s="55"/>
      <c r="O33" s="256"/>
      <c r="P33" s="257"/>
      <c r="Q33" s="258" t="str">
        <f>EINSTELLUNG!B3</f>
        <v>Budget Zahlen</v>
      </c>
      <c r="R33" s="258"/>
      <c r="S33" s="259" t="str">
        <f>EINSTELLUNG!B19</f>
        <v>Projection/Aktuell Zahlen</v>
      </c>
      <c r="T33" s="259"/>
      <c r="U33" s="259" t="s">
        <v>98</v>
      </c>
      <c r="V33" s="259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86.5</v>
      </c>
      <c r="G34" s="89">
        <f>IF(OR(E34="",F34=""),"",PID_KVLohnLookup($A$1,E34,F34,LOHNTABELLE!$H$4))</f>
        <v>1333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1333</v>
      </c>
      <c r="M34" s="71"/>
      <c r="N34" s="55"/>
      <c r="O34" s="256"/>
      <c r="P34" s="257"/>
      <c r="Q34" s="258"/>
      <c r="R34" s="258"/>
      <c r="S34" s="259"/>
      <c r="T34" s="259"/>
      <c r="U34" s="259"/>
      <c r="V34" s="259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86.5</v>
      </c>
      <c r="G35" s="89">
        <f>IF(OR(E35="",F35=""),"",PID_KVLohnLookup($A$1,E35,F35,LOHNTABELLE!$H$4))</f>
        <v>1333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1333</v>
      </c>
      <c r="M35" s="71"/>
      <c r="N35" s="55"/>
      <c r="O35" s="264" t="s">
        <v>101</v>
      </c>
      <c r="P35" s="265"/>
      <c r="Q35" s="238">
        <f>EINSTELLUNG!C12</f>
        <v>400000</v>
      </c>
      <c r="R35" s="238"/>
      <c r="S35" s="238">
        <f>EINSTELLUNG!C28</f>
        <v>435000</v>
      </c>
      <c r="T35" s="238"/>
      <c r="U35" s="242">
        <f>S35-Q35</f>
        <v>35000</v>
      </c>
      <c r="V35" s="242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86.5</v>
      </c>
      <c r="G36" s="89">
        <f>IF(OR(E36="",F36=""),"",PID_KVLohnLookup($A$1,E36,F36,LOHNTABELLE!$H$4))</f>
        <v>1333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71"/>
      <c r="N36" s="55"/>
      <c r="O36" s="264" t="s">
        <v>103</v>
      </c>
      <c r="P36" s="265"/>
      <c r="Q36" s="238">
        <f>EINSTELLUNG!D12</f>
        <v>100000</v>
      </c>
      <c r="R36" s="238"/>
      <c r="S36" s="235">
        <f ca="1">SumMergedCells(Q17:R29)</f>
        <v>96804.406499999997</v>
      </c>
      <c r="T36" s="237"/>
      <c r="U36" s="242">
        <f t="shared" ref="U36:U41" ca="1" si="2">S36-Q36</f>
        <v>-3195.5935000000027</v>
      </c>
      <c r="V36" s="242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86.5</v>
      </c>
      <c r="G37" s="89">
        <f>IF(OR(E37="",F37=""),"",PID_KVLohnLookup($A$1,E37,F37,LOHNTABELLE!$H$4))</f>
        <v>1333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71"/>
      <c r="N37" s="55"/>
      <c r="O37" s="264" t="s">
        <v>105</v>
      </c>
      <c r="P37" s="265"/>
      <c r="Q37" s="246">
        <f>IF(ISERROR(Q36/Q35), 0, Q36/Q35)</f>
        <v>0.25</v>
      </c>
      <c r="R37" s="246"/>
      <c r="S37" s="246">
        <f ca="1">IF(ISERROR(S36/S35), 0, S36/S35)</f>
        <v>0.22253886551724136</v>
      </c>
      <c r="T37" s="246"/>
      <c r="U37" s="247">
        <f t="shared" ca="1" si="2"/>
        <v>-2.7461134482758637E-2</v>
      </c>
      <c r="V37" s="247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64" t="s">
        <v>107</v>
      </c>
      <c r="P38" s="265"/>
      <c r="Q38" s="239">
        <f>EINSTELLUNG!F12</f>
        <v>30000</v>
      </c>
      <c r="R38" s="239"/>
      <c r="S38" s="239">
        <f>EINSTELLUNG!F28</f>
        <v>31000</v>
      </c>
      <c r="T38" s="239"/>
      <c r="U38" s="243">
        <f t="shared" si="2"/>
        <v>1000</v>
      </c>
      <c r="V38" s="243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64" t="s">
        <v>109</v>
      </c>
      <c r="P39" s="265"/>
      <c r="Q39" s="238">
        <f>IF(Q38=0, 0, Q35/Q38)</f>
        <v>13.333333333333334</v>
      </c>
      <c r="R39" s="238"/>
      <c r="S39" s="238">
        <f>IF(S38=0, 0, S35/S38)</f>
        <v>14.03225806451613</v>
      </c>
      <c r="T39" s="238"/>
      <c r="U39" s="242">
        <f t="shared" si="2"/>
        <v>0.69892473118279597</v>
      </c>
      <c r="V39" s="242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64" t="s">
        <v>111</v>
      </c>
      <c r="P40" s="265"/>
      <c r="Q40" s="238">
        <f>IF(Q13=0, 0, Q35/Q13)</f>
        <v>52.629085990663611</v>
      </c>
      <c r="R40" s="238"/>
      <c r="S40" s="238">
        <f>IF(Q13=0, 0, S35/Q13)</f>
        <v>57.234131014846675</v>
      </c>
      <c r="T40" s="238"/>
      <c r="U40" s="242">
        <f t="shared" si="2"/>
        <v>4.6050450241830632</v>
      </c>
      <c r="V40" s="242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64" t="s">
        <v>113</v>
      </c>
      <c r="P41" s="265"/>
      <c r="Q41" s="239">
        <f>IF(Q13=0, 0, Q38/Q13)</f>
        <v>3.9471814492997708</v>
      </c>
      <c r="R41" s="239"/>
      <c r="S41" s="239">
        <f>IF(Q13=0, 0, S38/Q13)</f>
        <v>4.0787541642764298</v>
      </c>
      <c r="T41" s="239"/>
      <c r="U41" s="243">
        <f t="shared" si="2"/>
        <v>0.13157271497665901</v>
      </c>
      <c r="V41" s="243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64" t="s">
        <v>115</v>
      </c>
      <c r="P42" s="265"/>
      <c r="Q42" s="235">
        <f>IFERROR(Q17/Q8, 0)</f>
        <v>11.060269299458303</v>
      </c>
      <c r="R42" s="236"/>
      <c r="S42" s="236"/>
      <c r="T42" s="236"/>
      <c r="U42" s="236"/>
      <c r="V42" s="237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1333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1333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1333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71"/>
      <c r="N53" s="55"/>
    </row>
    <row r="54" spans="1:14" ht="16" customHeight="1" thickBot="1">
      <c r="A54" s="40" t="s">
        <v>128</v>
      </c>
      <c r="B54" s="77">
        <v>401999</v>
      </c>
      <c r="C54" s="46" t="s">
        <v>319</v>
      </c>
      <c r="D54" s="96">
        <v>46082</v>
      </c>
      <c r="E54" s="44" t="s">
        <v>2</v>
      </c>
      <c r="F54" s="45">
        <v>173</v>
      </c>
      <c r="G54" s="89">
        <f>IF(OR(E54="",F54=""),"",PID_KVLohnLookup($A$1,E54,F54,LOHNTABELLE!$H$4))</f>
        <v>1000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1000</v>
      </c>
      <c r="M54" s="71"/>
      <c r="N54" s="55"/>
    </row>
    <row r="55" spans="1:14" ht="16" customHeight="1" thickBot="1">
      <c r="A55" s="40" t="s">
        <v>129</v>
      </c>
      <c r="B55" s="77">
        <v>402000</v>
      </c>
      <c r="C55" s="46" t="s">
        <v>326</v>
      </c>
      <c r="D55" s="96">
        <v>46143</v>
      </c>
      <c r="E55" s="44" t="s">
        <v>2</v>
      </c>
      <c r="F55" s="45">
        <v>173</v>
      </c>
      <c r="G55" s="89">
        <f>IF(OR(E55="",F55=""),"",PID_KVLohnLookup($A$1,E55,F55,LOHNTABELLE!$H$4))</f>
        <v>1000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1000</v>
      </c>
      <c r="M55" s="71"/>
      <c r="N55" s="55"/>
    </row>
    <row r="56" spans="1:14" ht="16" customHeight="1" thickBot="1">
      <c r="A56" s="40" t="s">
        <v>130</v>
      </c>
      <c r="B56" s="77">
        <v>402004</v>
      </c>
      <c r="C56" s="46" t="s">
        <v>328</v>
      </c>
      <c r="D56" s="96">
        <v>46122</v>
      </c>
      <c r="E56" s="44" t="s">
        <v>2</v>
      </c>
      <c r="F56" s="45">
        <v>173</v>
      </c>
      <c r="G56" s="89">
        <f>IF(OR(E56="",F56=""),"",PID_KVLohnLookup($A$1,E56,F56,LOHNTABELLE!$H$4))</f>
        <v>1000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1000</v>
      </c>
      <c r="M56" s="71"/>
      <c r="N56" s="55"/>
    </row>
    <row r="57" spans="1:14" ht="16" customHeight="1" thickBot="1">
      <c r="A57" s="41" t="s">
        <v>131</v>
      </c>
      <c r="B57" s="77">
        <v>402405</v>
      </c>
      <c r="C57" s="46" t="s">
        <v>330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1000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1000</v>
      </c>
      <c r="M57" s="71"/>
      <c r="N57" s="55"/>
    </row>
    <row r="58" spans="1:14" ht="16" customHeight="1" thickBot="1">
      <c r="A58" s="40" t="s">
        <v>132</v>
      </c>
      <c r="B58" s="77">
        <v>500600</v>
      </c>
      <c r="C58" s="46" t="s">
        <v>335</v>
      </c>
      <c r="D58" s="96">
        <v>46054</v>
      </c>
      <c r="E58" s="44" t="s">
        <v>2</v>
      </c>
      <c r="F58" s="45">
        <v>173</v>
      </c>
      <c r="G58" s="89">
        <f>IF(OR(E58="",F58=""),"",PID_KVLohnLookup($A$1,E58,F58,LOHNTABELLE!$H$4))</f>
        <v>1000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1000</v>
      </c>
      <c r="M58" s="71"/>
      <c r="N58" s="55"/>
    </row>
    <row r="59" spans="1:14" ht="16" customHeight="1" thickBot="1">
      <c r="A59" s="40" t="s">
        <v>133</v>
      </c>
      <c r="B59" s="77">
        <v>502000</v>
      </c>
      <c r="C59" s="46" t="s">
        <v>329</v>
      </c>
      <c r="D59" s="96">
        <v>46147</v>
      </c>
      <c r="E59" s="44" t="s">
        <v>2</v>
      </c>
      <c r="F59" s="45">
        <v>173</v>
      </c>
      <c r="G59" s="89">
        <f>IF(OR(E59="",F59=""),"",PID_KVLohnLookup($A$1,E59,F59,LOHNTABELLE!$H$4))</f>
        <v>1000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1000</v>
      </c>
      <c r="M59" s="71"/>
      <c r="N59" s="55"/>
    </row>
    <row r="60" spans="1:14" ht="16" customHeight="1" thickBot="1">
      <c r="A60" s="40" t="s">
        <v>134</v>
      </c>
      <c r="B60" s="77">
        <v>503000</v>
      </c>
      <c r="C60" s="46" t="s">
        <v>332</v>
      </c>
      <c r="D60" s="96">
        <v>42401</v>
      </c>
      <c r="E60" s="44" t="s">
        <v>2</v>
      </c>
      <c r="F60" s="45">
        <v>173</v>
      </c>
      <c r="G60" s="89">
        <f>IF(OR(E60="",F60=""),"",PID_KVLohnLookup($A$1,E60,F60,LOHNTABELLE!$H$4))</f>
        <v>1000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1000</v>
      </c>
      <c r="M60" s="71"/>
      <c r="N60" s="55"/>
    </row>
    <row r="61" spans="1:14" ht="16" customHeight="1" thickBot="1">
      <c r="A61" s="41" t="s">
        <v>135</v>
      </c>
      <c r="B61" s="77">
        <v>504000</v>
      </c>
      <c r="C61" s="46" t="s">
        <v>333</v>
      </c>
      <c r="D61" s="96">
        <v>46054</v>
      </c>
      <c r="E61" s="44" t="s">
        <v>3</v>
      </c>
      <c r="F61" s="45">
        <v>138.4</v>
      </c>
      <c r="G61" s="89">
        <f>IF(OR(E61="",F61=""),"",PID_KVLohnLookup($A$1,E61,F61,LOHNTABELLE!$H$4))</f>
        <v>1665.6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71"/>
      <c r="N61" s="55"/>
    </row>
    <row r="62" spans="1:14" ht="16" customHeight="1" thickBot="1">
      <c r="A62" s="40" t="s">
        <v>136</v>
      </c>
      <c r="B62" s="77">
        <v>505000</v>
      </c>
      <c r="C62" s="46" t="s">
        <v>334</v>
      </c>
      <c r="D62" s="96">
        <v>46054</v>
      </c>
      <c r="E62" s="44" t="s">
        <v>2</v>
      </c>
      <c r="F62" s="45">
        <v>138.4</v>
      </c>
      <c r="G62" s="89">
        <f>IF(OR(E62="",F62=""),"",PID_KVLohnLookup($A$1,E62,F62,LOHNTABELLE!$H$4))</f>
        <v>2300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71"/>
      <c r="N62" s="55"/>
    </row>
    <row r="63" spans="1:14" ht="16" customHeight="1" thickBot="1">
      <c r="A63" s="40" t="s">
        <v>137</v>
      </c>
      <c r="B63" s="77">
        <v>700000</v>
      </c>
      <c r="C63" s="46" t="s">
        <v>347</v>
      </c>
      <c r="D63" s="96">
        <v>46054</v>
      </c>
      <c r="E63" s="44" t="s">
        <v>2</v>
      </c>
      <c r="F63" s="45">
        <v>173</v>
      </c>
      <c r="G63" s="89">
        <f>IF(OR(E63="",F63=""),"",PID_KVLohnLookup($A$1,E63,F63,LOHNTABELLE!$H$4))</f>
        <v>1000</v>
      </c>
      <c r="H63" s="65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1000</v>
      </c>
      <c r="M63" s="71"/>
      <c r="N63" s="55"/>
    </row>
    <row r="64" spans="1:14" ht="16" customHeight="1" thickBot="1">
      <c r="A64" s="40" t="s">
        <v>138</v>
      </c>
      <c r="B64" s="77">
        <v>800000</v>
      </c>
      <c r="C64" s="46" t="s">
        <v>348</v>
      </c>
      <c r="D64" s="96">
        <v>46082</v>
      </c>
      <c r="E64" s="44" t="s">
        <v>2</v>
      </c>
      <c r="F64" s="45">
        <v>173</v>
      </c>
      <c r="G64" s="89">
        <f>IF(OR(E64="",F64=""),"",PID_KVLohnLookup($A$1,E64,F64,LOHNTABELLE!$H$4))</f>
        <v>1000</v>
      </c>
      <c r="H64" s="65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1000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L4ITYbL3DPOjZ9/Otjj2Q57xG1AGiHpdzK2Tere4XY6m9yyWyoivdrZ8v7nyOYA2YZhIBZ5Te7OhaXaVWQLmdA==" saltValue="pHuCQ04NWPPyC0WfHHPsR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3" type="noConversion"/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921463F6-1826-894A-9CAE-6DC803614B2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60B97FA9-25ED-AB4F-8532-1BC896D2D375}">
      <formula1>KV_DD_JULI_3</formula1>
    </dataValidation>
    <dataValidation type="list" allowBlank="1" showInputMessage="1" showErrorMessage="1" sqref="F4" xr:uid="{7CBB945F-469C-8846-B312-5A0577523318}">
      <formula1>KV_DD_JULI_4</formula1>
    </dataValidation>
    <dataValidation type="list" allowBlank="1" showInputMessage="1" showErrorMessage="1" sqref="F5" xr:uid="{4E531316-1DD7-B041-9D3A-97BDE454F5B8}">
      <formula1>KV_DD_JULI_5</formula1>
    </dataValidation>
    <dataValidation type="list" allowBlank="1" showInputMessage="1" showErrorMessage="1" sqref="F6" xr:uid="{EB080457-9424-3B45-926E-495692DDA6EF}">
      <formula1>KV_DD_JULI_6</formula1>
    </dataValidation>
    <dataValidation type="list" allowBlank="1" showInputMessage="1" showErrorMessage="1" sqref="F7" xr:uid="{99082574-ED3E-2D41-B667-FE7B0C57A137}">
      <formula1>KV_DD_JULI_7</formula1>
    </dataValidation>
    <dataValidation type="list" allowBlank="1" showInputMessage="1" showErrorMessage="1" sqref="F8" xr:uid="{25675D80-027B-D24F-96AA-9C14D89B4E94}">
      <formula1>KV_DD_JULI_8</formula1>
    </dataValidation>
    <dataValidation type="list" allowBlank="1" showInputMessage="1" showErrorMessage="1" sqref="F9" xr:uid="{B5E35980-1C90-894C-A6ED-F79C14735CD4}">
      <formula1>KV_DD_JULI_9</formula1>
    </dataValidation>
    <dataValidation type="list" allowBlank="1" showInputMessage="1" showErrorMessage="1" sqref="F10" xr:uid="{17506920-8C4B-7F4C-A329-C4C881B7AF00}">
      <formula1>KV_DD_JULI_10</formula1>
    </dataValidation>
    <dataValidation type="list" allowBlank="1" showInputMessage="1" showErrorMessage="1" sqref="F11" xr:uid="{5105BB98-2901-824D-99D6-2A1BDB81F9D3}">
      <formula1>KV_DD_JULI_11</formula1>
    </dataValidation>
    <dataValidation type="list" allowBlank="1" showInputMessage="1" showErrorMessage="1" sqref="F12" xr:uid="{B01706D7-D56B-B941-A3F5-5379B218871D}">
      <formula1>KV_DD_JULI_12</formula1>
    </dataValidation>
    <dataValidation type="list" allowBlank="1" showInputMessage="1" showErrorMessage="1" sqref="F13" xr:uid="{FCB4EF45-E344-BE41-B050-3C52BA016E1C}">
      <formula1>KV_DD_JULI_13</formula1>
    </dataValidation>
    <dataValidation type="list" allowBlank="1" showInputMessage="1" showErrorMessage="1" sqref="F14" xr:uid="{902E33DD-FF14-CA4C-BB0E-53549D66D2A3}">
      <formula1>KV_DD_JULI_14</formula1>
    </dataValidation>
    <dataValidation type="list" allowBlank="1" showInputMessage="1" showErrorMessage="1" sqref="F15" xr:uid="{73719BA5-9391-0A4F-8B3A-0E9980DF80AE}">
      <formula1>KV_DD_JULI_15</formula1>
    </dataValidation>
    <dataValidation type="list" allowBlank="1" showInputMessage="1" showErrorMessage="1" sqref="F16" xr:uid="{F886C09C-2B60-4F4B-B39B-2652D8B9105C}">
      <formula1>KV_DD_JULI_16</formula1>
    </dataValidation>
    <dataValidation type="list" allowBlank="1" showInputMessage="1" showErrorMessage="1" sqref="F17" xr:uid="{90FA5D8C-7414-134F-BBB4-6A084397B7F5}">
      <formula1>KV_DD_JULI_17</formula1>
    </dataValidation>
    <dataValidation type="list" allowBlank="1" showInputMessage="1" showErrorMessage="1" sqref="F18" xr:uid="{A2F0A2B1-2832-9148-BD7B-8D2D8524E7F3}">
      <formula1>KV_DD_JULI_18</formula1>
    </dataValidation>
    <dataValidation type="list" allowBlank="1" showInputMessage="1" showErrorMessage="1" sqref="F19" xr:uid="{B5BDB2BB-A047-D44A-8832-C19C752D999F}">
      <formula1>KV_DD_JULI_19</formula1>
    </dataValidation>
    <dataValidation type="list" allowBlank="1" showInputMessage="1" showErrorMessage="1" sqref="F20" xr:uid="{F4F43748-4646-8E47-862F-8D3382272D1F}">
      <formula1>KV_DD_JULI_20</formula1>
    </dataValidation>
    <dataValidation type="list" allowBlank="1" showInputMessage="1" showErrorMessage="1" sqref="F21" xr:uid="{2F1BBF81-A412-6747-B5D2-AF6C129CE7F2}">
      <formula1>KV_DD_JULI_21</formula1>
    </dataValidation>
    <dataValidation type="list" allowBlank="1" showInputMessage="1" showErrorMessage="1" sqref="F22" xr:uid="{F68669D4-20A7-D341-B2C5-BEF67552AFD1}">
      <formula1>KV_DD_JULI_22</formula1>
    </dataValidation>
    <dataValidation type="list" allowBlank="1" showInputMessage="1" showErrorMessage="1" sqref="F23" xr:uid="{91B7EBA9-5F58-EA49-8391-718D350502EB}">
      <formula1>KV_DD_JULI_23</formula1>
    </dataValidation>
    <dataValidation type="list" allowBlank="1" showInputMessage="1" showErrorMessage="1" sqref="F24" xr:uid="{71CAB67F-E501-F742-A1FA-C93EBB904240}">
      <formula1>KV_DD_JULI_24</formula1>
    </dataValidation>
    <dataValidation type="list" allowBlank="1" showInputMessage="1" showErrorMessage="1" sqref="F25" xr:uid="{698FDF89-3162-E04F-9C73-D05D41E3E8C6}">
      <formula1>KV_DD_JULI_25</formula1>
    </dataValidation>
    <dataValidation type="list" allowBlank="1" showInputMessage="1" showErrorMessage="1" sqref="F26" xr:uid="{5A2FBFAD-795A-4A4C-8FA5-88E3F4087191}">
      <formula1>KV_DD_JULI_26</formula1>
    </dataValidation>
    <dataValidation type="list" allowBlank="1" showInputMessage="1" showErrorMessage="1" sqref="F27" xr:uid="{46CD7713-BAED-B740-98CC-5A6B684751BD}">
      <formula1>KV_DD_JULI_27</formula1>
    </dataValidation>
    <dataValidation type="list" allowBlank="1" showInputMessage="1" showErrorMessage="1" sqref="F28" xr:uid="{B8DFA488-9A01-EA4B-BA3B-DF4F1D64D0CB}">
      <formula1>KV_DD_JULI_28</formula1>
    </dataValidation>
    <dataValidation type="list" allowBlank="1" showInputMessage="1" showErrorMessage="1" sqref="F29" xr:uid="{AA5A3A04-9A88-3F48-9136-4F8CE8DE65D5}">
      <formula1>KV_DD_JULI_29</formula1>
    </dataValidation>
    <dataValidation type="list" allowBlank="1" showInputMessage="1" showErrorMessage="1" sqref="F30" xr:uid="{6B875379-EFE2-AC42-BEF9-5B3704A41835}">
      <formula1>KV_DD_JULI_30</formula1>
    </dataValidation>
    <dataValidation type="list" allowBlank="1" showInputMessage="1" showErrorMessage="1" sqref="F31" xr:uid="{CA9AF1A1-87F0-7F4D-ACB1-46352C0B4293}">
      <formula1>KV_DD_JULI_31</formula1>
    </dataValidation>
    <dataValidation type="list" allowBlank="1" showInputMessage="1" showErrorMessage="1" sqref="F32" xr:uid="{540ADBB2-DCD3-D946-811C-F01D586ECC06}">
      <formula1>KV_DD_JULI_32</formula1>
    </dataValidation>
    <dataValidation type="list" allowBlank="1" showInputMessage="1" showErrorMessage="1" sqref="F33" xr:uid="{4F136261-299B-254B-AB5F-C154617BCD8A}">
      <formula1>KV_DD_JULI_33</formula1>
    </dataValidation>
    <dataValidation type="list" allowBlank="1" showInputMessage="1" showErrorMessage="1" sqref="F34" xr:uid="{93CAD335-03E4-D94B-B175-1765B151CD7D}">
      <formula1>KV_DD_JULI_34</formula1>
    </dataValidation>
    <dataValidation type="list" allowBlank="1" showInputMessage="1" showErrorMessage="1" sqref="F35" xr:uid="{68A26C70-434C-1C47-9B50-72E138873396}">
      <formula1>KV_DD_JULI_35</formula1>
    </dataValidation>
    <dataValidation type="list" allowBlank="1" showInputMessage="1" showErrorMessage="1" sqref="F36" xr:uid="{2A919D54-AAA6-6344-A96A-6AC1BDBB1DB6}">
      <formula1>KV_DD_JULI_36</formula1>
    </dataValidation>
    <dataValidation type="list" allowBlank="1" showInputMessage="1" showErrorMessage="1" sqref="F37" xr:uid="{3FD06028-B9AB-CF48-BCF4-A629119A741C}">
      <formula1>KV_DD_JULI_37</formula1>
    </dataValidation>
    <dataValidation type="list" allowBlank="1" showInputMessage="1" showErrorMessage="1" sqref="F38" xr:uid="{D092A3F8-316B-D146-B483-0C90D6C4D9EA}">
      <formula1>KV_DD_JULI_38</formula1>
    </dataValidation>
    <dataValidation type="list" allowBlank="1" showInputMessage="1" showErrorMessage="1" sqref="F39" xr:uid="{4F2DE2EA-C3A1-B242-9474-A02A4E6ECD0D}">
      <formula1>KV_DD_JULI_39</formula1>
    </dataValidation>
    <dataValidation type="list" allowBlank="1" showInputMessage="1" showErrorMessage="1" sqref="F40" xr:uid="{45E1BE62-E397-AE44-AC22-A1963C7A2D05}">
      <formula1>KV_DD_JULI_40</formula1>
    </dataValidation>
    <dataValidation type="list" allowBlank="1" showInputMessage="1" showErrorMessage="1" sqref="F41" xr:uid="{3BDAD3E9-042E-4447-9333-83DBD4911E11}">
      <formula1>KV_DD_JULI_41</formula1>
    </dataValidation>
    <dataValidation type="list" allowBlank="1" showInputMessage="1" showErrorMessage="1" sqref="F42" xr:uid="{785C315C-E99E-2F4A-A0CA-577E81DCDCE7}">
      <formula1>KV_DD_JULI_42</formula1>
    </dataValidation>
    <dataValidation type="list" allowBlank="1" showInputMessage="1" showErrorMessage="1" sqref="F43" xr:uid="{3E474902-41A4-9D4A-85AF-150F418BF256}">
      <formula1>KV_DD_JULI_43</formula1>
    </dataValidation>
    <dataValidation type="list" allowBlank="1" showInputMessage="1" showErrorMessage="1" sqref="F44" xr:uid="{A59FA30B-31D3-6141-B456-7AFD5EBE9A27}">
      <formula1>KV_DD_JULI_44</formula1>
    </dataValidation>
    <dataValidation type="list" allowBlank="1" showInputMessage="1" showErrorMessage="1" sqref="F45" xr:uid="{336BF4C6-18A0-684A-82B1-FA02C9CC43DE}">
      <formula1>KV_DD_JULI_45</formula1>
    </dataValidation>
    <dataValidation type="list" allowBlank="1" showInputMessage="1" showErrorMessage="1" sqref="F46" xr:uid="{406F91ED-AD83-B542-99DB-4E84D47A4C6B}">
      <formula1>KV_DD_JULI_46</formula1>
    </dataValidation>
    <dataValidation type="list" allowBlank="1" showInputMessage="1" showErrorMessage="1" sqref="F47" xr:uid="{9AA0024F-72D6-4D4A-AFC4-F8348A8579BB}">
      <formula1>KV_DD_JULI_47</formula1>
    </dataValidation>
    <dataValidation type="list" allowBlank="1" showInputMessage="1" showErrorMessage="1" sqref="F48" xr:uid="{6EBE5451-D8A4-CB4C-8A00-EBBEF22EB481}">
      <formula1>KV_DD_JULI_48</formula1>
    </dataValidation>
    <dataValidation type="list" allowBlank="1" showInputMessage="1" showErrorMessage="1" sqref="F49" xr:uid="{2BA1A6EE-B12A-0445-8281-F1975EF32088}">
      <formula1>KV_DD_JULI_49</formula1>
    </dataValidation>
    <dataValidation type="list" allowBlank="1" showInputMessage="1" showErrorMessage="1" sqref="F50" xr:uid="{23EC836F-AF27-8143-A301-4CFE8BFF6C7F}">
      <formula1>KV_DD_JULI_50</formula1>
    </dataValidation>
    <dataValidation type="list" allowBlank="1" showInputMessage="1" showErrorMessage="1" sqref="F51" xr:uid="{AB870C16-2B8B-FC45-86D3-E2A0E52BE3AA}">
      <formula1>KV_DD_JULI_51</formula1>
    </dataValidation>
    <dataValidation type="list" allowBlank="1" showInputMessage="1" showErrorMessage="1" sqref="F52" xr:uid="{16A7B932-A71E-B549-87D1-15ACD96AE35A}">
      <formula1>KV_DD_JULI_52</formula1>
    </dataValidation>
    <dataValidation type="list" allowBlank="1" showInputMessage="1" showErrorMessage="1" sqref="F53" xr:uid="{8413E4EB-FF74-4244-801B-9E4966CD2791}">
      <formula1>KV_DD_JULI_53</formula1>
    </dataValidation>
    <dataValidation type="list" allowBlank="1" showInputMessage="1" showErrorMessage="1" sqref="F54" xr:uid="{B2A1816B-9261-4C7A-85C9-8DCAB41D27FD}">
      <formula1>KV_DD_JULI_54</formula1>
    </dataValidation>
    <dataValidation type="list" allowBlank="1" showInputMessage="1" showErrorMessage="1" sqref="F55" xr:uid="{E27EF2F2-6A12-43EE-ADED-01088D314374}">
      <formula1>KV_DD_JULI_55</formula1>
    </dataValidation>
    <dataValidation type="list" allowBlank="1" showInputMessage="1" showErrorMessage="1" sqref="F56" xr:uid="{FFFDF2ED-A619-CF40-B6F5-33A5FBB865E3}">
      <formula1>KV_DD_JULI_56</formula1>
    </dataValidation>
    <dataValidation type="list" allowBlank="1" showInputMessage="1" showErrorMessage="1" sqref="F57" xr:uid="{79AC08FF-7A3A-7246-B1A1-B29BCE7B5F1F}">
      <formula1>KV_DD_JULI_57</formula1>
    </dataValidation>
    <dataValidation type="list" allowBlank="1" showInputMessage="1" showErrorMessage="1" sqref="F58" xr:uid="{9FF4BD59-6361-3549-B370-736FDAB64D5E}">
      <formula1>KV_DD_JULI_58</formula1>
    </dataValidation>
    <dataValidation type="list" allowBlank="1" showInputMessage="1" showErrorMessage="1" sqref="F59" xr:uid="{FAA2B47C-9330-D949-BF9F-1150462EAD00}">
      <formula1>KV_DD_JULI_59</formula1>
    </dataValidation>
    <dataValidation type="list" allowBlank="1" showInputMessage="1" showErrorMessage="1" sqref="F60" xr:uid="{0F48DB98-7A00-724D-939F-9B1E0706459B}">
      <formula1>KV_DD_JULI_60</formula1>
    </dataValidation>
    <dataValidation type="list" allowBlank="1" showInputMessage="1" showErrorMessage="1" sqref="F61" xr:uid="{D21CE61E-AD22-BA4E-B2B4-151A31352BCF}">
      <formula1>KV_DD_JULI_61</formula1>
    </dataValidation>
    <dataValidation type="list" allowBlank="1" showInputMessage="1" showErrorMessage="1" sqref="F62" xr:uid="{169B233C-20C7-BE46-824C-27B8A7BE1D23}">
      <formula1>KV_DD_JULI_62</formula1>
    </dataValidation>
    <dataValidation type="date" allowBlank="1" showDropDown="1" showErrorMessage="1" sqref="I3:I82" xr:uid="{FB606A58-1221-1945-8238-41290EDC0CD8}">
      <formula1>$AB$1</formula1>
      <formula2>$AB$2</formula2>
    </dataValidation>
    <dataValidation type="list" allowBlank="1" showInputMessage="1" showErrorMessage="1" sqref="F63" xr:uid="{63D9B1C9-705F-3046-AF8C-87837F6C7A45}">
      <formula1>KV_DD_JULI_63</formula1>
    </dataValidation>
    <dataValidation type="list" allowBlank="1" showInputMessage="1" showErrorMessage="1" sqref="F64" xr:uid="{9546E83E-8256-3249-A809-BE08F4B4A764}">
      <formula1>KV_DD_JULI_64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269099-40F6-F94C-B200-56470240EA22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44A6-82D4-4CE3-9E32-A09C123FE41D}">
  <sheetPr codeName="Tabelle10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8</v>
      </c>
      <c r="B1" s="302" t="s">
        <v>191</v>
      </c>
      <c r="C1" s="314" t="s">
        <v>40</v>
      </c>
      <c r="D1" s="286" t="s">
        <v>192</v>
      </c>
      <c r="E1" s="286" t="s">
        <v>0</v>
      </c>
      <c r="F1" s="286" t="s">
        <v>41</v>
      </c>
      <c r="G1" s="288" t="s">
        <v>42</v>
      </c>
      <c r="H1" s="305" t="s">
        <v>43</v>
      </c>
      <c r="I1" s="290" t="s">
        <v>193</v>
      </c>
      <c r="J1" s="292" t="s">
        <v>44</v>
      </c>
      <c r="K1" s="294" t="s">
        <v>45</v>
      </c>
      <c r="L1" s="296" t="s">
        <v>46</v>
      </c>
      <c r="M1" s="298" t="s">
        <v>47</v>
      </c>
      <c r="N1" s="303" t="s">
        <v>194</v>
      </c>
      <c r="AB1" s="8">
        <f>DATE(EINSTELLUNG!$C$35,$A$1,1)</f>
        <v>46235</v>
      </c>
    </row>
    <row r="2" spans="1:28" ht="16" customHeight="1" thickBot="1">
      <c r="A2" s="39"/>
      <c r="B2" s="302"/>
      <c r="C2" s="315"/>
      <c r="D2" s="287"/>
      <c r="E2" s="287"/>
      <c r="F2" s="287"/>
      <c r="G2" s="289"/>
      <c r="H2" s="306"/>
      <c r="I2" s="291"/>
      <c r="J2" s="293"/>
      <c r="K2" s="295"/>
      <c r="L2" s="297"/>
      <c r="M2" s="299"/>
      <c r="N2" s="303"/>
      <c r="AB2" s="8">
        <f>EOMONTH(DATE(EINSTELLUNG!$C$35,$A$1,1),0)</f>
        <v>46265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138.4</v>
      </c>
      <c r="G3" s="88">
        <f>IF(OR(E3="",F3=""),"",PID_KVLohnLookup($A$1,E3,F3,LOHNTABELLE!$H$4))</f>
        <v>2300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2300</v>
      </c>
      <c r="M3" s="70"/>
      <c r="N3" s="54"/>
      <c r="O3" s="300" t="s">
        <v>49</v>
      </c>
      <c r="P3" s="300" t="s">
        <v>50</v>
      </c>
      <c r="Q3" s="307" t="s">
        <v>51</v>
      </c>
      <c r="R3" s="309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301"/>
      <c r="P4" s="301"/>
      <c r="Q4" s="308"/>
      <c r="R4" s="310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883.15397020697765</v>
      </c>
      <c r="P5" s="15">
        <f>EINSTELLUNG!I13</f>
        <v>620</v>
      </c>
      <c r="Q5" s="14">
        <f>P5-O5</f>
        <v>-263.15397020697765</v>
      </c>
      <c r="R5" s="18">
        <f>IFERROR(Q5*Q42, 0)</f>
        <v>-3378.4778094017447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311" t="str">
        <f>IF(Q5&lt;0, "Schlecht! Zu wenig Urlaub abgebaut.", IF(Q5&gt;0, "Gut! Mehr Urlaub abgebaut als aufgebaut.", ""))</f>
        <v>Schlecht! Zu wenig Urlaub abgebaut.</v>
      </c>
      <c r="P6" s="312"/>
      <c r="Q6" s="312"/>
      <c r="R6" s="313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66" t="s">
        <v>58</v>
      </c>
      <c r="P8" s="267"/>
      <c r="Q8" s="268">
        <f>SUM(H3:H82)</f>
        <v>9065.1899999999987</v>
      </c>
      <c r="R8" s="268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66" t="s">
        <v>60</v>
      </c>
      <c r="P9" s="267"/>
      <c r="Q9" s="268">
        <f>EINSTELLUNG!L29</f>
        <v>8</v>
      </c>
      <c r="R9" s="268"/>
      <c r="S9" s="19">
        <f>IFERROR(Q9/Q8, 0)</f>
        <v>8.8249667133286796E-4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66" t="s">
        <v>62</v>
      </c>
      <c r="P10" s="267"/>
      <c r="Q10" s="268">
        <f>EINSTELLUNG!I29</f>
        <v>150</v>
      </c>
      <c r="R10" s="268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66" t="s">
        <v>64</v>
      </c>
      <c r="P11" s="267"/>
      <c r="Q11" s="268">
        <f>P5</f>
        <v>620</v>
      </c>
      <c r="R11" s="268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66" t="s">
        <v>68</v>
      </c>
      <c r="P12" s="267"/>
      <c r="Q12" s="268">
        <f>Q8-Q9-Q10-Q11</f>
        <v>8287.1899999999987</v>
      </c>
      <c r="R12" s="268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66" t="s">
        <v>70</v>
      </c>
      <c r="P13" s="267"/>
      <c r="Q13" s="268">
        <f>EINSTELLUNG!L13</f>
        <v>9300</v>
      </c>
      <c r="R13" s="268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66" t="s">
        <v>72</v>
      </c>
      <c r="P14" s="267"/>
      <c r="Q14" s="268">
        <f>Q12-Q13</f>
        <v>-1012.8100000000013</v>
      </c>
      <c r="R14" s="268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390" t="str">
        <f>IF(Q14&lt;0, "Schlecht! Zu wenig Stunden für Dienstplan.", IF(Q14&gt;0, "Du hast mehr als genug Stunden für Dienstplan.", ""))</f>
        <v>Schlecht! Zu wenig Stunden für Dienstplan.</v>
      </c>
      <c r="P15" s="390"/>
      <c r="Q15" s="390"/>
      <c r="R15" s="390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2100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2100</v>
      </c>
      <c r="M17" s="71"/>
      <c r="N17" s="55"/>
      <c r="O17" s="269" t="s">
        <v>75</v>
      </c>
      <c r="P17" s="270"/>
      <c r="Q17" s="271">
        <f>SUM(L3:L82)</f>
        <v>116382.6</v>
      </c>
      <c r="R17" s="271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2100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2100</v>
      </c>
      <c r="M18" s="71"/>
      <c r="N18" s="55"/>
      <c r="O18" s="260"/>
      <c r="P18" s="261"/>
      <c r="Q18" s="262"/>
      <c r="R18" s="263"/>
    </row>
    <row r="19" spans="1:29" ht="16" customHeight="1" thickBot="1">
      <c r="A19" s="40" t="s">
        <v>77</v>
      </c>
      <c r="B19" s="77">
        <v>401479</v>
      </c>
      <c r="C19" s="46" t="s">
        <v>250</v>
      </c>
      <c r="D19" s="96">
        <v>44511</v>
      </c>
      <c r="E19" s="44" t="s">
        <v>6</v>
      </c>
      <c r="F19" s="45">
        <v>173</v>
      </c>
      <c r="G19" s="89">
        <f>IF(OR(E19="",F19=""),"",PID_KVLohnLookup($A$1,E19,F19,LOHNTABELLE!$H$4))</f>
        <v>2160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71"/>
      <c r="N19" s="55"/>
      <c r="O19" s="260"/>
      <c r="P19" s="261"/>
      <c r="Q19" s="262"/>
      <c r="R19" s="263"/>
    </row>
    <row r="20" spans="1:29" ht="16" customHeight="1" thickBot="1">
      <c r="A20" s="40" t="s">
        <v>78</v>
      </c>
      <c r="B20" s="77">
        <v>401481</v>
      </c>
      <c r="C20" s="46" t="s">
        <v>251</v>
      </c>
      <c r="D20" s="96">
        <v>44531</v>
      </c>
      <c r="E20" s="44" t="s">
        <v>2</v>
      </c>
      <c r="F20" s="45">
        <v>173</v>
      </c>
      <c r="G20" s="89">
        <f>IF(OR(E20="",F20=""),"",PID_KVLohnLookup($A$1,E20,F20,LOHNTABELLE!$H$4))</f>
        <v>2100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2100</v>
      </c>
      <c r="M20" s="71"/>
      <c r="N20" s="55"/>
      <c r="O20" s="260"/>
      <c r="P20" s="261"/>
      <c r="Q20" s="262"/>
      <c r="R20" s="263"/>
    </row>
    <row r="21" spans="1:29" ht="16" customHeight="1" thickBot="1">
      <c r="A21" s="41" t="s">
        <v>80</v>
      </c>
      <c r="B21" s="77">
        <v>401558</v>
      </c>
      <c r="C21" s="46" t="s">
        <v>248</v>
      </c>
      <c r="D21" s="96">
        <v>44460</v>
      </c>
      <c r="E21" s="44" t="s">
        <v>2</v>
      </c>
      <c r="F21" s="45">
        <v>173</v>
      </c>
      <c r="G21" s="89">
        <f>IF(OR(E21="",F21=""),"",PID_KVLohnLookup($A$1,E21,F21,LOHNTABELLE!$H$4))</f>
        <v>2100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2100</v>
      </c>
      <c r="M21" s="71"/>
      <c r="N21" s="55"/>
      <c r="O21" s="260" t="s">
        <v>320</v>
      </c>
      <c r="P21" s="261"/>
      <c r="Q21" s="262">
        <v>5000</v>
      </c>
      <c r="R21" s="263"/>
    </row>
    <row r="22" spans="1:29" ht="16" customHeight="1" thickBot="1">
      <c r="A22" s="40" t="s">
        <v>81</v>
      </c>
      <c r="B22" s="77">
        <v>401564</v>
      </c>
      <c r="C22" s="46" t="s">
        <v>252</v>
      </c>
      <c r="D22" s="96">
        <v>44824</v>
      </c>
      <c r="E22" s="44" t="s">
        <v>2</v>
      </c>
      <c r="F22" s="45">
        <v>173</v>
      </c>
      <c r="G22" s="89">
        <f>IF(OR(E22="",F22=""),"",PID_KVLohnLookup($A$1,E22,F22,LOHNTABELLE!$H$4))</f>
        <v>2100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2100</v>
      </c>
      <c r="M22" s="71"/>
      <c r="N22" s="55"/>
      <c r="O22" s="260"/>
      <c r="P22" s="261"/>
      <c r="Q22" s="262"/>
      <c r="R22" s="263"/>
    </row>
    <row r="23" spans="1:29" ht="16" customHeight="1" thickBot="1">
      <c r="A23" s="40" t="s">
        <v>82</v>
      </c>
      <c r="B23" s="77">
        <v>401583</v>
      </c>
      <c r="C23" s="46" t="s">
        <v>254</v>
      </c>
      <c r="D23" s="96">
        <v>44900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260"/>
      <c r="P23" s="261"/>
      <c r="Q23" s="262"/>
      <c r="R23" s="263"/>
      <c r="W23" s="12"/>
    </row>
    <row r="24" spans="1:29" ht="16" customHeight="1" thickBot="1">
      <c r="A24" s="40" t="s">
        <v>83</v>
      </c>
      <c r="B24" s="77">
        <v>401589</v>
      </c>
      <c r="C24" s="46" t="s">
        <v>255</v>
      </c>
      <c r="D24" s="96">
        <v>44926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60"/>
      <c r="P24" s="261"/>
      <c r="Q24" s="262"/>
      <c r="R24" s="263"/>
      <c r="W24" s="12"/>
    </row>
    <row r="25" spans="1:29" ht="16" customHeight="1" thickBot="1">
      <c r="A25" s="41" t="s">
        <v>84</v>
      </c>
      <c r="B25" s="77">
        <v>401602</v>
      </c>
      <c r="C25" s="46" t="s">
        <v>256</v>
      </c>
      <c r="D25" s="96">
        <v>45975</v>
      </c>
      <c r="E25" s="44" t="s">
        <v>2</v>
      </c>
      <c r="F25" s="45">
        <v>173</v>
      </c>
      <c r="G25" s="89">
        <f>IF(OR(E25="",F25=""),"",PID_KVLohnLookup($A$1,E25,F25,LOHNTABELLE!$H$4))</f>
        <v>2100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2100</v>
      </c>
      <c r="M25" s="71"/>
      <c r="N25" s="55"/>
      <c r="O25" s="277"/>
      <c r="P25" s="278"/>
      <c r="Q25" s="279"/>
      <c r="R25" s="280"/>
    </row>
    <row r="26" spans="1:29" ht="16" customHeight="1" thickBot="1">
      <c r="A26" s="40" t="s">
        <v>85</v>
      </c>
      <c r="B26" s="77">
        <v>401605</v>
      </c>
      <c r="C26" s="46" t="s">
        <v>257</v>
      </c>
      <c r="D26" s="96">
        <v>44986</v>
      </c>
      <c r="E26" s="44" t="s">
        <v>2</v>
      </c>
      <c r="F26" s="45">
        <v>173</v>
      </c>
      <c r="G26" s="89">
        <f>IF(OR(E26="",F26=""),"",PID_KVLohnLookup($A$1,E26,F26,LOHNTABELLE!$H$4))</f>
        <v>2100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2100</v>
      </c>
      <c r="M26" s="71"/>
      <c r="N26" s="55"/>
      <c r="O26" s="282"/>
      <c r="P26" s="350"/>
      <c r="Q26" s="283"/>
      <c r="R26" s="284"/>
    </row>
    <row r="27" spans="1:29" ht="16" customHeight="1" thickBot="1">
      <c r="A27" s="40" t="s">
        <v>86</v>
      </c>
      <c r="B27" s="77">
        <v>401626</v>
      </c>
      <c r="C27" s="46" t="s">
        <v>258</v>
      </c>
      <c r="D27" s="96">
        <v>45063</v>
      </c>
      <c r="E27" s="44" t="s">
        <v>2</v>
      </c>
      <c r="F27" s="45">
        <v>173</v>
      </c>
      <c r="G27" s="89">
        <f>IF(OR(E27="",F27=""),"",PID_KVLohnLookup($A$1,E27,F27,LOHNTABELLE!$H$4))</f>
        <v>2100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2100</v>
      </c>
      <c r="M27" s="71"/>
      <c r="N27" s="55"/>
      <c r="O27" s="240"/>
      <c r="P27" s="241"/>
      <c r="Q27" s="263"/>
      <c r="R27" s="285"/>
      <c r="S27" s="244" t="s">
        <v>87</v>
      </c>
      <c r="T27" s="245"/>
      <c r="U27" s="245"/>
      <c r="V27" s="245"/>
    </row>
    <row r="28" spans="1:29" ht="16" customHeight="1" thickBot="1">
      <c r="A28" s="40" t="s">
        <v>88</v>
      </c>
      <c r="B28" s="77">
        <v>401633</v>
      </c>
      <c r="C28" s="46" t="s">
        <v>259</v>
      </c>
      <c r="D28" s="96">
        <v>45089</v>
      </c>
      <c r="E28" s="44" t="s">
        <v>10</v>
      </c>
      <c r="F28" s="45">
        <v>173</v>
      </c>
      <c r="G28" s="89">
        <f>IF(OR(E28="",F28=""),"",PID_KVLohnLookup($A$1,E28,F28,LOHNTABELLE!$H$4))</f>
        <v>2300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71"/>
      <c r="N28" s="55"/>
      <c r="O28" s="273"/>
      <c r="P28" s="274"/>
      <c r="Q28" s="275"/>
      <c r="R28" s="276"/>
    </row>
    <row r="29" spans="1:29" ht="16" customHeight="1" thickBot="1">
      <c r="A29" s="41" t="s">
        <v>89</v>
      </c>
      <c r="B29" s="77">
        <v>401647</v>
      </c>
      <c r="C29" s="46" t="s">
        <v>260</v>
      </c>
      <c r="D29" s="96">
        <v>45182</v>
      </c>
      <c r="E29" s="44" t="s">
        <v>2</v>
      </c>
      <c r="F29" s="45">
        <v>173</v>
      </c>
      <c r="G29" s="89">
        <f>IF(OR(E29="",F29=""),"",PID_KVLohnLookup($A$1,E29,F29,LOHNTABELLE!$H$4))</f>
        <v>2100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2100</v>
      </c>
      <c r="M29" s="71"/>
      <c r="N29" s="55"/>
      <c r="O29" s="248" t="s">
        <v>90</v>
      </c>
      <c r="P29" s="249"/>
      <c r="Q29" s="250">
        <f>EINSTELLUNG!O13</f>
        <v>1250</v>
      </c>
      <c r="R29" s="251"/>
    </row>
    <row r="30" spans="1:29" ht="16" customHeight="1" thickBot="1">
      <c r="A30" s="40" t="s">
        <v>91</v>
      </c>
      <c r="B30" s="77">
        <v>401661</v>
      </c>
      <c r="C30" s="46" t="s">
        <v>261</v>
      </c>
      <c r="D30" s="96">
        <v>45261</v>
      </c>
      <c r="E30" s="44" t="s">
        <v>2</v>
      </c>
      <c r="F30" s="45">
        <v>173</v>
      </c>
      <c r="G30" s="89">
        <f>IF(OR(E30="",F30=""),"",PID_KVLohnLookup($A$1,E30,F30,LOHNTABELLE!$H$4))</f>
        <v>2100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2100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401670</v>
      </c>
      <c r="C31" s="48" t="s">
        <v>262</v>
      </c>
      <c r="D31" s="96">
        <v>45358</v>
      </c>
      <c r="E31" s="44" t="s">
        <v>2</v>
      </c>
      <c r="F31" s="45">
        <v>173</v>
      </c>
      <c r="G31" s="89">
        <f>IF(OR(E31="",F31=""),"",PID_KVLohnLookup($A$1,E31,F31,LOHNTABELLE!$H$4))</f>
        <v>2100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2100</v>
      </c>
      <c r="M31" s="71"/>
      <c r="N31" s="55"/>
      <c r="O31" s="252">
        <v>0</v>
      </c>
      <c r="P31" s="253"/>
      <c r="Q31" s="254">
        <v>3.3898305084745763E-2</v>
      </c>
      <c r="R31" s="255"/>
    </row>
    <row r="32" spans="1:29" ht="16" customHeight="1" thickBot="1">
      <c r="A32" s="40" t="s">
        <v>94</v>
      </c>
      <c r="B32" s="77">
        <v>401678</v>
      </c>
      <c r="C32" s="46" t="s">
        <v>263</v>
      </c>
      <c r="D32" s="96">
        <v>45414</v>
      </c>
      <c r="E32" s="44" t="s">
        <v>2</v>
      </c>
      <c r="F32" s="45">
        <v>173</v>
      </c>
      <c r="G32" s="89">
        <f>IF(OR(E32="",F32=""),"",PID_KVLohnLookup($A$1,E32,F32,LOHNTABELLE!$H$4))</f>
        <v>2100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2100</v>
      </c>
      <c r="M32" s="71"/>
      <c r="N32" s="55"/>
    </row>
    <row r="33" spans="1:24" ht="16" customHeight="1" thickBot="1">
      <c r="A33" s="41" t="s">
        <v>95</v>
      </c>
      <c r="B33" s="77">
        <v>401690</v>
      </c>
      <c r="C33" s="46" t="s">
        <v>265</v>
      </c>
      <c r="D33" s="96">
        <v>45536</v>
      </c>
      <c r="E33" s="44" t="s">
        <v>2</v>
      </c>
      <c r="F33" s="45">
        <v>173</v>
      </c>
      <c r="G33" s="89">
        <f>IF(OR(E33="",F33=""),"",PID_KVLohnLookup($A$1,E33,F33,LOHNTABELLE!$H$4))</f>
        <v>2100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2100</v>
      </c>
      <c r="M33" s="71"/>
      <c r="N33" s="55"/>
      <c r="O33" s="256"/>
      <c r="P33" s="257"/>
      <c r="Q33" s="258" t="str">
        <f>EINSTELLUNG!B3</f>
        <v>Budget Zahlen</v>
      </c>
      <c r="R33" s="258"/>
      <c r="S33" s="259" t="str">
        <f>EINSTELLUNG!B19</f>
        <v>Projection/Aktuell Zahlen</v>
      </c>
      <c r="T33" s="259"/>
      <c r="U33" s="259" t="s">
        <v>98</v>
      </c>
      <c r="V33" s="259"/>
    </row>
    <row r="34" spans="1:24" ht="16" customHeight="1" thickBot="1">
      <c r="A34" s="40" t="s">
        <v>99</v>
      </c>
      <c r="B34" s="77">
        <v>401703</v>
      </c>
      <c r="C34" s="46" t="s">
        <v>266</v>
      </c>
      <c r="D34" s="96">
        <v>45616</v>
      </c>
      <c r="E34" s="44" t="s">
        <v>2</v>
      </c>
      <c r="F34" s="45">
        <v>173</v>
      </c>
      <c r="G34" s="89">
        <f>IF(OR(E34="",F34=""),"",PID_KVLohnLookup($A$1,E34,F34,LOHNTABELLE!$H$4))</f>
        <v>2100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2100</v>
      </c>
      <c r="M34" s="71"/>
      <c r="N34" s="55"/>
      <c r="O34" s="256"/>
      <c r="P34" s="257"/>
      <c r="Q34" s="258"/>
      <c r="R34" s="258"/>
      <c r="S34" s="259"/>
      <c r="T34" s="259"/>
      <c r="U34" s="259"/>
      <c r="V34" s="259"/>
    </row>
    <row r="35" spans="1:24" ht="16" customHeight="1" thickBot="1">
      <c r="A35" s="40" t="s">
        <v>100</v>
      </c>
      <c r="B35" s="77">
        <v>401715</v>
      </c>
      <c r="C35" s="46" t="s">
        <v>268</v>
      </c>
      <c r="D35" s="96">
        <v>45755</v>
      </c>
      <c r="E35" s="44" t="s">
        <v>2</v>
      </c>
      <c r="F35" s="45">
        <v>173</v>
      </c>
      <c r="G35" s="89">
        <f>IF(OR(E35="",F35=""),"",PID_KVLohnLookup($A$1,E35,F35,LOHNTABELLE!$H$4))</f>
        <v>2100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2100</v>
      </c>
      <c r="M35" s="71"/>
      <c r="N35" s="55"/>
      <c r="O35" s="264" t="s">
        <v>101</v>
      </c>
      <c r="P35" s="265"/>
      <c r="Q35" s="238">
        <f>EINSTELLUNG!C13</f>
        <v>400000</v>
      </c>
      <c r="R35" s="238"/>
      <c r="S35" s="238">
        <f>EINSTELLUNG!C29</f>
        <v>435000</v>
      </c>
      <c r="T35" s="238"/>
      <c r="U35" s="242">
        <f>S35-Q35</f>
        <v>35000</v>
      </c>
      <c r="V35" s="242"/>
    </row>
    <row r="36" spans="1:24" ht="16" customHeight="1" thickBot="1">
      <c r="A36" s="40" t="s">
        <v>102</v>
      </c>
      <c r="B36" s="77">
        <v>401716</v>
      </c>
      <c r="C36" s="46" t="s">
        <v>269</v>
      </c>
      <c r="D36" s="96">
        <v>45800</v>
      </c>
      <c r="E36" s="44" t="s">
        <v>2</v>
      </c>
      <c r="F36" s="45">
        <v>173</v>
      </c>
      <c r="G36" s="89">
        <f>IF(OR(E36="",F36=""),"",PID_KVLohnLookup($A$1,E36,F36,LOHNTABELLE!$H$4))</f>
        <v>2100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2100</v>
      </c>
      <c r="M36" s="71"/>
      <c r="N36" s="55"/>
      <c r="O36" s="264" t="s">
        <v>103</v>
      </c>
      <c r="P36" s="265"/>
      <c r="Q36" s="238">
        <f>EINSTELLUNG!D13</f>
        <v>100000</v>
      </c>
      <c r="R36" s="238"/>
      <c r="S36" s="235">
        <f>SumMergedCells(Q17:R29)</f>
        <v>122632.6</v>
      </c>
      <c r="T36" s="237"/>
      <c r="U36" s="242">
        <f t="shared" ref="U36:U41" si="2">S36-Q36</f>
        <v>22632.600000000006</v>
      </c>
      <c r="V36" s="242"/>
    </row>
    <row r="37" spans="1:24" ht="16" customHeight="1" thickBot="1">
      <c r="A37" s="41" t="s">
        <v>104</v>
      </c>
      <c r="B37" s="77">
        <v>401717</v>
      </c>
      <c r="C37" s="46" t="s">
        <v>270</v>
      </c>
      <c r="D37" s="96">
        <v>45814</v>
      </c>
      <c r="E37" s="44" t="s">
        <v>2</v>
      </c>
      <c r="F37" s="45">
        <v>173</v>
      </c>
      <c r="G37" s="89">
        <f>IF(OR(E37="",F37=""),"",PID_KVLohnLookup($A$1,E37,F37,LOHNTABELLE!$H$4))</f>
        <v>2100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2100</v>
      </c>
      <c r="M37" s="71"/>
      <c r="N37" s="55"/>
      <c r="O37" s="264" t="s">
        <v>105</v>
      </c>
      <c r="P37" s="265"/>
      <c r="Q37" s="246">
        <f>IF(ISERROR(Q36/Q35), 0, Q36/Q35)</f>
        <v>0.25</v>
      </c>
      <c r="R37" s="246"/>
      <c r="S37" s="355">
        <f>IF(ISERROR(S36/S35), 0, S36/S35)</f>
        <v>0.28191402298850576</v>
      </c>
      <c r="T37" s="356"/>
      <c r="U37" s="247">
        <f t="shared" si="2"/>
        <v>3.1914022988505764E-2</v>
      </c>
      <c r="V37" s="247"/>
    </row>
    <row r="38" spans="1:24" ht="16" customHeight="1" thickBot="1">
      <c r="A38" s="40" t="s">
        <v>106</v>
      </c>
      <c r="B38" s="77">
        <v>401722</v>
      </c>
      <c r="C38" s="46" t="s">
        <v>271</v>
      </c>
      <c r="D38" s="96">
        <v>45848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64" t="s">
        <v>107</v>
      </c>
      <c r="P38" s="265"/>
      <c r="Q38" s="239">
        <f>EINSTELLUNG!F13</f>
        <v>30000</v>
      </c>
      <c r="R38" s="239"/>
      <c r="S38" s="239">
        <f>EINSTELLUNG!F29</f>
        <v>31000</v>
      </c>
      <c r="T38" s="239"/>
      <c r="U38" s="243">
        <f t="shared" si="2"/>
        <v>1000</v>
      </c>
      <c r="V38" s="243"/>
    </row>
    <row r="39" spans="1:24" ht="16" customHeight="1" thickBot="1">
      <c r="A39" s="40" t="s">
        <v>108</v>
      </c>
      <c r="B39" s="77">
        <v>401723</v>
      </c>
      <c r="C39" s="46" t="s">
        <v>272</v>
      </c>
      <c r="D39" s="96">
        <v>45852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64" t="s">
        <v>109</v>
      </c>
      <c r="P39" s="265"/>
      <c r="Q39" s="238">
        <f>IF(Q38=0, 0, Q35/Q38)</f>
        <v>13.333333333333334</v>
      </c>
      <c r="R39" s="238"/>
      <c r="S39" s="238">
        <f>IF(S38=0, 0, S35/S38)</f>
        <v>14.03225806451613</v>
      </c>
      <c r="T39" s="238"/>
      <c r="U39" s="242">
        <f t="shared" si="2"/>
        <v>0.69892473118279597</v>
      </c>
      <c r="V39" s="242"/>
    </row>
    <row r="40" spans="1:24" ht="16" customHeight="1" thickBot="1">
      <c r="A40" s="40" t="s">
        <v>110</v>
      </c>
      <c r="B40" s="77">
        <v>401726</v>
      </c>
      <c r="C40" s="46" t="s">
        <v>273</v>
      </c>
      <c r="D40" s="96">
        <v>45870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64" t="s">
        <v>111</v>
      </c>
      <c r="P40" s="265"/>
      <c r="Q40" s="238">
        <f>IF(Q12=0, 0, Q35/Q12)</f>
        <v>48.267265502540674</v>
      </c>
      <c r="R40" s="238"/>
      <c r="S40" s="238">
        <f>IF(Q12=0, 0, S35/Q12)</f>
        <v>52.490651234012986</v>
      </c>
      <c r="T40" s="238"/>
      <c r="U40" s="242">
        <f t="shared" si="2"/>
        <v>4.2233857314723124</v>
      </c>
      <c r="V40" s="242"/>
    </row>
    <row r="41" spans="1:24" ht="16" customHeight="1" thickBot="1">
      <c r="A41" s="41" t="s">
        <v>112</v>
      </c>
      <c r="B41" s="77">
        <v>401730</v>
      </c>
      <c r="C41" s="46" t="s">
        <v>275</v>
      </c>
      <c r="D41" s="96">
        <v>45895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64" t="s">
        <v>113</v>
      </c>
      <c r="P41" s="265"/>
      <c r="Q41" s="239">
        <f>IF(Q12=0, 0, Q38/Q12)</f>
        <v>3.6200449126905507</v>
      </c>
      <c r="R41" s="239"/>
      <c r="S41" s="239">
        <f>IF(Q12=0, 0, S38/Q12)</f>
        <v>3.7407130764469025</v>
      </c>
      <c r="T41" s="239"/>
      <c r="U41" s="243">
        <f t="shared" si="2"/>
        <v>0.12066816375635181</v>
      </c>
      <c r="V41" s="243"/>
    </row>
    <row r="42" spans="1:24" ht="16" customHeight="1" thickBot="1">
      <c r="A42" s="40" t="s">
        <v>114</v>
      </c>
      <c r="B42" s="77">
        <v>401731</v>
      </c>
      <c r="C42" s="46" t="s">
        <v>274</v>
      </c>
      <c r="D42" s="96">
        <v>45899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64" t="s">
        <v>115</v>
      </c>
      <c r="P42" s="265"/>
      <c r="Q42" s="235">
        <f>IFERROR(Q17/Q8, 0)</f>
        <v>12.83840713763308</v>
      </c>
      <c r="R42" s="236"/>
      <c r="S42" s="236"/>
      <c r="T42" s="236"/>
      <c r="U42" s="236"/>
      <c r="V42" s="237"/>
    </row>
    <row r="43" spans="1:24" ht="16" customHeight="1" thickBot="1">
      <c r="A43" s="40" t="s">
        <v>116</v>
      </c>
      <c r="B43" s="77">
        <v>401734</v>
      </c>
      <c r="C43" s="46" t="s">
        <v>276</v>
      </c>
      <c r="D43" s="96">
        <v>45904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401736</v>
      </c>
      <c r="C44" s="46" t="s">
        <v>277</v>
      </c>
      <c r="D44" s="96">
        <v>45906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401737</v>
      </c>
      <c r="C45" s="46" t="s">
        <v>278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401738</v>
      </c>
      <c r="C46" s="46" t="s">
        <v>279</v>
      </c>
      <c r="D46" s="96">
        <v>45909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401745</v>
      </c>
      <c r="C47" s="46" t="s">
        <v>283</v>
      </c>
      <c r="D47" s="96">
        <v>45934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401746</v>
      </c>
      <c r="C48" s="46" t="s">
        <v>282</v>
      </c>
      <c r="D48" s="96">
        <v>45941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41.85</v>
      </c>
      <c r="I48" s="99">
        <v>46249</v>
      </c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645</v>
      </c>
      <c r="M48" s="71"/>
      <c r="N48" s="55" t="s">
        <v>205</v>
      </c>
    </row>
    <row r="49" spans="1:14" ht="16" customHeight="1" thickBot="1">
      <c r="A49" s="41" t="s">
        <v>123</v>
      </c>
      <c r="B49" s="77">
        <v>401747</v>
      </c>
      <c r="C49" s="46" t="s">
        <v>280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44.64</v>
      </c>
      <c r="I49" s="99">
        <v>46250</v>
      </c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688</v>
      </c>
      <c r="M49" s="71"/>
      <c r="N49" s="55" t="s">
        <v>197</v>
      </c>
    </row>
    <row r="50" spans="1:14" ht="16" customHeight="1" thickBot="1">
      <c r="A50" s="40" t="s">
        <v>124</v>
      </c>
      <c r="B50" s="77">
        <v>401748</v>
      </c>
      <c r="C50" s="46" t="s">
        <v>281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401751</v>
      </c>
      <c r="C51" s="46" t="s">
        <v>284</v>
      </c>
      <c r="D51" s="96">
        <v>45961</v>
      </c>
      <c r="E51" s="44" t="s">
        <v>2</v>
      </c>
      <c r="F51" s="45">
        <v>86.5</v>
      </c>
      <c r="G51" s="89">
        <f>IF(OR(E51="",F51=""),"",PID_KVLohnLookup($A$1,E51,F51,LOHNTABELLE!$H$4))</f>
        <v>1333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71"/>
      <c r="N51" s="55"/>
    </row>
    <row r="52" spans="1:14" ht="16" customHeight="1" thickBot="1">
      <c r="A52" s="40" t="s">
        <v>126</v>
      </c>
      <c r="B52" s="77">
        <v>401752</v>
      </c>
      <c r="C52" s="46" t="s">
        <v>285</v>
      </c>
      <c r="D52" s="96">
        <v>45986</v>
      </c>
      <c r="E52" s="44" t="s">
        <v>2</v>
      </c>
      <c r="F52" s="45">
        <v>86.5</v>
      </c>
      <c r="G52" s="89">
        <f>IF(OR(E52="",F52=""),"",PID_KVLohnLookup($A$1,E52,F52,LOHNTABELLE!$H$4))</f>
        <v>1333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71"/>
      <c r="N52" s="55"/>
    </row>
    <row r="53" spans="1:14" ht="16" customHeight="1" thickBot="1">
      <c r="A53" s="41" t="s">
        <v>127</v>
      </c>
      <c r="B53" s="77">
        <v>401999</v>
      </c>
      <c r="C53" s="46" t="s">
        <v>319</v>
      </c>
      <c r="D53" s="96">
        <v>46082</v>
      </c>
      <c r="E53" s="44" t="s">
        <v>2</v>
      </c>
      <c r="F53" s="45">
        <v>173</v>
      </c>
      <c r="G53" s="89">
        <f>IF(OR(E53="",F53=""),"",PID_KVLohnLookup($A$1,E53,F53,LOHNTABELLE!$H$4))</f>
        <v>2100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2100</v>
      </c>
      <c r="M53" s="71"/>
      <c r="N53" s="55"/>
    </row>
    <row r="54" spans="1:14" ht="16" customHeight="1" thickBot="1">
      <c r="A54" s="40" t="s">
        <v>128</v>
      </c>
      <c r="B54" s="77">
        <v>402000</v>
      </c>
      <c r="C54" s="48" t="s">
        <v>326</v>
      </c>
      <c r="D54" s="96">
        <v>46143</v>
      </c>
      <c r="E54" s="44" t="s">
        <v>2</v>
      </c>
      <c r="F54" s="45">
        <v>173</v>
      </c>
      <c r="G54" s="89">
        <f>IF(OR(E54="",F54=""),"",PID_KVLohnLookup($A$1,E54,F54,LOHNTABELLE!$H$4))</f>
        <v>2100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2100</v>
      </c>
      <c r="M54" s="71"/>
      <c r="N54" s="55"/>
    </row>
    <row r="55" spans="1:14" ht="16" customHeight="1" thickBot="1">
      <c r="A55" s="40" t="s">
        <v>129</v>
      </c>
      <c r="B55" s="77">
        <v>402004</v>
      </c>
      <c r="C55" s="46" t="s">
        <v>328</v>
      </c>
      <c r="D55" s="96">
        <v>46122</v>
      </c>
      <c r="E55" s="44" t="s">
        <v>2</v>
      </c>
      <c r="F55" s="45">
        <v>173</v>
      </c>
      <c r="G55" s="89">
        <f>IF(OR(E55="",F55=""),"",PID_KVLohnLookup($A$1,E55,F55,LOHNTABELLE!$H$4))</f>
        <v>2100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2100</v>
      </c>
      <c r="M55" s="71"/>
      <c r="N55" s="55"/>
    </row>
    <row r="56" spans="1:14" ht="16" customHeight="1" thickBot="1">
      <c r="A56" s="40" t="s">
        <v>130</v>
      </c>
      <c r="B56" s="77">
        <v>402405</v>
      </c>
      <c r="C56" s="46" t="s">
        <v>330</v>
      </c>
      <c r="D56" s="96">
        <v>46054</v>
      </c>
      <c r="E56" s="44" t="s">
        <v>2</v>
      </c>
      <c r="F56" s="45">
        <v>173</v>
      </c>
      <c r="G56" s="89">
        <f>IF(OR(E56="",F56=""),"",PID_KVLohnLookup($A$1,E56,F56,LOHNTABELLE!$H$4))</f>
        <v>2100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2100</v>
      </c>
      <c r="M56" s="71"/>
      <c r="N56" s="55"/>
    </row>
    <row r="57" spans="1:14" ht="16" customHeight="1" thickBot="1">
      <c r="A57" s="41" t="s">
        <v>131</v>
      </c>
      <c r="B57" s="77">
        <v>500600</v>
      </c>
      <c r="C57" s="46" t="s">
        <v>335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2100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2100</v>
      </c>
      <c r="M57" s="71"/>
      <c r="N57" s="55"/>
    </row>
    <row r="58" spans="1:14" ht="16" customHeight="1" thickBot="1">
      <c r="A58" s="40" t="s">
        <v>132</v>
      </c>
      <c r="B58" s="77">
        <v>502000</v>
      </c>
      <c r="C58" s="46" t="s">
        <v>329</v>
      </c>
      <c r="D58" s="96">
        <v>46147</v>
      </c>
      <c r="E58" s="44" t="s">
        <v>2</v>
      </c>
      <c r="F58" s="45">
        <v>173</v>
      </c>
      <c r="G58" s="89">
        <f>IF(OR(E58="",F58=""),"",PID_KVLohnLookup($A$1,E58,F58,LOHNTABELLE!$H$4))</f>
        <v>2100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2100</v>
      </c>
      <c r="M58" s="71"/>
      <c r="N58" s="55"/>
    </row>
    <row r="59" spans="1:14" ht="16" customHeight="1" thickBot="1">
      <c r="A59" s="40" t="s">
        <v>133</v>
      </c>
      <c r="B59" s="77">
        <v>503000</v>
      </c>
      <c r="C59" s="46" t="s">
        <v>332</v>
      </c>
      <c r="D59" s="96">
        <v>42401</v>
      </c>
      <c r="E59" s="44" t="s">
        <v>2</v>
      </c>
      <c r="F59" s="45">
        <v>173</v>
      </c>
      <c r="G59" s="89">
        <f>IF(OR(E59="",F59=""),"",PID_KVLohnLookup($A$1,E59,F59,LOHNTABELLE!$H$4))</f>
        <v>2100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2100</v>
      </c>
      <c r="M59" s="71"/>
      <c r="N59" s="55"/>
    </row>
    <row r="60" spans="1:14" ht="16" customHeight="1" thickBot="1">
      <c r="A60" s="40" t="s">
        <v>134</v>
      </c>
      <c r="B60" s="77">
        <v>504000</v>
      </c>
      <c r="C60" s="46" t="s">
        <v>333</v>
      </c>
      <c r="D60" s="96">
        <v>46054</v>
      </c>
      <c r="E60" s="44" t="s">
        <v>3</v>
      </c>
      <c r="F60" s="45">
        <v>138.4</v>
      </c>
      <c r="G60" s="89">
        <f>IF(OR(E60="",F60=""),"",PID_KVLohnLookup($A$1,E60,F60,LOHNTABELLE!$H$4))</f>
        <v>1665.6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1665.6</v>
      </c>
      <c r="M60" s="71"/>
      <c r="N60" s="55"/>
    </row>
    <row r="61" spans="1:14" ht="16" customHeight="1" thickBot="1">
      <c r="A61" s="41" t="s">
        <v>135</v>
      </c>
      <c r="B61" s="77">
        <v>505000</v>
      </c>
      <c r="C61" s="46" t="s">
        <v>334</v>
      </c>
      <c r="D61" s="96">
        <v>46054</v>
      </c>
      <c r="E61" s="44" t="s">
        <v>2</v>
      </c>
      <c r="F61" s="45">
        <v>138.4</v>
      </c>
      <c r="G61" s="89">
        <f>IF(OR(E61="",F61=""),"",PID_KVLohnLookup($A$1,E61,F61,LOHNTABELLE!$H$4))</f>
        <v>2300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2300</v>
      </c>
      <c r="M61" s="71"/>
      <c r="N61" s="55"/>
    </row>
    <row r="62" spans="1:14" ht="16" customHeight="1" thickBot="1">
      <c r="A62" s="40" t="s">
        <v>136</v>
      </c>
      <c r="B62" s="77">
        <v>700000</v>
      </c>
      <c r="C62" s="46" t="s">
        <v>347</v>
      </c>
      <c r="D62" s="96">
        <v>46054</v>
      </c>
      <c r="E62" s="44" t="s">
        <v>2</v>
      </c>
      <c r="F62" s="45">
        <v>173</v>
      </c>
      <c r="G62" s="89">
        <f>IF(OR(E62="",F62=""),"",PID_KVLohnLookup($A$1,E62,F62,LOHNTABELLE!$H$4))</f>
        <v>2100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2100</v>
      </c>
      <c r="M62" s="71"/>
      <c r="N62" s="55"/>
    </row>
    <row r="63" spans="1:14" ht="16" customHeight="1" thickBot="1">
      <c r="A63" s="40" t="s">
        <v>137</v>
      </c>
      <c r="B63" s="77">
        <v>800000</v>
      </c>
      <c r="C63" s="46" t="s">
        <v>348</v>
      </c>
      <c r="D63" s="96">
        <v>46082</v>
      </c>
      <c r="E63" s="44" t="s">
        <v>2</v>
      </c>
      <c r="F63" s="45">
        <v>173</v>
      </c>
      <c r="G63" s="89">
        <f>IF(OR(E63="",F63=""),"",PID_KVLohnLookup($A$1,E63,F63,LOHNTABELLE!$H$4))</f>
        <v>2100</v>
      </c>
      <c r="H63" s="65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2100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9rYI8L/SdghzUR34zZrRlrqMHO6W1I9a09mpJzFLcZr2hSVyP8Cj9/zEenbiuHjSofa4B7UuftdVRopZ7rxmqg==" saltValue="ruyP1xroSUM58blnvmjtr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phoneticPr fontId="13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717CF47F-6F63-174B-89D5-FBFB8892FCCE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138683A5-99DF-D84F-BD7F-A1F594738C84}">
      <formula1>KV_DD_AUGUST_3</formula1>
    </dataValidation>
    <dataValidation type="list" allowBlank="1" showInputMessage="1" showErrorMessage="1" sqref="F4" xr:uid="{DFCD4F77-169B-8740-B266-A71F625AAC54}">
      <formula1>KV_DD_AUGUST_4</formula1>
    </dataValidation>
    <dataValidation type="list" allowBlank="1" showInputMessage="1" showErrorMessage="1" sqref="F5" xr:uid="{3C9B8AE2-F60A-1C45-AB03-510BC75BFCDE}">
      <formula1>KV_DD_AUGUST_5</formula1>
    </dataValidation>
    <dataValidation type="list" allowBlank="1" showInputMessage="1" showErrorMessage="1" sqref="F6" xr:uid="{8BA7B030-8A45-2749-A153-DC40292C13E5}">
      <formula1>KV_DD_AUGUST_6</formula1>
    </dataValidation>
    <dataValidation type="list" allowBlank="1" showInputMessage="1" showErrorMessage="1" sqref="F7" xr:uid="{BE97ABE7-E63A-4B44-8A8D-7C7459DB19E0}">
      <formula1>KV_DD_AUGUST_7</formula1>
    </dataValidation>
    <dataValidation type="list" allowBlank="1" showInputMessage="1" showErrorMessage="1" sqref="F8" xr:uid="{D29626C2-F761-E641-ADDF-A297F58E0E0D}">
      <formula1>KV_DD_AUGUST_8</formula1>
    </dataValidation>
    <dataValidation type="list" allowBlank="1" showInputMessage="1" showErrorMessage="1" sqref="F9" xr:uid="{06D4D9D7-565A-7A47-9BCF-DA305E07DA48}">
      <formula1>KV_DD_AUGUST_9</formula1>
    </dataValidation>
    <dataValidation type="list" allowBlank="1" showInputMessage="1" showErrorMessage="1" sqref="F10" xr:uid="{D52BDCA8-B2E9-4E41-B122-D2F0D1B05498}">
      <formula1>KV_DD_AUGUST_10</formula1>
    </dataValidation>
    <dataValidation type="list" allowBlank="1" showInputMessage="1" showErrorMessage="1" sqref="F11" xr:uid="{FFFE84FF-B936-E544-A520-628C0A6E028B}">
      <formula1>KV_DD_AUGUST_11</formula1>
    </dataValidation>
    <dataValidation type="list" allowBlank="1" showInputMessage="1" showErrorMessage="1" sqref="F12" xr:uid="{B4D8A568-C5F6-A24E-9C74-A894769ED713}">
      <formula1>KV_DD_AUGUST_12</formula1>
    </dataValidation>
    <dataValidation type="list" allowBlank="1" showInputMessage="1" showErrorMessage="1" sqref="F13" xr:uid="{3AD2EF77-C7FB-A443-BB4E-9C75FDC30C5D}">
      <formula1>KV_DD_AUGUST_13</formula1>
    </dataValidation>
    <dataValidation type="list" allowBlank="1" showInputMessage="1" showErrorMessage="1" sqref="F14" xr:uid="{32DCD156-A4B4-8F4F-8D4D-C650790EF875}">
      <formula1>KV_DD_AUGUST_14</formula1>
    </dataValidation>
    <dataValidation type="list" allowBlank="1" showInputMessage="1" showErrorMessage="1" sqref="F15" xr:uid="{DAC5AE86-2D32-6D4A-93FD-AD11AB8DBCB4}">
      <formula1>KV_DD_AUGUST_15</formula1>
    </dataValidation>
    <dataValidation type="list" allowBlank="1" showInputMessage="1" showErrorMessage="1" sqref="F16" xr:uid="{C24B2DDD-7A59-7A40-BFF7-D4949322BDDB}">
      <formula1>KV_DD_AUGUST_16</formula1>
    </dataValidation>
    <dataValidation type="list" allowBlank="1" showInputMessage="1" showErrorMessage="1" sqref="F17" xr:uid="{59BBE4A8-AD68-7B43-A3EB-4E5C150CAFA9}">
      <formula1>KV_DD_AUGUST_17</formula1>
    </dataValidation>
    <dataValidation type="list" allowBlank="1" showInputMessage="1" showErrorMessage="1" sqref="F18" xr:uid="{07471820-2AEA-904E-8379-453F0DB2F03F}">
      <formula1>KV_DD_AUGUST_18</formula1>
    </dataValidation>
    <dataValidation type="list" allowBlank="1" showInputMessage="1" showErrorMessage="1" sqref="F19" xr:uid="{1A5C6F4B-4C25-BA43-A82B-83F693B68C06}">
      <formula1>KV_DD_AUGUST_19</formula1>
    </dataValidation>
    <dataValidation type="list" allowBlank="1" showInputMessage="1" showErrorMessage="1" sqref="F20" xr:uid="{0DB79DCB-52C5-9D42-AF91-C7765E047643}">
      <formula1>KV_DD_AUGUST_20</formula1>
    </dataValidation>
    <dataValidation type="list" allowBlank="1" showInputMessage="1" showErrorMessage="1" sqref="F21" xr:uid="{312C7780-9E87-DF40-A0FF-22EB6ED197A7}">
      <formula1>KV_DD_AUGUST_21</formula1>
    </dataValidation>
    <dataValidation type="list" allowBlank="1" showInputMessage="1" showErrorMessage="1" sqref="F22" xr:uid="{4F62EB83-9956-4E4B-B401-4C71FA074247}">
      <formula1>KV_DD_AUGUST_22</formula1>
    </dataValidation>
    <dataValidation type="list" allowBlank="1" showInputMessage="1" showErrorMessage="1" sqref="F23" xr:uid="{81E9370A-1A6D-E34C-B813-CA49BD6D0183}">
      <formula1>KV_DD_AUGUST_23</formula1>
    </dataValidation>
    <dataValidation type="list" allowBlank="1" showInputMessage="1" showErrorMessage="1" sqref="F24" xr:uid="{FE71ED44-2055-194A-B9C9-0EFC1D0D9C87}">
      <formula1>KV_DD_AUGUST_24</formula1>
    </dataValidation>
    <dataValidation type="list" allowBlank="1" showInputMessage="1" showErrorMessage="1" sqref="F25" xr:uid="{63ACB6DE-D5B2-5242-B1CB-68BB1749F942}">
      <formula1>KV_DD_AUGUST_25</formula1>
    </dataValidation>
    <dataValidation type="list" allowBlank="1" showInputMessage="1" showErrorMessage="1" sqref="F26" xr:uid="{C7B545B8-3F02-5948-8525-44CF6BEDA4CB}">
      <formula1>KV_DD_AUGUST_26</formula1>
    </dataValidation>
    <dataValidation type="list" allowBlank="1" showInputMessage="1" showErrorMessage="1" sqref="F27" xr:uid="{2C7E7ACB-B7B3-2446-8AB2-F316B16A461C}">
      <formula1>KV_DD_AUGUST_27</formula1>
    </dataValidation>
    <dataValidation type="list" allowBlank="1" showInputMessage="1" showErrorMessage="1" sqref="F28" xr:uid="{05596532-DED3-2848-9196-008405EBBC7E}">
      <formula1>KV_DD_AUGUST_28</formula1>
    </dataValidation>
    <dataValidation type="list" allowBlank="1" showInputMessage="1" showErrorMessage="1" sqref="F29" xr:uid="{A92B88EF-04B1-4A44-91D2-34ED106B640D}">
      <formula1>KV_DD_AUGUST_29</formula1>
    </dataValidation>
    <dataValidation type="list" allowBlank="1" showInputMessage="1" showErrorMessage="1" sqref="F30" xr:uid="{3B40B136-A478-754A-A1F4-24BB337E6643}">
      <formula1>KV_DD_AUGUST_30</formula1>
    </dataValidation>
    <dataValidation type="list" allowBlank="1" showInputMessage="1" showErrorMessage="1" sqref="F31" xr:uid="{1F4EC1D2-6CBF-A344-A8D1-42CD8F0B9F5B}">
      <formula1>KV_DD_AUGUST_31</formula1>
    </dataValidation>
    <dataValidation type="list" allowBlank="1" showInputMessage="1" showErrorMessage="1" sqref="F32" xr:uid="{33CB635B-3793-784D-97B4-AC9D36E1B042}">
      <formula1>KV_DD_AUGUST_32</formula1>
    </dataValidation>
    <dataValidation type="list" allowBlank="1" showInputMessage="1" showErrorMessage="1" sqref="F33" xr:uid="{92870ED4-B88B-ED47-A207-E86BBDF790A6}">
      <formula1>KV_DD_AUGUST_33</formula1>
    </dataValidation>
    <dataValidation type="list" allowBlank="1" showInputMessage="1" showErrorMessage="1" sqref="F34" xr:uid="{5F833BC9-C218-824E-841A-0EFA5C6123F0}">
      <formula1>KV_DD_AUGUST_34</formula1>
    </dataValidation>
    <dataValidation type="list" allowBlank="1" showInputMessage="1" showErrorMessage="1" sqref="F35" xr:uid="{6DDDCE83-0016-0246-A618-CAAEA2575DBE}">
      <formula1>KV_DD_AUGUST_35</formula1>
    </dataValidation>
    <dataValidation type="list" allowBlank="1" showInputMessage="1" showErrorMessage="1" sqref="F36" xr:uid="{7021A112-AD85-4745-ACB3-498618C46F1C}">
      <formula1>KV_DD_AUGUST_36</formula1>
    </dataValidation>
    <dataValidation type="list" allowBlank="1" showInputMessage="1" showErrorMessage="1" sqref="F37" xr:uid="{9A07162D-D3B7-D948-B8F4-1FC808A5924E}">
      <formula1>KV_DD_AUGUST_37</formula1>
    </dataValidation>
    <dataValidation type="list" allowBlank="1" showInputMessage="1" showErrorMessage="1" sqref="F38" xr:uid="{D4B13FFB-1656-2243-A6BC-2DC58A987991}">
      <formula1>KV_DD_AUGUST_38</formula1>
    </dataValidation>
    <dataValidation type="list" allowBlank="1" showInputMessage="1" showErrorMessage="1" sqref="F39" xr:uid="{C278C4FC-204E-F043-8039-AB3E0817C198}">
      <formula1>KV_DD_AUGUST_39</formula1>
    </dataValidation>
    <dataValidation type="list" allowBlank="1" showInputMessage="1" showErrorMessage="1" sqref="F40" xr:uid="{8FD0FDF1-9A1B-164F-8970-A833BFFF3EA0}">
      <formula1>KV_DD_AUGUST_40</formula1>
    </dataValidation>
    <dataValidation type="list" allowBlank="1" showInputMessage="1" showErrorMessage="1" sqref="F41" xr:uid="{8F8F0553-A8FC-9045-9C29-3D0A3DA71065}">
      <formula1>KV_DD_AUGUST_41</formula1>
    </dataValidation>
    <dataValidation type="list" allowBlank="1" showInputMessage="1" showErrorMessage="1" sqref="F42" xr:uid="{515E9833-4B4D-604D-994C-5BCC8CFEFE52}">
      <formula1>KV_DD_AUGUST_42</formula1>
    </dataValidation>
    <dataValidation type="list" allowBlank="1" showInputMessage="1" showErrorMessage="1" sqref="F43" xr:uid="{ED175132-2B70-A942-8E41-EE88E6DB2AA9}">
      <formula1>KV_DD_AUGUST_43</formula1>
    </dataValidation>
    <dataValidation type="list" allowBlank="1" showInputMessage="1" showErrorMessage="1" sqref="F44" xr:uid="{F537B43A-E595-1842-A516-3DFB94D8FFDE}">
      <formula1>KV_DD_AUGUST_44</formula1>
    </dataValidation>
    <dataValidation type="list" allowBlank="1" showInputMessage="1" showErrorMessage="1" sqref="F45" xr:uid="{1473EBCF-B1EC-3B4B-9D0F-01CB71D132D1}">
      <formula1>KV_DD_AUGUST_45</formula1>
    </dataValidation>
    <dataValidation type="list" allowBlank="1" showInputMessage="1" showErrorMessage="1" sqref="F46" xr:uid="{742E6F85-7832-184C-9B95-BCC3909FCB33}">
      <formula1>KV_DD_AUGUST_46</formula1>
    </dataValidation>
    <dataValidation type="list" allowBlank="1" showInputMessage="1" showErrorMessage="1" sqref="F47" xr:uid="{BA962BDE-BA22-0443-BC99-4D1761BC74AF}">
      <formula1>KV_DD_AUGUST_47</formula1>
    </dataValidation>
    <dataValidation type="list" allowBlank="1" showInputMessage="1" showErrorMessage="1" sqref="F48" xr:uid="{8552E553-C454-6144-A237-7CEF09DBEC91}">
      <formula1>KV_DD_AUGUST_48</formula1>
    </dataValidation>
    <dataValidation type="list" allowBlank="1" showInputMessage="1" showErrorMessage="1" sqref="F49" xr:uid="{F780BB56-8930-8548-8198-BD4BB02CC3AF}">
      <formula1>KV_DD_AUGUST_49</formula1>
    </dataValidation>
    <dataValidation type="list" allowBlank="1" showInputMessage="1" showErrorMessage="1" sqref="F50" xr:uid="{3AC2D54D-82A7-E94D-88A5-0D1EA8FCBB7F}">
      <formula1>KV_DD_AUGUST_50</formula1>
    </dataValidation>
    <dataValidation type="list" allowBlank="1" showInputMessage="1" showErrorMessage="1" sqref="F51" xr:uid="{0EA6D8BD-5F42-014E-8732-F27CC2F33D50}">
      <formula1>KV_DD_AUGUST_51</formula1>
    </dataValidation>
    <dataValidation type="list" allowBlank="1" showInputMessage="1" showErrorMessage="1" sqref="F52" xr:uid="{DE16BC48-F00D-0442-914D-C673A2014D21}">
      <formula1>KV_DD_AUGUST_52</formula1>
    </dataValidation>
    <dataValidation type="list" allowBlank="1" showInputMessage="1" showErrorMessage="1" sqref="F53" xr:uid="{68561C2E-EC3B-364F-B18B-73CE3439F1E5}">
      <formula1>KV_DD_AUGUST_53</formula1>
    </dataValidation>
    <dataValidation type="list" allowBlank="1" showInputMessage="1" showErrorMessage="1" sqref="F54" xr:uid="{D77DEA54-9D1A-4983-A95D-87EC0F5070F2}">
      <formula1>KV_DD_AUGUST_54</formula1>
    </dataValidation>
    <dataValidation type="list" allowBlank="1" showInputMessage="1" showErrorMessage="1" sqref="F55" xr:uid="{32C2D806-E42F-4258-8A44-9CEB439A8CB7}">
      <formula1>KV_DD_AUGUST_55</formula1>
    </dataValidation>
    <dataValidation type="list" allowBlank="1" showInputMessage="1" showErrorMessage="1" sqref="F56" xr:uid="{CDA0AEF8-F073-4E2D-A8F1-4015B0570457}">
      <formula1>KV_DD_AUGUST_56</formula1>
    </dataValidation>
    <dataValidation type="list" allowBlank="1" showInputMessage="1" showErrorMessage="1" sqref="F57" xr:uid="{4C3FDFF4-9668-2D44-BC1A-5739DE64674C}">
      <formula1>KV_DD_AUGUST_57</formula1>
    </dataValidation>
    <dataValidation type="list" allowBlank="1" showInputMessage="1" showErrorMessage="1" sqref="F58" xr:uid="{D0A767D6-4EFC-4C41-B51E-2D232A1BBCD0}">
      <formula1>KV_DD_AUGUST_58</formula1>
    </dataValidation>
    <dataValidation type="list" allowBlank="1" showInputMessage="1" showErrorMessage="1" sqref="F59" xr:uid="{22C0AA8C-C306-A14A-84ED-641851EBD651}">
      <formula1>KV_DD_AUGUST_59</formula1>
    </dataValidation>
    <dataValidation type="list" allowBlank="1" showInputMessage="1" showErrorMessage="1" sqref="F60" xr:uid="{7201C007-38D9-CB4B-8D07-29E119F2C85A}">
      <formula1>KV_DD_AUGUST_60</formula1>
    </dataValidation>
    <dataValidation type="list" allowBlank="1" showInputMessage="1" showErrorMessage="1" sqref="F61" xr:uid="{ABC9FD89-D839-494F-898D-311B1FCA0F2F}">
      <formula1>KV_DD_AUGUST_61</formula1>
    </dataValidation>
    <dataValidation type="list" allowBlank="1" showInputMessage="1" showErrorMessage="1" sqref="F62" xr:uid="{0A44C7A4-477A-8348-8784-021B137E11F3}">
      <formula1>KV_DD_AUGUST_62</formula1>
    </dataValidation>
    <dataValidation type="list" allowBlank="1" showInputMessage="1" showErrorMessage="1" sqref="F63" xr:uid="{D6DF1D03-430C-459B-946C-60475DD86F43}">
      <formula1>KV_DD_AUGUST_63</formula1>
    </dataValidation>
    <dataValidation type="date" allowBlank="1" showDropDown="1" showErrorMessage="1" sqref="I3:I82" xr:uid="{C8578976-A194-294C-9DBB-491A4EFA82C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698500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4B02EB0-7FC0-AD42-8DDD-3D33CF3C310C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0326F-DE46-4259-A651-5F915B6F5B71}">
  <sheetPr codeName="Tabelle11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9</v>
      </c>
      <c r="B1" s="302" t="s">
        <v>191</v>
      </c>
      <c r="C1" s="314" t="s">
        <v>40</v>
      </c>
      <c r="D1" s="286" t="s">
        <v>192</v>
      </c>
      <c r="E1" s="286" t="s">
        <v>0</v>
      </c>
      <c r="F1" s="286" t="s">
        <v>41</v>
      </c>
      <c r="G1" s="288" t="s">
        <v>42</v>
      </c>
      <c r="H1" s="305" t="s">
        <v>43</v>
      </c>
      <c r="I1" s="290" t="s">
        <v>193</v>
      </c>
      <c r="J1" s="292" t="s">
        <v>44</v>
      </c>
      <c r="K1" s="294" t="s">
        <v>45</v>
      </c>
      <c r="L1" s="296" t="s">
        <v>46</v>
      </c>
      <c r="M1" s="298" t="s">
        <v>47</v>
      </c>
      <c r="N1" s="303" t="s">
        <v>194</v>
      </c>
      <c r="AB1" s="8">
        <f>DATE(EINSTELLUNG!$C$35,$A$1,1)</f>
        <v>46266</v>
      </c>
    </row>
    <row r="2" spans="1:28" ht="16" customHeight="1" thickBot="1">
      <c r="A2" s="39"/>
      <c r="B2" s="302"/>
      <c r="C2" s="315"/>
      <c r="D2" s="287"/>
      <c r="E2" s="287"/>
      <c r="F2" s="287"/>
      <c r="G2" s="289"/>
      <c r="H2" s="306"/>
      <c r="I2" s="291"/>
      <c r="J2" s="293"/>
      <c r="K2" s="295"/>
      <c r="L2" s="297"/>
      <c r="M2" s="299"/>
      <c r="N2" s="303"/>
      <c r="AB2" s="8">
        <f>EOMONTH(DATE(EINSTELLUNG!$C$35,$A$1,1),0)</f>
        <v>46295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2100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2100</v>
      </c>
      <c r="M3" s="70"/>
      <c r="N3" s="54"/>
      <c r="O3" s="300" t="s">
        <v>49</v>
      </c>
      <c r="P3" s="300" t="s">
        <v>50</v>
      </c>
      <c r="Q3" s="307" t="s">
        <v>51</v>
      </c>
      <c r="R3" s="309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301"/>
      <c r="P4" s="301"/>
      <c r="Q4" s="308"/>
      <c r="R4" s="310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869.79814457057728</v>
      </c>
      <c r="P5" s="15">
        <f>EINSTELLUNG!I14</f>
        <v>600</v>
      </c>
      <c r="Q5" s="14">
        <f>P5-O5</f>
        <v>-269.79814457057728</v>
      </c>
      <c r="R5" s="18">
        <f>IFERROR(Q5*Q42, 0)</f>
        <v>-3448.4348168292431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311" t="str">
        <f>IF(Q5&lt;0, "Schlecht! Zu wenig Urlaub abgebaut.", IF(Q5&gt;0, "Gut! Mehr Urlaub abgebaut als aufgebaut.", ""))</f>
        <v>Schlecht! Zu wenig Urlaub abgebaut.</v>
      </c>
      <c r="P6" s="312"/>
      <c r="Q6" s="312"/>
      <c r="R6" s="313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1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66" t="s">
        <v>58</v>
      </c>
      <c r="P8" s="267"/>
      <c r="Q8" s="268">
        <f>SUM(H3:H82)</f>
        <v>8897.9599999999991</v>
      </c>
      <c r="R8" s="268"/>
    </row>
    <row r="9" spans="1:28" ht="16" customHeight="1" thickBot="1">
      <c r="A9" s="40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66" t="s">
        <v>60</v>
      </c>
      <c r="P9" s="267"/>
      <c r="Q9" s="268">
        <f>EINSTELLUNG!L30</f>
        <v>9</v>
      </c>
      <c r="R9" s="268"/>
      <c r="S9" s="19">
        <f>IFERROR(Q9/Q8, 0)</f>
        <v>1.0114677971130462E-3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66" t="s">
        <v>62</v>
      </c>
      <c r="P10" s="267"/>
      <c r="Q10" s="268">
        <f>EINSTELLUNG!I30</f>
        <v>0</v>
      </c>
      <c r="R10" s="268"/>
    </row>
    <row r="11" spans="1:28" ht="16" customHeight="1" thickBot="1">
      <c r="A11" s="41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66" t="s">
        <v>64</v>
      </c>
      <c r="P11" s="267"/>
      <c r="Q11" s="268">
        <f>P5</f>
        <v>600</v>
      </c>
      <c r="R11" s="268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66" t="s">
        <v>66</v>
      </c>
      <c r="P12" s="267"/>
      <c r="Q12" s="272">
        <v>167</v>
      </c>
      <c r="R12" s="272"/>
    </row>
    <row r="13" spans="1:28" ht="16" customHeight="1" thickBot="1">
      <c r="A13" s="40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66" t="s">
        <v>68</v>
      </c>
      <c r="P13" s="267"/>
      <c r="Q13" s="268">
        <f>Q8-Q9-Q10-Q11-Q12</f>
        <v>8121.9599999999991</v>
      </c>
      <c r="R13" s="268"/>
    </row>
    <row r="14" spans="1:28" ht="16" customHeight="1" thickBot="1">
      <c r="A14" s="41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66" t="s">
        <v>70</v>
      </c>
      <c r="P14" s="267"/>
      <c r="Q14" s="268">
        <f>EINSTELLUNG!L14</f>
        <v>9300</v>
      </c>
      <c r="R14" s="268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66" t="s">
        <v>72</v>
      </c>
      <c r="P15" s="267"/>
      <c r="Q15" s="268">
        <f>Q13-Q14</f>
        <v>-1178.0400000000009</v>
      </c>
      <c r="R15" s="268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304" t="str">
        <f>IF(Q15&lt;0, "Schlecht! Zu wenig Stunden für Dienstplan.", IF(Q15&gt;0, "Du hast mehr als genug Stunden für Dienstplan.", ""))</f>
        <v>Schlecht! Zu wenig Stunden für Dienstplan.</v>
      </c>
      <c r="P16" s="304"/>
      <c r="Q16" s="304"/>
      <c r="R16" s="304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2100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2100</v>
      </c>
      <c r="M17" s="71"/>
      <c r="N17" s="55"/>
      <c r="O17" s="269" t="s">
        <v>75</v>
      </c>
      <c r="P17" s="270"/>
      <c r="Q17" s="271">
        <f>SUM(L3:L82)</f>
        <v>113729.60000000001</v>
      </c>
      <c r="R17" s="271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2100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2100</v>
      </c>
      <c r="M18" s="71"/>
      <c r="N18" s="55"/>
      <c r="O18" s="260"/>
      <c r="P18" s="261"/>
      <c r="Q18" s="262"/>
      <c r="R18" s="263"/>
    </row>
    <row r="19" spans="1:29" ht="16" customHeight="1" thickBot="1">
      <c r="A19" s="40" t="s">
        <v>77</v>
      </c>
      <c r="B19" s="77">
        <v>401479</v>
      </c>
      <c r="C19" s="46" t="s">
        <v>250</v>
      </c>
      <c r="D19" s="96">
        <v>44511</v>
      </c>
      <c r="E19" s="44" t="s">
        <v>6</v>
      </c>
      <c r="F19" s="45">
        <v>173</v>
      </c>
      <c r="G19" s="89">
        <f>IF(OR(E19="",F19=""),"",PID_KVLohnLookup($A$1,E19,F19,LOHNTABELLE!$H$4))</f>
        <v>2160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71"/>
      <c r="N19" s="55"/>
      <c r="O19" s="260"/>
      <c r="P19" s="261"/>
      <c r="Q19" s="262"/>
      <c r="R19" s="263"/>
    </row>
    <row r="20" spans="1:29" ht="16" customHeight="1" thickBot="1">
      <c r="A20" s="41" t="s">
        <v>78</v>
      </c>
      <c r="B20" s="77">
        <v>401481</v>
      </c>
      <c r="C20" s="46" t="s">
        <v>251</v>
      </c>
      <c r="D20" s="96">
        <v>44531</v>
      </c>
      <c r="E20" s="44" t="s">
        <v>2</v>
      </c>
      <c r="F20" s="45">
        <v>173</v>
      </c>
      <c r="G20" s="89">
        <f>IF(OR(E20="",F20=""),"",PID_KVLohnLookup($A$1,E20,F20,LOHNTABELLE!$H$4))</f>
        <v>2100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2100</v>
      </c>
      <c r="M20" s="71"/>
      <c r="N20" s="55"/>
      <c r="O20" s="260"/>
      <c r="P20" s="261"/>
      <c r="Q20" s="262"/>
      <c r="R20" s="263"/>
    </row>
    <row r="21" spans="1:29" ht="16" customHeight="1" thickBot="1">
      <c r="A21" s="40" t="s">
        <v>80</v>
      </c>
      <c r="B21" s="77">
        <v>401558</v>
      </c>
      <c r="C21" s="46" t="s">
        <v>248</v>
      </c>
      <c r="D21" s="96">
        <v>44460</v>
      </c>
      <c r="E21" s="44" t="s">
        <v>2</v>
      </c>
      <c r="F21" s="45">
        <v>173</v>
      </c>
      <c r="G21" s="89">
        <f>IF(OR(E21="",F21=""),"",PID_KVLohnLookup($A$1,E21,F21,LOHNTABELLE!$H$4))</f>
        <v>2100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57.66</v>
      </c>
      <c r="I21" s="99">
        <v>46275</v>
      </c>
      <c r="J21" s="92">
        <v>4</v>
      </c>
      <c r="K21" s="68">
        <f t="shared" si="0"/>
        <v>280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980</v>
      </c>
      <c r="M21" s="71"/>
      <c r="N21" s="55" t="s">
        <v>197</v>
      </c>
      <c r="O21" s="260" t="s">
        <v>320</v>
      </c>
      <c r="P21" s="261"/>
      <c r="Q21" s="262">
        <v>5000</v>
      </c>
      <c r="R21" s="263"/>
    </row>
    <row r="22" spans="1:29" ht="16" customHeight="1" thickBot="1">
      <c r="A22" s="40" t="s">
        <v>81</v>
      </c>
      <c r="B22" s="77">
        <v>401564</v>
      </c>
      <c r="C22" s="46" t="s">
        <v>252</v>
      </c>
      <c r="D22" s="96">
        <v>44824</v>
      </c>
      <c r="E22" s="44" t="s">
        <v>2</v>
      </c>
      <c r="F22" s="45">
        <v>173</v>
      </c>
      <c r="G22" s="89">
        <f>IF(OR(E22="",F22=""),"",PID_KVLohnLookup($A$1,E22,F22,LOHNTABELLE!$H$4))</f>
        <v>2100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2100</v>
      </c>
      <c r="M22" s="71"/>
      <c r="N22" s="55"/>
      <c r="O22" s="260"/>
      <c r="P22" s="261"/>
      <c r="Q22" s="262"/>
      <c r="R22" s="263"/>
    </row>
    <row r="23" spans="1:29" ht="16" customHeight="1" thickBot="1">
      <c r="A23" s="41" t="s">
        <v>82</v>
      </c>
      <c r="B23" s="77">
        <v>401583</v>
      </c>
      <c r="C23" s="46" t="s">
        <v>254</v>
      </c>
      <c r="D23" s="96">
        <v>44900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260"/>
      <c r="P23" s="261"/>
      <c r="Q23" s="262"/>
      <c r="R23" s="263"/>
      <c r="W23" s="12"/>
    </row>
    <row r="24" spans="1:29" ht="16" customHeight="1" thickBot="1">
      <c r="A24" s="40" t="s">
        <v>83</v>
      </c>
      <c r="B24" s="77">
        <v>401589</v>
      </c>
      <c r="C24" s="75" t="s">
        <v>255</v>
      </c>
      <c r="D24" s="96">
        <v>44926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60"/>
      <c r="P24" s="261"/>
      <c r="Q24" s="262"/>
      <c r="R24" s="263"/>
      <c r="W24" s="12"/>
    </row>
    <row r="25" spans="1:29" ht="16" customHeight="1" thickBot="1">
      <c r="A25" s="40" t="s">
        <v>84</v>
      </c>
      <c r="B25" s="77">
        <v>401602</v>
      </c>
      <c r="C25" s="46" t="s">
        <v>256</v>
      </c>
      <c r="D25" s="96">
        <v>45975</v>
      </c>
      <c r="E25" s="44" t="s">
        <v>2</v>
      </c>
      <c r="F25" s="45">
        <v>173</v>
      </c>
      <c r="G25" s="89">
        <f>IF(OR(E25="",F25=""),"",PID_KVLohnLookup($A$1,E25,F25,LOHNTABELLE!$H$4))</f>
        <v>2100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2100</v>
      </c>
      <c r="M25" s="71"/>
      <c r="N25" s="55"/>
      <c r="O25" s="277"/>
      <c r="P25" s="278"/>
      <c r="Q25" s="279"/>
      <c r="R25" s="280"/>
    </row>
    <row r="26" spans="1:29" ht="16" customHeight="1" thickBot="1">
      <c r="A26" s="41" t="s">
        <v>85</v>
      </c>
      <c r="B26" s="77">
        <v>401605</v>
      </c>
      <c r="C26" s="46" t="s">
        <v>257</v>
      </c>
      <c r="D26" s="96">
        <v>44986</v>
      </c>
      <c r="E26" s="44" t="s">
        <v>2</v>
      </c>
      <c r="F26" s="45">
        <v>173</v>
      </c>
      <c r="G26" s="89">
        <f>IF(OR(E26="",F26=""),"",PID_KVLohnLookup($A$1,E26,F26,LOHNTABELLE!$H$4))</f>
        <v>2100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2100</v>
      </c>
      <c r="M26" s="71"/>
      <c r="N26" s="55"/>
      <c r="O26" s="282"/>
      <c r="P26" s="350"/>
      <c r="Q26" s="283"/>
      <c r="R26" s="284"/>
    </row>
    <row r="27" spans="1:29" ht="16" customHeight="1" thickBot="1">
      <c r="A27" s="40" t="s">
        <v>86</v>
      </c>
      <c r="B27" s="77">
        <v>401626</v>
      </c>
      <c r="C27" s="46" t="s">
        <v>258</v>
      </c>
      <c r="D27" s="96">
        <v>45063</v>
      </c>
      <c r="E27" s="44" t="s">
        <v>2</v>
      </c>
      <c r="F27" s="45">
        <v>173</v>
      </c>
      <c r="G27" s="89">
        <f>IF(OR(E27="",F27=""),"",PID_KVLohnLookup($A$1,E27,F27,LOHNTABELLE!$H$4))</f>
        <v>2100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2100</v>
      </c>
      <c r="M27" s="71"/>
      <c r="N27" s="55"/>
      <c r="O27" s="240"/>
      <c r="P27" s="241"/>
      <c r="Q27" s="263"/>
      <c r="R27" s="285"/>
      <c r="S27" s="244" t="s">
        <v>87</v>
      </c>
      <c r="T27" s="245"/>
      <c r="U27" s="245"/>
      <c r="V27" s="245"/>
    </row>
    <row r="28" spans="1:29" ht="16" customHeight="1" thickBot="1">
      <c r="A28" s="40" t="s">
        <v>88</v>
      </c>
      <c r="B28" s="77">
        <v>401633</v>
      </c>
      <c r="C28" s="46" t="s">
        <v>259</v>
      </c>
      <c r="D28" s="96">
        <v>45089</v>
      </c>
      <c r="E28" s="44" t="s">
        <v>10</v>
      </c>
      <c r="F28" s="45">
        <v>173</v>
      </c>
      <c r="G28" s="89">
        <f>IF(OR(E28="",F28=""),"",PID_KVLohnLookup($A$1,E28,F28,LOHNTABELLE!$H$4))</f>
        <v>2300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71"/>
      <c r="N28" s="55"/>
      <c r="O28" s="273"/>
      <c r="P28" s="274"/>
      <c r="Q28" s="275"/>
      <c r="R28" s="276"/>
    </row>
    <row r="29" spans="1:29" ht="16" customHeight="1" thickBot="1">
      <c r="A29" s="41" t="s">
        <v>89</v>
      </c>
      <c r="B29" s="77">
        <v>401647</v>
      </c>
      <c r="C29" s="46" t="s">
        <v>260</v>
      </c>
      <c r="D29" s="96">
        <v>45182</v>
      </c>
      <c r="E29" s="44" t="s">
        <v>2</v>
      </c>
      <c r="F29" s="45">
        <v>173</v>
      </c>
      <c r="G29" s="89">
        <f>IF(OR(E29="",F29=""),"",PID_KVLohnLookup($A$1,E29,F29,LOHNTABELLE!$H$4))</f>
        <v>2100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2100</v>
      </c>
      <c r="M29" s="71"/>
      <c r="N29" s="55"/>
      <c r="O29" s="248" t="s">
        <v>90</v>
      </c>
      <c r="P29" s="249"/>
      <c r="Q29" s="250">
        <f>EINSTELLUNG!O14</f>
        <v>1250</v>
      </c>
      <c r="R29" s="251"/>
    </row>
    <row r="30" spans="1:29" ht="16" customHeight="1" thickBot="1">
      <c r="A30" s="40" t="s">
        <v>91</v>
      </c>
      <c r="B30" s="77">
        <v>401661</v>
      </c>
      <c r="C30" s="46" t="s">
        <v>261</v>
      </c>
      <c r="D30" s="96">
        <v>45261</v>
      </c>
      <c r="E30" s="44" t="s">
        <v>2</v>
      </c>
      <c r="F30" s="45">
        <v>173</v>
      </c>
      <c r="G30" s="89">
        <f>IF(OR(E30="",F30=""),"",PID_KVLohnLookup($A$1,E30,F30,LOHNTABELLE!$H$4))</f>
        <v>2100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2100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401670</v>
      </c>
      <c r="C31" s="48" t="s">
        <v>262</v>
      </c>
      <c r="D31" s="96">
        <v>45358</v>
      </c>
      <c r="E31" s="44" t="s">
        <v>2</v>
      </c>
      <c r="F31" s="45">
        <v>173</v>
      </c>
      <c r="G31" s="89">
        <f>IF(OR(E31="",F31=""),"",PID_KVLohnLookup($A$1,E31,F31,LOHNTABELLE!$H$4))</f>
        <v>2100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2100</v>
      </c>
      <c r="M31" s="71"/>
      <c r="N31" s="55"/>
      <c r="O31" s="252">
        <v>0</v>
      </c>
      <c r="P31" s="253"/>
      <c r="Q31" s="254">
        <v>1.7241379310344827E-2</v>
      </c>
      <c r="R31" s="255"/>
    </row>
    <row r="32" spans="1:29" ht="16" customHeight="1" thickBot="1">
      <c r="A32" s="41" t="s">
        <v>94</v>
      </c>
      <c r="B32" s="77">
        <v>401678</v>
      </c>
      <c r="C32" s="46" t="s">
        <v>263</v>
      </c>
      <c r="D32" s="96">
        <v>45414</v>
      </c>
      <c r="E32" s="44" t="s">
        <v>2</v>
      </c>
      <c r="F32" s="45">
        <v>173</v>
      </c>
      <c r="G32" s="89">
        <f>IF(OR(E32="",F32=""),"",PID_KVLohnLookup($A$1,E32,F32,LOHNTABELLE!$H$4))</f>
        <v>2100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2100</v>
      </c>
      <c r="M32" s="71"/>
      <c r="N32" s="55"/>
    </row>
    <row r="33" spans="1:24" ht="16" customHeight="1" thickBot="1">
      <c r="A33" s="40" t="s">
        <v>95</v>
      </c>
      <c r="B33" s="77">
        <v>401690</v>
      </c>
      <c r="C33" s="46" t="s">
        <v>265</v>
      </c>
      <c r="D33" s="96">
        <v>45536</v>
      </c>
      <c r="E33" s="44" t="s">
        <v>2</v>
      </c>
      <c r="F33" s="45">
        <v>173</v>
      </c>
      <c r="G33" s="89">
        <f>IF(OR(E33="",F33=""),"",PID_KVLohnLookup($A$1,E33,F33,LOHNTABELLE!$H$4))</f>
        <v>2100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2100</v>
      </c>
      <c r="M33" s="71"/>
      <c r="N33" s="55"/>
      <c r="O33" s="256"/>
      <c r="P33" s="257"/>
      <c r="Q33" s="258" t="str">
        <f>EINSTELLUNG!B3</f>
        <v>Budget Zahlen</v>
      </c>
      <c r="R33" s="258"/>
      <c r="S33" s="259" t="str">
        <f>EINSTELLUNG!B19</f>
        <v>Projection/Aktuell Zahlen</v>
      </c>
      <c r="T33" s="259"/>
      <c r="U33" s="259" t="s">
        <v>98</v>
      </c>
      <c r="V33" s="259"/>
    </row>
    <row r="34" spans="1:24" ht="16" customHeight="1" thickBot="1">
      <c r="A34" s="40" t="s">
        <v>99</v>
      </c>
      <c r="B34" s="77">
        <v>401703</v>
      </c>
      <c r="C34" s="46" t="s">
        <v>266</v>
      </c>
      <c r="D34" s="96">
        <v>45616</v>
      </c>
      <c r="E34" s="44" t="s">
        <v>2</v>
      </c>
      <c r="F34" s="45">
        <v>173</v>
      </c>
      <c r="G34" s="89">
        <f>IF(OR(E34="",F34=""),"",PID_KVLohnLookup($A$1,E34,F34,LOHNTABELLE!$H$4))</f>
        <v>2100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2100</v>
      </c>
      <c r="M34" s="71"/>
      <c r="N34" s="55"/>
      <c r="O34" s="256"/>
      <c r="P34" s="257"/>
      <c r="Q34" s="258"/>
      <c r="R34" s="258"/>
      <c r="S34" s="259"/>
      <c r="T34" s="259"/>
      <c r="U34" s="259"/>
      <c r="V34" s="259"/>
    </row>
    <row r="35" spans="1:24" ht="16" customHeight="1" thickBot="1">
      <c r="A35" s="41" t="s">
        <v>100</v>
      </c>
      <c r="B35" s="77">
        <v>401715</v>
      </c>
      <c r="C35" s="46" t="s">
        <v>268</v>
      </c>
      <c r="D35" s="96">
        <v>45755</v>
      </c>
      <c r="E35" s="44" t="s">
        <v>2</v>
      </c>
      <c r="F35" s="45">
        <v>173</v>
      </c>
      <c r="G35" s="89">
        <f>IF(OR(E35="",F35=""),"",PID_KVLohnLookup($A$1,E35,F35,LOHNTABELLE!$H$4))</f>
        <v>2100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2100</v>
      </c>
      <c r="M35" s="71"/>
      <c r="N35" s="55"/>
      <c r="O35" s="264" t="s">
        <v>101</v>
      </c>
      <c r="P35" s="265"/>
      <c r="Q35" s="238">
        <f>EINSTELLUNG!C14</f>
        <v>400000</v>
      </c>
      <c r="R35" s="238"/>
      <c r="S35" s="238">
        <f>EINSTELLUNG!C30</f>
        <v>450000</v>
      </c>
      <c r="T35" s="238"/>
      <c r="U35" s="242">
        <f>S35-Q35</f>
        <v>50000</v>
      </c>
      <c r="V35" s="242"/>
    </row>
    <row r="36" spans="1:24" ht="16" customHeight="1" thickBot="1">
      <c r="A36" s="40" t="s">
        <v>102</v>
      </c>
      <c r="B36" s="77">
        <v>401716</v>
      </c>
      <c r="C36" s="46" t="s">
        <v>269</v>
      </c>
      <c r="D36" s="96">
        <v>45800</v>
      </c>
      <c r="E36" s="44" t="s">
        <v>2</v>
      </c>
      <c r="F36" s="45">
        <v>173</v>
      </c>
      <c r="G36" s="89">
        <f>IF(OR(E36="",F36=""),"",PID_KVLohnLookup($A$1,E36,F36,LOHNTABELLE!$H$4))</f>
        <v>2100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2100</v>
      </c>
      <c r="M36" s="71"/>
      <c r="N36" s="55"/>
      <c r="O36" s="264" t="s">
        <v>103</v>
      </c>
      <c r="P36" s="265"/>
      <c r="Q36" s="238">
        <f>EINSTELLUNG!D14</f>
        <v>100000</v>
      </c>
      <c r="R36" s="238"/>
      <c r="S36" s="235">
        <f>SumMergedCells(Q17:R29)</f>
        <v>119979.6</v>
      </c>
      <c r="T36" s="237"/>
      <c r="U36" s="242">
        <f t="shared" ref="U36:U41" si="2">S36-Q36</f>
        <v>19979.600000000006</v>
      </c>
      <c r="V36" s="242"/>
    </row>
    <row r="37" spans="1:24" ht="16" customHeight="1" thickBot="1">
      <c r="A37" s="40" t="s">
        <v>104</v>
      </c>
      <c r="B37" s="77">
        <v>401717</v>
      </c>
      <c r="C37" s="46" t="s">
        <v>270</v>
      </c>
      <c r="D37" s="96">
        <v>45814</v>
      </c>
      <c r="E37" s="44" t="s">
        <v>2</v>
      </c>
      <c r="F37" s="45">
        <v>173</v>
      </c>
      <c r="G37" s="89">
        <f>IF(OR(E37="",F37=""),"",PID_KVLohnLookup($A$1,E37,F37,LOHNTABELLE!$H$4))</f>
        <v>2100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2100</v>
      </c>
      <c r="M37" s="71"/>
      <c r="N37" s="55"/>
      <c r="O37" s="264" t="s">
        <v>105</v>
      </c>
      <c r="P37" s="265"/>
      <c r="Q37" s="246">
        <f>IF(ISERROR(Q36/Q35), 0, Q36/Q35)</f>
        <v>0.25</v>
      </c>
      <c r="R37" s="246"/>
      <c r="S37" s="246">
        <f>IF(ISERROR(S36/S35), 0, S36/S35)</f>
        <v>0.26662133333333332</v>
      </c>
      <c r="T37" s="246"/>
      <c r="U37" s="247">
        <f t="shared" si="2"/>
        <v>1.6621333333333321E-2</v>
      </c>
      <c r="V37" s="247"/>
    </row>
    <row r="38" spans="1:24" ht="16" customHeight="1" thickBot="1">
      <c r="A38" s="41" t="s">
        <v>106</v>
      </c>
      <c r="B38" s="77">
        <v>401722</v>
      </c>
      <c r="C38" s="46" t="s">
        <v>271</v>
      </c>
      <c r="D38" s="96">
        <v>45848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64" t="s">
        <v>107</v>
      </c>
      <c r="P38" s="265"/>
      <c r="Q38" s="239">
        <f>EINSTELLUNG!F14</f>
        <v>30000</v>
      </c>
      <c r="R38" s="239"/>
      <c r="S38" s="239">
        <f>EINSTELLUNG!F30</f>
        <v>31000</v>
      </c>
      <c r="T38" s="239"/>
      <c r="U38" s="243">
        <f t="shared" si="2"/>
        <v>1000</v>
      </c>
      <c r="V38" s="243"/>
    </row>
    <row r="39" spans="1:24" ht="16" customHeight="1" thickBot="1">
      <c r="A39" s="40" t="s">
        <v>108</v>
      </c>
      <c r="B39" s="77">
        <v>401723</v>
      </c>
      <c r="C39" s="46" t="s">
        <v>272</v>
      </c>
      <c r="D39" s="96">
        <v>45852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64" t="s">
        <v>109</v>
      </c>
      <c r="P39" s="265"/>
      <c r="Q39" s="238">
        <f>IF(Q38=0, 0, Q35/Q38)</f>
        <v>13.333333333333334</v>
      </c>
      <c r="R39" s="238"/>
      <c r="S39" s="238">
        <f>IF(S38=0, 0, S35/S38)</f>
        <v>14.516129032258064</v>
      </c>
      <c r="T39" s="238"/>
      <c r="U39" s="242">
        <f t="shared" si="2"/>
        <v>1.1827956989247301</v>
      </c>
      <c r="V39" s="242"/>
    </row>
    <row r="40" spans="1:24" ht="16" customHeight="1" thickBot="1">
      <c r="A40" s="40" t="s">
        <v>110</v>
      </c>
      <c r="B40" s="77">
        <v>401726</v>
      </c>
      <c r="C40" s="46" t="s">
        <v>273</v>
      </c>
      <c r="D40" s="96">
        <v>45870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64" t="s">
        <v>111</v>
      </c>
      <c r="P40" s="265"/>
      <c r="Q40" s="238">
        <f>IF(Q13=0, 0, Q35/Q13)</f>
        <v>49.249196006875195</v>
      </c>
      <c r="R40" s="238"/>
      <c r="S40" s="238">
        <f>IF(Q13=0, 0, S35/Q13)</f>
        <v>55.405345507734594</v>
      </c>
      <c r="T40" s="238"/>
      <c r="U40" s="242">
        <f t="shared" si="2"/>
        <v>6.1561495008593994</v>
      </c>
      <c r="V40" s="242"/>
    </row>
    <row r="41" spans="1:24" ht="16" customHeight="1" thickBot="1">
      <c r="A41" s="41" t="s">
        <v>112</v>
      </c>
      <c r="B41" s="77">
        <v>401730</v>
      </c>
      <c r="C41" s="46" t="s">
        <v>275</v>
      </c>
      <c r="D41" s="96">
        <v>45895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64" t="s">
        <v>113</v>
      </c>
      <c r="P41" s="265"/>
      <c r="Q41" s="239">
        <f>IF(Q13=0, 0, Q38/Q13)</f>
        <v>3.6936897005156393</v>
      </c>
      <c r="R41" s="239"/>
      <c r="S41" s="239">
        <f>IF(Q13=0, 0, S38/Q13)</f>
        <v>3.8168126905328275</v>
      </c>
      <c r="T41" s="239"/>
      <c r="U41" s="243">
        <f t="shared" si="2"/>
        <v>0.12312299001718818</v>
      </c>
      <c r="V41" s="243"/>
    </row>
    <row r="42" spans="1:24" ht="16" customHeight="1" thickBot="1">
      <c r="A42" s="40" t="s">
        <v>114</v>
      </c>
      <c r="B42" s="77">
        <v>401731</v>
      </c>
      <c r="C42" s="46" t="s">
        <v>274</v>
      </c>
      <c r="D42" s="96">
        <v>45899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64" t="s">
        <v>115</v>
      </c>
      <c r="P42" s="265"/>
      <c r="Q42" s="235">
        <f>IFERROR(Q17/Q8, 0)</f>
        <v>12.781536442060879</v>
      </c>
      <c r="R42" s="236"/>
      <c r="S42" s="236"/>
      <c r="T42" s="236"/>
      <c r="U42" s="236"/>
      <c r="V42" s="237"/>
    </row>
    <row r="43" spans="1:24" ht="16" customHeight="1" thickBot="1">
      <c r="A43" s="40" t="s">
        <v>116</v>
      </c>
      <c r="B43" s="77">
        <v>401734</v>
      </c>
      <c r="C43" s="48" t="s">
        <v>276</v>
      </c>
      <c r="D43" s="96">
        <v>45904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1" t="s">
        <v>117</v>
      </c>
      <c r="B44" s="77">
        <v>401736</v>
      </c>
      <c r="C44" s="46" t="s">
        <v>277</v>
      </c>
      <c r="D44" s="96">
        <v>45906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0" t="s">
        <v>119</v>
      </c>
      <c r="B45" s="77">
        <v>401737</v>
      </c>
      <c r="C45" s="46" t="s">
        <v>278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401738</v>
      </c>
      <c r="C46" s="46" t="s">
        <v>279</v>
      </c>
      <c r="D46" s="96">
        <v>45909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1" t="s">
        <v>121</v>
      </c>
      <c r="B47" s="77">
        <v>401745</v>
      </c>
      <c r="C47" s="46" t="s">
        <v>283</v>
      </c>
      <c r="D47" s="96">
        <v>45934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401748</v>
      </c>
      <c r="C48" s="46" t="s">
        <v>281</v>
      </c>
      <c r="D48" s="96">
        <v>45941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0" t="s">
        <v>123</v>
      </c>
      <c r="B49" s="77">
        <v>401751</v>
      </c>
      <c r="C49" s="46" t="s">
        <v>284</v>
      </c>
      <c r="D49" s="96">
        <v>45961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1" t="s">
        <v>124</v>
      </c>
      <c r="B50" s="77">
        <v>401752</v>
      </c>
      <c r="C50" s="46" t="s">
        <v>285</v>
      </c>
      <c r="D50" s="96">
        <v>45986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401999</v>
      </c>
      <c r="C51" s="46" t="s">
        <v>319</v>
      </c>
      <c r="D51" s="96">
        <v>46082</v>
      </c>
      <c r="E51" s="44" t="s">
        <v>2</v>
      </c>
      <c r="F51" s="45">
        <v>173</v>
      </c>
      <c r="G51" s="89">
        <f>IF(OR(E51="",F51=""),"",PID_KVLohnLookup($A$1,E51,F51,LOHNTABELLE!$H$4))</f>
        <v>2100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2100</v>
      </c>
      <c r="M51" s="71"/>
      <c r="N51" s="55"/>
    </row>
    <row r="52" spans="1:14" ht="16" customHeight="1" thickBot="1">
      <c r="A52" s="40" t="s">
        <v>126</v>
      </c>
      <c r="B52" s="77">
        <v>402000</v>
      </c>
      <c r="C52" s="46" t="s">
        <v>326</v>
      </c>
      <c r="D52" s="96">
        <v>46143</v>
      </c>
      <c r="E52" s="44" t="s">
        <v>2</v>
      </c>
      <c r="F52" s="45">
        <v>173</v>
      </c>
      <c r="G52" s="89">
        <f>IF(OR(E52="",F52=""),"",PID_KVLohnLookup($A$1,E52,F52,LOHNTABELLE!$H$4))</f>
        <v>2100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2100</v>
      </c>
      <c r="M52" s="71"/>
      <c r="N52" s="55"/>
    </row>
    <row r="53" spans="1:14" ht="16" customHeight="1" thickBot="1">
      <c r="A53" s="41" t="s">
        <v>127</v>
      </c>
      <c r="B53" s="77">
        <v>402004</v>
      </c>
      <c r="C53" s="46" t="s">
        <v>328</v>
      </c>
      <c r="D53" s="96">
        <v>46122</v>
      </c>
      <c r="E53" s="44" t="s">
        <v>2</v>
      </c>
      <c r="F53" s="45">
        <v>173</v>
      </c>
      <c r="G53" s="89">
        <f>IF(OR(E53="",F53=""),"",PID_KVLohnLookup($A$1,E53,F53,LOHNTABELLE!$H$4))</f>
        <v>2100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2100</v>
      </c>
      <c r="M53" s="71"/>
      <c r="N53" s="55"/>
    </row>
    <row r="54" spans="1:14" ht="16" customHeight="1" thickBot="1">
      <c r="A54" s="40" t="s">
        <v>128</v>
      </c>
      <c r="B54" s="77">
        <v>402405</v>
      </c>
      <c r="C54" s="46" t="s">
        <v>330</v>
      </c>
      <c r="D54" s="96">
        <v>46054</v>
      </c>
      <c r="E54" s="44" t="s">
        <v>2</v>
      </c>
      <c r="F54" s="45">
        <v>173</v>
      </c>
      <c r="G54" s="89">
        <f>IF(OR(E54="",F54=""),"",PID_KVLohnLookup($A$1,E54,F54,LOHNTABELLE!$H$4))</f>
        <v>2100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2100</v>
      </c>
      <c r="M54" s="71"/>
      <c r="N54" s="55"/>
    </row>
    <row r="55" spans="1:14" ht="16" customHeight="1" thickBot="1">
      <c r="A55" s="40" t="s">
        <v>129</v>
      </c>
      <c r="B55" s="77">
        <v>500600</v>
      </c>
      <c r="C55" s="46" t="s">
        <v>335</v>
      </c>
      <c r="D55" s="96">
        <v>46054</v>
      </c>
      <c r="E55" s="44" t="s">
        <v>2</v>
      </c>
      <c r="F55" s="45">
        <v>173</v>
      </c>
      <c r="G55" s="89">
        <f>IF(OR(E55="",F55=""),"",PID_KVLohnLookup($A$1,E55,F55,LOHNTABELLE!$H$4))</f>
        <v>2100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2100</v>
      </c>
      <c r="M55" s="71"/>
      <c r="N55" s="55"/>
    </row>
    <row r="56" spans="1:14" ht="16" customHeight="1" thickBot="1">
      <c r="A56" s="41" t="s">
        <v>130</v>
      </c>
      <c r="B56" s="77">
        <v>502000</v>
      </c>
      <c r="C56" s="46" t="s">
        <v>329</v>
      </c>
      <c r="D56" s="96">
        <v>46147</v>
      </c>
      <c r="E56" s="44" t="s">
        <v>2</v>
      </c>
      <c r="F56" s="45">
        <v>173</v>
      </c>
      <c r="G56" s="89">
        <f>IF(OR(E56="",F56=""),"",PID_KVLohnLookup($A$1,E56,F56,LOHNTABELLE!$H$4))</f>
        <v>2100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2100</v>
      </c>
      <c r="M56" s="71"/>
      <c r="N56" s="55"/>
    </row>
    <row r="57" spans="1:14" ht="16" customHeight="1" thickBot="1">
      <c r="A57" s="40" t="s">
        <v>131</v>
      </c>
      <c r="B57" s="77">
        <v>503000</v>
      </c>
      <c r="C57" s="46" t="s">
        <v>332</v>
      </c>
      <c r="D57" s="96">
        <v>42401</v>
      </c>
      <c r="E57" s="44" t="s">
        <v>2</v>
      </c>
      <c r="F57" s="45">
        <v>173</v>
      </c>
      <c r="G57" s="89">
        <f>IF(OR(E57="",F57=""),"",PID_KVLohnLookup($A$1,E57,F57,LOHNTABELLE!$H$4))</f>
        <v>2100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2100</v>
      </c>
      <c r="M57" s="71"/>
      <c r="N57" s="55"/>
    </row>
    <row r="58" spans="1:14" ht="16" customHeight="1" thickBot="1">
      <c r="A58" s="40" t="s">
        <v>132</v>
      </c>
      <c r="B58" s="77">
        <v>504000</v>
      </c>
      <c r="C58" s="46" t="s">
        <v>333</v>
      </c>
      <c r="D58" s="96">
        <v>46054</v>
      </c>
      <c r="E58" s="44" t="s">
        <v>3</v>
      </c>
      <c r="F58" s="45">
        <v>138.4</v>
      </c>
      <c r="G58" s="89">
        <f>IF(OR(E58="",F58=""),"",PID_KVLohnLookup($A$1,E58,F58,LOHNTABELLE!$H$4))</f>
        <v>1665.6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1665.6</v>
      </c>
      <c r="M58" s="71"/>
      <c r="N58" s="55"/>
    </row>
    <row r="59" spans="1:14" ht="16" customHeight="1" thickBot="1">
      <c r="A59" s="41" t="s">
        <v>133</v>
      </c>
      <c r="B59" s="77">
        <v>505000</v>
      </c>
      <c r="C59" s="46" t="s">
        <v>334</v>
      </c>
      <c r="D59" s="96">
        <v>46054</v>
      </c>
      <c r="E59" s="44" t="s">
        <v>2</v>
      </c>
      <c r="F59" s="45">
        <v>138.4</v>
      </c>
      <c r="G59" s="89">
        <f>IF(OR(E59="",F59=""),"",PID_KVLohnLookup($A$1,E59,F59,LOHNTABELLE!$H$4))</f>
        <v>2300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2300</v>
      </c>
      <c r="M59" s="71"/>
      <c r="N59" s="55"/>
    </row>
    <row r="60" spans="1:14" ht="16" customHeight="1" thickBot="1">
      <c r="A60" s="40" t="s">
        <v>134</v>
      </c>
      <c r="B60" s="77">
        <v>700000</v>
      </c>
      <c r="C60" s="46" t="s">
        <v>347</v>
      </c>
      <c r="D60" s="96">
        <v>46054</v>
      </c>
      <c r="E60" s="44" t="s">
        <v>2</v>
      </c>
      <c r="F60" s="45">
        <v>173</v>
      </c>
      <c r="G60" s="89">
        <f>IF(OR(E60="",F60=""),"",PID_KVLohnLookup($A$1,E60,F60,LOHNTABELLE!$H$4))</f>
        <v>2100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2100</v>
      </c>
      <c r="M60" s="71"/>
      <c r="N60" s="55"/>
    </row>
    <row r="61" spans="1:14" ht="16" customHeight="1" thickBot="1">
      <c r="A61" s="40" t="s">
        <v>135</v>
      </c>
      <c r="B61" s="77">
        <v>800000</v>
      </c>
      <c r="C61" s="46" t="s">
        <v>348</v>
      </c>
      <c r="D61" s="96">
        <v>46082</v>
      </c>
      <c r="E61" s="44" t="s">
        <v>2</v>
      </c>
      <c r="F61" s="45">
        <v>173</v>
      </c>
      <c r="G61" s="89">
        <f>IF(OR(E61="",F61=""),"",PID_KVLohnLookup($A$1,E61,F61,LOHNTABELLE!$H$4))</f>
        <v>2100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2100</v>
      </c>
      <c r="M61" s="71"/>
      <c r="N61" s="55"/>
    </row>
    <row r="62" spans="1:14" ht="16" customHeight="1" thickBot="1">
      <c r="A62" s="41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1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0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1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0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1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1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0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/eK+abgFoePS0ZwuT75Q8Hq1e4SAFJurj/SuE3tV7317NwH1Zg3gedxKroa5bwEZMWJToNtcLPSR+eUDPXypsg==" saltValue="aMX7DDCK58ZYkYZefphCi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3" type="noConversion"/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A0F41737-EF39-6044-A0F1-F54223658BB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8E061863-252D-2847-92AF-F9233B209791}">
      <formula1>KV_DD_SEPTEMBER_3</formula1>
    </dataValidation>
    <dataValidation type="list" allowBlank="1" showInputMessage="1" showErrorMessage="1" sqref="F4" xr:uid="{67B6941F-931E-454E-9BC8-01C60AF909F0}">
      <formula1>KV_DD_SEPTEMBER_4</formula1>
    </dataValidation>
    <dataValidation type="list" allowBlank="1" showInputMessage="1" showErrorMessage="1" sqref="F5" xr:uid="{82936F3D-A7DC-314E-8B33-62AC513C750C}">
      <formula1>KV_DD_SEPTEMBER_5</formula1>
    </dataValidation>
    <dataValidation type="list" allowBlank="1" showInputMessage="1" showErrorMessage="1" sqref="F6" xr:uid="{001D9E0E-4733-EE46-B977-E9B3C99CFFDD}">
      <formula1>KV_DD_SEPTEMBER_6</formula1>
    </dataValidation>
    <dataValidation type="list" allowBlank="1" showInputMessage="1" showErrorMessage="1" sqref="F7" xr:uid="{983A2040-B083-3047-9BBC-E65F8EB4DD05}">
      <formula1>KV_DD_SEPTEMBER_7</formula1>
    </dataValidation>
    <dataValidation type="list" allowBlank="1" showInputMessage="1" showErrorMessage="1" sqref="F8" xr:uid="{9B3D9E48-7588-0641-A832-D6DFC68A0C54}">
      <formula1>KV_DD_SEPTEMBER_8</formula1>
    </dataValidation>
    <dataValidation type="list" allowBlank="1" showInputMessage="1" showErrorMessage="1" sqref="F9" xr:uid="{6066FBB5-22E0-CF4D-BFF9-C4E8F4A3E607}">
      <formula1>KV_DD_SEPTEMBER_9</formula1>
    </dataValidation>
    <dataValidation type="list" allowBlank="1" showInputMessage="1" showErrorMessage="1" sqref="F10" xr:uid="{C37C8643-0CEF-B04D-87B4-955857AA9BB1}">
      <formula1>KV_DD_SEPTEMBER_10</formula1>
    </dataValidation>
    <dataValidation type="list" allowBlank="1" showInputMessage="1" showErrorMessage="1" sqref="F11" xr:uid="{240637C3-3D8D-524F-8BFC-A52579CFB2A1}">
      <formula1>KV_DD_SEPTEMBER_11</formula1>
    </dataValidation>
    <dataValidation type="list" allowBlank="1" showInputMessage="1" showErrorMessage="1" sqref="F12" xr:uid="{1EA8A346-5B6B-604F-AD48-FDDE35C11100}">
      <formula1>KV_DD_SEPTEMBER_12</formula1>
    </dataValidation>
    <dataValidation type="list" allowBlank="1" showInputMessage="1" showErrorMessage="1" sqref="F13" xr:uid="{BB4EAA84-CEE0-BF41-8111-84AECA209FAA}">
      <formula1>KV_DD_SEPTEMBER_13</formula1>
    </dataValidation>
    <dataValidation type="list" allowBlank="1" showInputMessage="1" showErrorMessage="1" sqref="F14" xr:uid="{87C8E8F6-98CD-694A-912B-AB059EED97B7}">
      <formula1>KV_DD_SEPTEMBER_14</formula1>
    </dataValidation>
    <dataValidation type="list" allowBlank="1" showInputMessage="1" showErrorMessage="1" sqref="F15" xr:uid="{CC62DB4D-DD88-BD44-B1D3-051E19263001}">
      <formula1>KV_DD_SEPTEMBER_15</formula1>
    </dataValidation>
    <dataValidation type="list" allowBlank="1" showInputMessage="1" showErrorMessage="1" sqref="F16" xr:uid="{F786F942-3460-3544-9053-249A67536714}">
      <formula1>KV_DD_SEPTEMBER_16</formula1>
    </dataValidation>
    <dataValidation type="list" allowBlank="1" showInputMessage="1" showErrorMessage="1" sqref="F17" xr:uid="{352A52FD-1700-344F-82ED-9785EC1883E3}">
      <formula1>KV_DD_SEPTEMBER_17</formula1>
    </dataValidation>
    <dataValidation type="list" allowBlank="1" showInputMessage="1" showErrorMessage="1" sqref="F18" xr:uid="{8DDB6DBB-58D1-8143-9A9A-BFAA49366808}">
      <formula1>KV_DD_SEPTEMBER_18</formula1>
    </dataValidation>
    <dataValidation type="list" allowBlank="1" showInputMessage="1" showErrorMessage="1" sqref="F19" xr:uid="{BC195EBC-9F6E-1649-8F84-3009BC20B46E}">
      <formula1>KV_DD_SEPTEMBER_19</formula1>
    </dataValidation>
    <dataValidation type="list" allowBlank="1" showInputMessage="1" showErrorMessage="1" sqref="F20" xr:uid="{4259147D-EE60-3A44-BA13-EF7719AFC59F}">
      <formula1>KV_DD_SEPTEMBER_20</formula1>
    </dataValidation>
    <dataValidation type="list" allowBlank="1" showInputMessage="1" showErrorMessage="1" sqref="F21" xr:uid="{7CB73F53-EE29-A348-A719-D436D5E41F3A}">
      <formula1>KV_DD_SEPTEMBER_21</formula1>
    </dataValidation>
    <dataValidation type="list" allowBlank="1" showInputMessage="1" showErrorMessage="1" sqref="F22" xr:uid="{F11E3169-239E-8D46-AAF2-B91CB65A8F36}">
      <formula1>KV_DD_SEPTEMBER_22</formula1>
    </dataValidation>
    <dataValidation type="list" allowBlank="1" showInputMessage="1" showErrorMessage="1" sqref="F23" xr:uid="{572011A6-5D52-684C-A381-7851E8888839}">
      <formula1>KV_DD_SEPTEMBER_23</formula1>
    </dataValidation>
    <dataValidation type="list" allowBlank="1" showInputMessage="1" showErrorMessage="1" sqref="F24" xr:uid="{1D29BEBD-515D-9548-AFD3-FCAF039A1D59}">
      <formula1>KV_DD_SEPTEMBER_24</formula1>
    </dataValidation>
    <dataValidation type="list" allowBlank="1" showInputMessage="1" showErrorMessage="1" sqref="F25" xr:uid="{21CAABAD-D68E-2D45-AE44-6B36193B550D}">
      <formula1>KV_DD_SEPTEMBER_25</formula1>
    </dataValidation>
    <dataValidation type="list" allowBlank="1" showInputMessage="1" showErrorMessage="1" sqref="F26" xr:uid="{CE2D7B7F-8238-A744-AFA7-637AD1E855AE}">
      <formula1>KV_DD_SEPTEMBER_26</formula1>
    </dataValidation>
    <dataValidation type="list" allowBlank="1" showInputMessage="1" showErrorMessage="1" sqref="F27" xr:uid="{18768C20-4816-CF47-B622-9BB6C07B2406}">
      <formula1>KV_DD_SEPTEMBER_27</formula1>
    </dataValidation>
    <dataValidation type="list" allowBlank="1" showInputMessage="1" showErrorMessage="1" sqref="F28" xr:uid="{AC32A331-52D7-FE4F-BF6E-A4EC90577FA9}">
      <formula1>KV_DD_SEPTEMBER_28</formula1>
    </dataValidation>
    <dataValidation type="list" allowBlank="1" showInputMessage="1" showErrorMessage="1" sqref="F29" xr:uid="{B0CCCFC6-ED32-8A42-B193-FE314E9AEB7D}">
      <formula1>KV_DD_SEPTEMBER_29</formula1>
    </dataValidation>
    <dataValidation type="list" allowBlank="1" showInputMessage="1" showErrorMessage="1" sqref="F30" xr:uid="{137A7357-FDAB-CE4B-827E-93EF1DD8C07C}">
      <formula1>KV_DD_SEPTEMBER_30</formula1>
    </dataValidation>
    <dataValidation type="list" allowBlank="1" showInputMessage="1" showErrorMessage="1" sqref="F31" xr:uid="{C363E00D-36ED-B945-9C02-0B55AF8902D3}">
      <formula1>KV_DD_SEPTEMBER_31</formula1>
    </dataValidation>
    <dataValidation type="list" allowBlank="1" showInputMessage="1" showErrorMessage="1" sqref="F32" xr:uid="{E2398BD9-86FA-4942-A0FB-29BC6185291A}">
      <formula1>KV_DD_SEPTEMBER_32</formula1>
    </dataValidation>
    <dataValidation type="list" allowBlank="1" showInputMessage="1" showErrorMessage="1" sqref="F33" xr:uid="{391A5C39-9BAF-3440-80D7-7A3F000A9D91}">
      <formula1>KV_DD_SEPTEMBER_33</formula1>
    </dataValidation>
    <dataValidation type="list" allowBlank="1" showInputMessage="1" showErrorMessage="1" sqref="F34" xr:uid="{37D5BC64-6857-664D-B698-99AFB2C0A370}">
      <formula1>KV_DD_SEPTEMBER_34</formula1>
    </dataValidation>
    <dataValidation type="list" allowBlank="1" showInputMessage="1" showErrorMessage="1" sqref="F35" xr:uid="{6BC57AF7-2F4D-7048-A978-2D1832F91792}">
      <formula1>KV_DD_SEPTEMBER_35</formula1>
    </dataValidation>
    <dataValidation type="list" allowBlank="1" showInputMessage="1" showErrorMessage="1" sqref="F36" xr:uid="{47C38E3B-10D9-5946-A78A-76AD8EFC5CDB}">
      <formula1>KV_DD_SEPTEMBER_36</formula1>
    </dataValidation>
    <dataValidation type="list" allowBlank="1" showInputMessage="1" showErrorMessage="1" sqref="F37" xr:uid="{6CC56668-89A5-3A41-B32C-6C9A755595F2}">
      <formula1>KV_DD_SEPTEMBER_37</formula1>
    </dataValidation>
    <dataValidation type="list" allowBlank="1" showInputMessage="1" showErrorMessage="1" sqref="F38" xr:uid="{93F4FAB8-78B1-E846-8C93-D77ABAED3D82}">
      <formula1>KV_DD_SEPTEMBER_38</formula1>
    </dataValidation>
    <dataValidation type="list" allowBlank="1" showInputMessage="1" showErrorMessage="1" sqref="F39" xr:uid="{57F6567B-8549-E046-AF0B-8348EDA7F7BD}">
      <formula1>KV_DD_SEPTEMBER_39</formula1>
    </dataValidation>
    <dataValidation type="list" allowBlank="1" showInputMessage="1" showErrorMessage="1" sqref="F40" xr:uid="{68B2B410-469A-3645-882B-6F41339F4C8B}">
      <formula1>KV_DD_SEPTEMBER_40</formula1>
    </dataValidation>
    <dataValidation type="list" allowBlank="1" showInputMessage="1" showErrorMessage="1" sqref="F41" xr:uid="{A4A9CC29-8F8F-D149-966D-CAAA36583425}">
      <formula1>KV_DD_SEPTEMBER_41</formula1>
    </dataValidation>
    <dataValidation type="list" allowBlank="1" showInputMessage="1" showErrorMessage="1" sqref="F42" xr:uid="{77254D60-360D-6149-92A3-7541F78EAEBD}">
      <formula1>KV_DD_SEPTEMBER_42</formula1>
    </dataValidation>
    <dataValidation type="list" allowBlank="1" showInputMessage="1" showErrorMessage="1" sqref="F43" xr:uid="{BC2750EF-7652-6043-AD12-A4976FF1F55B}">
      <formula1>KV_DD_SEPTEMBER_43</formula1>
    </dataValidation>
    <dataValidation type="list" allowBlank="1" showInputMessage="1" showErrorMessage="1" sqref="F44" xr:uid="{F090DF3D-1218-8441-939D-35A97B2851F9}">
      <formula1>KV_DD_SEPTEMBER_44</formula1>
    </dataValidation>
    <dataValidation type="list" allowBlank="1" showInputMessage="1" showErrorMessage="1" sqref="F45" xr:uid="{9F56230D-584B-0947-B88E-8AD5ED24B979}">
      <formula1>KV_DD_SEPTEMBER_45</formula1>
    </dataValidation>
    <dataValidation type="list" allowBlank="1" showInputMessage="1" showErrorMessage="1" sqref="F46" xr:uid="{B768E2E7-96F1-D34B-A6F0-F946CECDCDEC}">
      <formula1>KV_DD_SEPTEMBER_46</formula1>
    </dataValidation>
    <dataValidation type="list" allowBlank="1" showInputMessage="1" showErrorMessage="1" sqref="F47" xr:uid="{778B4B98-0EFD-2941-909E-97D31B403584}">
      <formula1>KV_DD_SEPTEMBER_47</formula1>
    </dataValidation>
    <dataValidation type="list" allowBlank="1" showInputMessage="1" showErrorMessage="1" sqref="F48" xr:uid="{82D2E4CE-98FD-DC48-B23B-370E98FA45EE}">
      <formula1>KV_DD_SEPTEMBER_48</formula1>
    </dataValidation>
    <dataValidation type="list" allowBlank="1" showInputMessage="1" showErrorMessage="1" sqref="F49" xr:uid="{AB30B40B-23EE-F74F-8098-7B0108318012}">
      <formula1>KV_DD_SEPTEMBER_49</formula1>
    </dataValidation>
    <dataValidation type="list" allowBlank="1" showInputMessage="1" showErrorMessage="1" sqref="F50" xr:uid="{2E8640AC-07EB-7E4B-8795-D6527F02877B}">
      <formula1>KV_DD_SEPTEMBER_50</formula1>
    </dataValidation>
    <dataValidation type="list" allowBlank="1" showInputMessage="1" showErrorMessage="1" sqref="F51" xr:uid="{8497F4FD-0AD2-264D-8D92-64B0D77594A8}">
      <formula1>KV_DD_SEPTEMBER_51</formula1>
    </dataValidation>
    <dataValidation type="list" allowBlank="1" showInputMessage="1" showErrorMessage="1" sqref="F52" xr:uid="{39F86132-482C-DB4B-8EF5-416883BC0DAF}">
      <formula1>KV_DD_SEPTEMBER_52</formula1>
    </dataValidation>
    <dataValidation type="list" allowBlank="1" showInputMessage="1" showErrorMessage="1" sqref="F53" xr:uid="{88D36A66-58FB-BF4C-8D4A-8D7A44719E8D}">
      <formula1>KV_DD_SEPTEMBER_53</formula1>
    </dataValidation>
    <dataValidation type="list" allowBlank="1" showInputMessage="1" showErrorMessage="1" sqref="F54" xr:uid="{D15B32FE-D979-4464-973A-35730CEF4E44}">
      <formula1>KV_DD_SEPTEMBER_54</formula1>
    </dataValidation>
    <dataValidation type="list" allowBlank="1" showInputMessage="1" showErrorMessage="1" sqref="F55" xr:uid="{73DC1BAD-196A-4213-A7BA-0A51437FD15B}">
      <formula1>KV_DD_SEPTEMBER_55</formula1>
    </dataValidation>
    <dataValidation type="list" allowBlank="1" showInputMessage="1" showErrorMessage="1" sqref="F56" xr:uid="{2B5EE8B9-CAA3-433E-A7A6-75E4E8EA856E}">
      <formula1>KV_DD_SEPTEMBER_56</formula1>
    </dataValidation>
    <dataValidation type="list" allowBlank="1" showInputMessage="1" showErrorMessage="1" sqref="F57" xr:uid="{79A9DE6D-E8C7-0942-922B-3A1E2AEECE93}">
      <formula1>KV_DD_SEPTEMBER_57</formula1>
    </dataValidation>
    <dataValidation type="list" allowBlank="1" showInputMessage="1" showErrorMessage="1" sqref="F58" xr:uid="{312B9999-05EC-704E-851F-3D62AD30FBC6}">
      <formula1>KV_DD_SEPTEMBER_58</formula1>
    </dataValidation>
    <dataValidation type="list" allowBlank="1" showInputMessage="1" showErrorMessage="1" sqref="F59" xr:uid="{A058A0B8-F65B-DA4D-96C1-AB40E6C01805}">
      <formula1>KV_DD_SEPTEMBER_59</formula1>
    </dataValidation>
    <dataValidation type="list" allowBlank="1" showInputMessage="1" showErrorMessage="1" sqref="F60" xr:uid="{1AD184D1-49EC-6544-9F2F-C9B4B10E3D53}">
      <formula1>KV_DD_SEPTEMBER_60</formula1>
    </dataValidation>
    <dataValidation type="list" allowBlank="1" showInputMessage="1" showErrorMessage="1" sqref="F61" xr:uid="{AFA93BE8-5246-3140-B245-27600757A853}">
      <formula1>KV_DD_SEPTEMBER_61</formula1>
    </dataValidation>
    <dataValidation type="date" allowBlank="1" showDropDown="1" showErrorMessage="1" sqref="I3:I82" xr:uid="{15622EDB-1F57-4644-8874-FE3EA638CB5F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685800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D9F9A08-3F15-F04B-85A0-5AAC01D1DDF8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A82B2-7AD1-44B7-B6C2-31F6E26B51E1}">
  <sheetPr codeName="Tabelle12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10</v>
      </c>
      <c r="B1" s="302" t="s">
        <v>191</v>
      </c>
      <c r="C1" s="314" t="s">
        <v>40</v>
      </c>
      <c r="D1" s="286" t="s">
        <v>192</v>
      </c>
      <c r="E1" s="286" t="s">
        <v>0</v>
      </c>
      <c r="F1" s="286" t="s">
        <v>41</v>
      </c>
      <c r="G1" s="288" t="s">
        <v>42</v>
      </c>
      <c r="H1" s="305" t="s">
        <v>43</v>
      </c>
      <c r="I1" s="290" t="s">
        <v>193</v>
      </c>
      <c r="J1" s="292" t="s">
        <v>44</v>
      </c>
      <c r="K1" s="294" t="s">
        <v>45</v>
      </c>
      <c r="L1" s="296" t="s">
        <v>46</v>
      </c>
      <c r="M1" s="298" t="s">
        <v>47</v>
      </c>
      <c r="N1" s="303" t="s">
        <v>194</v>
      </c>
      <c r="AB1" s="8">
        <f>DATE(EINSTELLUNG!$C$35,$A$1,1)</f>
        <v>46296</v>
      </c>
    </row>
    <row r="2" spans="1:28" ht="16" customHeight="1" thickBot="1">
      <c r="A2" s="39"/>
      <c r="B2" s="302"/>
      <c r="C2" s="315"/>
      <c r="D2" s="287"/>
      <c r="E2" s="287"/>
      <c r="F2" s="287"/>
      <c r="G2" s="289"/>
      <c r="H2" s="306"/>
      <c r="I2" s="291"/>
      <c r="J2" s="293"/>
      <c r="K2" s="295"/>
      <c r="L2" s="297"/>
      <c r="M2" s="299"/>
      <c r="N2" s="303"/>
      <c r="AB2" s="8">
        <f>EOMONTH(DATE(EINSTELLUNG!$C$35,$A$1,1),0)</f>
        <v>46326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2100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2100</v>
      </c>
      <c r="M3" s="70"/>
      <c r="N3" s="54"/>
      <c r="O3" s="300" t="s">
        <v>49</v>
      </c>
      <c r="P3" s="300" t="s">
        <v>50</v>
      </c>
      <c r="Q3" s="307" t="s">
        <v>51</v>
      </c>
      <c r="R3" s="309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301"/>
      <c r="P4" s="301"/>
      <c r="Q4" s="308"/>
      <c r="R4" s="310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853.1033625250767</v>
      </c>
      <c r="P5" s="15">
        <f>EINSTELLUNG!I15</f>
        <v>600</v>
      </c>
      <c r="Q5" s="14">
        <f>P5-O5</f>
        <v>-253.1033625250767</v>
      </c>
      <c r="R5" s="18">
        <f>IFERROR(Q5*Q42, 0)</f>
        <v>-3229.7347760455964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55.8</v>
      </c>
      <c r="I6" s="99">
        <v>46305</v>
      </c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684.83870967741939</v>
      </c>
      <c r="M6" s="71"/>
      <c r="N6" s="55" t="s">
        <v>205</v>
      </c>
      <c r="O6" s="311" t="str">
        <f>IF(Q5&lt;0, "Schlecht! Zu wenig Urlaub abgebaut.", IF(Q5&gt;0, "Gut! Mehr Urlaub abgebaut als aufgebaut.", ""))</f>
        <v>Schlecht! Zu wenig Urlaub abgebaut.</v>
      </c>
      <c r="P6" s="312"/>
      <c r="Q6" s="312"/>
      <c r="R6" s="313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66" t="s">
        <v>58</v>
      </c>
      <c r="P8" s="267"/>
      <c r="Q8" s="268">
        <f>SUM(H3:H82)</f>
        <v>8723.1</v>
      </c>
      <c r="R8" s="268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66" t="s">
        <v>60</v>
      </c>
      <c r="P9" s="267"/>
      <c r="Q9" s="268">
        <f>EINSTELLUNG!L31</f>
        <v>10</v>
      </c>
      <c r="R9" s="268"/>
      <c r="S9" s="19">
        <f>IFERROR(Q9/Q8, 0)</f>
        <v>1.1463814469626623E-3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66" t="s">
        <v>62</v>
      </c>
      <c r="P10" s="267"/>
      <c r="Q10" s="268">
        <f>EINSTELLUNG!I31</f>
        <v>0</v>
      </c>
      <c r="R10" s="268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66" t="s">
        <v>64</v>
      </c>
      <c r="P11" s="267"/>
      <c r="Q11" s="268">
        <f>P5</f>
        <v>600</v>
      </c>
      <c r="R11" s="268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66" t="s">
        <v>66</v>
      </c>
      <c r="P12" s="267"/>
      <c r="Q12" s="272">
        <v>-121</v>
      </c>
      <c r="R12" s="272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66" t="s">
        <v>68</v>
      </c>
      <c r="P13" s="267"/>
      <c r="Q13" s="268">
        <f>Q8-Q9-Q10-Q11-Q12</f>
        <v>8234.1</v>
      </c>
      <c r="R13" s="268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66" t="s">
        <v>70</v>
      </c>
      <c r="P14" s="267"/>
      <c r="Q14" s="268">
        <f>EINSTELLUNG!L15</f>
        <v>9300</v>
      </c>
      <c r="R14" s="268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66" t="s">
        <v>72</v>
      </c>
      <c r="P15" s="267"/>
      <c r="Q15" s="268">
        <f>Q13-Q14</f>
        <v>-1065.8999999999996</v>
      </c>
      <c r="R15" s="268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304" t="str">
        <f>IF(Q15&lt;0, "Schlecht! Zu wenig Stunden für Dienstplan.", IF(Q15&gt;0, "Du hast mehr als genug Stunden für Dienstplan.", ""))</f>
        <v>Schlecht! Zu wenig Stunden für Dienstplan.</v>
      </c>
      <c r="P16" s="304"/>
      <c r="Q16" s="304"/>
      <c r="R16" s="304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2100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2100</v>
      </c>
      <c r="M17" s="71"/>
      <c r="N17" s="55"/>
      <c r="O17" s="269" t="s">
        <v>75</v>
      </c>
      <c r="P17" s="270"/>
      <c r="Q17" s="271">
        <f>SUM(L3:L82)</f>
        <v>111311.43870967743</v>
      </c>
      <c r="R17" s="271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2100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2100</v>
      </c>
      <c r="M18" s="71"/>
      <c r="N18" s="55"/>
      <c r="O18" s="260"/>
      <c r="P18" s="261"/>
      <c r="Q18" s="262"/>
      <c r="R18" s="263"/>
    </row>
    <row r="19" spans="1:29" ht="16" customHeight="1" thickBot="1">
      <c r="A19" s="40" t="s">
        <v>77</v>
      </c>
      <c r="B19" s="77">
        <v>401479</v>
      </c>
      <c r="C19" s="46" t="s">
        <v>250</v>
      </c>
      <c r="D19" s="96">
        <v>44511</v>
      </c>
      <c r="E19" s="44" t="s">
        <v>6</v>
      </c>
      <c r="F19" s="45">
        <v>173</v>
      </c>
      <c r="G19" s="89">
        <f>IF(OR(E19="",F19=""),"",PID_KVLohnLookup($A$1,E19,F19,LOHNTABELLE!$H$4))</f>
        <v>2160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71"/>
      <c r="N19" s="55"/>
      <c r="O19" s="260"/>
      <c r="P19" s="261"/>
      <c r="Q19" s="262"/>
      <c r="R19" s="263"/>
    </row>
    <row r="20" spans="1:29" ht="16" customHeight="1" thickBot="1">
      <c r="A20" s="40" t="s">
        <v>78</v>
      </c>
      <c r="B20" s="77">
        <v>401481</v>
      </c>
      <c r="C20" s="46" t="s">
        <v>251</v>
      </c>
      <c r="D20" s="96">
        <v>44531</v>
      </c>
      <c r="E20" s="44" t="s">
        <v>2</v>
      </c>
      <c r="F20" s="45">
        <v>173</v>
      </c>
      <c r="G20" s="89">
        <f>IF(OR(E20="",F20=""),"",PID_KVLohnLookup($A$1,E20,F20,LOHNTABELLE!$H$4))</f>
        <v>2100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2100</v>
      </c>
      <c r="M20" s="71"/>
      <c r="N20" s="55"/>
      <c r="O20" s="260"/>
      <c r="P20" s="261"/>
      <c r="Q20" s="262"/>
      <c r="R20" s="263"/>
    </row>
    <row r="21" spans="1:29" ht="16" customHeight="1" thickBot="1">
      <c r="A21" s="41" t="s">
        <v>80</v>
      </c>
      <c r="B21" s="77">
        <v>401564</v>
      </c>
      <c r="C21" s="46" t="s">
        <v>252</v>
      </c>
      <c r="D21" s="96">
        <v>44824</v>
      </c>
      <c r="E21" s="44" t="s">
        <v>2</v>
      </c>
      <c r="F21" s="45">
        <v>173</v>
      </c>
      <c r="G21" s="89">
        <f>IF(OR(E21="",F21=""),"",PID_KVLohnLookup($A$1,E21,F21,LOHNTABELLE!$H$4))</f>
        <v>2100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2100</v>
      </c>
      <c r="M21" s="71"/>
      <c r="N21" s="55"/>
      <c r="O21" s="260" t="s">
        <v>320</v>
      </c>
      <c r="P21" s="261"/>
      <c r="Q21" s="262">
        <v>5000</v>
      </c>
      <c r="R21" s="263"/>
    </row>
    <row r="22" spans="1:29" ht="16" customHeight="1" thickBot="1">
      <c r="A22" s="40" t="s">
        <v>81</v>
      </c>
      <c r="B22" s="77">
        <v>401583</v>
      </c>
      <c r="C22" s="46" t="s">
        <v>254</v>
      </c>
      <c r="D22" s="96">
        <v>44900</v>
      </c>
      <c r="E22" s="44" t="s">
        <v>10</v>
      </c>
      <c r="F22" s="45">
        <v>173</v>
      </c>
      <c r="G22" s="89">
        <f>IF(OR(E22="",F22=""),"",PID_KVLohnLookup($A$1,E22,F22,LOHNTABELLE!$H$4))</f>
        <v>2300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71"/>
      <c r="N22" s="55"/>
      <c r="O22" s="260"/>
      <c r="P22" s="261"/>
      <c r="Q22" s="262"/>
      <c r="R22" s="263"/>
    </row>
    <row r="23" spans="1:29" ht="16" customHeight="1" thickBot="1">
      <c r="A23" s="40" t="s">
        <v>82</v>
      </c>
      <c r="B23" s="77">
        <v>401589</v>
      </c>
      <c r="C23" s="46" t="s">
        <v>255</v>
      </c>
      <c r="D23" s="96">
        <v>44926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260"/>
      <c r="P23" s="261"/>
      <c r="Q23" s="262"/>
      <c r="R23" s="263"/>
      <c r="W23" s="12"/>
    </row>
    <row r="24" spans="1:29" ht="16" customHeight="1" thickBot="1">
      <c r="A24" s="40" t="s">
        <v>83</v>
      </c>
      <c r="B24" s="77">
        <v>401602</v>
      </c>
      <c r="C24" s="46" t="s">
        <v>256</v>
      </c>
      <c r="D24" s="96">
        <v>45975</v>
      </c>
      <c r="E24" s="44" t="s">
        <v>2</v>
      </c>
      <c r="F24" s="45">
        <v>173</v>
      </c>
      <c r="G24" s="89">
        <f>IF(OR(E24="",F24=""),"",PID_KVLohnLookup($A$1,E24,F24,LOHNTABELLE!$H$4))</f>
        <v>2100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2100</v>
      </c>
      <c r="M24" s="71"/>
      <c r="N24" s="55"/>
      <c r="O24" s="260"/>
      <c r="P24" s="261"/>
      <c r="Q24" s="262"/>
      <c r="R24" s="263"/>
      <c r="W24" s="12"/>
    </row>
    <row r="25" spans="1:29" ht="16" customHeight="1" thickBot="1">
      <c r="A25" s="41" t="s">
        <v>84</v>
      </c>
      <c r="B25" s="77">
        <v>401605</v>
      </c>
      <c r="C25" s="46" t="s">
        <v>257</v>
      </c>
      <c r="D25" s="96">
        <v>44986</v>
      </c>
      <c r="E25" s="44" t="s">
        <v>2</v>
      </c>
      <c r="F25" s="45">
        <v>173</v>
      </c>
      <c r="G25" s="89">
        <f>IF(OR(E25="",F25=""),"",PID_KVLohnLookup($A$1,E25,F25,LOHNTABELLE!$H$4))</f>
        <v>2100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2100</v>
      </c>
      <c r="M25" s="71"/>
      <c r="N25" s="55"/>
      <c r="O25" s="277"/>
      <c r="P25" s="278"/>
      <c r="Q25" s="279"/>
      <c r="R25" s="280"/>
    </row>
    <row r="26" spans="1:29" ht="16" customHeight="1" thickBot="1">
      <c r="A26" s="40" t="s">
        <v>85</v>
      </c>
      <c r="B26" s="77">
        <v>401626</v>
      </c>
      <c r="C26" s="46" t="s">
        <v>258</v>
      </c>
      <c r="D26" s="96">
        <v>45063</v>
      </c>
      <c r="E26" s="44" t="s">
        <v>2</v>
      </c>
      <c r="F26" s="45">
        <v>173</v>
      </c>
      <c r="G26" s="89">
        <f>IF(OR(E26="",F26=""),"",PID_KVLohnLookup($A$1,E26,F26,LOHNTABELLE!$H$4))</f>
        <v>2100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2100</v>
      </c>
      <c r="M26" s="71"/>
      <c r="N26" s="55"/>
      <c r="O26" s="282"/>
      <c r="P26" s="350"/>
      <c r="Q26" s="283"/>
      <c r="R26" s="284"/>
    </row>
    <row r="27" spans="1:29" ht="16" customHeight="1" thickBot="1">
      <c r="A27" s="40" t="s">
        <v>86</v>
      </c>
      <c r="B27" s="77">
        <v>401633</v>
      </c>
      <c r="C27" s="46" t="s">
        <v>259</v>
      </c>
      <c r="D27" s="96">
        <v>45089</v>
      </c>
      <c r="E27" s="44" t="s">
        <v>10</v>
      </c>
      <c r="F27" s="45">
        <v>173</v>
      </c>
      <c r="G27" s="89">
        <f>IF(OR(E27="",F27=""),"",PID_KVLohnLookup($A$1,E27,F27,LOHNTABELLE!$H$4))</f>
        <v>2300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2300</v>
      </c>
      <c r="M27" s="71"/>
      <c r="N27" s="55"/>
      <c r="O27" s="240"/>
      <c r="P27" s="241"/>
      <c r="Q27" s="263"/>
      <c r="R27" s="285"/>
      <c r="S27" s="244" t="s">
        <v>87</v>
      </c>
      <c r="T27" s="245"/>
      <c r="U27" s="245"/>
      <c r="V27" s="245"/>
    </row>
    <row r="28" spans="1:29" ht="16" customHeight="1" thickBot="1">
      <c r="A28" s="40" t="s">
        <v>88</v>
      </c>
      <c r="B28" s="77">
        <v>401647</v>
      </c>
      <c r="C28" s="46" t="s">
        <v>260</v>
      </c>
      <c r="D28" s="96">
        <v>45182</v>
      </c>
      <c r="E28" s="44" t="s">
        <v>2</v>
      </c>
      <c r="F28" s="45">
        <v>173</v>
      </c>
      <c r="G28" s="89">
        <f>IF(OR(E28="",F28=""),"",PID_KVLohnLookup($A$1,E28,F28,LOHNTABELLE!$H$4))</f>
        <v>2100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2100</v>
      </c>
      <c r="M28" s="71"/>
      <c r="N28" s="55"/>
      <c r="O28" s="273"/>
      <c r="P28" s="274"/>
      <c r="Q28" s="275"/>
      <c r="R28" s="276"/>
    </row>
    <row r="29" spans="1:29" ht="16" customHeight="1" thickBot="1">
      <c r="A29" s="41" t="s">
        <v>89</v>
      </c>
      <c r="B29" s="77">
        <v>401661</v>
      </c>
      <c r="C29" s="46" t="s">
        <v>261</v>
      </c>
      <c r="D29" s="96">
        <v>45261</v>
      </c>
      <c r="E29" s="44" t="s">
        <v>2</v>
      </c>
      <c r="F29" s="45">
        <v>173</v>
      </c>
      <c r="G29" s="89">
        <f>IF(OR(E29="",F29=""),"",PID_KVLohnLookup($A$1,E29,F29,LOHNTABELLE!$H$4))</f>
        <v>2100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2100</v>
      </c>
      <c r="M29" s="71"/>
      <c r="N29" s="55"/>
      <c r="O29" s="248" t="s">
        <v>90</v>
      </c>
      <c r="P29" s="249"/>
      <c r="Q29" s="250">
        <f>EINSTELLUNG!O15</f>
        <v>1250</v>
      </c>
      <c r="R29" s="251"/>
    </row>
    <row r="30" spans="1:29" ht="16" customHeight="1" thickBot="1">
      <c r="A30" s="40" t="s">
        <v>91</v>
      </c>
      <c r="B30" s="77">
        <v>401670</v>
      </c>
      <c r="C30" s="46" t="s">
        <v>262</v>
      </c>
      <c r="D30" s="96">
        <v>45358</v>
      </c>
      <c r="E30" s="44" t="s">
        <v>2</v>
      </c>
      <c r="F30" s="45">
        <v>173</v>
      </c>
      <c r="G30" s="89">
        <f>IF(OR(E30="",F30=""),"",PID_KVLohnLookup($A$1,E30,F30,LOHNTABELLE!$H$4))</f>
        <v>2100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2100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401678</v>
      </c>
      <c r="C31" s="48" t="s">
        <v>263</v>
      </c>
      <c r="D31" s="96">
        <v>45414</v>
      </c>
      <c r="E31" s="44" t="s">
        <v>2</v>
      </c>
      <c r="F31" s="45">
        <v>173</v>
      </c>
      <c r="G31" s="89">
        <f>IF(OR(E31="",F31=""),"",PID_KVLohnLookup($A$1,E31,F31,LOHNTABELLE!$H$4))</f>
        <v>2100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2100</v>
      </c>
      <c r="M31" s="71"/>
      <c r="N31" s="55"/>
      <c r="O31" s="252">
        <v>0</v>
      </c>
      <c r="P31" s="253"/>
      <c r="Q31" s="254">
        <v>1.7543859649122806E-2</v>
      </c>
      <c r="R31" s="255"/>
    </row>
    <row r="32" spans="1:29" ht="16" customHeight="1" thickBot="1">
      <c r="A32" s="40" t="s">
        <v>94</v>
      </c>
      <c r="B32" s="77">
        <v>401690</v>
      </c>
      <c r="C32" s="46" t="s">
        <v>265</v>
      </c>
      <c r="D32" s="96">
        <v>45536</v>
      </c>
      <c r="E32" s="44" t="s">
        <v>2</v>
      </c>
      <c r="F32" s="45">
        <v>173</v>
      </c>
      <c r="G32" s="89">
        <f>IF(OR(E32="",F32=""),"",PID_KVLohnLookup($A$1,E32,F32,LOHNTABELLE!$H$4))</f>
        <v>2100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2100</v>
      </c>
      <c r="M32" s="71"/>
      <c r="N32" s="55"/>
    </row>
    <row r="33" spans="1:24" ht="16" customHeight="1" thickBot="1">
      <c r="A33" s="41" t="s">
        <v>95</v>
      </c>
      <c r="B33" s="77">
        <v>401703</v>
      </c>
      <c r="C33" s="46" t="s">
        <v>266</v>
      </c>
      <c r="D33" s="96">
        <v>45616</v>
      </c>
      <c r="E33" s="44" t="s">
        <v>2</v>
      </c>
      <c r="F33" s="45">
        <v>173</v>
      </c>
      <c r="G33" s="89">
        <f>IF(OR(E33="",F33=""),"",PID_KVLohnLookup($A$1,E33,F33,LOHNTABELLE!$H$4))</f>
        <v>2100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2100</v>
      </c>
      <c r="M33" s="71"/>
      <c r="N33" s="55"/>
      <c r="O33" s="256"/>
      <c r="P33" s="257"/>
      <c r="Q33" s="258" t="str">
        <f>EINSTELLUNG!B3</f>
        <v>Budget Zahlen</v>
      </c>
      <c r="R33" s="258"/>
      <c r="S33" s="259" t="str">
        <f>EINSTELLUNG!B19</f>
        <v>Projection/Aktuell Zahlen</v>
      </c>
      <c r="T33" s="259"/>
      <c r="U33" s="259" t="s">
        <v>98</v>
      </c>
      <c r="V33" s="259"/>
    </row>
    <row r="34" spans="1:24" ht="16" customHeight="1" thickBot="1">
      <c r="A34" s="40" t="s">
        <v>99</v>
      </c>
      <c r="B34" s="77">
        <v>401715</v>
      </c>
      <c r="C34" s="46" t="s">
        <v>268</v>
      </c>
      <c r="D34" s="96">
        <v>45755</v>
      </c>
      <c r="E34" s="44" t="s">
        <v>2</v>
      </c>
      <c r="F34" s="45">
        <v>173</v>
      </c>
      <c r="G34" s="89">
        <f>IF(OR(E34="",F34=""),"",PID_KVLohnLookup($A$1,E34,F34,LOHNTABELLE!$H$4))</f>
        <v>2100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2100</v>
      </c>
      <c r="M34" s="71"/>
      <c r="N34" s="55"/>
      <c r="O34" s="256"/>
      <c r="P34" s="257"/>
      <c r="Q34" s="258"/>
      <c r="R34" s="258"/>
      <c r="S34" s="259"/>
      <c r="T34" s="259"/>
      <c r="U34" s="259"/>
      <c r="V34" s="259"/>
    </row>
    <row r="35" spans="1:24" ht="16" customHeight="1" thickBot="1">
      <c r="A35" s="40" t="s">
        <v>100</v>
      </c>
      <c r="B35" s="77">
        <v>401716</v>
      </c>
      <c r="C35" s="46" t="s">
        <v>269</v>
      </c>
      <c r="D35" s="96">
        <v>45800</v>
      </c>
      <c r="E35" s="44" t="s">
        <v>2</v>
      </c>
      <c r="F35" s="45">
        <v>173</v>
      </c>
      <c r="G35" s="89">
        <f>IF(OR(E35="",F35=""),"",PID_KVLohnLookup($A$1,E35,F35,LOHNTABELLE!$H$4))</f>
        <v>2100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2100</v>
      </c>
      <c r="M35" s="71"/>
      <c r="N35" s="55"/>
      <c r="O35" s="264" t="s">
        <v>101</v>
      </c>
      <c r="P35" s="265"/>
      <c r="Q35" s="238">
        <f>EINSTELLUNG!C15</f>
        <v>400000</v>
      </c>
      <c r="R35" s="238"/>
      <c r="S35" s="238">
        <f>EINSTELLUNG!C31</f>
        <v>401000</v>
      </c>
      <c r="T35" s="238"/>
      <c r="U35" s="242">
        <f>S35-Q35</f>
        <v>1000</v>
      </c>
      <c r="V35" s="242"/>
    </row>
    <row r="36" spans="1:24" ht="16" customHeight="1" thickBot="1">
      <c r="A36" s="40" t="s">
        <v>102</v>
      </c>
      <c r="B36" s="77">
        <v>401717</v>
      </c>
      <c r="C36" s="46" t="s">
        <v>270</v>
      </c>
      <c r="D36" s="96">
        <v>45814</v>
      </c>
      <c r="E36" s="44" t="s">
        <v>2</v>
      </c>
      <c r="F36" s="45">
        <v>173</v>
      </c>
      <c r="G36" s="89">
        <f>IF(OR(E36="",F36=""),"",PID_KVLohnLookup($A$1,E36,F36,LOHNTABELLE!$H$4))</f>
        <v>2100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2100</v>
      </c>
      <c r="M36" s="71"/>
      <c r="N36" s="55"/>
      <c r="O36" s="264" t="s">
        <v>103</v>
      </c>
      <c r="P36" s="265"/>
      <c r="Q36" s="238">
        <f>EINSTELLUNG!D15</f>
        <v>100000</v>
      </c>
      <c r="R36" s="238"/>
      <c r="S36" s="235">
        <f>SumMergedCells(Q17:R29)</f>
        <v>117561.4387</v>
      </c>
      <c r="T36" s="237"/>
      <c r="U36" s="242">
        <f t="shared" ref="U36:U41" si="2">S36-Q36</f>
        <v>17561.438699999999</v>
      </c>
      <c r="V36" s="242"/>
    </row>
    <row r="37" spans="1:24" ht="16" customHeight="1" thickBot="1">
      <c r="A37" s="41" t="s">
        <v>104</v>
      </c>
      <c r="B37" s="77">
        <v>401722</v>
      </c>
      <c r="C37" s="46" t="s">
        <v>271</v>
      </c>
      <c r="D37" s="96">
        <v>45848</v>
      </c>
      <c r="E37" s="44" t="s">
        <v>2</v>
      </c>
      <c r="F37" s="45">
        <v>86.5</v>
      </c>
      <c r="G37" s="89">
        <f>IF(OR(E37="",F37=""),"",PID_KVLohnLookup($A$1,E37,F37,LOHNTABELLE!$H$4))</f>
        <v>1333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71"/>
      <c r="N37" s="55"/>
      <c r="O37" s="264" t="s">
        <v>105</v>
      </c>
      <c r="P37" s="265"/>
      <c r="Q37" s="246">
        <f>IF(ISERROR(Q36/Q35), 0, Q36/Q35)</f>
        <v>0.25</v>
      </c>
      <c r="R37" s="246"/>
      <c r="S37" s="246">
        <f>IF(ISERROR(S36/S35), 0, S36/S35)</f>
        <v>0.29317067007481296</v>
      </c>
      <c r="T37" s="246"/>
      <c r="U37" s="247">
        <f t="shared" si="2"/>
        <v>4.3170670074812956E-2</v>
      </c>
      <c r="V37" s="247"/>
    </row>
    <row r="38" spans="1:24" ht="16" customHeight="1" thickBot="1">
      <c r="A38" s="40" t="s">
        <v>106</v>
      </c>
      <c r="B38" s="77">
        <v>401723</v>
      </c>
      <c r="C38" s="46" t="s">
        <v>272</v>
      </c>
      <c r="D38" s="96">
        <v>45852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64" t="s">
        <v>107</v>
      </c>
      <c r="P38" s="265"/>
      <c r="Q38" s="239">
        <f>EINSTELLUNG!F15</f>
        <v>30000</v>
      </c>
      <c r="R38" s="239"/>
      <c r="S38" s="239">
        <f>EINSTELLUNG!F31</f>
        <v>31000</v>
      </c>
      <c r="T38" s="239"/>
      <c r="U38" s="243">
        <f t="shared" si="2"/>
        <v>1000</v>
      </c>
      <c r="V38" s="243"/>
    </row>
    <row r="39" spans="1:24" ht="16" customHeight="1" thickBot="1">
      <c r="A39" s="40" t="s">
        <v>108</v>
      </c>
      <c r="B39" s="77">
        <v>401726</v>
      </c>
      <c r="C39" s="46" t="s">
        <v>273</v>
      </c>
      <c r="D39" s="96">
        <v>45870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64" t="s">
        <v>109</v>
      </c>
      <c r="P39" s="265"/>
      <c r="Q39" s="238">
        <f>IF(Q38=0, 0, Q35/Q38)</f>
        <v>13.333333333333334</v>
      </c>
      <c r="R39" s="238"/>
      <c r="S39" s="238">
        <f>IF(S38=0, 0, S35/S38)</f>
        <v>12.935483870967742</v>
      </c>
      <c r="T39" s="238"/>
      <c r="U39" s="242">
        <f t="shared" si="2"/>
        <v>-0.39784946236559193</v>
      </c>
      <c r="V39" s="242"/>
    </row>
    <row r="40" spans="1:24" ht="16" customHeight="1" thickBot="1">
      <c r="A40" s="40" t="s">
        <v>110</v>
      </c>
      <c r="B40" s="77">
        <v>401730</v>
      </c>
      <c r="C40" s="46" t="s">
        <v>275</v>
      </c>
      <c r="D40" s="96">
        <v>45895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64" t="s">
        <v>111</v>
      </c>
      <c r="P40" s="265"/>
      <c r="Q40" s="238">
        <f>IF(Q13=0, 0, Q35/Q13)</f>
        <v>48.578472449933813</v>
      </c>
      <c r="R40" s="238"/>
      <c r="S40" s="238">
        <f>IF(Q13=0, 0, S35/Q13)</f>
        <v>48.699918631058644</v>
      </c>
      <c r="T40" s="238"/>
      <c r="U40" s="242">
        <f t="shared" si="2"/>
        <v>0.1214461811248313</v>
      </c>
      <c r="V40" s="242"/>
    </row>
    <row r="41" spans="1:24" ht="16" customHeight="1" thickBot="1">
      <c r="A41" s="41" t="s">
        <v>112</v>
      </c>
      <c r="B41" s="77">
        <v>401731</v>
      </c>
      <c r="C41" s="46" t="s">
        <v>274</v>
      </c>
      <c r="D41" s="96">
        <v>45899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64" t="s">
        <v>113</v>
      </c>
      <c r="P41" s="265"/>
      <c r="Q41" s="239">
        <f>IF(Q13=0, 0, Q38/Q13)</f>
        <v>3.6433854337450358</v>
      </c>
      <c r="R41" s="239"/>
      <c r="S41" s="239">
        <f>IF(Q13=0, 0, S38/Q13)</f>
        <v>3.7648316148698702</v>
      </c>
      <c r="T41" s="239"/>
      <c r="U41" s="243">
        <f t="shared" si="2"/>
        <v>0.12144618112483441</v>
      </c>
      <c r="V41" s="243"/>
    </row>
    <row r="42" spans="1:24" ht="16" customHeight="1" thickBot="1">
      <c r="A42" s="40" t="s">
        <v>114</v>
      </c>
      <c r="B42" s="77">
        <v>401734</v>
      </c>
      <c r="C42" s="46" t="s">
        <v>276</v>
      </c>
      <c r="D42" s="96">
        <v>45904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64" t="s">
        <v>115</v>
      </c>
      <c r="P42" s="265"/>
      <c r="Q42" s="235">
        <f>IFERROR(Q17/Q8, 0)</f>
        <v>12.760536817149571</v>
      </c>
      <c r="R42" s="236"/>
      <c r="S42" s="236"/>
      <c r="T42" s="236"/>
      <c r="U42" s="236"/>
      <c r="V42" s="237"/>
    </row>
    <row r="43" spans="1:24" ht="16" customHeight="1" thickBot="1">
      <c r="A43" s="40" t="s">
        <v>116</v>
      </c>
      <c r="B43" s="77">
        <v>401736</v>
      </c>
      <c r="C43" s="48" t="s">
        <v>277</v>
      </c>
      <c r="D43" s="96">
        <v>45906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401737</v>
      </c>
      <c r="C44" s="46" t="s">
        <v>278</v>
      </c>
      <c r="D44" s="96">
        <v>45906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401738</v>
      </c>
      <c r="C45" s="46" t="s">
        <v>279</v>
      </c>
      <c r="D45" s="96">
        <v>45909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401745</v>
      </c>
      <c r="C46" s="46" t="s">
        <v>283</v>
      </c>
      <c r="D46" s="96">
        <v>45934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401748</v>
      </c>
      <c r="C47" s="46" t="s">
        <v>281</v>
      </c>
      <c r="D47" s="96">
        <v>45941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401751</v>
      </c>
      <c r="C48" s="46" t="s">
        <v>284</v>
      </c>
      <c r="D48" s="96">
        <v>45961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401752</v>
      </c>
      <c r="C49" s="46" t="s">
        <v>285</v>
      </c>
      <c r="D49" s="96">
        <v>45986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0" t="s">
        <v>124</v>
      </c>
      <c r="B50" s="77">
        <v>401999</v>
      </c>
      <c r="C50" s="46" t="s">
        <v>319</v>
      </c>
      <c r="D50" s="96">
        <v>46082</v>
      </c>
      <c r="E50" s="44" t="s">
        <v>2</v>
      </c>
      <c r="F50" s="45">
        <v>173</v>
      </c>
      <c r="G50" s="89">
        <f>IF(OR(E50="",F50=""),"",PID_KVLohnLookup($A$1,E50,F50,LOHNTABELLE!$H$4))</f>
        <v>2100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2100</v>
      </c>
      <c r="M50" s="71"/>
      <c r="N50" s="55"/>
    </row>
    <row r="51" spans="1:14" ht="16" customHeight="1" thickBot="1">
      <c r="A51" s="40" t="s">
        <v>125</v>
      </c>
      <c r="B51" s="77">
        <v>402000</v>
      </c>
      <c r="C51" s="46" t="s">
        <v>326</v>
      </c>
      <c r="D51" s="96">
        <v>46143</v>
      </c>
      <c r="E51" s="44" t="s">
        <v>2</v>
      </c>
      <c r="F51" s="45">
        <v>173</v>
      </c>
      <c r="G51" s="89">
        <f>IF(OR(E51="",F51=""),"",PID_KVLohnLookup($A$1,E51,F51,LOHNTABELLE!$H$4))</f>
        <v>2100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2100</v>
      </c>
      <c r="M51" s="71"/>
      <c r="N51" s="55"/>
    </row>
    <row r="52" spans="1:14" ht="16" customHeight="1" thickBot="1">
      <c r="A52" s="40" t="s">
        <v>126</v>
      </c>
      <c r="B52" s="77">
        <v>402004</v>
      </c>
      <c r="C52" s="46" t="s">
        <v>328</v>
      </c>
      <c r="D52" s="96">
        <v>46122</v>
      </c>
      <c r="E52" s="44" t="s">
        <v>2</v>
      </c>
      <c r="F52" s="45">
        <v>173</v>
      </c>
      <c r="G52" s="89">
        <f>IF(OR(E52="",F52=""),"",PID_KVLohnLookup($A$1,E52,F52,LOHNTABELLE!$H$4))</f>
        <v>2100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2100</v>
      </c>
      <c r="M52" s="71"/>
      <c r="N52" s="55"/>
    </row>
    <row r="53" spans="1:14" ht="16" customHeight="1" thickBot="1">
      <c r="A53" s="41" t="s">
        <v>127</v>
      </c>
      <c r="B53" s="77">
        <v>402405</v>
      </c>
      <c r="C53" s="46" t="s">
        <v>330</v>
      </c>
      <c r="D53" s="96">
        <v>46054</v>
      </c>
      <c r="E53" s="44" t="s">
        <v>2</v>
      </c>
      <c r="F53" s="45">
        <v>173</v>
      </c>
      <c r="G53" s="89">
        <f>IF(OR(E53="",F53=""),"",PID_KVLohnLookup($A$1,E53,F53,LOHNTABELLE!$H$4))</f>
        <v>2100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2100</v>
      </c>
      <c r="M53" s="71"/>
      <c r="N53" s="55"/>
    </row>
    <row r="54" spans="1:14" ht="16" customHeight="1" thickBot="1">
      <c r="A54" s="40" t="s">
        <v>128</v>
      </c>
      <c r="B54" s="77">
        <v>500600</v>
      </c>
      <c r="C54" s="46" t="s">
        <v>335</v>
      </c>
      <c r="D54" s="96">
        <v>46054</v>
      </c>
      <c r="E54" s="44" t="s">
        <v>2</v>
      </c>
      <c r="F54" s="45">
        <v>173</v>
      </c>
      <c r="G54" s="89">
        <f>IF(OR(E54="",F54=""),"",PID_KVLohnLookup($A$1,E54,F54,LOHNTABELLE!$H$4))</f>
        <v>2100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2100</v>
      </c>
      <c r="M54" s="71"/>
      <c r="N54" s="55"/>
    </row>
    <row r="55" spans="1:14" ht="16" customHeight="1" thickBot="1">
      <c r="A55" s="40" t="s">
        <v>129</v>
      </c>
      <c r="B55" s="77">
        <v>502000</v>
      </c>
      <c r="C55" s="46" t="s">
        <v>329</v>
      </c>
      <c r="D55" s="96">
        <v>46147</v>
      </c>
      <c r="E55" s="44" t="s">
        <v>2</v>
      </c>
      <c r="F55" s="45">
        <v>173</v>
      </c>
      <c r="G55" s="89">
        <f>IF(OR(E55="",F55=""),"",PID_KVLohnLookup($A$1,E55,F55,LOHNTABELLE!$H$4))</f>
        <v>2100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2100</v>
      </c>
      <c r="M55" s="71"/>
      <c r="N55" s="55"/>
    </row>
    <row r="56" spans="1:14" ht="16" customHeight="1" thickBot="1">
      <c r="A56" s="40" t="s">
        <v>130</v>
      </c>
      <c r="B56" s="77">
        <v>503000</v>
      </c>
      <c r="C56" s="46" t="s">
        <v>332</v>
      </c>
      <c r="D56" s="96">
        <v>42401</v>
      </c>
      <c r="E56" s="44" t="s">
        <v>2</v>
      </c>
      <c r="F56" s="45">
        <v>173</v>
      </c>
      <c r="G56" s="89">
        <f>IF(OR(E56="",F56=""),"",PID_KVLohnLookup($A$1,E56,F56,LOHNTABELLE!$H$4))</f>
        <v>2100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2100</v>
      </c>
      <c r="M56" s="71"/>
      <c r="N56" s="55"/>
    </row>
    <row r="57" spans="1:14" ht="16" customHeight="1" thickBot="1">
      <c r="A57" s="41" t="s">
        <v>131</v>
      </c>
      <c r="B57" s="77">
        <v>504000</v>
      </c>
      <c r="C57" s="46" t="s">
        <v>333</v>
      </c>
      <c r="D57" s="96">
        <v>46054</v>
      </c>
      <c r="E57" s="44" t="s">
        <v>3</v>
      </c>
      <c r="F57" s="45">
        <v>138.4</v>
      </c>
      <c r="G57" s="89">
        <f>IF(OR(E57="",F57=""),"",PID_KVLohnLookup($A$1,E57,F57,LOHNTABELLE!$H$4))</f>
        <v>1665.6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1665.6</v>
      </c>
      <c r="M57" s="71"/>
      <c r="N57" s="55"/>
    </row>
    <row r="58" spans="1:14" ht="16" customHeight="1" thickBot="1">
      <c r="A58" s="40" t="s">
        <v>132</v>
      </c>
      <c r="B58" s="77">
        <v>505000</v>
      </c>
      <c r="C58" s="46" t="s">
        <v>334</v>
      </c>
      <c r="D58" s="96">
        <v>46054</v>
      </c>
      <c r="E58" s="44" t="s">
        <v>2</v>
      </c>
      <c r="F58" s="45">
        <v>138.4</v>
      </c>
      <c r="G58" s="89">
        <f>IF(OR(E58="",F58=""),"",PID_KVLohnLookup($A$1,E58,F58,LOHNTABELLE!$H$4))</f>
        <v>2300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2300</v>
      </c>
      <c r="M58" s="71"/>
      <c r="N58" s="55"/>
    </row>
    <row r="59" spans="1:14" ht="16" customHeight="1" thickBot="1">
      <c r="A59" s="40" t="s">
        <v>133</v>
      </c>
      <c r="B59" s="77">
        <v>700000</v>
      </c>
      <c r="C59" s="46" t="s">
        <v>347</v>
      </c>
      <c r="D59" s="96">
        <v>46054</v>
      </c>
      <c r="E59" s="44" t="s">
        <v>2</v>
      </c>
      <c r="F59" s="45">
        <v>173</v>
      </c>
      <c r="G59" s="89">
        <f>IF(OR(E59="",F59=""),"",PID_KVLohnLookup($A$1,E59,F59,LOHNTABELLE!$H$4))</f>
        <v>2100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2100</v>
      </c>
      <c r="M59" s="71"/>
      <c r="N59" s="55"/>
    </row>
    <row r="60" spans="1:14" ht="16" customHeight="1" thickBot="1">
      <c r="A60" s="40" t="s">
        <v>134</v>
      </c>
      <c r="B60" s="77">
        <v>800000</v>
      </c>
      <c r="C60" s="46" t="s">
        <v>348</v>
      </c>
      <c r="D60" s="96">
        <v>46082</v>
      </c>
      <c r="E60" s="44" t="s">
        <v>2</v>
      </c>
      <c r="F60" s="45">
        <v>173</v>
      </c>
      <c r="G60" s="89">
        <f>IF(OR(E60="",F60=""),"",PID_KVLohnLookup($A$1,E60,F60,LOHNTABELLE!$H$4))</f>
        <v>2100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2100</v>
      </c>
      <c r="M60" s="71"/>
      <c r="N60" s="55"/>
    </row>
    <row r="61" spans="1:14" ht="16" customHeight="1" thickBot="1">
      <c r="A61" s="41" t="s">
        <v>135</v>
      </c>
      <c r="B61" s="77"/>
      <c r="C61" s="46"/>
      <c r="D61" s="96"/>
      <c r="E61" s="44"/>
      <c r="F61" s="45"/>
      <c r="G61" s="89" t="str">
        <f>IF(OR(E61="",F61=""),"",PID_KVLohnLookup($A$1,E61,F61,LOHNTABELLE!$H$4))</f>
        <v/>
      </c>
      <c r="H61" s="65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71"/>
      <c r="N61" s="55"/>
    </row>
    <row r="62" spans="1:14" ht="16" customHeight="1" thickBot="1">
      <c r="A62" s="40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PGqZvM8Mopt6f0lUp+y4gF5Z3zf3mVTz2L+vF7JXgAXAd7+wxj45E9B2QfRy99kRkGxWsS7MJk2hA8n2snFC1g==" saltValue="koxtKjbZD4kD7+WX71eiY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3" type="noConversion"/>
  <dataValidations count="60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3352FA1-9B8E-1840-A02E-2F313A5494E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BB326D2-A993-0B44-9055-7B732149F270}">
      <formula1>KV_DD_OKTOBER_3</formula1>
    </dataValidation>
    <dataValidation type="list" allowBlank="1" showInputMessage="1" showErrorMessage="1" sqref="F4" xr:uid="{4381597C-8168-9748-AFB1-EB1AACCCE48A}">
      <formula1>KV_DD_OKTOBER_4</formula1>
    </dataValidation>
    <dataValidation type="list" allowBlank="1" showInputMessage="1" showErrorMessage="1" sqref="F5" xr:uid="{EEC88AB8-367F-4D4A-920B-BAE29EED563F}">
      <formula1>KV_DD_OKTOBER_5</formula1>
    </dataValidation>
    <dataValidation type="list" allowBlank="1" showInputMessage="1" showErrorMessage="1" sqref="F6" xr:uid="{A2E19057-516F-D24C-9AD9-31BAF9EA8CEB}">
      <formula1>KV_DD_OKTOBER_6</formula1>
    </dataValidation>
    <dataValidation type="list" allowBlank="1" showInputMessage="1" showErrorMessage="1" sqref="F7" xr:uid="{5780E8B4-258D-AA45-AA35-AEE34318C46A}">
      <formula1>KV_DD_OKTOBER_7</formula1>
    </dataValidation>
    <dataValidation type="list" allowBlank="1" showInputMessage="1" showErrorMessage="1" sqref="F8" xr:uid="{DB60B6FC-1431-3246-ABA8-60ED514A776A}">
      <formula1>KV_DD_OKTOBER_8</formula1>
    </dataValidation>
    <dataValidation type="list" allowBlank="1" showInputMessage="1" showErrorMessage="1" sqref="F9" xr:uid="{F298469B-705E-D34C-9CA3-9E5B2FF60EF9}">
      <formula1>KV_DD_OKTOBER_9</formula1>
    </dataValidation>
    <dataValidation type="list" allowBlank="1" showInputMessage="1" showErrorMessage="1" sqref="F10" xr:uid="{CB159F17-7F8A-574A-95BF-34D35C3715E5}">
      <formula1>KV_DD_OKTOBER_10</formula1>
    </dataValidation>
    <dataValidation type="list" allowBlank="1" showInputMessage="1" showErrorMessage="1" sqref="F11" xr:uid="{A0E283B2-8089-594D-8E80-C780BA4B77D8}">
      <formula1>KV_DD_OKTOBER_11</formula1>
    </dataValidation>
    <dataValidation type="list" allowBlank="1" showInputMessage="1" showErrorMessage="1" sqref="F12" xr:uid="{763B6F94-5048-F24E-84F6-C8849258859F}">
      <formula1>KV_DD_OKTOBER_12</formula1>
    </dataValidation>
    <dataValidation type="list" allowBlank="1" showInputMessage="1" showErrorMessage="1" sqref="F13" xr:uid="{8D5041FB-6567-6640-AB7B-76662653AD23}">
      <formula1>KV_DD_OKTOBER_13</formula1>
    </dataValidation>
    <dataValidation type="list" allowBlank="1" showInputMessage="1" showErrorMessage="1" sqref="F14" xr:uid="{3BE23F46-FC6D-834D-9C7B-C2A1A77E7D82}">
      <formula1>KV_DD_OKTOBER_14</formula1>
    </dataValidation>
    <dataValidation type="list" allowBlank="1" showInputMessage="1" showErrorMessage="1" sqref="F15" xr:uid="{7516A758-DA5E-FD46-92E8-0F2BDD5C39C0}">
      <formula1>KV_DD_OKTOBER_15</formula1>
    </dataValidation>
    <dataValidation type="list" allowBlank="1" showInputMessage="1" showErrorMessage="1" sqref="F16" xr:uid="{BA06827E-7A7C-8242-A098-339A752C3A18}">
      <formula1>KV_DD_OKTOBER_16</formula1>
    </dataValidation>
    <dataValidation type="list" allowBlank="1" showInputMessage="1" showErrorMessage="1" sqref="F17" xr:uid="{E7971747-D5AE-E74E-9CD8-B2B98E48CB45}">
      <formula1>KV_DD_OKTOBER_17</formula1>
    </dataValidation>
    <dataValidation type="list" allowBlank="1" showInputMessage="1" showErrorMessage="1" sqref="F18" xr:uid="{44D411C4-2ED3-4242-9759-2AE1CCE07EED}">
      <formula1>KV_DD_OKTOBER_18</formula1>
    </dataValidation>
    <dataValidation type="list" allowBlank="1" showInputMessage="1" showErrorMessage="1" sqref="F19" xr:uid="{17EF5FF5-B00E-AC44-8F7B-F656FE4533D4}">
      <formula1>KV_DD_OKTOBER_19</formula1>
    </dataValidation>
    <dataValidation type="list" allowBlank="1" showInputMessage="1" showErrorMessage="1" sqref="F20" xr:uid="{138A0A20-8D3B-D745-9E5B-3B8B2408FEE5}">
      <formula1>KV_DD_OKTOBER_20</formula1>
    </dataValidation>
    <dataValidation type="list" allowBlank="1" showInputMessage="1" showErrorMessage="1" sqref="F21" xr:uid="{A15833E2-4FB8-DF48-8FDF-F5EE1FB28B09}">
      <formula1>KV_DD_OKTOBER_21</formula1>
    </dataValidation>
    <dataValidation type="list" allowBlank="1" showInputMessage="1" showErrorMessage="1" sqref="F22" xr:uid="{D64EC81F-7756-CC49-B458-53FC29E1BFE9}">
      <formula1>KV_DD_OKTOBER_22</formula1>
    </dataValidation>
    <dataValidation type="list" allowBlank="1" showInputMessage="1" showErrorMessage="1" sqref="F23" xr:uid="{4C676D5D-761B-284E-A73C-F974A1A6F1CD}">
      <formula1>KV_DD_OKTOBER_23</formula1>
    </dataValidation>
    <dataValidation type="list" allowBlank="1" showInputMessage="1" showErrorMessage="1" sqref="F24" xr:uid="{1D07C10D-CC0E-8A4E-B243-5BF25F5B8BE3}">
      <formula1>KV_DD_OKTOBER_24</formula1>
    </dataValidation>
    <dataValidation type="list" allowBlank="1" showInputMessage="1" showErrorMessage="1" sqref="F25" xr:uid="{28E06E8F-FB67-C94B-9EE0-5FEF392A89A2}">
      <formula1>KV_DD_OKTOBER_25</formula1>
    </dataValidation>
    <dataValidation type="list" allowBlank="1" showInputMessage="1" showErrorMessage="1" sqref="F26" xr:uid="{4701E075-832D-394F-A70B-6BCA94781B00}">
      <formula1>KV_DD_OKTOBER_26</formula1>
    </dataValidation>
    <dataValidation type="list" allowBlank="1" showInputMessage="1" showErrorMessage="1" sqref="F27" xr:uid="{C91F88B9-C39E-D94F-835F-221E11255C29}">
      <formula1>KV_DD_OKTOBER_27</formula1>
    </dataValidation>
    <dataValidation type="list" allowBlank="1" showInputMessage="1" showErrorMessage="1" sqref="F28" xr:uid="{42E19D4A-E100-0F4A-A608-54738F926472}">
      <formula1>KV_DD_OKTOBER_28</formula1>
    </dataValidation>
    <dataValidation type="list" allowBlank="1" showInputMessage="1" showErrorMessage="1" sqref="F29" xr:uid="{15EC42CB-3302-7442-BACB-B47CFF4AF428}">
      <formula1>KV_DD_OKTOBER_29</formula1>
    </dataValidation>
    <dataValidation type="list" allowBlank="1" showInputMessage="1" showErrorMessage="1" sqref="F30" xr:uid="{BB221B88-640D-3343-9A2F-6FAC86A5918C}">
      <formula1>KV_DD_OKTOBER_30</formula1>
    </dataValidation>
    <dataValidation type="list" allowBlank="1" showInputMessage="1" showErrorMessage="1" sqref="F31" xr:uid="{986230BB-87FD-A24F-8269-96421ED0A948}">
      <formula1>KV_DD_OKTOBER_31</formula1>
    </dataValidation>
    <dataValidation type="list" allowBlank="1" showInputMessage="1" showErrorMessage="1" sqref="F32" xr:uid="{068BEA0C-8D67-8949-A603-D61F58B0D2DB}">
      <formula1>KV_DD_OKTOBER_32</formula1>
    </dataValidation>
    <dataValidation type="list" allowBlank="1" showInputMessage="1" showErrorMessage="1" sqref="F33" xr:uid="{54892A59-7CF5-D540-9486-5890C87BA1E9}">
      <formula1>KV_DD_OKTOBER_33</formula1>
    </dataValidation>
    <dataValidation type="list" allowBlank="1" showInputMessage="1" showErrorMessage="1" sqref="F34" xr:uid="{ABB0EEB2-3F81-FA4A-8239-D97CD0DE20C2}">
      <formula1>KV_DD_OKTOBER_34</formula1>
    </dataValidation>
    <dataValidation type="list" allowBlank="1" showInputMessage="1" showErrorMessage="1" sqref="F35" xr:uid="{7BFC3FE1-FF92-CD4D-802D-304358F0117D}">
      <formula1>KV_DD_OKTOBER_35</formula1>
    </dataValidation>
    <dataValidation type="list" allowBlank="1" showInputMessage="1" showErrorMessage="1" sqref="F36" xr:uid="{BBBB6DD6-4503-6943-B198-FD5298107653}">
      <formula1>KV_DD_OKTOBER_36</formula1>
    </dataValidation>
    <dataValidation type="list" allowBlank="1" showInputMessage="1" showErrorMessage="1" sqref="F37" xr:uid="{15C04849-9BDF-0C44-B13D-B78FCDB6BA65}">
      <formula1>KV_DD_OKTOBER_37</formula1>
    </dataValidation>
    <dataValidation type="list" allowBlank="1" showInputMessage="1" showErrorMessage="1" sqref="F38" xr:uid="{4EDB79C0-8A5B-D649-8351-17D59CF61E76}">
      <formula1>KV_DD_OKTOBER_38</formula1>
    </dataValidation>
    <dataValidation type="list" allowBlank="1" showInputMessage="1" showErrorMessage="1" sqref="F39" xr:uid="{FDD07195-B64A-CC4B-B743-0C6F3987D112}">
      <formula1>KV_DD_OKTOBER_39</formula1>
    </dataValidation>
    <dataValidation type="list" allowBlank="1" showInputMessage="1" showErrorMessage="1" sqref="F40" xr:uid="{F5E8B998-1DDF-9E41-9826-534F6BC503A4}">
      <formula1>KV_DD_OKTOBER_40</formula1>
    </dataValidation>
    <dataValidation type="list" allowBlank="1" showInputMessage="1" showErrorMessage="1" sqref="F41" xr:uid="{FB2CC720-5DBC-654D-B1BB-6613AC05F66E}">
      <formula1>KV_DD_OKTOBER_41</formula1>
    </dataValidation>
    <dataValidation type="list" allowBlank="1" showInputMessage="1" showErrorMessage="1" sqref="F42" xr:uid="{44BAF861-DD50-5442-858E-12C12765FEC5}">
      <formula1>KV_DD_OKTOBER_42</formula1>
    </dataValidation>
    <dataValidation type="list" allowBlank="1" showInputMessage="1" showErrorMessage="1" sqref="F43" xr:uid="{6682B9BB-C8D1-C343-8C74-E170FF54875A}">
      <formula1>KV_DD_OKTOBER_43</formula1>
    </dataValidation>
    <dataValidation type="list" allowBlank="1" showInputMessage="1" showErrorMessage="1" sqref="F44" xr:uid="{B6A2C18F-AD89-EB45-87B3-B3589F8885F7}">
      <formula1>KV_DD_OKTOBER_44</formula1>
    </dataValidation>
    <dataValidation type="list" allowBlank="1" showInputMessage="1" showErrorMessage="1" sqref="F45" xr:uid="{3B1D039D-0085-784C-A144-A11A741531D6}">
      <formula1>KV_DD_OKTOBER_45</formula1>
    </dataValidation>
    <dataValidation type="list" allowBlank="1" showInputMessage="1" showErrorMessage="1" sqref="F46" xr:uid="{3DD51413-DF9D-134A-B2E1-55763F8F9742}">
      <formula1>KV_DD_OKTOBER_46</formula1>
    </dataValidation>
    <dataValidation type="list" allowBlank="1" showInputMessage="1" showErrorMessage="1" sqref="F47" xr:uid="{BAC5EB58-3DB9-EB41-8B00-1BD66B1865B2}">
      <formula1>KV_DD_OKTOBER_47</formula1>
    </dataValidation>
    <dataValidation type="list" allowBlank="1" showInputMessage="1" showErrorMessage="1" sqref="F48" xr:uid="{C89495F7-237F-1C46-9DCD-B7E7B79FB85C}">
      <formula1>KV_DD_OKTOBER_48</formula1>
    </dataValidation>
    <dataValidation type="list" allowBlank="1" showInputMessage="1" showErrorMessage="1" sqref="F49" xr:uid="{A3BCB04B-9FB4-FB44-BB47-70DBD1CC6746}">
      <formula1>KV_DD_OKTOBER_49</formula1>
    </dataValidation>
    <dataValidation type="list" allowBlank="1" showInputMessage="1" showErrorMessage="1" sqref="F50" xr:uid="{640BAF8D-F909-2C4A-967F-9842F253155E}">
      <formula1>KV_DD_OKTOBER_50</formula1>
    </dataValidation>
    <dataValidation type="list" allowBlank="1" showInputMessage="1" showErrorMessage="1" sqref="F51" xr:uid="{CCDFB12B-A124-2846-80EF-F07A148C2CF8}">
      <formula1>KV_DD_OKTOBER_51</formula1>
    </dataValidation>
    <dataValidation type="list" allowBlank="1" showInputMessage="1" showErrorMessage="1" sqref="F52" xr:uid="{365663F9-1D0B-CF46-B3A0-CA8395F4B288}">
      <formula1>KV_DD_OKTOBER_52</formula1>
    </dataValidation>
    <dataValidation type="list" allowBlank="1" showInputMessage="1" showErrorMessage="1" sqref="F53" xr:uid="{AB6C63C7-5C78-A54C-A174-4CDD46D2712C}">
      <formula1>KV_DD_OKTOBER_53</formula1>
    </dataValidation>
    <dataValidation type="list" allowBlank="1" showInputMessage="1" showErrorMessage="1" sqref="F54" xr:uid="{D89493DF-69DF-408A-8030-971BA8B4B400}">
      <formula1>KV_DD_OKTOBER_54</formula1>
    </dataValidation>
    <dataValidation type="list" allowBlank="1" showInputMessage="1" showErrorMessage="1" sqref="F55" xr:uid="{3C292533-7BD9-479E-B034-1EB8B9882000}">
      <formula1>KV_DD_OKTOBER_55</formula1>
    </dataValidation>
    <dataValidation type="list" allowBlank="1" showInputMessage="1" showErrorMessage="1" sqref="F56" xr:uid="{3EA0C2DD-7B4E-40D4-AC68-C475DF5B817F}">
      <formula1>KV_DD_OKTOBER_56</formula1>
    </dataValidation>
    <dataValidation type="list" allowBlank="1" showInputMessage="1" showErrorMessage="1" sqref="F57" xr:uid="{A70C3A30-926D-A746-8D6C-115E3BD334E6}">
      <formula1>KV_DD_OKTOBER_57</formula1>
    </dataValidation>
    <dataValidation type="list" allowBlank="1" showInputMessage="1" showErrorMessage="1" sqref="F58" xr:uid="{CBEEA223-1320-1D48-B609-2E04027DAA9C}">
      <formula1>KV_DD_OKTOBER_58</formula1>
    </dataValidation>
    <dataValidation type="list" allowBlank="1" showInputMessage="1" showErrorMessage="1" sqref="F59" xr:uid="{8385CD2E-DD62-554C-9C8D-918D5CD7885C}">
      <formula1>KV_DD_OKTOBER_59</formula1>
    </dataValidation>
    <dataValidation type="list" allowBlank="1" showInputMessage="1" showErrorMessage="1" sqref="F60" xr:uid="{DE89139D-C436-2A4B-9746-DC07B8AAF887}">
      <formula1>KV_DD_OKTOBER_60</formula1>
    </dataValidation>
    <dataValidation type="date" allowBlank="1" showDropDown="1" showErrorMessage="1" sqref="I3:I82" xr:uid="{E55DB546-6F68-2B41-8927-10B6CC7C80BB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D67EDA-F182-EE47-9FDC-9078CBC195BD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AD6F-1357-44DB-BA9B-30CCEAF4322F}">
  <sheetPr codeName="Tabelle1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11</v>
      </c>
      <c r="B1" s="302" t="s">
        <v>191</v>
      </c>
      <c r="C1" s="314" t="s">
        <v>40</v>
      </c>
      <c r="D1" s="286" t="s">
        <v>192</v>
      </c>
      <c r="E1" s="286" t="s">
        <v>0</v>
      </c>
      <c r="F1" s="286" t="s">
        <v>41</v>
      </c>
      <c r="G1" s="288" t="s">
        <v>42</v>
      </c>
      <c r="H1" s="305" t="s">
        <v>43</v>
      </c>
      <c r="I1" s="290" t="s">
        <v>193</v>
      </c>
      <c r="J1" s="292" t="s">
        <v>44</v>
      </c>
      <c r="K1" s="294" t="s">
        <v>45</v>
      </c>
      <c r="L1" s="296" t="s">
        <v>46</v>
      </c>
      <c r="M1" s="298" t="s">
        <v>47</v>
      </c>
      <c r="N1" s="303" t="s">
        <v>194</v>
      </c>
      <c r="AB1" s="8">
        <f>DATE(EINSTELLUNG!$C$35,$A$1,1)</f>
        <v>46327</v>
      </c>
    </row>
    <row r="2" spans="1:28" ht="16" customHeight="1" thickBot="1">
      <c r="A2" s="39"/>
      <c r="B2" s="302"/>
      <c r="C2" s="315"/>
      <c r="D2" s="287"/>
      <c r="E2" s="287"/>
      <c r="F2" s="287"/>
      <c r="G2" s="289"/>
      <c r="H2" s="306"/>
      <c r="I2" s="291"/>
      <c r="J2" s="293"/>
      <c r="K2" s="295"/>
      <c r="L2" s="297"/>
      <c r="M2" s="299"/>
      <c r="N2" s="303"/>
      <c r="AB2" s="8">
        <f>EOMONTH(DATE(EINSTELLUNG!$C$35,$A$1,1),0)</f>
        <v>46356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2100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2100</v>
      </c>
      <c r="M3" s="70"/>
      <c r="N3" s="54"/>
      <c r="O3" s="300" t="s">
        <v>49</v>
      </c>
      <c r="P3" s="300" t="s">
        <v>50</v>
      </c>
      <c r="Q3" s="307" t="s">
        <v>51</v>
      </c>
      <c r="R3" s="309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301"/>
      <c r="P4" s="301"/>
      <c r="Q4" s="308"/>
      <c r="R4" s="310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836.40858047957613</v>
      </c>
      <c r="P5" s="15">
        <f>EINSTELLUNG!I16</f>
        <v>600</v>
      </c>
      <c r="Q5" s="14">
        <f>P5-O5</f>
        <v>-236.40858047957613</v>
      </c>
      <c r="R5" s="18">
        <f>IFERROR(Q5*Q42, 0)</f>
        <v>-3019.437118112161</v>
      </c>
    </row>
    <row r="6" spans="1:28" ht="16" customHeight="1" thickBot="1">
      <c r="A6" s="40" t="s">
        <v>55</v>
      </c>
      <c r="B6" s="77">
        <v>401049</v>
      </c>
      <c r="C6" s="46" t="s">
        <v>237</v>
      </c>
      <c r="D6" s="96">
        <v>41130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311" t="str">
        <f>IF(Q5&lt;0, "Schlecht! Zu wenig Urlaub abgebaut.", IF(Q5&gt;0, "Gut! Mehr Urlaub abgebaut als aufgebaut.", ""))</f>
        <v>Schlecht! Zu wenig Urlaub abgebaut.</v>
      </c>
      <c r="P6" s="312"/>
      <c r="Q6" s="312"/>
      <c r="R6" s="313"/>
    </row>
    <row r="7" spans="1:28" ht="16" customHeight="1" thickBot="1">
      <c r="A7" s="40" t="s">
        <v>56</v>
      </c>
      <c r="B7" s="77">
        <v>401051</v>
      </c>
      <c r="C7" s="46" t="s">
        <v>239</v>
      </c>
      <c r="D7" s="96">
        <v>41176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1" t="s">
        <v>57</v>
      </c>
      <c r="B8" s="77">
        <v>401089</v>
      </c>
      <c r="C8" s="46" t="s">
        <v>253</v>
      </c>
      <c r="D8" s="96">
        <v>44868</v>
      </c>
      <c r="E8" s="44" t="s">
        <v>3</v>
      </c>
      <c r="F8" s="45">
        <v>173</v>
      </c>
      <c r="G8" s="89">
        <f>IF(OR(E8="",F8=""),"",PID_KVLohnLookup($A$1,E8,F8,LOHNTABELLE!$H$4))</f>
        <v>2082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71"/>
      <c r="N8" s="55"/>
      <c r="O8" s="266" t="s">
        <v>58</v>
      </c>
      <c r="P8" s="267"/>
      <c r="Q8" s="268">
        <f>SUM(H3:H82)</f>
        <v>8551.9599999999991</v>
      </c>
      <c r="R8" s="268"/>
    </row>
    <row r="9" spans="1:28" ht="16" customHeight="1" thickBot="1">
      <c r="A9" s="40" t="s">
        <v>59</v>
      </c>
      <c r="B9" s="77">
        <v>401138</v>
      </c>
      <c r="C9" s="46" t="s">
        <v>240</v>
      </c>
      <c r="D9" s="96">
        <v>42006</v>
      </c>
      <c r="E9" s="44" t="s">
        <v>4</v>
      </c>
      <c r="F9" s="45">
        <v>173</v>
      </c>
      <c r="G9" s="89">
        <f>IF(OR(E9="",F9=""),"",PID_KVLohnLookup($A$1,E9,F9,LOHNTABELLE!$H$4))</f>
        <v>2123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71"/>
      <c r="N9" s="55"/>
      <c r="O9" s="266" t="s">
        <v>60</v>
      </c>
      <c r="P9" s="267"/>
      <c r="Q9" s="268">
        <f>EINSTELLUNG!L32</f>
        <v>11</v>
      </c>
      <c r="R9" s="268"/>
      <c r="S9" s="19">
        <f>IFERROR(Q9/Q8, 0)</f>
        <v>1.2862548468421276E-3</v>
      </c>
    </row>
    <row r="10" spans="1:28" ht="16" customHeight="1" thickBot="1">
      <c r="A10" s="40" t="s">
        <v>61</v>
      </c>
      <c r="B10" s="77">
        <v>401197</v>
      </c>
      <c r="C10" s="46" t="s">
        <v>241</v>
      </c>
      <c r="D10" s="96">
        <v>42644</v>
      </c>
      <c r="E10" s="44" t="s">
        <v>3</v>
      </c>
      <c r="F10" s="45">
        <v>173</v>
      </c>
      <c r="G10" s="89">
        <f>IF(OR(E10="",F10=""),"",PID_KVLohnLookup($A$1,E10,F10,LOHNTABELLE!$H$4))</f>
        <v>2082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71"/>
      <c r="N10" s="55"/>
      <c r="O10" s="266" t="s">
        <v>62</v>
      </c>
      <c r="P10" s="267"/>
      <c r="Q10" s="268">
        <f>EINSTELLUNG!I32</f>
        <v>150</v>
      </c>
      <c r="R10" s="268"/>
    </row>
    <row r="11" spans="1:28" ht="16" customHeight="1" thickBot="1">
      <c r="A11" s="41" t="s">
        <v>63</v>
      </c>
      <c r="B11" s="77">
        <v>401214</v>
      </c>
      <c r="C11" s="46" t="s">
        <v>267</v>
      </c>
      <c r="D11" s="96">
        <v>45636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66" t="s">
        <v>64</v>
      </c>
      <c r="P11" s="267"/>
      <c r="Q11" s="268">
        <f>P5</f>
        <v>600</v>
      </c>
      <c r="R11" s="268"/>
    </row>
    <row r="12" spans="1:28" ht="16" customHeight="1" thickBot="1">
      <c r="A12" s="40" t="s">
        <v>65</v>
      </c>
      <c r="B12" s="77">
        <v>401276</v>
      </c>
      <c r="C12" s="46" t="s">
        <v>242</v>
      </c>
      <c r="D12" s="96">
        <v>43252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66" t="s">
        <v>68</v>
      </c>
      <c r="P12" s="267"/>
      <c r="Q12" s="268">
        <f>Q8-Q9-Q10-Q11</f>
        <v>7790.9599999999991</v>
      </c>
      <c r="R12" s="268"/>
    </row>
    <row r="13" spans="1:28" ht="16" customHeight="1" thickBot="1">
      <c r="A13" s="40" t="s">
        <v>67</v>
      </c>
      <c r="B13" s="77">
        <v>401307</v>
      </c>
      <c r="C13" s="46" t="s">
        <v>243</v>
      </c>
      <c r="D13" s="96">
        <v>43571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66" t="s">
        <v>70</v>
      </c>
      <c r="P13" s="267"/>
      <c r="Q13" s="268">
        <f>EINSTELLUNG!L16</f>
        <v>9300</v>
      </c>
      <c r="R13" s="268"/>
    </row>
    <row r="14" spans="1:28" ht="16" customHeight="1" thickBot="1">
      <c r="A14" s="41" t="s">
        <v>69</v>
      </c>
      <c r="B14" s="77">
        <v>401308</v>
      </c>
      <c r="C14" s="46" t="s">
        <v>244</v>
      </c>
      <c r="D14" s="96">
        <v>43579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66" t="s">
        <v>72</v>
      </c>
      <c r="P14" s="267"/>
      <c r="Q14" s="268">
        <f>Q12-Q13</f>
        <v>-1509.0400000000009</v>
      </c>
      <c r="R14" s="268"/>
    </row>
    <row r="15" spans="1:28" ht="16" customHeight="1" thickBot="1">
      <c r="A15" s="40" t="s">
        <v>71</v>
      </c>
      <c r="B15" s="77">
        <v>401389</v>
      </c>
      <c r="C15" s="46" t="s">
        <v>246</v>
      </c>
      <c r="D15" s="96">
        <v>44384</v>
      </c>
      <c r="E15" s="44" t="s">
        <v>11</v>
      </c>
      <c r="F15" s="45">
        <v>173</v>
      </c>
      <c r="G15" s="89">
        <f>IF(OR(E15="",F15=""),"",PID_KVLohnLookup($A$1,E15,F15,LOHNTABELLE!$H$4))</f>
        <v>2300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71"/>
      <c r="N15" s="55"/>
      <c r="O15" s="390" t="str">
        <f>IF(Q14&lt;0, "Schlecht! Zu wenig Stunden für Dienstplan.", IF(Q14&gt;0, "Du hast mehr als genug Stunden für Dienstplan.", ""))</f>
        <v>Schlecht! Zu wenig Stunden für Dienstplan.</v>
      </c>
      <c r="P15" s="390"/>
      <c r="Q15" s="390"/>
      <c r="R15" s="390"/>
      <c r="S15" s="35"/>
      <c r="T15" s="35"/>
      <c r="U15" s="35"/>
    </row>
    <row r="16" spans="1:28" ht="16" customHeight="1" thickBot="1">
      <c r="A16" s="40" t="s">
        <v>73</v>
      </c>
      <c r="B16" s="77">
        <v>401394</v>
      </c>
      <c r="C16" s="46" t="s">
        <v>245</v>
      </c>
      <c r="D16" s="96">
        <v>44379</v>
      </c>
      <c r="E16" s="44" t="s">
        <v>2</v>
      </c>
      <c r="F16" s="45">
        <v>173</v>
      </c>
      <c r="G16" s="89">
        <f>IF(OR(E16="",F16=""),"",PID_KVLohnLookup($A$1,E16,F16,LOHNTABELLE!$H$4))</f>
        <v>2100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2100</v>
      </c>
      <c r="M16" s="71"/>
      <c r="N16" s="55"/>
      <c r="W16" s="12"/>
    </row>
    <row r="17" spans="1:29" ht="16" customHeight="1" thickBot="1">
      <c r="A17" s="41" t="s">
        <v>74</v>
      </c>
      <c r="B17" s="77">
        <v>401432</v>
      </c>
      <c r="C17" s="46" t="s">
        <v>247</v>
      </c>
      <c r="D17" s="96">
        <v>44441</v>
      </c>
      <c r="E17" s="44" t="s">
        <v>2</v>
      </c>
      <c r="F17" s="45">
        <v>173</v>
      </c>
      <c r="G17" s="89">
        <f>IF(OR(E17="",F17=""),"",PID_KVLohnLookup($A$1,E17,F17,LOHNTABELLE!$H$4))</f>
        <v>2100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2100</v>
      </c>
      <c r="M17" s="71"/>
      <c r="N17" s="55"/>
      <c r="O17" s="269" t="s">
        <v>75</v>
      </c>
      <c r="P17" s="270"/>
      <c r="Q17" s="271">
        <f>SUM(L3:L82)</f>
        <v>109226.6</v>
      </c>
      <c r="R17" s="271"/>
      <c r="W17" s="12"/>
    </row>
    <row r="18" spans="1:29" ht="16" customHeight="1" thickBot="1">
      <c r="A18" s="40" t="s">
        <v>76</v>
      </c>
      <c r="B18" s="77">
        <v>401479</v>
      </c>
      <c r="C18" s="46" t="s">
        <v>250</v>
      </c>
      <c r="D18" s="96">
        <v>44511</v>
      </c>
      <c r="E18" s="44" t="s">
        <v>6</v>
      </c>
      <c r="F18" s="45">
        <v>173</v>
      </c>
      <c r="G18" s="89">
        <f>IF(OR(E18="",F18=""),"",PID_KVLohnLookup($A$1,E18,F18,LOHNTABELLE!$H$4))</f>
        <v>2160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71"/>
      <c r="N18" s="55"/>
      <c r="O18" s="260"/>
      <c r="P18" s="261"/>
      <c r="Q18" s="262"/>
      <c r="R18" s="263"/>
    </row>
    <row r="19" spans="1:29" ht="16" customHeight="1" thickBot="1">
      <c r="A19" s="40" t="s">
        <v>77</v>
      </c>
      <c r="B19" s="77">
        <v>401481</v>
      </c>
      <c r="C19" s="46" t="s">
        <v>251</v>
      </c>
      <c r="D19" s="96">
        <v>44531</v>
      </c>
      <c r="E19" s="44" t="s">
        <v>2</v>
      </c>
      <c r="F19" s="45">
        <v>173</v>
      </c>
      <c r="G19" s="89">
        <f>IF(OR(E19="",F19=""),"",PID_KVLohnLookup($A$1,E19,F19,LOHNTABELLE!$H$4))</f>
        <v>2100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2100</v>
      </c>
      <c r="M19" s="71"/>
      <c r="N19" s="55"/>
      <c r="O19" s="260"/>
      <c r="P19" s="261"/>
      <c r="Q19" s="262"/>
      <c r="R19" s="263"/>
    </row>
    <row r="20" spans="1:29" ht="16" customHeight="1" thickBot="1">
      <c r="A20" s="41" t="s">
        <v>78</v>
      </c>
      <c r="B20" s="77">
        <v>401564</v>
      </c>
      <c r="C20" s="46" t="s">
        <v>252</v>
      </c>
      <c r="D20" s="96">
        <v>44824</v>
      </c>
      <c r="E20" s="44" t="s">
        <v>2</v>
      </c>
      <c r="F20" s="45">
        <v>173</v>
      </c>
      <c r="G20" s="89">
        <f>IF(OR(E20="",F20=""),"",PID_KVLohnLookup($A$1,E20,F20,LOHNTABELLE!$H$4))</f>
        <v>2100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2100</v>
      </c>
      <c r="M20" s="71"/>
      <c r="N20" s="55"/>
      <c r="O20" s="260"/>
      <c r="P20" s="261"/>
      <c r="Q20" s="262"/>
      <c r="R20" s="263"/>
    </row>
    <row r="21" spans="1:29" ht="16" customHeight="1" thickBot="1">
      <c r="A21" s="40" t="s">
        <v>80</v>
      </c>
      <c r="B21" s="77">
        <v>401583</v>
      </c>
      <c r="C21" s="46" t="s">
        <v>254</v>
      </c>
      <c r="D21" s="96">
        <v>44900</v>
      </c>
      <c r="E21" s="44" t="s">
        <v>10</v>
      </c>
      <c r="F21" s="45">
        <v>173</v>
      </c>
      <c r="G21" s="89">
        <f>IF(OR(E21="",F21=""),"",PID_KVLohnLookup($A$1,E21,F21,LOHNTABELLE!$H$4))</f>
        <v>2300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2300</v>
      </c>
      <c r="M21" s="71"/>
      <c r="N21" s="55"/>
      <c r="O21" s="260" t="s">
        <v>320</v>
      </c>
      <c r="P21" s="261"/>
      <c r="Q21" s="262">
        <v>5000</v>
      </c>
      <c r="R21" s="263"/>
    </row>
    <row r="22" spans="1:29" ht="16" customHeight="1" thickBot="1">
      <c r="A22" s="40" t="s">
        <v>81</v>
      </c>
      <c r="B22" s="77">
        <v>401589</v>
      </c>
      <c r="C22" s="46" t="s">
        <v>255</v>
      </c>
      <c r="D22" s="96">
        <v>44926</v>
      </c>
      <c r="E22" s="44" t="s">
        <v>10</v>
      </c>
      <c r="F22" s="45">
        <v>173</v>
      </c>
      <c r="G22" s="89">
        <f>IF(OR(E22="",F22=""),"",PID_KVLohnLookup($A$1,E22,F22,LOHNTABELLE!$H$4))</f>
        <v>2300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71"/>
      <c r="N22" s="55"/>
      <c r="O22" s="260"/>
      <c r="P22" s="261"/>
      <c r="Q22" s="262"/>
      <c r="R22" s="263"/>
    </row>
    <row r="23" spans="1:29" ht="16" customHeight="1" thickBot="1">
      <c r="A23" s="41" t="s">
        <v>82</v>
      </c>
      <c r="B23" s="77">
        <v>401602</v>
      </c>
      <c r="C23" s="46" t="s">
        <v>256</v>
      </c>
      <c r="D23" s="96">
        <v>45975</v>
      </c>
      <c r="E23" s="44" t="s">
        <v>2</v>
      </c>
      <c r="F23" s="45">
        <v>173</v>
      </c>
      <c r="G23" s="89">
        <f>IF(OR(E23="",F23=""),"",PID_KVLohnLookup($A$1,E23,F23,LOHNTABELLE!$H$4))</f>
        <v>2100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2100</v>
      </c>
      <c r="M23" s="71"/>
      <c r="N23" s="55"/>
      <c r="O23" s="260"/>
      <c r="P23" s="261"/>
      <c r="Q23" s="262"/>
      <c r="R23" s="263"/>
      <c r="W23" s="12"/>
    </row>
    <row r="24" spans="1:29" ht="16" customHeight="1" thickBot="1">
      <c r="A24" s="40" t="s">
        <v>83</v>
      </c>
      <c r="B24" s="77">
        <v>401605</v>
      </c>
      <c r="C24" s="46" t="s">
        <v>257</v>
      </c>
      <c r="D24" s="96">
        <v>44986</v>
      </c>
      <c r="E24" s="44" t="s">
        <v>2</v>
      </c>
      <c r="F24" s="45">
        <v>173</v>
      </c>
      <c r="G24" s="89">
        <f>IF(OR(E24="",F24=""),"",PID_KVLohnLookup($A$1,E24,F24,LOHNTABELLE!$H$4))</f>
        <v>2100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2100</v>
      </c>
      <c r="M24" s="71"/>
      <c r="N24" s="55"/>
      <c r="O24" s="260"/>
      <c r="P24" s="261"/>
      <c r="Q24" s="262"/>
      <c r="R24" s="263"/>
      <c r="W24" s="12"/>
    </row>
    <row r="25" spans="1:29" ht="16" customHeight="1" thickBot="1">
      <c r="A25" s="40" t="s">
        <v>84</v>
      </c>
      <c r="B25" s="77">
        <v>401626</v>
      </c>
      <c r="C25" s="46" t="s">
        <v>258</v>
      </c>
      <c r="D25" s="96">
        <v>45063</v>
      </c>
      <c r="E25" s="44" t="s">
        <v>2</v>
      </c>
      <c r="F25" s="45">
        <v>173</v>
      </c>
      <c r="G25" s="89">
        <f>IF(OR(E25="",F25=""),"",PID_KVLohnLookup($A$1,E25,F25,LOHNTABELLE!$H$4))</f>
        <v>2100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2100</v>
      </c>
      <c r="M25" s="71"/>
      <c r="N25" s="55"/>
      <c r="O25" s="277"/>
      <c r="P25" s="278"/>
      <c r="Q25" s="279"/>
      <c r="R25" s="280"/>
    </row>
    <row r="26" spans="1:29" ht="16" customHeight="1" thickBot="1">
      <c r="A26" s="41" t="s">
        <v>85</v>
      </c>
      <c r="B26" s="77">
        <v>401633</v>
      </c>
      <c r="C26" s="46" t="s">
        <v>259</v>
      </c>
      <c r="D26" s="96">
        <v>45089</v>
      </c>
      <c r="E26" s="44" t="s">
        <v>10</v>
      </c>
      <c r="F26" s="45">
        <v>173</v>
      </c>
      <c r="G26" s="89">
        <f>IF(OR(E26="",F26=""),"",PID_KVLohnLookup($A$1,E26,F26,LOHNTABELLE!$H$4))</f>
        <v>2300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2300</v>
      </c>
      <c r="M26" s="71"/>
      <c r="N26" s="55"/>
      <c r="O26" s="282"/>
      <c r="P26" s="350"/>
      <c r="Q26" s="283"/>
      <c r="R26" s="284"/>
    </row>
    <row r="27" spans="1:29" ht="16" customHeight="1" thickBot="1">
      <c r="A27" s="40" t="s">
        <v>86</v>
      </c>
      <c r="B27" s="77">
        <v>401647</v>
      </c>
      <c r="C27" s="46" t="s">
        <v>260</v>
      </c>
      <c r="D27" s="96">
        <v>45182</v>
      </c>
      <c r="E27" s="44" t="s">
        <v>2</v>
      </c>
      <c r="F27" s="45">
        <v>173</v>
      </c>
      <c r="G27" s="89">
        <f>IF(OR(E27="",F27=""),"",PID_KVLohnLookup($A$1,E27,F27,LOHNTABELLE!$H$4))</f>
        <v>2100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2100</v>
      </c>
      <c r="M27" s="71"/>
      <c r="N27" s="55"/>
      <c r="O27" s="240"/>
      <c r="P27" s="241"/>
      <c r="Q27" s="263"/>
      <c r="R27" s="285"/>
      <c r="S27" s="244" t="s">
        <v>87</v>
      </c>
      <c r="T27" s="245"/>
      <c r="U27" s="245"/>
      <c r="V27" s="245"/>
    </row>
    <row r="28" spans="1:29" ht="16" customHeight="1" thickBot="1">
      <c r="A28" s="40" t="s">
        <v>88</v>
      </c>
      <c r="B28" s="77">
        <v>401661</v>
      </c>
      <c r="C28" s="46" t="s">
        <v>261</v>
      </c>
      <c r="D28" s="96">
        <v>45261</v>
      </c>
      <c r="E28" s="44" t="s">
        <v>2</v>
      </c>
      <c r="F28" s="45">
        <v>173</v>
      </c>
      <c r="G28" s="89">
        <f>IF(OR(E28="",F28=""),"",PID_KVLohnLookup($A$1,E28,F28,LOHNTABELLE!$H$4))</f>
        <v>2100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2100</v>
      </c>
      <c r="M28" s="71"/>
      <c r="N28" s="55"/>
      <c r="O28" s="273"/>
      <c r="P28" s="274"/>
      <c r="Q28" s="275"/>
      <c r="R28" s="276"/>
    </row>
    <row r="29" spans="1:29" ht="16" customHeight="1" thickBot="1">
      <c r="A29" s="41" t="s">
        <v>89</v>
      </c>
      <c r="B29" s="77">
        <v>401670</v>
      </c>
      <c r="C29" s="46" t="s">
        <v>262</v>
      </c>
      <c r="D29" s="96">
        <v>45358</v>
      </c>
      <c r="E29" s="44" t="s">
        <v>2</v>
      </c>
      <c r="F29" s="45">
        <v>173</v>
      </c>
      <c r="G29" s="89">
        <f>IF(OR(E29="",F29=""),"",PID_KVLohnLookup($A$1,E29,F29,LOHNTABELLE!$H$4))</f>
        <v>2100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2100</v>
      </c>
      <c r="M29" s="71"/>
      <c r="N29" s="55"/>
      <c r="O29" s="248" t="s">
        <v>90</v>
      </c>
      <c r="P29" s="249"/>
      <c r="Q29" s="250">
        <f>EINSTELLUNG!O16</f>
        <v>1250</v>
      </c>
      <c r="R29" s="251"/>
    </row>
    <row r="30" spans="1:29" ht="16" customHeight="1" thickBot="1">
      <c r="A30" s="40" t="s">
        <v>91</v>
      </c>
      <c r="B30" s="77">
        <v>401678</v>
      </c>
      <c r="C30" s="46" t="s">
        <v>263</v>
      </c>
      <c r="D30" s="96">
        <v>45414</v>
      </c>
      <c r="E30" s="44" t="s">
        <v>2</v>
      </c>
      <c r="F30" s="45">
        <v>173</v>
      </c>
      <c r="G30" s="89">
        <f>IF(OR(E30="",F30=""),"",PID_KVLohnLookup($A$1,E30,F30,LOHNTABELLE!$H$4))</f>
        <v>2100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2100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401690</v>
      </c>
      <c r="C31" s="48" t="s">
        <v>265</v>
      </c>
      <c r="D31" s="96">
        <v>45536</v>
      </c>
      <c r="E31" s="44" t="s">
        <v>2</v>
      </c>
      <c r="F31" s="45">
        <v>173</v>
      </c>
      <c r="G31" s="89">
        <f>IF(OR(E31="",F31=""),"",PID_KVLohnLookup($A$1,E31,F31,LOHNTABELLE!$H$4))</f>
        <v>2100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2100</v>
      </c>
      <c r="M31" s="71"/>
      <c r="N31" s="55"/>
      <c r="O31" s="252">
        <v>0</v>
      </c>
      <c r="P31" s="253"/>
      <c r="Q31" s="254">
        <v>1.7857142857142856E-2</v>
      </c>
      <c r="R31" s="255"/>
    </row>
    <row r="32" spans="1:29" ht="16" customHeight="1" thickBot="1">
      <c r="A32" s="41" t="s">
        <v>94</v>
      </c>
      <c r="B32" s="77">
        <v>401703</v>
      </c>
      <c r="C32" s="46" t="s">
        <v>266</v>
      </c>
      <c r="D32" s="96">
        <v>45616</v>
      </c>
      <c r="E32" s="44" t="s">
        <v>2</v>
      </c>
      <c r="F32" s="45">
        <v>173</v>
      </c>
      <c r="G32" s="89">
        <f>IF(OR(E32="",F32=""),"",PID_KVLohnLookup($A$1,E32,F32,LOHNTABELLE!$H$4))</f>
        <v>2100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2100</v>
      </c>
      <c r="M32" s="71"/>
      <c r="N32" s="55"/>
    </row>
    <row r="33" spans="1:24" ht="16" customHeight="1" thickBot="1">
      <c r="A33" s="40" t="s">
        <v>95</v>
      </c>
      <c r="B33" s="77">
        <v>401715</v>
      </c>
      <c r="C33" s="46" t="s">
        <v>268</v>
      </c>
      <c r="D33" s="96">
        <v>45755</v>
      </c>
      <c r="E33" s="44" t="s">
        <v>2</v>
      </c>
      <c r="F33" s="45">
        <v>173</v>
      </c>
      <c r="G33" s="89">
        <f>IF(OR(E33="",F33=""),"",PID_KVLohnLookup($A$1,E33,F33,LOHNTABELLE!$H$4))</f>
        <v>2100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2100</v>
      </c>
      <c r="M33" s="71"/>
      <c r="N33" s="55"/>
      <c r="O33" s="256"/>
      <c r="P33" s="257"/>
      <c r="Q33" s="258" t="str">
        <f>EINSTELLUNG!B3</f>
        <v>Budget Zahlen</v>
      </c>
      <c r="R33" s="258"/>
      <c r="S33" s="259" t="str">
        <f>EINSTELLUNG!B19</f>
        <v>Projection/Aktuell Zahlen</v>
      </c>
      <c r="T33" s="259"/>
      <c r="U33" s="259" t="s">
        <v>98</v>
      </c>
      <c r="V33" s="259"/>
    </row>
    <row r="34" spans="1:24" ht="16" customHeight="1" thickBot="1">
      <c r="A34" s="40" t="s">
        <v>99</v>
      </c>
      <c r="B34" s="77">
        <v>401716</v>
      </c>
      <c r="C34" s="46" t="s">
        <v>269</v>
      </c>
      <c r="D34" s="96">
        <v>45800</v>
      </c>
      <c r="E34" s="44" t="s">
        <v>2</v>
      </c>
      <c r="F34" s="45">
        <v>173</v>
      </c>
      <c r="G34" s="89">
        <f>IF(OR(E34="",F34=""),"",PID_KVLohnLookup($A$1,E34,F34,LOHNTABELLE!$H$4))</f>
        <v>2100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2100</v>
      </c>
      <c r="M34" s="71"/>
      <c r="N34" s="55"/>
      <c r="O34" s="256"/>
      <c r="P34" s="257"/>
      <c r="Q34" s="258"/>
      <c r="R34" s="258"/>
      <c r="S34" s="259"/>
      <c r="T34" s="259"/>
      <c r="U34" s="259"/>
      <c r="V34" s="259"/>
    </row>
    <row r="35" spans="1:24" ht="16" customHeight="1" thickBot="1">
      <c r="A35" s="41" t="s">
        <v>100</v>
      </c>
      <c r="B35" s="77">
        <v>401717</v>
      </c>
      <c r="C35" s="46" t="s">
        <v>270</v>
      </c>
      <c r="D35" s="96">
        <v>45814</v>
      </c>
      <c r="E35" s="44" t="s">
        <v>2</v>
      </c>
      <c r="F35" s="45">
        <v>173</v>
      </c>
      <c r="G35" s="89">
        <f>IF(OR(E35="",F35=""),"",PID_KVLohnLookup($A$1,E35,F35,LOHNTABELLE!$H$4))</f>
        <v>2100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2100</v>
      </c>
      <c r="M35" s="71"/>
      <c r="N35" s="55"/>
      <c r="O35" s="264" t="s">
        <v>101</v>
      </c>
      <c r="P35" s="265"/>
      <c r="Q35" s="238">
        <f>EINSTELLUNG!C16</f>
        <v>400000</v>
      </c>
      <c r="R35" s="238"/>
      <c r="S35" s="238">
        <f>EINSTELLUNG!C32</f>
        <v>398000</v>
      </c>
      <c r="T35" s="238"/>
      <c r="U35" s="242">
        <f>S35-Q35</f>
        <v>-2000</v>
      </c>
      <c r="V35" s="242"/>
    </row>
    <row r="36" spans="1:24" ht="16" customHeight="1" thickBot="1">
      <c r="A36" s="40" t="s">
        <v>102</v>
      </c>
      <c r="B36" s="77">
        <v>401722</v>
      </c>
      <c r="C36" s="46" t="s">
        <v>271</v>
      </c>
      <c r="D36" s="96">
        <v>45848</v>
      </c>
      <c r="E36" s="44" t="s">
        <v>2</v>
      </c>
      <c r="F36" s="45">
        <v>86.5</v>
      </c>
      <c r="G36" s="89">
        <f>IF(OR(E36="",F36=""),"",PID_KVLohnLookup($A$1,E36,F36,LOHNTABELLE!$H$4))</f>
        <v>1333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71"/>
      <c r="N36" s="55"/>
      <c r="O36" s="264" t="s">
        <v>103</v>
      </c>
      <c r="P36" s="265"/>
      <c r="Q36" s="238">
        <f>EINSTELLUNG!D16</f>
        <v>100000</v>
      </c>
      <c r="R36" s="238"/>
      <c r="S36" s="235">
        <f>SumMergedCells(Q17:R29)</f>
        <v>115476.6</v>
      </c>
      <c r="T36" s="237"/>
      <c r="U36" s="242">
        <f t="shared" ref="U36:U41" si="2">S36-Q36</f>
        <v>15476.600000000006</v>
      </c>
      <c r="V36" s="242"/>
    </row>
    <row r="37" spans="1:24" ht="16" customHeight="1" thickBot="1">
      <c r="A37" s="40" t="s">
        <v>104</v>
      </c>
      <c r="B37" s="77">
        <v>401723</v>
      </c>
      <c r="C37" s="46" t="s">
        <v>272</v>
      </c>
      <c r="D37" s="96">
        <v>45852</v>
      </c>
      <c r="E37" s="44" t="s">
        <v>2</v>
      </c>
      <c r="F37" s="45">
        <v>86.5</v>
      </c>
      <c r="G37" s="89">
        <f>IF(OR(E37="",F37=""),"",PID_KVLohnLookup($A$1,E37,F37,LOHNTABELLE!$H$4))</f>
        <v>1333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71"/>
      <c r="N37" s="55"/>
      <c r="O37" s="264" t="s">
        <v>105</v>
      </c>
      <c r="P37" s="265"/>
      <c r="Q37" s="246">
        <f>IF(ISERROR(Q36/Q35), 0, Q36/Q35)</f>
        <v>0.25</v>
      </c>
      <c r="R37" s="246"/>
      <c r="S37" s="246">
        <f>IF(ISERROR(S36/S35), 0, S36/S35)</f>
        <v>0.29014221105527638</v>
      </c>
      <c r="T37" s="246"/>
      <c r="U37" s="247">
        <f t="shared" si="2"/>
        <v>4.0142211055276378E-2</v>
      </c>
      <c r="V37" s="247"/>
    </row>
    <row r="38" spans="1:24" ht="16" customHeight="1" thickBot="1">
      <c r="A38" s="41" t="s">
        <v>106</v>
      </c>
      <c r="B38" s="77">
        <v>401726</v>
      </c>
      <c r="C38" s="46" t="s">
        <v>273</v>
      </c>
      <c r="D38" s="96">
        <v>45870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64" t="s">
        <v>107</v>
      </c>
      <c r="P38" s="265"/>
      <c r="Q38" s="239">
        <f>EINSTELLUNG!F16</f>
        <v>30000</v>
      </c>
      <c r="R38" s="239"/>
      <c r="S38" s="239">
        <f>EINSTELLUNG!F32</f>
        <v>31000</v>
      </c>
      <c r="T38" s="239"/>
      <c r="U38" s="243">
        <f t="shared" si="2"/>
        <v>1000</v>
      </c>
      <c r="V38" s="243"/>
    </row>
    <row r="39" spans="1:24" ht="16" customHeight="1" thickBot="1">
      <c r="A39" s="40" t="s">
        <v>108</v>
      </c>
      <c r="B39" s="77">
        <v>401730</v>
      </c>
      <c r="C39" s="46" t="s">
        <v>275</v>
      </c>
      <c r="D39" s="96">
        <v>45895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64" t="s">
        <v>109</v>
      </c>
      <c r="P39" s="265"/>
      <c r="Q39" s="238">
        <f>IF(Q38=0, 0, Q35/Q38)</f>
        <v>13.333333333333334</v>
      </c>
      <c r="R39" s="238"/>
      <c r="S39" s="238">
        <f>IF(S38=0, 0, S35/S38)</f>
        <v>12.838709677419354</v>
      </c>
      <c r="T39" s="238"/>
      <c r="U39" s="242">
        <f t="shared" si="2"/>
        <v>-0.49462365591397983</v>
      </c>
      <c r="V39" s="242"/>
    </row>
    <row r="40" spans="1:24" ht="16" customHeight="1" thickBot="1">
      <c r="A40" s="40" t="s">
        <v>110</v>
      </c>
      <c r="B40" s="77">
        <v>401731</v>
      </c>
      <c r="C40" s="46" t="s">
        <v>274</v>
      </c>
      <c r="D40" s="96">
        <v>45899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64" t="s">
        <v>111</v>
      </c>
      <c r="P40" s="265"/>
      <c r="Q40" s="238">
        <f>IF(Q12=0, 0, Q35/Q12)</f>
        <v>51.341554827646405</v>
      </c>
      <c r="R40" s="238"/>
      <c r="S40" s="238">
        <f>IF(Q12=0, 0, S35/Q12)</f>
        <v>51.084847053508177</v>
      </c>
      <c r="T40" s="238"/>
      <c r="U40" s="242">
        <f t="shared" si="2"/>
        <v>-0.25670777413822776</v>
      </c>
      <c r="V40" s="242"/>
    </row>
    <row r="41" spans="1:24" ht="16" customHeight="1" thickBot="1">
      <c r="A41" s="41" t="s">
        <v>112</v>
      </c>
      <c r="B41" s="77">
        <v>401734</v>
      </c>
      <c r="C41" s="46" t="s">
        <v>276</v>
      </c>
      <c r="D41" s="96">
        <v>45904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64" t="s">
        <v>113</v>
      </c>
      <c r="P41" s="265"/>
      <c r="Q41" s="239">
        <f>IF(Q12=0, 0, Q38/Q12)</f>
        <v>3.8506166120734804</v>
      </c>
      <c r="R41" s="239"/>
      <c r="S41" s="239">
        <f>IF(Q12=0, 0, S38/Q12)</f>
        <v>3.9789704991425965</v>
      </c>
      <c r="T41" s="239"/>
      <c r="U41" s="243">
        <f t="shared" si="2"/>
        <v>0.1283538870691161</v>
      </c>
      <c r="V41" s="243"/>
    </row>
    <row r="42" spans="1:24" ht="16" customHeight="1" thickBot="1">
      <c r="A42" s="40" t="s">
        <v>114</v>
      </c>
      <c r="B42" s="77">
        <v>401736</v>
      </c>
      <c r="C42" s="46" t="s">
        <v>277</v>
      </c>
      <c r="D42" s="96">
        <v>45906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64" t="s">
        <v>115</v>
      </c>
      <c r="P42" s="265"/>
      <c r="Q42" s="235">
        <f>IFERROR(Q17/Q8, 0)</f>
        <v>12.772113059462395</v>
      </c>
      <c r="R42" s="236"/>
      <c r="S42" s="236"/>
      <c r="T42" s="236"/>
      <c r="U42" s="236"/>
      <c r="V42" s="237"/>
    </row>
    <row r="43" spans="1:24" ht="16" customHeight="1" thickBot="1">
      <c r="A43" s="40" t="s">
        <v>116</v>
      </c>
      <c r="B43" s="77">
        <v>401737</v>
      </c>
      <c r="C43" s="48" t="s">
        <v>278</v>
      </c>
      <c r="D43" s="96">
        <v>45906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1" t="s">
        <v>117</v>
      </c>
      <c r="B44" s="77">
        <v>401738</v>
      </c>
      <c r="C44" s="46" t="s">
        <v>279</v>
      </c>
      <c r="D44" s="96">
        <v>45909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0" t="s">
        <v>119</v>
      </c>
      <c r="B45" s="77">
        <v>401745</v>
      </c>
      <c r="C45" s="46" t="s">
        <v>283</v>
      </c>
      <c r="D45" s="96">
        <v>45934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401748</v>
      </c>
      <c r="C46" s="46" t="s">
        <v>281</v>
      </c>
      <c r="D46" s="96">
        <v>45941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1" t="s">
        <v>121</v>
      </c>
      <c r="B47" s="77">
        <v>401751</v>
      </c>
      <c r="C47" s="46" t="s">
        <v>284</v>
      </c>
      <c r="D47" s="96">
        <v>45961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401752</v>
      </c>
      <c r="C48" s="46" t="s">
        <v>285</v>
      </c>
      <c r="D48" s="96">
        <v>45986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0" t="s">
        <v>123</v>
      </c>
      <c r="B49" s="77">
        <v>401999</v>
      </c>
      <c r="C49" s="46" t="s">
        <v>319</v>
      </c>
      <c r="D49" s="96">
        <v>46082</v>
      </c>
      <c r="E49" s="44" t="s">
        <v>2</v>
      </c>
      <c r="F49" s="45">
        <v>173</v>
      </c>
      <c r="G49" s="89">
        <f>IF(OR(E49="",F49=""),"",PID_KVLohnLookup($A$1,E49,F49,LOHNTABELLE!$H$4))</f>
        <v>2100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2100</v>
      </c>
      <c r="M49" s="71"/>
      <c r="N49" s="55"/>
    </row>
    <row r="50" spans="1:14" ht="16" customHeight="1" thickBot="1">
      <c r="A50" s="41" t="s">
        <v>124</v>
      </c>
      <c r="B50" s="77">
        <v>402000</v>
      </c>
      <c r="C50" s="46" t="s">
        <v>326</v>
      </c>
      <c r="D50" s="96">
        <v>46143</v>
      </c>
      <c r="E50" s="44" t="s">
        <v>2</v>
      </c>
      <c r="F50" s="45">
        <v>173</v>
      </c>
      <c r="G50" s="89">
        <f>IF(OR(E50="",F50=""),"",PID_KVLohnLookup($A$1,E50,F50,LOHNTABELLE!$H$4))</f>
        <v>2100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2100</v>
      </c>
      <c r="M50" s="71"/>
      <c r="N50" s="55"/>
    </row>
    <row r="51" spans="1:14" ht="16" customHeight="1" thickBot="1">
      <c r="A51" s="40" t="s">
        <v>125</v>
      </c>
      <c r="B51" s="77">
        <v>402004</v>
      </c>
      <c r="C51" s="46" t="s">
        <v>328</v>
      </c>
      <c r="D51" s="96">
        <v>46122</v>
      </c>
      <c r="E51" s="44" t="s">
        <v>2</v>
      </c>
      <c r="F51" s="45">
        <v>173</v>
      </c>
      <c r="G51" s="89">
        <f>IF(OR(E51="",F51=""),"",PID_KVLohnLookup($A$1,E51,F51,LOHNTABELLE!$H$4))</f>
        <v>2100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2100</v>
      </c>
      <c r="M51" s="71"/>
      <c r="N51" s="55"/>
    </row>
    <row r="52" spans="1:14" ht="16" customHeight="1" thickBot="1">
      <c r="A52" s="40" t="s">
        <v>126</v>
      </c>
      <c r="B52" s="77">
        <v>402405</v>
      </c>
      <c r="C52" s="46" t="s">
        <v>330</v>
      </c>
      <c r="D52" s="96">
        <v>46054</v>
      </c>
      <c r="E52" s="44" t="s">
        <v>2</v>
      </c>
      <c r="F52" s="45">
        <v>173</v>
      </c>
      <c r="G52" s="89">
        <f>IF(OR(E52="",F52=""),"",PID_KVLohnLookup($A$1,E52,F52,LOHNTABELLE!$H$4))</f>
        <v>2100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2100</v>
      </c>
      <c r="M52" s="71"/>
      <c r="N52" s="55"/>
    </row>
    <row r="53" spans="1:14" ht="16" customHeight="1" thickBot="1">
      <c r="A53" s="41" t="s">
        <v>127</v>
      </c>
      <c r="B53" s="77">
        <v>500600</v>
      </c>
      <c r="C53" s="46" t="s">
        <v>335</v>
      </c>
      <c r="D53" s="96">
        <v>46054</v>
      </c>
      <c r="E53" s="44" t="s">
        <v>2</v>
      </c>
      <c r="F53" s="45">
        <v>173</v>
      </c>
      <c r="G53" s="89">
        <f>IF(OR(E53="",F53=""),"",PID_KVLohnLookup($A$1,E53,F53,LOHNTABELLE!$H$4))</f>
        <v>2100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2100</v>
      </c>
      <c r="M53" s="71"/>
      <c r="N53" s="55"/>
    </row>
    <row r="54" spans="1:14" ht="16" customHeight="1" thickBot="1">
      <c r="A54" s="40" t="s">
        <v>128</v>
      </c>
      <c r="B54" s="77">
        <v>502000</v>
      </c>
      <c r="C54" s="46" t="s">
        <v>329</v>
      </c>
      <c r="D54" s="96">
        <v>46147</v>
      </c>
      <c r="E54" s="44" t="s">
        <v>2</v>
      </c>
      <c r="F54" s="45">
        <v>173</v>
      </c>
      <c r="G54" s="89">
        <f>IF(OR(E54="",F54=""),"",PID_KVLohnLookup($A$1,E54,F54,LOHNTABELLE!$H$4))</f>
        <v>2100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2100</v>
      </c>
      <c r="M54" s="71"/>
      <c r="N54" s="55"/>
    </row>
    <row r="55" spans="1:14" ht="16" customHeight="1" thickBot="1">
      <c r="A55" s="40" t="s">
        <v>129</v>
      </c>
      <c r="B55" s="77">
        <v>503000</v>
      </c>
      <c r="C55" s="46" t="s">
        <v>332</v>
      </c>
      <c r="D55" s="96">
        <v>42401</v>
      </c>
      <c r="E55" s="44" t="s">
        <v>2</v>
      </c>
      <c r="F55" s="45">
        <v>173</v>
      </c>
      <c r="G55" s="89">
        <f>IF(OR(E55="",F55=""),"",PID_KVLohnLookup($A$1,E55,F55,LOHNTABELLE!$H$4))</f>
        <v>2100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2100</v>
      </c>
      <c r="M55" s="71"/>
      <c r="N55" s="55"/>
    </row>
    <row r="56" spans="1:14" ht="16" customHeight="1" thickBot="1">
      <c r="A56" s="41" t="s">
        <v>130</v>
      </c>
      <c r="B56" s="77">
        <v>504000</v>
      </c>
      <c r="C56" s="46" t="s">
        <v>333</v>
      </c>
      <c r="D56" s="96">
        <v>46054</v>
      </c>
      <c r="E56" s="44" t="s">
        <v>3</v>
      </c>
      <c r="F56" s="45">
        <v>138.4</v>
      </c>
      <c r="G56" s="89">
        <f>IF(OR(E56="",F56=""),"",PID_KVLohnLookup($A$1,E56,F56,LOHNTABELLE!$H$4))</f>
        <v>1665.6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1665.6</v>
      </c>
      <c r="M56" s="71"/>
      <c r="N56" s="55"/>
    </row>
    <row r="57" spans="1:14" ht="16" customHeight="1" thickBot="1">
      <c r="A57" s="40" t="s">
        <v>131</v>
      </c>
      <c r="B57" s="77">
        <v>505000</v>
      </c>
      <c r="C57" s="46" t="s">
        <v>334</v>
      </c>
      <c r="D57" s="96">
        <v>46054</v>
      </c>
      <c r="E57" s="44" t="s">
        <v>2</v>
      </c>
      <c r="F57" s="45">
        <v>138.4</v>
      </c>
      <c r="G57" s="89">
        <f>IF(OR(E57="",F57=""),"",PID_KVLohnLookup($A$1,E57,F57,LOHNTABELLE!$H$4))</f>
        <v>2300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2300</v>
      </c>
      <c r="M57" s="71"/>
      <c r="N57" s="55"/>
    </row>
    <row r="58" spans="1:14" ht="16" customHeight="1" thickBot="1">
      <c r="A58" s="40" t="s">
        <v>132</v>
      </c>
      <c r="B58" s="77">
        <v>700000</v>
      </c>
      <c r="C58" s="46" t="s">
        <v>347</v>
      </c>
      <c r="D58" s="96">
        <v>46054</v>
      </c>
      <c r="E58" s="44" t="s">
        <v>2</v>
      </c>
      <c r="F58" s="45">
        <v>173</v>
      </c>
      <c r="G58" s="89">
        <f>IF(OR(E58="",F58=""),"",PID_KVLohnLookup($A$1,E58,F58,LOHNTABELLE!$H$4))</f>
        <v>2100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57.66</v>
      </c>
      <c r="I58" s="99">
        <v>46336</v>
      </c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700</v>
      </c>
      <c r="M58" s="71"/>
      <c r="N58" s="55" t="s">
        <v>205</v>
      </c>
    </row>
    <row r="59" spans="1:14" ht="16" customHeight="1" thickBot="1">
      <c r="A59" s="41" t="s">
        <v>133</v>
      </c>
      <c r="B59" s="77">
        <v>800000</v>
      </c>
      <c r="C59" s="46" t="s">
        <v>348</v>
      </c>
      <c r="D59" s="96">
        <v>46082</v>
      </c>
      <c r="E59" s="44" t="s">
        <v>2</v>
      </c>
      <c r="F59" s="45">
        <v>173</v>
      </c>
      <c r="G59" s="89">
        <f>IF(OR(E59="",F59=""),"",PID_KVLohnLookup($A$1,E59,F59,LOHNTABELLE!$H$4))</f>
        <v>2100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2100</v>
      </c>
      <c r="M59" s="71"/>
      <c r="N59" s="55"/>
    </row>
    <row r="60" spans="1:14" ht="16" customHeight="1" thickBot="1">
      <c r="A60" s="40" t="s">
        <v>134</v>
      </c>
      <c r="B60" s="77"/>
      <c r="C60" s="46"/>
      <c r="D60" s="96"/>
      <c r="E60" s="44"/>
      <c r="F60" s="45"/>
      <c r="G60" s="89" t="str">
        <f>IF(OR(E60="",F60=""),"",PID_KVLohnLookup($A$1,E60,F60,LOHNTABELLE!$H$4))</f>
        <v/>
      </c>
      <c r="H60" s="65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71"/>
      <c r="N60" s="55"/>
    </row>
    <row r="61" spans="1:14" ht="16" customHeight="1" thickBot="1">
      <c r="A61" s="40" t="s">
        <v>135</v>
      </c>
      <c r="B61" s="77"/>
      <c r="C61" s="46"/>
      <c r="D61" s="96"/>
      <c r="E61" s="44"/>
      <c r="F61" s="45"/>
      <c r="G61" s="89" t="str">
        <f>IF(OR(E61="",F61=""),"",PID_KVLohnLookup($A$1,E61,F61,LOHNTABELLE!$H$4))</f>
        <v/>
      </c>
      <c r="H61" s="65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71"/>
      <c r="N61" s="55"/>
    </row>
    <row r="62" spans="1:14" ht="16" customHeight="1" thickBot="1">
      <c r="A62" s="41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1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0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1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0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1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1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0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Xou14c1lu57uIMCSuhB6BPZpFun/rd9VxLO4fcCsEnofsjm/AqpJW4bx0xgWIMMygldr3TYpsiuI3b9fRHx0RQ==" saltValue="Z/8CO2ORoyFEaT3yR9rtC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phoneticPr fontId="13" type="noConversion"/>
  <dataValidations count="59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5426E3A-F9CB-174E-8DD2-CC083D4DC48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B3A02B94-EE9A-6742-9D87-8A3EBE1A3DC4}">
      <formula1>KV_DD_NOVEMBER_3</formula1>
    </dataValidation>
    <dataValidation type="list" allowBlank="1" showInputMessage="1" showErrorMessage="1" sqref="F4" xr:uid="{2FEB1498-3E82-B64C-9D30-70FB09829FC3}">
      <formula1>KV_DD_NOVEMBER_4</formula1>
    </dataValidation>
    <dataValidation type="list" allowBlank="1" showInputMessage="1" showErrorMessage="1" sqref="F5" xr:uid="{F29AB36E-FA0A-F74D-B999-601390773C4F}">
      <formula1>KV_DD_NOVEMBER_5</formula1>
    </dataValidation>
    <dataValidation type="list" allowBlank="1" showInputMessage="1" showErrorMessage="1" sqref="F6" xr:uid="{13DD75BE-9527-E546-8D5E-351FADD5EA11}">
      <formula1>KV_DD_NOVEMBER_6</formula1>
    </dataValidation>
    <dataValidation type="list" allowBlank="1" showInputMessage="1" showErrorMessage="1" sqref="F7" xr:uid="{ED5B24D2-7206-B448-B6D6-0F8D1BD4D324}">
      <formula1>KV_DD_NOVEMBER_7</formula1>
    </dataValidation>
    <dataValidation type="list" allowBlank="1" showInputMessage="1" showErrorMessage="1" sqref="F8" xr:uid="{29AB8A87-78A0-6F47-AFEE-8C45A7341927}">
      <formula1>KV_DD_NOVEMBER_8</formula1>
    </dataValidation>
    <dataValidation type="list" allowBlank="1" showInputMessage="1" showErrorMessage="1" sqref="F9" xr:uid="{3442F817-D228-EB4C-9BC2-237CDE525CEB}">
      <formula1>KV_DD_NOVEMBER_9</formula1>
    </dataValidation>
    <dataValidation type="list" allowBlank="1" showInputMessage="1" showErrorMessage="1" sqref="F10" xr:uid="{BC047287-B73E-AC43-9D87-E5E3DEBCBD04}">
      <formula1>KV_DD_NOVEMBER_10</formula1>
    </dataValidation>
    <dataValidation type="list" allowBlank="1" showInputMessage="1" showErrorMessage="1" sqref="F11" xr:uid="{47DDF252-ABD0-6348-8F31-101BCFDA62F8}">
      <formula1>KV_DD_NOVEMBER_11</formula1>
    </dataValidation>
    <dataValidation type="list" allowBlank="1" showInputMessage="1" showErrorMessage="1" sqref="F12" xr:uid="{B7ECB9B0-5F75-6444-817F-A16BFB21C7A3}">
      <formula1>KV_DD_NOVEMBER_12</formula1>
    </dataValidation>
    <dataValidation type="list" allowBlank="1" showInputMessage="1" showErrorMessage="1" sqref="F13" xr:uid="{9A72B588-ABA1-1742-A60F-2F673F8CA11A}">
      <formula1>KV_DD_NOVEMBER_13</formula1>
    </dataValidation>
    <dataValidation type="list" allowBlank="1" showInputMessage="1" showErrorMessage="1" sqref="F14" xr:uid="{F4D615F2-04E1-CB43-A113-ACD00A6B5021}">
      <formula1>KV_DD_NOVEMBER_14</formula1>
    </dataValidation>
    <dataValidation type="list" allowBlank="1" showInputMessage="1" showErrorMessage="1" sqref="F15" xr:uid="{26D198E8-A2E8-594B-863A-9FD929C60642}">
      <formula1>KV_DD_NOVEMBER_15</formula1>
    </dataValidation>
    <dataValidation type="list" allowBlank="1" showInputMessage="1" showErrorMessage="1" sqref="F16" xr:uid="{7E849F29-C283-0C46-9600-2F214BA6BAB0}">
      <formula1>KV_DD_NOVEMBER_16</formula1>
    </dataValidation>
    <dataValidation type="list" allowBlank="1" showInputMessage="1" showErrorMessage="1" sqref="F17" xr:uid="{D6BABCDE-6F63-B34B-A004-506CBF81B6BC}">
      <formula1>KV_DD_NOVEMBER_17</formula1>
    </dataValidation>
    <dataValidation type="list" allowBlank="1" showInputMessage="1" showErrorMessage="1" sqref="F18" xr:uid="{1FF197A2-08A7-B249-B384-BB69A544D8F2}">
      <formula1>KV_DD_NOVEMBER_18</formula1>
    </dataValidation>
    <dataValidation type="list" allowBlank="1" showInputMessage="1" showErrorMessage="1" sqref="F19" xr:uid="{AA538059-E8AC-4149-9D80-330E54A0FF15}">
      <formula1>KV_DD_NOVEMBER_19</formula1>
    </dataValidation>
    <dataValidation type="list" allowBlank="1" showInputMessage="1" showErrorMessage="1" sqref="F20" xr:uid="{3FB03FAD-A9AF-9044-BE65-A37862D9E741}">
      <formula1>KV_DD_NOVEMBER_20</formula1>
    </dataValidation>
    <dataValidation type="list" allowBlank="1" showInputMessage="1" showErrorMessage="1" sqref="F21" xr:uid="{E7F3F99B-EAF4-194A-AD89-29D5DCB1F561}">
      <formula1>KV_DD_NOVEMBER_21</formula1>
    </dataValidation>
    <dataValidation type="list" allowBlank="1" showInputMessage="1" showErrorMessage="1" sqref="F22" xr:uid="{925CBE9F-297F-F546-B4CB-FA2286B70ADE}">
      <formula1>KV_DD_NOVEMBER_22</formula1>
    </dataValidation>
    <dataValidation type="list" allowBlank="1" showInputMessage="1" showErrorMessage="1" sqref="F23" xr:uid="{AC4D6154-44FD-F44E-87BC-C2333244B0AD}">
      <formula1>KV_DD_NOVEMBER_23</formula1>
    </dataValidation>
    <dataValidation type="list" allowBlank="1" showInputMessage="1" showErrorMessage="1" sqref="F24" xr:uid="{9EB981F0-ECE0-2F49-9193-18C75F354023}">
      <formula1>KV_DD_NOVEMBER_24</formula1>
    </dataValidation>
    <dataValidation type="list" allowBlank="1" showInputMessage="1" showErrorMessage="1" sqref="F25" xr:uid="{771CEC7E-1FB5-A848-BC80-E3EF37DAC205}">
      <formula1>KV_DD_NOVEMBER_25</formula1>
    </dataValidation>
    <dataValidation type="list" allowBlank="1" showInputMessage="1" showErrorMessage="1" sqref="F26" xr:uid="{2AC437B2-B840-D947-B16A-E3FB2FF24BFB}">
      <formula1>KV_DD_NOVEMBER_26</formula1>
    </dataValidation>
    <dataValidation type="list" allowBlank="1" showInputMessage="1" showErrorMessage="1" sqref="F27" xr:uid="{B8EA2835-4F3D-A44A-BDCB-209695F148E8}">
      <formula1>KV_DD_NOVEMBER_27</formula1>
    </dataValidation>
    <dataValidation type="list" allowBlank="1" showInputMessage="1" showErrorMessage="1" sqref="F28" xr:uid="{2C389FC1-D9F1-8646-B487-57D70780C09E}">
      <formula1>KV_DD_NOVEMBER_28</formula1>
    </dataValidation>
    <dataValidation type="list" allowBlank="1" showInputMessage="1" showErrorMessage="1" sqref="F29" xr:uid="{57143E34-690F-D043-A364-10211F1BA6CC}">
      <formula1>KV_DD_NOVEMBER_29</formula1>
    </dataValidation>
    <dataValidation type="list" allowBlank="1" showInputMessage="1" showErrorMessage="1" sqref="F30" xr:uid="{96872F06-E893-D44D-966E-5203A89C5D43}">
      <formula1>KV_DD_NOVEMBER_30</formula1>
    </dataValidation>
    <dataValidation type="list" allowBlank="1" showInputMessage="1" showErrorMessage="1" sqref="F31" xr:uid="{1D4192E4-7107-AA4E-BEFB-10A2481AF2A3}">
      <formula1>KV_DD_NOVEMBER_31</formula1>
    </dataValidation>
    <dataValidation type="list" allowBlank="1" showInputMessage="1" showErrorMessage="1" sqref="F32" xr:uid="{C24FCEA0-555A-3842-9F5A-CC103C1B3B2C}">
      <formula1>KV_DD_NOVEMBER_32</formula1>
    </dataValidation>
    <dataValidation type="list" allowBlank="1" showInputMessage="1" showErrorMessage="1" sqref="F33" xr:uid="{63BC9A68-F3BF-1D4C-9430-D62071665EB2}">
      <formula1>KV_DD_NOVEMBER_33</formula1>
    </dataValidation>
    <dataValidation type="list" allowBlank="1" showInputMessage="1" showErrorMessage="1" sqref="F34" xr:uid="{C37CBB4E-8CC4-724B-820E-25AFA321DDE2}">
      <formula1>KV_DD_NOVEMBER_34</formula1>
    </dataValidation>
    <dataValidation type="list" allowBlank="1" showInputMessage="1" showErrorMessage="1" sqref="F35" xr:uid="{AB61F392-B025-E94B-81EE-328D88F51187}">
      <formula1>KV_DD_NOVEMBER_35</formula1>
    </dataValidation>
    <dataValidation type="list" allowBlank="1" showInputMessage="1" showErrorMessage="1" sqref="F36" xr:uid="{EAA02EC8-67E6-9548-9DBD-D4EBD9ED8318}">
      <formula1>KV_DD_NOVEMBER_36</formula1>
    </dataValidation>
    <dataValidation type="list" allowBlank="1" showInputMessage="1" showErrorMessage="1" sqref="F37" xr:uid="{88DF80D9-6A56-D14D-A3EE-8F2759194160}">
      <formula1>KV_DD_NOVEMBER_37</formula1>
    </dataValidation>
    <dataValidation type="list" allowBlank="1" showInputMessage="1" showErrorMessage="1" sqref="F38" xr:uid="{50A98756-AB55-4A41-BDA0-EB9BFA4FC648}">
      <formula1>KV_DD_NOVEMBER_38</formula1>
    </dataValidation>
    <dataValidation type="list" allowBlank="1" showInputMessage="1" showErrorMessage="1" sqref="F39" xr:uid="{9814E891-C32E-6445-AE08-0A1332EB9060}">
      <formula1>KV_DD_NOVEMBER_39</formula1>
    </dataValidation>
    <dataValidation type="list" allowBlank="1" showInputMessage="1" showErrorMessage="1" sqref="F40" xr:uid="{70116209-4FDB-F442-A3D8-F03967F5C52F}">
      <formula1>KV_DD_NOVEMBER_40</formula1>
    </dataValidation>
    <dataValidation type="list" allowBlank="1" showInputMessage="1" showErrorMessage="1" sqref="F41" xr:uid="{A61BAA6A-D379-B34A-A93E-066B544E9A4B}">
      <formula1>KV_DD_NOVEMBER_41</formula1>
    </dataValidation>
    <dataValidation type="list" allowBlank="1" showInputMessage="1" showErrorMessage="1" sqref="F42" xr:uid="{1AB04BD8-1850-D64C-9263-3E1ED7F00D82}">
      <formula1>KV_DD_NOVEMBER_42</formula1>
    </dataValidation>
    <dataValidation type="list" allowBlank="1" showInputMessage="1" showErrorMessage="1" sqref="F43" xr:uid="{605BA28E-F6DA-074A-B96D-BC0EAA8E5E35}">
      <formula1>KV_DD_NOVEMBER_43</formula1>
    </dataValidation>
    <dataValidation type="list" allowBlank="1" showInputMessage="1" showErrorMessage="1" sqref="F44" xr:uid="{1D246E68-9E9E-5E44-A997-0C519EA4DA74}">
      <formula1>KV_DD_NOVEMBER_44</formula1>
    </dataValidation>
    <dataValidation type="list" allowBlank="1" showInputMessage="1" showErrorMessage="1" sqref="F45" xr:uid="{7BE771D7-4337-7F46-A153-7B4918E1976E}">
      <formula1>KV_DD_NOVEMBER_45</formula1>
    </dataValidation>
    <dataValidation type="list" allowBlank="1" showInputMessage="1" showErrorMessage="1" sqref="F46" xr:uid="{ADA2A4AC-3205-BC46-85D0-523E5620D826}">
      <formula1>KV_DD_NOVEMBER_46</formula1>
    </dataValidation>
    <dataValidation type="list" allowBlank="1" showInputMessage="1" showErrorMessage="1" sqref="F47" xr:uid="{CADA0ED0-95C6-BD4E-866E-899DEEA8D7E5}">
      <formula1>KV_DD_NOVEMBER_47</formula1>
    </dataValidation>
    <dataValidation type="list" allowBlank="1" showInputMessage="1" showErrorMessage="1" sqref="F48" xr:uid="{66B3E468-379D-5C4A-9F6D-72190AE9A5FE}">
      <formula1>KV_DD_NOVEMBER_48</formula1>
    </dataValidation>
    <dataValidation type="list" allowBlank="1" showInputMessage="1" showErrorMessage="1" sqref="F49" xr:uid="{EA6E1F2F-A410-134C-83B2-5393E8B12F7C}">
      <formula1>KV_DD_NOVEMBER_49</formula1>
    </dataValidation>
    <dataValidation type="list" allowBlank="1" showInputMessage="1" showErrorMessage="1" sqref="F50" xr:uid="{B1D5DF7E-AF15-564A-A9EE-06506C69B0BC}">
      <formula1>KV_DD_NOVEMBER_50</formula1>
    </dataValidation>
    <dataValidation type="list" allowBlank="1" showInputMessage="1" showErrorMessage="1" sqref="F51" xr:uid="{458F0B94-A61F-0D41-8F5C-DDE1EDDB4897}">
      <formula1>KV_DD_NOVEMBER_51</formula1>
    </dataValidation>
    <dataValidation type="list" allowBlank="1" showInputMessage="1" showErrorMessage="1" sqref="F52" xr:uid="{0DDB1E56-DE0D-D943-97C7-4959675E19B6}">
      <formula1>KV_DD_NOVEMBER_52</formula1>
    </dataValidation>
    <dataValidation type="list" allowBlank="1" showInputMessage="1" showErrorMessage="1" sqref="F53" xr:uid="{434A996C-AA1F-524A-8EE1-8BB940888077}">
      <formula1>KV_DD_NOVEMBER_53</formula1>
    </dataValidation>
    <dataValidation type="list" allowBlank="1" showInputMessage="1" showErrorMessage="1" sqref="F54" xr:uid="{91522F2C-5459-40DE-A369-A54C90755CD2}">
      <formula1>KV_DD_NOVEMBER_54</formula1>
    </dataValidation>
    <dataValidation type="list" allowBlank="1" showInputMessage="1" showErrorMessage="1" sqref="F55" xr:uid="{2486B895-583C-46CB-8753-6CA3813BB56D}">
      <formula1>KV_DD_NOVEMBER_55</formula1>
    </dataValidation>
    <dataValidation type="list" allowBlank="1" showInputMessage="1" showErrorMessage="1" sqref="F56" xr:uid="{C50F7C78-7DB9-4C74-8504-B27CD05B1415}">
      <formula1>KV_DD_NOVEMBER_56</formula1>
    </dataValidation>
    <dataValidation type="list" allowBlank="1" showInputMessage="1" showErrorMessage="1" sqref="F57" xr:uid="{3C8F1E7F-E406-0A4F-9B22-95EFD2B23E2E}">
      <formula1>KV_DD_NOVEMBER_57</formula1>
    </dataValidation>
    <dataValidation type="list" allowBlank="1" showInputMessage="1" showErrorMessage="1" sqref="F58" xr:uid="{DF8F7E15-A07C-CE4A-B074-11B6BC2D00E2}">
      <formula1>KV_DD_NOVEMBER_58</formula1>
    </dataValidation>
    <dataValidation type="list" allowBlank="1" showInputMessage="1" showErrorMessage="1" sqref="F59" xr:uid="{ED1AD6B8-8951-7B45-AE85-8FF3674FBCE8}">
      <formula1>KV_DD_NOVEMBER_59</formula1>
    </dataValidation>
    <dataValidation type="date" allowBlank="1" showDropDown="1" showErrorMessage="1" sqref="I3:I82" xr:uid="{4B8BE77C-61E4-6C47-9383-C8BF71FB694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3810996-035A-104E-9295-3E72E8A67299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E8AFE-F9CB-4D9D-AB8D-0FFBFF132FB3}">
  <sheetPr codeName="Tabelle14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S36" sqref="S36:T36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12</v>
      </c>
      <c r="B1" s="302" t="s">
        <v>191</v>
      </c>
      <c r="C1" s="314" t="s">
        <v>40</v>
      </c>
      <c r="D1" s="286" t="s">
        <v>192</v>
      </c>
      <c r="E1" s="286" t="s">
        <v>0</v>
      </c>
      <c r="F1" s="286" t="s">
        <v>41</v>
      </c>
      <c r="G1" s="288" t="s">
        <v>42</v>
      </c>
      <c r="H1" s="305" t="s">
        <v>43</v>
      </c>
      <c r="I1" s="290" t="s">
        <v>193</v>
      </c>
      <c r="J1" s="292" t="s">
        <v>44</v>
      </c>
      <c r="K1" s="294" t="s">
        <v>45</v>
      </c>
      <c r="L1" s="296" t="s">
        <v>46</v>
      </c>
      <c r="M1" s="298" t="s">
        <v>47</v>
      </c>
      <c r="N1" s="303" t="s">
        <v>194</v>
      </c>
      <c r="AB1" s="8">
        <f>DATE(EINSTELLUNG!$C$35,$A$1,1)</f>
        <v>46357</v>
      </c>
    </row>
    <row r="2" spans="1:28" ht="16" customHeight="1" thickBot="1">
      <c r="A2" s="39"/>
      <c r="B2" s="302"/>
      <c r="C2" s="315"/>
      <c r="D2" s="287"/>
      <c r="E2" s="287"/>
      <c r="F2" s="287"/>
      <c r="G2" s="289"/>
      <c r="H2" s="306"/>
      <c r="I2" s="291"/>
      <c r="J2" s="293"/>
      <c r="K2" s="295"/>
      <c r="L2" s="297"/>
      <c r="M2" s="299"/>
      <c r="N2" s="303"/>
      <c r="AB2" s="8">
        <f>EOMONTH(DATE(EINSTELLUNG!$C$35,$A$1,1),0)</f>
        <v>46387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2100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2100</v>
      </c>
      <c r="M3" s="70"/>
      <c r="N3" s="54"/>
      <c r="O3" s="300" t="s">
        <v>49</v>
      </c>
      <c r="P3" s="300" t="s">
        <v>50</v>
      </c>
      <c r="Q3" s="307" t="s">
        <v>51</v>
      </c>
      <c r="R3" s="309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301"/>
      <c r="P4" s="301"/>
      <c r="Q4" s="308"/>
      <c r="R4" s="310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819.71379843407556</v>
      </c>
      <c r="P5" s="15">
        <f>EINSTELLUNG!I17</f>
        <v>600</v>
      </c>
      <c r="Q5" s="14">
        <f>P5-O5</f>
        <v>-219.71379843407556</v>
      </c>
      <c r="R5" s="18">
        <f>IFERROR(Q5*Q42, 0)</f>
        <v>-2807.1520333795074</v>
      </c>
    </row>
    <row r="6" spans="1:28" ht="16" customHeight="1" thickBot="1">
      <c r="A6" s="40" t="s">
        <v>55</v>
      </c>
      <c r="B6" s="77">
        <v>401049</v>
      </c>
      <c r="C6" s="46" t="s">
        <v>237</v>
      </c>
      <c r="D6" s="96">
        <v>41130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311" t="str">
        <f>IF(Q5&lt;0, "Schlecht! Zu wenig Urlaub abgebaut.", IF(Q5&gt;0, "Gut! Mehr Urlaub abgebaut als aufgebaut.", ""))</f>
        <v>Schlecht! Zu wenig Urlaub abgebaut.</v>
      </c>
      <c r="P6" s="312"/>
      <c r="Q6" s="312"/>
      <c r="R6" s="313"/>
    </row>
    <row r="7" spans="1:28" ht="16" customHeight="1" thickBot="1">
      <c r="A7" s="40" t="s">
        <v>56</v>
      </c>
      <c r="B7" s="77">
        <v>401051</v>
      </c>
      <c r="C7" s="46" t="s">
        <v>239</v>
      </c>
      <c r="D7" s="96">
        <v>41176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401089</v>
      </c>
      <c r="C8" s="46" t="s">
        <v>253</v>
      </c>
      <c r="D8" s="96">
        <v>44868</v>
      </c>
      <c r="E8" s="44" t="s">
        <v>3</v>
      </c>
      <c r="F8" s="45">
        <v>173</v>
      </c>
      <c r="G8" s="89">
        <f>IF(OR(E8="",F8=""),"",PID_KVLohnLookup($A$1,E8,F8,LOHNTABELLE!$H$4))</f>
        <v>2082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71"/>
      <c r="N8" s="55"/>
      <c r="O8" s="266" t="s">
        <v>58</v>
      </c>
      <c r="P8" s="267"/>
      <c r="Q8" s="268">
        <f>SUM(H3:H82)</f>
        <v>8494.2999999999993</v>
      </c>
      <c r="R8" s="268"/>
    </row>
    <row r="9" spans="1:28" ht="16" customHeight="1" thickBot="1">
      <c r="A9" s="41" t="s">
        <v>59</v>
      </c>
      <c r="B9" s="77">
        <v>401138</v>
      </c>
      <c r="C9" s="46" t="s">
        <v>240</v>
      </c>
      <c r="D9" s="96">
        <v>42006</v>
      </c>
      <c r="E9" s="44" t="s">
        <v>4</v>
      </c>
      <c r="F9" s="45">
        <v>173</v>
      </c>
      <c r="G9" s="89">
        <f>IF(OR(E9="",F9=""),"",PID_KVLohnLookup($A$1,E9,F9,LOHNTABELLE!$H$4))</f>
        <v>2123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71"/>
      <c r="N9" s="55"/>
      <c r="O9" s="266" t="s">
        <v>60</v>
      </c>
      <c r="P9" s="267"/>
      <c r="Q9" s="268">
        <f>EINSTELLUNG!L33</f>
        <v>12</v>
      </c>
      <c r="R9" s="268"/>
      <c r="S9" s="19">
        <f>IFERROR(Q9/Q8, 0)</f>
        <v>1.4127120539656006E-3</v>
      </c>
    </row>
    <row r="10" spans="1:28" ht="16" customHeight="1" thickBot="1">
      <c r="A10" s="40" t="s">
        <v>61</v>
      </c>
      <c r="B10" s="77">
        <v>401197</v>
      </c>
      <c r="C10" s="46" t="s">
        <v>241</v>
      </c>
      <c r="D10" s="96">
        <v>42644</v>
      </c>
      <c r="E10" s="44" t="s">
        <v>3</v>
      </c>
      <c r="F10" s="45">
        <v>173</v>
      </c>
      <c r="G10" s="89">
        <f>IF(OR(E10="",F10=""),"",PID_KVLohnLookup($A$1,E10,F10,LOHNTABELLE!$H$4))</f>
        <v>2082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71"/>
      <c r="N10" s="55"/>
      <c r="O10" s="266" t="s">
        <v>62</v>
      </c>
      <c r="P10" s="267"/>
      <c r="Q10" s="268">
        <f>EINSTELLUNG!I33</f>
        <v>400</v>
      </c>
      <c r="R10" s="268"/>
    </row>
    <row r="11" spans="1:28" ht="16" customHeight="1" thickBot="1">
      <c r="A11" s="40" t="s">
        <v>63</v>
      </c>
      <c r="B11" s="77">
        <v>401214</v>
      </c>
      <c r="C11" s="46" t="s">
        <v>267</v>
      </c>
      <c r="D11" s="96">
        <v>45636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66" t="s">
        <v>64</v>
      </c>
      <c r="P11" s="267"/>
      <c r="Q11" s="268">
        <f>P5</f>
        <v>600</v>
      </c>
      <c r="R11" s="268"/>
    </row>
    <row r="12" spans="1:28" ht="16" customHeight="1" thickBot="1">
      <c r="A12" s="40" t="s">
        <v>65</v>
      </c>
      <c r="B12" s="77">
        <v>401276</v>
      </c>
      <c r="C12" s="46" t="s">
        <v>242</v>
      </c>
      <c r="D12" s="96">
        <v>43252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66" t="s">
        <v>66</v>
      </c>
      <c r="P12" s="267"/>
      <c r="Q12" s="272">
        <v>-303</v>
      </c>
      <c r="R12" s="272"/>
    </row>
    <row r="13" spans="1:28" ht="16" customHeight="1" thickBot="1">
      <c r="A13" s="41" t="s">
        <v>67</v>
      </c>
      <c r="B13" s="77">
        <v>401307</v>
      </c>
      <c r="C13" s="46" t="s">
        <v>243</v>
      </c>
      <c r="D13" s="96">
        <v>43571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66" t="s">
        <v>68</v>
      </c>
      <c r="P13" s="267"/>
      <c r="Q13" s="268">
        <f>Q8-Q9-Q10-Q11-Q12</f>
        <v>7785.2999999999993</v>
      </c>
      <c r="R13" s="268"/>
    </row>
    <row r="14" spans="1:28" ht="16" customHeight="1" thickBot="1">
      <c r="A14" s="40" t="s">
        <v>69</v>
      </c>
      <c r="B14" s="77">
        <v>401308</v>
      </c>
      <c r="C14" s="46" t="s">
        <v>244</v>
      </c>
      <c r="D14" s="96">
        <v>43579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66" t="s">
        <v>70</v>
      </c>
      <c r="P14" s="267"/>
      <c r="Q14" s="268">
        <f>EINSTELLUNG!L17</f>
        <v>9300</v>
      </c>
      <c r="R14" s="268"/>
    </row>
    <row r="15" spans="1:28" ht="16" customHeight="1" thickBot="1">
      <c r="A15" s="40" t="s">
        <v>71</v>
      </c>
      <c r="B15" s="77">
        <v>401389</v>
      </c>
      <c r="C15" s="46" t="s">
        <v>246</v>
      </c>
      <c r="D15" s="96">
        <v>44384</v>
      </c>
      <c r="E15" s="44" t="s">
        <v>11</v>
      </c>
      <c r="F15" s="45">
        <v>173</v>
      </c>
      <c r="G15" s="89">
        <f>IF(OR(E15="",F15=""),"",PID_KVLohnLookup($A$1,E15,F15,LOHNTABELLE!$H$4))</f>
        <v>2300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71"/>
      <c r="N15" s="55"/>
      <c r="O15" s="266" t="s">
        <v>72</v>
      </c>
      <c r="P15" s="267"/>
      <c r="Q15" s="268">
        <f>Q13-Q14</f>
        <v>-1514.7000000000007</v>
      </c>
      <c r="R15" s="268"/>
      <c r="S15" s="35"/>
      <c r="T15" s="35"/>
      <c r="U15" s="35"/>
    </row>
    <row r="16" spans="1:28" ht="16" customHeight="1" thickBot="1">
      <c r="A16" s="40" t="s">
        <v>73</v>
      </c>
      <c r="B16" s="77">
        <v>401394</v>
      </c>
      <c r="C16" s="46" t="s">
        <v>245</v>
      </c>
      <c r="D16" s="96">
        <v>44379</v>
      </c>
      <c r="E16" s="44" t="s">
        <v>2</v>
      </c>
      <c r="F16" s="45">
        <v>173</v>
      </c>
      <c r="G16" s="89">
        <f>IF(OR(E16="",F16=""),"",PID_KVLohnLookup($A$1,E16,F16,LOHNTABELLE!$H$4))</f>
        <v>2100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2100</v>
      </c>
      <c r="M16" s="71"/>
      <c r="N16" s="55"/>
      <c r="O16" s="304" t="str">
        <f>IF(Q15&lt;0, "Schlecht! Zu wenig Stunden für Dienstplan.", IF(Q15&gt;0, "Du hast mehr als genug Stunden für Dienstplan.", ""))</f>
        <v>Schlecht! Zu wenig Stunden für Dienstplan.</v>
      </c>
      <c r="P16" s="304"/>
      <c r="Q16" s="304"/>
      <c r="R16" s="304"/>
      <c r="W16" s="12"/>
    </row>
    <row r="17" spans="1:29" ht="16" customHeight="1" thickBot="1">
      <c r="A17" s="41" t="s">
        <v>74</v>
      </c>
      <c r="B17" s="77">
        <v>401432</v>
      </c>
      <c r="C17" s="46" t="s">
        <v>247</v>
      </c>
      <c r="D17" s="96">
        <v>44441</v>
      </c>
      <c r="E17" s="44" t="s">
        <v>2</v>
      </c>
      <c r="F17" s="45">
        <v>173</v>
      </c>
      <c r="G17" s="89">
        <f>IF(OR(E17="",F17=""),"",PID_KVLohnLookup($A$1,E17,F17,LOHNTABELLE!$H$4))</f>
        <v>2100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2100</v>
      </c>
      <c r="M17" s="71"/>
      <c r="N17" s="55"/>
      <c r="O17" s="269" t="s">
        <v>75</v>
      </c>
      <c r="P17" s="270"/>
      <c r="Q17" s="271">
        <f>SUM(L3:L82)</f>
        <v>108526.6</v>
      </c>
      <c r="R17" s="271"/>
      <c r="W17" s="12"/>
    </row>
    <row r="18" spans="1:29" ht="16" customHeight="1" thickBot="1">
      <c r="A18" s="40" t="s">
        <v>76</v>
      </c>
      <c r="B18" s="77">
        <v>401479</v>
      </c>
      <c r="C18" s="46" t="s">
        <v>250</v>
      </c>
      <c r="D18" s="96">
        <v>44511</v>
      </c>
      <c r="E18" s="44" t="s">
        <v>6</v>
      </c>
      <c r="F18" s="45">
        <v>173</v>
      </c>
      <c r="G18" s="89">
        <f>IF(OR(E18="",F18=""),"",PID_KVLohnLookup($A$1,E18,F18,LOHNTABELLE!$H$4))</f>
        <v>2160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71"/>
      <c r="N18" s="55"/>
      <c r="O18" s="260"/>
      <c r="P18" s="261"/>
      <c r="Q18" s="262"/>
      <c r="R18" s="263"/>
    </row>
    <row r="19" spans="1:29" ht="16" customHeight="1" thickBot="1">
      <c r="A19" s="40" t="s">
        <v>77</v>
      </c>
      <c r="B19" s="77">
        <v>401481</v>
      </c>
      <c r="C19" s="46" t="s">
        <v>251</v>
      </c>
      <c r="D19" s="96">
        <v>44531</v>
      </c>
      <c r="E19" s="44" t="s">
        <v>2</v>
      </c>
      <c r="F19" s="45">
        <v>173</v>
      </c>
      <c r="G19" s="89">
        <f>IF(OR(E19="",F19=""),"",PID_KVLohnLookup($A$1,E19,F19,LOHNTABELLE!$H$4))</f>
        <v>2100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2100</v>
      </c>
      <c r="M19" s="71"/>
      <c r="N19" s="55"/>
      <c r="O19" s="260"/>
      <c r="P19" s="261"/>
      <c r="Q19" s="262"/>
      <c r="R19" s="263"/>
    </row>
    <row r="20" spans="1:29" ht="16" customHeight="1" thickBot="1">
      <c r="A20" s="40" t="s">
        <v>78</v>
      </c>
      <c r="B20" s="77">
        <v>401564</v>
      </c>
      <c r="C20" s="48" t="s">
        <v>252</v>
      </c>
      <c r="D20" s="96">
        <v>44824</v>
      </c>
      <c r="E20" s="44" t="s">
        <v>2</v>
      </c>
      <c r="F20" s="45">
        <v>173</v>
      </c>
      <c r="G20" s="89">
        <f>IF(OR(E20="",F20=""),"",PID_KVLohnLookup($A$1,E20,F20,LOHNTABELLE!$H$4))</f>
        <v>2100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2100</v>
      </c>
      <c r="M20" s="71"/>
      <c r="N20" s="55"/>
      <c r="O20" s="260"/>
      <c r="P20" s="261"/>
      <c r="Q20" s="262"/>
      <c r="R20" s="263"/>
    </row>
    <row r="21" spans="1:29" ht="16" customHeight="1" thickBot="1">
      <c r="A21" s="41" t="s">
        <v>80</v>
      </c>
      <c r="B21" s="77">
        <v>401583</v>
      </c>
      <c r="C21" s="46" t="s">
        <v>254</v>
      </c>
      <c r="D21" s="96">
        <v>44900</v>
      </c>
      <c r="E21" s="44" t="s">
        <v>10</v>
      </c>
      <c r="F21" s="45">
        <v>173</v>
      </c>
      <c r="G21" s="89">
        <f>IF(OR(E21="",F21=""),"",PID_KVLohnLookup($A$1,E21,F21,LOHNTABELLE!$H$4))</f>
        <v>2300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2300</v>
      </c>
      <c r="M21" s="71"/>
      <c r="N21" s="55"/>
      <c r="O21" s="260" t="s">
        <v>320</v>
      </c>
      <c r="P21" s="261"/>
      <c r="Q21" s="262">
        <v>5000</v>
      </c>
      <c r="R21" s="263"/>
    </row>
    <row r="22" spans="1:29" ht="16" customHeight="1" thickBot="1">
      <c r="A22" s="40" t="s">
        <v>81</v>
      </c>
      <c r="B22" s="77">
        <v>401589</v>
      </c>
      <c r="C22" s="46" t="s">
        <v>255</v>
      </c>
      <c r="D22" s="96">
        <v>44926</v>
      </c>
      <c r="E22" s="44" t="s">
        <v>10</v>
      </c>
      <c r="F22" s="45">
        <v>173</v>
      </c>
      <c r="G22" s="89">
        <f>IF(OR(E22="",F22=""),"",PID_KVLohnLookup($A$1,E22,F22,LOHNTABELLE!$H$4))</f>
        <v>2300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71"/>
      <c r="N22" s="55"/>
      <c r="O22" s="260"/>
      <c r="P22" s="261"/>
      <c r="Q22" s="262"/>
      <c r="R22" s="263"/>
    </row>
    <row r="23" spans="1:29" ht="16" customHeight="1" thickBot="1">
      <c r="A23" s="40" t="s">
        <v>82</v>
      </c>
      <c r="B23" s="77">
        <v>401602</v>
      </c>
      <c r="C23" s="46" t="s">
        <v>256</v>
      </c>
      <c r="D23" s="96">
        <v>45975</v>
      </c>
      <c r="E23" s="44" t="s">
        <v>2</v>
      </c>
      <c r="F23" s="45">
        <v>173</v>
      </c>
      <c r="G23" s="89">
        <f>IF(OR(E23="",F23=""),"",PID_KVLohnLookup($A$1,E23,F23,LOHNTABELLE!$H$4))</f>
        <v>2100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2100</v>
      </c>
      <c r="M23" s="71"/>
      <c r="N23" s="55"/>
      <c r="O23" s="260"/>
      <c r="P23" s="261"/>
      <c r="Q23" s="262"/>
      <c r="R23" s="263"/>
      <c r="W23" s="12"/>
    </row>
    <row r="24" spans="1:29" ht="16" customHeight="1" thickBot="1">
      <c r="A24" s="40" t="s">
        <v>83</v>
      </c>
      <c r="B24" s="77">
        <v>401605</v>
      </c>
      <c r="C24" s="46" t="s">
        <v>257</v>
      </c>
      <c r="D24" s="96">
        <v>44986</v>
      </c>
      <c r="E24" s="44" t="s">
        <v>2</v>
      </c>
      <c r="F24" s="45">
        <v>173</v>
      </c>
      <c r="G24" s="89">
        <f>IF(OR(E24="",F24=""),"",PID_KVLohnLookup($A$1,E24,F24,LOHNTABELLE!$H$4))</f>
        <v>2100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2100</v>
      </c>
      <c r="M24" s="71"/>
      <c r="N24" s="55"/>
      <c r="O24" s="260"/>
      <c r="P24" s="261"/>
      <c r="Q24" s="262"/>
      <c r="R24" s="263"/>
      <c r="W24" s="12"/>
    </row>
    <row r="25" spans="1:29" ht="16" customHeight="1" thickBot="1">
      <c r="A25" s="41" t="s">
        <v>84</v>
      </c>
      <c r="B25" s="77">
        <v>401626</v>
      </c>
      <c r="C25" s="46" t="s">
        <v>258</v>
      </c>
      <c r="D25" s="96">
        <v>45063</v>
      </c>
      <c r="E25" s="44" t="s">
        <v>2</v>
      </c>
      <c r="F25" s="45">
        <v>173</v>
      </c>
      <c r="G25" s="89">
        <f>IF(OR(E25="",F25=""),"",PID_KVLohnLookup($A$1,E25,F25,LOHNTABELLE!$H$4))</f>
        <v>2100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2100</v>
      </c>
      <c r="M25" s="71"/>
      <c r="N25" s="55"/>
      <c r="O25" s="277"/>
      <c r="P25" s="278"/>
      <c r="Q25" s="279"/>
      <c r="R25" s="280"/>
    </row>
    <row r="26" spans="1:29" ht="16" customHeight="1" thickBot="1">
      <c r="A26" s="40" t="s">
        <v>85</v>
      </c>
      <c r="B26" s="77">
        <v>401633</v>
      </c>
      <c r="C26" s="46" t="s">
        <v>259</v>
      </c>
      <c r="D26" s="96">
        <v>45089</v>
      </c>
      <c r="E26" s="44" t="s">
        <v>10</v>
      </c>
      <c r="F26" s="45">
        <v>173</v>
      </c>
      <c r="G26" s="89">
        <f>IF(OR(E26="",F26=""),"",PID_KVLohnLookup($A$1,E26,F26,LOHNTABELLE!$H$4))</f>
        <v>2300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2300</v>
      </c>
      <c r="M26" s="71"/>
      <c r="N26" s="55"/>
      <c r="O26" s="282"/>
      <c r="P26" s="350"/>
      <c r="Q26" s="283"/>
      <c r="R26" s="284"/>
    </row>
    <row r="27" spans="1:29" ht="16" customHeight="1" thickBot="1">
      <c r="A27" s="40" t="s">
        <v>86</v>
      </c>
      <c r="B27" s="77">
        <v>401647</v>
      </c>
      <c r="C27" s="46" t="s">
        <v>260</v>
      </c>
      <c r="D27" s="96">
        <v>45182</v>
      </c>
      <c r="E27" s="44" t="s">
        <v>2</v>
      </c>
      <c r="F27" s="45">
        <v>173</v>
      </c>
      <c r="G27" s="89">
        <f>IF(OR(E27="",F27=""),"",PID_KVLohnLookup($A$1,E27,F27,LOHNTABELLE!$H$4))</f>
        <v>2100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2100</v>
      </c>
      <c r="M27" s="71"/>
      <c r="N27" s="55"/>
      <c r="O27" s="240"/>
      <c r="P27" s="241"/>
      <c r="Q27" s="263"/>
      <c r="R27" s="285"/>
    </row>
    <row r="28" spans="1:29" ht="16" customHeight="1" thickBot="1">
      <c r="A28" s="40" t="s">
        <v>88</v>
      </c>
      <c r="B28" s="77">
        <v>401661</v>
      </c>
      <c r="C28" s="46" t="s">
        <v>261</v>
      </c>
      <c r="D28" s="96">
        <v>45261</v>
      </c>
      <c r="E28" s="44" t="s">
        <v>2</v>
      </c>
      <c r="F28" s="45">
        <v>173</v>
      </c>
      <c r="G28" s="89">
        <f>IF(OR(E28="",F28=""),"",PID_KVLohnLookup($A$1,E28,F28,LOHNTABELLE!$H$4))</f>
        <v>2100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2100</v>
      </c>
      <c r="M28" s="71"/>
      <c r="N28" s="55"/>
      <c r="O28" s="240"/>
      <c r="P28" s="241"/>
      <c r="Q28" s="263"/>
      <c r="R28" s="285"/>
    </row>
    <row r="29" spans="1:29" ht="16" customHeight="1" thickBot="1">
      <c r="A29" s="41" t="s">
        <v>89</v>
      </c>
      <c r="B29" s="77">
        <v>401670</v>
      </c>
      <c r="C29" s="46" t="s">
        <v>262</v>
      </c>
      <c r="D29" s="96">
        <v>45358</v>
      </c>
      <c r="E29" s="44" t="s">
        <v>2</v>
      </c>
      <c r="F29" s="45">
        <v>173</v>
      </c>
      <c r="G29" s="89">
        <f>IF(OR(E29="",F29=""),"",PID_KVLohnLookup($A$1,E29,F29,LOHNTABELLE!$H$4))</f>
        <v>2100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2100</v>
      </c>
      <c r="M29" s="71"/>
      <c r="N29" s="55"/>
      <c r="O29" s="391" t="s">
        <v>90</v>
      </c>
      <c r="P29" s="392"/>
      <c r="Q29" s="393">
        <f>EINSTELLUNG!O17</f>
        <v>1250</v>
      </c>
      <c r="R29" s="394"/>
    </row>
    <row r="30" spans="1:29" ht="16" customHeight="1" thickBot="1">
      <c r="A30" s="40" t="s">
        <v>91</v>
      </c>
      <c r="B30" s="77">
        <v>401678</v>
      </c>
      <c r="C30" s="46" t="s">
        <v>263</v>
      </c>
      <c r="D30" s="96">
        <v>45414</v>
      </c>
      <c r="E30" s="44" t="s">
        <v>2</v>
      </c>
      <c r="F30" s="45">
        <v>173</v>
      </c>
      <c r="G30" s="89">
        <f>IF(OR(E30="",F30=""),"",PID_KVLohnLookup($A$1,E30,F30,LOHNTABELLE!$H$4))</f>
        <v>2100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2100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401690</v>
      </c>
      <c r="C31" s="48" t="s">
        <v>265</v>
      </c>
      <c r="D31" s="96">
        <v>45536</v>
      </c>
      <c r="E31" s="44" t="s">
        <v>2</v>
      </c>
      <c r="F31" s="45">
        <v>173</v>
      </c>
      <c r="G31" s="89">
        <f>IF(OR(E31="",F31=""),"",PID_KVLohnLookup($A$1,E31,F31,LOHNTABELLE!$H$4))</f>
        <v>2100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2100</v>
      </c>
      <c r="M31" s="71"/>
      <c r="N31" s="55"/>
      <c r="O31" s="252">
        <v>0</v>
      </c>
      <c r="P31" s="253"/>
      <c r="Q31" s="254">
        <v>0</v>
      </c>
      <c r="R31" s="255"/>
    </row>
    <row r="32" spans="1:29" ht="16" customHeight="1" thickBot="1">
      <c r="A32" s="40" t="s">
        <v>94</v>
      </c>
      <c r="B32" s="77">
        <v>401703</v>
      </c>
      <c r="C32" s="46" t="s">
        <v>266</v>
      </c>
      <c r="D32" s="96">
        <v>45616</v>
      </c>
      <c r="E32" s="44" t="s">
        <v>2</v>
      </c>
      <c r="F32" s="45">
        <v>173</v>
      </c>
      <c r="G32" s="89">
        <f>IF(OR(E32="",F32=""),"",PID_KVLohnLookup($A$1,E32,F32,LOHNTABELLE!$H$4))</f>
        <v>2100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2100</v>
      </c>
      <c r="M32" s="71"/>
      <c r="N32" s="55"/>
    </row>
    <row r="33" spans="1:24" ht="16" customHeight="1" thickBot="1">
      <c r="A33" s="41" t="s">
        <v>95</v>
      </c>
      <c r="B33" s="77">
        <v>401715</v>
      </c>
      <c r="C33" s="46" t="s">
        <v>268</v>
      </c>
      <c r="D33" s="96">
        <v>45755</v>
      </c>
      <c r="E33" s="44" t="s">
        <v>2</v>
      </c>
      <c r="F33" s="45">
        <v>173</v>
      </c>
      <c r="G33" s="89">
        <f>IF(OR(E33="",F33=""),"",PID_KVLohnLookup($A$1,E33,F33,LOHNTABELLE!$H$4))</f>
        <v>2100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2100</v>
      </c>
      <c r="M33" s="71"/>
      <c r="N33" s="55"/>
      <c r="O33" s="256"/>
      <c r="P33" s="257"/>
      <c r="Q33" s="258" t="str">
        <f>EINSTELLUNG!B3</f>
        <v>Budget Zahlen</v>
      </c>
      <c r="R33" s="258"/>
      <c r="S33" s="259" t="str">
        <f>EINSTELLUNG!B19</f>
        <v>Projection/Aktuell Zahlen</v>
      </c>
      <c r="T33" s="259"/>
      <c r="U33" s="259" t="s">
        <v>98</v>
      </c>
      <c r="V33" s="259"/>
    </row>
    <row r="34" spans="1:24" ht="16" customHeight="1" thickBot="1">
      <c r="A34" s="40" t="s">
        <v>99</v>
      </c>
      <c r="B34" s="77">
        <v>401716</v>
      </c>
      <c r="C34" s="46" t="s">
        <v>269</v>
      </c>
      <c r="D34" s="96">
        <v>45800</v>
      </c>
      <c r="E34" s="44" t="s">
        <v>2</v>
      </c>
      <c r="F34" s="45">
        <v>173</v>
      </c>
      <c r="G34" s="89">
        <f>IF(OR(E34="",F34=""),"",PID_KVLohnLookup($A$1,E34,F34,LOHNTABELLE!$H$4))</f>
        <v>2100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2100</v>
      </c>
      <c r="M34" s="71"/>
      <c r="N34" s="55"/>
      <c r="O34" s="256"/>
      <c r="P34" s="257"/>
      <c r="Q34" s="258"/>
      <c r="R34" s="258"/>
      <c r="S34" s="259"/>
      <c r="T34" s="259"/>
      <c r="U34" s="259"/>
      <c r="V34" s="259"/>
    </row>
    <row r="35" spans="1:24" ht="16" customHeight="1" thickBot="1">
      <c r="A35" s="40" t="s">
        <v>100</v>
      </c>
      <c r="B35" s="77">
        <v>401717</v>
      </c>
      <c r="C35" s="46" t="s">
        <v>270</v>
      </c>
      <c r="D35" s="96">
        <v>45814</v>
      </c>
      <c r="E35" s="44" t="s">
        <v>2</v>
      </c>
      <c r="F35" s="45">
        <v>173</v>
      </c>
      <c r="G35" s="89">
        <f>IF(OR(E35="",F35=""),"",PID_KVLohnLookup($A$1,E35,F35,LOHNTABELLE!$H$4))</f>
        <v>2100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2100</v>
      </c>
      <c r="M35" s="71"/>
      <c r="N35" s="55"/>
      <c r="O35" s="264" t="s">
        <v>101</v>
      </c>
      <c r="P35" s="265"/>
      <c r="Q35" s="238">
        <f>EINSTELLUNG!C17</f>
        <v>400000</v>
      </c>
      <c r="R35" s="238"/>
      <c r="S35" s="238">
        <f>EINSTELLUNG!C33</f>
        <v>390000</v>
      </c>
      <c r="T35" s="238"/>
      <c r="U35" s="242">
        <f>S35-Q35</f>
        <v>-10000</v>
      </c>
      <c r="V35" s="242"/>
    </row>
    <row r="36" spans="1:24" ht="16" customHeight="1" thickBot="1">
      <c r="A36" s="40" t="s">
        <v>102</v>
      </c>
      <c r="B36" s="77">
        <v>401722</v>
      </c>
      <c r="C36" s="46" t="s">
        <v>271</v>
      </c>
      <c r="D36" s="96">
        <v>45848</v>
      </c>
      <c r="E36" s="44" t="s">
        <v>2</v>
      </c>
      <c r="F36" s="45">
        <v>86.5</v>
      </c>
      <c r="G36" s="89">
        <f>IF(OR(E36="",F36=""),"",PID_KVLohnLookup($A$1,E36,F36,LOHNTABELLE!$H$4))</f>
        <v>1333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71"/>
      <c r="N36" s="55"/>
      <c r="O36" s="264" t="s">
        <v>103</v>
      </c>
      <c r="P36" s="265"/>
      <c r="Q36" s="238">
        <f>EINSTELLUNG!D17</f>
        <v>100000</v>
      </c>
      <c r="R36" s="238"/>
      <c r="S36" s="235">
        <f>SumMergedCells(Q17:R29)</f>
        <v>114776.6</v>
      </c>
      <c r="T36" s="237"/>
      <c r="U36" s="242">
        <f t="shared" ref="U36:U41" si="2">S36-Q36</f>
        <v>14776.600000000006</v>
      </c>
      <c r="V36" s="242"/>
    </row>
    <row r="37" spans="1:24" ht="16" customHeight="1" thickBot="1">
      <c r="A37" s="41" t="s">
        <v>104</v>
      </c>
      <c r="B37" s="77">
        <v>401723</v>
      </c>
      <c r="C37" s="46" t="s">
        <v>272</v>
      </c>
      <c r="D37" s="96">
        <v>45852</v>
      </c>
      <c r="E37" s="44" t="s">
        <v>2</v>
      </c>
      <c r="F37" s="45">
        <v>86.5</v>
      </c>
      <c r="G37" s="89">
        <f>IF(OR(E37="",F37=""),"",PID_KVLohnLookup($A$1,E37,F37,LOHNTABELLE!$H$4))</f>
        <v>1333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71"/>
      <c r="N37" s="55"/>
      <c r="O37" s="264" t="s">
        <v>105</v>
      </c>
      <c r="P37" s="265"/>
      <c r="Q37" s="246">
        <f>IF(ISERROR(Q36/Q35), 0, Q36/Q35)</f>
        <v>0.25</v>
      </c>
      <c r="R37" s="246"/>
      <c r="S37" s="246">
        <f>IF(ISERROR(S36/S35), 0, S36/S35)</f>
        <v>0.2942989743589744</v>
      </c>
      <c r="T37" s="246"/>
      <c r="U37" s="247">
        <f t="shared" si="2"/>
        <v>4.4298974358974397E-2</v>
      </c>
      <c r="V37" s="247"/>
    </row>
    <row r="38" spans="1:24" ht="16" customHeight="1" thickBot="1">
      <c r="A38" s="40" t="s">
        <v>106</v>
      </c>
      <c r="B38" s="77">
        <v>401726</v>
      </c>
      <c r="C38" s="46" t="s">
        <v>273</v>
      </c>
      <c r="D38" s="96">
        <v>45870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64" t="s">
        <v>107</v>
      </c>
      <c r="P38" s="265"/>
      <c r="Q38" s="239">
        <f>EINSTELLUNG!F17</f>
        <v>30000</v>
      </c>
      <c r="R38" s="239"/>
      <c r="S38" s="239">
        <f>EINSTELLUNG!F33</f>
        <v>31000</v>
      </c>
      <c r="T38" s="239"/>
      <c r="U38" s="243">
        <f t="shared" si="2"/>
        <v>1000</v>
      </c>
      <c r="V38" s="243"/>
    </row>
    <row r="39" spans="1:24" ht="16" customHeight="1" thickBot="1">
      <c r="A39" s="40" t="s">
        <v>108</v>
      </c>
      <c r="B39" s="77">
        <v>401730</v>
      </c>
      <c r="C39" s="46" t="s">
        <v>275</v>
      </c>
      <c r="D39" s="96">
        <v>45895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64" t="s">
        <v>109</v>
      </c>
      <c r="P39" s="265"/>
      <c r="Q39" s="238">
        <f>IF(Q38=0, 0, Q35/Q38)</f>
        <v>13.333333333333334</v>
      </c>
      <c r="R39" s="238"/>
      <c r="S39" s="238">
        <f>IF(S38=0, 0, S35/S38)</f>
        <v>12.580645161290322</v>
      </c>
      <c r="T39" s="238"/>
      <c r="U39" s="242">
        <f t="shared" si="2"/>
        <v>-0.75268817204301186</v>
      </c>
      <c r="V39" s="242"/>
    </row>
    <row r="40" spans="1:24" ht="16" customHeight="1" thickBot="1">
      <c r="A40" s="40" t="s">
        <v>110</v>
      </c>
      <c r="B40" s="77">
        <v>401731</v>
      </c>
      <c r="C40" s="46" t="s">
        <v>274</v>
      </c>
      <c r="D40" s="96">
        <v>45899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64" t="s">
        <v>111</v>
      </c>
      <c r="P40" s="265"/>
      <c r="Q40" s="238">
        <f>IF(Q13=0, 0, Q35/Q13)</f>
        <v>51.378880711083717</v>
      </c>
      <c r="R40" s="238"/>
      <c r="S40" s="238">
        <f>IF(Q13=0, 0, S35/Q13)</f>
        <v>50.094408693306619</v>
      </c>
      <c r="T40" s="238"/>
      <c r="U40" s="242">
        <f t="shared" si="2"/>
        <v>-1.2844720177770981</v>
      </c>
      <c r="V40" s="242"/>
    </row>
    <row r="41" spans="1:24" ht="16" customHeight="1" thickBot="1">
      <c r="A41" s="41" t="s">
        <v>112</v>
      </c>
      <c r="B41" s="77">
        <v>401734</v>
      </c>
      <c r="C41" s="46" t="s">
        <v>276</v>
      </c>
      <c r="D41" s="96">
        <v>45904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64" t="s">
        <v>113</v>
      </c>
      <c r="P41" s="265"/>
      <c r="Q41" s="239">
        <f>IF(Q13=0, 0, Q38/Q13)</f>
        <v>3.8534160533312787</v>
      </c>
      <c r="R41" s="239"/>
      <c r="S41" s="239">
        <f>IF(Q13=0, 0, S38/Q13)</f>
        <v>3.9818632551089879</v>
      </c>
      <c r="T41" s="239"/>
      <c r="U41" s="243">
        <f t="shared" si="2"/>
        <v>0.12844720177770919</v>
      </c>
      <c r="V41" s="243"/>
    </row>
    <row r="42" spans="1:24" ht="16" customHeight="1" thickBot="1">
      <c r="A42" s="40" t="s">
        <v>114</v>
      </c>
      <c r="B42" s="77">
        <v>401736</v>
      </c>
      <c r="C42" s="46" t="s">
        <v>277</v>
      </c>
      <c r="D42" s="96">
        <v>45906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64" t="s">
        <v>115</v>
      </c>
      <c r="P42" s="265"/>
      <c r="Q42" s="235">
        <f>IFERROR(Q17/Q8, 0)</f>
        <v>12.776402999658597</v>
      </c>
      <c r="R42" s="236"/>
      <c r="S42" s="236"/>
      <c r="T42" s="236"/>
      <c r="U42" s="236"/>
      <c r="V42" s="237"/>
    </row>
    <row r="43" spans="1:24" ht="16" customHeight="1" thickBot="1">
      <c r="A43" s="40" t="s">
        <v>116</v>
      </c>
      <c r="B43" s="77">
        <v>401737</v>
      </c>
      <c r="C43" s="46" t="s">
        <v>278</v>
      </c>
      <c r="D43" s="96">
        <v>45906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401738</v>
      </c>
      <c r="C44" s="46" t="s">
        <v>279</v>
      </c>
      <c r="D44" s="96">
        <v>45909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401745</v>
      </c>
      <c r="C45" s="46" t="s">
        <v>283</v>
      </c>
      <c r="D45" s="96">
        <v>45934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401748</v>
      </c>
      <c r="C46" s="46" t="s">
        <v>281</v>
      </c>
      <c r="D46" s="96">
        <v>45941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401751</v>
      </c>
      <c r="C47" s="46" t="s">
        <v>284</v>
      </c>
      <c r="D47" s="96">
        <v>45961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401752</v>
      </c>
      <c r="C48" s="46" t="s">
        <v>285</v>
      </c>
      <c r="D48" s="96">
        <v>45986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401999</v>
      </c>
      <c r="C49" s="46" t="s">
        <v>319</v>
      </c>
      <c r="D49" s="96">
        <v>46082</v>
      </c>
      <c r="E49" s="44" t="s">
        <v>2</v>
      </c>
      <c r="F49" s="45">
        <v>173</v>
      </c>
      <c r="G49" s="89">
        <f>IF(OR(E49="",F49=""),"",PID_KVLohnLookup($A$1,E49,F49,LOHNTABELLE!$H$4))</f>
        <v>2100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2100</v>
      </c>
      <c r="M49" s="71"/>
      <c r="N49" s="55"/>
    </row>
    <row r="50" spans="1:14" ht="16" customHeight="1" thickBot="1">
      <c r="A50" s="40" t="s">
        <v>124</v>
      </c>
      <c r="B50" s="77">
        <v>402000</v>
      </c>
      <c r="C50" s="46" t="s">
        <v>326</v>
      </c>
      <c r="D50" s="96">
        <v>46143</v>
      </c>
      <c r="E50" s="44" t="s">
        <v>2</v>
      </c>
      <c r="F50" s="45">
        <v>173</v>
      </c>
      <c r="G50" s="89">
        <f>IF(OR(E50="",F50=""),"",PID_KVLohnLookup($A$1,E50,F50,LOHNTABELLE!$H$4))</f>
        <v>2100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2100</v>
      </c>
      <c r="M50" s="71"/>
      <c r="N50" s="55"/>
    </row>
    <row r="51" spans="1:14" ht="16" customHeight="1" thickBot="1">
      <c r="A51" s="40" t="s">
        <v>125</v>
      </c>
      <c r="B51" s="77">
        <v>402004</v>
      </c>
      <c r="C51" s="46" t="s">
        <v>328</v>
      </c>
      <c r="D51" s="96">
        <v>46122</v>
      </c>
      <c r="E51" s="44" t="s">
        <v>2</v>
      </c>
      <c r="F51" s="45">
        <v>173</v>
      </c>
      <c r="G51" s="89">
        <f>IF(OR(E51="",F51=""),"",PID_KVLohnLookup($A$1,E51,F51,LOHNTABELLE!$H$4))</f>
        <v>2100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2100</v>
      </c>
      <c r="M51" s="71"/>
      <c r="N51" s="55"/>
    </row>
    <row r="52" spans="1:14" ht="16" customHeight="1" thickBot="1">
      <c r="A52" s="40" t="s">
        <v>126</v>
      </c>
      <c r="B52" s="77">
        <v>402405</v>
      </c>
      <c r="C52" s="46" t="s">
        <v>330</v>
      </c>
      <c r="D52" s="96">
        <v>46054</v>
      </c>
      <c r="E52" s="44" t="s">
        <v>2</v>
      </c>
      <c r="F52" s="45">
        <v>173</v>
      </c>
      <c r="G52" s="89">
        <f>IF(OR(E52="",F52=""),"",PID_KVLohnLookup($A$1,E52,F52,LOHNTABELLE!$H$4))</f>
        <v>2100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2100</v>
      </c>
      <c r="M52" s="71"/>
      <c r="N52" s="55"/>
    </row>
    <row r="53" spans="1:14" ht="16" customHeight="1" thickBot="1">
      <c r="A53" s="41" t="s">
        <v>127</v>
      </c>
      <c r="B53" s="77">
        <v>500600</v>
      </c>
      <c r="C53" s="46" t="s">
        <v>335</v>
      </c>
      <c r="D53" s="96">
        <v>46054</v>
      </c>
      <c r="E53" s="44" t="s">
        <v>2</v>
      </c>
      <c r="F53" s="45">
        <v>173</v>
      </c>
      <c r="G53" s="89">
        <f>IF(OR(E53="",F53=""),"",PID_KVLohnLookup($A$1,E53,F53,LOHNTABELLE!$H$4))</f>
        <v>2100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2100</v>
      </c>
      <c r="M53" s="71"/>
      <c r="N53" s="55"/>
    </row>
    <row r="54" spans="1:14" ht="16" customHeight="1" thickBot="1">
      <c r="A54" s="40" t="s">
        <v>128</v>
      </c>
      <c r="B54" s="77">
        <v>502000</v>
      </c>
      <c r="C54" s="46" t="s">
        <v>329</v>
      </c>
      <c r="D54" s="96">
        <v>46147</v>
      </c>
      <c r="E54" s="44" t="s">
        <v>2</v>
      </c>
      <c r="F54" s="45">
        <v>173</v>
      </c>
      <c r="G54" s="89">
        <f>IF(OR(E54="",F54=""),"",PID_KVLohnLookup($A$1,E54,F54,LOHNTABELLE!$H$4))</f>
        <v>2100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2100</v>
      </c>
      <c r="M54" s="71"/>
      <c r="N54" s="55"/>
    </row>
    <row r="55" spans="1:14" ht="16" customHeight="1" thickBot="1">
      <c r="A55" s="40" t="s">
        <v>129</v>
      </c>
      <c r="B55" s="77">
        <v>503000</v>
      </c>
      <c r="C55" s="46" t="s">
        <v>332</v>
      </c>
      <c r="D55" s="96">
        <v>42401</v>
      </c>
      <c r="E55" s="44" t="s">
        <v>2</v>
      </c>
      <c r="F55" s="45">
        <v>173</v>
      </c>
      <c r="G55" s="89">
        <f>IF(OR(E55="",F55=""),"",PID_KVLohnLookup($A$1,E55,F55,LOHNTABELLE!$H$4))</f>
        <v>2100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2100</v>
      </c>
      <c r="M55" s="71"/>
      <c r="N55" s="55"/>
    </row>
    <row r="56" spans="1:14" ht="16" customHeight="1" thickBot="1">
      <c r="A56" s="40" t="s">
        <v>130</v>
      </c>
      <c r="B56" s="77">
        <v>504000</v>
      </c>
      <c r="C56" s="46" t="s">
        <v>333</v>
      </c>
      <c r="D56" s="96">
        <v>46054</v>
      </c>
      <c r="E56" s="44" t="s">
        <v>3</v>
      </c>
      <c r="F56" s="45">
        <v>138.4</v>
      </c>
      <c r="G56" s="89">
        <f>IF(OR(E56="",F56=""),"",PID_KVLohnLookup($A$1,E56,F56,LOHNTABELLE!$H$4))</f>
        <v>1665.6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1665.6</v>
      </c>
      <c r="M56" s="71"/>
      <c r="N56" s="55"/>
    </row>
    <row r="57" spans="1:14" ht="16" customHeight="1" thickBot="1">
      <c r="A57" s="41" t="s">
        <v>131</v>
      </c>
      <c r="B57" s="77">
        <v>505000</v>
      </c>
      <c r="C57" s="46" t="s">
        <v>334</v>
      </c>
      <c r="D57" s="96">
        <v>46054</v>
      </c>
      <c r="E57" s="44" t="s">
        <v>2</v>
      </c>
      <c r="F57" s="45">
        <v>138.4</v>
      </c>
      <c r="G57" s="89">
        <f>IF(OR(E57="",F57=""),"",PID_KVLohnLookup($A$1,E57,F57,LOHNTABELLE!$H$4))</f>
        <v>2300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2300</v>
      </c>
      <c r="M57" s="71"/>
      <c r="N57" s="55"/>
    </row>
    <row r="58" spans="1:14" ht="16" customHeight="1" thickBot="1">
      <c r="A58" s="40" t="s">
        <v>132</v>
      </c>
      <c r="B58" s="77">
        <v>800000</v>
      </c>
      <c r="C58" s="46" t="s">
        <v>348</v>
      </c>
      <c r="D58" s="96">
        <v>46082</v>
      </c>
      <c r="E58" s="44" t="s">
        <v>2</v>
      </c>
      <c r="F58" s="45">
        <v>173</v>
      </c>
      <c r="G58" s="89">
        <f>IF(OR(E58="",F58=""),"",PID_KVLohnLookup($A$1,E58,F58,LOHNTABELLE!$H$4))</f>
        <v>2100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2100</v>
      </c>
      <c r="M58" s="71"/>
      <c r="N58" s="55"/>
    </row>
    <row r="59" spans="1:14" ht="16" customHeight="1" thickBot="1">
      <c r="A59" s="40" t="s">
        <v>133</v>
      </c>
      <c r="B59" s="77"/>
      <c r="C59" s="46"/>
      <c r="D59" s="96"/>
      <c r="E59" s="44"/>
      <c r="F59" s="45"/>
      <c r="G59" s="89" t="str">
        <f>IF(OR(E59="",F59=""),"",PID_KVLohnLookup($A$1,E59,F59,LOHNTABELLE!$H$4))</f>
        <v/>
      </c>
      <c r="H59" s="65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0</v>
      </c>
      <c r="M59" s="71"/>
      <c r="N59" s="55"/>
    </row>
    <row r="60" spans="1:14" ht="16" customHeight="1" thickBot="1">
      <c r="A60" s="40" t="s">
        <v>134</v>
      </c>
      <c r="B60" s="77"/>
      <c r="C60" s="46"/>
      <c r="D60" s="96"/>
      <c r="E60" s="44"/>
      <c r="F60" s="45"/>
      <c r="G60" s="89" t="str">
        <f>IF(OR(E60="",F60=""),"",PID_KVLohnLookup($A$1,E60,F60,LOHNTABELLE!$H$4))</f>
        <v/>
      </c>
      <c r="H60" s="65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71"/>
      <c r="N60" s="55"/>
    </row>
    <row r="61" spans="1:14" ht="16" customHeight="1" thickBot="1">
      <c r="A61" s="41" t="s">
        <v>135</v>
      </c>
      <c r="B61" s="77"/>
      <c r="C61" s="46"/>
      <c r="D61" s="96"/>
      <c r="E61" s="44"/>
      <c r="F61" s="45"/>
      <c r="G61" s="89" t="str">
        <f>IF(OR(E61="",F61=""),"",PID_KVLohnLookup($A$1,E61,F61,LOHNTABELLE!$H$4))</f>
        <v/>
      </c>
      <c r="H61" s="65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71"/>
      <c r="N61" s="55"/>
    </row>
    <row r="62" spans="1:14" ht="16" customHeight="1" thickBot="1">
      <c r="A62" s="40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bis+UnkTGi0DDPAa3f45PxrDi/DU30vHd7u8NCTUKqQB+Hj30GJEVWZD/lUmNzcLlXC9S3MCBElyassTWmypzQ==" saltValue="1+RMgy+t+K3dIGL4hQiZn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7">
    <mergeCell ref="B1:B2"/>
    <mergeCell ref="N1:N2"/>
    <mergeCell ref="Q15:R15"/>
    <mergeCell ref="O16:R16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31:P31"/>
    <mergeCell ref="Q20:R20"/>
    <mergeCell ref="O21:P21"/>
    <mergeCell ref="Q21:R21"/>
    <mergeCell ref="Q19:R19"/>
    <mergeCell ref="Q31:R31"/>
    <mergeCell ref="O29:P29"/>
    <mergeCell ref="Q29:R29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15:P15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O27:P27"/>
    <mergeCell ref="Q27:R27"/>
    <mergeCell ref="O28:P28"/>
    <mergeCell ref="Q28:R28"/>
    <mergeCell ref="S39:T39"/>
    <mergeCell ref="U39:V39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Q39:R39"/>
    <mergeCell ref="O37:P37"/>
    <mergeCell ref="Q37:R37"/>
    <mergeCell ref="S37:T37"/>
    <mergeCell ref="U37:V37"/>
    <mergeCell ref="O38:P38"/>
    <mergeCell ref="Q38:R38"/>
    <mergeCell ref="S38:T38"/>
    <mergeCell ref="U38:V38"/>
    <mergeCell ref="S40:T40"/>
    <mergeCell ref="U40:V40"/>
    <mergeCell ref="S41:T41"/>
    <mergeCell ref="U41:V41"/>
    <mergeCell ref="Q42:V42"/>
    <mergeCell ref="Q40:R40"/>
    <mergeCell ref="Q41:R41"/>
  </mergeCells>
  <phoneticPr fontId="13" type="noConversion"/>
  <dataValidations count="58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CA749D9-9402-8F4B-AF74-8C77A277245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FAF38C14-C38A-7B4F-AAFB-34E21B9A0F6A}">
      <formula1>KV_DD_DEZEMBER_3</formula1>
    </dataValidation>
    <dataValidation type="list" allowBlank="1" showInputMessage="1" showErrorMessage="1" sqref="F4" xr:uid="{09BF868D-1063-C743-920F-0008F680CA22}">
      <formula1>KV_DD_DEZEMBER_4</formula1>
    </dataValidation>
    <dataValidation type="list" allowBlank="1" showInputMessage="1" showErrorMessage="1" sqref="F5" xr:uid="{B1757DC0-68BE-864F-925F-24A2B775D00D}">
      <formula1>KV_DD_DEZEMBER_5</formula1>
    </dataValidation>
    <dataValidation type="list" allowBlank="1" showInputMessage="1" showErrorMessage="1" sqref="F6" xr:uid="{5EAB226F-B404-A645-8C83-77446A606ED4}">
      <formula1>KV_DD_DEZEMBER_6</formula1>
    </dataValidation>
    <dataValidation type="list" allowBlank="1" showInputMessage="1" showErrorMessage="1" sqref="F7" xr:uid="{B6A30681-E83D-B142-B1F5-5FB2E45A222B}">
      <formula1>KV_DD_DEZEMBER_7</formula1>
    </dataValidation>
    <dataValidation type="list" allowBlank="1" showInputMessage="1" showErrorMessage="1" sqref="F8" xr:uid="{C4978E09-5800-F144-B238-9F2066FC7873}">
      <formula1>KV_DD_DEZEMBER_8</formula1>
    </dataValidation>
    <dataValidation type="list" allowBlank="1" showInputMessage="1" showErrorMessage="1" sqref="F9" xr:uid="{80A8404C-E631-C740-95B1-ABB7BEA7E017}">
      <formula1>KV_DD_DEZEMBER_9</formula1>
    </dataValidation>
    <dataValidation type="list" allowBlank="1" showInputMessage="1" showErrorMessage="1" sqref="F10" xr:uid="{B5C7A2F9-9AC4-5D44-8BBC-44DC48019A81}">
      <formula1>KV_DD_DEZEMBER_10</formula1>
    </dataValidation>
    <dataValidation type="list" allowBlank="1" showInputMessage="1" showErrorMessage="1" sqref="F11" xr:uid="{9676E55B-F27C-D94E-9648-58E6AD8C0879}">
      <formula1>KV_DD_DEZEMBER_11</formula1>
    </dataValidation>
    <dataValidation type="list" allowBlank="1" showInputMessage="1" showErrorMessage="1" sqref="F12" xr:uid="{238DB0DE-507A-904C-9D37-67D319F21F09}">
      <formula1>KV_DD_DEZEMBER_12</formula1>
    </dataValidation>
    <dataValidation type="list" allowBlank="1" showInputMessage="1" showErrorMessage="1" sqref="F13" xr:uid="{6D8EFA1E-55D8-7D4C-9D62-9AAB0A1098B2}">
      <formula1>KV_DD_DEZEMBER_13</formula1>
    </dataValidation>
    <dataValidation type="list" allowBlank="1" showInputMessage="1" showErrorMessage="1" sqref="F14" xr:uid="{BE166265-5FF3-FA4D-8D8A-0089DA141F93}">
      <formula1>KV_DD_DEZEMBER_14</formula1>
    </dataValidation>
    <dataValidation type="list" allowBlank="1" showInputMessage="1" showErrorMessage="1" sqref="F15" xr:uid="{E87687DF-5232-BE46-BA80-2FA6E4B48039}">
      <formula1>KV_DD_DEZEMBER_15</formula1>
    </dataValidation>
    <dataValidation type="list" allowBlank="1" showInputMessage="1" showErrorMessage="1" sqref="F16" xr:uid="{3DC2EB98-BF64-9F4D-B579-41CCB12CE3AC}">
      <formula1>KV_DD_DEZEMBER_16</formula1>
    </dataValidation>
    <dataValidation type="list" allowBlank="1" showInputMessage="1" showErrorMessage="1" sqref="F17" xr:uid="{2426EEAA-E09A-1042-865A-5D0B7FEA19ED}">
      <formula1>KV_DD_DEZEMBER_17</formula1>
    </dataValidation>
    <dataValidation type="list" allowBlank="1" showInputMessage="1" showErrorMessage="1" sqref="F18" xr:uid="{716C93A7-25F5-6E4B-BADC-F260841E26A4}">
      <formula1>KV_DD_DEZEMBER_18</formula1>
    </dataValidation>
    <dataValidation type="list" allowBlank="1" showInputMessage="1" showErrorMessage="1" sqref="F19" xr:uid="{7B178FBE-A229-A147-8CBC-A3C41374669E}">
      <formula1>KV_DD_DEZEMBER_19</formula1>
    </dataValidation>
    <dataValidation type="list" allowBlank="1" showInputMessage="1" showErrorMessage="1" sqref="F20" xr:uid="{0E9B2F9A-0905-0847-9604-4D2BE4EB0627}">
      <formula1>KV_DD_DEZEMBER_20</formula1>
    </dataValidation>
    <dataValidation type="list" allowBlank="1" showInputMessage="1" showErrorMessage="1" sqref="F21" xr:uid="{8F55CDA5-DDC4-7041-B5DB-037E8410066A}">
      <formula1>KV_DD_DEZEMBER_21</formula1>
    </dataValidation>
    <dataValidation type="list" allowBlank="1" showInputMessage="1" showErrorMessage="1" sqref="F22" xr:uid="{B0E67645-17A8-EE44-B809-9FA67D505ECA}">
      <formula1>KV_DD_DEZEMBER_22</formula1>
    </dataValidation>
    <dataValidation type="list" allowBlank="1" showInputMessage="1" showErrorMessage="1" sqref="F23" xr:uid="{7F6CE4C3-297E-9744-BA4E-DB91B750018C}">
      <formula1>KV_DD_DEZEMBER_23</formula1>
    </dataValidation>
    <dataValidation type="list" allowBlank="1" showInputMessage="1" showErrorMessage="1" sqref="F24" xr:uid="{B3A237B1-6690-5D4A-9107-0545BED17D8D}">
      <formula1>KV_DD_DEZEMBER_24</formula1>
    </dataValidation>
    <dataValidation type="list" allowBlank="1" showInputMessage="1" showErrorMessage="1" sqref="F25" xr:uid="{D988B218-D672-B047-9192-9AA48EF334E9}">
      <formula1>KV_DD_DEZEMBER_25</formula1>
    </dataValidation>
    <dataValidation type="list" allowBlank="1" showInputMessage="1" showErrorMessage="1" sqref="F26" xr:uid="{19D4186F-6032-EA45-8C8F-24E44043FEE3}">
      <formula1>KV_DD_DEZEMBER_26</formula1>
    </dataValidation>
    <dataValidation type="list" allowBlank="1" showInputMessage="1" showErrorMessage="1" sqref="F27" xr:uid="{94B48BE4-7119-9648-B655-2FFF1278DC58}">
      <formula1>KV_DD_DEZEMBER_27</formula1>
    </dataValidation>
    <dataValidation type="list" allowBlank="1" showInputMessage="1" showErrorMessage="1" sqref="F28" xr:uid="{C530C9B5-FA49-7B49-A4CA-F2E6F4D2DAC3}">
      <formula1>KV_DD_DEZEMBER_28</formula1>
    </dataValidation>
    <dataValidation type="list" allowBlank="1" showInputMessage="1" showErrorMessage="1" sqref="F29" xr:uid="{03B36827-436A-EC49-A608-D7B2C561DDD2}">
      <formula1>KV_DD_DEZEMBER_29</formula1>
    </dataValidation>
    <dataValidation type="list" allowBlank="1" showInputMessage="1" showErrorMessage="1" sqref="F30" xr:uid="{6ABD148D-6FAE-B046-A088-024182E8B64C}">
      <formula1>KV_DD_DEZEMBER_30</formula1>
    </dataValidation>
    <dataValidation type="list" allowBlank="1" showInputMessage="1" showErrorMessage="1" sqref="F31" xr:uid="{6CFB4ADE-A3C2-F840-9184-843BC62484C5}">
      <formula1>KV_DD_DEZEMBER_31</formula1>
    </dataValidation>
    <dataValidation type="list" allowBlank="1" showInputMessage="1" showErrorMessage="1" sqref="F32" xr:uid="{E0B28CE8-2395-E942-AF4A-879BFBDB035D}">
      <formula1>KV_DD_DEZEMBER_32</formula1>
    </dataValidation>
    <dataValidation type="list" allowBlank="1" showInputMessage="1" showErrorMessage="1" sqref="F33" xr:uid="{D18C99CF-50DB-2447-B26C-2B45851BA210}">
      <formula1>KV_DD_DEZEMBER_33</formula1>
    </dataValidation>
    <dataValidation type="list" allowBlank="1" showInputMessage="1" showErrorMessage="1" sqref="F34" xr:uid="{CBBE2B75-1A11-A448-9F00-28ABEF0E0B3C}">
      <formula1>KV_DD_DEZEMBER_34</formula1>
    </dataValidation>
    <dataValidation type="list" allowBlank="1" showInputMessage="1" showErrorMessage="1" sqref="F35" xr:uid="{4B046A88-E30A-7A42-A838-6236C3332132}">
      <formula1>KV_DD_DEZEMBER_35</formula1>
    </dataValidation>
    <dataValidation type="list" allowBlank="1" showInputMessage="1" showErrorMessage="1" sqref="F36" xr:uid="{F39037EC-84C9-D141-AD72-C151AC680D31}">
      <formula1>KV_DD_DEZEMBER_36</formula1>
    </dataValidation>
    <dataValidation type="list" allowBlank="1" showInputMessage="1" showErrorMessage="1" sqref="F37" xr:uid="{5602446F-48CE-664B-A979-994905E7ADAE}">
      <formula1>KV_DD_DEZEMBER_37</formula1>
    </dataValidation>
    <dataValidation type="list" allowBlank="1" showInputMessage="1" showErrorMessage="1" sqref="F38" xr:uid="{8EAD77E9-A2AC-C34A-90FB-969CB63E7B06}">
      <formula1>KV_DD_DEZEMBER_38</formula1>
    </dataValidation>
    <dataValidation type="list" allowBlank="1" showInputMessage="1" showErrorMessage="1" sqref="F39" xr:uid="{A3F1CBD5-1D65-1F41-B3CC-BC37CF6C2AE1}">
      <formula1>KV_DD_DEZEMBER_39</formula1>
    </dataValidation>
    <dataValidation type="list" allowBlank="1" showInputMessage="1" showErrorMessage="1" sqref="F40" xr:uid="{DBA3B543-4C69-0C42-BEF7-4A35B0638559}">
      <formula1>KV_DD_DEZEMBER_40</formula1>
    </dataValidation>
    <dataValidation type="list" allowBlank="1" showInputMessage="1" showErrorMessage="1" sqref="F41" xr:uid="{DBC7730F-6F3A-AD45-86E0-59C593ADF502}">
      <formula1>KV_DD_DEZEMBER_41</formula1>
    </dataValidation>
    <dataValidation type="list" allowBlank="1" showInputMessage="1" showErrorMessage="1" sqref="F42" xr:uid="{2D3CE5FC-8477-0F46-BD4E-A3B0E5D5408C}">
      <formula1>KV_DD_DEZEMBER_42</formula1>
    </dataValidation>
    <dataValidation type="list" allowBlank="1" showInputMessage="1" showErrorMessage="1" sqref="F43" xr:uid="{A60B964E-5A92-7047-8139-BF6060CCF51C}">
      <formula1>KV_DD_DEZEMBER_43</formula1>
    </dataValidation>
    <dataValidation type="list" allowBlank="1" showInputMessage="1" showErrorMessage="1" sqref="F44" xr:uid="{D93F3DCB-6DCF-F943-B331-0B699D2E8318}">
      <formula1>KV_DD_DEZEMBER_44</formula1>
    </dataValidation>
    <dataValidation type="list" allowBlank="1" showInputMessage="1" showErrorMessage="1" sqref="F45" xr:uid="{ECAFA660-B1E4-C243-8B1C-08D8F540153F}">
      <formula1>KV_DD_DEZEMBER_45</formula1>
    </dataValidation>
    <dataValidation type="list" allowBlank="1" showInputMessage="1" showErrorMessage="1" sqref="F46" xr:uid="{C9FE47A7-1CFF-A44B-9D19-C384B1680E57}">
      <formula1>KV_DD_DEZEMBER_46</formula1>
    </dataValidation>
    <dataValidation type="list" allowBlank="1" showInputMessage="1" showErrorMessage="1" sqref="F47" xr:uid="{0878ED17-086A-1E4E-8DAD-C6C7D033CEA7}">
      <formula1>KV_DD_DEZEMBER_47</formula1>
    </dataValidation>
    <dataValidation type="list" allowBlank="1" showInputMessage="1" showErrorMessage="1" sqref="F48" xr:uid="{97129DD8-86E1-224F-9AAA-51C8E6774046}">
      <formula1>KV_DD_DEZEMBER_48</formula1>
    </dataValidation>
    <dataValidation type="list" allowBlank="1" showInputMessage="1" showErrorMessage="1" sqref="F49" xr:uid="{12E823D9-1578-EE4D-B390-955EBC22B90B}">
      <formula1>KV_DD_DEZEMBER_49</formula1>
    </dataValidation>
    <dataValidation type="list" allowBlank="1" showInputMessage="1" showErrorMessage="1" sqref="F50" xr:uid="{9F8C882C-1EC3-6E4A-82D1-AE38143E64CC}">
      <formula1>KV_DD_DEZEMBER_50</formula1>
    </dataValidation>
    <dataValidation type="list" allowBlank="1" showInputMessage="1" showErrorMessage="1" sqref="F51" xr:uid="{BD9FBE9B-6137-F949-8108-64FBD4B1A3D8}">
      <formula1>KV_DD_DEZEMBER_51</formula1>
    </dataValidation>
    <dataValidation type="list" allowBlank="1" showInputMessage="1" showErrorMessage="1" sqref="F52" xr:uid="{C9507B71-DA7F-C44B-B5D1-8C76869718F2}">
      <formula1>KV_DD_DEZEMBER_52</formula1>
    </dataValidation>
    <dataValidation type="list" allowBlank="1" showInputMessage="1" showErrorMessage="1" sqref="F53" xr:uid="{580A58AA-055C-474E-8706-C94D163F0818}">
      <formula1>KV_DD_DEZEMBER_53</formula1>
    </dataValidation>
    <dataValidation type="list" allowBlank="1" showInputMessage="1" showErrorMessage="1" sqref="F54" xr:uid="{849B2C25-BCD2-4AD9-828A-8605FCB5038C}">
      <formula1>KV_DD_DEZEMBER_54</formula1>
    </dataValidation>
    <dataValidation type="list" allowBlank="1" showInputMessage="1" showErrorMessage="1" sqref="F55" xr:uid="{AF986518-4AA2-48D3-A760-149278467F69}">
      <formula1>KV_DD_DEZEMBER_55</formula1>
    </dataValidation>
    <dataValidation type="list" allowBlank="1" showInputMessage="1" showErrorMessage="1" sqref="F56" xr:uid="{D6FED0E4-62BF-4DBE-905A-C090DA85EA92}">
      <formula1>KV_DD_DEZEMBER_56</formula1>
    </dataValidation>
    <dataValidation type="list" allowBlank="1" showInputMessage="1" showErrorMessage="1" sqref="F57" xr:uid="{91A571EA-0DBA-734C-B250-90B132AE5034}">
      <formula1>KV_DD_DEZEMBER_57</formula1>
    </dataValidation>
    <dataValidation type="list" allowBlank="1" showInputMessage="1" showErrorMessage="1" sqref="F58" xr:uid="{9F6BA826-DFD0-E64E-975C-6EAEA002C8CA}">
      <formula1>KV_DD_DEZEMBER_58</formula1>
    </dataValidation>
    <dataValidation type="date" allowBlank="1" showDropDown="1" showErrorMessage="1" sqref="I3:I82" xr:uid="{FEE048E7-4D8B-084B-9DAF-986F48F23E0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1271727-F155-794D-90FF-8E0BEC9B5EC2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4BC8-3E0C-4914-97A7-FEEB4759108E}">
  <sheetPr codeName="Tabelle2"/>
  <dimension ref="B2:R38"/>
  <sheetViews>
    <sheetView showGridLines="0" zoomScaleNormal="100" workbookViewId="0">
      <selection activeCell="I9" sqref="I9"/>
    </sheetView>
  </sheetViews>
  <sheetFormatPr baseColWidth="10" defaultColWidth="11.453125" defaultRowHeight="14"/>
  <cols>
    <col min="1" max="1" width="4.453125" style="1" customWidth="1"/>
    <col min="2" max="2" width="16.26953125" style="1" customWidth="1"/>
    <col min="3" max="4" width="15.6328125" style="1" customWidth="1"/>
    <col min="5" max="5" width="14.6328125" style="1" customWidth="1"/>
    <col min="6" max="6" width="20.90625" style="1" customWidth="1"/>
    <col min="7" max="7" width="15.90625" style="1" customWidth="1"/>
    <col min="8" max="8" width="14.6328125" style="1" customWidth="1"/>
    <col min="9" max="9" width="15.6328125" style="1" customWidth="1"/>
    <col min="10" max="10" width="28.6328125" style="1" customWidth="1"/>
    <col min="11" max="11" width="14" style="1" customWidth="1"/>
    <col min="12" max="13" width="20.6328125" style="1" customWidth="1"/>
    <col min="14" max="15" width="15.6328125" style="1" customWidth="1"/>
    <col min="16" max="16" width="11.6328125" style="1" customWidth="1"/>
    <col min="17" max="17" width="20.6328125" style="1" customWidth="1"/>
    <col min="18" max="16384" width="11.453125" style="1"/>
  </cols>
  <sheetData>
    <row r="2" spans="2:18" ht="28" customHeight="1">
      <c r="B2" s="396" t="str">
        <f xml:space="preserve"> "FINANZIELL ÜBERSICHT " &amp; EINSTELLUNG!C35</f>
        <v>FINANZIELL ÜBERSICHT 2026</v>
      </c>
      <c r="C2" s="396"/>
      <c r="D2" s="396"/>
      <c r="E2" s="396"/>
      <c r="F2" s="396"/>
      <c r="G2" s="396"/>
      <c r="H2" s="396"/>
      <c r="I2" s="396"/>
      <c r="J2" s="396"/>
      <c r="K2" s="396"/>
      <c r="L2" s="396"/>
      <c r="M2" s="396"/>
      <c r="N2" s="396"/>
      <c r="O2" s="396"/>
      <c r="P2" s="396"/>
      <c r="Q2" s="396"/>
      <c r="R2" s="2"/>
    </row>
    <row r="3" spans="2:18" ht="18" customHeight="1" thickBot="1">
      <c r="B3" s="397"/>
      <c r="C3" s="397"/>
      <c r="D3" s="397"/>
      <c r="E3" s="397"/>
      <c r="F3" s="397"/>
      <c r="G3" s="397"/>
      <c r="H3" s="397"/>
      <c r="I3" s="397"/>
      <c r="J3" s="397"/>
      <c r="K3" s="397"/>
      <c r="L3" s="397"/>
      <c r="M3" s="397"/>
      <c r="N3" s="397"/>
      <c r="O3" s="397"/>
      <c r="P3" s="397"/>
      <c r="Q3" s="397"/>
      <c r="R3" s="2"/>
    </row>
    <row r="4" spans="2:18" ht="24" customHeight="1">
      <c r="B4" s="400"/>
      <c r="C4" s="398" t="s">
        <v>18</v>
      </c>
      <c r="D4" s="398"/>
      <c r="E4" s="398"/>
      <c r="F4" s="398" t="s">
        <v>164</v>
      </c>
      <c r="G4" s="398"/>
      <c r="H4" s="398"/>
      <c r="I4" s="398" t="s">
        <v>165</v>
      </c>
      <c r="J4" s="398"/>
      <c r="K4" s="398"/>
      <c r="L4" s="398" t="s">
        <v>166</v>
      </c>
      <c r="M4" s="398" t="s">
        <v>167</v>
      </c>
      <c r="N4" s="398" t="s">
        <v>168</v>
      </c>
      <c r="O4" s="398"/>
      <c r="P4" s="398"/>
      <c r="Q4" s="402" t="s">
        <v>93</v>
      </c>
    </row>
    <row r="5" spans="2:18" ht="30" customHeight="1">
      <c r="B5" s="401"/>
      <c r="C5" s="399"/>
      <c r="D5" s="399"/>
      <c r="E5" s="399"/>
      <c r="F5" s="399"/>
      <c r="G5" s="399"/>
      <c r="H5" s="399"/>
      <c r="I5" s="399"/>
      <c r="J5" s="399"/>
      <c r="K5" s="399"/>
      <c r="L5" s="399"/>
      <c r="M5" s="399"/>
      <c r="N5" s="399"/>
      <c r="O5" s="399"/>
      <c r="P5" s="399"/>
      <c r="Q5" s="403"/>
    </row>
    <row r="6" spans="2:18" ht="30" customHeight="1">
      <c r="B6" s="401"/>
      <c r="C6" s="208" t="s">
        <v>169</v>
      </c>
      <c r="D6" s="208" t="s">
        <v>170</v>
      </c>
      <c r="E6" s="208" t="s">
        <v>171</v>
      </c>
      <c r="F6" s="208" t="s">
        <v>169</v>
      </c>
      <c r="G6" s="208" t="s">
        <v>170</v>
      </c>
      <c r="H6" s="208" t="s">
        <v>171</v>
      </c>
      <c r="I6" s="208" t="s">
        <v>169</v>
      </c>
      <c r="J6" s="208" t="s">
        <v>170</v>
      </c>
      <c r="K6" s="208" t="s">
        <v>171</v>
      </c>
      <c r="L6" s="399"/>
      <c r="M6" s="399"/>
      <c r="N6" s="208" t="s">
        <v>172</v>
      </c>
      <c r="O6" s="208" t="s">
        <v>173</v>
      </c>
      <c r="P6" s="208" t="s">
        <v>171</v>
      </c>
      <c r="Q6" s="403"/>
    </row>
    <row r="7" spans="2:18" ht="30" customHeight="1">
      <c r="B7" s="209" t="s">
        <v>174</v>
      </c>
      <c r="C7" s="210">
        <f>EINSTELLUNG!C6</f>
        <v>400000</v>
      </c>
      <c r="D7" s="210">
        <f>EINSTELLUNG!C22</f>
        <v>425000</v>
      </c>
      <c r="E7" s="211">
        <f>D7-C7</f>
        <v>25000</v>
      </c>
      <c r="F7" s="210">
        <f>EINSTELLUNG!D6</f>
        <v>100000</v>
      </c>
      <c r="G7" s="210">
        <v>96111.986000000004</v>
      </c>
      <c r="H7" s="211">
        <v>-3888.0139999999956</v>
      </c>
      <c r="I7" s="212">
        <f>EINSTELLUNG!E6</f>
        <v>0.25</v>
      </c>
      <c r="J7" s="212">
        <v>0.22614584941176472</v>
      </c>
      <c r="K7" s="212">
        <v>-2.3854150588235284E-2</v>
      </c>
      <c r="L7" s="213">
        <f>Januar!S40</f>
        <v>63.255060776950749</v>
      </c>
      <c r="M7" s="213">
        <f>Januar!S41</f>
        <v>4.3162276765448748</v>
      </c>
      <c r="N7" s="213">
        <f>Januar!O5</f>
        <v>722.46717552718769</v>
      </c>
      <c r="O7" s="213">
        <f>Januar!P5</f>
        <v>600</v>
      </c>
      <c r="P7" s="214">
        <f>O7-N7</f>
        <v>-122.46717552718769</v>
      </c>
      <c r="Q7" s="215">
        <v>1.9607843137254902E-2</v>
      </c>
    </row>
    <row r="8" spans="2:18" ht="30" customHeight="1">
      <c r="B8" s="182" t="s">
        <v>175</v>
      </c>
      <c r="C8" s="203">
        <f>EINSTELLUNG!C7</f>
        <v>400000</v>
      </c>
      <c r="D8" s="203">
        <f>EINSTELLUNG!C23</f>
        <v>425000</v>
      </c>
      <c r="E8" s="216">
        <f>D8-C8</f>
        <v>25000</v>
      </c>
      <c r="F8" s="203">
        <f>EINSTELLUNG!D7</f>
        <v>100000</v>
      </c>
      <c r="G8" s="203">
        <v>109771.0129</v>
      </c>
      <c r="H8" s="216">
        <v>9771.0129000000015</v>
      </c>
      <c r="I8" s="217">
        <f>EINSTELLUNG!E7</f>
        <v>0.25</v>
      </c>
      <c r="J8" s="217">
        <v>0.25828473623529413</v>
      </c>
      <c r="K8" s="217">
        <v>8.2847362352941323E-3</v>
      </c>
      <c r="L8" s="184">
        <f>Februar!S40</f>
        <v>52.850770564234836</v>
      </c>
      <c r="M8" s="184">
        <f>Februar!S41</f>
        <v>3.6062878737948476</v>
      </c>
      <c r="N8" s="184">
        <f>Februar!O5</f>
        <v>847.67804086844035</v>
      </c>
      <c r="O8" s="184">
        <f>Februar!P5</f>
        <v>600</v>
      </c>
      <c r="P8" s="218">
        <f t="shared" ref="P8:P23" si="0">O8-N8</f>
        <v>-247.67804086844035</v>
      </c>
      <c r="Q8" s="219">
        <v>1.7241379310344827E-2</v>
      </c>
    </row>
    <row r="9" spans="2:18" ht="30" customHeight="1">
      <c r="B9" s="209" t="s">
        <v>176</v>
      </c>
      <c r="C9" s="210">
        <f>EINSTELLUNG!C8</f>
        <v>400000</v>
      </c>
      <c r="D9" s="210">
        <f>EINSTELLUNG!C24</f>
        <v>430000</v>
      </c>
      <c r="E9" s="211">
        <f>D9-C9</f>
        <v>30000</v>
      </c>
      <c r="F9" s="210">
        <f>EINSTELLUNG!D8</f>
        <v>100000</v>
      </c>
      <c r="G9" s="210">
        <v>113271.0961</v>
      </c>
      <c r="H9" s="211">
        <v>13271.096099999995</v>
      </c>
      <c r="I9" s="212">
        <f>EINSTELLUNG!E8</f>
        <v>0.25</v>
      </c>
      <c r="J9" s="212">
        <v>0.26342115372093022</v>
      </c>
      <c r="K9" s="212">
        <v>1.3421153720930223E-2</v>
      </c>
      <c r="L9" s="213">
        <f>Marz!S40</f>
        <v>49.071073172958407</v>
      </c>
      <c r="M9" s="213">
        <f>Marz!S41</f>
        <v>3.3094444698041716</v>
      </c>
      <c r="N9" s="213">
        <f>Marz!O5</f>
        <v>872.72021393669127</v>
      </c>
      <c r="O9" s="213">
        <f>Marz!P5</f>
        <v>600</v>
      </c>
      <c r="P9" s="214">
        <f t="shared" si="0"/>
        <v>-272.72021393669127</v>
      </c>
      <c r="Q9" s="215">
        <v>1.6949152542372881E-2</v>
      </c>
    </row>
    <row r="10" spans="2:18" ht="30" customHeight="1">
      <c r="B10" s="220" t="s">
        <v>177</v>
      </c>
      <c r="C10" s="221">
        <f>SUM(C7:C9)</f>
        <v>1200000</v>
      </c>
      <c r="D10" s="221">
        <f>SUM(D7:D9)</f>
        <v>1280000</v>
      </c>
      <c r="E10" s="222">
        <f>D10-C10</f>
        <v>80000</v>
      </c>
      <c r="F10" s="221">
        <f>SUM(F7:F9)</f>
        <v>300000</v>
      </c>
      <c r="G10" s="221">
        <v>319154.09499999997</v>
      </c>
      <c r="H10" s="222">
        <v>19154.094999999972</v>
      </c>
      <c r="I10" s="223">
        <f>AVERAGE(I7:I9)</f>
        <v>0.25</v>
      </c>
      <c r="J10" s="223">
        <v>0.24928391312266304</v>
      </c>
      <c r="K10" s="223">
        <v>-7.1608687733695775E-4</v>
      </c>
      <c r="L10" s="224">
        <f>AVERAGE(L7:L9)</f>
        <v>55.058968171381331</v>
      </c>
      <c r="M10" s="224">
        <f>AVERAGE(M7:M9)</f>
        <v>3.7439866733812983</v>
      </c>
      <c r="N10" s="224">
        <f>SUM(N7:N9)</f>
        <v>2442.8654303323192</v>
      </c>
      <c r="O10" s="224">
        <f>SUM(O7:O9)</f>
        <v>1800</v>
      </c>
      <c r="P10" s="225">
        <f t="shared" si="0"/>
        <v>-642.86543033231919</v>
      </c>
      <c r="Q10" s="226">
        <v>5.3571428571428568E-2</v>
      </c>
    </row>
    <row r="11" spans="2:18" ht="30" customHeight="1">
      <c r="B11" s="209" t="s">
        <v>178</v>
      </c>
      <c r="C11" s="210">
        <f>EINSTELLUNG!C9</f>
        <v>400000</v>
      </c>
      <c r="D11" s="210">
        <f>EINSTELLUNG!C25</f>
        <v>423000</v>
      </c>
      <c r="E11" s="211">
        <f t="shared" ref="E11:E21" si="1">D11-C11</f>
        <v>23000</v>
      </c>
      <c r="F11" s="210">
        <f>EINSTELLUNG!D9</f>
        <v>100000</v>
      </c>
      <c r="G11" s="210">
        <v>111850.4</v>
      </c>
      <c r="H11" s="211">
        <v>11850.399999999994</v>
      </c>
      <c r="I11" s="212">
        <f>EINSTELLUNG!E9</f>
        <v>0.25</v>
      </c>
      <c r="J11" s="212">
        <v>0.26442174940898344</v>
      </c>
      <c r="K11" s="212">
        <v>1.4421749408983442E-2</v>
      </c>
      <c r="L11" s="213">
        <f>April!S40</f>
        <v>50.981176737156488</v>
      </c>
      <c r="M11" s="213">
        <f>April!S41</f>
        <v>3.4951634169681753</v>
      </c>
      <c r="N11" s="213">
        <f>April!O5</f>
        <v>853.85414520897245</v>
      </c>
      <c r="O11" s="213">
        <f>April!P5</f>
        <v>600</v>
      </c>
      <c r="P11" s="214">
        <f t="shared" si="0"/>
        <v>-253.85414520897245</v>
      </c>
      <c r="Q11" s="215">
        <v>0</v>
      </c>
    </row>
    <row r="12" spans="2:18" ht="30" customHeight="1">
      <c r="B12" s="182" t="s">
        <v>179</v>
      </c>
      <c r="C12" s="203">
        <f>EINSTELLUNG!C10</f>
        <v>400000</v>
      </c>
      <c r="D12" s="203">
        <f>EINSTELLUNG!C26</f>
        <v>420000</v>
      </c>
      <c r="E12" s="216">
        <f t="shared" si="1"/>
        <v>20000</v>
      </c>
      <c r="F12" s="203">
        <f>EINSTELLUNG!D10</f>
        <v>100000</v>
      </c>
      <c r="G12" s="203">
        <v>133750.30969999998</v>
      </c>
      <c r="H12" s="216">
        <v>33750.309699999983</v>
      </c>
      <c r="I12" s="217">
        <f>EINSTELLUNG!E10</f>
        <v>0.25</v>
      </c>
      <c r="J12" s="217">
        <v>0.31845311833333328</v>
      </c>
      <c r="K12" s="217">
        <v>6.8453118333333285E-2</v>
      </c>
      <c r="L12" s="184">
        <f>Mai!S40</f>
        <v>52.139844027380875</v>
      </c>
      <c r="M12" s="184">
        <f>Mai!S41</f>
        <v>3.8484170591638267</v>
      </c>
      <c r="N12" s="184">
        <f>Mai!O5</f>
        <v>896.92764790266722</v>
      </c>
      <c r="O12" s="184">
        <f>Mai!P5</f>
        <v>600</v>
      </c>
      <c r="P12" s="218">
        <f t="shared" si="0"/>
        <v>-296.92764790266722</v>
      </c>
      <c r="Q12" s="219">
        <v>1.6393442622950821E-2</v>
      </c>
    </row>
    <row r="13" spans="2:18" ht="30" customHeight="1">
      <c r="B13" s="209" t="s">
        <v>180</v>
      </c>
      <c r="C13" s="210">
        <f>EINSTELLUNG!C11</f>
        <v>400000</v>
      </c>
      <c r="D13" s="210">
        <f>EINSTELLUNG!C27</f>
        <v>435000</v>
      </c>
      <c r="E13" s="211">
        <f t="shared" si="1"/>
        <v>35000</v>
      </c>
      <c r="F13" s="210">
        <f>EINSTELLUNG!D11</f>
        <v>100000</v>
      </c>
      <c r="G13" s="210">
        <v>128297.51669999999</v>
      </c>
      <c r="H13" s="211">
        <v>28297.516699999993</v>
      </c>
      <c r="I13" s="212">
        <f>EINSTELLUNG!E11</f>
        <v>0.25</v>
      </c>
      <c r="J13" s="212">
        <v>0.29493681999999999</v>
      </c>
      <c r="K13" s="212">
        <v>4.4936819999999988E-2</v>
      </c>
      <c r="L13" s="213">
        <f>Juni!S40</f>
        <v>20714.285714285714</v>
      </c>
      <c r="M13" s="213">
        <f>Juni!S41</f>
        <v>1476.1904761904761</v>
      </c>
      <c r="N13" s="213">
        <f>Juni!O5</f>
        <v>901.10134341404239</v>
      </c>
      <c r="O13" s="213">
        <f>Juni!P5</f>
        <v>600</v>
      </c>
      <c r="P13" s="214">
        <f t="shared" si="0"/>
        <v>-301.10134341404239</v>
      </c>
      <c r="Q13" s="215">
        <v>1.6393442622950821E-2</v>
      </c>
    </row>
    <row r="14" spans="2:18" ht="30" customHeight="1">
      <c r="B14" s="220" t="s">
        <v>181</v>
      </c>
      <c r="C14" s="221">
        <f>SUM(C11:C13)</f>
        <v>1200000</v>
      </c>
      <c r="D14" s="221">
        <f>SUM(D11:D13)</f>
        <v>1278000</v>
      </c>
      <c r="E14" s="222">
        <f t="shared" si="1"/>
        <v>78000</v>
      </c>
      <c r="F14" s="221">
        <f>SUM(F11:F13)</f>
        <v>300000</v>
      </c>
      <c r="G14" s="221">
        <v>373898.22639999999</v>
      </c>
      <c r="H14" s="222">
        <v>73898.226399999985</v>
      </c>
      <c r="I14" s="223">
        <f>AVERAGE(I11:I13)</f>
        <v>0.25</v>
      </c>
      <c r="J14" s="223">
        <v>0.29260389591410557</v>
      </c>
      <c r="K14" s="223">
        <v>4.2603895914105572E-2</v>
      </c>
      <c r="L14" s="224">
        <f>AVERAGE(L11:L13)</f>
        <v>6939.135578350084</v>
      </c>
      <c r="M14" s="224">
        <f>AVERAGE(M11:M13)</f>
        <v>494.51135222220273</v>
      </c>
      <c r="N14" s="224">
        <f>SUM(N11:N13)</f>
        <v>2651.8831365256819</v>
      </c>
      <c r="O14" s="224">
        <f>SUM(O11:O13)</f>
        <v>1800</v>
      </c>
      <c r="P14" s="225">
        <f t="shared" si="0"/>
        <v>-851.88313652568195</v>
      </c>
      <c r="Q14" s="226">
        <v>3.2967032967032968E-2</v>
      </c>
    </row>
    <row r="15" spans="2:18" ht="30" customHeight="1">
      <c r="B15" s="209" t="s">
        <v>182</v>
      </c>
      <c r="C15" s="210">
        <f>EINSTELLUNG!C12</f>
        <v>400000</v>
      </c>
      <c r="D15" s="210">
        <f>EINSTELLUNG!C28</f>
        <v>435000</v>
      </c>
      <c r="E15" s="211">
        <f t="shared" si="1"/>
        <v>35000</v>
      </c>
      <c r="F15" s="210">
        <f>EINSTELLUNG!D12</f>
        <v>100000</v>
      </c>
      <c r="G15" s="210">
        <v>116275.37420000001</v>
      </c>
      <c r="H15" s="211">
        <v>16275.374200000006</v>
      </c>
      <c r="I15" s="212">
        <f>EINSTELLUNG!E12</f>
        <v>0.25</v>
      </c>
      <c r="J15" s="212">
        <v>0.26729971080459769</v>
      </c>
      <c r="K15" s="212">
        <v>1.729971080459769E-2</v>
      </c>
      <c r="L15" s="213">
        <f>Juli!S40</f>
        <v>57.234131014846675</v>
      </c>
      <c r="M15" s="213">
        <f>Juli!S41</f>
        <v>4.0787541642764298</v>
      </c>
      <c r="N15" s="213">
        <f>Juli!O5</f>
        <v>803.01901638857532</v>
      </c>
      <c r="O15" s="213">
        <f>Juli!P5</f>
        <v>600</v>
      </c>
      <c r="P15" s="214">
        <f t="shared" si="0"/>
        <v>-203.01901638857532</v>
      </c>
      <c r="Q15" s="215">
        <v>1.6393442622950821E-2</v>
      </c>
    </row>
    <row r="16" spans="2:18" ht="30" customHeight="1">
      <c r="B16" s="182" t="s">
        <v>183</v>
      </c>
      <c r="C16" s="203">
        <f>EINSTELLUNG!C13</f>
        <v>400000</v>
      </c>
      <c r="D16" s="203">
        <f>EINSTELLUNG!C29</f>
        <v>435000</v>
      </c>
      <c r="E16" s="216">
        <f t="shared" si="1"/>
        <v>35000</v>
      </c>
      <c r="F16" s="203">
        <f>EINSTELLUNG!D13</f>
        <v>100000</v>
      </c>
      <c r="G16" s="203">
        <v>125232.6</v>
      </c>
      <c r="H16" s="216">
        <v>25232.600000000006</v>
      </c>
      <c r="I16" s="217">
        <f>EINSTELLUNG!E13</f>
        <v>0.25</v>
      </c>
      <c r="J16" s="217">
        <v>0.28789103448275866</v>
      </c>
      <c r="K16" s="217">
        <v>3.7891034482758656E-2</v>
      </c>
      <c r="L16" s="184">
        <f>August!S40</f>
        <v>52.490651234012986</v>
      </c>
      <c r="M16" s="184">
        <f>August!S41</f>
        <v>3.7407130764469025</v>
      </c>
      <c r="N16" s="184">
        <f>August!O5</f>
        <v>883.15397020697765</v>
      </c>
      <c r="O16" s="184">
        <f>August!P5</f>
        <v>620</v>
      </c>
      <c r="P16" s="218">
        <f t="shared" si="0"/>
        <v>-263.15397020697765</v>
      </c>
      <c r="Q16" s="219">
        <v>3.3898305084745763E-2</v>
      </c>
    </row>
    <row r="17" spans="2:17" ht="30" customHeight="1">
      <c r="B17" s="209" t="s">
        <v>184</v>
      </c>
      <c r="C17" s="210">
        <f>EINSTELLUNG!C14</f>
        <v>400000</v>
      </c>
      <c r="D17" s="210">
        <f>EINSTELLUNG!C30</f>
        <v>450000</v>
      </c>
      <c r="E17" s="211">
        <f t="shared" si="1"/>
        <v>50000</v>
      </c>
      <c r="F17" s="210">
        <f>EINSTELLUNG!D14</f>
        <v>100000</v>
      </c>
      <c r="G17" s="210">
        <v>122626.26669999999</v>
      </c>
      <c r="H17" s="211">
        <v>22626.266699999993</v>
      </c>
      <c r="I17" s="212">
        <f>EINSTELLUNG!E14</f>
        <v>0.25</v>
      </c>
      <c r="J17" s="212">
        <v>0.27250281488888889</v>
      </c>
      <c r="K17" s="212">
        <v>2.2502814888888889E-2</v>
      </c>
      <c r="L17" s="213">
        <f>September!S40</f>
        <v>55.405345507734594</v>
      </c>
      <c r="M17" s="213">
        <f>September!S41</f>
        <v>3.8168126905328275</v>
      </c>
      <c r="N17" s="213">
        <f>September!O5</f>
        <v>869.79814457057728</v>
      </c>
      <c r="O17" s="213">
        <f>September!P5</f>
        <v>600</v>
      </c>
      <c r="P17" s="214">
        <f t="shared" si="0"/>
        <v>-269.79814457057728</v>
      </c>
      <c r="Q17" s="215">
        <v>1.7241379310344827E-2</v>
      </c>
    </row>
    <row r="18" spans="2:17" ht="30" customHeight="1">
      <c r="B18" s="220" t="s">
        <v>185</v>
      </c>
      <c r="C18" s="221">
        <f>SUM(C15:C17)</f>
        <v>1200000</v>
      </c>
      <c r="D18" s="221">
        <f>SUM(D15:D17)</f>
        <v>1320000</v>
      </c>
      <c r="E18" s="222">
        <f>D18-C18</f>
        <v>120000</v>
      </c>
      <c r="F18" s="221">
        <f>SUM(F15:F17)</f>
        <v>300000</v>
      </c>
      <c r="G18" s="221">
        <v>364134.24089999998</v>
      </c>
      <c r="H18" s="222">
        <v>64134.240899999975</v>
      </c>
      <c r="I18" s="223">
        <f>AVERAGE(I15:I17)</f>
        <v>0.25</v>
      </c>
      <c r="J18" s="223">
        <v>0.27589785339208173</v>
      </c>
      <c r="K18" s="223">
        <v>2.5897853392081727E-2</v>
      </c>
      <c r="L18" s="224">
        <f>AVERAGE(L15:L17)</f>
        <v>55.043375918864761</v>
      </c>
      <c r="M18" s="224">
        <f>AVERAGE(M15:M17)</f>
        <v>3.8787599770853869</v>
      </c>
      <c r="N18" s="224">
        <f>SUM(N15:N17)</f>
        <v>2555.9711311661304</v>
      </c>
      <c r="O18" s="224">
        <f>SUM(O15:O17)</f>
        <v>1820</v>
      </c>
      <c r="P18" s="225">
        <f t="shared" si="0"/>
        <v>-735.97113116613036</v>
      </c>
      <c r="Q18" s="226">
        <v>6.741573033707865E-2</v>
      </c>
    </row>
    <row r="19" spans="2:17" ht="30" customHeight="1">
      <c r="B19" s="209" t="s">
        <v>186</v>
      </c>
      <c r="C19" s="210">
        <f>EINSTELLUNG!C15</f>
        <v>400000</v>
      </c>
      <c r="D19" s="210">
        <f>EINSTELLUNG!C31</f>
        <v>401000</v>
      </c>
      <c r="E19" s="211">
        <f>D19-C19</f>
        <v>1000</v>
      </c>
      <c r="F19" s="210">
        <f>EINSTELLUNG!D15</f>
        <v>100000</v>
      </c>
      <c r="G19" s="210">
        <v>120161.4387</v>
      </c>
      <c r="H19" s="211">
        <v>20161.438699999999</v>
      </c>
      <c r="I19" s="212">
        <f>EINSTELLUNG!E15</f>
        <v>0.25</v>
      </c>
      <c r="J19" s="212">
        <v>0.29965446059850376</v>
      </c>
      <c r="K19" s="212">
        <v>4.9654460598503758E-2</v>
      </c>
      <c r="L19" s="213">
        <f>Oktober!S40</f>
        <v>48.699918631058644</v>
      </c>
      <c r="M19" s="213">
        <f>Oktober!S41</f>
        <v>3.7648316148698702</v>
      </c>
      <c r="N19" s="213">
        <f>Oktober!O5</f>
        <v>853.1033625250767</v>
      </c>
      <c r="O19" s="213">
        <f>Oktober!P5</f>
        <v>600</v>
      </c>
      <c r="P19" s="214">
        <f t="shared" si="0"/>
        <v>-253.1033625250767</v>
      </c>
      <c r="Q19" s="215">
        <v>1.7543859649122806E-2</v>
      </c>
    </row>
    <row r="20" spans="2:17" ht="30" customHeight="1">
      <c r="B20" s="182" t="s">
        <v>187</v>
      </c>
      <c r="C20" s="203">
        <f>EINSTELLUNG!C16</f>
        <v>400000</v>
      </c>
      <c r="D20" s="203">
        <f>EINSTELLUNG!C32</f>
        <v>398000</v>
      </c>
      <c r="E20" s="216">
        <f>D20-C20</f>
        <v>-2000</v>
      </c>
      <c r="F20" s="203">
        <f>EINSTELLUNG!D16</f>
        <v>100000</v>
      </c>
      <c r="G20" s="203">
        <v>118009.9333</v>
      </c>
      <c r="H20" s="216">
        <v>18009.933300000004</v>
      </c>
      <c r="I20" s="217">
        <f>EINSTELLUNG!E16</f>
        <v>0.25</v>
      </c>
      <c r="J20" s="217">
        <v>0.29650737010050254</v>
      </c>
      <c r="K20" s="217">
        <v>4.6507370100502543E-2</v>
      </c>
      <c r="L20" s="184">
        <f>November!S40</f>
        <v>51.084847053508177</v>
      </c>
      <c r="M20" s="184">
        <f>November!S41</f>
        <v>3.9789704991425965</v>
      </c>
      <c r="N20" s="184">
        <f>November!O5</f>
        <v>836.40858047957613</v>
      </c>
      <c r="O20" s="184">
        <f>November!P5</f>
        <v>600</v>
      </c>
      <c r="P20" s="218">
        <f t="shared" si="0"/>
        <v>-236.40858047957613</v>
      </c>
      <c r="Q20" s="219">
        <v>1.7857142857142856E-2</v>
      </c>
    </row>
    <row r="21" spans="2:17" ht="30" customHeight="1">
      <c r="B21" s="209" t="s">
        <v>188</v>
      </c>
      <c r="C21" s="210">
        <f>EINSTELLUNG!C17</f>
        <v>400000</v>
      </c>
      <c r="D21" s="210">
        <f>EINSTELLUNG!C33</f>
        <v>390000</v>
      </c>
      <c r="E21" s="211">
        <f t="shared" si="1"/>
        <v>-10000</v>
      </c>
      <c r="F21" s="210">
        <f>EINSTELLUNG!D17</f>
        <v>100000</v>
      </c>
      <c r="G21" s="210">
        <v>117276.6</v>
      </c>
      <c r="H21" s="211">
        <v>17276.600000000006</v>
      </c>
      <c r="I21" s="212">
        <f>EINSTELLUNG!E17</f>
        <v>0.25</v>
      </c>
      <c r="J21" s="212">
        <v>0.30070923076923078</v>
      </c>
      <c r="K21" s="212">
        <v>5.0709230769230784E-2</v>
      </c>
      <c r="L21" s="213">
        <f>Dezember!S40</f>
        <v>50.094408693306619</v>
      </c>
      <c r="M21" s="213">
        <f>Dezember!S41</f>
        <v>3.9818632551089879</v>
      </c>
      <c r="N21" s="213">
        <f>Dezember!O5</f>
        <v>819.71379843407556</v>
      </c>
      <c r="O21" s="213">
        <f>Dezember!P5</f>
        <v>600</v>
      </c>
      <c r="P21" s="214">
        <f t="shared" si="0"/>
        <v>-219.71379843407556</v>
      </c>
      <c r="Q21" s="215">
        <v>0</v>
      </c>
    </row>
    <row r="22" spans="2:17" ht="30" customHeight="1">
      <c r="B22" s="220" t="s">
        <v>189</v>
      </c>
      <c r="C22" s="221">
        <f>SUM(C19:C21)</f>
        <v>1200000</v>
      </c>
      <c r="D22" s="221">
        <f>SUM(D19:D21)</f>
        <v>1189000</v>
      </c>
      <c r="E22" s="222">
        <f>D22-C22</f>
        <v>-11000</v>
      </c>
      <c r="F22" s="221">
        <f>SUM(F19:F21)</f>
        <v>300000</v>
      </c>
      <c r="G22" s="221">
        <v>355447.97200000001</v>
      </c>
      <c r="H22" s="222">
        <v>55447.972000000009</v>
      </c>
      <c r="I22" s="223">
        <f>AVERAGE(I19:I21)</f>
        <v>0.25</v>
      </c>
      <c r="J22" s="223">
        <v>0.29895702048941236</v>
      </c>
      <c r="K22" s="223">
        <v>4.8957020489412362E-2</v>
      </c>
      <c r="L22" s="224">
        <f>AVERAGE(L19:L21)</f>
        <v>49.959724792624478</v>
      </c>
      <c r="M22" s="224">
        <f>AVERAGE(M19:M21)</f>
        <v>3.9085551230404847</v>
      </c>
      <c r="N22" s="224">
        <f>SUM(N19:N21)</f>
        <v>2509.2257414387286</v>
      </c>
      <c r="O22" s="224">
        <f>SUM(O19:O21)</f>
        <v>1800</v>
      </c>
      <c r="P22" s="225">
        <f>O22-N22</f>
        <v>-709.22574143872862</v>
      </c>
      <c r="Q22" s="226">
        <v>3.5502958579881658E-2</v>
      </c>
    </row>
    <row r="23" spans="2:17" ht="32" customHeight="1" thickBot="1">
      <c r="B23" s="227" t="str">
        <f xml:space="preserve"> "GESAMT " &amp; EINSTELLUNG!C35</f>
        <v>GESAMT 2026</v>
      </c>
      <c r="C23" s="228">
        <f>SUM(C10,C14,C18,C22)</f>
        <v>4800000</v>
      </c>
      <c r="D23" s="228">
        <f>SUM(D10,D14,D18,D22)</f>
        <v>5067000</v>
      </c>
      <c r="E23" s="229">
        <f>D23-C23</f>
        <v>267000</v>
      </c>
      <c r="F23" s="228">
        <f>SUM(F10,F14,F18,F22)</f>
        <v>1200000</v>
      </c>
      <c r="G23" s="228">
        <v>1412634.5342999999</v>
      </c>
      <c r="H23" s="229">
        <v>212634.53429999994</v>
      </c>
      <c r="I23" s="230">
        <f>AVERAGE(I10,I14,I18,I22)</f>
        <v>0.25</v>
      </c>
      <c r="J23" s="230">
        <v>0.27918567072956568</v>
      </c>
      <c r="K23" s="231">
        <v>2.9185670729565683E-2</v>
      </c>
      <c r="L23" s="232">
        <f>AVERAGE(L22,L18,L14,L10)</f>
        <v>1774.7994118082386</v>
      </c>
      <c r="M23" s="232">
        <f>AVERAGE(M10,M14,M18,M22)</f>
        <v>126.51066349892747</v>
      </c>
      <c r="N23" s="232">
        <f>SUM(N10,N14,N18,N22)</f>
        <v>10159.945439462859</v>
      </c>
      <c r="O23" s="232">
        <f>SUM(O10,O14,O18,O22)</f>
        <v>7220</v>
      </c>
      <c r="P23" s="233">
        <f t="shared" si="0"/>
        <v>-2939.9454394628592</v>
      </c>
      <c r="Q23" s="234">
        <v>6.9204152249134954E-2</v>
      </c>
    </row>
    <row r="24" spans="2:17">
      <c r="O24" s="4"/>
    </row>
    <row r="25" spans="2:17">
      <c r="B25" s="395" t="s">
        <v>190</v>
      </c>
      <c r="C25" s="395"/>
      <c r="D25" s="395"/>
      <c r="E25" s="395"/>
    </row>
    <row r="26" spans="2:17">
      <c r="B26" s="395"/>
      <c r="C26" s="395"/>
      <c r="D26" s="395"/>
      <c r="E26" s="395"/>
    </row>
    <row r="27" spans="2:17" ht="14.5" thickBot="1">
      <c r="B27" s="395"/>
      <c r="C27" s="395"/>
      <c r="D27" s="395"/>
      <c r="E27" s="395"/>
    </row>
    <row r="28" spans="2:17" ht="28" customHeight="1">
      <c r="B28" s="404" t="str">
        <f xml:space="preserve"> "DURCHRECHNUNGSSTUNDEN - " &amp; EINSTELLUNG!C35</f>
        <v>DURCHRECHNUNGSSTUNDEN - 2026</v>
      </c>
      <c r="C28" s="405"/>
      <c r="D28" s="405"/>
      <c r="E28" s="405"/>
      <c r="F28" s="405"/>
      <c r="G28" s="405"/>
      <c r="H28" s="405"/>
      <c r="I28" s="405"/>
      <c r="J28" s="405"/>
      <c r="K28" s="405"/>
      <c r="L28" s="405"/>
      <c r="M28" s="405"/>
      <c r="N28" s="405"/>
      <c r="O28" s="405"/>
      <c r="P28" s="405"/>
      <c r="Q28" s="406"/>
    </row>
    <row r="29" spans="2:17" ht="48" customHeight="1" thickBot="1">
      <c r="B29" s="407" t="s">
        <v>526</v>
      </c>
      <c r="C29" s="408"/>
      <c r="D29" s="408"/>
      <c r="E29" s="408"/>
      <c r="F29" s="408"/>
      <c r="G29" s="408"/>
      <c r="H29" s="408"/>
      <c r="I29" s="408"/>
      <c r="J29" s="408"/>
      <c r="K29" s="408"/>
      <c r="L29" s="408"/>
      <c r="M29" s="408"/>
      <c r="N29" s="408"/>
      <c r="O29" s="408"/>
      <c r="P29" s="408"/>
      <c r="Q29" s="409"/>
    </row>
    <row r="30" spans="2:17" ht="40" customHeight="1" thickBot="1">
      <c r="B30" s="410" t="s">
        <v>527</v>
      </c>
      <c r="C30" s="411"/>
      <c r="D30" s="411"/>
      <c r="E30" s="188">
        <v>0</v>
      </c>
      <c r="F30" s="411" t="s">
        <v>528</v>
      </c>
      <c r="G30" s="411"/>
      <c r="H30" s="411"/>
      <c r="I30" s="188">
        <v>9000</v>
      </c>
      <c r="J30" s="427"/>
      <c r="K30" s="427"/>
      <c r="L30" s="427"/>
      <c r="M30" s="427"/>
      <c r="N30" s="427"/>
      <c r="O30" s="427"/>
      <c r="P30" s="427"/>
      <c r="Q30" s="428"/>
    </row>
    <row r="31" spans="2:17" s="128" customFormat="1" ht="30" customHeight="1">
      <c r="B31" s="174" t="s">
        <v>458</v>
      </c>
      <c r="C31" s="175" t="s">
        <v>520</v>
      </c>
      <c r="D31" s="175" t="s">
        <v>529</v>
      </c>
      <c r="E31" s="176" t="s">
        <v>521</v>
      </c>
      <c r="F31" s="175" t="s">
        <v>98</v>
      </c>
      <c r="G31" s="175" t="s">
        <v>522</v>
      </c>
      <c r="H31" s="175" t="s">
        <v>523</v>
      </c>
      <c r="I31" s="177" t="s">
        <v>524</v>
      </c>
      <c r="J31" s="415" t="s">
        <v>525</v>
      </c>
      <c r="K31" s="416"/>
      <c r="L31" s="416"/>
      <c r="M31" s="416"/>
      <c r="N31" s="416"/>
      <c r="O31" s="416"/>
      <c r="P31" s="416"/>
      <c r="Q31" s="417"/>
    </row>
    <row r="32" spans="2:17" ht="42" customHeight="1">
      <c r="B32" s="179" t="s">
        <v>530</v>
      </c>
      <c r="C32" s="180" t="s">
        <v>178</v>
      </c>
      <c r="D32" s="181">
        <f>Februar!Q12+Marz!Q13+April!Q13</f>
        <v>25101.489999999998</v>
      </c>
      <c r="E32" s="181">
        <f>EINSTELLUNG!L7+EINSTELLUNG!L8+EINSTELLUNG!L9</f>
        <v>27900</v>
      </c>
      <c r="F32" s="181">
        <f>April!Q15</f>
        <v>-1002.8200000000015</v>
      </c>
      <c r="G32" s="202">
        <f>April!Q42</f>
        <v>12.005256827395531</v>
      </c>
      <c r="H32" s="181">
        <f>MAX(0,-F32)</f>
        <v>1002.8200000000015</v>
      </c>
      <c r="I32" s="205">
        <f>IF(OR(G32=0,H32=0),"",H32*G32*3/2)</f>
        <v>18058.667477473209</v>
      </c>
      <c r="J32" s="418" t="str">
        <f>IF(F32&lt;0,"ACHTUNG: Überstunden",IF(F32&gt;0,"Reserve möglich","OK"))</f>
        <v>ACHTUNG: Überstunden</v>
      </c>
      <c r="K32" s="419"/>
      <c r="L32" s="419"/>
      <c r="M32" s="419"/>
      <c r="N32" s="419"/>
      <c r="O32" s="419"/>
      <c r="P32" s="419"/>
      <c r="Q32" s="420"/>
    </row>
    <row r="33" spans="2:17" ht="42" customHeight="1">
      <c r="B33" s="182" t="s">
        <v>459</v>
      </c>
      <c r="C33" s="183" t="s">
        <v>182</v>
      </c>
      <c r="D33" s="184">
        <f>Mai!Q12+Juni!Q13+Juli!Q13</f>
        <v>24158.629999999997</v>
      </c>
      <c r="E33" s="184">
        <f>EINSTELLUNG!L10+EINSTELLUNG!L11+EINSTELLUNG!L12</f>
        <v>27900</v>
      </c>
      <c r="F33" s="184">
        <f>Juli!Q15</f>
        <v>-1699.6400000000012</v>
      </c>
      <c r="G33" s="203">
        <f>Juli!Q42</f>
        <v>13.240262251615553</v>
      </c>
      <c r="H33" s="184">
        <f>MAX(0,-F33)</f>
        <v>1699.6400000000012</v>
      </c>
      <c r="I33" s="206">
        <f>IF(OR(G33=0,H33=0),"",H33*G33*3/2)</f>
        <v>33755.519000003813</v>
      </c>
      <c r="J33" s="421" t="str">
        <f>IF(F33&lt;0,"ACHTUNG: Überstunden",IF(F33&gt;0,"Reserve möglich","OK"))</f>
        <v>ACHTUNG: Überstunden</v>
      </c>
      <c r="K33" s="422"/>
      <c r="L33" s="422"/>
      <c r="M33" s="422"/>
      <c r="N33" s="422"/>
      <c r="O33" s="422"/>
      <c r="P33" s="422"/>
      <c r="Q33" s="423"/>
    </row>
    <row r="34" spans="2:17" ht="42" customHeight="1">
      <c r="B34" s="179" t="s">
        <v>460</v>
      </c>
      <c r="C34" s="180" t="s">
        <v>186</v>
      </c>
      <c r="D34" s="181">
        <f>August!Q12+September!Q13+Oktober!Q13</f>
        <v>24643.25</v>
      </c>
      <c r="E34" s="181">
        <f>EINSTELLUNG!L13+EINSTELLUNG!L14+EINSTELLUNG!L15</f>
        <v>27900</v>
      </c>
      <c r="F34" s="181">
        <f>Oktober!Q15</f>
        <v>-1065.8999999999996</v>
      </c>
      <c r="G34" s="202">
        <f>Oktober!Q42</f>
        <v>12.760536817149571</v>
      </c>
      <c r="H34" s="181">
        <f>MAX(0,-F34)</f>
        <v>1065.8999999999996</v>
      </c>
      <c r="I34" s="205">
        <f>IF(OR(G34=0,H34=0),"",H34*G34*3/2)</f>
        <v>20402.184290099583</v>
      </c>
      <c r="J34" s="418" t="str">
        <f>IF(F34&lt;0,"ACHTUNG: Überstunden",IF(F34&gt;0,"Reserve möglich","OK"))</f>
        <v>ACHTUNG: Überstunden</v>
      </c>
      <c r="K34" s="419"/>
      <c r="L34" s="419"/>
      <c r="M34" s="419"/>
      <c r="N34" s="419"/>
      <c r="O34" s="419"/>
      <c r="P34" s="419"/>
      <c r="Q34" s="420"/>
    </row>
    <row r="35" spans="2:17" ht="42" customHeight="1" thickBot="1">
      <c r="B35" s="185" t="s">
        <v>531</v>
      </c>
      <c r="C35" s="186" t="s">
        <v>532</v>
      </c>
      <c r="D35" s="187">
        <f>November!Q12+Dezember!Q13+E30</f>
        <v>15576.259999999998</v>
      </c>
      <c r="E35" s="187">
        <f>EINSTELLUNG!L16+EINSTELLUNG!L17+I30</f>
        <v>27600</v>
      </c>
      <c r="F35" s="187">
        <f>D35-E35</f>
        <v>-12023.740000000002</v>
      </c>
      <c r="G35" s="204">
        <f>Dezember!Q42</f>
        <v>12.776402999658597</v>
      </c>
      <c r="H35" s="187">
        <f>MAX(0,-F35)</f>
        <v>12023.740000000002</v>
      </c>
      <c r="I35" s="207">
        <f>IF(OR(G35=0,H35=0),"",H35*G35*3/2)</f>
        <v>230430.22170467261</v>
      </c>
      <c r="J35" s="424" t="str">
        <f>IF(F35&lt;0,"ACHTUNG: Überstunden",IF(F35&gt;0,"Reserve möglich","OK"))</f>
        <v>ACHTUNG: Überstunden</v>
      </c>
      <c r="K35" s="425"/>
      <c r="L35" s="425"/>
      <c r="M35" s="425"/>
      <c r="N35" s="425"/>
      <c r="O35" s="425"/>
      <c r="P35" s="425"/>
      <c r="Q35" s="426"/>
    </row>
    <row r="36" spans="2:17" ht="40" customHeight="1" thickBot="1">
      <c r="B36" s="412" t="s">
        <v>533</v>
      </c>
      <c r="C36" s="413"/>
      <c r="D36" s="413"/>
      <c r="E36" s="413"/>
      <c r="F36" s="413"/>
      <c r="G36" s="413"/>
      <c r="H36" s="413"/>
      <c r="I36" s="413"/>
      <c r="J36" s="413"/>
      <c r="K36" s="413"/>
      <c r="L36" s="413"/>
      <c r="M36" s="413"/>
      <c r="N36" s="413"/>
      <c r="O36" s="413"/>
      <c r="P36" s="413"/>
      <c r="Q36" s="414"/>
    </row>
    <row r="37" spans="2:17">
      <c r="B37" s="178"/>
      <c r="C37" s="178"/>
      <c r="D37" s="178"/>
      <c r="E37" s="178"/>
      <c r="F37" s="178"/>
      <c r="G37" s="178"/>
      <c r="H37" s="178"/>
      <c r="I37" s="178"/>
      <c r="J37" s="178"/>
      <c r="K37" s="178"/>
      <c r="L37" s="178"/>
      <c r="M37" s="178"/>
      <c r="N37" s="178"/>
      <c r="O37" s="178"/>
      <c r="P37" s="178"/>
      <c r="Q37" s="178"/>
    </row>
    <row r="38" spans="2:17" ht="40" customHeight="1"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P38" s="178"/>
      <c r="Q38" s="178"/>
    </row>
  </sheetData>
  <sheetProtection algorithmName="SHA-512" hashValue="2oOX2UDq2bqZIGV3PZ7zU00iqvdnJG4kgyGTLfeP8iuI89zIJNS7Xl58EurS+tTpj5psKSRCcs5F8INZVQKE1w==" saltValue="RXaroo1+9j2GrSPkSM79BQ==" spinCount="100000" sheet="1" objects="1" scenarios="1" selectLockedCells="1" sort="0" autoFilter="0" selectUnlockedCells="1"/>
  <mergeCells count="21">
    <mergeCell ref="B28:Q28"/>
    <mergeCell ref="B29:Q29"/>
    <mergeCell ref="B30:D30"/>
    <mergeCell ref="F30:H30"/>
    <mergeCell ref="B36:Q36"/>
    <mergeCell ref="J31:Q31"/>
    <mergeCell ref="J32:Q32"/>
    <mergeCell ref="J33:Q33"/>
    <mergeCell ref="J34:Q34"/>
    <mergeCell ref="J35:Q35"/>
    <mergeCell ref="J30:Q30"/>
    <mergeCell ref="B25:E27"/>
    <mergeCell ref="B2:Q3"/>
    <mergeCell ref="L4:L6"/>
    <mergeCell ref="M4:M6"/>
    <mergeCell ref="B4:B6"/>
    <mergeCell ref="Q4:Q6"/>
    <mergeCell ref="C4:E5"/>
    <mergeCell ref="N4:P5"/>
    <mergeCell ref="F4:H5"/>
    <mergeCell ref="I4:K5"/>
  </mergeCells>
  <conditionalFormatting sqref="J32:J35">
    <cfRule type="expression" dxfId="0" priority="1" stopIfTrue="1">
      <formula>J32="OK"</formula>
    </cfRule>
  </conditionalFormatting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2D849-D845-564E-BDB5-7C32DCEB5328}">
  <sheetPr codeName="Tabelle13"/>
  <dimension ref="A1:K12"/>
  <sheetViews>
    <sheetView workbookViewId="0">
      <selection activeCell="F18" sqref="F18"/>
    </sheetView>
  </sheetViews>
  <sheetFormatPr baseColWidth="10" defaultRowHeight="14.5"/>
  <cols>
    <col min="1" max="1" width="9.90625" bestFit="1" customWidth="1"/>
    <col min="2" max="2" width="10.36328125" bestFit="1" customWidth="1"/>
    <col min="3" max="3" width="22.81640625" bestFit="1" customWidth="1"/>
    <col min="4" max="4" width="13.08984375" style="84" bestFit="1" customWidth="1"/>
    <col min="5" max="5" width="13.6328125" style="84" bestFit="1" customWidth="1"/>
    <col min="6" max="6" width="29.36328125" bestFit="1" customWidth="1"/>
    <col min="7" max="7" width="19.54296875" bestFit="1" customWidth="1"/>
    <col min="8" max="8" width="13.54296875" style="86" bestFit="1" customWidth="1"/>
    <col min="9" max="9" width="10.08984375" style="86" bestFit="1" customWidth="1"/>
    <col min="10" max="10" width="12" style="86" bestFit="1" customWidth="1"/>
    <col min="11" max="11" width="26.54296875" bestFit="1" customWidth="1"/>
  </cols>
  <sheetData>
    <row r="1" spans="1:11">
      <c r="A1" s="82" t="s">
        <v>217</v>
      </c>
      <c r="B1" s="82" t="s">
        <v>191</v>
      </c>
      <c r="C1" s="82" t="s">
        <v>40</v>
      </c>
      <c r="D1" s="83" t="s">
        <v>218</v>
      </c>
      <c r="E1" s="83" t="s">
        <v>219</v>
      </c>
      <c r="F1" s="82" t="s">
        <v>194</v>
      </c>
      <c r="G1" s="82" t="s">
        <v>224</v>
      </c>
      <c r="H1" s="85" t="s">
        <v>220</v>
      </c>
      <c r="I1" s="85" t="s">
        <v>221</v>
      </c>
      <c r="J1" s="85" t="s">
        <v>225</v>
      </c>
      <c r="K1" s="82" t="s">
        <v>222</v>
      </c>
    </row>
    <row r="2" spans="1:11">
      <c r="A2" t="s">
        <v>289</v>
      </c>
      <c r="B2">
        <v>401691</v>
      </c>
      <c r="C2" t="s">
        <v>264</v>
      </c>
      <c r="D2" s="84">
        <v>45539</v>
      </c>
      <c r="E2" s="84">
        <v>46047</v>
      </c>
      <c r="F2" t="s">
        <v>307</v>
      </c>
      <c r="G2">
        <v>509</v>
      </c>
      <c r="H2" s="86">
        <v>0.5</v>
      </c>
      <c r="I2" s="86">
        <v>1.25</v>
      </c>
      <c r="J2" s="86">
        <v>0.625</v>
      </c>
      <c r="K2" t="s">
        <v>290</v>
      </c>
    </row>
    <row r="3" spans="1:11">
      <c r="A3" t="s">
        <v>349</v>
      </c>
      <c r="B3">
        <v>600000</v>
      </c>
      <c r="C3" t="s">
        <v>336</v>
      </c>
      <c r="D3" s="84">
        <v>46054</v>
      </c>
      <c r="E3" s="84">
        <v>46055</v>
      </c>
      <c r="F3" t="s">
        <v>354</v>
      </c>
      <c r="G3">
        <v>2</v>
      </c>
      <c r="H3" s="86">
        <v>0.75</v>
      </c>
      <c r="I3" s="86">
        <v>0.3</v>
      </c>
      <c r="J3" s="86">
        <v>0.22499999999999998</v>
      </c>
      <c r="K3" t="s">
        <v>230</v>
      </c>
    </row>
    <row r="4" spans="1:11">
      <c r="A4" t="s">
        <v>321</v>
      </c>
      <c r="B4">
        <v>401754</v>
      </c>
      <c r="C4" t="s">
        <v>286</v>
      </c>
      <c r="D4" s="84">
        <v>46014</v>
      </c>
      <c r="E4" s="84">
        <v>46096</v>
      </c>
      <c r="F4" t="s">
        <v>322</v>
      </c>
      <c r="G4">
        <v>83</v>
      </c>
      <c r="H4" s="86">
        <v>1</v>
      </c>
      <c r="I4" s="86">
        <v>0.5</v>
      </c>
      <c r="J4" s="86">
        <v>0.5</v>
      </c>
      <c r="K4" t="s">
        <v>230</v>
      </c>
    </row>
    <row r="5" spans="1:11">
      <c r="A5" t="s">
        <v>179</v>
      </c>
      <c r="B5">
        <v>401703</v>
      </c>
      <c r="C5" t="s">
        <v>266</v>
      </c>
      <c r="D5" s="84">
        <v>45616</v>
      </c>
      <c r="E5" s="84">
        <v>46144</v>
      </c>
      <c r="F5" t="s">
        <v>322</v>
      </c>
      <c r="G5">
        <v>529</v>
      </c>
      <c r="H5" s="86">
        <v>1</v>
      </c>
      <c r="I5" s="86">
        <v>1.25</v>
      </c>
      <c r="J5" s="86">
        <v>1.25</v>
      </c>
      <c r="K5" t="s">
        <v>231</v>
      </c>
    </row>
    <row r="6" spans="1:11">
      <c r="A6" t="s">
        <v>180</v>
      </c>
      <c r="B6">
        <v>401047</v>
      </c>
      <c r="C6" t="s">
        <v>238</v>
      </c>
      <c r="D6" s="84">
        <v>41154</v>
      </c>
      <c r="E6" s="84">
        <v>46193</v>
      </c>
      <c r="F6" t="s">
        <v>196</v>
      </c>
      <c r="G6">
        <v>5040</v>
      </c>
      <c r="H6" s="86">
        <v>0</v>
      </c>
      <c r="I6" s="86">
        <v>2</v>
      </c>
      <c r="J6" s="86">
        <v>0</v>
      </c>
      <c r="K6" t="s">
        <v>228</v>
      </c>
    </row>
    <row r="7" spans="1:11">
      <c r="A7" t="s">
        <v>182</v>
      </c>
      <c r="B7">
        <v>401476</v>
      </c>
      <c r="C7" t="s">
        <v>249</v>
      </c>
      <c r="D7" s="84">
        <v>44504</v>
      </c>
      <c r="E7" s="84">
        <v>46210</v>
      </c>
      <c r="F7" t="s">
        <v>206</v>
      </c>
      <c r="G7">
        <v>1707</v>
      </c>
      <c r="H7" s="86">
        <v>1.1000000000000001</v>
      </c>
      <c r="I7" s="86">
        <v>1.5</v>
      </c>
      <c r="J7" s="86">
        <v>1.6500000000000001</v>
      </c>
      <c r="K7" t="s">
        <v>226</v>
      </c>
    </row>
    <row r="8" spans="1:11">
      <c r="A8" t="s">
        <v>183</v>
      </c>
      <c r="B8">
        <v>401746</v>
      </c>
      <c r="C8" t="s">
        <v>282</v>
      </c>
      <c r="D8" s="84">
        <v>45941</v>
      </c>
      <c r="E8" s="84">
        <v>46249</v>
      </c>
      <c r="F8" t="s">
        <v>322</v>
      </c>
      <c r="G8">
        <v>309</v>
      </c>
      <c r="H8" s="86">
        <v>1</v>
      </c>
      <c r="I8" s="86">
        <v>1</v>
      </c>
      <c r="J8" s="86">
        <v>1</v>
      </c>
      <c r="K8" t="s">
        <v>231</v>
      </c>
    </row>
    <row r="9" spans="1:11">
      <c r="A9" t="s">
        <v>183</v>
      </c>
      <c r="B9">
        <v>401747</v>
      </c>
      <c r="C9" t="s">
        <v>280</v>
      </c>
      <c r="D9" s="84">
        <v>45941</v>
      </c>
      <c r="E9" s="84">
        <v>46250</v>
      </c>
      <c r="F9" t="s">
        <v>307</v>
      </c>
      <c r="G9">
        <v>310</v>
      </c>
      <c r="H9" s="86">
        <v>0.5</v>
      </c>
      <c r="I9" s="86">
        <v>1</v>
      </c>
      <c r="J9" s="86">
        <v>0.5</v>
      </c>
      <c r="K9" t="s">
        <v>290</v>
      </c>
    </row>
    <row r="10" spans="1:11">
      <c r="A10" t="s">
        <v>184</v>
      </c>
      <c r="B10">
        <v>401558</v>
      </c>
      <c r="C10" t="s">
        <v>248</v>
      </c>
      <c r="D10" s="84">
        <v>44460</v>
      </c>
      <c r="E10" s="84">
        <v>46275</v>
      </c>
      <c r="F10" t="s">
        <v>307</v>
      </c>
      <c r="G10">
        <v>1816</v>
      </c>
      <c r="H10" s="86">
        <v>0.5</v>
      </c>
      <c r="I10" s="86">
        <v>1.5</v>
      </c>
      <c r="J10" s="86">
        <v>0.75</v>
      </c>
      <c r="K10" t="s">
        <v>290</v>
      </c>
    </row>
    <row r="11" spans="1:11">
      <c r="A11" t="s">
        <v>186</v>
      </c>
      <c r="B11">
        <v>401047</v>
      </c>
      <c r="C11" t="s">
        <v>238</v>
      </c>
      <c r="D11" s="84">
        <v>41154</v>
      </c>
      <c r="E11" s="84">
        <v>46305</v>
      </c>
      <c r="F11" t="s">
        <v>322</v>
      </c>
      <c r="G11">
        <v>5152</v>
      </c>
      <c r="H11" s="86">
        <v>1</v>
      </c>
      <c r="I11" s="86">
        <v>2</v>
      </c>
      <c r="J11" s="86">
        <v>2</v>
      </c>
      <c r="K11" t="s">
        <v>226</v>
      </c>
    </row>
    <row r="12" spans="1:11">
      <c r="A12" t="s">
        <v>187</v>
      </c>
      <c r="B12">
        <v>700000</v>
      </c>
      <c r="C12" t="s">
        <v>347</v>
      </c>
      <c r="D12" s="84">
        <v>46054</v>
      </c>
      <c r="E12" s="84">
        <v>46336</v>
      </c>
      <c r="F12" t="s">
        <v>322</v>
      </c>
      <c r="G12">
        <v>283</v>
      </c>
      <c r="H12" s="86">
        <v>1</v>
      </c>
      <c r="I12" s="86">
        <v>1</v>
      </c>
      <c r="J12" s="86">
        <v>1</v>
      </c>
      <c r="K12" t="s">
        <v>231</v>
      </c>
    </row>
  </sheetData>
  <sheetProtection algorithmName="SHA-512" hashValue="ejzLyzUa838J4xFPNwwqsi00RuCCIWG4V3KDk+nP2gAai9q7jcHZ+KjDgGlfyfkGbuPcMf4h910Oh1m1Wlol+g==" saltValue="OjZVux8qhmoAPMFpPp6QRg==" spinCount="100000" sheet="1" objects="1" scenarios="1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933E-DBC5-5D44-B5DD-FA9F59ABAFA7}">
  <sheetPr codeName="Tabelle15"/>
  <dimension ref="A1:S86"/>
  <sheetViews>
    <sheetView showGridLines="0" zoomScale="110" zoomScaleNormal="110" workbookViewId="0">
      <selection activeCell="D15" sqref="D15:E15"/>
    </sheetView>
  </sheetViews>
  <sheetFormatPr baseColWidth="10" defaultColWidth="10.81640625" defaultRowHeight="15" customHeight="1"/>
  <cols>
    <col min="1" max="1" width="16.6328125" style="189" customWidth="1"/>
    <col min="2" max="2" width="20.6328125" style="189" customWidth="1"/>
    <col min="3" max="5" width="26.6328125" style="189" customWidth="1"/>
    <col min="6" max="7" width="18.6328125" style="189" customWidth="1"/>
    <col min="8" max="8" width="22.6328125" style="189" customWidth="1"/>
    <col min="9" max="12" width="36.6328125" style="189" customWidth="1"/>
    <col min="13" max="15" width="10.81640625" style="189"/>
    <col min="16" max="19" width="2.6328125" style="189" customWidth="1"/>
    <col min="20" max="16384" width="10.81640625" style="189"/>
  </cols>
  <sheetData>
    <row r="1" spans="1:17" ht="44" customHeight="1">
      <c r="A1" s="430" t="s">
        <v>361</v>
      </c>
      <c r="B1" s="431"/>
      <c r="C1" s="431"/>
      <c r="D1" s="431"/>
      <c r="E1" s="431"/>
      <c r="P1" s="189" t="s">
        <v>217</v>
      </c>
      <c r="Q1" s="189" t="s">
        <v>229</v>
      </c>
    </row>
    <row r="2" spans="1:17" ht="15" customHeight="1">
      <c r="A2" s="190" t="s">
        <v>362</v>
      </c>
      <c r="B2" s="190">
        <v>2026</v>
      </c>
      <c r="C2" s="190" t="s">
        <v>363</v>
      </c>
      <c r="D2" s="191" t="s">
        <v>477</v>
      </c>
      <c r="P2" s="189" t="s">
        <v>289</v>
      </c>
      <c r="Q2" s="189">
        <v>1</v>
      </c>
    </row>
    <row r="3" spans="1:17" ht="15" customHeight="1">
      <c r="P3" s="189" t="s">
        <v>349</v>
      </c>
      <c r="Q3" s="189">
        <v>1</v>
      </c>
    </row>
    <row r="4" spans="1:17" ht="15" customHeight="1" thickBot="1">
      <c r="A4" s="432" t="s">
        <v>365</v>
      </c>
      <c r="B4" s="433"/>
      <c r="C4" s="433"/>
      <c r="D4" s="433"/>
      <c r="E4" s="433"/>
      <c r="P4" s="189" t="s">
        <v>321</v>
      </c>
      <c r="Q4" s="189">
        <v>1</v>
      </c>
    </row>
    <row r="5" spans="1:17" ht="30" customHeight="1">
      <c r="A5" s="440" t="s">
        <v>300</v>
      </c>
      <c r="B5" s="442" t="s">
        <v>481</v>
      </c>
      <c r="C5" s="434" t="s">
        <v>487</v>
      </c>
      <c r="D5" s="435"/>
      <c r="E5" s="436"/>
      <c r="P5" s="189" t="s">
        <v>179</v>
      </c>
      <c r="Q5" s="189">
        <v>1</v>
      </c>
    </row>
    <row r="6" spans="1:17" ht="30" customHeight="1" thickBot="1">
      <c r="A6" s="441"/>
      <c r="B6" s="441"/>
      <c r="C6" s="437"/>
      <c r="D6" s="438"/>
      <c r="E6" s="439"/>
      <c r="P6" s="189" t="s">
        <v>180</v>
      </c>
      <c r="Q6" s="189">
        <v>1</v>
      </c>
    </row>
    <row r="7" spans="1:17" ht="15" customHeight="1">
      <c r="P7" s="189" t="s">
        <v>182</v>
      </c>
      <c r="Q7" s="189">
        <v>1</v>
      </c>
    </row>
    <row r="8" spans="1:17" ht="30" customHeight="1">
      <c r="A8" s="193" t="s">
        <v>223</v>
      </c>
      <c r="B8" s="193" t="s">
        <v>366</v>
      </c>
      <c r="C8" s="193" t="s">
        <v>225</v>
      </c>
      <c r="D8" s="193" t="s">
        <v>367</v>
      </c>
      <c r="E8" s="193" t="s">
        <v>368</v>
      </c>
      <c r="P8" s="189" t="s">
        <v>183</v>
      </c>
      <c r="Q8" s="189">
        <v>2</v>
      </c>
    </row>
    <row r="9" spans="1:17" ht="22" customHeight="1">
      <c r="A9" s="194">
        <v>11</v>
      </c>
      <c r="B9" s="195">
        <v>6.9204152249134954E-2</v>
      </c>
      <c r="C9" s="196">
        <v>9.5</v>
      </c>
      <c r="D9" s="194">
        <v>7</v>
      </c>
      <c r="E9" s="194">
        <v>0</v>
      </c>
      <c r="P9" s="189" t="s">
        <v>184</v>
      </c>
      <c r="Q9" s="189">
        <v>1</v>
      </c>
    </row>
    <row r="10" spans="1:17" ht="15" customHeight="1">
      <c r="P10" s="189" t="s">
        <v>186</v>
      </c>
      <c r="Q10" s="189">
        <v>1</v>
      </c>
    </row>
    <row r="11" spans="1:17" ht="15" customHeight="1">
      <c r="A11" s="197" t="s">
        <v>369</v>
      </c>
      <c r="P11" s="189" t="s">
        <v>187</v>
      </c>
      <c r="Q11" s="189">
        <v>1</v>
      </c>
    </row>
    <row r="12" spans="1:17" ht="22" customHeight="1">
      <c r="A12" s="192" t="s">
        <v>370</v>
      </c>
      <c r="B12" s="192" t="s">
        <v>371</v>
      </c>
      <c r="C12" s="192" t="s">
        <v>372</v>
      </c>
      <c r="D12" s="443" t="s">
        <v>373</v>
      </c>
      <c r="E12" s="443"/>
    </row>
    <row r="13" spans="1:17" ht="57.25" customHeight="1">
      <c r="A13" s="194">
        <v>1</v>
      </c>
      <c r="B13" s="198" t="s">
        <v>230</v>
      </c>
      <c r="C13" s="198" t="s">
        <v>386</v>
      </c>
      <c r="D13" s="429" t="s">
        <v>374</v>
      </c>
      <c r="E13" s="429"/>
    </row>
    <row r="14" spans="1:17" ht="73" customHeight="1">
      <c r="A14" s="194">
        <v>2</v>
      </c>
      <c r="B14" s="198" t="s">
        <v>230</v>
      </c>
      <c r="C14" s="198" t="s">
        <v>387</v>
      </c>
      <c r="D14" s="429" t="s">
        <v>374</v>
      </c>
      <c r="E14" s="429"/>
    </row>
    <row r="15" spans="1:17" ht="57.25" customHeight="1">
      <c r="A15" s="194">
        <v>3</v>
      </c>
      <c r="B15" s="198" t="s">
        <v>231</v>
      </c>
      <c r="C15" s="198" t="s">
        <v>488</v>
      </c>
      <c r="D15" s="429" t="s">
        <v>377</v>
      </c>
      <c r="E15" s="429"/>
    </row>
    <row r="16" spans="1:17" ht="73" customHeight="1">
      <c r="A16" s="194">
        <v>4</v>
      </c>
      <c r="B16" s="198" t="s">
        <v>375</v>
      </c>
      <c r="C16" s="198" t="s">
        <v>388</v>
      </c>
      <c r="D16" s="429" t="s">
        <v>376</v>
      </c>
      <c r="E16" s="429"/>
    </row>
    <row r="17" spans="1:17" ht="57.25" customHeight="1">
      <c r="A17" s="194">
        <v>5</v>
      </c>
      <c r="B17" s="198" t="s">
        <v>231</v>
      </c>
      <c r="C17" s="198" t="s">
        <v>389</v>
      </c>
      <c r="D17" s="429" t="s">
        <v>377</v>
      </c>
      <c r="E17" s="429"/>
    </row>
    <row r="18" spans="1:17" ht="57.25" customHeight="1">
      <c r="A18" s="194">
        <v>6</v>
      </c>
      <c r="B18" s="198" t="s">
        <v>375</v>
      </c>
      <c r="C18" s="198" t="s">
        <v>390</v>
      </c>
      <c r="D18" s="429" t="s">
        <v>376</v>
      </c>
      <c r="E18" s="429"/>
    </row>
    <row r="19" spans="1:17" ht="57.25" customHeight="1">
      <c r="A19" s="194">
        <v>7</v>
      </c>
      <c r="B19" s="198" t="s">
        <v>231</v>
      </c>
      <c r="C19" s="198" t="s">
        <v>391</v>
      </c>
      <c r="D19" s="429" t="s">
        <v>377</v>
      </c>
      <c r="E19" s="429"/>
    </row>
    <row r="20" spans="1:17" ht="15" customHeight="1">
      <c r="P20" s="189" t="s">
        <v>222</v>
      </c>
      <c r="Q20" s="189" t="s">
        <v>382</v>
      </c>
    </row>
    <row r="21" spans="1:17" ht="15" customHeight="1">
      <c r="P21" s="189" t="s">
        <v>323</v>
      </c>
      <c r="Q21" s="189">
        <v>2</v>
      </c>
    </row>
    <row r="22" spans="1:17" ht="15" customHeight="1">
      <c r="A22" s="197" t="s">
        <v>378</v>
      </c>
      <c r="P22" s="189" t="s">
        <v>350</v>
      </c>
      <c r="Q22" s="189">
        <v>2</v>
      </c>
    </row>
    <row r="23" spans="1:17" ht="41.5" customHeight="1">
      <c r="A23" s="194">
        <v>1</v>
      </c>
      <c r="B23" s="429" t="s">
        <v>379</v>
      </c>
      <c r="C23" s="429"/>
      <c r="D23" s="429"/>
      <c r="E23" s="429"/>
      <c r="P23" s="189" t="s">
        <v>227</v>
      </c>
      <c r="Q23" s="189">
        <v>3</v>
      </c>
    </row>
    <row r="24" spans="1:17" ht="41.5" customHeight="1">
      <c r="A24" s="194">
        <v>2</v>
      </c>
      <c r="B24" s="429" t="s">
        <v>380</v>
      </c>
      <c r="C24" s="429"/>
      <c r="D24" s="429"/>
      <c r="E24" s="429"/>
      <c r="P24" s="189" t="s">
        <v>383</v>
      </c>
      <c r="Q24" s="189">
        <v>3</v>
      </c>
    </row>
    <row r="25" spans="1:17" ht="41.5" customHeight="1">
      <c r="A25" s="194">
        <v>3</v>
      </c>
      <c r="B25" s="429" t="s">
        <v>381</v>
      </c>
      <c r="C25" s="429"/>
      <c r="D25" s="429"/>
      <c r="E25" s="429"/>
      <c r="P25" s="189" t="s">
        <v>486</v>
      </c>
      <c r="Q25" s="189">
        <v>1</v>
      </c>
    </row>
    <row r="26" spans="1:17" ht="41.5" customHeight="1">
      <c r="A26" s="194">
        <v>4</v>
      </c>
      <c r="B26" s="429" t="s">
        <v>482</v>
      </c>
      <c r="C26" s="429"/>
      <c r="D26" s="429"/>
      <c r="E26" s="429"/>
    </row>
    <row r="28" spans="1:17" ht="15" customHeight="1">
      <c r="A28" s="444" t="s">
        <v>384</v>
      </c>
      <c r="B28" s="444"/>
      <c r="C28" s="444"/>
      <c r="D28" s="444"/>
      <c r="E28" s="444"/>
    </row>
    <row r="29" spans="1:17" ht="18" customHeight="1"/>
    <row r="30" spans="1:17" ht="18" customHeight="1"/>
    <row r="31" spans="1:17" ht="18" customHeight="1"/>
    <row r="32" spans="1:17" ht="18" customHeight="1"/>
    <row r="33" spans="18:19" ht="18" customHeight="1"/>
    <row r="34" spans="18:19" ht="18" customHeight="1"/>
    <row r="35" spans="18:19" ht="18" customHeight="1"/>
    <row r="36" spans="18:19" ht="18" customHeight="1"/>
    <row r="37" spans="18:19" ht="18" customHeight="1"/>
    <row r="38" spans="18:19" ht="18" customHeight="1"/>
    <row r="39" spans="18:19" ht="18" customHeight="1"/>
    <row r="40" spans="18:19" ht="18" customHeight="1">
      <c r="R40" s="189" t="s">
        <v>194</v>
      </c>
      <c r="S40" s="189" t="s">
        <v>382</v>
      </c>
    </row>
    <row r="41" spans="18:19" ht="18" customHeight="1">
      <c r="R41" s="189" t="s">
        <v>307</v>
      </c>
      <c r="S41" s="189">
        <v>3</v>
      </c>
    </row>
    <row r="42" spans="18:19" ht="18" customHeight="1">
      <c r="R42" s="189" t="s">
        <v>354</v>
      </c>
      <c r="S42" s="189">
        <v>1</v>
      </c>
    </row>
    <row r="43" spans="18:19" ht="18" customHeight="1">
      <c r="R43" s="189" t="s">
        <v>322</v>
      </c>
      <c r="S43" s="189">
        <v>5</v>
      </c>
    </row>
    <row r="44" spans="18:19" ht="18" customHeight="1">
      <c r="R44" s="189" t="s">
        <v>196</v>
      </c>
      <c r="S44" s="189">
        <v>1</v>
      </c>
    </row>
    <row r="45" spans="18:19" ht="18" customHeight="1">
      <c r="R45" s="189" t="s">
        <v>206</v>
      </c>
      <c r="S45" s="189">
        <v>1</v>
      </c>
    </row>
    <row r="46" spans="18:19" ht="18" customHeight="1"/>
    <row r="47" spans="18:19" ht="18" customHeight="1"/>
    <row r="48" spans="18:19" ht="18" customHeight="1"/>
    <row r="49" spans="1:13" ht="18" customHeight="1"/>
    <row r="50" spans="1:13" ht="18" customHeight="1"/>
    <row r="51" spans="1:13" ht="18" customHeight="1"/>
    <row r="52" spans="1:13" ht="18" customHeight="1"/>
    <row r="53" spans="1:13" ht="18" customHeight="1"/>
    <row r="54" spans="1:13" ht="18" customHeight="1"/>
    <row r="55" spans="1:13" ht="18" customHeight="1"/>
    <row r="56" spans="1:13" ht="18" customHeight="1"/>
    <row r="57" spans="1:13" ht="18" customHeight="1"/>
    <row r="58" spans="1:13" ht="18" customHeight="1"/>
    <row r="59" spans="1:13" ht="18" customHeight="1"/>
    <row r="60" spans="1:13" ht="18" customHeight="1"/>
    <row r="62" spans="1:13" ht="15" customHeight="1">
      <c r="A62" s="445" t="s">
        <v>385</v>
      </c>
      <c r="B62" s="431"/>
      <c r="C62" s="431"/>
      <c r="D62" s="431"/>
      <c r="E62" s="431"/>
      <c r="F62" s="431"/>
      <c r="G62" s="431"/>
      <c r="H62" s="431"/>
      <c r="I62" s="431"/>
      <c r="J62" s="431"/>
      <c r="K62" s="431"/>
      <c r="L62" s="431"/>
      <c r="M62" s="431"/>
    </row>
    <row r="64" spans="1:13" ht="15" customHeight="1">
      <c r="A64" s="194" t="s">
        <v>217</v>
      </c>
      <c r="B64" s="194" t="s">
        <v>229</v>
      </c>
      <c r="C64" s="194" t="s">
        <v>233</v>
      </c>
      <c r="D64" s="194" t="s">
        <v>225</v>
      </c>
      <c r="E64" s="194" t="s">
        <v>288</v>
      </c>
      <c r="F64" s="194" t="s">
        <v>323</v>
      </c>
      <c r="G64" s="194" t="s">
        <v>350</v>
      </c>
      <c r="H64" s="194" t="s">
        <v>227</v>
      </c>
      <c r="I64" s="194" t="s">
        <v>483</v>
      </c>
      <c r="J64" s="194" t="s">
        <v>308</v>
      </c>
      <c r="K64" s="194" t="s">
        <v>306</v>
      </c>
      <c r="L64" s="194"/>
      <c r="M64" s="194"/>
    </row>
    <row r="65" spans="1:13" ht="42" customHeight="1">
      <c r="A65" s="199" t="s">
        <v>289</v>
      </c>
      <c r="B65" s="199">
        <v>1</v>
      </c>
      <c r="C65" s="200">
        <v>1.9607843137254902E-2</v>
      </c>
      <c r="D65" s="201">
        <v>0.625</v>
      </c>
      <c r="E65" s="201">
        <v>0.625</v>
      </c>
      <c r="F65" s="199">
        <v>0</v>
      </c>
      <c r="G65" s="199">
        <v>0</v>
      </c>
      <c r="H65" s="199">
        <v>0</v>
      </c>
      <c r="I65" s="199">
        <v>0</v>
      </c>
      <c r="J65" s="198" t="s">
        <v>309</v>
      </c>
      <c r="K65" s="429" t="s">
        <v>291</v>
      </c>
      <c r="L65" s="429"/>
      <c r="M65" s="429"/>
    </row>
    <row r="66" spans="1:13" ht="42" customHeight="1">
      <c r="A66" s="199" t="s">
        <v>349</v>
      </c>
      <c r="B66" s="199">
        <v>1</v>
      </c>
      <c r="C66" s="200">
        <v>1.7241379310344827E-2</v>
      </c>
      <c r="D66" s="201">
        <v>0.22499999999999998</v>
      </c>
      <c r="E66" s="201">
        <v>0.22499999999999998</v>
      </c>
      <c r="F66" s="199">
        <v>1</v>
      </c>
      <c r="G66" s="199">
        <v>0</v>
      </c>
      <c r="H66" s="199">
        <v>0</v>
      </c>
      <c r="I66" s="199">
        <v>0</v>
      </c>
      <c r="J66" s="198" t="s">
        <v>360</v>
      </c>
      <c r="K66" s="429" t="s">
        <v>325</v>
      </c>
      <c r="L66" s="429"/>
      <c r="M66" s="429"/>
    </row>
    <row r="67" spans="1:13" ht="42" customHeight="1">
      <c r="A67" s="199" t="s">
        <v>321</v>
      </c>
      <c r="B67" s="199">
        <v>1</v>
      </c>
      <c r="C67" s="200">
        <v>1.6949152542372881E-2</v>
      </c>
      <c r="D67" s="201">
        <v>0.5</v>
      </c>
      <c r="E67" s="201">
        <v>0.5</v>
      </c>
      <c r="F67" s="199">
        <v>1</v>
      </c>
      <c r="G67" s="199">
        <v>0</v>
      </c>
      <c r="H67" s="199">
        <v>0</v>
      </c>
      <c r="I67" s="199">
        <v>0</v>
      </c>
      <c r="J67" s="198" t="s">
        <v>324</v>
      </c>
      <c r="K67" s="429" t="s">
        <v>325</v>
      </c>
      <c r="L67" s="429"/>
      <c r="M67" s="429"/>
    </row>
    <row r="68" spans="1:13" ht="42" customHeight="1">
      <c r="A68" s="199" t="s">
        <v>179</v>
      </c>
      <c r="B68" s="199">
        <v>1</v>
      </c>
      <c r="C68" s="200">
        <v>1.6393442622950821E-2</v>
      </c>
      <c r="D68" s="201">
        <v>1.25</v>
      </c>
      <c r="E68" s="201">
        <v>1.25</v>
      </c>
      <c r="F68" s="199">
        <v>0</v>
      </c>
      <c r="G68" s="199">
        <v>0</v>
      </c>
      <c r="H68" s="199">
        <v>1</v>
      </c>
      <c r="I68" s="199">
        <v>0</v>
      </c>
      <c r="J68" s="198" t="s">
        <v>324</v>
      </c>
      <c r="K68" s="429" t="s">
        <v>327</v>
      </c>
      <c r="L68" s="429"/>
      <c r="M68" s="429"/>
    </row>
    <row r="69" spans="1:13" ht="42" customHeight="1">
      <c r="A69" s="199" t="s">
        <v>180</v>
      </c>
      <c r="B69" s="199">
        <v>1</v>
      </c>
      <c r="C69" s="200">
        <v>1.6393442622950821E-2</v>
      </c>
      <c r="D69" s="201">
        <v>0</v>
      </c>
      <c r="E69" s="201">
        <v>0</v>
      </c>
      <c r="F69" s="199">
        <v>0</v>
      </c>
      <c r="G69" s="199">
        <v>0</v>
      </c>
      <c r="H69" s="199">
        <v>0</v>
      </c>
      <c r="I69" s="199">
        <v>1</v>
      </c>
      <c r="J69" s="198" t="s">
        <v>484</v>
      </c>
      <c r="K69" s="429" t="s">
        <v>485</v>
      </c>
      <c r="L69" s="429"/>
      <c r="M69" s="429"/>
    </row>
    <row r="70" spans="1:13" ht="42" customHeight="1">
      <c r="A70" s="199" t="s">
        <v>182</v>
      </c>
      <c r="B70" s="199">
        <v>1</v>
      </c>
      <c r="C70" s="200">
        <v>1.6393442622950821E-2</v>
      </c>
      <c r="D70" s="201">
        <v>1.6500000000000001</v>
      </c>
      <c r="E70" s="201">
        <v>1.6500000000000001</v>
      </c>
      <c r="F70" s="199">
        <v>0</v>
      </c>
      <c r="G70" s="199">
        <v>1</v>
      </c>
      <c r="H70" s="199">
        <v>0</v>
      </c>
      <c r="I70" s="199">
        <v>0</v>
      </c>
      <c r="J70" s="198" t="s">
        <v>359</v>
      </c>
      <c r="K70" s="429" t="s">
        <v>351</v>
      </c>
      <c r="L70" s="429"/>
      <c r="M70" s="429"/>
    </row>
    <row r="71" spans="1:13" ht="42" customHeight="1">
      <c r="A71" s="199" t="s">
        <v>183</v>
      </c>
      <c r="B71" s="199">
        <v>2</v>
      </c>
      <c r="C71" s="200">
        <v>3.3898305084745763E-2</v>
      </c>
      <c r="D71" s="201">
        <v>1.5</v>
      </c>
      <c r="E71" s="201">
        <v>0.75</v>
      </c>
      <c r="F71" s="199">
        <v>0</v>
      </c>
      <c r="G71" s="199">
        <v>0</v>
      </c>
      <c r="H71" s="199">
        <v>1</v>
      </c>
      <c r="I71" s="199">
        <v>0</v>
      </c>
      <c r="J71" s="198" t="s">
        <v>355</v>
      </c>
      <c r="K71" s="429" t="s">
        <v>327</v>
      </c>
      <c r="L71" s="429"/>
      <c r="M71" s="429"/>
    </row>
    <row r="72" spans="1:13" ht="42" customHeight="1">
      <c r="A72" s="199" t="s">
        <v>184</v>
      </c>
      <c r="B72" s="199">
        <v>1</v>
      </c>
      <c r="C72" s="200">
        <v>1.7241379310344827E-2</v>
      </c>
      <c r="D72" s="201">
        <v>0.75</v>
      </c>
      <c r="E72" s="201">
        <v>0.75</v>
      </c>
      <c r="F72" s="199">
        <v>0</v>
      </c>
      <c r="G72" s="199">
        <v>0</v>
      </c>
      <c r="H72" s="199">
        <v>0</v>
      </c>
      <c r="I72" s="199">
        <v>0</v>
      </c>
      <c r="J72" s="198" t="s">
        <v>309</v>
      </c>
      <c r="K72" s="429" t="s">
        <v>291</v>
      </c>
      <c r="L72" s="429"/>
      <c r="M72" s="429"/>
    </row>
    <row r="73" spans="1:13" ht="42" customHeight="1">
      <c r="A73" s="199" t="s">
        <v>186</v>
      </c>
      <c r="B73" s="199">
        <v>1</v>
      </c>
      <c r="C73" s="200">
        <v>1.7543859649122806E-2</v>
      </c>
      <c r="D73" s="201">
        <v>2</v>
      </c>
      <c r="E73" s="201">
        <v>2</v>
      </c>
      <c r="F73" s="199">
        <v>0</v>
      </c>
      <c r="G73" s="199">
        <v>1</v>
      </c>
      <c r="H73" s="199">
        <v>0</v>
      </c>
      <c r="I73" s="199">
        <v>0</v>
      </c>
      <c r="J73" s="198" t="s">
        <v>324</v>
      </c>
      <c r="K73" s="429" t="s">
        <v>351</v>
      </c>
      <c r="L73" s="429"/>
      <c r="M73" s="429"/>
    </row>
    <row r="74" spans="1:13" ht="42" customHeight="1">
      <c r="A74" s="199" t="s">
        <v>187</v>
      </c>
      <c r="B74" s="199">
        <v>1</v>
      </c>
      <c r="C74" s="200">
        <v>1.7857142857142856E-2</v>
      </c>
      <c r="D74" s="201">
        <v>1</v>
      </c>
      <c r="E74" s="201">
        <v>1</v>
      </c>
      <c r="F74" s="199">
        <v>0</v>
      </c>
      <c r="G74" s="199">
        <v>0</v>
      </c>
      <c r="H74" s="199">
        <v>1</v>
      </c>
      <c r="I74" s="199">
        <v>0</v>
      </c>
      <c r="J74" s="198" t="s">
        <v>324</v>
      </c>
      <c r="K74" s="429" t="s">
        <v>327</v>
      </c>
      <c r="L74" s="429"/>
      <c r="M74" s="429"/>
    </row>
    <row r="78" spans="1:13" ht="15" customHeight="1">
      <c r="A78" s="447" t="s">
        <v>310</v>
      </c>
      <c r="B78" s="448"/>
      <c r="C78" s="448"/>
      <c r="D78" s="448"/>
      <c r="E78" s="448"/>
    </row>
    <row r="79" spans="1:13" ht="41.5" customHeight="1">
      <c r="A79" s="192" t="s">
        <v>232</v>
      </c>
      <c r="B79" s="446" t="s">
        <v>234</v>
      </c>
      <c r="C79" s="446"/>
      <c r="D79" s="446"/>
      <c r="E79" s="446"/>
    </row>
    <row r="80" spans="1:13" ht="41.5" customHeight="1">
      <c r="A80" s="192" t="s">
        <v>225</v>
      </c>
      <c r="B80" s="446" t="s">
        <v>311</v>
      </c>
      <c r="C80" s="446"/>
      <c r="D80" s="446"/>
      <c r="E80" s="446"/>
    </row>
    <row r="81" spans="1:5" ht="41.5" customHeight="1">
      <c r="A81" s="192" t="s">
        <v>287</v>
      </c>
      <c r="B81" s="446" t="s">
        <v>312</v>
      </c>
      <c r="C81" s="446"/>
      <c r="D81" s="446"/>
      <c r="E81" s="446"/>
    </row>
    <row r="82" spans="1:5" ht="41.5" customHeight="1">
      <c r="A82" s="192" t="s">
        <v>230</v>
      </c>
      <c r="B82" s="446" t="s">
        <v>313</v>
      </c>
      <c r="C82" s="446"/>
      <c r="D82" s="446"/>
      <c r="E82" s="446"/>
    </row>
    <row r="83" spans="1:5" ht="41.5" customHeight="1">
      <c r="A83" s="192" t="s">
        <v>226</v>
      </c>
      <c r="B83" s="446" t="s">
        <v>314</v>
      </c>
      <c r="C83" s="446"/>
      <c r="D83" s="446"/>
      <c r="E83" s="446"/>
    </row>
    <row r="84" spans="1:5" ht="41.5" customHeight="1">
      <c r="A84" s="192" t="s">
        <v>231</v>
      </c>
      <c r="B84" s="446" t="s">
        <v>315</v>
      </c>
      <c r="C84" s="446"/>
      <c r="D84" s="446"/>
      <c r="E84" s="446"/>
    </row>
    <row r="85" spans="1:5" ht="28" customHeight="1">
      <c r="A85" s="192" t="s">
        <v>228</v>
      </c>
      <c r="B85" s="446" t="s">
        <v>316</v>
      </c>
      <c r="C85" s="446"/>
      <c r="D85" s="446"/>
      <c r="E85" s="446"/>
    </row>
    <row r="86" spans="1:5" ht="28" customHeight="1">
      <c r="A86" s="192" t="s">
        <v>317</v>
      </c>
      <c r="B86" s="446" t="s">
        <v>318</v>
      </c>
      <c r="C86" s="446"/>
      <c r="D86" s="446"/>
      <c r="E86" s="446"/>
    </row>
  </sheetData>
  <sheetProtection algorithmName="SHA-512" hashValue="2u4FyavXgzrvadvVteOWT9IW7Mv5+acoYvS+mtGsihwtyLsIlOWRc65VVP8RRwLxB78WvwtC7zLF6rdY/jJ/Jg==" saltValue="Mb2i2L7AAIDCvxRo2OklOA==" spinCount="100000" sheet="1" objects="1" scenarios="1" sort="0" autoFilter="0"/>
  <mergeCells count="38">
    <mergeCell ref="B86:E86"/>
    <mergeCell ref="A78:E78"/>
    <mergeCell ref="K73:M73"/>
    <mergeCell ref="B84:E84"/>
    <mergeCell ref="B85:E85"/>
    <mergeCell ref="B82:E82"/>
    <mergeCell ref="B83:E83"/>
    <mergeCell ref="B79:E79"/>
    <mergeCell ref="B80:E80"/>
    <mergeCell ref="B81:E81"/>
    <mergeCell ref="K68:M68"/>
    <mergeCell ref="K69:M69"/>
    <mergeCell ref="K70:M70"/>
    <mergeCell ref="K71:M71"/>
    <mergeCell ref="K74:M74"/>
    <mergeCell ref="K72:M72"/>
    <mergeCell ref="D18:E18"/>
    <mergeCell ref="B23:E23"/>
    <mergeCell ref="B24:E24"/>
    <mergeCell ref="B25:E25"/>
    <mergeCell ref="D19:E19"/>
    <mergeCell ref="B26:E26"/>
    <mergeCell ref="K65:M65"/>
    <mergeCell ref="K66:M66"/>
    <mergeCell ref="K67:M67"/>
    <mergeCell ref="A28:E28"/>
    <mergeCell ref="A62:M62"/>
    <mergeCell ref="D17:E17"/>
    <mergeCell ref="A1:E1"/>
    <mergeCell ref="A4:E4"/>
    <mergeCell ref="C5:E6"/>
    <mergeCell ref="A5:A6"/>
    <mergeCell ref="B5:B6"/>
    <mergeCell ref="D12:E12"/>
    <mergeCell ref="D13:E13"/>
    <mergeCell ref="D14:E14"/>
    <mergeCell ref="D15:E15"/>
    <mergeCell ref="D16:E16"/>
  </mergeCells>
  <pageMargins left="0.7" right="0.7" top="0.78740157499999996" bottom="0.78740157499999996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E165-69D4-4EAA-ABDB-6F60416433EE}">
  <sheetPr codeName="Tabelle17"/>
  <dimension ref="A1"/>
  <sheetViews>
    <sheetView zoomScaleNormal="100" workbookViewId="0">
      <selection activeCell="K53" sqref="K53"/>
    </sheetView>
  </sheetViews>
  <sheetFormatPr baseColWidth="10" defaultColWidth="11.453125" defaultRowHeight="14.5"/>
  <sheetData>
    <row r="1" spans="1:1">
      <c r="A1" t="b">
        <v>1</v>
      </c>
    </row>
  </sheetData>
  <sheetProtection algorithmName="SHA-512" hashValue="VqYWeQ5p8S1qZcOiwKq/ldlmDx9yBgZOcQ6fCAdjaQkuCdI9lHyt/ze0wziTryex/rvp7k/gYEtUJ8bSCZ9MWA==" saltValue="bF2w1hw4zrQQA+qtdIOPTg==" spinCount="100000" sheet="1" objects="1" scenarios="1" sort="0" autoFilter="0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570CF-0E37-164B-AC1A-89F5DBCA3306}">
  <sheetPr codeName="Tabelle21"/>
  <dimension ref="A1:AJY15"/>
  <sheetViews>
    <sheetView workbookViewId="0"/>
  </sheetViews>
  <sheetFormatPr baseColWidth="10" defaultRowHeight="14.5"/>
  <sheetData>
    <row r="1" spans="1:961">
      <c r="A1" s="86">
        <v>173</v>
      </c>
      <c r="B1" s="86">
        <v>173</v>
      </c>
      <c r="C1" s="86">
        <v>173</v>
      </c>
      <c r="D1" s="86">
        <v>173</v>
      </c>
      <c r="E1" s="86">
        <v>173</v>
      </c>
      <c r="F1" s="86">
        <v>173</v>
      </c>
      <c r="G1" s="86">
        <v>173</v>
      </c>
      <c r="H1" s="86">
        <v>173</v>
      </c>
      <c r="I1" s="86">
        <v>173</v>
      </c>
      <c r="J1" s="86">
        <v>173</v>
      </c>
      <c r="K1" s="86">
        <v>173</v>
      </c>
      <c r="L1" s="86">
        <v>173</v>
      </c>
      <c r="M1" s="86">
        <v>173</v>
      </c>
      <c r="N1" s="86">
        <v>173</v>
      </c>
      <c r="O1" s="86">
        <v>173</v>
      </c>
      <c r="P1" s="86">
        <v>173</v>
      </c>
      <c r="Q1" s="86">
        <v>173</v>
      </c>
      <c r="R1" s="86">
        <v>173</v>
      </c>
      <c r="S1" s="86">
        <v>173</v>
      </c>
      <c r="T1" s="86">
        <v>173</v>
      </c>
      <c r="U1" s="86">
        <v>173</v>
      </c>
      <c r="V1" s="86">
        <v>173</v>
      </c>
      <c r="W1" s="86">
        <v>173</v>
      </c>
      <c r="X1" s="86">
        <v>173</v>
      </c>
      <c r="Y1" s="86">
        <v>173</v>
      </c>
      <c r="Z1" s="86">
        <v>173</v>
      </c>
      <c r="AA1" s="86">
        <v>173</v>
      </c>
      <c r="AB1" s="86">
        <v>173</v>
      </c>
      <c r="AC1" s="86">
        <v>173</v>
      </c>
      <c r="AD1" s="86">
        <v>173</v>
      </c>
      <c r="AE1" s="86">
        <v>173</v>
      </c>
      <c r="AF1" s="86">
        <v>173</v>
      </c>
      <c r="AG1" s="86">
        <v>173</v>
      </c>
      <c r="AH1" s="86">
        <v>173</v>
      </c>
      <c r="AI1" s="86">
        <v>173</v>
      </c>
      <c r="AJ1" s="86">
        <v>173</v>
      </c>
      <c r="AK1" s="86">
        <v>173</v>
      </c>
      <c r="AL1" s="86">
        <v>173</v>
      </c>
      <c r="AM1" s="86">
        <v>173</v>
      </c>
      <c r="AN1" s="86">
        <v>173</v>
      </c>
      <c r="AO1" s="86">
        <v>173</v>
      </c>
      <c r="AP1" s="86">
        <v>173</v>
      </c>
      <c r="AQ1" s="86">
        <v>173</v>
      </c>
      <c r="AR1" s="86">
        <v>173</v>
      </c>
      <c r="AS1" s="86">
        <v>173</v>
      </c>
      <c r="AT1" s="86">
        <v>173</v>
      </c>
      <c r="AU1" s="86">
        <v>173</v>
      </c>
      <c r="AV1" s="86">
        <v>173</v>
      </c>
      <c r="AW1" s="86">
        <v>173</v>
      </c>
      <c r="AX1" s="86">
        <v>173</v>
      </c>
      <c r="AY1" s="86">
        <v>173</v>
      </c>
      <c r="AZ1" s="86">
        <v>173</v>
      </c>
      <c r="CC1" s="86">
        <v>173</v>
      </c>
      <c r="CD1" s="86">
        <v>173</v>
      </c>
      <c r="CE1" s="86">
        <v>173</v>
      </c>
      <c r="CF1" s="86">
        <v>173</v>
      </c>
      <c r="CG1" s="86">
        <v>173</v>
      </c>
      <c r="CH1" s="86">
        <v>173</v>
      </c>
      <c r="CI1" s="86">
        <v>173</v>
      </c>
      <c r="CJ1" s="86">
        <v>173</v>
      </c>
      <c r="CK1" s="86">
        <v>173</v>
      </c>
      <c r="CL1" s="86">
        <v>173</v>
      </c>
      <c r="CM1" s="86">
        <v>173</v>
      </c>
      <c r="CN1" s="86">
        <v>173</v>
      </c>
      <c r="CO1" s="86">
        <v>173</v>
      </c>
      <c r="CP1" s="86">
        <v>173</v>
      </c>
      <c r="CQ1" s="86">
        <v>173</v>
      </c>
      <c r="CR1" s="86">
        <v>173</v>
      </c>
      <c r="CS1" s="86">
        <v>173</v>
      </c>
      <c r="CT1" s="86">
        <v>173</v>
      </c>
      <c r="CU1" s="86">
        <v>173</v>
      </c>
      <c r="CV1" s="86">
        <v>173</v>
      </c>
      <c r="CW1" s="86">
        <v>173</v>
      </c>
      <c r="CX1" s="86">
        <v>173</v>
      </c>
      <c r="CY1" s="86">
        <v>173</v>
      </c>
      <c r="CZ1" s="86">
        <v>173</v>
      </c>
      <c r="DA1" s="86">
        <v>173</v>
      </c>
      <c r="DB1" s="86">
        <v>173</v>
      </c>
      <c r="DC1" s="86">
        <v>173</v>
      </c>
      <c r="DD1" s="86">
        <v>173</v>
      </c>
      <c r="DE1" s="86">
        <v>173</v>
      </c>
      <c r="DF1" s="86">
        <v>173</v>
      </c>
      <c r="DG1" s="86">
        <v>173</v>
      </c>
      <c r="DH1" s="86">
        <v>173</v>
      </c>
      <c r="DI1" s="86">
        <v>173</v>
      </c>
      <c r="DJ1" s="86">
        <v>173</v>
      </c>
      <c r="DK1" s="86">
        <v>173</v>
      </c>
      <c r="DL1" s="86">
        <v>173</v>
      </c>
      <c r="DM1" s="86">
        <v>173</v>
      </c>
      <c r="DN1" s="86">
        <v>173</v>
      </c>
      <c r="DO1" s="86">
        <v>173</v>
      </c>
      <c r="DP1" s="86">
        <v>173</v>
      </c>
      <c r="DQ1" s="86">
        <v>173</v>
      </c>
      <c r="DR1" s="86">
        <v>173</v>
      </c>
      <c r="DS1" s="86">
        <v>173</v>
      </c>
      <c r="DT1" s="86">
        <v>173</v>
      </c>
      <c r="DU1" s="86">
        <v>173</v>
      </c>
      <c r="DV1" s="86">
        <v>173</v>
      </c>
      <c r="DW1" s="86">
        <v>173</v>
      </c>
      <c r="DX1" s="86">
        <v>173</v>
      </c>
      <c r="DY1" s="86">
        <v>173</v>
      </c>
      <c r="DZ1" s="86">
        <v>173</v>
      </c>
      <c r="EA1" s="86">
        <v>173</v>
      </c>
      <c r="EB1" s="86">
        <v>173</v>
      </c>
      <c r="EC1" s="86">
        <v>173</v>
      </c>
      <c r="ED1" s="86">
        <v>173</v>
      </c>
      <c r="EE1" s="86">
        <v>173</v>
      </c>
      <c r="EF1" s="86">
        <v>173</v>
      </c>
      <c r="EG1" s="86">
        <v>173</v>
      </c>
      <c r="EH1" s="86">
        <v>173</v>
      </c>
      <c r="EI1" s="86">
        <v>173</v>
      </c>
      <c r="FE1" s="86">
        <v>173</v>
      </c>
      <c r="FF1" s="86">
        <v>173</v>
      </c>
      <c r="FG1" s="86">
        <v>173</v>
      </c>
      <c r="FH1" s="86">
        <v>173</v>
      </c>
      <c r="FI1" s="86">
        <v>173</v>
      </c>
      <c r="FJ1" s="86">
        <v>173</v>
      </c>
      <c r="FK1" s="86">
        <v>173</v>
      </c>
      <c r="FL1" s="86">
        <v>173</v>
      </c>
      <c r="FM1" s="86">
        <v>173</v>
      </c>
      <c r="FN1" s="86">
        <v>173</v>
      </c>
      <c r="FO1" s="86">
        <v>173</v>
      </c>
      <c r="FP1" s="86">
        <v>173</v>
      </c>
      <c r="FQ1" s="86">
        <v>173</v>
      </c>
      <c r="FR1" s="86">
        <v>173</v>
      </c>
      <c r="FS1" s="86">
        <v>173</v>
      </c>
      <c r="FT1" s="86">
        <v>173</v>
      </c>
      <c r="FU1" s="86">
        <v>173</v>
      </c>
      <c r="FV1" s="86">
        <v>173</v>
      </c>
      <c r="FW1" s="86">
        <v>173</v>
      </c>
      <c r="FX1" s="86">
        <v>173</v>
      </c>
      <c r="FY1" s="86">
        <v>173</v>
      </c>
      <c r="FZ1" s="86">
        <v>173</v>
      </c>
      <c r="GA1" s="86">
        <v>173</v>
      </c>
      <c r="GB1" s="86">
        <v>173</v>
      </c>
      <c r="GC1" s="86">
        <v>173</v>
      </c>
      <c r="GD1" s="86">
        <v>173</v>
      </c>
      <c r="GE1" s="86">
        <v>173</v>
      </c>
      <c r="GF1" s="86">
        <v>173</v>
      </c>
      <c r="GG1" s="86">
        <v>173</v>
      </c>
      <c r="GH1" s="86">
        <v>173</v>
      </c>
      <c r="GI1" s="86">
        <v>173</v>
      </c>
      <c r="GJ1" s="86">
        <v>173</v>
      </c>
      <c r="GK1" s="86">
        <v>173</v>
      </c>
      <c r="GL1" s="86">
        <v>173</v>
      </c>
      <c r="GM1" s="86">
        <v>173</v>
      </c>
      <c r="GN1" s="86">
        <v>173</v>
      </c>
      <c r="GO1" s="86">
        <v>173</v>
      </c>
      <c r="GP1" s="86">
        <v>173</v>
      </c>
      <c r="GQ1" s="86">
        <v>173</v>
      </c>
      <c r="GR1" s="86">
        <v>173</v>
      </c>
      <c r="GS1" s="86">
        <v>173</v>
      </c>
      <c r="GT1" s="86">
        <v>173</v>
      </c>
      <c r="GU1" s="86">
        <v>173</v>
      </c>
      <c r="GV1" s="86">
        <v>173</v>
      </c>
      <c r="GW1" s="86">
        <v>173</v>
      </c>
      <c r="GX1" s="86">
        <v>173</v>
      </c>
      <c r="GY1" s="86">
        <v>173</v>
      </c>
      <c r="GZ1" s="86">
        <v>173</v>
      </c>
      <c r="HA1" s="86">
        <v>173</v>
      </c>
      <c r="HB1" s="86">
        <v>173</v>
      </c>
      <c r="HC1" s="86">
        <v>173</v>
      </c>
      <c r="HD1" s="86">
        <v>173</v>
      </c>
      <c r="HE1" s="86">
        <v>173</v>
      </c>
      <c r="HF1" s="86">
        <v>173</v>
      </c>
      <c r="HG1" s="86">
        <v>173</v>
      </c>
      <c r="HH1" s="86">
        <v>173</v>
      </c>
      <c r="HI1" s="86">
        <v>173</v>
      </c>
      <c r="HJ1" s="86">
        <v>173</v>
      </c>
      <c r="HK1" s="86">
        <v>173</v>
      </c>
      <c r="HL1" s="86">
        <v>173</v>
      </c>
      <c r="IG1" s="86">
        <v>173</v>
      </c>
      <c r="IH1" s="86">
        <v>173</v>
      </c>
      <c r="II1" s="86">
        <v>173</v>
      </c>
      <c r="IJ1" s="86">
        <v>173</v>
      </c>
      <c r="IK1" s="86">
        <v>173</v>
      </c>
      <c r="IL1" s="86">
        <v>173</v>
      </c>
      <c r="IM1" s="86">
        <v>173</v>
      </c>
      <c r="IN1" s="86">
        <v>173</v>
      </c>
      <c r="IO1" s="86">
        <v>173</v>
      </c>
      <c r="IP1" s="86">
        <v>173</v>
      </c>
      <c r="IQ1" s="86">
        <v>173</v>
      </c>
      <c r="IR1" s="86">
        <v>173</v>
      </c>
      <c r="IS1" s="86">
        <v>173</v>
      </c>
      <c r="IT1" s="86">
        <v>173</v>
      </c>
      <c r="IU1" s="86">
        <v>173</v>
      </c>
      <c r="IV1" s="86">
        <v>173</v>
      </c>
      <c r="IW1" s="86">
        <v>173</v>
      </c>
      <c r="IX1" s="86">
        <v>173</v>
      </c>
      <c r="IY1" s="86">
        <v>173</v>
      </c>
      <c r="IZ1" s="86">
        <v>173</v>
      </c>
      <c r="JA1" s="86">
        <v>173</v>
      </c>
      <c r="JB1" s="86">
        <v>173</v>
      </c>
      <c r="JC1" s="86">
        <v>173</v>
      </c>
      <c r="JD1" s="86">
        <v>173</v>
      </c>
      <c r="JE1" s="86">
        <v>173</v>
      </c>
      <c r="JF1" s="86">
        <v>173</v>
      </c>
      <c r="JG1" s="86">
        <v>173</v>
      </c>
      <c r="JH1" s="86">
        <v>173</v>
      </c>
      <c r="JI1" s="86">
        <v>173</v>
      </c>
      <c r="JJ1" s="86">
        <v>173</v>
      </c>
      <c r="JK1" s="86">
        <v>173</v>
      </c>
      <c r="JL1" s="86">
        <v>173</v>
      </c>
      <c r="JM1" s="86">
        <v>173</v>
      </c>
      <c r="JN1" s="86">
        <v>173</v>
      </c>
      <c r="JO1" s="86">
        <v>173</v>
      </c>
      <c r="JP1" s="86">
        <v>173</v>
      </c>
      <c r="JQ1" s="86">
        <v>173</v>
      </c>
      <c r="JR1" s="86">
        <v>173</v>
      </c>
      <c r="JS1" s="86">
        <v>173</v>
      </c>
      <c r="JT1" s="86">
        <v>173</v>
      </c>
      <c r="JU1" s="86">
        <v>173</v>
      </c>
      <c r="JV1" s="86">
        <v>173</v>
      </c>
      <c r="JW1" s="86">
        <v>173</v>
      </c>
      <c r="JX1" s="86">
        <v>173</v>
      </c>
      <c r="JY1" s="86">
        <v>173</v>
      </c>
      <c r="JZ1" s="86">
        <v>173</v>
      </c>
      <c r="KA1" s="86">
        <v>173</v>
      </c>
      <c r="KB1" s="86">
        <v>173</v>
      </c>
      <c r="KC1" s="86">
        <v>173</v>
      </c>
      <c r="KD1" s="86">
        <v>173</v>
      </c>
      <c r="KE1" s="86">
        <v>173</v>
      </c>
      <c r="KF1" s="86">
        <v>173</v>
      </c>
      <c r="KG1" s="86">
        <v>173</v>
      </c>
      <c r="KH1" s="86">
        <v>173</v>
      </c>
      <c r="KI1" s="86">
        <v>173</v>
      </c>
      <c r="KJ1" s="86">
        <v>173</v>
      </c>
      <c r="KK1" s="86">
        <v>173</v>
      </c>
      <c r="KL1" s="86">
        <v>173</v>
      </c>
      <c r="KM1" s="86">
        <v>173</v>
      </c>
      <c r="KN1" s="86">
        <v>173</v>
      </c>
      <c r="LI1" s="86">
        <v>173</v>
      </c>
      <c r="LJ1" s="86">
        <v>173</v>
      </c>
      <c r="LK1" s="86">
        <v>173</v>
      </c>
      <c r="LL1" s="86">
        <v>173</v>
      </c>
      <c r="LM1" s="86">
        <v>173</v>
      </c>
      <c r="LN1" s="86">
        <v>173</v>
      </c>
      <c r="LO1" s="86">
        <v>173</v>
      </c>
      <c r="LP1" s="86">
        <v>173</v>
      </c>
      <c r="LQ1" s="86">
        <v>173</v>
      </c>
      <c r="LR1" s="86">
        <v>173</v>
      </c>
      <c r="LS1" s="86">
        <v>173</v>
      </c>
      <c r="LT1" s="86">
        <v>173</v>
      </c>
      <c r="LU1" s="86">
        <v>173</v>
      </c>
      <c r="LV1" s="86">
        <v>173</v>
      </c>
      <c r="LW1" s="86">
        <v>173</v>
      </c>
      <c r="LX1" s="86">
        <v>173</v>
      </c>
      <c r="LY1" s="86">
        <v>173</v>
      </c>
      <c r="LZ1" s="86">
        <v>173</v>
      </c>
      <c r="MA1" s="86">
        <v>173</v>
      </c>
      <c r="MB1" s="86">
        <v>173</v>
      </c>
      <c r="MC1" s="86">
        <v>173</v>
      </c>
      <c r="MD1" s="86">
        <v>173</v>
      </c>
      <c r="ME1" s="86">
        <v>173</v>
      </c>
      <c r="MF1" s="86">
        <v>173</v>
      </c>
      <c r="MG1" s="86">
        <v>173</v>
      </c>
      <c r="MH1" s="86">
        <v>173</v>
      </c>
      <c r="MI1" s="86">
        <v>173</v>
      </c>
      <c r="MJ1" s="86">
        <v>173</v>
      </c>
      <c r="MK1" s="86">
        <v>173</v>
      </c>
      <c r="ML1" s="86">
        <v>173</v>
      </c>
      <c r="MM1" s="86">
        <v>173</v>
      </c>
      <c r="MN1" s="86">
        <v>173</v>
      </c>
      <c r="MO1" s="86">
        <v>173</v>
      </c>
      <c r="MP1" s="86">
        <v>173</v>
      </c>
      <c r="MQ1" s="86">
        <v>173</v>
      </c>
      <c r="MR1" s="86">
        <v>173</v>
      </c>
      <c r="MS1" s="86">
        <v>173</v>
      </c>
      <c r="MT1" s="86">
        <v>173</v>
      </c>
      <c r="MU1" s="86">
        <v>173</v>
      </c>
      <c r="MV1" s="86">
        <v>173</v>
      </c>
      <c r="MW1" s="86">
        <v>173</v>
      </c>
      <c r="MX1" s="86">
        <v>173</v>
      </c>
      <c r="MY1" s="86">
        <v>173</v>
      </c>
      <c r="MZ1" s="86">
        <v>173</v>
      </c>
      <c r="NA1" s="86">
        <v>173</v>
      </c>
      <c r="NB1" s="86">
        <v>173</v>
      </c>
      <c r="NC1" s="86">
        <v>173</v>
      </c>
      <c r="ND1" s="86">
        <v>173</v>
      </c>
      <c r="NE1" s="86">
        <v>173</v>
      </c>
      <c r="NF1" s="86">
        <v>173</v>
      </c>
      <c r="NG1" s="86">
        <v>173</v>
      </c>
      <c r="NH1" s="86">
        <v>173</v>
      </c>
      <c r="NI1" s="86">
        <v>173</v>
      </c>
      <c r="NJ1" s="86">
        <v>173</v>
      </c>
      <c r="NK1" s="86">
        <v>173</v>
      </c>
      <c r="NL1" s="86">
        <v>173</v>
      </c>
      <c r="NM1" s="86">
        <v>173</v>
      </c>
      <c r="NN1" s="86">
        <v>173</v>
      </c>
      <c r="NO1" s="86">
        <v>173</v>
      </c>
      <c r="NP1" s="86">
        <v>173</v>
      </c>
      <c r="NQ1" s="86">
        <v>173</v>
      </c>
      <c r="NR1" s="86">
        <v>173</v>
      </c>
      <c r="OK1" s="86">
        <v>173</v>
      </c>
      <c r="OL1" s="86">
        <v>173</v>
      </c>
      <c r="OM1" s="86">
        <v>173</v>
      </c>
      <c r="ON1" s="86">
        <v>173</v>
      </c>
      <c r="OO1" s="86">
        <v>173</v>
      </c>
      <c r="OP1" s="86">
        <v>173</v>
      </c>
      <c r="OQ1" s="86">
        <v>173</v>
      </c>
      <c r="OR1" s="86">
        <v>173</v>
      </c>
      <c r="OS1" s="86">
        <v>173</v>
      </c>
      <c r="OT1" s="86">
        <v>173</v>
      </c>
      <c r="OU1" s="86">
        <v>173</v>
      </c>
      <c r="OV1" s="86">
        <v>173</v>
      </c>
      <c r="OW1" s="86">
        <v>173</v>
      </c>
      <c r="OX1" s="86">
        <v>173</v>
      </c>
      <c r="OY1" s="86">
        <v>173</v>
      </c>
      <c r="OZ1" s="86">
        <v>173</v>
      </c>
      <c r="PA1" s="86">
        <v>173</v>
      </c>
      <c r="PB1" s="86">
        <v>173</v>
      </c>
      <c r="PC1" s="86">
        <v>173</v>
      </c>
      <c r="PD1" s="86">
        <v>173</v>
      </c>
      <c r="PE1" s="86">
        <v>173</v>
      </c>
      <c r="PF1" s="86">
        <v>173</v>
      </c>
      <c r="PG1" s="86">
        <v>173</v>
      </c>
      <c r="PH1" s="86">
        <v>173</v>
      </c>
      <c r="PI1" s="86">
        <v>173</v>
      </c>
      <c r="PJ1" s="86">
        <v>173</v>
      </c>
      <c r="PK1" s="86">
        <v>173</v>
      </c>
      <c r="PL1" s="86">
        <v>173</v>
      </c>
      <c r="PM1" s="86">
        <v>173</v>
      </c>
      <c r="PN1" s="86">
        <v>173</v>
      </c>
      <c r="PO1" s="86">
        <v>173</v>
      </c>
      <c r="PP1" s="86">
        <v>173</v>
      </c>
      <c r="PQ1" s="86">
        <v>173</v>
      </c>
      <c r="PR1" s="86">
        <v>173</v>
      </c>
      <c r="PS1" s="86">
        <v>173</v>
      </c>
      <c r="PT1" s="86">
        <v>173</v>
      </c>
      <c r="PU1" s="86">
        <v>173</v>
      </c>
      <c r="PV1" s="86">
        <v>173</v>
      </c>
      <c r="PW1" s="86">
        <v>173</v>
      </c>
      <c r="PX1" s="86">
        <v>173</v>
      </c>
      <c r="PY1" s="86">
        <v>173</v>
      </c>
      <c r="PZ1" s="86">
        <v>173</v>
      </c>
      <c r="QA1" s="86">
        <v>173</v>
      </c>
      <c r="QB1" s="86">
        <v>173</v>
      </c>
      <c r="QC1" s="86">
        <v>173</v>
      </c>
      <c r="QD1" s="86">
        <v>173</v>
      </c>
      <c r="QE1" s="86">
        <v>173</v>
      </c>
      <c r="QF1" s="86">
        <v>173</v>
      </c>
      <c r="QG1" s="86">
        <v>173</v>
      </c>
      <c r="QH1" s="86">
        <v>173</v>
      </c>
      <c r="QI1" s="86">
        <v>173</v>
      </c>
      <c r="QJ1" s="86">
        <v>173</v>
      </c>
      <c r="QK1" s="86">
        <v>173</v>
      </c>
      <c r="QL1" s="86">
        <v>173</v>
      </c>
      <c r="QM1" s="86">
        <v>173</v>
      </c>
      <c r="QN1" s="86">
        <v>173</v>
      </c>
      <c r="QO1" s="86">
        <v>173</v>
      </c>
      <c r="QP1" s="86">
        <v>173</v>
      </c>
      <c r="QQ1" s="86">
        <v>173</v>
      </c>
      <c r="QR1" s="86">
        <v>173</v>
      </c>
      <c r="QS1" s="86">
        <v>173</v>
      </c>
      <c r="QT1" s="86">
        <v>173</v>
      </c>
      <c r="RM1" s="86">
        <v>173</v>
      </c>
      <c r="RN1" s="86">
        <v>173</v>
      </c>
      <c r="RO1" s="86">
        <v>173</v>
      </c>
      <c r="RP1" s="86">
        <v>173</v>
      </c>
      <c r="RQ1" s="86">
        <v>173</v>
      </c>
      <c r="RR1" s="86">
        <v>173</v>
      </c>
      <c r="RS1" s="86">
        <v>173</v>
      </c>
      <c r="RT1" s="86">
        <v>173</v>
      </c>
      <c r="RU1" s="86">
        <v>173</v>
      </c>
      <c r="RV1" s="86">
        <v>173</v>
      </c>
      <c r="RW1" s="86">
        <v>173</v>
      </c>
      <c r="RX1" s="86">
        <v>173</v>
      </c>
      <c r="RY1" s="86">
        <v>173</v>
      </c>
      <c r="RZ1" s="86">
        <v>173</v>
      </c>
      <c r="SA1" s="86">
        <v>173</v>
      </c>
      <c r="SB1" s="86">
        <v>173</v>
      </c>
      <c r="SC1" s="86">
        <v>173</v>
      </c>
      <c r="SD1" s="86">
        <v>173</v>
      </c>
      <c r="SE1" s="86">
        <v>173</v>
      </c>
      <c r="SF1" s="86">
        <v>173</v>
      </c>
      <c r="SG1" s="86">
        <v>173</v>
      </c>
      <c r="SH1" s="86">
        <v>173</v>
      </c>
      <c r="SI1" s="86">
        <v>173</v>
      </c>
      <c r="SJ1" s="86">
        <v>173</v>
      </c>
      <c r="SK1" s="86">
        <v>173</v>
      </c>
      <c r="SL1" s="86">
        <v>173</v>
      </c>
      <c r="SM1" s="86">
        <v>173</v>
      </c>
      <c r="SN1" s="86">
        <v>173</v>
      </c>
      <c r="SO1" s="86">
        <v>173</v>
      </c>
      <c r="SP1" s="86">
        <v>173</v>
      </c>
      <c r="SQ1" s="86">
        <v>173</v>
      </c>
      <c r="SR1" s="86">
        <v>173</v>
      </c>
      <c r="SS1" s="86">
        <v>173</v>
      </c>
      <c r="ST1" s="86">
        <v>173</v>
      </c>
      <c r="SU1" s="86">
        <v>173</v>
      </c>
      <c r="SV1" s="86">
        <v>173</v>
      </c>
      <c r="SW1" s="86">
        <v>173</v>
      </c>
      <c r="SX1" s="86">
        <v>173</v>
      </c>
      <c r="SY1" s="86">
        <v>173</v>
      </c>
      <c r="SZ1" s="86">
        <v>173</v>
      </c>
      <c r="TA1" s="86">
        <v>173</v>
      </c>
      <c r="TB1" s="86">
        <v>173</v>
      </c>
      <c r="TC1" s="86">
        <v>173</v>
      </c>
      <c r="TD1" s="86">
        <v>173</v>
      </c>
      <c r="TE1" s="86">
        <v>173</v>
      </c>
      <c r="TF1" s="86">
        <v>173</v>
      </c>
      <c r="TG1" s="86">
        <v>173</v>
      </c>
      <c r="TH1" s="86">
        <v>173</v>
      </c>
      <c r="TI1" s="86">
        <v>173</v>
      </c>
      <c r="TJ1" s="86">
        <v>173</v>
      </c>
      <c r="TK1" s="86">
        <v>173</v>
      </c>
      <c r="TL1" s="86">
        <v>173</v>
      </c>
      <c r="TM1" s="86">
        <v>173</v>
      </c>
      <c r="TN1" s="86">
        <v>173</v>
      </c>
      <c r="TO1" s="86">
        <v>173</v>
      </c>
      <c r="TP1" s="86">
        <v>173</v>
      </c>
      <c r="TQ1" s="86">
        <v>173</v>
      </c>
      <c r="TR1" s="86">
        <v>173</v>
      </c>
      <c r="TS1" s="86">
        <v>173</v>
      </c>
      <c r="TT1" s="86">
        <v>173</v>
      </c>
      <c r="TU1" s="86">
        <v>173</v>
      </c>
      <c r="TV1" s="86">
        <v>173</v>
      </c>
      <c r="UO1" s="86">
        <v>173</v>
      </c>
      <c r="UP1" s="86">
        <v>173</v>
      </c>
      <c r="UQ1" s="86">
        <v>173</v>
      </c>
      <c r="UR1" s="86">
        <v>173</v>
      </c>
      <c r="US1" s="86">
        <v>173</v>
      </c>
      <c r="UT1" s="86">
        <v>173</v>
      </c>
      <c r="UU1" s="86">
        <v>173</v>
      </c>
      <c r="UV1" s="86">
        <v>173</v>
      </c>
      <c r="UW1" s="86">
        <v>173</v>
      </c>
      <c r="UX1" s="86">
        <v>173</v>
      </c>
      <c r="UY1" s="86">
        <v>173</v>
      </c>
      <c r="UZ1" s="86">
        <v>173</v>
      </c>
      <c r="VA1" s="86">
        <v>173</v>
      </c>
      <c r="VB1" s="86">
        <v>173</v>
      </c>
      <c r="VC1" s="86">
        <v>173</v>
      </c>
      <c r="VD1" s="86">
        <v>173</v>
      </c>
      <c r="VE1" s="86">
        <v>173</v>
      </c>
      <c r="VF1" s="86">
        <v>173</v>
      </c>
      <c r="VG1" s="86">
        <v>173</v>
      </c>
      <c r="VH1" s="86">
        <v>173</v>
      </c>
      <c r="VI1" s="86">
        <v>173</v>
      </c>
      <c r="VJ1" s="86">
        <v>173</v>
      </c>
      <c r="VK1" s="86">
        <v>173</v>
      </c>
      <c r="VL1" s="86">
        <v>173</v>
      </c>
      <c r="VM1" s="86">
        <v>173</v>
      </c>
      <c r="VN1" s="86">
        <v>173</v>
      </c>
      <c r="VO1" s="86">
        <v>173</v>
      </c>
      <c r="VP1" s="86">
        <v>173</v>
      </c>
      <c r="VQ1" s="86">
        <v>173</v>
      </c>
      <c r="VR1" s="86">
        <v>173</v>
      </c>
      <c r="VS1" s="86">
        <v>173</v>
      </c>
      <c r="VT1" s="86">
        <v>173</v>
      </c>
      <c r="VU1" s="86">
        <v>173</v>
      </c>
      <c r="VV1" s="86">
        <v>173</v>
      </c>
      <c r="VW1" s="86">
        <v>173</v>
      </c>
      <c r="VX1" s="86">
        <v>173</v>
      </c>
      <c r="VY1" s="86">
        <v>173</v>
      </c>
      <c r="VZ1" s="86">
        <v>173</v>
      </c>
      <c r="WA1" s="86">
        <v>173</v>
      </c>
      <c r="WB1" s="86">
        <v>173</v>
      </c>
      <c r="WC1" s="86">
        <v>173</v>
      </c>
      <c r="WD1" s="86">
        <v>173</v>
      </c>
      <c r="WE1" s="86">
        <v>173</v>
      </c>
      <c r="WF1" s="86">
        <v>173</v>
      </c>
      <c r="WG1" s="86">
        <v>173</v>
      </c>
      <c r="WH1" s="86">
        <v>173</v>
      </c>
      <c r="WI1" s="86">
        <v>173</v>
      </c>
      <c r="WJ1" s="86">
        <v>173</v>
      </c>
      <c r="WK1" s="86">
        <v>173</v>
      </c>
      <c r="WL1" s="86">
        <v>173</v>
      </c>
      <c r="WM1" s="86">
        <v>173</v>
      </c>
      <c r="WN1" s="86">
        <v>173</v>
      </c>
      <c r="WO1" s="86">
        <v>173</v>
      </c>
      <c r="WP1" s="86">
        <v>173</v>
      </c>
      <c r="WQ1" s="86">
        <v>173</v>
      </c>
      <c r="WR1" s="86">
        <v>173</v>
      </c>
      <c r="WS1" s="86">
        <v>173</v>
      </c>
      <c r="WT1" s="86">
        <v>173</v>
      </c>
      <c r="WU1" s="86">
        <v>173</v>
      </c>
      <c r="WV1" s="86">
        <v>173</v>
      </c>
      <c r="WW1" s="86">
        <v>173</v>
      </c>
      <c r="XQ1" s="86">
        <v>173</v>
      </c>
      <c r="XR1" s="86">
        <v>173</v>
      </c>
      <c r="XS1" s="86">
        <v>173</v>
      </c>
      <c r="XT1" s="86">
        <v>173</v>
      </c>
      <c r="XU1" s="86">
        <v>173</v>
      </c>
      <c r="XV1" s="86">
        <v>173</v>
      </c>
      <c r="XW1" s="86">
        <v>173</v>
      </c>
      <c r="XX1" s="86">
        <v>173</v>
      </c>
      <c r="XY1" s="86">
        <v>173</v>
      </c>
      <c r="XZ1" s="86">
        <v>173</v>
      </c>
      <c r="YA1" s="86">
        <v>173</v>
      </c>
      <c r="YB1" s="86">
        <v>173</v>
      </c>
      <c r="YC1" s="86">
        <v>173</v>
      </c>
      <c r="YD1" s="86">
        <v>173</v>
      </c>
      <c r="YE1" s="86">
        <v>173</v>
      </c>
      <c r="YF1" s="86">
        <v>173</v>
      </c>
      <c r="YG1" s="86">
        <v>173</v>
      </c>
      <c r="YH1" s="86">
        <v>173</v>
      </c>
      <c r="YI1" s="86">
        <v>173</v>
      </c>
      <c r="YJ1" s="86">
        <v>173</v>
      </c>
      <c r="YK1" s="86">
        <v>173</v>
      </c>
      <c r="YL1" s="86">
        <v>173</v>
      </c>
      <c r="YM1" s="86">
        <v>173</v>
      </c>
      <c r="YN1" s="86">
        <v>173</v>
      </c>
      <c r="YO1" s="86">
        <v>173</v>
      </c>
      <c r="YP1" s="86">
        <v>173</v>
      </c>
      <c r="YQ1" s="86">
        <v>173</v>
      </c>
      <c r="YR1" s="86">
        <v>173</v>
      </c>
      <c r="YS1" s="86">
        <v>173</v>
      </c>
      <c r="YT1" s="86">
        <v>173</v>
      </c>
      <c r="YU1" s="86">
        <v>173</v>
      </c>
      <c r="YV1" s="86">
        <v>173</v>
      </c>
      <c r="YW1" s="86">
        <v>173</v>
      </c>
      <c r="YX1" s="86">
        <v>173</v>
      </c>
      <c r="YY1" s="86">
        <v>173</v>
      </c>
      <c r="YZ1" s="86">
        <v>173</v>
      </c>
      <c r="ZA1" s="86">
        <v>173</v>
      </c>
      <c r="ZB1" s="86">
        <v>173</v>
      </c>
      <c r="ZC1" s="86">
        <v>173</v>
      </c>
      <c r="ZD1" s="86">
        <v>173</v>
      </c>
      <c r="ZE1" s="86">
        <v>173</v>
      </c>
      <c r="ZF1" s="86">
        <v>173</v>
      </c>
      <c r="ZG1" s="86">
        <v>173</v>
      </c>
      <c r="ZH1" s="86">
        <v>173</v>
      </c>
      <c r="ZI1" s="86">
        <v>173</v>
      </c>
      <c r="ZJ1" s="86">
        <v>173</v>
      </c>
      <c r="ZK1" s="86">
        <v>173</v>
      </c>
      <c r="ZL1" s="86">
        <v>173</v>
      </c>
      <c r="ZM1" s="86">
        <v>173</v>
      </c>
      <c r="ZN1" s="86">
        <v>173</v>
      </c>
      <c r="ZO1" s="86">
        <v>173</v>
      </c>
      <c r="ZP1" s="86">
        <v>173</v>
      </c>
      <c r="ZQ1" s="86">
        <v>173</v>
      </c>
      <c r="ZR1" s="86">
        <v>173</v>
      </c>
      <c r="ZS1" s="86">
        <v>173</v>
      </c>
      <c r="ZT1" s="86">
        <v>173</v>
      </c>
      <c r="ZU1" s="86">
        <v>173</v>
      </c>
      <c r="ZV1" s="86">
        <v>173</v>
      </c>
      <c r="ZW1" s="86">
        <v>173</v>
      </c>
      <c r="AAS1" s="86">
        <v>173</v>
      </c>
      <c r="AAT1" s="86">
        <v>173</v>
      </c>
      <c r="AAU1" s="86">
        <v>173</v>
      </c>
      <c r="AAV1" s="86">
        <v>173</v>
      </c>
      <c r="AAW1" s="86">
        <v>173</v>
      </c>
      <c r="AAX1" s="86">
        <v>173</v>
      </c>
      <c r="AAY1" s="86">
        <v>173</v>
      </c>
      <c r="AAZ1" s="86">
        <v>173</v>
      </c>
      <c r="ABA1" s="86">
        <v>173</v>
      </c>
      <c r="ABB1" s="86">
        <v>173</v>
      </c>
      <c r="ABC1" s="86">
        <v>173</v>
      </c>
      <c r="ABD1" s="86">
        <v>173</v>
      </c>
      <c r="ABE1" s="86">
        <v>173</v>
      </c>
      <c r="ABF1" s="86">
        <v>173</v>
      </c>
      <c r="ABG1" s="86">
        <v>173</v>
      </c>
      <c r="ABH1" s="86">
        <v>173</v>
      </c>
      <c r="ABI1" s="86">
        <v>173</v>
      </c>
      <c r="ABJ1" s="86">
        <v>173</v>
      </c>
      <c r="ABK1" s="86">
        <v>173</v>
      </c>
      <c r="ABL1" s="86">
        <v>173</v>
      </c>
      <c r="ABM1" s="86">
        <v>173</v>
      </c>
      <c r="ABN1" s="86">
        <v>173</v>
      </c>
      <c r="ABO1" s="86">
        <v>173</v>
      </c>
      <c r="ABP1" s="86">
        <v>173</v>
      </c>
      <c r="ABQ1" s="86">
        <v>173</v>
      </c>
      <c r="ABR1" s="86">
        <v>173</v>
      </c>
      <c r="ABS1" s="86">
        <v>173</v>
      </c>
      <c r="ABT1" s="86">
        <v>173</v>
      </c>
      <c r="ABU1" s="86">
        <v>173</v>
      </c>
      <c r="ABV1" s="86">
        <v>173</v>
      </c>
      <c r="ABW1" s="86">
        <v>173</v>
      </c>
      <c r="ABX1" s="86">
        <v>173</v>
      </c>
      <c r="ABY1" s="86">
        <v>173</v>
      </c>
      <c r="ABZ1" s="86">
        <v>173</v>
      </c>
      <c r="ACA1" s="86">
        <v>173</v>
      </c>
      <c r="ACB1" s="86">
        <v>173</v>
      </c>
      <c r="ACC1" s="86">
        <v>173</v>
      </c>
      <c r="ACD1" s="86">
        <v>173</v>
      </c>
      <c r="ACE1" s="86">
        <v>173</v>
      </c>
      <c r="ACF1" s="86">
        <v>173</v>
      </c>
      <c r="ACG1" s="86">
        <v>173</v>
      </c>
      <c r="ACH1" s="86">
        <v>173</v>
      </c>
      <c r="ACI1" s="86">
        <v>173</v>
      </c>
      <c r="ACJ1" s="86">
        <v>173</v>
      </c>
      <c r="ACK1" s="86">
        <v>173</v>
      </c>
      <c r="ACL1" s="86">
        <v>173</v>
      </c>
      <c r="ACM1" s="86">
        <v>173</v>
      </c>
      <c r="ACN1" s="86">
        <v>173</v>
      </c>
      <c r="ACO1" s="86">
        <v>173</v>
      </c>
      <c r="ACP1" s="86">
        <v>173</v>
      </c>
      <c r="ACQ1" s="86">
        <v>173</v>
      </c>
      <c r="ACR1" s="86">
        <v>173</v>
      </c>
      <c r="ACS1" s="86">
        <v>173</v>
      </c>
      <c r="ACT1" s="86">
        <v>173</v>
      </c>
      <c r="ACU1" s="86">
        <v>173</v>
      </c>
      <c r="ACV1" s="86">
        <v>173</v>
      </c>
      <c r="ACW1" s="86">
        <v>173</v>
      </c>
      <c r="ACX1" s="86">
        <v>173</v>
      </c>
      <c r="ADU1" s="86">
        <v>173</v>
      </c>
      <c r="ADV1" s="86">
        <v>173</v>
      </c>
      <c r="ADW1" s="86">
        <v>173</v>
      </c>
      <c r="ADX1" s="86">
        <v>173</v>
      </c>
      <c r="ADY1" s="86">
        <v>173</v>
      </c>
      <c r="ADZ1" s="86">
        <v>173</v>
      </c>
      <c r="AEA1" s="86">
        <v>173</v>
      </c>
      <c r="AEB1" s="86">
        <v>173</v>
      </c>
      <c r="AEC1" s="86">
        <v>173</v>
      </c>
      <c r="AED1" s="86">
        <v>173</v>
      </c>
      <c r="AEE1" s="86">
        <v>173</v>
      </c>
      <c r="AEF1" s="86">
        <v>173</v>
      </c>
      <c r="AEG1" s="86">
        <v>173</v>
      </c>
      <c r="AEH1" s="86">
        <v>173</v>
      </c>
      <c r="AEI1" s="86">
        <v>173</v>
      </c>
      <c r="AEJ1" s="86">
        <v>173</v>
      </c>
      <c r="AEK1" s="86">
        <v>173</v>
      </c>
      <c r="AEL1" s="86">
        <v>173</v>
      </c>
      <c r="AEM1" s="86">
        <v>173</v>
      </c>
      <c r="AEN1" s="86">
        <v>173</v>
      </c>
      <c r="AEO1" s="86">
        <v>173</v>
      </c>
      <c r="AEP1" s="86">
        <v>173</v>
      </c>
      <c r="AEQ1" s="86">
        <v>173</v>
      </c>
      <c r="AER1" s="86">
        <v>173</v>
      </c>
      <c r="AES1" s="86">
        <v>173</v>
      </c>
      <c r="AET1" s="86">
        <v>173</v>
      </c>
      <c r="AEU1" s="86">
        <v>173</v>
      </c>
      <c r="AEV1" s="86">
        <v>173</v>
      </c>
      <c r="AEW1" s="86">
        <v>173</v>
      </c>
      <c r="AEX1" s="86">
        <v>173</v>
      </c>
      <c r="AEY1" s="86">
        <v>173</v>
      </c>
      <c r="AEZ1" s="86">
        <v>173</v>
      </c>
      <c r="AFA1" s="86">
        <v>173</v>
      </c>
      <c r="AFB1" s="86">
        <v>173</v>
      </c>
      <c r="AFC1" s="86">
        <v>173</v>
      </c>
      <c r="AFD1" s="86">
        <v>173</v>
      </c>
      <c r="AFE1" s="86">
        <v>173</v>
      </c>
      <c r="AFF1" s="86">
        <v>173</v>
      </c>
      <c r="AFG1" s="86">
        <v>173</v>
      </c>
      <c r="AFH1" s="86">
        <v>173</v>
      </c>
      <c r="AFI1" s="86">
        <v>173</v>
      </c>
      <c r="AFJ1" s="86">
        <v>173</v>
      </c>
      <c r="AFK1" s="86">
        <v>173</v>
      </c>
      <c r="AFL1" s="86">
        <v>173</v>
      </c>
      <c r="AFM1" s="86">
        <v>173</v>
      </c>
      <c r="AFN1" s="86">
        <v>173</v>
      </c>
      <c r="AFO1" s="86">
        <v>173</v>
      </c>
      <c r="AFP1" s="86">
        <v>173</v>
      </c>
      <c r="AFQ1" s="86">
        <v>173</v>
      </c>
      <c r="AFR1" s="86">
        <v>173</v>
      </c>
      <c r="AFS1" s="86">
        <v>173</v>
      </c>
      <c r="AFT1" s="86">
        <v>173</v>
      </c>
      <c r="AFU1" s="86">
        <v>173</v>
      </c>
      <c r="AFV1" s="86">
        <v>173</v>
      </c>
      <c r="AFW1" s="86">
        <v>173</v>
      </c>
      <c r="AFX1" s="86">
        <v>173</v>
      </c>
      <c r="AFY1" s="86">
        <v>173</v>
      </c>
      <c r="AGW1" s="86">
        <v>173</v>
      </c>
      <c r="AGX1" s="86">
        <v>173</v>
      </c>
      <c r="AGY1" s="86">
        <v>173</v>
      </c>
      <c r="AGZ1" s="86">
        <v>173</v>
      </c>
      <c r="AHA1" s="86">
        <v>173</v>
      </c>
      <c r="AHB1" s="86">
        <v>173</v>
      </c>
      <c r="AHC1" s="86">
        <v>173</v>
      </c>
      <c r="AHD1" s="86">
        <v>173</v>
      </c>
      <c r="AHE1" s="86">
        <v>173</v>
      </c>
      <c r="AHF1" s="86">
        <v>173</v>
      </c>
      <c r="AHG1" s="86">
        <v>173</v>
      </c>
      <c r="AHH1" s="86">
        <v>173</v>
      </c>
      <c r="AHI1" s="86">
        <v>173</v>
      </c>
      <c r="AHJ1" s="86">
        <v>173</v>
      </c>
      <c r="AHK1" s="86">
        <v>173</v>
      </c>
      <c r="AHL1" s="86">
        <v>173</v>
      </c>
      <c r="AHM1" s="86">
        <v>173</v>
      </c>
      <c r="AHN1" s="86">
        <v>173</v>
      </c>
      <c r="AHO1" s="86">
        <v>173</v>
      </c>
      <c r="AHP1" s="86">
        <v>173</v>
      </c>
      <c r="AHQ1" s="86">
        <v>173</v>
      </c>
      <c r="AHR1" s="86">
        <v>173</v>
      </c>
      <c r="AHS1" s="86">
        <v>173</v>
      </c>
      <c r="AHT1" s="86">
        <v>173</v>
      </c>
      <c r="AHU1" s="86">
        <v>173</v>
      </c>
      <c r="AHV1" s="86">
        <v>173</v>
      </c>
      <c r="AHW1" s="86">
        <v>173</v>
      </c>
      <c r="AHX1" s="86">
        <v>173</v>
      </c>
      <c r="AHY1" s="86">
        <v>173</v>
      </c>
      <c r="AHZ1" s="86">
        <v>173</v>
      </c>
      <c r="AIA1" s="86">
        <v>173</v>
      </c>
      <c r="AIB1" s="86">
        <v>173</v>
      </c>
      <c r="AIC1" s="86">
        <v>173</v>
      </c>
      <c r="AID1" s="86">
        <v>173</v>
      </c>
      <c r="AIE1" s="86">
        <v>173</v>
      </c>
      <c r="AIF1" s="86">
        <v>173</v>
      </c>
      <c r="AIG1" s="86">
        <v>173</v>
      </c>
      <c r="AIH1" s="86">
        <v>173</v>
      </c>
      <c r="AII1" s="86">
        <v>173</v>
      </c>
      <c r="AIJ1" s="86">
        <v>173</v>
      </c>
      <c r="AIK1" s="86">
        <v>173</v>
      </c>
      <c r="AIL1" s="86">
        <v>173</v>
      </c>
      <c r="AIM1" s="86">
        <v>173</v>
      </c>
      <c r="AIN1" s="86">
        <v>173</v>
      </c>
      <c r="AIO1" s="86">
        <v>173</v>
      </c>
      <c r="AIP1" s="86">
        <v>173</v>
      </c>
      <c r="AIQ1" s="86">
        <v>173</v>
      </c>
      <c r="AIR1" s="86">
        <v>173</v>
      </c>
      <c r="AIS1" s="86">
        <v>173</v>
      </c>
      <c r="AIT1" s="86">
        <v>173</v>
      </c>
      <c r="AIU1" s="86">
        <v>173</v>
      </c>
      <c r="AIV1" s="86">
        <v>173</v>
      </c>
      <c r="AIW1" s="86">
        <v>173</v>
      </c>
      <c r="AIX1" s="86">
        <v>173</v>
      </c>
      <c r="AIY1" s="86">
        <v>173</v>
      </c>
      <c r="AIZ1" s="86">
        <v>173</v>
      </c>
      <c r="AJY1" t="s">
        <v>2</v>
      </c>
    </row>
    <row r="2" spans="1:961">
      <c r="A2" s="86">
        <v>151.38</v>
      </c>
      <c r="B2" s="86">
        <v>151.38</v>
      </c>
      <c r="C2" s="86">
        <v>151.38</v>
      </c>
      <c r="D2" s="86">
        <v>151.38</v>
      </c>
      <c r="E2" s="86">
        <v>151.38</v>
      </c>
      <c r="F2" s="86">
        <v>151.38</v>
      </c>
      <c r="G2" s="86">
        <v>151.38</v>
      </c>
      <c r="H2" s="86">
        <v>151.38</v>
      </c>
      <c r="I2" s="86">
        <v>151.38</v>
      </c>
      <c r="J2" s="86">
        <v>151.38</v>
      </c>
      <c r="K2" s="86">
        <v>151.38</v>
      </c>
      <c r="L2" s="86">
        <v>151.38</v>
      </c>
      <c r="M2" s="86">
        <v>151.38</v>
      </c>
      <c r="N2" s="86">
        <v>151.38</v>
      </c>
      <c r="O2" s="86">
        <v>151.38</v>
      </c>
      <c r="P2" s="86">
        <v>151.38</v>
      </c>
      <c r="Q2" s="86">
        <v>151.38</v>
      </c>
      <c r="R2" s="86">
        <v>151.38</v>
      </c>
      <c r="S2" s="86">
        <v>151.38</v>
      </c>
      <c r="T2" s="86">
        <v>151.38</v>
      </c>
      <c r="U2" s="86">
        <v>151.38</v>
      </c>
      <c r="V2" s="86">
        <v>151.38</v>
      </c>
      <c r="W2" s="86">
        <v>151.38</v>
      </c>
      <c r="X2" s="86">
        <v>151.38</v>
      </c>
      <c r="Y2" s="86">
        <v>151.38</v>
      </c>
      <c r="Z2" s="86">
        <v>151.38</v>
      </c>
      <c r="AA2" s="86">
        <v>151.38</v>
      </c>
      <c r="AB2" s="86">
        <v>151.38</v>
      </c>
      <c r="AC2" s="86">
        <v>151.38</v>
      </c>
      <c r="AD2" s="86">
        <v>151.38</v>
      </c>
      <c r="AE2" s="86">
        <v>151.38</v>
      </c>
      <c r="AF2" s="86">
        <v>151.38</v>
      </c>
      <c r="AG2" s="86">
        <v>151.38</v>
      </c>
      <c r="AH2" s="86">
        <v>151.38</v>
      </c>
      <c r="AI2" s="86">
        <v>151.38</v>
      </c>
      <c r="AJ2" s="86">
        <v>151.38</v>
      </c>
      <c r="AK2" s="86">
        <v>151.38</v>
      </c>
      <c r="AL2" s="86">
        <v>151.38</v>
      </c>
      <c r="AM2" s="86">
        <v>151.38</v>
      </c>
      <c r="AN2" s="86">
        <v>151.38</v>
      </c>
      <c r="AO2" s="86">
        <v>151.38</v>
      </c>
      <c r="AP2" s="86">
        <v>151.38</v>
      </c>
      <c r="AQ2" s="86">
        <v>151.38</v>
      </c>
      <c r="AR2" s="86">
        <v>151.38</v>
      </c>
      <c r="AS2" s="86">
        <v>151.38</v>
      </c>
      <c r="AT2" s="86">
        <v>151.38</v>
      </c>
      <c r="AU2" s="86">
        <v>151.38</v>
      </c>
      <c r="AV2" s="86">
        <v>151.38</v>
      </c>
      <c r="AW2" s="86">
        <v>151.38</v>
      </c>
      <c r="AX2" s="86">
        <v>151.38</v>
      </c>
      <c r="AY2" s="86">
        <v>151.38</v>
      </c>
      <c r="AZ2" s="86">
        <v>151.38</v>
      </c>
      <c r="CC2" s="86">
        <v>151.38</v>
      </c>
      <c r="CD2" s="86">
        <v>151.38</v>
      </c>
      <c r="CE2" s="86">
        <v>151.38</v>
      </c>
      <c r="CF2" s="86">
        <v>151.38</v>
      </c>
      <c r="CG2" s="86">
        <v>151.38</v>
      </c>
      <c r="CH2" s="86">
        <v>151.38</v>
      </c>
      <c r="CI2" s="86">
        <v>151.38</v>
      </c>
      <c r="CJ2" s="86">
        <v>151.38</v>
      </c>
      <c r="CK2" s="86">
        <v>151.38</v>
      </c>
      <c r="CL2" s="86">
        <v>151.38</v>
      </c>
      <c r="CM2" s="86">
        <v>151.38</v>
      </c>
      <c r="CN2" s="86">
        <v>151.38</v>
      </c>
      <c r="CO2" s="86">
        <v>151.38</v>
      </c>
      <c r="CP2" s="86">
        <v>151.38</v>
      </c>
      <c r="CQ2" s="86">
        <v>151.38</v>
      </c>
      <c r="CR2" s="86">
        <v>151.38</v>
      </c>
      <c r="CS2" s="86">
        <v>151.38</v>
      </c>
      <c r="CT2" s="86">
        <v>151.38</v>
      </c>
      <c r="CU2" s="86">
        <v>151.38</v>
      </c>
      <c r="CV2" s="86">
        <v>151.38</v>
      </c>
      <c r="CW2" s="86">
        <v>151.38</v>
      </c>
      <c r="CX2" s="86">
        <v>151.38</v>
      </c>
      <c r="CY2" s="86">
        <v>151.38</v>
      </c>
      <c r="CZ2" s="86">
        <v>151.38</v>
      </c>
      <c r="DA2" s="86">
        <v>151.38</v>
      </c>
      <c r="DB2" s="86">
        <v>151.38</v>
      </c>
      <c r="DC2" s="86">
        <v>151.38</v>
      </c>
      <c r="DD2" s="86">
        <v>151.38</v>
      </c>
      <c r="DE2" s="86">
        <v>151.38</v>
      </c>
      <c r="DF2" s="86">
        <v>151.38</v>
      </c>
      <c r="DG2" s="86">
        <v>151.38</v>
      </c>
      <c r="DH2" s="86">
        <v>151.38</v>
      </c>
      <c r="DI2" s="86">
        <v>151.38</v>
      </c>
      <c r="DJ2" s="86">
        <v>151.38</v>
      </c>
      <c r="DK2" s="86">
        <v>151.38</v>
      </c>
      <c r="DL2" s="86">
        <v>151.38</v>
      </c>
      <c r="DM2" s="86">
        <v>151.38</v>
      </c>
      <c r="DN2" s="86">
        <v>151.38</v>
      </c>
      <c r="DO2" s="86">
        <v>151.38</v>
      </c>
      <c r="DP2" s="86">
        <v>151.38</v>
      </c>
      <c r="DQ2" s="86">
        <v>151.38</v>
      </c>
      <c r="DR2" s="86">
        <v>151.38</v>
      </c>
      <c r="DS2" s="86">
        <v>151.38</v>
      </c>
      <c r="DT2" s="86">
        <v>151.38</v>
      </c>
      <c r="DU2" s="86">
        <v>151.38</v>
      </c>
      <c r="DV2" s="86">
        <v>151.38</v>
      </c>
      <c r="DW2" s="86">
        <v>151.38</v>
      </c>
      <c r="DX2" s="86">
        <v>151.38</v>
      </c>
      <c r="DY2" s="86">
        <v>151.38</v>
      </c>
      <c r="DZ2" s="86">
        <v>151.38</v>
      </c>
      <c r="EA2" s="86">
        <v>151.38</v>
      </c>
      <c r="EB2" s="86">
        <v>151.38</v>
      </c>
      <c r="EC2" s="86">
        <v>151.38</v>
      </c>
      <c r="ED2" s="86">
        <v>151.38</v>
      </c>
      <c r="EE2" s="86">
        <v>151.38</v>
      </c>
      <c r="EF2" s="86">
        <v>151.38</v>
      </c>
      <c r="EG2" s="86">
        <v>151.38</v>
      </c>
      <c r="EH2" s="86">
        <v>151.38</v>
      </c>
      <c r="EI2" s="86">
        <v>151.38</v>
      </c>
      <c r="FE2" s="86">
        <v>151.38</v>
      </c>
      <c r="FF2" s="86">
        <v>151.38</v>
      </c>
      <c r="FG2" s="86">
        <v>151.38</v>
      </c>
      <c r="FH2" s="86">
        <v>151.38</v>
      </c>
      <c r="FI2" s="86">
        <v>151.38</v>
      </c>
      <c r="FJ2" s="86">
        <v>151.38</v>
      </c>
      <c r="FK2" s="86">
        <v>151.38</v>
      </c>
      <c r="FL2" s="86">
        <v>151.38</v>
      </c>
      <c r="FM2" s="86">
        <v>151.38</v>
      </c>
      <c r="FN2" s="86">
        <v>151.38</v>
      </c>
      <c r="FO2" s="86">
        <v>151.38</v>
      </c>
      <c r="FP2" s="86">
        <v>151.38</v>
      </c>
      <c r="FQ2" s="86">
        <v>151.38</v>
      </c>
      <c r="FR2" s="86">
        <v>151.38</v>
      </c>
      <c r="FS2" s="86">
        <v>151.38</v>
      </c>
      <c r="FT2" s="86">
        <v>151.38</v>
      </c>
      <c r="FU2" s="86">
        <v>151.38</v>
      </c>
      <c r="FV2" s="86">
        <v>151.38</v>
      </c>
      <c r="FW2" s="86">
        <v>151.38</v>
      </c>
      <c r="FX2" s="86">
        <v>151.38</v>
      </c>
      <c r="FY2" s="86">
        <v>151.38</v>
      </c>
      <c r="FZ2" s="86">
        <v>151.38</v>
      </c>
      <c r="GA2" s="86">
        <v>151.38</v>
      </c>
      <c r="GB2" s="86">
        <v>151.38</v>
      </c>
      <c r="GC2" s="86">
        <v>151.38</v>
      </c>
      <c r="GD2" s="86">
        <v>151.38</v>
      </c>
      <c r="GE2" s="86">
        <v>151.38</v>
      </c>
      <c r="GF2" s="86">
        <v>151.38</v>
      </c>
      <c r="GG2" s="86">
        <v>151.38</v>
      </c>
      <c r="GH2" s="86">
        <v>151.38</v>
      </c>
      <c r="GI2" s="86">
        <v>151.38</v>
      </c>
      <c r="GJ2" s="86">
        <v>151.38</v>
      </c>
      <c r="GK2" s="86">
        <v>151.38</v>
      </c>
      <c r="GL2" s="86">
        <v>151.38</v>
      </c>
      <c r="GM2" s="86">
        <v>151.38</v>
      </c>
      <c r="GN2" s="86">
        <v>151.38</v>
      </c>
      <c r="GO2" s="86">
        <v>151.38</v>
      </c>
      <c r="GP2" s="86">
        <v>151.38</v>
      </c>
      <c r="GQ2" s="86">
        <v>151.38</v>
      </c>
      <c r="GR2" s="86">
        <v>151.38</v>
      </c>
      <c r="GS2" s="86">
        <v>151.38</v>
      </c>
      <c r="GT2" s="86">
        <v>151.38</v>
      </c>
      <c r="GU2" s="86">
        <v>151.38</v>
      </c>
      <c r="GV2" s="86">
        <v>151.38</v>
      </c>
      <c r="GW2" s="86">
        <v>151.38</v>
      </c>
      <c r="GX2" s="86">
        <v>151.38</v>
      </c>
      <c r="GY2" s="86">
        <v>151.38</v>
      </c>
      <c r="GZ2" s="86">
        <v>151.38</v>
      </c>
      <c r="HA2" s="86">
        <v>151.38</v>
      </c>
      <c r="HB2" s="86">
        <v>151.38</v>
      </c>
      <c r="HC2" s="86">
        <v>151.38</v>
      </c>
      <c r="HD2" s="86">
        <v>151.38</v>
      </c>
      <c r="HE2" s="86">
        <v>151.38</v>
      </c>
      <c r="HF2" s="86">
        <v>151.38</v>
      </c>
      <c r="HG2" s="86">
        <v>151.38</v>
      </c>
      <c r="HH2" s="86">
        <v>151.38</v>
      </c>
      <c r="HI2" s="86">
        <v>151.38</v>
      </c>
      <c r="HJ2" s="86">
        <v>151.38</v>
      </c>
      <c r="HK2" s="86">
        <v>151.38</v>
      </c>
      <c r="HL2" s="86">
        <v>151.38</v>
      </c>
      <c r="IG2" s="86">
        <v>151.38</v>
      </c>
      <c r="IH2" s="86">
        <v>151.38</v>
      </c>
      <c r="II2" s="86">
        <v>151.38</v>
      </c>
      <c r="IJ2" s="86">
        <v>151.38</v>
      </c>
      <c r="IK2" s="86">
        <v>151.38</v>
      </c>
      <c r="IL2" s="86">
        <v>151.38</v>
      </c>
      <c r="IM2" s="86">
        <v>151.38</v>
      </c>
      <c r="IN2" s="86">
        <v>151.38</v>
      </c>
      <c r="IO2" s="86">
        <v>151.38</v>
      </c>
      <c r="IP2" s="86">
        <v>151.38</v>
      </c>
      <c r="IQ2" s="86">
        <v>151.38</v>
      </c>
      <c r="IR2" s="86">
        <v>151.38</v>
      </c>
      <c r="IS2" s="86">
        <v>151.38</v>
      </c>
      <c r="IT2" s="86">
        <v>151.38</v>
      </c>
      <c r="IU2" s="86">
        <v>151.38</v>
      </c>
      <c r="IV2" s="86">
        <v>151.38</v>
      </c>
      <c r="IW2" s="86">
        <v>151.38</v>
      </c>
      <c r="IX2" s="86">
        <v>151.38</v>
      </c>
      <c r="IY2" s="86">
        <v>151.38</v>
      </c>
      <c r="IZ2" s="86">
        <v>151.38</v>
      </c>
      <c r="JA2" s="86">
        <v>151.38</v>
      </c>
      <c r="JB2" s="86">
        <v>151.38</v>
      </c>
      <c r="JC2" s="86">
        <v>151.38</v>
      </c>
      <c r="JD2" s="86">
        <v>151.38</v>
      </c>
      <c r="JE2" s="86">
        <v>151.38</v>
      </c>
      <c r="JF2" s="86">
        <v>151.38</v>
      </c>
      <c r="JG2" s="86">
        <v>151.38</v>
      </c>
      <c r="JH2" s="86">
        <v>151.38</v>
      </c>
      <c r="JI2" s="86">
        <v>151.38</v>
      </c>
      <c r="JJ2" s="86">
        <v>151.38</v>
      </c>
      <c r="JK2" s="86">
        <v>151.38</v>
      </c>
      <c r="JL2" s="86">
        <v>151.38</v>
      </c>
      <c r="JM2" s="86">
        <v>151.38</v>
      </c>
      <c r="JN2" s="86">
        <v>151.38</v>
      </c>
      <c r="JO2" s="86">
        <v>151.38</v>
      </c>
      <c r="JP2" s="86">
        <v>151.38</v>
      </c>
      <c r="JQ2" s="86">
        <v>151.38</v>
      </c>
      <c r="JR2" s="86">
        <v>151.38</v>
      </c>
      <c r="JS2" s="86">
        <v>151.38</v>
      </c>
      <c r="JT2" s="86">
        <v>151.38</v>
      </c>
      <c r="JU2" s="86">
        <v>151.38</v>
      </c>
      <c r="JV2" s="86">
        <v>151.38</v>
      </c>
      <c r="JW2" s="86">
        <v>151.38</v>
      </c>
      <c r="JX2" s="86">
        <v>151.38</v>
      </c>
      <c r="JY2" s="86">
        <v>151.38</v>
      </c>
      <c r="JZ2" s="86">
        <v>151.38</v>
      </c>
      <c r="KA2" s="86">
        <v>151.38</v>
      </c>
      <c r="KB2" s="86">
        <v>151.38</v>
      </c>
      <c r="KC2" s="86">
        <v>151.38</v>
      </c>
      <c r="KD2" s="86">
        <v>151.38</v>
      </c>
      <c r="KE2" s="86">
        <v>151.38</v>
      </c>
      <c r="KF2" s="86">
        <v>151.38</v>
      </c>
      <c r="KG2" s="86">
        <v>151.38</v>
      </c>
      <c r="KH2" s="86">
        <v>151.38</v>
      </c>
      <c r="KI2" s="86">
        <v>151.38</v>
      </c>
      <c r="KJ2" s="86">
        <v>151.38</v>
      </c>
      <c r="KK2" s="86">
        <v>151.38</v>
      </c>
      <c r="KL2" s="86">
        <v>151.38</v>
      </c>
      <c r="KM2" s="86">
        <v>151.38</v>
      </c>
      <c r="KN2" s="86">
        <v>151.38</v>
      </c>
      <c r="LI2" s="86">
        <v>151.38</v>
      </c>
      <c r="LJ2" s="86">
        <v>151.38</v>
      </c>
      <c r="LK2" s="86">
        <v>151.38</v>
      </c>
      <c r="LL2" s="86">
        <v>151.38</v>
      </c>
      <c r="LM2" s="86">
        <v>151.38</v>
      </c>
      <c r="LN2" s="86">
        <v>151.38</v>
      </c>
      <c r="LO2" s="86">
        <v>151.38</v>
      </c>
      <c r="LP2" s="86">
        <v>151.38</v>
      </c>
      <c r="LQ2" s="86">
        <v>151.38</v>
      </c>
      <c r="LR2" s="86">
        <v>151.38</v>
      </c>
      <c r="LS2" s="86">
        <v>151.38</v>
      </c>
      <c r="LT2" s="86">
        <v>151.38</v>
      </c>
      <c r="LU2" s="86">
        <v>151.38</v>
      </c>
      <c r="LV2" s="86">
        <v>151.38</v>
      </c>
      <c r="LW2" s="86">
        <v>151.38</v>
      </c>
      <c r="LX2" s="86">
        <v>151.38</v>
      </c>
      <c r="LY2" s="86">
        <v>151.38</v>
      </c>
      <c r="LZ2" s="86">
        <v>151.38</v>
      </c>
      <c r="MA2" s="86">
        <v>151.38</v>
      </c>
      <c r="MB2" s="86">
        <v>151.38</v>
      </c>
      <c r="MC2" s="86">
        <v>151.38</v>
      </c>
      <c r="MD2" s="86">
        <v>151.38</v>
      </c>
      <c r="ME2" s="86">
        <v>151.38</v>
      </c>
      <c r="MF2" s="86">
        <v>151.38</v>
      </c>
      <c r="MG2" s="86">
        <v>151.38</v>
      </c>
      <c r="MH2" s="86">
        <v>151.38</v>
      </c>
      <c r="MI2" s="86">
        <v>151.38</v>
      </c>
      <c r="MJ2" s="86">
        <v>151.38</v>
      </c>
      <c r="MK2" s="86">
        <v>151.38</v>
      </c>
      <c r="ML2" s="86">
        <v>151.38</v>
      </c>
      <c r="MM2" s="86">
        <v>151.38</v>
      </c>
      <c r="MN2" s="86">
        <v>151.38</v>
      </c>
      <c r="MO2" s="86">
        <v>151.38</v>
      </c>
      <c r="MP2" s="86">
        <v>151.38</v>
      </c>
      <c r="MQ2" s="86">
        <v>151.38</v>
      </c>
      <c r="MR2" s="86">
        <v>151.38</v>
      </c>
      <c r="MS2" s="86">
        <v>151.38</v>
      </c>
      <c r="MT2" s="86">
        <v>151.38</v>
      </c>
      <c r="MU2" s="86">
        <v>151.38</v>
      </c>
      <c r="MV2" s="86">
        <v>151.38</v>
      </c>
      <c r="MW2" s="86">
        <v>151.38</v>
      </c>
      <c r="MX2" s="86">
        <v>151.38</v>
      </c>
      <c r="MY2" s="86">
        <v>151.38</v>
      </c>
      <c r="MZ2" s="86">
        <v>151.38</v>
      </c>
      <c r="NA2" s="86">
        <v>151.38</v>
      </c>
      <c r="NB2" s="86">
        <v>151.38</v>
      </c>
      <c r="NC2" s="86">
        <v>151.38</v>
      </c>
      <c r="ND2" s="86">
        <v>151.38</v>
      </c>
      <c r="NE2" s="86">
        <v>151.38</v>
      </c>
      <c r="NF2" s="86">
        <v>151.38</v>
      </c>
      <c r="NG2" s="86">
        <v>151.38</v>
      </c>
      <c r="NH2" s="86">
        <v>151.38</v>
      </c>
      <c r="NI2" s="86">
        <v>151.38</v>
      </c>
      <c r="NJ2" s="86">
        <v>151.38</v>
      </c>
      <c r="NK2" s="86">
        <v>151.38</v>
      </c>
      <c r="NL2" s="86">
        <v>151.38</v>
      </c>
      <c r="NM2" s="86">
        <v>151.38</v>
      </c>
      <c r="NN2" s="86">
        <v>151.38</v>
      </c>
      <c r="NO2" s="86">
        <v>151.38</v>
      </c>
      <c r="NP2" s="86">
        <v>151.38</v>
      </c>
      <c r="NQ2" s="86">
        <v>151.38</v>
      </c>
      <c r="NR2" s="86">
        <v>151.38</v>
      </c>
      <c r="OK2" s="86">
        <v>151.38</v>
      </c>
      <c r="OL2" s="86">
        <v>151.38</v>
      </c>
      <c r="OM2" s="86">
        <v>151.38</v>
      </c>
      <c r="ON2" s="86">
        <v>151.38</v>
      </c>
      <c r="OO2" s="86">
        <v>151.38</v>
      </c>
      <c r="OP2" s="86">
        <v>151.38</v>
      </c>
      <c r="OQ2" s="86">
        <v>151.38</v>
      </c>
      <c r="OR2" s="86">
        <v>151.38</v>
      </c>
      <c r="OS2" s="86">
        <v>151.38</v>
      </c>
      <c r="OT2" s="86">
        <v>151.38</v>
      </c>
      <c r="OU2" s="86">
        <v>151.38</v>
      </c>
      <c r="OV2" s="86">
        <v>151.38</v>
      </c>
      <c r="OW2" s="86">
        <v>151.38</v>
      </c>
      <c r="OX2" s="86">
        <v>151.38</v>
      </c>
      <c r="OY2" s="86">
        <v>151.38</v>
      </c>
      <c r="OZ2" s="86">
        <v>151.38</v>
      </c>
      <c r="PA2" s="86">
        <v>151.38</v>
      </c>
      <c r="PB2" s="86">
        <v>151.38</v>
      </c>
      <c r="PC2" s="86">
        <v>151.38</v>
      </c>
      <c r="PD2" s="86">
        <v>151.38</v>
      </c>
      <c r="PE2" s="86">
        <v>151.38</v>
      </c>
      <c r="PF2" s="86">
        <v>151.38</v>
      </c>
      <c r="PG2" s="86">
        <v>151.38</v>
      </c>
      <c r="PH2" s="86">
        <v>151.38</v>
      </c>
      <c r="PI2" s="86">
        <v>151.38</v>
      </c>
      <c r="PJ2" s="86">
        <v>151.38</v>
      </c>
      <c r="PK2" s="86">
        <v>151.38</v>
      </c>
      <c r="PL2" s="86">
        <v>151.38</v>
      </c>
      <c r="PM2" s="86">
        <v>151.38</v>
      </c>
      <c r="PN2" s="86">
        <v>151.38</v>
      </c>
      <c r="PO2" s="86">
        <v>151.38</v>
      </c>
      <c r="PP2" s="86">
        <v>151.38</v>
      </c>
      <c r="PQ2" s="86">
        <v>151.38</v>
      </c>
      <c r="PR2" s="86">
        <v>151.38</v>
      </c>
      <c r="PS2" s="86">
        <v>151.38</v>
      </c>
      <c r="PT2" s="86">
        <v>151.38</v>
      </c>
      <c r="PU2" s="86">
        <v>151.38</v>
      </c>
      <c r="PV2" s="86">
        <v>151.38</v>
      </c>
      <c r="PW2" s="86">
        <v>151.38</v>
      </c>
      <c r="PX2" s="86">
        <v>151.38</v>
      </c>
      <c r="PY2" s="86">
        <v>151.38</v>
      </c>
      <c r="PZ2" s="86">
        <v>151.38</v>
      </c>
      <c r="QA2" s="86">
        <v>151.38</v>
      </c>
      <c r="QB2" s="86">
        <v>151.38</v>
      </c>
      <c r="QC2" s="86">
        <v>151.38</v>
      </c>
      <c r="QD2" s="86">
        <v>151.38</v>
      </c>
      <c r="QE2" s="86">
        <v>151.38</v>
      </c>
      <c r="QF2" s="86">
        <v>151.38</v>
      </c>
      <c r="QG2" s="86">
        <v>151.38</v>
      </c>
      <c r="QH2" s="86">
        <v>151.38</v>
      </c>
      <c r="QI2" s="86">
        <v>151.38</v>
      </c>
      <c r="QJ2" s="86">
        <v>151.38</v>
      </c>
      <c r="QK2" s="86">
        <v>151.38</v>
      </c>
      <c r="QL2" s="86">
        <v>151.38</v>
      </c>
      <c r="QM2" s="86">
        <v>151.38</v>
      </c>
      <c r="QN2" s="86">
        <v>151.38</v>
      </c>
      <c r="QO2" s="86">
        <v>151.38</v>
      </c>
      <c r="QP2" s="86">
        <v>151.38</v>
      </c>
      <c r="QQ2" s="86">
        <v>151.38</v>
      </c>
      <c r="QR2" s="86">
        <v>151.38</v>
      </c>
      <c r="QS2" s="86">
        <v>151.38</v>
      </c>
      <c r="QT2" s="86">
        <v>151.38</v>
      </c>
      <c r="RM2" s="86">
        <v>151.38</v>
      </c>
      <c r="RN2" s="86">
        <v>151.38</v>
      </c>
      <c r="RO2" s="86">
        <v>151.38</v>
      </c>
      <c r="RP2" s="86">
        <v>151.38</v>
      </c>
      <c r="RQ2" s="86">
        <v>151.38</v>
      </c>
      <c r="RR2" s="86">
        <v>151.38</v>
      </c>
      <c r="RS2" s="86">
        <v>151.38</v>
      </c>
      <c r="RT2" s="86">
        <v>151.38</v>
      </c>
      <c r="RU2" s="86">
        <v>151.38</v>
      </c>
      <c r="RV2" s="86">
        <v>151.38</v>
      </c>
      <c r="RW2" s="86">
        <v>151.38</v>
      </c>
      <c r="RX2" s="86">
        <v>151.38</v>
      </c>
      <c r="RY2" s="86">
        <v>151.38</v>
      </c>
      <c r="RZ2" s="86">
        <v>151.38</v>
      </c>
      <c r="SA2" s="86">
        <v>151.38</v>
      </c>
      <c r="SB2" s="86">
        <v>151.38</v>
      </c>
      <c r="SC2" s="86">
        <v>151.38</v>
      </c>
      <c r="SD2" s="86">
        <v>151.38</v>
      </c>
      <c r="SE2" s="86">
        <v>151.38</v>
      </c>
      <c r="SF2" s="86">
        <v>151.38</v>
      </c>
      <c r="SG2" s="86">
        <v>151.38</v>
      </c>
      <c r="SH2" s="86">
        <v>151.38</v>
      </c>
      <c r="SI2" s="86">
        <v>151.38</v>
      </c>
      <c r="SJ2" s="86">
        <v>151.38</v>
      </c>
      <c r="SK2" s="86">
        <v>151.38</v>
      </c>
      <c r="SL2" s="86">
        <v>151.38</v>
      </c>
      <c r="SM2" s="86">
        <v>151.38</v>
      </c>
      <c r="SN2" s="86">
        <v>151.38</v>
      </c>
      <c r="SO2" s="86">
        <v>151.38</v>
      </c>
      <c r="SP2" s="86">
        <v>151.38</v>
      </c>
      <c r="SQ2" s="86">
        <v>151.38</v>
      </c>
      <c r="SR2" s="86">
        <v>151.38</v>
      </c>
      <c r="SS2" s="86">
        <v>151.38</v>
      </c>
      <c r="ST2" s="86">
        <v>151.38</v>
      </c>
      <c r="SU2" s="86">
        <v>151.38</v>
      </c>
      <c r="SV2" s="86">
        <v>151.38</v>
      </c>
      <c r="SW2" s="86">
        <v>151.38</v>
      </c>
      <c r="SX2" s="86">
        <v>151.38</v>
      </c>
      <c r="SY2" s="86">
        <v>151.38</v>
      </c>
      <c r="SZ2" s="86">
        <v>151.38</v>
      </c>
      <c r="TA2" s="86">
        <v>151.38</v>
      </c>
      <c r="TB2" s="86">
        <v>151.38</v>
      </c>
      <c r="TC2" s="86">
        <v>151.38</v>
      </c>
      <c r="TD2" s="86">
        <v>151.38</v>
      </c>
      <c r="TE2" s="86">
        <v>151.38</v>
      </c>
      <c r="TF2" s="86">
        <v>151.38</v>
      </c>
      <c r="TG2" s="86">
        <v>151.38</v>
      </c>
      <c r="TH2" s="86">
        <v>151.38</v>
      </c>
      <c r="TI2" s="86">
        <v>151.38</v>
      </c>
      <c r="TJ2" s="86">
        <v>151.38</v>
      </c>
      <c r="TK2" s="86">
        <v>151.38</v>
      </c>
      <c r="TL2" s="86">
        <v>151.38</v>
      </c>
      <c r="TM2" s="86">
        <v>151.38</v>
      </c>
      <c r="TN2" s="86">
        <v>151.38</v>
      </c>
      <c r="TO2" s="86">
        <v>151.38</v>
      </c>
      <c r="TP2" s="86">
        <v>151.38</v>
      </c>
      <c r="TQ2" s="86">
        <v>151.38</v>
      </c>
      <c r="TR2" s="86">
        <v>151.38</v>
      </c>
      <c r="TS2" s="86">
        <v>151.38</v>
      </c>
      <c r="TT2" s="86">
        <v>151.38</v>
      </c>
      <c r="TU2" s="86">
        <v>151.38</v>
      </c>
      <c r="TV2" s="86">
        <v>151.38</v>
      </c>
      <c r="UO2" s="86">
        <v>151.38</v>
      </c>
      <c r="UP2" s="86">
        <v>151.38</v>
      </c>
      <c r="UQ2" s="86">
        <v>151.38</v>
      </c>
      <c r="UR2" s="86">
        <v>151.38</v>
      </c>
      <c r="US2" s="86">
        <v>151.38</v>
      </c>
      <c r="UT2" s="86">
        <v>151.38</v>
      </c>
      <c r="UU2" s="86">
        <v>151.38</v>
      </c>
      <c r="UV2" s="86">
        <v>151.38</v>
      </c>
      <c r="UW2" s="86">
        <v>151.38</v>
      </c>
      <c r="UX2" s="86">
        <v>151.38</v>
      </c>
      <c r="UY2" s="86">
        <v>151.38</v>
      </c>
      <c r="UZ2" s="86">
        <v>151.38</v>
      </c>
      <c r="VA2" s="86">
        <v>151.38</v>
      </c>
      <c r="VB2" s="86">
        <v>151.38</v>
      </c>
      <c r="VC2" s="86">
        <v>151.38</v>
      </c>
      <c r="VD2" s="86">
        <v>151.38</v>
      </c>
      <c r="VE2" s="86">
        <v>151.38</v>
      </c>
      <c r="VF2" s="86">
        <v>151.38</v>
      </c>
      <c r="VG2" s="86">
        <v>151.38</v>
      </c>
      <c r="VH2" s="86">
        <v>151.38</v>
      </c>
      <c r="VI2" s="86">
        <v>151.38</v>
      </c>
      <c r="VJ2" s="86">
        <v>151.38</v>
      </c>
      <c r="VK2" s="86">
        <v>151.38</v>
      </c>
      <c r="VL2" s="86">
        <v>151.38</v>
      </c>
      <c r="VM2" s="86">
        <v>151.38</v>
      </c>
      <c r="VN2" s="86">
        <v>151.38</v>
      </c>
      <c r="VO2" s="86">
        <v>151.38</v>
      </c>
      <c r="VP2" s="86">
        <v>151.38</v>
      </c>
      <c r="VQ2" s="86">
        <v>151.38</v>
      </c>
      <c r="VR2" s="86">
        <v>151.38</v>
      </c>
      <c r="VS2" s="86">
        <v>151.38</v>
      </c>
      <c r="VT2" s="86">
        <v>151.38</v>
      </c>
      <c r="VU2" s="86">
        <v>151.38</v>
      </c>
      <c r="VV2" s="86">
        <v>151.38</v>
      </c>
      <c r="VW2" s="86">
        <v>151.38</v>
      </c>
      <c r="VX2" s="86">
        <v>151.38</v>
      </c>
      <c r="VY2" s="86">
        <v>151.38</v>
      </c>
      <c r="VZ2" s="86">
        <v>151.38</v>
      </c>
      <c r="WA2" s="86">
        <v>151.38</v>
      </c>
      <c r="WB2" s="86">
        <v>151.38</v>
      </c>
      <c r="WC2" s="86">
        <v>151.38</v>
      </c>
      <c r="WD2" s="86">
        <v>151.38</v>
      </c>
      <c r="WE2" s="86">
        <v>151.38</v>
      </c>
      <c r="WF2" s="86">
        <v>151.38</v>
      </c>
      <c r="WG2" s="86">
        <v>151.38</v>
      </c>
      <c r="WH2" s="86">
        <v>151.38</v>
      </c>
      <c r="WI2" s="86">
        <v>151.38</v>
      </c>
      <c r="WJ2" s="86">
        <v>151.38</v>
      </c>
      <c r="WK2" s="86">
        <v>151.38</v>
      </c>
      <c r="WL2" s="86">
        <v>151.38</v>
      </c>
      <c r="WM2" s="86">
        <v>151.38</v>
      </c>
      <c r="WN2" s="86">
        <v>151.38</v>
      </c>
      <c r="WO2" s="86">
        <v>151.38</v>
      </c>
      <c r="WP2" s="86">
        <v>151.38</v>
      </c>
      <c r="WQ2" s="86">
        <v>151.38</v>
      </c>
      <c r="WR2" s="86">
        <v>151.38</v>
      </c>
      <c r="WS2" s="86">
        <v>151.38</v>
      </c>
      <c r="WT2" s="86">
        <v>151.38</v>
      </c>
      <c r="WU2" s="86">
        <v>151.38</v>
      </c>
      <c r="WV2" s="86">
        <v>151.38</v>
      </c>
      <c r="WW2" s="86">
        <v>151.38</v>
      </c>
      <c r="XQ2" s="86">
        <v>151.38</v>
      </c>
      <c r="XR2" s="86">
        <v>151.38</v>
      </c>
      <c r="XS2" s="86">
        <v>151.38</v>
      </c>
      <c r="XT2" s="86">
        <v>151.38</v>
      </c>
      <c r="XU2" s="86">
        <v>151.38</v>
      </c>
      <c r="XV2" s="86">
        <v>151.38</v>
      </c>
      <c r="XW2" s="86">
        <v>151.38</v>
      </c>
      <c r="XX2" s="86">
        <v>151.38</v>
      </c>
      <c r="XY2" s="86">
        <v>151.38</v>
      </c>
      <c r="XZ2" s="86">
        <v>151.38</v>
      </c>
      <c r="YA2" s="86">
        <v>151.38</v>
      </c>
      <c r="YB2" s="86">
        <v>151.38</v>
      </c>
      <c r="YC2" s="86">
        <v>151.38</v>
      </c>
      <c r="YD2" s="86">
        <v>151.38</v>
      </c>
      <c r="YE2" s="86">
        <v>151.38</v>
      </c>
      <c r="YF2" s="86">
        <v>151.38</v>
      </c>
      <c r="YG2" s="86">
        <v>151.38</v>
      </c>
      <c r="YH2" s="86">
        <v>151.38</v>
      </c>
      <c r="YI2" s="86">
        <v>151.38</v>
      </c>
      <c r="YJ2" s="86">
        <v>151.38</v>
      </c>
      <c r="YK2" s="86">
        <v>151.38</v>
      </c>
      <c r="YL2" s="86">
        <v>151.38</v>
      </c>
      <c r="YM2" s="86">
        <v>151.38</v>
      </c>
      <c r="YN2" s="86">
        <v>151.38</v>
      </c>
      <c r="YO2" s="86">
        <v>151.38</v>
      </c>
      <c r="YP2" s="86">
        <v>151.38</v>
      </c>
      <c r="YQ2" s="86">
        <v>151.38</v>
      </c>
      <c r="YR2" s="86">
        <v>151.38</v>
      </c>
      <c r="YS2" s="86">
        <v>151.38</v>
      </c>
      <c r="YT2" s="86">
        <v>151.38</v>
      </c>
      <c r="YU2" s="86">
        <v>151.38</v>
      </c>
      <c r="YV2" s="86">
        <v>151.38</v>
      </c>
      <c r="YW2" s="86">
        <v>151.38</v>
      </c>
      <c r="YX2" s="86">
        <v>151.38</v>
      </c>
      <c r="YY2" s="86">
        <v>151.38</v>
      </c>
      <c r="YZ2" s="86">
        <v>151.38</v>
      </c>
      <c r="ZA2" s="86">
        <v>151.38</v>
      </c>
      <c r="ZB2" s="86">
        <v>151.38</v>
      </c>
      <c r="ZC2" s="86">
        <v>151.38</v>
      </c>
      <c r="ZD2" s="86">
        <v>151.38</v>
      </c>
      <c r="ZE2" s="86">
        <v>151.38</v>
      </c>
      <c r="ZF2" s="86">
        <v>151.38</v>
      </c>
      <c r="ZG2" s="86">
        <v>151.38</v>
      </c>
      <c r="ZH2" s="86">
        <v>151.38</v>
      </c>
      <c r="ZI2" s="86">
        <v>151.38</v>
      </c>
      <c r="ZJ2" s="86">
        <v>151.38</v>
      </c>
      <c r="ZK2" s="86">
        <v>151.38</v>
      </c>
      <c r="ZL2" s="86">
        <v>151.38</v>
      </c>
      <c r="ZM2" s="86">
        <v>151.38</v>
      </c>
      <c r="ZN2" s="86">
        <v>151.38</v>
      </c>
      <c r="ZO2" s="86">
        <v>151.38</v>
      </c>
      <c r="ZP2" s="86">
        <v>151.38</v>
      </c>
      <c r="ZQ2" s="86">
        <v>151.38</v>
      </c>
      <c r="ZR2" s="86">
        <v>151.38</v>
      </c>
      <c r="ZS2" s="86">
        <v>151.38</v>
      </c>
      <c r="ZT2" s="86">
        <v>151.38</v>
      </c>
      <c r="ZU2" s="86">
        <v>151.38</v>
      </c>
      <c r="ZV2" s="86">
        <v>151.38</v>
      </c>
      <c r="ZW2" s="86">
        <v>151.38</v>
      </c>
      <c r="AAS2" s="86">
        <v>151.38</v>
      </c>
      <c r="AAT2" s="86">
        <v>151.38</v>
      </c>
      <c r="AAU2" s="86">
        <v>151.38</v>
      </c>
      <c r="AAV2" s="86">
        <v>151.38</v>
      </c>
      <c r="AAW2" s="86">
        <v>151.38</v>
      </c>
      <c r="AAX2" s="86">
        <v>151.38</v>
      </c>
      <c r="AAY2" s="86">
        <v>151.38</v>
      </c>
      <c r="AAZ2" s="86">
        <v>151.38</v>
      </c>
      <c r="ABA2" s="86">
        <v>151.38</v>
      </c>
      <c r="ABB2" s="86">
        <v>151.38</v>
      </c>
      <c r="ABC2" s="86">
        <v>151.38</v>
      </c>
      <c r="ABD2" s="86">
        <v>151.38</v>
      </c>
      <c r="ABE2" s="86">
        <v>151.38</v>
      </c>
      <c r="ABF2" s="86">
        <v>151.38</v>
      </c>
      <c r="ABG2" s="86">
        <v>151.38</v>
      </c>
      <c r="ABH2" s="86">
        <v>151.38</v>
      </c>
      <c r="ABI2" s="86">
        <v>151.38</v>
      </c>
      <c r="ABJ2" s="86">
        <v>151.38</v>
      </c>
      <c r="ABK2" s="86">
        <v>151.38</v>
      </c>
      <c r="ABL2" s="86">
        <v>151.38</v>
      </c>
      <c r="ABM2" s="86">
        <v>151.38</v>
      </c>
      <c r="ABN2" s="86">
        <v>151.38</v>
      </c>
      <c r="ABO2" s="86">
        <v>151.38</v>
      </c>
      <c r="ABP2" s="86">
        <v>151.38</v>
      </c>
      <c r="ABQ2" s="86">
        <v>151.38</v>
      </c>
      <c r="ABR2" s="86">
        <v>151.38</v>
      </c>
      <c r="ABS2" s="86">
        <v>151.38</v>
      </c>
      <c r="ABT2" s="86">
        <v>151.38</v>
      </c>
      <c r="ABU2" s="86">
        <v>151.38</v>
      </c>
      <c r="ABV2" s="86">
        <v>151.38</v>
      </c>
      <c r="ABW2" s="86">
        <v>151.38</v>
      </c>
      <c r="ABX2" s="86">
        <v>151.38</v>
      </c>
      <c r="ABY2" s="86">
        <v>151.38</v>
      </c>
      <c r="ABZ2" s="86">
        <v>151.38</v>
      </c>
      <c r="ACA2" s="86">
        <v>151.38</v>
      </c>
      <c r="ACB2" s="86">
        <v>151.38</v>
      </c>
      <c r="ACC2" s="86">
        <v>151.38</v>
      </c>
      <c r="ACD2" s="86">
        <v>151.38</v>
      </c>
      <c r="ACE2" s="86">
        <v>151.38</v>
      </c>
      <c r="ACF2" s="86">
        <v>151.38</v>
      </c>
      <c r="ACG2" s="86">
        <v>151.38</v>
      </c>
      <c r="ACH2" s="86">
        <v>151.38</v>
      </c>
      <c r="ACI2" s="86">
        <v>151.38</v>
      </c>
      <c r="ACJ2" s="86">
        <v>151.38</v>
      </c>
      <c r="ACK2" s="86">
        <v>151.38</v>
      </c>
      <c r="ACL2" s="86">
        <v>151.38</v>
      </c>
      <c r="ACM2" s="86">
        <v>151.38</v>
      </c>
      <c r="ACN2" s="86">
        <v>151.38</v>
      </c>
      <c r="ACO2" s="86">
        <v>151.38</v>
      </c>
      <c r="ACP2" s="86">
        <v>151.38</v>
      </c>
      <c r="ACQ2" s="86">
        <v>151.38</v>
      </c>
      <c r="ACR2" s="86">
        <v>151.38</v>
      </c>
      <c r="ACS2" s="86">
        <v>151.38</v>
      </c>
      <c r="ACT2" s="86">
        <v>151.38</v>
      </c>
      <c r="ACU2" s="86">
        <v>151.38</v>
      </c>
      <c r="ACV2" s="86">
        <v>151.38</v>
      </c>
      <c r="ACW2" s="86">
        <v>151.38</v>
      </c>
      <c r="ACX2" s="86">
        <v>151.38</v>
      </c>
      <c r="ADU2" s="86">
        <v>151.38</v>
      </c>
      <c r="ADV2" s="86">
        <v>151.38</v>
      </c>
      <c r="ADW2" s="86">
        <v>151.38</v>
      </c>
      <c r="ADX2" s="86">
        <v>151.38</v>
      </c>
      <c r="ADY2" s="86">
        <v>151.38</v>
      </c>
      <c r="ADZ2" s="86">
        <v>151.38</v>
      </c>
      <c r="AEA2" s="86">
        <v>151.38</v>
      </c>
      <c r="AEB2" s="86">
        <v>151.38</v>
      </c>
      <c r="AEC2" s="86">
        <v>151.38</v>
      </c>
      <c r="AED2" s="86">
        <v>151.38</v>
      </c>
      <c r="AEE2" s="86">
        <v>151.38</v>
      </c>
      <c r="AEF2" s="86">
        <v>151.38</v>
      </c>
      <c r="AEG2" s="86">
        <v>151.38</v>
      </c>
      <c r="AEH2" s="86">
        <v>151.38</v>
      </c>
      <c r="AEI2" s="86">
        <v>151.38</v>
      </c>
      <c r="AEJ2" s="86">
        <v>151.38</v>
      </c>
      <c r="AEK2" s="86">
        <v>151.38</v>
      </c>
      <c r="AEL2" s="86">
        <v>151.38</v>
      </c>
      <c r="AEM2" s="86">
        <v>151.38</v>
      </c>
      <c r="AEN2" s="86">
        <v>151.38</v>
      </c>
      <c r="AEO2" s="86">
        <v>151.38</v>
      </c>
      <c r="AEP2" s="86">
        <v>151.38</v>
      </c>
      <c r="AEQ2" s="86">
        <v>151.38</v>
      </c>
      <c r="AER2" s="86">
        <v>151.38</v>
      </c>
      <c r="AES2" s="86">
        <v>151.38</v>
      </c>
      <c r="AET2" s="86">
        <v>151.38</v>
      </c>
      <c r="AEU2" s="86">
        <v>151.38</v>
      </c>
      <c r="AEV2" s="86">
        <v>151.38</v>
      </c>
      <c r="AEW2" s="86">
        <v>151.38</v>
      </c>
      <c r="AEX2" s="86">
        <v>151.38</v>
      </c>
      <c r="AEY2" s="86">
        <v>151.38</v>
      </c>
      <c r="AEZ2" s="86">
        <v>151.38</v>
      </c>
      <c r="AFA2" s="86">
        <v>151.38</v>
      </c>
      <c r="AFB2" s="86">
        <v>151.38</v>
      </c>
      <c r="AFC2" s="86">
        <v>151.38</v>
      </c>
      <c r="AFD2" s="86">
        <v>151.38</v>
      </c>
      <c r="AFE2" s="86">
        <v>151.38</v>
      </c>
      <c r="AFF2" s="86">
        <v>151.38</v>
      </c>
      <c r="AFG2" s="86">
        <v>151.38</v>
      </c>
      <c r="AFH2" s="86">
        <v>151.38</v>
      </c>
      <c r="AFI2" s="86">
        <v>151.38</v>
      </c>
      <c r="AFJ2" s="86">
        <v>151.38</v>
      </c>
      <c r="AFK2" s="86">
        <v>151.38</v>
      </c>
      <c r="AFL2" s="86">
        <v>151.38</v>
      </c>
      <c r="AFM2" s="86">
        <v>151.38</v>
      </c>
      <c r="AFN2" s="86">
        <v>151.38</v>
      </c>
      <c r="AFO2" s="86">
        <v>151.38</v>
      </c>
      <c r="AFP2" s="86">
        <v>151.38</v>
      </c>
      <c r="AFQ2" s="86">
        <v>151.38</v>
      </c>
      <c r="AFR2" s="86">
        <v>151.38</v>
      </c>
      <c r="AFS2" s="86">
        <v>151.38</v>
      </c>
      <c r="AFT2" s="86">
        <v>151.38</v>
      </c>
      <c r="AFU2" s="86">
        <v>151.38</v>
      </c>
      <c r="AFV2" s="86">
        <v>151.38</v>
      </c>
      <c r="AFW2" s="86">
        <v>151.38</v>
      </c>
      <c r="AFX2" s="86">
        <v>151.38</v>
      </c>
      <c r="AFY2" s="86">
        <v>151.38</v>
      </c>
      <c r="AGW2" s="86">
        <v>151.38</v>
      </c>
      <c r="AGX2" s="86">
        <v>151.38</v>
      </c>
      <c r="AGY2" s="86">
        <v>151.38</v>
      </c>
      <c r="AGZ2" s="86">
        <v>151.38</v>
      </c>
      <c r="AHA2" s="86">
        <v>151.38</v>
      </c>
      <c r="AHB2" s="86">
        <v>151.38</v>
      </c>
      <c r="AHC2" s="86">
        <v>151.38</v>
      </c>
      <c r="AHD2" s="86">
        <v>151.38</v>
      </c>
      <c r="AHE2" s="86">
        <v>151.38</v>
      </c>
      <c r="AHF2" s="86">
        <v>151.38</v>
      </c>
      <c r="AHG2" s="86">
        <v>151.38</v>
      </c>
      <c r="AHH2" s="86">
        <v>151.38</v>
      </c>
      <c r="AHI2" s="86">
        <v>151.38</v>
      </c>
      <c r="AHJ2" s="86">
        <v>151.38</v>
      </c>
      <c r="AHK2" s="86">
        <v>151.38</v>
      </c>
      <c r="AHL2" s="86">
        <v>151.38</v>
      </c>
      <c r="AHM2" s="86">
        <v>151.38</v>
      </c>
      <c r="AHN2" s="86">
        <v>151.38</v>
      </c>
      <c r="AHO2" s="86">
        <v>151.38</v>
      </c>
      <c r="AHP2" s="86">
        <v>151.38</v>
      </c>
      <c r="AHQ2" s="86">
        <v>151.38</v>
      </c>
      <c r="AHR2" s="86">
        <v>151.38</v>
      </c>
      <c r="AHS2" s="86">
        <v>151.38</v>
      </c>
      <c r="AHT2" s="86">
        <v>151.38</v>
      </c>
      <c r="AHU2" s="86">
        <v>151.38</v>
      </c>
      <c r="AHV2" s="86">
        <v>151.38</v>
      </c>
      <c r="AHW2" s="86">
        <v>151.38</v>
      </c>
      <c r="AHX2" s="86">
        <v>151.38</v>
      </c>
      <c r="AHY2" s="86">
        <v>151.38</v>
      </c>
      <c r="AHZ2" s="86">
        <v>151.38</v>
      </c>
      <c r="AIA2" s="86">
        <v>151.38</v>
      </c>
      <c r="AIB2" s="86">
        <v>151.38</v>
      </c>
      <c r="AIC2" s="86">
        <v>151.38</v>
      </c>
      <c r="AID2" s="86">
        <v>151.38</v>
      </c>
      <c r="AIE2" s="86">
        <v>151.38</v>
      </c>
      <c r="AIF2" s="86">
        <v>151.38</v>
      </c>
      <c r="AIG2" s="86">
        <v>151.38</v>
      </c>
      <c r="AIH2" s="86">
        <v>151.38</v>
      </c>
      <c r="AII2" s="86">
        <v>151.38</v>
      </c>
      <c r="AIJ2" s="86">
        <v>151.38</v>
      </c>
      <c r="AIK2" s="86">
        <v>151.38</v>
      </c>
      <c r="AIL2" s="86">
        <v>151.38</v>
      </c>
      <c r="AIM2" s="86">
        <v>151.38</v>
      </c>
      <c r="AIN2" s="86">
        <v>151.38</v>
      </c>
      <c r="AIO2" s="86">
        <v>151.38</v>
      </c>
      <c r="AIP2" s="86">
        <v>151.38</v>
      </c>
      <c r="AIQ2" s="86">
        <v>151.38</v>
      </c>
      <c r="AIR2" s="86">
        <v>151.38</v>
      </c>
      <c r="AIS2" s="86">
        <v>151.38</v>
      </c>
      <c r="AIT2" s="86">
        <v>151.38</v>
      </c>
      <c r="AIU2" s="86">
        <v>151.38</v>
      </c>
      <c r="AIV2" s="86">
        <v>151.38</v>
      </c>
      <c r="AIW2" s="86">
        <v>151.38</v>
      </c>
      <c r="AIX2" s="86">
        <v>151.38</v>
      </c>
      <c r="AIY2" s="86">
        <v>151.38</v>
      </c>
      <c r="AIZ2" s="86">
        <v>151.38</v>
      </c>
      <c r="AJY2" t="s">
        <v>3</v>
      </c>
    </row>
    <row r="3" spans="1:961">
      <c r="A3" s="86">
        <v>138.4</v>
      </c>
      <c r="B3" s="86">
        <v>138.4</v>
      </c>
      <c r="C3" s="86">
        <v>138.4</v>
      </c>
      <c r="D3" s="86">
        <v>138.4</v>
      </c>
      <c r="E3" s="86">
        <v>138.4</v>
      </c>
      <c r="F3" s="86">
        <v>138.4</v>
      </c>
      <c r="G3" s="86">
        <v>138.4</v>
      </c>
      <c r="H3" s="86">
        <v>138.4</v>
      </c>
      <c r="I3" s="86">
        <v>138.4</v>
      </c>
      <c r="J3" s="86">
        <v>138.4</v>
      </c>
      <c r="K3" s="86">
        <v>138.4</v>
      </c>
      <c r="L3" s="86">
        <v>138.4</v>
      </c>
      <c r="M3" s="86">
        <v>138.4</v>
      </c>
      <c r="N3" s="86">
        <v>138.4</v>
      </c>
      <c r="O3" s="86">
        <v>138.4</v>
      </c>
      <c r="P3" s="86">
        <v>138.4</v>
      </c>
      <c r="Q3" s="86">
        <v>138.4</v>
      </c>
      <c r="R3" s="86">
        <v>138.4</v>
      </c>
      <c r="S3" s="86">
        <v>138.4</v>
      </c>
      <c r="T3" s="86">
        <v>138.4</v>
      </c>
      <c r="U3" s="86">
        <v>138.4</v>
      </c>
      <c r="V3" s="86">
        <v>138.4</v>
      </c>
      <c r="W3" s="86">
        <v>138.4</v>
      </c>
      <c r="X3" s="86">
        <v>138.4</v>
      </c>
      <c r="Y3" s="86">
        <v>138.4</v>
      </c>
      <c r="Z3" s="86">
        <v>138.4</v>
      </c>
      <c r="AA3" s="86">
        <v>138.4</v>
      </c>
      <c r="AB3" s="86">
        <v>138.4</v>
      </c>
      <c r="AC3" s="86">
        <v>138.4</v>
      </c>
      <c r="AD3" s="86">
        <v>138.4</v>
      </c>
      <c r="AE3" s="86">
        <v>138.4</v>
      </c>
      <c r="AF3" s="86">
        <v>138.4</v>
      </c>
      <c r="AG3" s="86">
        <v>138.4</v>
      </c>
      <c r="AH3" s="86">
        <v>138.4</v>
      </c>
      <c r="AI3" s="86">
        <v>138.4</v>
      </c>
      <c r="AJ3" s="86">
        <v>138.4</v>
      </c>
      <c r="AK3" s="86">
        <v>138.4</v>
      </c>
      <c r="AL3" s="86">
        <v>138.4</v>
      </c>
      <c r="AM3" s="86">
        <v>138.4</v>
      </c>
      <c r="AN3" s="86">
        <v>138.4</v>
      </c>
      <c r="AO3" s="86">
        <v>138.4</v>
      </c>
      <c r="AP3" s="86">
        <v>138.4</v>
      </c>
      <c r="AQ3" s="86">
        <v>138.4</v>
      </c>
      <c r="AR3" s="86">
        <v>138.4</v>
      </c>
      <c r="AS3" s="86">
        <v>138.4</v>
      </c>
      <c r="AT3" s="86">
        <v>138.4</v>
      </c>
      <c r="AU3" s="86">
        <v>138.4</v>
      </c>
      <c r="AV3" s="86">
        <v>138.4</v>
      </c>
      <c r="AW3" s="86">
        <v>138.4</v>
      </c>
      <c r="AX3" s="86">
        <v>138.4</v>
      </c>
      <c r="AY3" s="86">
        <v>138.4</v>
      </c>
      <c r="AZ3" s="86">
        <v>138.4</v>
      </c>
      <c r="CC3" s="86">
        <v>138.4</v>
      </c>
      <c r="CD3" s="86">
        <v>138.4</v>
      </c>
      <c r="CE3" s="86">
        <v>138.4</v>
      </c>
      <c r="CF3" s="86">
        <v>138.4</v>
      </c>
      <c r="CG3" s="86">
        <v>138.4</v>
      </c>
      <c r="CH3" s="86">
        <v>138.4</v>
      </c>
      <c r="CI3" s="86">
        <v>138.4</v>
      </c>
      <c r="CJ3" s="86">
        <v>138.4</v>
      </c>
      <c r="CK3" s="86">
        <v>138.4</v>
      </c>
      <c r="CL3" s="86">
        <v>138.4</v>
      </c>
      <c r="CM3" s="86">
        <v>138.4</v>
      </c>
      <c r="CN3" s="86">
        <v>138.4</v>
      </c>
      <c r="CO3" s="86">
        <v>138.4</v>
      </c>
      <c r="CP3" s="86">
        <v>138.4</v>
      </c>
      <c r="CQ3" s="86">
        <v>138.4</v>
      </c>
      <c r="CR3" s="86">
        <v>138.4</v>
      </c>
      <c r="CS3" s="86">
        <v>138.4</v>
      </c>
      <c r="CT3" s="86">
        <v>138.4</v>
      </c>
      <c r="CU3" s="86">
        <v>138.4</v>
      </c>
      <c r="CV3" s="86">
        <v>138.4</v>
      </c>
      <c r="CW3" s="86">
        <v>138.4</v>
      </c>
      <c r="CX3" s="86">
        <v>138.4</v>
      </c>
      <c r="CY3" s="86">
        <v>138.4</v>
      </c>
      <c r="CZ3" s="86">
        <v>138.4</v>
      </c>
      <c r="DA3" s="86">
        <v>138.4</v>
      </c>
      <c r="DB3" s="86">
        <v>138.4</v>
      </c>
      <c r="DC3" s="86">
        <v>138.4</v>
      </c>
      <c r="DD3" s="86">
        <v>138.4</v>
      </c>
      <c r="DE3" s="86">
        <v>138.4</v>
      </c>
      <c r="DF3" s="86">
        <v>138.4</v>
      </c>
      <c r="DG3" s="86">
        <v>138.4</v>
      </c>
      <c r="DH3" s="86">
        <v>138.4</v>
      </c>
      <c r="DI3" s="86">
        <v>138.4</v>
      </c>
      <c r="DJ3" s="86">
        <v>138.4</v>
      </c>
      <c r="DK3" s="86">
        <v>138.4</v>
      </c>
      <c r="DL3" s="86">
        <v>138.4</v>
      </c>
      <c r="DM3" s="86">
        <v>138.4</v>
      </c>
      <c r="DN3" s="86">
        <v>138.4</v>
      </c>
      <c r="DO3" s="86">
        <v>138.4</v>
      </c>
      <c r="DP3" s="86">
        <v>138.4</v>
      </c>
      <c r="DQ3" s="86">
        <v>138.4</v>
      </c>
      <c r="DR3" s="86">
        <v>138.4</v>
      </c>
      <c r="DS3" s="86">
        <v>138.4</v>
      </c>
      <c r="DT3" s="86">
        <v>138.4</v>
      </c>
      <c r="DU3" s="86">
        <v>138.4</v>
      </c>
      <c r="DV3" s="86">
        <v>138.4</v>
      </c>
      <c r="DW3" s="86">
        <v>138.4</v>
      </c>
      <c r="DX3" s="86">
        <v>138.4</v>
      </c>
      <c r="DY3" s="86">
        <v>138.4</v>
      </c>
      <c r="DZ3" s="86">
        <v>138.4</v>
      </c>
      <c r="EA3" s="86">
        <v>138.4</v>
      </c>
      <c r="EB3" s="86">
        <v>138.4</v>
      </c>
      <c r="EC3" s="86">
        <v>138.4</v>
      </c>
      <c r="ED3" s="86">
        <v>138.4</v>
      </c>
      <c r="EE3" s="86">
        <v>138.4</v>
      </c>
      <c r="EF3" s="86">
        <v>138.4</v>
      </c>
      <c r="EG3" s="86">
        <v>138.4</v>
      </c>
      <c r="EH3" s="86">
        <v>138.4</v>
      </c>
      <c r="EI3" s="86">
        <v>138.4</v>
      </c>
      <c r="FE3" s="86">
        <v>138.4</v>
      </c>
      <c r="FF3" s="86">
        <v>138.4</v>
      </c>
      <c r="FG3" s="86">
        <v>138.4</v>
      </c>
      <c r="FH3" s="86">
        <v>138.4</v>
      </c>
      <c r="FI3" s="86">
        <v>138.4</v>
      </c>
      <c r="FJ3" s="86">
        <v>138.4</v>
      </c>
      <c r="FK3" s="86">
        <v>138.4</v>
      </c>
      <c r="FL3" s="86">
        <v>138.4</v>
      </c>
      <c r="FM3" s="86">
        <v>138.4</v>
      </c>
      <c r="FN3" s="86">
        <v>138.4</v>
      </c>
      <c r="FO3" s="86">
        <v>138.4</v>
      </c>
      <c r="FP3" s="86">
        <v>138.4</v>
      </c>
      <c r="FQ3" s="86">
        <v>138.4</v>
      </c>
      <c r="FR3" s="86">
        <v>138.4</v>
      </c>
      <c r="FS3" s="86">
        <v>138.4</v>
      </c>
      <c r="FT3" s="86">
        <v>138.4</v>
      </c>
      <c r="FU3" s="86">
        <v>138.4</v>
      </c>
      <c r="FV3" s="86">
        <v>138.4</v>
      </c>
      <c r="FW3" s="86">
        <v>138.4</v>
      </c>
      <c r="FX3" s="86">
        <v>138.4</v>
      </c>
      <c r="FY3" s="86">
        <v>138.4</v>
      </c>
      <c r="FZ3" s="86">
        <v>138.4</v>
      </c>
      <c r="GA3" s="86">
        <v>138.4</v>
      </c>
      <c r="GB3" s="86">
        <v>138.4</v>
      </c>
      <c r="GC3" s="86">
        <v>138.4</v>
      </c>
      <c r="GD3" s="86">
        <v>138.4</v>
      </c>
      <c r="GE3" s="86">
        <v>138.4</v>
      </c>
      <c r="GF3" s="86">
        <v>138.4</v>
      </c>
      <c r="GG3" s="86">
        <v>138.4</v>
      </c>
      <c r="GH3" s="86">
        <v>138.4</v>
      </c>
      <c r="GI3" s="86">
        <v>138.4</v>
      </c>
      <c r="GJ3" s="86">
        <v>138.4</v>
      </c>
      <c r="GK3" s="86">
        <v>138.4</v>
      </c>
      <c r="GL3" s="86">
        <v>138.4</v>
      </c>
      <c r="GM3" s="86">
        <v>138.4</v>
      </c>
      <c r="GN3" s="86">
        <v>138.4</v>
      </c>
      <c r="GO3" s="86">
        <v>138.4</v>
      </c>
      <c r="GP3" s="86">
        <v>138.4</v>
      </c>
      <c r="GQ3" s="86">
        <v>138.4</v>
      </c>
      <c r="GR3" s="86">
        <v>138.4</v>
      </c>
      <c r="GS3" s="86">
        <v>138.4</v>
      </c>
      <c r="GT3" s="86">
        <v>138.4</v>
      </c>
      <c r="GU3" s="86">
        <v>138.4</v>
      </c>
      <c r="GV3" s="86">
        <v>138.4</v>
      </c>
      <c r="GW3" s="86">
        <v>138.4</v>
      </c>
      <c r="GX3" s="86">
        <v>138.4</v>
      </c>
      <c r="GY3" s="86">
        <v>138.4</v>
      </c>
      <c r="GZ3" s="86">
        <v>138.4</v>
      </c>
      <c r="HA3" s="86">
        <v>138.4</v>
      </c>
      <c r="HB3" s="86">
        <v>138.4</v>
      </c>
      <c r="HC3" s="86">
        <v>138.4</v>
      </c>
      <c r="HD3" s="86">
        <v>138.4</v>
      </c>
      <c r="HE3" s="86">
        <v>138.4</v>
      </c>
      <c r="HF3" s="86">
        <v>138.4</v>
      </c>
      <c r="HG3" s="86">
        <v>138.4</v>
      </c>
      <c r="HH3" s="86">
        <v>138.4</v>
      </c>
      <c r="HI3" s="86">
        <v>138.4</v>
      </c>
      <c r="HJ3" s="86">
        <v>138.4</v>
      </c>
      <c r="HK3" s="86">
        <v>138.4</v>
      </c>
      <c r="HL3" s="86">
        <v>138.4</v>
      </c>
      <c r="IG3" s="86">
        <v>138.4</v>
      </c>
      <c r="IH3" s="86">
        <v>138.4</v>
      </c>
      <c r="II3" s="86">
        <v>138.4</v>
      </c>
      <c r="IJ3" s="86">
        <v>138.4</v>
      </c>
      <c r="IK3" s="86">
        <v>138.4</v>
      </c>
      <c r="IL3" s="86">
        <v>138.4</v>
      </c>
      <c r="IM3" s="86">
        <v>138.4</v>
      </c>
      <c r="IN3" s="86">
        <v>138.4</v>
      </c>
      <c r="IO3" s="86">
        <v>138.4</v>
      </c>
      <c r="IP3" s="86">
        <v>138.4</v>
      </c>
      <c r="IQ3" s="86">
        <v>138.4</v>
      </c>
      <c r="IR3" s="86">
        <v>138.4</v>
      </c>
      <c r="IS3" s="86">
        <v>138.4</v>
      </c>
      <c r="IT3" s="86">
        <v>138.4</v>
      </c>
      <c r="IU3" s="86">
        <v>138.4</v>
      </c>
      <c r="IV3" s="86">
        <v>138.4</v>
      </c>
      <c r="IW3" s="86">
        <v>138.4</v>
      </c>
      <c r="IX3" s="86">
        <v>138.4</v>
      </c>
      <c r="IY3" s="86">
        <v>138.4</v>
      </c>
      <c r="IZ3" s="86">
        <v>138.4</v>
      </c>
      <c r="JA3" s="86">
        <v>138.4</v>
      </c>
      <c r="JB3" s="86">
        <v>138.4</v>
      </c>
      <c r="JC3" s="86">
        <v>138.4</v>
      </c>
      <c r="JD3" s="86">
        <v>138.4</v>
      </c>
      <c r="JE3" s="86">
        <v>138.4</v>
      </c>
      <c r="JF3" s="86">
        <v>138.4</v>
      </c>
      <c r="JG3" s="86">
        <v>138.4</v>
      </c>
      <c r="JH3" s="86">
        <v>138.4</v>
      </c>
      <c r="JI3" s="86">
        <v>138.4</v>
      </c>
      <c r="JJ3" s="86">
        <v>138.4</v>
      </c>
      <c r="JK3" s="86">
        <v>138.4</v>
      </c>
      <c r="JL3" s="86">
        <v>138.4</v>
      </c>
      <c r="JM3" s="86">
        <v>138.4</v>
      </c>
      <c r="JN3" s="86">
        <v>138.4</v>
      </c>
      <c r="JO3" s="86">
        <v>138.4</v>
      </c>
      <c r="JP3" s="86">
        <v>138.4</v>
      </c>
      <c r="JQ3" s="86">
        <v>138.4</v>
      </c>
      <c r="JR3" s="86">
        <v>138.4</v>
      </c>
      <c r="JS3" s="86">
        <v>138.4</v>
      </c>
      <c r="JT3" s="86">
        <v>138.4</v>
      </c>
      <c r="JU3" s="86">
        <v>138.4</v>
      </c>
      <c r="JV3" s="86">
        <v>138.4</v>
      </c>
      <c r="JW3" s="86">
        <v>138.4</v>
      </c>
      <c r="JX3" s="86">
        <v>138.4</v>
      </c>
      <c r="JY3" s="86">
        <v>138.4</v>
      </c>
      <c r="JZ3" s="86">
        <v>138.4</v>
      </c>
      <c r="KA3" s="86">
        <v>138.4</v>
      </c>
      <c r="KB3" s="86">
        <v>138.4</v>
      </c>
      <c r="KC3" s="86">
        <v>138.4</v>
      </c>
      <c r="KD3" s="86">
        <v>138.4</v>
      </c>
      <c r="KE3" s="86">
        <v>138.4</v>
      </c>
      <c r="KF3" s="86">
        <v>138.4</v>
      </c>
      <c r="KG3" s="86">
        <v>138.4</v>
      </c>
      <c r="KH3" s="86">
        <v>138.4</v>
      </c>
      <c r="KI3" s="86">
        <v>138.4</v>
      </c>
      <c r="KJ3" s="86">
        <v>138.4</v>
      </c>
      <c r="KK3" s="86">
        <v>138.4</v>
      </c>
      <c r="KL3" s="86">
        <v>138.4</v>
      </c>
      <c r="KM3" s="86">
        <v>138.4</v>
      </c>
      <c r="KN3" s="86">
        <v>138.4</v>
      </c>
      <c r="LI3" s="86">
        <v>138.4</v>
      </c>
      <c r="LJ3" s="86">
        <v>138.4</v>
      </c>
      <c r="LK3" s="86">
        <v>138.4</v>
      </c>
      <c r="LL3" s="86">
        <v>138.4</v>
      </c>
      <c r="LM3" s="86">
        <v>138.4</v>
      </c>
      <c r="LN3" s="86">
        <v>138.4</v>
      </c>
      <c r="LO3" s="86">
        <v>138.4</v>
      </c>
      <c r="LP3" s="86">
        <v>138.4</v>
      </c>
      <c r="LQ3" s="86">
        <v>138.4</v>
      </c>
      <c r="LR3" s="86">
        <v>138.4</v>
      </c>
      <c r="LS3" s="86">
        <v>138.4</v>
      </c>
      <c r="LT3" s="86">
        <v>138.4</v>
      </c>
      <c r="LU3" s="86">
        <v>138.4</v>
      </c>
      <c r="LV3" s="86">
        <v>138.4</v>
      </c>
      <c r="LW3" s="86">
        <v>138.4</v>
      </c>
      <c r="LX3" s="86">
        <v>138.4</v>
      </c>
      <c r="LY3" s="86">
        <v>138.4</v>
      </c>
      <c r="LZ3" s="86">
        <v>138.4</v>
      </c>
      <c r="MA3" s="86">
        <v>138.4</v>
      </c>
      <c r="MB3" s="86">
        <v>138.4</v>
      </c>
      <c r="MC3" s="86">
        <v>138.4</v>
      </c>
      <c r="MD3" s="86">
        <v>138.4</v>
      </c>
      <c r="ME3" s="86">
        <v>138.4</v>
      </c>
      <c r="MF3" s="86">
        <v>138.4</v>
      </c>
      <c r="MG3" s="86">
        <v>138.4</v>
      </c>
      <c r="MH3" s="86">
        <v>138.4</v>
      </c>
      <c r="MI3" s="86">
        <v>138.4</v>
      </c>
      <c r="MJ3" s="86">
        <v>138.4</v>
      </c>
      <c r="MK3" s="86">
        <v>138.4</v>
      </c>
      <c r="ML3" s="86">
        <v>138.4</v>
      </c>
      <c r="MM3" s="86">
        <v>138.4</v>
      </c>
      <c r="MN3" s="86">
        <v>138.4</v>
      </c>
      <c r="MO3" s="86">
        <v>138.4</v>
      </c>
      <c r="MP3" s="86">
        <v>138.4</v>
      </c>
      <c r="MQ3" s="86">
        <v>138.4</v>
      </c>
      <c r="MR3" s="86">
        <v>138.4</v>
      </c>
      <c r="MS3" s="86">
        <v>138.4</v>
      </c>
      <c r="MT3" s="86">
        <v>138.4</v>
      </c>
      <c r="MU3" s="86">
        <v>138.4</v>
      </c>
      <c r="MV3" s="86">
        <v>138.4</v>
      </c>
      <c r="MW3" s="86">
        <v>138.4</v>
      </c>
      <c r="MX3" s="86">
        <v>138.4</v>
      </c>
      <c r="MY3" s="86">
        <v>138.4</v>
      </c>
      <c r="MZ3" s="86">
        <v>138.4</v>
      </c>
      <c r="NA3" s="86">
        <v>138.4</v>
      </c>
      <c r="NB3" s="86">
        <v>138.4</v>
      </c>
      <c r="NC3" s="86">
        <v>138.4</v>
      </c>
      <c r="ND3" s="86">
        <v>138.4</v>
      </c>
      <c r="NE3" s="86">
        <v>138.4</v>
      </c>
      <c r="NF3" s="86">
        <v>138.4</v>
      </c>
      <c r="NG3" s="86">
        <v>138.4</v>
      </c>
      <c r="NH3" s="86">
        <v>138.4</v>
      </c>
      <c r="NI3" s="86">
        <v>138.4</v>
      </c>
      <c r="NJ3" s="86">
        <v>138.4</v>
      </c>
      <c r="NK3" s="86">
        <v>138.4</v>
      </c>
      <c r="NL3" s="86">
        <v>138.4</v>
      </c>
      <c r="NM3" s="86">
        <v>138.4</v>
      </c>
      <c r="NN3" s="86">
        <v>138.4</v>
      </c>
      <c r="NO3" s="86">
        <v>138.4</v>
      </c>
      <c r="NP3" s="86">
        <v>138.4</v>
      </c>
      <c r="NQ3" s="86">
        <v>138.4</v>
      </c>
      <c r="NR3" s="86">
        <v>138.4</v>
      </c>
      <c r="OK3" s="86">
        <v>138.4</v>
      </c>
      <c r="OL3" s="86">
        <v>138.4</v>
      </c>
      <c r="OM3" s="86">
        <v>138.4</v>
      </c>
      <c r="ON3" s="86">
        <v>138.4</v>
      </c>
      <c r="OO3" s="86">
        <v>138.4</v>
      </c>
      <c r="OP3" s="86">
        <v>138.4</v>
      </c>
      <c r="OQ3" s="86">
        <v>138.4</v>
      </c>
      <c r="OR3" s="86">
        <v>138.4</v>
      </c>
      <c r="OS3" s="86">
        <v>138.4</v>
      </c>
      <c r="OT3" s="86">
        <v>138.4</v>
      </c>
      <c r="OU3" s="86">
        <v>138.4</v>
      </c>
      <c r="OV3" s="86">
        <v>138.4</v>
      </c>
      <c r="OW3" s="86">
        <v>138.4</v>
      </c>
      <c r="OX3" s="86">
        <v>138.4</v>
      </c>
      <c r="OY3" s="86">
        <v>138.4</v>
      </c>
      <c r="OZ3" s="86">
        <v>138.4</v>
      </c>
      <c r="PA3" s="86">
        <v>138.4</v>
      </c>
      <c r="PB3" s="86">
        <v>138.4</v>
      </c>
      <c r="PC3" s="86">
        <v>138.4</v>
      </c>
      <c r="PD3" s="86">
        <v>138.4</v>
      </c>
      <c r="PE3" s="86">
        <v>138.4</v>
      </c>
      <c r="PF3" s="86">
        <v>138.4</v>
      </c>
      <c r="PG3" s="86">
        <v>138.4</v>
      </c>
      <c r="PH3" s="86">
        <v>138.4</v>
      </c>
      <c r="PI3" s="86">
        <v>138.4</v>
      </c>
      <c r="PJ3" s="86">
        <v>138.4</v>
      </c>
      <c r="PK3" s="86">
        <v>138.4</v>
      </c>
      <c r="PL3" s="86">
        <v>138.4</v>
      </c>
      <c r="PM3" s="86">
        <v>138.4</v>
      </c>
      <c r="PN3" s="86">
        <v>138.4</v>
      </c>
      <c r="PO3" s="86">
        <v>138.4</v>
      </c>
      <c r="PP3" s="86">
        <v>138.4</v>
      </c>
      <c r="PQ3" s="86">
        <v>138.4</v>
      </c>
      <c r="PR3" s="86">
        <v>138.4</v>
      </c>
      <c r="PS3" s="86">
        <v>138.4</v>
      </c>
      <c r="PT3" s="86">
        <v>138.4</v>
      </c>
      <c r="PU3" s="86">
        <v>138.4</v>
      </c>
      <c r="PV3" s="86">
        <v>138.4</v>
      </c>
      <c r="PW3" s="86">
        <v>138.4</v>
      </c>
      <c r="PX3" s="86">
        <v>138.4</v>
      </c>
      <c r="PY3" s="86">
        <v>138.4</v>
      </c>
      <c r="PZ3" s="86">
        <v>138.4</v>
      </c>
      <c r="QA3" s="86">
        <v>138.4</v>
      </c>
      <c r="QB3" s="86">
        <v>138.4</v>
      </c>
      <c r="QC3" s="86">
        <v>138.4</v>
      </c>
      <c r="QD3" s="86">
        <v>138.4</v>
      </c>
      <c r="QE3" s="86">
        <v>138.4</v>
      </c>
      <c r="QF3" s="86">
        <v>138.4</v>
      </c>
      <c r="QG3" s="86">
        <v>138.4</v>
      </c>
      <c r="QH3" s="86">
        <v>138.4</v>
      </c>
      <c r="QI3" s="86">
        <v>138.4</v>
      </c>
      <c r="QJ3" s="86">
        <v>138.4</v>
      </c>
      <c r="QK3" s="86">
        <v>138.4</v>
      </c>
      <c r="QL3" s="86">
        <v>138.4</v>
      </c>
      <c r="QM3" s="86">
        <v>138.4</v>
      </c>
      <c r="QN3" s="86">
        <v>138.4</v>
      </c>
      <c r="QO3" s="86">
        <v>138.4</v>
      </c>
      <c r="QP3" s="86">
        <v>138.4</v>
      </c>
      <c r="QQ3" s="86">
        <v>138.4</v>
      </c>
      <c r="QR3" s="86">
        <v>138.4</v>
      </c>
      <c r="QS3" s="86">
        <v>138.4</v>
      </c>
      <c r="QT3" s="86">
        <v>138.4</v>
      </c>
      <c r="RM3" s="86">
        <v>138.4</v>
      </c>
      <c r="RN3" s="86">
        <v>138.4</v>
      </c>
      <c r="RO3" s="86">
        <v>138.4</v>
      </c>
      <c r="RP3" s="86">
        <v>138.4</v>
      </c>
      <c r="RQ3" s="86">
        <v>138.4</v>
      </c>
      <c r="RR3" s="86">
        <v>138.4</v>
      </c>
      <c r="RS3" s="86">
        <v>138.4</v>
      </c>
      <c r="RT3" s="86">
        <v>138.4</v>
      </c>
      <c r="RU3" s="86">
        <v>138.4</v>
      </c>
      <c r="RV3" s="86">
        <v>138.4</v>
      </c>
      <c r="RW3" s="86">
        <v>138.4</v>
      </c>
      <c r="RX3" s="86">
        <v>138.4</v>
      </c>
      <c r="RY3" s="86">
        <v>138.4</v>
      </c>
      <c r="RZ3" s="86">
        <v>138.4</v>
      </c>
      <c r="SA3" s="86">
        <v>138.4</v>
      </c>
      <c r="SB3" s="86">
        <v>138.4</v>
      </c>
      <c r="SC3" s="86">
        <v>138.4</v>
      </c>
      <c r="SD3" s="86">
        <v>138.4</v>
      </c>
      <c r="SE3" s="86">
        <v>138.4</v>
      </c>
      <c r="SF3" s="86">
        <v>138.4</v>
      </c>
      <c r="SG3" s="86">
        <v>138.4</v>
      </c>
      <c r="SH3" s="86">
        <v>138.4</v>
      </c>
      <c r="SI3" s="86">
        <v>138.4</v>
      </c>
      <c r="SJ3" s="86">
        <v>138.4</v>
      </c>
      <c r="SK3" s="86">
        <v>138.4</v>
      </c>
      <c r="SL3" s="86">
        <v>138.4</v>
      </c>
      <c r="SM3" s="86">
        <v>138.4</v>
      </c>
      <c r="SN3" s="86">
        <v>138.4</v>
      </c>
      <c r="SO3" s="86">
        <v>138.4</v>
      </c>
      <c r="SP3" s="86">
        <v>138.4</v>
      </c>
      <c r="SQ3" s="86">
        <v>138.4</v>
      </c>
      <c r="SR3" s="86">
        <v>138.4</v>
      </c>
      <c r="SS3" s="86">
        <v>138.4</v>
      </c>
      <c r="ST3" s="86">
        <v>138.4</v>
      </c>
      <c r="SU3" s="86">
        <v>138.4</v>
      </c>
      <c r="SV3" s="86">
        <v>138.4</v>
      </c>
      <c r="SW3" s="86">
        <v>138.4</v>
      </c>
      <c r="SX3" s="86">
        <v>138.4</v>
      </c>
      <c r="SY3" s="86">
        <v>138.4</v>
      </c>
      <c r="SZ3" s="86">
        <v>138.4</v>
      </c>
      <c r="TA3" s="86">
        <v>138.4</v>
      </c>
      <c r="TB3" s="86">
        <v>138.4</v>
      </c>
      <c r="TC3" s="86">
        <v>138.4</v>
      </c>
      <c r="TD3" s="86">
        <v>138.4</v>
      </c>
      <c r="TE3" s="86">
        <v>138.4</v>
      </c>
      <c r="TF3" s="86">
        <v>138.4</v>
      </c>
      <c r="TG3" s="86">
        <v>138.4</v>
      </c>
      <c r="TH3" s="86">
        <v>138.4</v>
      </c>
      <c r="TI3" s="86">
        <v>138.4</v>
      </c>
      <c r="TJ3" s="86">
        <v>138.4</v>
      </c>
      <c r="TK3" s="86">
        <v>138.4</v>
      </c>
      <c r="TL3" s="86">
        <v>138.4</v>
      </c>
      <c r="TM3" s="86">
        <v>138.4</v>
      </c>
      <c r="TN3" s="86">
        <v>138.4</v>
      </c>
      <c r="TO3" s="86">
        <v>138.4</v>
      </c>
      <c r="TP3" s="86">
        <v>138.4</v>
      </c>
      <c r="TQ3" s="86">
        <v>138.4</v>
      </c>
      <c r="TR3" s="86">
        <v>138.4</v>
      </c>
      <c r="TS3" s="86">
        <v>138.4</v>
      </c>
      <c r="TT3" s="86">
        <v>138.4</v>
      </c>
      <c r="TU3" s="86">
        <v>138.4</v>
      </c>
      <c r="TV3" s="86">
        <v>138.4</v>
      </c>
      <c r="UO3" s="86">
        <v>138.4</v>
      </c>
      <c r="UP3" s="86">
        <v>138.4</v>
      </c>
      <c r="UQ3" s="86">
        <v>138.4</v>
      </c>
      <c r="UR3" s="86">
        <v>138.4</v>
      </c>
      <c r="US3" s="86">
        <v>138.4</v>
      </c>
      <c r="UT3" s="86">
        <v>138.4</v>
      </c>
      <c r="UU3" s="86">
        <v>138.4</v>
      </c>
      <c r="UV3" s="86">
        <v>138.4</v>
      </c>
      <c r="UW3" s="86">
        <v>138.4</v>
      </c>
      <c r="UX3" s="86">
        <v>138.4</v>
      </c>
      <c r="UY3" s="86">
        <v>138.4</v>
      </c>
      <c r="UZ3" s="86">
        <v>138.4</v>
      </c>
      <c r="VA3" s="86">
        <v>138.4</v>
      </c>
      <c r="VB3" s="86">
        <v>138.4</v>
      </c>
      <c r="VC3" s="86">
        <v>138.4</v>
      </c>
      <c r="VD3" s="86">
        <v>138.4</v>
      </c>
      <c r="VE3" s="86">
        <v>138.4</v>
      </c>
      <c r="VF3" s="86">
        <v>138.4</v>
      </c>
      <c r="VG3" s="86">
        <v>138.4</v>
      </c>
      <c r="VH3" s="86">
        <v>138.4</v>
      </c>
      <c r="VI3" s="86">
        <v>138.4</v>
      </c>
      <c r="VJ3" s="86">
        <v>138.4</v>
      </c>
      <c r="VK3" s="86">
        <v>138.4</v>
      </c>
      <c r="VL3" s="86">
        <v>138.4</v>
      </c>
      <c r="VM3" s="86">
        <v>138.4</v>
      </c>
      <c r="VN3" s="86">
        <v>138.4</v>
      </c>
      <c r="VO3" s="86">
        <v>138.4</v>
      </c>
      <c r="VP3" s="86">
        <v>138.4</v>
      </c>
      <c r="VQ3" s="86">
        <v>138.4</v>
      </c>
      <c r="VR3" s="86">
        <v>138.4</v>
      </c>
      <c r="VS3" s="86">
        <v>138.4</v>
      </c>
      <c r="VT3" s="86">
        <v>138.4</v>
      </c>
      <c r="VU3" s="86">
        <v>138.4</v>
      </c>
      <c r="VV3" s="86">
        <v>138.4</v>
      </c>
      <c r="VW3" s="86">
        <v>138.4</v>
      </c>
      <c r="VX3" s="86">
        <v>138.4</v>
      </c>
      <c r="VY3" s="86">
        <v>138.4</v>
      </c>
      <c r="VZ3" s="86">
        <v>138.4</v>
      </c>
      <c r="WA3" s="86">
        <v>138.4</v>
      </c>
      <c r="WB3" s="86">
        <v>138.4</v>
      </c>
      <c r="WC3" s="86">
        <v>138.4</v>
      </c>
      <c r="WD3" s="86">
        <v>138.4</v>
      </c>
      <c r="WE3" s="86">
        <v>138.4</v>
      </c>
      <c r="WF3" s="86">
        <v>138.4</v>
      </c>
      <c r="WG3" s="86">
        <v>138.4</v>
      </c>
      <c r="WH3" s="86">
        <v>138.4</v>
      </c>
      <c r="WI3" s="86">
        <v>138.4</v>
      </c>
      <c r="WJ3" s="86">
        <v>138.4</v>
      </c>
      <c r="WK3" s="86">
        <v>138.4</v>
      </c>
      <c r="WL3" s="86">
        <v>138.4</v>
      </c>
      <c r="WM3" s="86">
        <v>138.4</v>
      </c>
      <c r="WN3" s="86">
        <v>138.4</v>
      </c>
      <c r="WO3" s="86">
        <v>138.4</v>
      </c>
      <c r="WP3" s="86">
        <v>138.4</v>
      </c>
      <c r="WQ3" s="86">
        <v>138.4</v>
      </c>
      <c r="WR3" s="86">
        <v>138.4</v>
      </c>
      <c r="WS3" s="86">
        <v>138.4</v>
      </c>
      <c r="WT3" s="86">
        <v>138.4</v>
      </c>
      <c r="WU3" s="86">
        <v>138.4</v>
      </c>
      <c r="WV3" s="86">
        <v>138.4</v>
      </c>
      <c r="WW3" s="86">
        <v>138.4</v>
      </c>
      <c r="XQ3" s="86">
        <v>138.4</v>
      </c>
      <c r="XR3" s="86">
        <v>138.4</v>
      </c>
      <c r="XS3" s="86">
        <v>138.4</v>
      </c>
      <c r="XT3" s="86">
        <v>138.4</v>
      </c>
      <c r="XU3" s="86">
        <v>138.4</v>
      </c>
      <c r="XV3" s="86">
        <v>138.4</v>
      </c>
      <c r="XW3" s="86">
        <v>138.4</v>
      </c>
      <c r="XX3" s="86">
        <v>138.4</v>
      </c>
      <c r="XY3" s="86">
        <v>138.4</v>
      </c>
      <c r="XZ3" s="86">
        <v>138.4</v>
      </c>
      <c r="YA3" s="86">
        <v>138.4</v>
      </c>
      <c r="YB3" s="86">
        <v>138.4</v>
      </c>
      <c r="YC3" s="86">
        <v>138.4</v>
      </c>
      <c r="YD3" s="86">
        <v>138.4</v>
      </c>
      <c r="YE3" s="86">
        <v>138.4</v>
      </c>
      <c r="YF3" s="86">
        <v>138.4</v>
      </c>
      <c r="YG3" s="86">
        <v>138.4</v>
      </c>
      <c r="YH3" s="86">
        <v>138.4</v>
      </c>
      <c r="YI3" s="86">
        <v>138.4</v>
      </c>
      <c r="YJ3" s="86">
        <v>138.4</v>
      </c>
      <c r="YK3" s="86">
        <v>138.4</v>
      </c>
      <c r="YL3" s="86">
        <v>138.4</v>
      </c>
      <c r="YM3" s="86">
        <v>138.4</v>
      </c>
      <c r="YN3" s="86">
        <v>138.4</v>
      </c>
      <c r="YO3" s="86">
        <v>138.4</v>
      </c>
      <c r="YP3" s="86">
        <v>138.4</v>
      </c>
      <c r="YQ3" s="86">
        <v>138.4</v>
      </c>
      <c r="YR3" s="86">
        <v>138.4</v>
      </c>
      <c r="YS3" s="86">
        <v>138.4</v>
      </c>
      <c r="YT3" s="86">
        <v>138.4</v>
      </c>
      <c r="YU3" s="86">
        <v>138.4</v>
      </c>
      <c r="YV3" s="86">
        <v>138.4</v>
      </c>
      <c r="YW3" s="86">
        <v>138.4</v>
      </c>
      <c r="YX3" s="86">
        <v>138.4</v>
      </c>
      <c r="YY3" s="86">
        <v>138.4</v>
      </c>
      <c r="YZ3" s="86">
        <v>138.4</v>
      </c>
      <c r="ZA3" s="86">
        <v>138.4</v>
      </c>
      <c r="ZB3" s="86">
        <v>138.4</v>
      </c>
      <c r="ZC3" s="86">
        <v>138.4</v>
      </c>
      <c r="ZD3" s="86">
        <v>138.4</v>
      </c>
      <c r="ZE3" s="86">
        <v>138.4</v>
      </c>
      <c r="ZF3" s="86">
        <v>138.4</v>
      </c>
      <c r="ZG3" s="86">
        <v>138.4</v>
      </c>
      <c r="ZH3" s="86">
        <v>138.4</v>
      </c>
      <c r="ZI3" s="86">
        <v>138.4</v>
      </c>
      <c r="ZJ3" s="86">
        <v>138.4</v>
      </c>
      <c r="ZK3" s="86">
        <v>138.4</v>
      </c>
      <c r="ZL3" s="86">
        <v>138.4</v>
      </c>
      <c r="ZM3" s="86">
        <v>138.4</v>
      </c>
      <c r="ZN3" s="86">
        <v>138.4</v>
      </c>
      <c r="ZO3" s="86">
        <v>138.4</v>
      </c>
      <c r="ZP3" s="86">
        <v>138.4</v>
      </c>
      <c r="ZQ3" s="86">
        <v>138.4</v>
      </c>
      <c r="ZR3" s="86">
        <v>138.4</v>
      </c>
      <c r="ZS3" s="86">
        <v>138.4</v>
      </c>
      <c r="ZT3" s="86">
        <v>138.4</v>
      </c>
      <c r="ZU3" s="86">
        <v>138.4</v>
      </c>
      <c r="ZV3" s="86">
        <v>138.4</v>
      </c>
      <c r="ZW3" s="86">
        <v>138.4</v>
      </c>
      <c r="AAS3" s="86">
        <v>138.4</v>
      </c>
      <c r="AAT3" s="86">
        <v>138.4</v>
      </c>
      <c r="AAU3" s="86">
        <v>138.4</v>
      </c>
      <c r="AAV3" s="86">
        <v>138.4</v>
      </c>
      <c r="AAW3" s="86">
        <v>138.4</v>
      </c>
      <c r="AAX3" s="86">
        <v>138.4</v>
      </c>
      <c r="AAY3" s="86">
        <v>138.4</v>
      </c>
      <c r="AAZ3" s="86">
        <v>138.4</v>
      </c>
      <c r="ABA3" s="86">
        <v>138.4</v>
      </c>
      <c r="ABB3" s="86">
        <v>138.4</v>
      </c>
      <c r="ABC3" s="86">
        <v>138.4</v>
      </c>
      <c r="ABD3" s="86">
        <v>138.4</v>
      </c>
      <c r="ABE3" s="86">
        <v>138.4</v>
      </c>
      <c r="ABF3" s="86">
        <v>138.4</v>
      </c>
      <c r="ABG3" s="86">
        <v>138.4</v>
      </c>
      <c r="ABH3" s="86">
        <v>138.4</v>
      </c>
      <c r="ABI3" s="86">
        <v>138.4</v>
      </c>
      <c r="ABJ3" s="86">
        <v>138.4</v>
      </c>
      <c r="ABK3" s="86">
        <v>138.4</v>
      </c>
      <c r="ABL3" s="86">
        <v>138.4</v>
      </c>
      <c r="ABM3" s="86">
        <v>138.4</v>
      </c>
      <c r="ABN3" s="86">
        <v>138.4</v>
      </c>
      <c r="ABO3" s="86">
        <v>138.4</v>
      </c>
      <c r="ABP3" s="86">
        <v>138.4</v>
      </c>
      <c r="ABQ3" s="86">
        <v>138.4</v>
      </c>
      <c r="ABR3" s="86">
        <v>138.4</v>
      </c>
      <c r="ABS3" s="86">
        <v>138.4</v>
      </c>
      <c r="ABT3" s="86">
        <v>138.4</v>
      </c>
      <c r="ABU3" s="86">
        <v>138.4</v>
      </c>
      <c r="ABV3" s="86">
        <v>138.4</v>
      </c>
      <c r="ABW3" s="86">
        <v>138.4</v>
      </c>
      <c r="ABX3" s="86">
        <v>138.4</v>
      </c>
      <c r="ABY3" s="86">
        <v>138.4</v>
      </c>
      <c r="ABZ3" s="86">
        <v>138.4</v>
      </c>
      <c r="ACA3" s="86">
        <v>138.4</v>
      </c>
      <c r="ACB3" s="86">
        <v>138.4</v>
      </c>
      <c r="ACC3" s="86">
        <v>138.4</v>
      </c>
      <c r="ACD3" s="86">
        <v>138.4</v>
      </c>
      <c r="ACE3" s="86">
        <v>138.4</v>
      </c>
      <c r="ACF3" s="86">
        <v>138.4</v>
      </c>
      <c r="ACG3" s="86">
        <v>138.4</v>
      </c>
      <c r="ACH3" s="86">
        <v>138.4</v>
      </c>
      <c r="ACI3" s="86">
        <v>138.4</v>
      </c>
      <c r="ACJ3" s="86">
        <v>138.4</v>
      </c>
      <c r="ACK3" s="86">
        <v>138.4</v>
      </c>
      <c r="ACL3" s="86">
        <v>138.4</v>
      </c>
      <c r="ACM3" s="86">
        <v>138.4</v>
      </c>
      <c r="ACN3" s="86">
        <v>138.4</v>
      </c>
      <c r="ACO3" s="86">
        <v>138.4</v>
      </c>
      <c r="ACP3" s="86">
        <v>138.4</v>
      </c>
      <c r="ACQ3" s="86">
        <v>138.4</v>
      </c>
      <c r="ACR3" s="86">
        <v>138.4</v>
      </c>
      <c r="ACS3" s="86">
        <v>138.4</v>
      </c>
      <c r="ACT3" s="86">
        <v>138.4</v>
      </c>
      <c r="ACU3" s="86">
        <v>138.4</v>
      </c>
      <c r="ACV3" s="86">
        <v>138.4</v>
      </c>
      <c r="ACW3" s="86">
        <v>138.4</v>
      </c>
      <c r="ACX3" s="86">
        <v>138.4</v>
      </c>
      <c r="ADU3" s="86">
        <v>138.4</v>
      </c>
      <c r="ADV3" s="86">
        <v>138.4</v>
      </c>
      <c r="ADW3" s="86">
        <v>138.4</v>
      </c>
      <c r="ADX3" s="86">
        <v>138.4</v>
      </c>
      <c r="ADY3" s="86">
        <v>138.4</v>
      </c>
      <c r="ADZ3" s="86">
        <v>138.4</v>
      </c>
      <c r="AEA3" s="86">
        <v>138.4</v>
      </c>
      <c r="AEB3" s="86">
        <v>138.4</v>
      </c>
      <c r="AEC3" s="86">
        <v>138.4</v>
      </c>
      <c r="AED3" s="86">
        <v>138.4</v>
      </c>
      <c r="AEE3" s="86">
        <v>138.4</v>
      </c>
      <c r="AEF3" s="86">
        <v>138.4</v>
      </c>
      <c r="AEG3" s="86">
        <v>138.4</v>
      </c>
      <c r="AEH3" s="86">
        <v>138.4</v>
      </c>
      <c r="AEI3" s="86">
        <v>138.4</v>
      </c>
      <c r="AEJ3" s="86">
        <v>138.4</v>
      </c>
      <c r="AEK3" s="86">
        <v>138.4</v>
      </c>
      <c r="AEL3" s="86">
        <v>138.4</v>
      </c>
      <c r="AEM3" s="86">
        <v>138.4</v>
      </c>
      <c r="AEN3" s="86">
        <v>138.4</v>
      </c>
      <c r="AEO3" s="86">
        <v>138.4</v>
      </c>
      <c r="AEP3" s="86">
        <v>138.4</v>
      </c>
      <c r="AEQ3" s="86">
        <v>138.4</v>
      </c>
      <c r="AER3" s="86">
        <v>138.4</v>
      </c>
      <c r="AES3" s="86">
        <v>138.4</v>
      </c>
      <c r="AET3" s="86">
        <v>138.4</v>
      </c>
      <c r="AEU3" s="86">
        <v>138.4</v>
      </c>
      <c r="AEV3" s="86">
        <v>138.4</v>
      </c>
      <c r="AEW3" s="86">
        <v>138.4</v>
      </c>
      <c r="AEX3" s="86">
        <v>138.4</v>
      </c>
      <c r="AEY3" s="86">
        <v>138.4</v>
      </c>
      <c r="AEZ3" s="86">
        <v>138.4</v>
      </c>
      <c r="AFA3" s="86">
        <v>138.4</v>
      </c>
      <c r="AFB3" s="86">
        <v>138.4</v>
      </c>
      <c r="AFC3" s="86">
        <v>138.4</v>
      </c>
      <c r="AFD3" s="86">
        <v>138.4</v>
      </c>
      <c r="AFE3" s="86">
        <v>138.4</v>
      </c>
      <c r="AFF3" s="86">
        <v>138.4</v>
      </c>
      <c r="AFG3" s="86">
        <v>138.4</v>
      </c>
      <c r="AFH3" s="86">
        <v>138.4</v>
      </c>
      <c r="AFI3" s="86">
        <v>138.4</v>
      </c>
      <c r="AFJ3" s="86">
        <v>138.4</v>
      </c>
      <c r="AFK3" s="86">
        <v>138.4</v>
      </c>
      <c r="AFL3" s="86">
        <v>138.4</v>
      </c>
      <c r="AFM3" s="86">
        <v>138.4</v>
      </c>
      <c r="AFN3" s="86">
        <v>138.4</v>
      </c>
      <c r="AFO3" s="86">
        <v>138.4</v>
      </c>
      <c r="AFP3" s="86">
        <v>138.4</v>
      </c>
      <c r="AFQ3" s="86">
        <v>138.4</v>
      </c>
      <c r="AFR3" s="86">
        <v>138.4</v>
      </c>
      <c r="AFS3" s="86">
        <v>138.4</v>
      </c>
      <c r="AFT3" s="86">
        <v>138.4</v>
      </c>
      <c r="AFU3" s="86">
        <v>138.4</v>
      </c>
      <c r="AFV3" s="86">
        <v>138.4</v>
      </c>
      <c r="AFW3" s="86">
        <v>138.4</v>
      </c>
      <c r="AFX3" s="86">
        <v>138.4</v>
      </c>
      <c r="AFY3" s="86">
        <v>138.4</v>
      </c>
      <c r="AGW3" s="86">
        <v>138.4</v>
      </c>
      <c r="AGX3" s="86">
        <v>138.4</v>
      </c>
      <c r="AGY3" s="86">
        <v>138.4</v>
      </c>
      <c r="AGZ3" s="86">
        <v>138.4</v>
      </c>
      <c r="AHA3" s="86">
        <v>138.4</v>
      </c>
      <c r="AHB3" s="86">
        <v>138.4</v>
      </c>
      <c r="AHC3" s="86">
        <v>138.4</v>
      </c>
      <c r="AHD3" s="86">
        <v>138.4</v>
      </c>
      <c r="AHE3" s="86">
        <v>138.4</v>
      </c>
      <c r="AHF3" s="86">
        <v>138.4</v>
      </c>
      <c r="AHG3" s="86">
        <v>138.4</v>
      </c>
      <c r="AHH3" s="86">
        <v>138.4</v>
      </c>
      <c r="AHI3" s="86">
        <v>138.4</v>
      </c>
      <c r="AHJ3" s="86">
        <v>138.4</v>
      </c>
      <c r="AHK3" s="86">
        <v>138.4</v>
      </c>
      <c r="AHL3" s="86">
        <v>138.4</v>
      </c>
      <c r="AHM3" s="86">
        <v>138.4</v>
      </c>
      <c r="AHN3" s="86">
        <v>138.4</v>
      </c>
      <c r="AHO3" s="86">
        <v>138.4</v>
      </c>
      <c r="AHP3" s="86">
        <v>138.4</v>
      </c>
      <c r="AHQ3" s="86">
        <v>138.4</v>
      </c>
      <c r="AHR3" s="86">
        <v>138.4</v>
      </c>
      <c r="AHS3" s="86">
        <v>138.4</v>
      </c>
      <c r="AHT3" s="86">
        <v>138.4</v>
      </c>
      <c r="AHU3" s="86">
        <v>138.4</v>
      </c>
      <c r="AHV3" s="86">
        <v>138.4</v>
      </c>
      <c r="AHW3" s="86">
        <v>138.4</v>
      </c>
      <c r="AHX3" s="86">
        <v>138.4</v>
      </c>
      <c r="AHY3" s="86">
        <v>138.4</v>
      </c>
      <c r="AHZ3" s="86">
        <v>138.4</v>
      </c>
      <c r="AIA3" s="86">
        <v>138.4</v>
      </c>
      <c r="AIB3" s="86">
        <v>138.4</v>
      </c>
      <c r="AIC3" s="86">
        <v>138.4</v>
      </c>
      <c r="AID3" s="86">
        <v>138.4</v>
      </c>
      <c r="AIE3" s="86">
        <v>138.4</v>
      </c>
      <c r="AIF3" s="86">
        <v>138.4</v>
      </c>
      <c r="AIG3" s="86">
        <v>138.4</v>
      </c>
      <c r="AIH3" s="86">
        <v>138.4</v>
      </c>
      <c r="AII3" s="86">
        <v>138.4</v>
      </c>
      <c r="AIJ3" s="86">
        <v>138.4</v>
      </c>
      <c r="AIK3" s="86">
        <v>138.4</v>
      </c>
      <c r="AIL3" s="86">
        <v>138.4</v>
      </c>
      <c r="AIM3" s="86">
        <v>138.4</v>
      </c>
      <c r="AIN3" s="86">
        <v>138.4</v>
      </c>
      <c r="AIO3" s="86">
        <v>138.4</v>
      </c>
      <c r="AIP3" s="86">
        <v>138.4</v>
      </c>
      <c r="AIQ3" s="86">
        <v>138.4</v>
      </c>
      <c r="AIR3" s="86">
        <v>138.4</v>
      </c>
      <c r="AIS3" s="86">
        <v>138.4</v>
      </c>
      <c r="AIT3" s="86">
        <v>138.4</v>
      </c>
      <c r="AIU3" s="86">
        <v>138.4</v>
      </c>
      <c r="AIV3" s="86">
        <v>138.4</v>
      </c>
      <c r="AIW3" s="86">
        <v>138.4</v>
      </c>
      <c r="AIX3" s="86">
        <v>138.4</v>
      </c>
      <c r="AIY3" s="86">
        <v>138.4</v>
      </c>
      <c r="AIZ3" s="86">
        <v>138.4</v>
      </c>
      <c r="AJY3" t="s">
        <v>4</v>
      </c>
    </row>
    <row r="4" spans="1:961">
      <c r="A4" s="86">
        <v>129.75</v>
      </c>
      <c r="B4" s="86">
        <v>129.75</v>
      </c>
      <c r="C4" s="86">
        <v>129.75</v>
      </c>
      <c r="D4" s="86">
        <v>129.75</v>
      </c>
      <c r="E4" s="86">
        <v>129.75</v>
      </c>
      <c r="F4" s="86">
        <v>129.75</v>
      </c>
      <c r="G4" s="86">
        <v>129.75</v>
      </c>
      <c r="H4" s="86">
        <v>129.75</v>
      </c>
      <c r="I4" s="86">
        <v>129.75</v>
      </c>
      <c r="J4" s="86">
        <v>129.75</v>
      </c>
      <c r="K4" s="86">
        <v>129.75</v>
      </c>
      <c r="L4" s="86">
        <v>129.75</v>
      </c>
      <c r="M4" s="86">
        <v>129.75</v>
      </c>
      <c r="N4" s="86">
        <v>129.75</v>
      </c>
      <c r="O4" s="86">
        <v>129.75</v>
      </c>
      <c r="P4" s="86">
        <v>129.75</v>
      </c>
      <c r="Q4" s="86">
        <v>129.75</v>
      </c>
      <c r="R4" s="86">
        <v>129.75</v>
      </c>
      <c r="S4" s="86">
        <v>129.75</v>
      </c>
      <c r="T4" s="86">
        <v>129.75</v>
      </c>
      <c r="U4" s="86">
        <v>129.75</v>
      </c>
      <c r="V4" s="86">
        <v>129.75</v>
      </c>
      <c r="W4" s="86">
        <v>129.75</v>
      </c>
      <c r="X4" s="86">
        <v>129.75</v>
      </c>
      <c r="Y4" s="86">
        <v>129.75</v>
      </c>
      <c r="Z4" s="86">
        <v>129.75</v>
      </c>
      <c r="AA4" s="86">
        <v>129.75</v>
      </c>
      <c r="AB4" s="86">
        <v>129.75</v>
      </c>
      <c r="AC4" s="86">
        <v>129.75</v>
      </c>
      <c r="AD4" s="86">
        <v>129.75</v>
      </c>
      <c r="AE4" s="86">
        <v>129.75</v>
      </c>
      <c r="AF4" s="86">
        <v>129.75</v>
      </c>
      <c r="AG4" s="86">
        <v>129.75</v>
      </c>
      <c r="AH4" s="86">
        <v>129.75</v>
      </c>
      <c r="AI4" s="86">
        <v>129.75</v>
      </c>
      <c r="AJ4" s="86">
        <v>129.75</v>
      </c>
      <c r="AK4" s="86">
        <v>129.75</v>
      </c>
      <c r="AL4" s="86">
        <v>129.75</v>
      </c>
      <c r="AM4" s="86">
        <v>129.75</v>
      </c>
      <c r="AN4" s="86">
        <v>129.75</v>
      </c>
      <c r="AO4" s="86">
        <v>129.75</v>
      </c>
      <c r="AP4" s="86">
        <v>129.75</v>
      </c>
      <c r="AQ4" s="86">
        <v>129.75</v>
      </c>
      <c r="AR4" s="86">
        <v>129.75</v>
      </c>
      <c r="AS4" s="86">
        <v>129.75</v>
      </c>
      <c r="AT4" s="86">
        <v>129.75</v>
      </c>
      <c r="AU4" s="86">
        <v>129.75</v>
      </c>
      <c r="AV4" s="86">
        <v>129.75</v>
      </c>
      <c r="AW4" s="86">
        <v>129.75</v>
      </c>
      <c r="AX4" s="86">
        <v>129.75</v>
      </c>
      <c r="AY4" s="86">
        <v>129.75</v>
      </c>
      <c r="AZ4" s="86">
        <v>129.75</v>
      </c>
      <c r="CC4" s="86">
        <v>129.75</v>
      </c>
      <c r="CD4" s="86">
        <v>129.75</v>
      </c>
      <c r="CE4" s="86">
        <v>129.75</v>
      </c>
      <c r="CF4" s="86">
        <v>129.75</v>
      </c>
      <c r="CG4" s="86">
        <v>129.75</v>
      </c>
      <c r="CH4" s="86">
        <v>129.75</v>
      </c>
      <c r="CI4" s="86">
        <v>129.75</v>
      </c>
      <c r="CJ4" s="86">
        <v>129.75</v>
      </c>
      <c r="CK4" s="86">
        <v>129.75</v>
      </c>
      <c r="CL4" s="86">
        <v>129.75</v>
      </c>
      <c r="CM4" s="86">
        <v>129.75</v>
      </c>
      <c r="CN4" s="86">
        <v>129.75</v>
      </c>
      <c r="CO4" s="86">
        <v>129.75</v>
      </c>
      <c r="CP4" s="86">
        <v>129.75</v>
      </c>
      <c r="CQ4" s="86">
        <v>129.75</v>
      </c>
      <c r="CR4" s="86">
        <v>129.75</v>
      </c>
      <c r="CS4" s="86">
        <v>129.75</v>
      </c>
      <c r="CT4" s="86">
        <v>129.75</v>
      </c>
      <c r="CU4" s="86">
        <v>129.75</v>
      </c>
      <c r="CV4" s="86">
        <v>129.75</v>
      </c>
      <c r="CW4" s="86">
        <v>129.75</v>
      </c>
      <c r="CX4" s="86">
        <v>129.75</v>
      </c>
      <c r="CY4" s="86">
        <v>129.75</v>
      </c>
      <c r="CZ4" s="86">
        <v>129.75</v>
      </c>
      <c r="DA4" s="86">
        <v>129.75</v>
      </c>
      <c r="DB4" s="86">
        <v>129.75</v>
      </c>
      <c r="DC4" s="86">
        <v>129.75</v>
      </c>
      <c r="DD4" s="86">
        <v>129.75</v>
      </c>
      <c r="DE4" s="86">
        <v>129.75</v>
      </c>
      <c r="DF4" s="86">
        <v>129.75</v>
      </c>
      <c r="DG4" s="86">
        <v>129.75</v>
      </c>
      <c r="DH4" s="86">
        <v>129.75</v>
      </c>
      <c r="DI4" s="86">
        <v>129.75</v>
      </c>
      <c r="DJ4" s="86">
        <v>129.75</v>
      </c>
      <c r="DK4" s="86">
        <v>129.75</v>
      </c>
      <c r="DL4" s="86">
        <v>129.75</v>
      </c>
      <c r="DM4" s="86">
        <v>129.75</v>
      </c>
      <c r="DN4" s="86">
        <v>129.75</v>
      </c>
      <c r="DO4" s="86">
        <v>129.75</v>
      </c>
      <c r="DP4" s="86">
        <v>129.75</v>
      </c>
      <c r="DQ4" s="86">
        <v>129.75</v>
      </c>
      <c r="DR4" s="86">
        <v>129.75</v>
      </c>
      <c r="DS4" s="86">
        <v>129.75</v>
      </c>
      <c r="DT4" s="86">
        <v>129.75</v>
      </c>
      <c r="DU4" s="86">
        <v>129.75</v>
      </c>
      <c r="DV4" s="86">
        <v>129.75</v>
      </c>
      <c r="DW4" s="86">
        <v>129.75</v>
      </c>
      <c r="DX4" s="86">
        <v>129.75</v>
      </c>
      <c r="DY4" s="86">
        <v>129.75</v>
      </c>
      <c r="DZ4" s="86">
        <v>129.75</v>
      </c>
      <c r="EA4" s="86">
        <v>129.75</v>
      </c>
      <c r="EB4" s="86">
        <v>129.75</v>
      </c>
      <c r="EC4" s="86">
        <v>129.75</v>
      </c>
      <c r="ED4" s="86">
        <v>129.75</v>
      </c>
      <c r="EE4" s="86">
        <v>129.75</v>
      </c>
      <c r="EF4" s="86">
        <v>129.75</v>
      </c>
      <c r="EG4" s="86">
        <v>129.75</v>
      </c>
      <c r="EH4" s="86">
        <v>129.75</v>
      </c>
      <c r="EI4" s="86">
        <v>129.75</v>
      </c>
      <c r="FE4" s="86">
        <v>129.75</v>
      </c>
      <c r="FF4" s="86">
        <v>129.75</v>
      </c>
      <c r="FG4" s="86">
        <v>129.75</v>
      </c>
      <c r="FH4" s="86">
        <v>129.75</v>
      </c>
      <c r="FI4" s="86">
        <v>129.75</v>
      </c>
      <c r="FJ4" s="86">
        <v>129.75</v>
      </c>
      <c r="FK4" s="86">
        <v>129.75</v>
      </c>
      <c r="FL4" s="86">
        <v>129.75</v>
      </c>
      <c r="FM4" s="86">
        <v>129.75</v>
      </c>
      <c r="FN4" s="86">
        <v>129.75</v>
      </c>
      <c r="FO4" s="86">
        <v>129.75</v>
      </c>
      <c r="FP4" s="86">
        <v>129.75</v>
      </c>
      <c r="FQ4" s="86">
        <v>129.75</v>
      </c>
      <c r="FR4" s="86">
        <v>129.75</v>
      </c>
      <c r="FS4" s="86">
        <v>129.75</v>
      </c>
      <c r="FT4" s="86">
        <v>129.75</v>
      </c>
      <c r="FU4" s="86">
        <v>129.75</v>
      </c>
      <c r="FV4" s="86">
        <v>129.75</v>
      </c>
      <c r="FW4" s="86">
        <v>129.75</v>
      </c>
      <c r="FX4" s="86">
        <v>129.75</v>
      </c>
      <c r="FY4" s="86">
        <v>129.75</v>
      </c>
      <c r="FZ4" s="86">
        <v>129.75</v>
      </c>
      <c r="GA4" s="86">
        <v>129.75</v>
      </c>
      <c r="GB4" s="86">
        <v>129.75</v>
      </c>
      <c r="GC4" s="86">
        <v>129.75</v>
      </c>
      <c r="GD4" s="86">
        <v>129.75</v>
      </c>
      <c r="GE4" s="86">
        <v>129.75</v>
      </c>
      <c r="GF4" s="86">
        <v>129.75</v>
      </c>
      <c r="GG4" s="86">
        <v>129.75</v>
      </c>
      <c r="GH4" s="86">
        <v>129.75</v>
      </c>
      <c r="GI4" s="86">
        <v>129.75</v>
      </c>
      <c r="GJ4" s="86">
        <v>129.75</v>
      </c>
      <c r="GK4" s="86">
        <v>129.75</v>
      </c>
      <c r="GL4" s="86">
        <v>129.75</v>
      </c>
      <c r="GM4" s="86">
        <v>129.75</v>
      </c>
      <c r="GN4" s="86">
        <v>129.75</v>
      </c>
      <c r="GO4" s="86">
        <v>129.75</v>
      </c>
      <c r="GP4" s="86">
        <v>129.75</v>
      </c>
      <c r="GQ4" s="86">
        <v>129.75</v>
      </c>
      <c r="GR4" s="86">
        <v>129.75</v>
      </c>
      <c r="GS4" s="86">
        <v>129.75</v>
      </c>
      <c r="GT4" s="86">
        <v>129.75</v>
      </c>
      <c r="GU4" s="86">
        <v>129.75</v>
      </c>
      <c r="GV4" s="86">
        <v>129.75</v>
      </c>
      <c r="GW4" s="86">
        <v>129.75</v>
      </c>
      <c r="GX4" s="86">
        <v>129.75</v>
      </c>
      <c r="GY4" s="86">
        <v>129.75</v>
      </c>
      <c r="GZ4" s="86">
        <v>129.75</v>
      </c>
      <c r="HA4" s="86">
        <v>129.75</v>
      </c>
      <c r="HB4" s="86">
        <v>129.75</v>
      </c>
      <c r="HC4" s="86">
        <v>129.75</v>
      </c>
      <c r="HD4" s="86">
        <v>129.75</v>
      </c>
      <c r="HE4" s="86">
        <v>129.75</v>
      </c>
      <c r="HF4" s="86">
        <v>129.75</v>
      </c>
      <c r="HG4" s="86">
        <v>129.75</v>
      </c>
      <c r="HH4" s="86">
        <v>129.75</v>
      </c>
      <c r="HI4" s="86">
        <v>129.75</v>
      </c>
      <c r="HJ4" s="86">
        <v>129.75</v>
      </c>
      <c r="HK4" s="86">
        <v>129.75</v>
      </c>
      <c r="HL4" s="86">
        <v>129.75</v>
      </c>
      <c r="IG4" s="86">
        <v>129.75</v>
      </c>
      <c r="IH4" s="86">
        <v>129.75</v>
      </c>
      <c r="II4" s="86">
        <v>129.75</v>
      </c>
      <c r="IJ4" s="86">
        <v>129.75</v>
      </c>
      <c r="IK4" s="86">
        <v>129.75</v>
      </c>
      <c r="IL4" s="86">
        <v>129.75</v>
      </c>
      <c r="IM4" s="86">
        <v>129.75</v>
      </c>
      <c r="IN4" s="86">
        <v>129.75</v>
      </c>
      <c r="IO4" s="86">
        <v>129.75</v>
      </c>
      <c r="IP4" s="86">
        <v>129.75</v>
      </c>
      <c r="IQ4" s="86">
        <v>129.75</v>
      </c>
      <c r="IR4" s="86">
        <v>129.75</v>
      </c>
      <c r="IS4" s="86">
        <v>129.75</v>
      </c>
      <c r="IT4" s="86">
        <v>129.75</v>
      </c>
      <c r="IU4" s="86">
        <v>129.75</v>
      </c>
      <c r="IV4" s="86">
        <v>129.75</v>
      </c>
      <c r="IW4" s="86">
        <v>129.75</v>
      </c>
      <c r="IX4" s="86">
        <v>129.75</v>
      </c>
      <c r="IY4" s="86">
        <v>129.75</v>
      </c>
      <c r="IZ4" s="86">
        <v>129.75</v>
      </c>
      <c r="JA4" s="86">
        <v>129.75</v>
      </c>
      <c r="JB4" s="86">
        <v>129.75</v>
      </c>
      <c r="JC4" s="86">
        <v>129.75</v>
      </c>
      <c r="JD4" s="86">
        <v>129.75</v>
      </c>
      <c r="JE4" s="86">
        <v>129.75</v>
      </c>
      <c r="JF4" s="86">
        <v>129.75</v>
      </c>
      <c r="JG4" s="86">
        <v>129.75</v>
      </c>
      <c r="JH4" s="86">
        <v>129.75</v>
      </c>
      <c r="JI4" s="86">
        <v>129.75</v>
      </c>
      <c r="JJ4" s="86">
        <v>129.75</v>
      </c>
      <c r="JK4" s="86">
        <v>129.75</v>
      </c>
      <c r="JL4" s="86">
        <v>129.75</v>
      </c>
      <c r="JM4" s="86">
        <v>129.75</v>
      </c>
      <c r="JN4" s="86">
        <v>129.75</v>
      </c>
      <c r="JO4" s="86">
        <v>129.75</v>
      </c>
      <c r="JP4" s="86">
        <v>129.75</v>
      </c>
      <c r="JQ4" s="86">
        <v>129.75</v>
      </c>
      <c r="JR4" s="86">
        <v>129.75</v>
      </c>
      <c r="JS4" s="86">
        <v>129.75</v>
      </c>
      <c r="JT4" s="86">
        <v>129.75</v>
      </c>
      <c r="JU4" s="86">
        <v>129.75</v>
      </c>
      <c r="JV4" s="86">
        <v>129.75</v>
      </c>
      <c r="JW4" s="86">
        <v>129.75</v>
      </c>
      <c r="JX4" s="86">
        <v>129.75</v>
      </c>
      <c r="JY4" s="86">
        <v>129.75</v>
      </c>
      <c r="JZ4" s="86">
        <v>129.75</v>
      </c>
      <c r="KA4" s="86">
        <v>129.75</v>
      </c>
      <c r="KB4" s="86">
        <v>129.75</v>
      </c>
      <c r="KC4" s="86">
        <v>129.75</v>
      </c>
      <c r="KD4" s="86">
        <v>129.75</v>
      </c>
      <c r="KE4" s="86">
        <v>129.75</v>
      </c>
      <c r="KF4" s="86">
        <v>129.75</v>
      </c>
      <c r="KG4" s="86">
        <v>129.75</v>
      </c>
      <c r="KH4" s="86">
        <v>129.75</v>
      </c>
      <c r="KI4" s="86">
        <v>129.75</v>
      </c>
      <c r="KJ4" s="86">
        <v>129.75</v>
      </c>
      <c r="KK4" s="86">
        <v>129.75</v>
      </c>
      <c r="KL4" s="86">
        <v>129.75</v>
      </c>
      <c r="KM4" s="86">
        <v>129.75</v>
      </c>
      <c r="KN4" s="86">
        <v>129.75</v>
      </c>
      <c r="LI4" s="86">
        <v>129.75</v>
      </c>
      <c r="LJ4" s="86">
        <v>129.75</v>
      </c>
      <c r="LK4" s="86">
        <v>129.75</v>
      </c>
      <c r="LL4" s="86">
        <v>129.75</v>
      </c>
      <c r="LM4" s="86">
        <v>129.75</v>
      </c>
      <c r="LN4" s="86">
        <v>129.75</v>
      </c>
      <c r="LO4" s="86">
        <v>129.75</v>
      </c>
      <c r="LP4" s="86">
        <v>129.75</v>
      </c>
      <c r="LQ4" s="86">
        <v>129.75</v>
      </c>
      <c r="LR4" s="86">
        <v>129.75</v>
      </c>
      <c r="LS4" s="86">
        <v>129.75</v>
      </c>
      <c r="LT4" s="86">
        <v>129.75</v>
      </c>
      <c r="LU4" s="86">
        <v>129.75</v>
      </c>
      <c r="LV4" s="86">
        <v>129.75</v>
      </c>
      <c r="LW4" s="86">
        <v>129.75</v>
      </c>
      <c r="LX4" s="86">
        <v>129.75</v>
      </c>
      <c r="LY4" s="86">
        <v>129.75</v>
      </c>
      <c r="LZ4" s="86">
        <v>129.75</v>
      </c>
      <c r="MA4" s="86">
        <v>129.75</v>
      </c>
      <c r="MB4" s="86">
        <v>129.75</v>
      </c>
      <c r="MC4" s="86">
        <v>129.75</v>
      </c>
      <c r="MD4" s="86">
        <v>129.75</v>
      </c>
      <c r="ME4" s="86">
        <v>129.75</v>
      </c>
      <c r="MF4" s="86">
        <v>129.75</v>
      </c>
      <c r="MG4" s="86">
        <v>129.75</v>
      </c>
      <c r="MH4" s="86">
        <v>129.75</v>
      </c>
      <c r="MI4" s="86">
        <v>129.75</v>
      </c>
      <c r="MJ4" s="86">
        <v>129.75</v>
      </c>
      <c r="MK4" s="86">
        <v>129.75</v>
      </c>
      <c r="ML4" s="86">
        <v>129.75</v>
      </c>
      <c r="MM4" s="86">
        <v>129.75</v>
      </c>
      <c r="MN4" s="86">
        <v>129.75</v>
      </c>
      <c r="MO4" s="86">
        <v>129.75</v>
      </c>
      <c r="MP4" s="86">
        <v>129.75</v>
      </c>
      <c r="MQ4" s="86">
        <v>129.75</v>
      </c>
      <c r="MR4" s="86">
        <v>129.75</v>
      </c>
      <c r="MS4" s="86">
        <v>129.75</v>
      </c>
      <c r="MT4" s="86">
        <v>129.75</v>
      </c>
      <c r="MU4" s="86">
        <v>129.75</v>
      </c>
      <c r="MV4" s="86">
        <v>129.75</v>
      </c>
      <c r="MW4" s="86">
        <v>129.75</v>
      </c>
      <c r="MX4" s="86">
        <v>129.75</v>
      </c>
      <c r="MY4" s="86">
        <v>129.75</v>
      </c>
      <c r="MZ4" s="86">
        <v>129.75</v>
      </c>
      <c r="NA4" s="86">
        <v>129.75</v>
      </c>
      <c r="NB4" s="86">
        <v>129.75</v>
      </c>
      <c r="NC4" s="86">
        <v>129.75</v>
      </c>
      <c r="ND4" s="86">
        <v>129.75</v>
      </c>
      <c r="NE4" s="86">
        <v>129.75</v>
      </c>
      <c r="NF4" s="86">
        <v>129.75</v>
      </c>
      <c r="NG4" s="86">
        <v>129.75</v>
      </c>
      <c r="NH4" s="86">
        <v>129.75</v>
      </c>
      <c r="NI4" s="86">
        <v>129.75</v>
      </c>
      <c r="NJ4" s="86">
        <v>129.75</v>
      </c>
      <c r="NK4" s="86">
        <v>129.75</v>
      </c>
      <c r="NL4" s="86">
        <v>129.75</v>
      </c>
      <c r="NM4" s="86">
        <v>129.75</v>
      </c>
      <c r="NN4" s="86">
        <v>129.75</v>
      </c>
      <c r="NO4" s="86">
        <v>129.75</v>
      </c>
      <c r="NP4" s="86">
        <v>129.75</v>
      </c>
      <c r="NQ4" s="86">
        <v>129.75</v>
      </c>
      <c r="NR4" s="86">
        <v>129.75</v>
      </c>
      <c r="OK4" s="86">
        <v>129.75</v>
      </c>
      <c r="OL4" s="86">
        <v>129.75</v>
      </c>
      <c r="OM4" s="86">
        <v>129.75</v>
      </c>
      <c r="ON4" s="86">
        <v>129.75</v>
      </c>
      <c r="OO4" s="86">
        <v>129.75</v>
      </c>
      <c r="OP4" s="86">
        <v>129.75</v>
      </c>
      <c r="OQ4" s="86">
        <v>129.75</v>
      </c>
      <c r="OR4" s="86">
        <v>129.75</v>
      </c>
      <c r="OS4" s="86">
        <v>129.75</v>
      </c>
      <c r="OT4" s="86">
        <v>129.75</v>
      </c>
      <c r="OU4" s="86">
        <v>129.75</v>
      </c>
      <c r="OV4" s="86">
        <v>129.75</v>
      </c>
      <c r="OW4" s="86">
        <v>129.75</v>
      </c>
      <c r="OX4" s="86">
        <v>129.75</v>
      </c>
      <c r="OY4" s="86">
        <v>129.75</v>
      </c>
      <c r="OZ4" s="86">
        <v>129.75</v>
      </c>
      <c r="PA4" s="86">
        <v>129.75</v>
      </c>
      <c r="PB4" s="86">
        <v>129.75</v>
      </c>
      <c r="PC4" s="86">
        <v>129.75</v>
      </c>
      <c r="PD4" s="86">
        <v>129.75</v>
      </c>
      <c r="PE4" s="86">
        <v>129.75</v>
      </c>
      <c r="PF4" s="86">
        <v>129.75</v>
      </c>
      <c r="PG4" s="86">
        <v>129.75</v>
      </c>
      <c r="PH4" s="86">
        <v>129.75</v>
      </c>
      <c r="PI4" s="86">
        <v>129.75</v>
      </c>
      <c r="PJ4" s="86">
        <v>129.75</v>
      </c>
      <c r="PK4" s="86">
        <v>129.75</v>
      </c>
      <c r="PL4" s="86">
        <v>129.75</v>
      </c>
      <c r="PM4" s="86">
        <v>129.75</v>
      </c>
      <c r="PN4" s="86">
        <v>129.75</v>
      </c>
      <c r="PO4" s="86">
        <v>129.75</v>
      </c>
      <c r="PP4" s="86">
        <v>129.75</v>
      </c>
      <c r="PQ4" s="86">
        <v>129.75</v>
      </c>
      <c r="PR4" s="86">
        <v>129.75</v>
      </c>
      <c r="PS4" s="86">
        <v>129.75</v>
      </c>
      <c r="PT4" s="86">
        <v>129.75</v>
      </c>
      <c r="PU4" s="86">
        <v>129.75</v>
      </c>
      <c r="PV4" s="86">
        <v>129.75</v>
      </c>
      <c r="PW4" s="86">
        <v>129.75</v>
      </c>
      <c r="PX4" s="86">
        <v>129.75</v>
      </c>
      <c r="PY4" s="86">
        <v>129.75</v>
      </c>
      <c r="PZ4" s="86">
        <v>129.75</v>
      </c>
      <c r="QA4" s="86">
        <v>129.75</v>
      </c>
      <c r="QB4" s="86">
        <v>129.75</v>
      </c>
      <c r="QC4" s="86">
        <v>129.75</v>
      </c>
      <c r="QD4" s="86">
        <v>129.75</v>
      </c>
      <c r="QE4" s="86">
        <v>129.75</v>
      </c>
      <c r="QF4" s="86">
        <v>129.75</v>
      </c>
      <c r="QG4" s="86">
        <v>129.75</v>
      </c>
      <c r="QH4" s="86">
        <v>129.75</v>
      </c>
      <c r="QI4" s="86">
        <v>129.75</v>
      </c>
      <c r="QJ4" s="86">
        <v>129.75</v>
      </c>
      <c r="QK4" s="86">
        <v>129.75</v>
      </c>
      <c r="QL4" s="86">
        <v>129.75</v>
      </c>
      <c r="QM4" s="86">
        <v>129.75</v>
      </c>
      <c r="QN4" s="86">
        <v>129.75</v>
      </c>
      <c r="QO4" s="86">
        <v>129.75</v>
      </c>
      <c r="QP4" s="86">
        <v>129.75</v>
      </c>
      <c r="QQ4" s="86">
        <v>129.75</v>
      </c>
      <c r="QR4" s="86">
        <v>129.75</v>
      </c>
      <c r="QS4" s="86">
        <v>129.75</v>
      </c>
      <c r="QT4" s="86">
        <v>129.75</v>
      </c>
      <c r="RM4" s="86">
        <v>129.75</v>
      </c>
      <c r="RN4" s="86">
        <v>129.75</v>
      </c>
      <c r="RO4" s="86">
        <v>129.75</v>
      </c>
      <c r="RP4" s="86">
        <v>129.75</v>
      </c>
      <c r="RQ4" s="86">
        <v>129.75</v>
      </c>
      <c r="RR4" s="86">
        <v>129.75</v>
      </c>
      <c r="RS4" s="86">
        <v>129.75</v>
      </c>
      <c r="RT4" s="86">
        <v>129.75</v>
      </c>
      <c r="RU4" s="86">
        <v>129.75</v>
      </c>
      <c r="RV4" s="86">
        <v>129.75</v>
      </c>
      <c r="RW4" s="86">
        <v>129.75</v>
      </c>
      <c r="RX4" s="86">
        <v>129.75</v>
      </c>
      <c r="RY4" s="86">
        <v>129.75</v>
      </c>
      <c r="RZ4" s="86">
        <v>129.75</v>
      </c>
      <c r="SA4" s="86">
        <v>129.75</v>
      </c>
      <c r="SB4" s="86">
        <v>129.75</v>
      </c>
      <c r="SC4" s="86">
        <v>129.75</v>
      </c>
      <c r="SD4" s="86">
        <v>129.75</v>
      </c>
      <c r="SE4" s="86">
        <v>129.75</v>
      </c>
      <c r="SF4" s="86">
        <v>129.75</v>
      </c>
      <c r="SG4" s="86">
        <v>129.75</v>
      </c>
      <c r="SH4" s="86">
        <v>129.75</v>
      </c>
      <c r="SI4" s="86">
        <v>129.75</v>
      </c>
      <c r="SJ4" s="86">
        <v>129.75</v>
      </c>
      <c r="SK4" s="86">
        <v>129.75</v>
      </c>
      <c r="SL4" s="86">
        <v>129.75</v>
      </c>
      <c r="SM4" s="86">
        <v>129.75</v>
      </c>
      <c r="SN4" s="86">
        <v>129.75</v>
      </c>
      <c r="SO4" s="86">
        <v>129.75</v>
      </c>
      <c r="SP4" s="86">
        <v>129.75</v>
      </c>
      <c r="SQ4" s="86">
        <v>129.75</v>
      </c>
      <c r="SR4" s="86">
        <v>129.75</v>
      </c>
      <c r="SS4" s="86">
        <v>129.75</v>
      </c>
      <c r="ST4" s="86">
        <v>129.75</v>
      </c>
      <c r="SU4" s="86">
        <v>129.75</v>
      </c>
      <c r="SV4" s="86">
        <v>129.75</v>
      </c>
      <c r="SW4" s="86">
        <v>129.75</v>
      </c>
      <c r="SX4" s="86">
        <v>129.75</v>
      </c>
      <c r="SY4" s="86">
        <v>129.75</v>
      </c>
      <c r="SZ4" s="86">
        <v>129.75</v>
      </c>
      <c r="TA4" s="86">
        <v>129.75</v>
      </c>
      <c r="TB4" s="86">
        <v>129.75</v>
      </c>
      <c r="TC4" s="86">
        <v>129.75</v>
      </c>
      <c r="TD4" s="86">
        <v>129.75</v>
      </c>
      <c r="TE4" s="86">
        <v>129.75</v>
      </c>
      <c r="TF4" s="86">
        <v>129.75</v>
      </c>
      <c r="TG4" s="86">
        <v>129.75</v>
      </c>
      <c r="TH4" s="86">
        <v>129.75</v>
      </c>
      <c r="TI4" s="86">
        <v>129.75</v>
      </c>
      <c r="TJ4" s="86">
        <v>129.75</v>
      </c>
      <c r="TK4" s="86">
        <v>129.75</v>
      </c>
      <c r="TL4" s="86">
        <v>129.75</v>
      </c>
      <c r="TM4" s="86">
        <v>129.75</v>
      </c>
      <c r="TN4" s="86">
        <v>129.75</v>
      </c>
      <c r="TO4" s="86">
        <v>129.75</v>
      </c>
      <c r="TP4" s="86">
        <v>129.75</v>
      </c>
      <c r="TQ4" s="86">
        <v>129.75</v>
      </c>
      <c r="TR4" s="86">
        <v>129.75</v>
      </c>
      <c r="TS4" s="86">
        <v>129.75</v>
      </c>
      <c r="TT4" s="86">
        <v>129.75</v>
      </c>
      <c r="TU4" s="86">
        <v>129.75</v>
      </c>
      <c r="TV4" s="86">
        <v>129.75</v>
      </c>
      <c r="UO4" s="86">
        <v>129.75</v>
      </c>
      <c r="UP4" s="86">
        <v>129.75</v>
      </c>
      <c r="UQ4" s="86">
        <v>129.75</v>
      </c>
      <c r="UR4" s="86">
        <v>129.75</v>
      </c>
      <c r="US4" s="86">
        <v>129.75</v>
      </c>
      <c r="UT4" s="86">
        <v>129.75</v>
      </c>
      <c r="UU4" s="86">
        <v>129.75</v>
      </c>
      <c r="UV4" s="86">
        <v>129.75</v>
      </c>
      <c r="UW4" s="86">
        <v>129.75</v>
      </c>
      <c r="UX4" s="86">
        <v>129.75</v>
      </c>
      <c r="UY4" s="86">
        <v>129.75</v>
      </c>
      <c r="UZ4" s="86">
        <v>129.75</v>
      </c>
      <c r="VA4" s="86">
        <v>129.75</v>
      </c>
      <c r="VB4" s="86">
        <v>129.75</v>
      </c>
      <c r="VC4" s="86">
        <v>129.75</v>
      </c>
      <c r="VD4" s="86">
        <v>129.75</v>
      </c>
      <c r="VE4" s="86">
        <v>129.75</v>
      </c>
      <c r="VF4" s="86">
        <v>129.75</v>
      </c>
      <c r="VG4" s="86">
        <v>129.75</v>
      </c>
      <c r="VH4" s="86">
        <v>129.75</v>
      </c>
      <c r="VI4" s="86">
        <v>129.75</v>
      </c>
      <c r="VJ4" s="86">
        <v>129.75</v>
      </c>
      <c r="VK4" s="86">
        <v>129.75</v>
      </c>
      <c r="VL4" s="86">
        <v>129.75</v>
      </c>
      <c r="VM4" s="86">
        <v>129.75</v>
      </c>
      <c r="VN4" s="86">
        <v>129.75</v>
      </c>
      <c r="VO4" s="86">
        <v>129.75</v>
      </c>
      <c r="VP4" s="86">
        <v>129.75</v>
      </c>
      <c r="VQ4" s="86">
        <v>129.75</v>
      </c>
      <c r="VR4" s="86">
        <v>129.75</v>
      </c>
      <c r="VS4" s="86">
        <v>129.75</v>
      </c>
      <c r="VT4" s="86">
        <v>129.75</v>
      </c>
      <c r="VU4" s="86">
        <v>129.75</v>
      </c>
      <c r="VV4" s="86">
        <v>129.75</v>
      </c>
      <c r="VW4" s="86">
        <v>129.75</v>
      </c>
      <c r="VX4" s="86">
        <v>129.75</v>
      </c>
      <c r="VY4" s="86">
        <v>129.75</v>
      </c>
      <c r="VZ4" s="86">
        <v>129.75</v>
      </c>
      <c r="WA4" s="86">
        <v>129.75</v>
      </c>
      <c r="WB4" s="86">
        <v>129.75</v>
      </c>
      <c r="WC4" s="86">
        <v>129.75</v>
      </c>
      <c r="WD4" s="86">
        <v>129.75</v>
      </c>
      <c r="WE4" s="86">
        <v>129.75</v>
      </c>
      <c r="WF4" s="86">
        <v>129.75</v>
      </c>
      <c r="WG4" s="86">
        <v>129.75</v>
      </c>
      <c r="WH4" s="86">
        <v>129.75</v>
      </c>
      <c r="WI4" s="86">
        <v>129.75</v>
      </c>
      <c r="WJ4" s="86">
        <v>129.75</v>
      </c>
      <c r="WK4" s="86">
        <v>129.75</v>
      </c>
      <c r="WL4" s="86">
        <v>129.75</v>
      </c>
      <c r="WM4" s="86">
        <v>129.75</v>
      </c>
      <c r="WN4" s="86">
        <v>129.75</v>
      </c>
      <c r="WO4" s="86">
        <v>129.75</v>
      </c>
      <c r="WP4" s="86">
        <v>129.75</v>
      </c>
      <c r="WQ4" s="86">
        <v>129.75</v>
      </c>
      <c r="WR4" s="86">
        <v>129.75</v>
      </c>
      <c r="WS4" s="86">
        <v>129.75</v>
      </c>
      <c r="WT4" s="86">
        <v>129.75</v>
      </c>
      <c r="WU4" s="86">
        <v>129.75</v>
      </c>
      <c r="WV4" s="86">
        <v>129.75</v>
      </c>
      <c r="WW4" s="86">
        <v>129.75</v>
      </c>
      <c r="XQ4" s="86">
        <v>129.75</v>
      </c>
      <c r="XR4" s="86">
        <v>129.75</v>
      </c>
      <c r="XS4" s="86">
        <v>129.75</v>
      </c>
      <c r="XT4" s="86">
        <v>129.75</v>
      </c>
      <c r="XU4" s="86">
        <v>129.75</v>
      </c>
      <c r="XV4" s="86">
        <v>129.75</v>
      </c>
      <c r="XW4" s="86">
        <v>129.75</v>
      </c>
      <c r="XX4" s="86">
        <v>129.75</v>
      </c>
      <c r="XY4" s="86">
        <v>129.75</v>
      </c>
      <c r="XZ4" s="86">
        <v>129.75</v>
      </c>
      <c r="YA4" s="86">
        <v>129.75</v>
      </c>
      <c r="YB4" s="86">
        <v>129.75</v>
      </c>
      <c r="YC4" s="86">
        <v>129.75</v>
      </c>
      <c r="YD4" s="86">
        <v>129.75</v>
      </c>
      <c r="YE4" s="86">
        <v>129.75</v>
      </c>
      <c r="YF4" s="86">
        <v>129.75</v>
      </c>
      <c r="YG4" s="86">
        <v>129.75</v>
      </c>
      <c r="YH4" s="86">
        <v>129.75</v>
      </c>
      <c r="YI4" s="86">
        <v>129.75</v>
      </c>
      <c r="YJ4" s="86">
        <v>129.75</v>
      </c>
      <c r="YK4" s="86">
        <v>129.75</v>
      </c>
      <c r="YL4" s="86">
        <v>129.75</v>
      </c>
      <c r="YM4" s="86">
        <v>129.75</v>
      </c>
      <c r="YN4" s="86">
        <v>129.75</v>
      </c>
      <c r="YO4" s="86">
        <v>129.75</v>
      </c>
      <c r="YP4" s="86">
        <v>129.75</v>
      </c>
      <c r="YQ4" s="86">
        <v>129.75</v>
      </c>
      <c r="YR4" s="86">
        <v>129.75</v>
      </c>
      <c r="YS4" s="86">
        <v>129.75</v>
      </c>
      <c r="YT4" s="86">
        <v>129.75</v>
      </c>
      <c r="YU4" s="86">
        <v>129.75</v>
      </c>
      <c r="YV4" s="86">
        <v>129.75</v>
      </c>
      <c r="YW4" s="86">
        <v>129.75</v>
      </c>
      <c r="YX4" s="86">
        <v>129.75</v>
      </c>
      <c r="YY4" s="86">
        <v>129.75</v>
      </c>
      <c r="YZ4" s="86">
        <v>129.75</v>
      </c>
      <c r="ZA4" s="86">
        <v>129.75</v>
      </c>
      <c r="ZB4" s="86">
        <v>129.75</v>
      </c>
      <c r="ZC4" s="86">
        <v>129.75</v>
      </c>
      <c r="ZD4" s="86">
        <v>129.75</v>
      </c>
      <c r="ZE4" s="86">
        <v>129.75</v>
      </c>
      <c r="ZF4" s="86">
        <v>129.75</v>
      </c>
      <c r="ZG4" s="86">
        <v>129.75</v>
      </c>
      <c r="ZH4" s="86">
        <v>129.75</v>
      </c>
      <c r="ZI4" s="86">
        <v>129.75</v>
      </c>
      <c r="ZJ4" s="86">
        <v>129.75</v>
      </c>
      <c r="ZK4" s="86">
        <v>129.75</v>
      </c>
      <c r="ZL4" s="86">
        <v>129.75</v>
      </c>
      <c r="ZM4" s="86">
        <v>129.75</v>
      </c>
      <c r="ZN4" s="86">
        <v>129.75</v>
      </c>
      <c r="ZO4" s="86">
        <v>129.75</v>
      </c>
      <c r="ZP4" s="86">
        <v>129.75</v>
      </c>
      <c r="ZQ4" s="86">
        <v>129.75</v>
      </c>
      <c r="ZR4" s="86">
        <v>129.75</v>
      </c>
      <c r="ZS4" s="86">
        <v>129.75</v>
      </c>
      <c r="ZT4" s="86">
        <v>129.75</v>
      </c>
      <c r="ZU4" s="86">
        <v>129.75</v>
      </c>
      <c r="ZV4" s="86">
        <v>129.75</v>
      </c>
      <c r="ZW4" s="86">
        <v>129.75</v>
      </c>
      <c r="AAS4" s="86">
        <v>129.75</v>
      </c>
      <c r="AAT4" s="86">
        <v>129.75</v>
      </c>
      <c r="AAU4" s="86">
        <v>129.75</v>
      </c>
      <c r="AAV4" s="86">
        <v>129.75</v>
      </c>
      <c r="AAW4" s="86">
        <v>129.75</v>
      </c>
      <c r="AAX4" s="86">
        <v>129.75</v>
      </c>
      <c r="AAY4" s="86">
        <v>129.75</v>
      </c>
      <c r="AAZ4" s="86">
        <v>129.75</v>
      </c>
      <c r="ABA4" s="86">
        <v>129.75</v>
      </c>
      <c r="ABB4" s="86">
        <v>129.75</v>
      </c>
      <c r="ABC4" s="86">
        <v>129.75</v>
      </c>
      <c r="ABD4" s="86">
        <v>129.75</v>
      </c>
      <c r="ABE4" s="86">
        <v>129.75</v>
      </c>
      <c r="ABF4" s="86">
        <v>129.75</v>
      </c>
      <c r="ABG4" s="86">
        <v>129.75</v>
      </c>
      <c r="ABH4" s="86">
        <v>129.75</v>
      </c>
      <c r="ABI4" s="86">
        <v>129.75</v>
      </c>
      <c r="ABJ4" s="86">
        <v>129.75</v>
      </c>
      <c r="ABK4" s="86">
        <v>129.75</v>
      </c>
      <c r="ABL4" s="86">
        <v>129.75</v>
      </c>
      <c r="ABM4" s="86">
        <v>129.75</v>
      </c>
      <c r="ABN4" s="86">
        <v>129.75</v>
      </c>
      <c r="ABO4" s="86">
        <v>129.75</v>
      </c>
      <c r="ABP4" s="86">
        <v>129.75</v>
      </c>
      <c r="ABQ4" s="86">
        <v>129.75</v>
      </c>
      <c r="ABR4" s="86">
        <v>129.75</v>
      </c>
      <c r="ABS4" s="86">
        <v>129.75</v>
      </c>
      <c r="ABT4" s="86">
        <v>129.75</v>
      </c>
      <c r="ABU4" s="86">
        <v>129.75</v>
      </c>
      <c r="ABV4" s="86">
        <v>129.75</v>
      </c>
      <c r="ABW4" s="86">
        <v>129.75</v>
      </c>
      <c r="ABX4" s="86">
        <v>129.75</v>
      </c>
      <c r="ABY4" s="86">
        <v>129.75</v>
      </c>
      <c r="ABZ4" s="86">
        <v>129.75</v>
      </c>
      <c r="ACA4" s="86">
        <v>129.75</v>
      </c>
      <c r="ACB4" s="86">
        <v>129.75</v>
      </c>
      <c r="ACC4" s="86">
        <v>129.75</v>
      </c>
      <c r="ACD4" s="86">
        <v>129.75</v>
      </c>
      <c r="ACE4" s="86">
        <v>129.75</v>
      </c>
      <c r="ACF4" s="86">
        <v>129.75</v>
      </c>
      <c r="ACG4" s="86">
        <v>129.75</v>
      </c>
      <c r="ACH4" s="86">
        <v>129.75</v>
      </c>
      <c r="ACI4" s="86">
        <v>129.75</v>
      </c>
      <c r="ACJ4" s="86">
        <v>129.75</v>
      </c>
      <c r="ACK4" s="86">
        <v>129.75</v>
      </c>
      <c r="ACL4" s="86">
        <v>129.75</v>
      </c>
      <c r="ACM4" s="86">
        <v>129.75</v>
      </c>
      <c r="ACN4" s="86">
        <v>129.75</v>
      </c>
      <c r="ACO4" s="86">
        <v>129.75</v>
      </c>
      <c r="ACP4" s="86">
        <v>129.75</v>
      </c>
      <c r="ACQ4" s="86">
        <v>129.75</v>
      </c>
      <c r="ACR4" s="86">
        <v>129.75</v>
      </c>
      <c r="ACS4" s="86">
        <v>129.75</v>
      </c>
      <c r="ACT4" s="86">
        <v>129.75</v>
      </c>
      <c r="ACU4" s="86">
        <v>129.75</v>
      </c>
      <c r="ACV4" s="86">
        <v>129.75</v>
      </c>
      <c r="ACW4" s="86">
        <v>129.75</v>
      </c>
      <c r="ACX4" s="86">
        <v>129.75</v>
      </c>
      <c r="ADU4" s="86">
        <v>129.75</v>
      </c>
      <c r="ADV4" s="86">
        <v>129.75</v>
      </c>
      <c r="ADW4" s="86">
        <v>129.75</v>
      </c>
      <c r="ADX4" s="86">
        <v>129.75</v>
      </c>
      <c r="ADY4" s="86">
        <v>129.75</v>
      </c>
      <c r="ADZ4" s="86">
        <v>129.75</v>
      </c>
      <c r="AEA4" s="86">
        <v>129.75</v>
      </c>
      <c r="AEB4" s="86">
        <v>129.75</v>
      </c>
      <c r="AEC4" s="86">
        <v>129.75</v>
      </c>
      <c r="AED4" s="86">
        <v>129.75</v>
      </c>
      <c r="AEE4" s="86">
        <v>129.75</v>
      </c>
      <c r="AEF4" s="86">
        <v>129.75</v>
      </c>
      <c r="AEG4" s="86">
        <v>129.75</v>
      </c>
      <c r="AEH4" s="86">
        <v>129.75</v>
      </c>
      <c r="AEI4" s="86">
        <v>129.75</v>
      </c>
      <c r="AEJ4" s="86">
        <v>129.75</v>
      </c>
      <c r="AEK4" s="86">
        <v>129.75</v>
      </c>
      <c r="AEL4" s="86">
        <v>129.75</v>
      </c>
      <c r="AEM4" s="86">
        <v>129.75</v>
      </c>
      <c r="AEN4" s="86">
        <v>129.75</v>
      </c>
      <c r="AEO4" s="86">
        <v>129.75</v>
      </c>
      <c r="AEP4" s="86">
        <v>129.75</v>
      </c>
      <c r="AEQ4" s="86">
        <v>129.75</v>
      </c>
      <c r="AER4" s="86">
        <v>129.75</v>
      </c>
      <c r="AES4" s="86">
        <v>129.75</v>
      </c>
      <c r="AET4" s="86">
        <v>129.75</v>
      </c>
      <c r="AEU4" s="86">
        <v>129.75</v>
      </c>
      <c r="AEV4" s="86">
        <v>129.75</v>
      </c>
      <c r="AEW4" s="86">
        <v>129.75</v>
      </c>
      <c r="AEX4" s="86">
        <v>129.75</v>
      </c>
      <c r="AEY4" s="86">
        <v>129.75</v>
      </c>
      <c r="AEZ4" s="86">
        <v>129.75</v>
      </c>
      <c r="AFA4" s="86">
        <v>129.75</v>
      </c>
      <c r="AFB4" s="86">
        <v>129.75</v>
      </c>
      <c r="AFC4" s="86">
        <v>129.75</v>
      </c>
      <c r="AFD4" s="86">
        <v>129.75</v>
      </c>
      <c r="AFE4" s="86">
        <v>129.75</v>
      </c>
      <c r="AFF4" s="86">
        <v>129.75</v>
      </c>
      <c r="AFG4" s="86">
        <v>129.75</v>
      </c>
      <c r="AFH4" s="86">
        <v>129.75</v>
      </c>
      <c r="AFI4" s="86">
        <v>129.75</v>
      </c>
      <c r="AFJ4" s="86">
        <v>129.75</v>
      </c>
      <c r="AFK4" s="86">
        <v>129.75</v>
      </c>
      <c r="AFL4" s="86">
        <v>129.75</v>
      </c>
      <c r="AFM4" s="86">
        <v>129.75</v>
      </c>
      <c r="AFN4" s="86">
        <v>129.75</v>
      </c>
      <c r="AFO4" s="86">
        <v>129.75</v>
      </c>
      <c r="AFP4" s="86">
        <v>129.75</v>
      </c>
      <c r="AFQ4" s="86">
        <v>129.75</v>
      </c>
      <c r="AFR4" s="86">
        <v>129.75</v>
      </c>
      <c r="AFS4" s="86">
        <v>129.75</v>
      </c>
      <c r="AFT4" s="86">
        <v>129.75</v>
      </c>
      <c r="AFU4" s="86">
        <v>129.75</v>
      </c>
      <c r="AFV4" s="86">
        <v>129.75</v>
      </c>
      <c r="AFW4" s="86">
        <v>129.75</v>
      </c>
      <c r="AFX4" s="86">
        <v>129.75</v>
      </c>
      <c r="AFY4" s="86">
        <v>129.75</v>
      </c>
      <c r="AGW4" s="86">
        <v>129.75</v>
      </c>
      <c r="AGX4" s="86">
        <v>129.75</v>
      </c>
      <c r="AGY4" s="86">
        <v>129.75</v>
      </c>
      <c r="AGZ4" s="86">
        <v>129.75</v>
      </c>
      <c r="AHA4" s="86">
        <v>129.75</v>
      </c>
      <c r="AHB4" s="86">
        <v>129.75</v>
      </c>
      <c r="AHC4" s="86">
        <v>129.75</v>
      </c>
      <c r="AHD4" s="86">
        <v>129.75</v>
      </c>
      <c r="AHE4" s="86">
        <v>129.75</v>
      </c>
      <c r="AHF4" s="86">
        <v>129.75</v>
      </c>
      <c r="AHG4" s="86">
        <v>129.75</v>
      </c>
      <c r="AHH4" s="86">
        <v>129.75</v>
      </c>
      <c r="AHI4" s="86">
        <v>129.75</v>
      </c>
      <c r="AHJ4" s="86">
        <v>129.75</v>
      </c>
      <c r="AHK4" s="86">
        <v>129.75</v>
      </c>
      <c r="AHL4" s="86">
        <v>129.75</v>
      </c>
      <c r="AHM4" s="86">
        <v>129.75</v>
      </c>
      <c r="AHN4" s="86">
        <v>129.75</v>
      </c>
      <c r="AHO4" s="86">
        <v>129.75</v>
      </c>
      <c r="AHP4" s="86">
        <v>129.75</v>
      </c>
      <c r="AHQ4" s="86">
        <v>129.75</v>
      </c>
      <c r="AHR4" s="86">
        <v>129.75</v>
      </c>
      <c r="AHS4" s="86">
        <v>129.75</v>
      </c>
      <c r="AHT4" s="86">
        <v>129.75</v>
      </c>
      <c r="AHU4" s="86">
        <v>129.75</v>
      </c>
      <c r="AHV4" s="86">
        <v>129.75</v>
      </c>
      <c r="AHW4" s="86">
        <v>129.75</v>
      </c>
      <c r="AHX4" s="86">
        <v>129.75</v>
      </c>
      <c r="AHY4" s="86">
        <v>129.75</v>
      </c>
      <c r="AHZ4" s="86">
        <v>129.75</v>
      </c>
      <c r="AIA4" s="86">
        <v>129.75</v>
      </c>
      <c r="AIB4" s="86">
        <v>129.75</v>
      </c>
      <c r="AIC4" s="86">
        <v>129.75</v>
      </c>
      <c r="AID4" s="86">
        <v>129.75</v>
      </c>
      <c r="AIE4" s="86">
        <v>129.75</v>
      </c>
      <c r="AIF4" s="86">
        <v>129.75</v>
      </c>
      <c r="AIG4" s="86">
        <v>129.75</v>
      </c>
      <c r="AIH4" s="86">
        <v>129.75</v>
      </c>
      <c r="AII4" s="86">
        <v>129.75</v>
      </c>
      <c r="AIJ4" s="86">
        <v>129.75</v>
      </c>
      <c r="AIK4" s="86">
        <v>129.75</v>
      </c>
      <c r="AIL4" s="86">
        <v>129.75</v>
      </c>
      <c r="AIM4" s="86">
        <v>129.75</v>
      </c>
      <c r="AIN4" s="86">
        <v>129.75</v>
      </c>
      <c r="AIO4" s="86">
        <v>129.75</v>
      </c>
      <c r="AIP4" s="86">
        <v>129.75</v>
      </c>
      <c r="AIQ4" s="86">
        <v>129.75</v>
      </c>
      <c r="AIR4" s="86">
        <v>129.75</v>
      </c>
      <c r="AIS4" s="86">
        <v>129.75</v>
      </c>
      <c r="AIT4" s="86">
        <v>129.75</v>
      </c>
      <c r="AIU4" s="86">
        <v>129.75</v>
      </c>
      <c r="AIV4" s="86">
        <v>129.75</v>
      </c>
      <c r="AIW4" s="86">
        <v>129.75</v>
      </c>
      <c r="AIX4" s="86">
        <v>129.75</v>
      </c>
      <c r="AIY4" s="86">
        <v>129.75</v>
      </c>
      <c r="AIZ4" s="86">
        <v>129.75</v>
      </c>
      <c r="AJY4" t="s">
        <v>5</v>
      </c>
    </row>
    <row r="5" spans="1:961">
      <c r="A5" s="86">
        <v>108.13</v>
      </c>
      <c r="B5" s="86">
        <v>108.13</v>
      </c>
      <c r="C5" s="86">
        <v>108.13</v>
      </c>
      <c r="D5" s="86">
        <v>108.13</v>
      </c>
      <c r="E5" s="86">
        <v>108.13</v>
      </c>
      <c r="F5" s="86">
        <v>108.13</v>
      </c>
      <c r="G5" s="86">
        <v>108.13</v>
      </c>
      <c r="H5" s="86">
        <v>108.13</v>
      </c>
      <c r="I5" s="86">
        <v>108.13</v>
      </c>
      <c r="J5" s="86">
        <v>108.13</v>
      </c>
      <c r="K5" s="86">
        <v>108.13</v>
      </c>
      <c r="L5" s="86">
        <v>108.13</v>
      </c>
      <c r="M5" s="86">
        <v>108.13</v>
      </c>
      <c r="N5" s="86">
        <v>108.13</v>
      </c>
      <c r="O5" s="86">
        <v>108.13</v>
      </c>
      <c r="P5" s="86">
        <v>108.13</v>
      </c>
      <c r="Q5" s="86">
        <v>108.13</v>
      </c>
      <c r="R5" s="86">
        <v>108.13</v>
      </c>
      <c r="S5" s="86">
        <v>108.13</v>
      </c>
      <c r="T5" s="86">
        <v>108.13</v>
      </c>
      <c r="U5" s="86">
        <v>108.13</v>
      </c>
      <c r="V5" s="86">
        <v>108.13</v>
      </c>
      <c r="W5" s="86">
        <v>108.13</v>
      </c>
      <c r="X5" s="86">
        <v>108.13</v>
      </c>
      <c r="Y5" s="86">
        <v>108.13</v>
      </c>
      <c r="Z5" s="86">
        <v>108.13</v>
      </c>
      <c r="AA5" s="86">
        <v>108.13</v>
      </c>
      <c r="AB5" s="86">
        <v>108.13</v>
      </c>
      <c r="AC5" s="86">
        <v>108.13</v>
      </c>
      <c r="AD5" s="86">
        <v>108.13</v>
      </c>
      <c r="AE5" s="86">
        <v>108.13</v>
      </c>
      <c r="AF5" s="86">
        <v>108.13</v>
      </c>
      <c r="AG5" s="86">
        <v>108.13</v>
      </c>
      <c r="AH5" s="86">
        <v>108.13</v>
      </c>
      <c r="AI5" s="86">
        <v>108.13</v>
      </c>
      <c r="AJ5" s="86">
        <v>108.13</v>
      </c>
      <c r="AK5" s="86">
        <v>108.13</v>
      </c>
      <c r="AL5" s="86">
        <v>108.13</v>
      </c>
      <c r="AM5" s="86">
        <v>108.13</v>
      </c>
      <c r="AN5" s="86">
        <v>108.13</v>
      </c>
      <c r="AO5" s="86">
        <v>108.13</v>
      </c>
      <c r="AP5" s="86">
        <v>108.13</v>
      </c>
      <c r="AQ5" s="86">
        <v>108.13</v>
      </c>
      <c r="AR5" s="86">
        <v>108.13</v>
      </c>
      <c r="AS5" s="86">
        <v>108.13</v>
      </c>
      <c r="AT5" s="86">
        <v>108.13</v>
      </c>
      <c r="AU5" s="86">
        <v>108.13</v>
      </c>
      <c r="AV5" s="86">
        <v>108.13</v>
      </c>
      <c r="AW5" s="86">
        <v>108.13</v>
      </c>
      <c r="AX5" s="86">
        <v>108.13</v>
      </c>
      <c r="AY5" s="86">
        <v>108.13</v>
      </c>
      <c r="AZ5" s="86">
        <v>108.13</v>
      </c>
      <c r="CC5" s="86">
        <v>108.13</v>
      </c>
      <c r="CD5" s="86">
        <v>108.13</v>
      </c>
      <c r="CE5" s="86">
        <v>108.13</v>
      </c>
      <c r="CF5" s="86">
        <v>108.13</v>
      </c>
      <c r="CG5" s="86">
        <v>108.13</v>
      </c>
      <c r="CH5" s="86">
        <v>108.13</v>
      </c>
      <c r="CI5" s="86">
        <v>108.13</v>
      </c>
      <c r="CJ5" s="86">
        <v>108.13</v>
      </c>
      <c r="CK5" s="86">
        <v>108.13</v>
      </c>
      <c r="CL5" s="86">
        <v>108.13</v>
      </c>
      <c r="CM5" s="86">
        <v>108.13</v>
      </c>
      <c r="CN5" s="86">
        <v>108.13</v>
      </c>
      <c r="CO5" s="86">
        <v>108.13</v>
      </c>
      <c r="CP5" s="86">
        <v>108.13</v>
      </c>
      <c r="CQ5" s="86">
        <v>108.13</v>
      </c>
      <c r="CR5" s="86">
        <v>108.13</v>
      </c>
      <c r="CS5" s="86">
        <v>108.13</v>
      </c>
      <c r="CT5" s="86">
        <v>108.13</v>
      </c>
      <c r="CU5" s="86">
        <v>108.13</v>
      </c>
      <c r="CV5" s="86">
        <v>108.13</v>
      </c>
      <c r="CW5" s="86">
        <v>108.13</v>
      </c>
      <c r="CX5" s="86">
        <v>108.13</v>
      </c>
      <c r="CY5" s="86">
        <v>108.13</v>
      </c>
      <c r="CZ5" s="86">
        <v>108.13</v>
      </c>
      <c r="DA5" s="86">
        <v>108.13</v>
      </c>
      <c r="DB5" s="86">
        <v>108.13</v>
      </c>
      <c r="DC5" s="86">
        <v>108.13</v>
      </c>
      <c r="DD5" s="86">
        <v>108.13</v>
      </c>
      <c r="DE5" s="86">
        <v>108.13</v>
      </c>
      <c r="DF5" s="86">
        <v>108.13</v>
      </c>
      <c r="DG5" s="86">
        <v>108.13</v>
      </c>
      <c r="DH5" s="86">
        <v>108.13</v>
      </c>
      <c r="DI5" s="86">
        <v>108.13</v>
      </c>
      <c r="DJ5" s="86">
        <v>108.13</v>
      </c>
      <c r="DK5" s="86">
        <v>108.13</v>
      </c>
      <c r="DL5" s="86">
        <v>108.13</v>
      </c>
      <c r="DM5" s="86">
        <v>108.13</v>
      </c>
      <c r="DN5" s="86">
        <v>108.13</v>
      </c>
      <c r="DO5" s="86">
        <v>108.13</v>
      </c>
      <c r="DP5" s="86">
        <v>108.13</v>
      </c>
      <c r="DQ5" s="86">
        <v>108.13</v>
      </c>
      <c r="DR5" s="86">
        <v>108.13</v>
      </c>
      <c r="DS5" s="86">
        <v>108.13</v>
      </c>
      <c r="DT5" s="86">
        <v>108.13</v>
      </c>
      <c r="DU5" s="86">
        <v>108.13</v>
      </c>
      <c r="DV5" s="86">
        <v>108.13</v>
      </c>
      <c r="DW5" s="86">
        <v>108.13</v>
      </c>
      <c r="DX5" s="86">
        <v>108.13</v>
      </c>
      <c r="DY5" s="86">
        <v>108.13</v>
      </c>
      <c r="DZ5" s="86">
        <v>108.13</v>
      </c>
      <c r="EA5" s="86">
        <v>108.13</v>
      </c>
      <c r="EB5" s="86">
        <v>108.13</v>
      </c>
      <c r="EC5" s="86">
        <v>108.13</v>
      </c>
      <c r="ED5" s="86">
        <v>108.13</v>
      </c>
      <c r="EE5" s="86">
        <v>108.13</v>
      </c>
      <c r="EF5" s="86">
        <v>108.13</v>
      </c>
      <c r="EG5" s="86">
        <v>108.13</v>
      </c>
      <c r="EH5" s="86">
        <v>108.13</v>
      </c>
      <c r="EI5" s="86">
        <v>108.13</v>
      </c>
      <c r="FE5" s="86">
        <v>108.13</v>
      </c>
      <c r="FF5" s="86">
        <v>108.13</v>
      </c>
      <c r="FG5" s="86">
        <v>108.13</v>
      </c>
      <c r="FH5" s="86">
        <v>108.13</v>
      </c>
      <c r="FI5" s="86">
        <v>108.13</v>
      </c>
      <c r="FJ5" s="86">
        <v>108.13</v>
      </c>
      <c r="FK5" s="86">
        <v>108.13</v>
      </c>
      <c r="FL5" s="86">
        <v>108.13</v>
      </c>
      <c r="FM5" s="86">
        <v>108.13</v>
      </c>
      <c r="FN5" s="86">
        <v>108.13</v>
      </c>
      <c r="FO5" s="86">
        <v>108.13</v>
      </c>
      <c r="FP5" s="86">
        <v>108.13</v>
      </c>
      <c r="FQ5" s="86">
        <v>108.13</v>
      </c>
      <c r="FR5" s="86">
        <v>108.13</v>
      </c>
      <c r="FS5" s="86">
        <v>108.13</v>
      </c>
      <c r="FT5" s="86">
        <v>108.13</v>
      </c>
      <c r="FU5" s="86">
        <v>108.13</v>
      </c>
      <c r="FV5" s="86">
        <v>108.13</v>
      </c>
      <c r="FW5" s="86">
        <v>108.13</v>
      </c>
      <c r="FX5" s="86">
        <v>108.13</v>
      </c>
      <c r="FY5" s="86">
        <v>108.13</v>
      </c>
      <c r="FZ5" s="86">
        <v>108.13</v>
      </c>
      <c r="GA5" s="86">
        <v>108.13</v>
      </c>
      <c r="GB5" s="86">
        <v>108.13</v>
      </c>
      <c r="GC5" s="86">
        <v>108.13</v>
      </c>
      <c r="GD5" s="86">
        <v>108.13</v>
      </c>
      <c r="GE5" s="86">
        <v>108.13</v>
      </c>
      <c r="GF5" s="86">
        <v>108.13</v>
      </c>
      <c r="GG5" s="86">
        <v>108.13</v>
      </c>
      <c r="GH5" s="86">
        <v>108.13</v>
      </c>
      <c r="GI5" s="86">
        <v>108.13</v>
      </c>
      <c r="GJ5" s="86">
        <v>108.13</v>
      </c>
      <c r="GK5" s="86">
        <v>108.13</v>
      </c>
      <c r="GL5" s="86">
        <v>108.13</v>
      </c>
      <c r="GM5" s="86">
        <v>108.13</v>
      </c>
      <c r="GN5" s="86">
        <v>108.13</v>
      </c>
      <c r="GO5" s="86">
        <v>108.13</v>
      </c>
      <c r="GP5" s="86">
        <v>108.13</v>
      </c>
      <c r="GQ5" s="86">
        <v>108.13</v>
      </c>
      <c r="GR5" s="86">
        <v>108.13</v>
      </c>
      <c r="GS5" s="86">
        <v>108.13</v>
      </c>
      <c r="GT5" s="86">
        <v>108.13</v>
      </c>
      <c r="GU5" s="86">
        <v>108.13</v>
      </c>
      <c r="GV5" s="86">
        <v>108.13</v>
      </c>
      <c r="GW5" s="86">
        <v>108.13</v>
      </c>
      <c r="GX5" s="86">
        <v>108.13</v>
      </c>
      <c r="GY5" s="86">
        <v>108.13</v>
      </c>
      <c r="GZ5" s="86">
        <v>108.13</v>
      </c>
      <c r="HA5" s="86">
        <v>108.13</v>
      </c>
      <c r="HB5" s="86">
        <v>108.13</v>
      </c>
      <c r="HC5" s="86">
        <v>108.13</v>
      </c>
      <c r="HD5" s="86">
        <v>108.13</v>
      </c>
      <c r="HE5" s="86">
        <v>108.13</v>
      </c>
      <c r="HF5" s="86">
        <v>108.13</v>
      </c>
      <c r="HG5" s="86">
        <v>108.13</v>
      </c>
      <c r="HH5" s="86">
        <v>108.13</v>
      </c>
      <c r="HI5" s="86">
        <v>108.13</v>
      </c>
      <c r="HJ5" s="86">
        <v>108.13</v>
      </c>
      <c r="HK5" s="86">
        <v>108.13</v>
      </c>
      <c r="HL5" s="86">
        <v>108.13</v>
      </c>
      <c r="IG5" s="86">
        <v>108.13</v>
      </c>
      <c r="IH5" s="86">
        <v>108.13</v>
      </c>
      <c r="II5" s="86">
        <v>108.13</v>
      </c>
      <c r="IJ5" s="86">
        <v>108.13</v>
      </c>
      <c r="IK5" s="86">
        <v>108.13</v>
      </c>
      <c r="IL5" s="86">
        <v>108.13</v>
      </c>
      <c r="IM5" s="86">
        <v>108.13</v>
      </c>
      <c r="IN5" s="86">
        <v>108.13</v>
      </c>
      <c r="IO5" s="86">
        <v>108.13</v>
      </c>
      <c r="IP5" s="86">
        <v>108.13</v>
      </c>
      <c r="IQ5" s="86">
        <v>108.13</v>
      </c>
      <c r="IR5" s="86">
        <v>108.13</v>
      </c>
      <c r="IS5" s="86">
        <v>108.13</v>
      </c>
      <c r="IT5" s="86">
        <v>108.13</v>
      </c>
      <c r="IU5" s="86">
        <v>108.13</v>
      </c>
      <c r="IV5" s="86">
        <v>108.13</v>
      </c>
      <c r="IW5" s="86">
        <v>108.13</v>
      </c>
      <c r="IX5" s="86">
        <v>108.13</v>
      </c>
      <c r="IY5" s="86">
        <v>108.13</v>
      </c>
      <c r="IZ5" s="86">
        <v>108.13</v>
      </c>
      <c r="JA5" s="86">
        <v>108.13</v>
      </c>
      <c r="JB5" s="86">
        <v>108.13</v>
      </c>
      <c r="JC5" s="86">
        <v>108.13</v>
      </c>
      <c r="JD5" s="86">
        <v>108.13</v>
      </c>
      <c r="JE5" s="86">
        <v>108.13</v>
      </c>
      <c r="JF5" s="86">
        <v>108.13</v>
      </c>
      <c r="JG5" s="86">
        <v>108.13</v>
      </c>
      <c r="JH5" s="86">
        <v>108.13</v>
      </c>
      <c r="JI5" s="86">
        <v>108.13</v>
      </c>
      <c r="JJ5" s="86">
        <v>108.13</v>
      </c>
      <c r="JK5" s="86">
        <v>108.13</v>
      </c>
      <c r="JL5" s="86">
        <v>108.13</v>
      </c>
      <c r="JM5" s="86">
        <v>108.13</v>
      </c>
      <c r="JN5" s="86">
        <v>108.13</v>
      </c>
      <c r="JO5" s="86">
        <v>108.13</v>
      </c>
      <c r="JP5" s="86">
        <v>108.13</v>
      </c>
      <c r="JQ5" s="86">
        <v>108.13</v>
      </c>
      <c r="JR5" s="86">
        <v>108.13</v>
      </c>
      <c r="JS5" s="86">
        <v>108.13</v>
      </c>
      <c r="JT5" s="86">
        <v>108.13</v>
      </c>
      <c r="JU5" s="86">
        <v>108.13</v>
      </c>
      <c r="JV5" s="86">
        <v>108.13</v>
      </c>
      <c r="JW5" s="86">
        <v>108.13</v>
      </c>
      <c r="JX5" s="86">
        <v>108.13</v>
      </c>
      <c r="JY5" s="86">
        <v>108.13</v>
      </c>
      <c r="JZ5" s="86">
        <v>108.13</v>
      </c>
      <c r="KA5" s="86">
        <v>108.13</v>
      </c>
      <c r="KB5" s="86">
        <v>108.13</v>
      </c>
      <c r="KC5" s="86">
        <v>108.13</v>
      </c>
      <c r="KD5" s="86">
        <v>108.13</v>
      </c>
      <c r="KE5" s="86">
        <v>108.13</v>
      </c>
      <c r="KF5" s="86">
        <v>108.13</v>
      </c>
      <c r="KG5" s="86">
        <v>108.13</v>
      </c>
      <c r="KH5" s="86">
        <v>108.13</v>
      </c>
      <c r="KI5" s="86">
        <v>108.13</v>
      </c>
      <c r="KJ5" s="86">
        <v>108.13</v>
      </c>
      <c r="KK5" s="86">
        <v>108.13</v>
      </c>
      <c r="KL5" s="86">
        <v>108.13</v>
      </c>
      <c r="KM5" s="86">
        <v>108.13</v>
      </c>
      <c r="KN5" s="86">
        <v>108.13</v>
      </c>
      <c r="LI5" s="86">
        <v>108.13</v>
      </c>
      <c r="LJ5" s="86">
        <v>108.13</v>
      </c>
      <c r="LK5" s="86">
        <v>108.13</v>
      </c>
      <c r="LL5" s="86">
        <v>108.13</v>
      </c>
      <c r="LM5" s="86">
        <v>108.13</v>
      </c>
      <c r="LN5" s="86">
        <v>108.13</v>
      </c>
      <c r="LO5" s="86">
        <v>108.13</v>
      </c>
      <c r="LP5" s="86">
        <v>108.13</v>
      </c>
      <c r="LQ5" s="86">
        <v>108.13</v>
      </c>
      <c r="LR5" s="86">
        <v>108.13</v>
      </c>
      <c r="LS5" s="86">
        <v>108.13</v>
      </c>
      <c r="LT5" s="86">
        <v>108.13</v>
      </c>
      <c r="LU5" s="86">
        <v>108.13</v>
      </c>
      <c r="LV5" s="86">
        <v>108.13</v>
      </c>
      <c r="LW5" s="86">
        <v>108.13</v>
      </c>
      <c r="LX5" s="86">
        <v>108.13</v>
      </c>
      <c r="LY5" s="86">
        <v>108.13</v>
      </c>
      <c r="LZ5" s="86">
        <v>108.13</v>
      </c>
      <c r="MA5" s="86">
        <v>108.13</v>
      </c>
      <c r="MB5" s="86">
        <v>108.13</v>
      </c>
      <c r="MC5" s="86">
        <v>108.13</v>
      </c>
      <c r="MD5" s="86">
        <v>108.13</v>
      </c>
      <c r="ME5" s="86">
        <v>108.13</v>
      </c>
      <c r="MF5" s="86">
        <v>108.13</v>
      </c>
      <c r="MG5" s="86">
        <v>108.13</v>
      </c>
      <c r="MH5" s="86">
        <v>108.13</v>
      </c>
      <c r="MI5" s="86">
        <v>108.13</v>
      </c>
      <c r="MJ5" s="86">
        <v>108.13</v>
      </c>
      <c r="MK5" s="86">
        <v>108.13</v>
      </c>
      <c r="ML5" s="86">
        <v>108.13</v>
      </c>
      <c r="MM5" s="86">
        <v>108.13</v>
      </c>
      <c r="MN5" s="86">
        <v>108.13</v>
      </c>
      <c r="MO5" s="86">
        <v>108.13</v>
      </c>
      <c r="MP5" s="86">
        <v>108.13</v>
      </c>
      <c r="MQ5" s="86">
        <v>108.13</v>
      </c>
      <c r="MR5" s="86">
        <v>108.13</v>
      </c>
      <c r="MS5" s="86">
        <v>108.13</v>
      </c>
      <c r="MT5" s="86">
        <v>108.13</v>
      </c>
      <c r="MU5" s="86">
        <v>108.13</v>
      </c>
      <c r="MV5" s="86">
        <v>108.13</v>
      </c>
      <c r="MW5" s="86">
        <v>108.13</v>
      </c>
      <c r="MX5" s="86">
        <v>108.13</v>
      </c>
      <c r="MY5" s="86">
        <v>108.13</v>
      </c>
      <c r="MZ5" s="86">
        <v>108.13</v>
      </c>
      <c r="NA5" s="86">
        <v>108.13</v>
      </c>
      <c r="NB5" s="86">
        <v>108.13</v>
      </c>
      <c r="NC5" s="86">
        <v>108.13</v>
      </c>
      <c r="ND5" s="86">
        <v>108.13</v>
      </c>
      <c r="NE5" s="86">
        <v>108.13</v>
      </c>
      <c r="NF5" s="86">
        <v>108.13</v>
      </c>
      <c r="NG5" s="86">
        <v>108.13</v>
      </c>
      <c r="NH5" s="86">
        <v>108.13</v>
      </c>
      <c r="NI5" s="86">
        <v>108.13</v>
      </c>
      <c r="NJ5" s="86">
        <v>108.13</v>
      </c>
      <c r="NK5" s="86">
        <v>108.13</v>
      </c>
      <c r="NL5" s="86">
        <v>108.13</v>
      </c>
      <c r="NM5" s="86">
        <v>108.13</v>
      </c>
      <c r="NN5" s="86">
        <v>108.13</v>
      </c>
      <c r="NO5" s="86">
        <v>108.13</v>
      </c>
      <c r="NP5" s="86">
        <v>108.13</v>
      </c>
      <c r="NQ5" s="86">
        <v>108.13</v>
      </c>
      <c r="NR5" s="86">
        <v>108.13</v>
      </c>
      <c r="OK5" s="86">
        <v>108.13</v>
      </c>
      <c r="OL5" s="86">
        <v>108.13</v>
      </c>
      <c r="OM5" s="86">
        <v>108.13</v>
      </c>
      <c r="ON5" s="86">
        <v>108.13</v>
      </c>
      <c r="OO5" s="86">
        <v>108.13</v>
      </c>
      <c r="OP5" s="86">
        <v>108.13</v>
      </c>
      <c r="OQ5" s="86">
        <v>108.13</v>
      </c>
      <c r="OR5" s="86">
        <v>108.13</v>
      </c>
      <c r="OS5" s="86">
        <v>108.13</v>
      </c>
      <c r="OT5" s="86">
        <v>108.13</v>
      </c>
      <c r="OU5" s="86">
        <v>108.13</v>
      </c>
      <c r="OV5" s="86">
        <v>108.13</v>
      </c>
      <c r="OW5" s="86">
        <v>108.13</v>
      </c>
      <c r="OX5" s="86">
        <v>108.13</v>
      </c>
      <c r="OY5" s="86">
        <v>108.13</v>
      </c>
      <c r="OZ5" s="86">
        <v>108.13</v>
      </c>
      <c r="PA5" s="86">
        <v>108.13</v>
      </c>
      <c r="PB5" s="86">
        <v>108.13</v>
      </c>
      <c r="PC5" s="86">
        <v>108.13</v>
      </c>
      <c r="PD5" s="86">
        <v>108.13</v>
      </c>
      <c r="PE5" s="86">
        <v>108.13</v>
      </c>
      <c r="PF5" s="86">
        <v>108.13</v>
      </c>
      <c r="PG5" s="86">
        <v>108.13</v>
      </c>
      <c r="PH5" s="86">
        <v>108.13</v>
      </c>
      <c r="PI5" s="86">
        <v>108.13</v>
      </c>
      <c r="PJ5" s="86">
        <v>108.13</v>
      </c>
      <c r="PK5" s="86">
        <v>108.13</v>
      </c>
      <c r="PL5" s="86">
        <v>108.13</v>
      </c>
      <c r="PM5" s="86">
        <v>108.13</v>
      </c>
      <c r="PN5" s="86">
        <v>108.13</v>
      </c>
      <c r="PO5" s="86">
        <v>108.13</v>
      </c>
      <c r="PP5" s="86">
        <v>108.13</v>
      </c>
      <c r="PQ5" s="86">
        <v>108.13</v>
      </c>
      <c r="PR5" s="86">
        <v>108.13</v>
      </c>
      <c r="PS5" s="86">
        <v>108.13</v>
      </c>
      <c r="PT5" s="86">
        <v>108.13</v>
      </c>
      <c r="PU5" s="86">
        <v>108.13</v>
      </c>
      <c r="PV5" s="86">
        <v>108.13</v>
      </c>
      <c r="PW5" s="86">
        <v>108.13</v>
      </c>
      <c r="PX5" s="86">
        <v>108.13</v>
      </c>
      <c r="PY5" s="86">
        <v>108.13</v>
      </c>
      <c r="PZ5" s="86">
        <v>108.13</v>
      </c>
      <c r="QA5" s="86">
        <v>108.13</v>
      </c>
      <c r="QB5" s="86">
        <v>108.13</v>
      </c>
      <c r="QC5" s="86">
        <v>108.13</v>
      </c>
      <c r="QD5" s="86">
        <v>108.13</v>
      </c>
      <c r="QE5" s="86">
        <v>108.13</v>
      </c>
      <c r="QF5" s="86">
        <v>108.13</v>
      </c>
      <c r="QG5" s="86">
        <v>108.13</v>
      </c>
      <c r="QH5" s="86">
        <v>108.13</v>
      </c>
      <c r="QI5" s="86">
        <v>108.13</v>
      </c>
      <c r="QJ5" s="86">
        <v>108.13</v>
      </c>
      <c r="QK5" s="86">
        <v>108.13</v>
      </c>
      <c r="QL5" s="86">
        <v>108.13</v>
      </c>
      <c r="QM5" s="86">
        <v>108.13</v>
      </c>
      <c r="QN5" s="86">
        <v>108.13</v>
      </c>
      <c r="QO5" s="86">
        <v>108.13</v>
      </c>
      <c r="QP5" s="86">
        <v>108.13</v>
      </c>
      <c r="QQ5" s="86">
        <v>108.13</v>
      </c>
      <c r="QR5" s="86">
        <v>108.13</v>
      </c>
      <c r="QS5" s="86">
        <v>108.13</v>
      </c>
      <c r="QT5" s="86">
        <v>108.13</v>
      </c>
      <c r="RM5" s="86">
        <v>108.13</v>
      </c>
      <c r="RN5" s="86">
        <v>108.13</v>
      </c>
      <c r="RO5" s="86">
        <v>108.13</v>
      </c>
      <c r="RP5" s="86">
        <v>108.13</v>
      </c>
      <c r="RQ5" s="86">
        <v>108.13</v>
      </c>
      <c r="RR5" s="86">
        <v>108.13</v>
      </c>
      <c r="RS5" s="86">
        <v>108.13</v>
      </c>
      <c r="RT5" s="86">
        <v>108.13</v>
      </c>
      <c r="RU5" s="86">
        <v>108.13</v>
      </c>
      <c r="RV5" s="86">
        <v>108.13</v>
      </c>
      <c r="RW5" s="86">
        <v>108.13</v>
      </c>
      <c r="RX5" s="86">
        <v>108.13</v>
      </c>
      <c r="RY5" s="86">
        <v>108.13</v>
      </c>
      <c r="RZ5" s="86">
        <v>108.13</v>
      </c>
      <c r="SA5" s="86">
        <v>108.13</v>
      </c>
      <c r="SB5" s="86">
        <v>108.13</v>
      </c>
      <c r="SC5" s="86">
        <v>108.13</v>
      </c>
      <c r="SD5" s="86">
        <v>108.13</v>
      </c>
      <c r="SE5" s="86">
        <v>108.13</v>
      </c>
      <c r="SF5" s="86">
        <v>108.13</v>
      </c>
      <c r="SG5" s="86">
        <v>108.13</v>
      </c>
      <c r="SH5" s="86">
        <v>108.13</v>
      </c>
      <c r="SI5" s="86">
        <v>108.13</v>
      </c>
      <c r="SJ5" s="86">
        <v>108.13</v>
      </c>
      <c r="SK5" s="86">
        <v>108.13</v>
      </c>
      <c r="SL5" s="86">
        <v>108.13</v>
      </c>
      <c r="SM5" s="86">
        <v>108.13</v>
      </c>
      <c r="SN5" s="86">
        <v>108.13</v>
      </c>
      <c r="SO5" s="86">
        <v>108.13</v>
      </c>
      <c r="SP5" s="86">
        <v>108.13</v>
      </c>
      <c r="SQ5" s="86">
        <v>108.13</v>
      </c>
      <c r="SR5" s="86">
        <v>108.13</v>
      </c>
      <c r="SS5" s="86">
        <v>108.13</v>
      </c>
      <c r="ST5" s="86">
        <v>108.13</v>
      </c>
      <c r="SU5" s="86">
        <v>108.13</v>
      </c>
      <c r="SV5" s="86">
        <v>108.13</v>
      </c>
      <c r="SW5" s="86">
        <v>108.13</v>
      </c>
      <c r="SX5" s="86">
        <v>108.13</v>
      </c>
      <c r="SY5" s="86">
        <v>108.13</v>
      </c>
      <c r="SZ5" s="86">
        <v>108.13</v>
      </c>
      <c r="TA5" s="86">
        <v>108.13</v>
      </c>
      <c r="TB5" s="86">
        <v>108.13</v>
      </c>
      <c r="TC5" s="86">
        <v>108.13</v>
      </c>
      <c r="TD5" s="86">
        <v>108.13</v>
      </c>
      <c r="TE5" s="86">
        <v>108.13</v>
      </c>
      <c r="TF5" s="86">
        <v>108.13</v>
      </c>
      <c r="TG5" s="86">
        <v>108.13</v>
      </c>
      <c r="TH5" s="86">
        <v>108.13</v>
      </c>
      <c r="TI5" s="86">
        <v>108.13</v>
      </c>
      <c r="TJ5" s="86">
        <v>108.13</v>
      </c>
      <c r="TK5" s="86">
        <v>108.13</v>
      </c>
      <c r="TL5" s="86">
        <v>108.13</v>
      </c>
      <c r="TM5" s="86">
        <v>108.13</v>
      </c>
      <c r="TN5" s="86">
        <v>108.13</v>
      </c>
      <c r="TO5" s="86">
        <v>108.13</v>
      </c>
      <c r="TP5" s="86">
        <v>108.13</v>
      </c>
      <c r="TQ5" s="86">
        <v>108.13</v>
      </c>
      <c r="TR5" s="86">
        <v>108.13</v>
      </c>
      <c r="TS5" s="86">
        <v>108.13</v>
      </c>
      <c r="TT5" s="86">
        <v>108.13</v>
      </c>
      <c r="TU5" s="86">
        <v>108.13</v>
      </c>
      <c r="TV5" s="86">
        <v>108.13</v>
      </c>
      <c r="UO5" s="86">
        <v>108.13</v>
      </c>
      <c r="UP5" s="86">
        <v>108.13</v>
      </c>
      <c r="UQ5" s="86">
        <v>108.13</v>
      </c>
      <c r="UR5" s="86">
        <v>108.13</v>
      </c>
      <c r="US5" s="86">
        <v>108.13</v>
      </c>
      <c r="UT5" s="86">
        <v>108.13</v>
      </c>
      <c r="UU5" s="86">
        <v>108.13</v>
      </c>
      <c r="UV5" s="86">
        <v>108.13</v>
      </c>
      <c r="UW5" s="86">
        <v>108.13</v>
      </c>
      <c r="UX5" s="86">
        <v>108.13</v>
      </c>
      <c r="UY5" s="86">
        <v>108.13</v>
      </c>
      <c r="UZ5" s="86">
        <v>108.13</v>
      </c>
      <c r="VA5" s="86">
        <v>108.13</v>
      </c>
      <c r="VB5" s="86">
        <v>108.13</v>
      </c>
      <c r="VC5" s="86">
        <v>108.13</v>
      </c>
      <c r="VD5" s="86">
        <v>108.13</v>
      </c>
      <c r="VE5" s="86">
        <v>108.13</v>
      </c>
      <c r="VF5" s="86">
        <v>108.13</v>
      </c>
      <c r="VG5" s="86">
        <v>108.13</v>
      </c>
      <c r="VH5" s="86">
        <v>108.13</v>
      </c>
      <c r="VI5" s="86">
        <v>108.13</v>
      </c>
      <c r="VJ5" s="86">
        <v>108.13</v>
      </c>
      <c r="VK5" s="86">
        <v>108.13</v>
      </c>
      <c r="VL5" s="86">
        <v>108.13</v>
      </c>
      <c r="VM5" s="86">
        <v>108.13</v>
      </c>
      <c r="VN5" s="86">
        <v>108.13</v>
      </c>
      <c r="VO5" s="86">
        <v>108.13</v>
      </c>
      <c r="VP5" s="86">
        <v>108.13</v>
      </c>
      <c r="VQ5" s="86">
        <v>108.13</v>
      </c>
      <c r="VR5" s="86">
        <v>108.13</v>
      </c>
      <c r="VS5" s="86">
        <v>108.13</v>
      </c>
      <c r="VT5" s="86">
        <v>108.13</v>
      </c>
      <c r="VU5" s="86">
        <v>108.13</v>
      </c>
      <c r="VV5" s="86">
        <v>108.13</v>
      </c>
      <c r="VW5" s="86">
        <v>108.13</v>
      </c>
      <c r="VX5" s="86">
        <v>108.13</v>
      </c>
      <c r="VY5" s="86">
        <v>108.13</v>
      </c>
      <c r="VZ5" s="86">
        <v>108.13</v>
      </c>
      <c r="WA5" s="86">
        <v>108.13</v>
      </c>
      <c r="WB5" s="86">
        <v>108.13</v>
      </c>
      <c r="WC5" s="86">
        <v>108.13</v>
      </c>
      <c r="WD5" s="86">
        <v>108.13</v>
      </c>
      <c r="WE5" s="86">
        <v>108.13</v>
      </c>
      <c r="WF5" s="86">
        <v>108.13</v>
      </c>
      <c r="WG5" s="86">
        <v>108.13</v>
      </c>
      <c r="WH5" s="86">
        <v>108.13</v>
      </c>
      <c r="WI5" s="86">
        <v>108.13</v>
      </c>
      <c r="WJ5" s="86">
        <v>108.13</v>
      </c>
      <c r="WK5" s="86">
        <v>108.13</v>
      </c>
      <c r="WL5" s="86">
        <v>108.13</v>
      </c>
      <c r="WM5" s="86">
        <v>108.13</v>
      </c>
      <c r="WN5" s="86">
        <v>108.13</v>
      </c>
      <c r="WO5" s="86">
        <v>108.13</v>
      </c>
      <c r="WP5" s="86">
        <v>108.13</v>
      </c>
      <c r="WQ5" s="86">
        <v>108.13</v>
      </c>
      <c r="WR5" s="86">
        <v>108.13</v>
      </c>
      <c r="WS5" s="86">
        <v>108.13</v>
      </c>
      <c r="WT5" s="86">
        <v>108.13</v>
      </c>
      <c r="WU5" s="86">
        <v>108.13</v>
      </c>
      <c r="WV5" s="86">
        <v>108.13</v>
      </c>
      <c r="WW5" s="86">
        <v>108.13</v>
      </c>
      <c r="XQ5" s="86">
        <v>108.13</v>
      </c>
      <c r="XR5" s="86">
        <v>108.13</v>
      </c>
      <c r="XS5" s="86">
        <v>108.13</v>
      </c>
      <c r="XT5" s="86">
        <v>108.13</v>
      </c>
      <c r="XU5" s="86">
        <v>108.13</v>
      </c>
      <c r="XV5" s="86">
        <v>108.13</v>
      </c>
      <c r="XW5" s="86">
        <v>108.13</v>
      </c>
      <c r="XX5" s="86">
        <v>108.13</v>
      </c>
      <c r="XY5" s="86">
        <v>108.13</v>
      </c>
      <c r="XZ5" s="86">
        <v>108.13</v>
      </c>
      <c r="YA5" s="86">
        <v>108.13</v>
      </c>
      <c r="YB5" s="86">
        <v>108.13</v>
      </c>
      <c r="YC5" s="86">
        <v>108.13</v>
      </c>
      <c r="YD5" s="86">
        <v>108.13</v>
      </c>
      <c r="YE5" s="86">
        <v>108.13</v>
      </c>
      <c r="YF5" s="86">
        <v>108.13</v>
      </c>
      <c r="YG5" s="86">
        <v>108.13</v>
      </c>
      <c r="YH5" s="86">
        <v>108.13</v>
      </c>
      <c r="YI5" s="86">
        <v>108.13</v>
      </c>
      <c r="YJ5" s="86">
        <v>108.13</v>
      </c>
      <c r="YK5" s="86">
        <v>108.13</v>
      </c>
      <c r="YL5" s="86">
        <v>108.13</v>
      </c>
      <c r="YM5" s="86">
        <v>108.13</v>
      </c>
      <c r="YN5" s="86">
        <v>108.13</v>
      </c>
      <c r="YO5" s="86">
        <v>108.13</v>
      </c>
      <c r="YP5" s="86">
        <v>108.13</v>
      </c>
      <c r="YQ5" s="86">
        <v>108.13</v>
      </c>
      <c r="YR5" s="86">
        <v>108.13</v>
      </c>
      <c r="YS5" s="86">
        <v>108.13</v>
      </c>
      <c r="YT5" s="86">
        <v>108.13</v>
      </c>
      <c r="YU5" s="86">
        <v>108.13</v>
      </c>
      <c r="YV5" s="86">
        <v>108.13</v>
      </c>
      <c r="YW5" s="86">
        <v>108.13</v>
      </c>
      <c r="YX5" s="86">
        <v>108.13</v>
      </c>
      <c r="YY5" s="86">
        <v>108.13</v>
      </c>
      <c r="YZ5" s="86">
        <v>108.13</v>
      </c>
      <c r="ZA5" s="86">
        <v>108.13</v>
      </c>
      <c r="ZB5" s="86">
        <v>108.13</v>
      </c>
      <c r="ZC5" s="86">
        <v>108.13</v>
      </c>
      <c r="ZD5" s="86">
        <v>108.13</v>
      </c>
      <c r="ZE5" s="86">
        <v>108.13</v>
      </c>
      <c r="ZF5" s="86">
        <v>108.13</v>
      </c>
      <c r="ZG5" s="86">
        <v>108.13</v>
      </c>
      <c r="ZH5" s="86">
        <v>108.13</v>
      </c>
      <c r="ZI5" s="86">
        <v>108.13</v>
      </c>
      <c r="ZJ5" s="86">
        <v>108.13</v>
      </c>
      <c r="ZK5" s="86">
        <v>108.13</v>
      </c>
      <c r="ZL5" s="86">
        <v>108.13</v>
      </c>
      <c r="ZM5" s="86">
        <v>108.13</v>
      </c>
      <c r="ZN5" s="86">
        <v>108.13</v>
      </c>
      <c r="ZO5" s="86">
        <v>108.13</v>
      </c>
      <c r="ZP5" s="86">
        <v>108.13</v>
      </c>
      <c r="ZQ5" s="86">
        <v>108.13</v>
      </c>
      <c r="ZR5" s="86">
        <v>108.13</v>
      </c>
      <c r="ZS5" s="86">
        <v>108.13</v>
      </c>
      <c r="ZT5" s="86">
        <v>108.13</v>
      </c>
      <c r="ZU5" s="86">
        <v>108.13</v>
      </c>
      <c r="ZV5" s="86">
        <v>108.13</v>
      </c>
      <c r="ZW5" s="86">
        <v>108.13</v>
      </c>
      <c r="AAS5" s="86">
        <v>108.13</v>
      </c>
      <c r="AAT5" s="86">
        <v>108.13</v>
      </c>
      <c r="AAU5" s="86">
        <v>108.13</v>
      </c>
      <c r="AAV5" s="86">
        <v>108.13</v>
      </c>
      <c r="AAW5" s="86">
        <v>108.13</v>
      </c>
      <c r="AAX5" s="86">
        <v>108.13</v>
      </c>
      <c r="AAY5" s="86">
        <v>108.13</v>
      </c>
      <c r="AAZ5" s="86">
        <v>108.13</v>
      </c>
      <c r="ABA5" s="86">
        <v>108.13</v>
      </c>
      <c r="ABB5" s="86">
        <v>108.13</v>
      </c>
      <c r="ABC5" s="86">
        <v>108.13</v>
      </c>
      <c r="ABD5" s="86">
        <v>108.13</v>
      </c>
      <c r="ABE5" s="86">
        <v>108.13</v>
      </c>
      <c r="ABF5" s="86">
        <v>108.13</v>
      </c>
      <c r="ABG5" s="86">
        <v>108.13</v>
      </c>
      <c r="ABH5" s="86">
        <v>108.13</v>
      </c>
      <c r="ABI5" s="86">
        <v>108.13</v>
      </c>
      <c r="ABJ5" s="86">
        <v>108.13</v>
      </c>
      <c r="ABK5" s="86">
        <v>108.13</v>
      </c>
      <c r="ABL5" s="86">
        <v>108.13</v>
      </c>
      <c r="ABM5" s="86">
        <v>108.13</v>
      </c>
      <c r="ABN5" s="86">
        <v>108.13</v>
      </c>
      <c r="ABO5" s="86">
        <v>108.13</v>
      </c>
      <c r="ABP5" s="86">
        <v>108.13</v>
      </c>
      <c r="ABQ5" s="86">
        <v>108.13</v>
      </c>
      <c r="ABR5" s="86">
        <v>108.13</v>
      </c>
      <c r="ABS5" s="86">
        <v>108.13</v>
      </c>
      <c r="ABT5" s="86">
        <v>108.13</v>
      </c>
      <c r="ABU5" s="86">
        <v>108.13</v>
      </c>
      <c r="ABV5" s="86">
        <v>108.13</v>
      </c>
      <c r="ABW5" s="86">
        <v>108.13</v>
      </c>
      <c r="ABX5" s="86">
        <v>108.13</v>
      </c>
      <c r="ABY5" s="86">
        <v>108.13</v>
      </c>
      <c r="ABZ5" s="86">
        <v>108.13</v>
      </c>
      <c r="ACA5" s="86">
        <v>108.13</v>
      </c>
      <c r="ACB5" s="86">
        <v>108.13</v>
      </c>
      <c r="ACC5" s="86">
        <v>108.13</v>
      </c>
      <c r="ACD5" s="86">
        <v>108.13</v>
      </c>
      <c r="ACE5" s="86">
        <v>108.13</v>
      </c>
      <c r="ACF5" s="86">
        <v>108.13</v>
      </c>
      <c r="ACG5" s="86">
        <v>108.13</v>
      </c>
      <c r="ACH5" s="86">
        <v>108.13</v>
      </c>
      <c r="ACI5" s="86">
        <v>108.13</v>
      </c>
      <c r="ACJ5" s="86">
        <v>108.13</v>
      </c>
      <c r="ACK5" s="86">
        <v>108.13</v>
      </c>
      <c r="ACL5" s="86">
        <v>108.13</v>
      </c>
      <c r="ACM5" s="86">
        <v>108.13</v>
      </c>
      <c r="ACN5" s="86">
        <v>108.13</v>
      </c>
      <c r="ACO5" s="86">
        <v>108.13</v>
      </c>
      <c r="ACP5" s="86">
        <v>108.13</v>
      </c>
      <c r="ACQ5" s="86">
        <v>108.13</v>
      </c>
      <c r="ACR5" s="86">
        <v>108.13</v>
      </c>
      <c r="ACS5" s="86">
        <v>108.13</v>
      </c>
      <c r="ACT5" s="86">
        <v>108.13</v>
      </c>
      <c r="ACU5" s="86">
        <v>108.13</v>
      </c>
      <c r="ACV5" s="86">
        <v>108.13</v>
      </c>
      <c r="ACW5" s="86">
        <v>108.13</v>
      </c>
      <c r="ACX5" s="86">
        <v>108.13</v>
      </c>
      <c r="ADU5" s="86">
        <v>108.13</v>
      </c>
      <c r="ADV5" s="86">
        <v>108.13</v>
      </c>
      <c r="ADW5" s="86">
        <v>108.13</v>
      </c>
      <c r="ADX5" s="86">
        <v>108.13</v>
      </c>
      <c r="ADY5" s="86">
        <v>108.13</v>
      </c>
      <c r="ADZ5" s="86">
        <v>108.13</v>
      </c>
      <c r="AEA5" s="86">
        <v>108.13</v>
      </c>
      <c r="AEB5" s="86">
        <v>108.13</v>
      </c>
      <c r="AEC5" s="86">
        <v>108.13</v>
      </c>
      <c r="AED5" s="86">
        <v>108.13</v>
      </c>
      <c r="AEE5" s="86">
        <v>108.13</v>
      </c>
      <c r="AEF5" s="86">
        <v>108.13</v>
      </c>
      <c r="AEG5" s="86">
        <v>108.13</v>
      </c>
      <c r="AEH5" s="86">
        <v>108.13</v>
      </c>
      <c r="AEI5" s="86">
        <v>108.13</v>
      </c>
      <c r="AEJ5" s="86">
        <v>108.13</v>
      </c>
      <c r="AEK5" s="86">
        <v>108.13</v>
      </c>
      <c r="AEL5" s="86">
        <v>108.13</v>
      </c>
      <c r="AEM5" s="86">
        <v>108.13</v>
      </c>
      <c r="AEN5" s="86">
        <v>108.13</v>
      </c>
      <c r="AEO5" s="86">
        <v>108.13</v>
      </c>
      <c r="AEP5" s="86">
        <v>108.13</v>
      </c>
      <c r="AEQ5" s="86">
        <v>108.13</v>
      </c>
      <c r="AER5" s="86">
        <v>108.13</v>
      </c>
      <c r="AES5" s="86">
        <v>108.13</v>
      </c>
      <c r="AET5" s="86">
        <v>108.13</v>
      </c>
      <c r="AEU5" s="86">
        <v>108.13</v>
      </c>
      <c r="AEV5" s="86">
        <v>108.13</v>
      </c>
      <c r="AEW5" s="86">
        <v>108.13</v>
      </c>
      <c r="AEX5" s="86">
        <v>108.13</v>
      </c>
      <c r="AEY5" s="86">
        <v>108.13</v>
      </c>
      <c r="AEZ5" s="86">
        <v>108.13</v>
      </c>
      <c r="AFA5" s="86">
        <v>108.13</v>
      </c>
      <c r="AFB5" s="86">
        <v>108.13</v>
      </c>
      <c r="AFC5" s="86">
        <v>108.13</v>
      </c>
      <c r="AFD5" s="86">
        <v>108.13</v>
      </c>
      <c r="AFE5" s="86">
        <v>108.13</v>
      </c>
      <c r="AFF5" s="86">
        <v>108.13</v>
      </c>
      <c r="AFG5" s="86">
        <v>108.13</v>
      </c>
      <c r="AFH5" s="86">
        <v>108.13</v>
      </c>
      <c r="AFI5" s="86">
        <v>108.13</v>
      </c>
      <c r="AFJ5" s="86">
        <v>108.13</v>
      </c>
      <c r="AFK5" s="86">
        <v>108.13</v>
      </c>
      <c r="AFL5" s="86">
        <v>108.13</v>
      </c>
      <c r="AFM5" s="86">
        <v>108.13</v>
      </c>
      <c r="AFN5" s="86">
        <v>108.13</v>
      </c>
      <c r="AFO5" s="86">
        <v>108.13</v>
      </c>
      <c r="AFP5" s="86">
        <v>108.13</v>
      </c>
      <c r="AFQ5" s="86">
        <v>108.13</v>
      </c>
      <c r="AFR5" s="86">
        <v>108.13</v>
      </c>
      <c r="AFS5" s="86">
        <v>108.13</v>
      </c>
      <c r="AFT5" s="86">
        <v>108.13</v>
      </c>
      <c r="AFU5" s="86">
        <v>108.13</v>
      </c>
      <c r="AFV5" s="86">
        <v>108.13</v>
      </c>
      <c r="AFW5" s="86">
        <v>108.13</v>
      </c>
      <c r="AFX5" s="86">
        <v>108.13</v>
      </c>
      <c r="AFY5" s="86">
        <v>108.13</v>
      </c>
      <c r="AGW5" s="86">
        <v>108.13</v>
      </c>
      <c r="AGX5" s="86">
        <v>108.13</v>
      </c>
      <c r="AGY5" s="86">
        <v>108.13</v>
      </c>
      <c r="AGZ5" s="86">
        <v>108.13</v>
      </c>
      <c r="AHA5" s="86">
        <v>108.13</v>
      </c>
      <c r="AHB5" s="86">
        <v>108.13</v>
      </c>
      <c r="AHC5" s="86">
        <v>108.13</v>
      </c>
      <c r="AHD5" s="86">
        <v>108.13</v>
      </c>
      <c r="AHE5" s="86">
        <v>108.13</v>
      </c>
      <c r="AHF5" s="86">
        <v>108.13</v>
      </c>
      <c r="AHG5" s="86">
        <v>108.13</v>
      </c>
      <c r="AHH5" s="86">
        <v>108.13</v>
      </c>
      <c r="AHI5" s="86">
        <v>108.13</v>
      </c>
      <c r="AHJ5" s="86">
        <v>108.13</v>
      </c>
      <c r="AHK5" s="86">
        <v>108.13</v>
      </c>
      <c r="AHL5" s="86">
        <v>108.13</v>
      </c>
      <c r="AHM5" s="86">
        <v>108.13</v>
      </c>
      <c r="AHN5" s="86">
        <v>108.13</v>
      </c>
      <c r="AHO5" s="86">
        <v>108.13</v>
      </c>
      <c r="AHP5" s="86">
        <v>108.13</v>
      </c>
      <c r="AHQ5" s="86">
        <v>108.13</v>
      </c>
      <c r="AHR5" s="86">
        <v>108.13</v>
      </c>
      <c r="AHS5" s="86">
        <v>108.13</v>
      </c>
      <c r="AHT5" s="86">
        <v>108.13</v>
      </c>
      <c r="AHU5" s="86">
        <v>108.13</v>
      </c>
      <c r="AHV5" s="86">
        <v>108.13</v>
      </c>
      <c r="AHW5" s="86">
        <v>108.13</v>
      </c>
      <c r="AHX5" s="86">
        <v>108.13</v>
      </c>
      <c r="AHY5" s="86">
        <v>108.13</v>
      </c>
      <c r="AHZ5" s="86">
        <v>108.13</v>
      </c>
      <c r="AIA5" s="86">
        <v>108.13</v>
      </c>
      <c r="AIB5" s="86">
        <v>108.13</v>
      </c>
      <c r="AIC5" s="86">
        <v>108.13</v>
      </c>
      <c r="AID5" s="86">
        <v>108.13</v>
      </c>
      <c r="AIE5" s="86">
        <v>108.13</v>
      </c>
      <c r="AIF5" s="86">
        <v>108.13</v>
      </c>
      <c r="AIG5" s="86">
        <v>108.13</v>
      </c>
      <c r="AIH5" s="86">
        <v>108.13</v>
      </c>
      <c r="AII5" s="86">
        <v>108.13</v>
      </c>
      <c r="AIJ5" s="86">
        <v>108.13</v>
      </c>
      <c r="AIK5" s="86">
        <v>108.13</v>
      </c>
      <c r="AIL5" s="86">
        <v>108.13</v>
      </c>
      <c r="AIM5" s="86">
        <v>108.13</v>
      </c>
      <c r="AIN5" s="86">
        <v>108.13</v>
      </c>
      <c r="AIO5" s="86">
        <v>108.13</v>
      </c>
      <c r="AIP5" s="86">
        <v>108.13</v>
      </c>
      <c r="AIQ5" s="86">
        <v>108.13</v>
      </c>
      <c r="AIR5" s="86">
        <v>108.13</v>
      </c>
      <c r="AIS5" s="86">
        <v>108.13</v>
      </c>
      <c r="AIT5" s="86">
        <v>108.13</v>
      </c>
      <c r="AIU5" s="86">
        <v>108.13</v>
      </c>
      <c r="AIV5" s="86">
        <v>108.13</v>
      </c>
      <c r="AIW5" s="86">
        <v>108.13</v>
      </c>
      <c r="AIX5" s="86">
        <v>108.13</v>
      </c>
      <c r="AIY5" s="86">
        <v>108.13</v>
      </c>
      <c r="AIZ5" s="86">
        <v>108.13</v>
      </c>
      <c r="AJY5" t="s">
        <v>6</v>
      </c>
    </row>
    <row r="6" spans="1:961">
      <c r="A6" s="86">
        <v>103.8</v>
      </c>
      <c r="B6" s="86">
        <v>103.8</v>
      </c>
      <c r="C6" s="86">
        <v>103.8</v>
      </c>
      <c r="D6" s="86">
        <v>103.8</v>
      </c>
      <c r="E6" s="86">
        <v>103.8</v>
      </c>
      <c r="F6" s="86">
        <v>103.8</v>
      </c>
      <c r="G6" s="86">
        <v>103.8</v>
      </c>
      <c r="H6" s="86">
        <v>103.8</v>
      </c>
      <c r="I6" s="86">
        <v>103.8</v>
      </c>
      <c r="J6" s="86">
        <v>103.8</v>
      </c>
      <c r="K6" s="86">
        <v>103.8</v>
      </c>
      <c r="L6" s="86">
        <v>103.8</v>
      </c>
      <c r="M6" s="86">
        <v>103.8</v>
      </c>
      <c r="N6" s="86">
        <v>103.8</v>
      </c>
      <c r="O6" s="86">
        <v>103.8</v>
      </c>
      <c r="P6" s="86">
        <v>103.8</v>
      </c>
      <c r="Q6" s="86">
        <v>103.8</v>
      </c>
      <c r="R6" s="86">
        <v>103.8</v>
      </c>
      <c r="S6" s="86">
        <v>103.8</v>
      </c>
      <c r="T6" s="86">
        <v>103.8</v>
      </c>
      <c r="U6" s="86">
        <v>103.8</v>
      </c>
      <c r="V6" s="86">
        <v>103.8</v>
      </c>
      <c r="W6" s="86">
        <v>103.8</v>
      </c>
      <c r="X6" s="86">
        <v>103.8</v>
      </c>
      <c r="Y6" s="86">
        <v>103.8</v>
      </c>
      <c r="Z6" s="86">
        <v>103.8</v>
      </c>
      <c r="AA6" s="86">
        <v>103.8</v>
      </c>
      <c r="AB6" s="86">
        <v>103.8</v>
      </c>
      <c r="AC6" s="86">
        <v>103.8</v>
      </c>
      <c r="AD6" s="86">
        <v>103.8</v>
      </c>
      <c r="AE6" s="86">
        <v>103.8</v>
      </c>
      <c r="AF6" s="86">
        <v>103.8</v>
      </c>
      <c r="AG6" s="86">
        <v>103.8</v>
      </c>
      <c r="AH6" s="86">
        <v>103.8</v>
      </c>
      <c r="AI6" s="86">
        <v>103.8</v>
      </c>
      <c r="AJ6" s="86">
        <v>103.8</v>
      </c>
      <c r="AK6" s="86">
        <v>103.8</v>
      </c>
      <c r="AL6" s="86">
        <v>103.8</v>
      </c>
      <c r="AM6" s="86">
        <v>103.8</v>
      </c>
      <c r="AN6" s="86">
        <v>103.8</v>
      </c>
      <c r="AO6" s="86">
        <v>103.8</v>
      </c>
      <c r="AP6" s="86">
        <v>103.8</v>
      </c>
      <c r="AQ6" s="86">
        <v>103.8</v>
      </c>
      <c r="AR6" s="86">
        <v>103.8</v>
      </c>
      <c r="AS6" s="86">
        <v>103.8</v>
      </c>
      <c r="AT6" s="86">
        <v>103.8</v>
      </c>
      <c r="AU6" s="86">
        <v>103.8</v>
      </c>
      <c r="AV6" s="86">
        <v>103.8</v>
      </c>
      <c r="AW6" s="86">
        <v>103.8</v>
      </c>
      <c r="AX6" s="86">
        <v>103.8</v>
      </c>
      <c r="AY6" s="86">
        <v>103.8</v>
      </c>
      <c r="AZ6" s="86">
        <v>103.8</v>
      </c>
      <c r="CC6" s="86">
        <v>103.8</v>
      </c>
      <c r="CD6" s="86">
        <v>103.8</v>
      </c>
      <c r="CE6" s="86">
        <v>103.8</v>
      </c>
      <c r="CF6" s="86">
        <v>103.8</v>
      </c>
      <c r="CG6" s="86">
        <v>103.8</v>
      </c>
      <c r="CH6" s="86">
        <v>103.8</v>
      </c>
      <c r="CI6" s="86">
        <v>103.8</v>
      </c>
      <c r="CJ6" s="86">
        <v>103.8</v>
      </c>
      <c r="CK6" s="86">
        <v>103.8</v>
      </c>
      <c r="CL6" s="86">
        <v>103.8</v>
      </c>
      <c r="CM6" s="86">
        <v>103.8</v>
      </c>
      <c r="CN6" s="86">
        <v>103.8</v>
      </c>
      <c r="CO6" s="86">
        <v>103.8</v>
      </c>
      <c r="CP6" s="86">
        <v>103.8</v>
      </c>
      <c r="CQ6" s="86">
        <v>103.8</v>
      </c>
      <c r="CR6" s="86">
        <v>103.8</v>
      </c>
      <c r="CS6" s="86">
        <v>103.8</v>
      </c>
      <c r="CT6" s="86">
        <v>103.8</v>
      </c>
      <c r="CU6" s="86">
        <v>103.8</v>
      </c>
      <c r="CV6" s="86">
        <v>103.8</v>
      </c>
      <c r="CW6" s="86">
        <v>103.8</v>
      </c>
      <c r="CX6" s="86">
        <v>103.8</v>
      </c>
      <c r="CY6" s="86">
        <v>103.8</v>
      </c>
      <c r="CZ6" s="86">
        <v>103.8</v>
      </c>
      <c r="DA6" s="86">
        <v>103.8</v>
      </c>
      <c r="DB6" s="86">
        <v>103.8</v>
      </c>
      <c r="DC6" s="86">
        <v>103.8</v>
      </c>
      <c r="DD6" s="86">
        <v>103.8</v>
      </c>
      <c r="DE6" s="86">
        <v>103.8</v>
      </c>
      <c r="DF6" s="86">
        <v>103.8</v>
      </c>
      <c r="DG6" s="86">
        <v>103.8</v>
      </c>
      <c r="DH6" s="86">
        <v>103.8</v>
      </c>
      <c r="DI6" s="86">
        <v>103.8</v>
      </c>
      <c r="DJ6" s="86">
        <v>103.8</v>
      </c>
      <c r="DK6" s="86">
        <v>103.8</v>
      </c>
      <c r="DL6" s="86">
        <v>103.8</v>
      </c>
      <c r="DM6" s="86">
        <v>103.8</v>
      </c>
      <c r="DN6" s="86">
        <v>103.8</v>
      </c>
      <c r="DO6" s="86">
        <v>103.8</v>
      </c>
      <c r="DP6" s="86">
        <v>103.8</v>
      </c>
      <c r="DQ6" s="86">
        <v>103.8</v>
      </c>
      <c r="DR6" s="86">
        <v>103.8</v>
      </c>
      <c r="DS6" s="86">
        <v>103.8</v>
      </c>
      <c r="DT6" s="86">
        <v>103.8</v>
      </c>
      <c r="DU6" s="86">
        <v>103.8</v>
      </c>
      <c r="DV6" s="86">
        <v>103.8</v>
      </c>
      <c r="DW6" s="86">
        <v>103.8</v>
      </c>
      <c r="DX6" s="86">
        <v>103.8</v>
      </c>
      <c r="DY6" s="86">
        <v>103.8</v>
      </c>
      <c r="DZ6" s="86">
        <v>103.8</v>
      </c>
      <c r="EA6" s="86">
        <v>103.8</v>
      </c>
      <c r="EB6" s="86">
        <v>103.8</v>
      </c>
      <c r="EC6" s="86">
        <v>103.8</v>
      </c>
      <c r="ED6" s="86">
        <v>103.8</v>
      </c>
      <c r="EE6" s="86">
        <v>103.8</v>
      </c>
      <c r="EF6" s="86">
        <v>103.8</v>
      </c>
      <c r="EG6" s="86">
        <v>103.8</v>
      </c>
      <c r="EH6" s="86">
        <v>103.8</v>
      </c>
      <c r="EI6" s="86">
        <v>103.8</v>
      </c>
      <c r="FE6" s="86">
        <v>103.8</v>
      </c>
      <c r="FF6" s="86">
        <v>103.8</v>
      </c>
      <c r="FG6" s="86">
        <v>103.8</v>
      </c>
      <c r="FH6" s="86">
        <v>103.8</v>
      </c>
      <c r="FI6" s="86">
        <v>103.8</v>
      </c>
      <c r="FJ6" s="86">
        <v>103.8</v>
      </c>
      <c r="FK6" s="86">
        <v>103.8</v>
      </c>
      <c r="FL6" s="86">
        <v>103.8</v>
      </c>
      <c r="FM6" s="86">
        <v>103.8</v>
      </c>
      <c r="FN6" s="86">
        <v>103.8</v>
      </c>
      <c r="FO6" s="86">
        <v>103.8</v>
      </c>
      <c r="FP6" s="86">
        <v>103.8</v>
      </c>
      <c r="FQ6" s="86">
        <v>103.8</v>
      </c>
      <c r="FR6" s="86">
        <v>103.8</v>
      </c>
      <c r="FS6" s="86">
        <v>103.8</v>
      </c>
      <c r="FT6" s="86">
        <v>103.8</v>
      </c>
      <c r="FU6" s="86">
        <v>103.8</v>
      </c>
      <c r="FV6" s="86">
        <v>103.8</v>
      </c>
      <c r="FW6" s="86">
        <v>103.8</v>
      </c>
      <c r="FX6" s="86">
        <v>103.8</v>
      </c>
      <c r="FY6" s="86">
        <v>103.8</v>
      </c>
      <c r="FZ6" s="86">
        <v>103.8</v>
      </c>
      <c r="GA6" s="86">
        <v>103.8</v>
      </c>
      <c r="GB6" s="86">
        <v>103.8</v>
      </c>
      <c r="GC6" s="86">
        <v>103.8</v>
      </c>
      <c r="GD6" s="86">
        <v>103.8</v>
      </c>
      <c r="GE6" s="86">
        <v>103.8</v>
      </c>
      <c r="GF6" s="86">
        <v>103.8</v>
      </c>
      <c r="GG6" s="86">
        <v>103.8</v>
      </c>
      <c r="GH6" s="86">
        <v>103.8</v>
      </c>
      <c r="GI6" s="86">
        <v>103.8</v>
      </c>
      <c r="GJ6" s="86">
        <v>103.8</v>
      </c>
      <c r="GK6" s="86">
        <v>103.8</v>
      </c>
      <c r="GL6" s="86">
        <v>103.8</v>
      </c>
      <c r="GM6" s="86">
        <v>103.8</v>
      </c>
      <c r="GN6" s="86">
        <v>103.8</v>
      </c>
      <c r="GO6" s="86">
        <v>103.8</v>
      </c>
      <c r="GP6" s="86">
        <v>103.8</v>
      </c>
      <c r="GQ6" s="86">
        <v>103.8</v>
      </c>
      <c r="GR6" s="86">
        <v>103.8</v>
      </c>
      <c r="GS6" s="86">
        <v>103.8</v>
      </c>
      <c r="GT6" s="86">
        <v>103.8</v>
      </c>
      <c r="GU6" s="86">
        <v>103.8</v>
      </c>
      <c r="GV6" s="86">
        <v>103.8</v>
      </c>
      <c r="GW6" s="86">
        <v>103.8</v>
      </c>
      <c r="GX6" s="86">
        <v>103.8</v>
      </c>
      <c r="GY6" s="86">
        <v>103.8</v>
      </c>
      <c r="GZ6" s="86">
        <v>103.8</v>
      </c>
      <c r="HA6" s="86">
        <v>103.8</v>
      </c>
      <c r="HB6" s="86">
        <v>103.8</v>
      </c>
      <c r="HC6" s="86">
        <v>103.8</v>
      </c>
      <c r="HD6" s="86">
        <v>103.8</v>
      </c>
      <c r="HE6" s="86">
        <v>103.8</v>
      </c>
      <c r="HF6" s="86">
        <v>103.8</v>
      </c>
      <c r="HG6" s="86">
        <v>103.8</v>
      </c>
      <c r="HH6" s="86">
        <v>103.8</v>
      </c>
      <c r="HI6" s="86">
        <v>103.8</v>
      </c>
      <c r="HJ6" s="86">
        <v>103.8</v>
      </c>
      <c r="HK6" s="86">
        <v>103.8</v>
      </c>
      <c r="HL6" s="86">
        <v>103.8</v>
      </c>
      <c r="IG6" s="86">
        <v>103.8</v>
      </c>
      <c r="IH6" s="86">
        <v>103.8</v>
      </c>
      <c r="II6" s="86">
        <v>103.8</v>
      </c>
      <c r="IJ6" s="86">
        <v>103.8</v>
      </c>
      <c r="IK6" s="86">
        <v>103.8</v>
      </c>
      <c r="IL6" s="86">
        <v>103.8</v>
      </c>
      <c r="IM6" s="86">
        <v>103.8</v>
      </c>
      <c r="IN6" s="86">
        <v>103.8</v>
      </c>
      <c r="IO6" s="86">
        <v>103.8</v>
      </c>
      <c r="IP6" s="86">
        <v>103.8</v>
      </c>
      <c r="IQ6" s="86">
        <v>103.8</v>
      </c>
      <c r="IR6" s="86">
        <v>103.8</v>
      </c>
      <c r="IS6" s="86">
        <v>103.8</v>
      </c>
      <c r="IT6" s="86">
        <v>103.8</v>
      </c>
      <c r="IU6" s="86">
        <v>103.8</v>
      </c>
      <c r="IV6" s="86">
        <v>103.8</v>
      </c>
      <c r="IW6" s="86">
        <v>103.8</v>
      </c>
      <c r="IX6" s="86">
        <v>103.8</v>
      </c>
      <c r="IY6" s="86">
        <v>103.8</v>
      </c>
      <c r="IZ6" s="86">
        <v>103.8</v>
      </c>
      <c r="JA6" s="86">
        <v>103.8</v>
      </c>
      <c r="JB6" s="86">
        <v>103.8</v>
      </c>
      <c r="JC6" s="86">
        <v>103.8</v>
      </c>
      <c r="JD6" s="86">
        <v>103.8</v>
      </c>
      <c r="JE6" s="86">
        <v>103.8</v>
      </c>
      <c r="JF6" s="86">
        <v>103.8</v>
      </c>
      <c r="JG6" s="86">
        <v>103.8</v>
      </c>
      <c r="JH6" s="86">
        <v>103.8</v>
      </c>
      <c r="JI6" s="86">
        <v>103.8</v>
      </c>
      <c r="JJ6" s="86">
        <v>103.8</v>
      </c>
      <c r="JK6" s="86">
        <v>103.8</v>
      </c>
      <c r="JL6" s="86">
        <v>103.8</v>
      </c>
      <c r="JM6" s="86">
        <v>103.8</v>
      </c>
      <c r="JN6" s="86">
        <v>103.8</v>
      </c>
      <c r="JO6" s="86">
        <v>103.8</v>
      </c>
      <c r="JP6" s="86">
        <v>103.8</v>
      </c>
      <c r="JQ6" s="86">
        <v>103.8</v>
      </c>
      <c r="JR6" s="86">
        <v>103.8</v>
      </c>
      <c r="JS6" s="86">
        <v>103.8</v>
      </c>
      <c r="JT6" s="86">
        <v>103.8</v>
      </c>
      <c r="JU6" s="86">
        <v>103.8</v>
      </c>
      <c r="JV6" s="86">
        <v>103.8</v>
      </c>
      <c r="JW6" s="86">
        <v>103.8</v>
      </c>
      <c r="JX6" s="86">
        <v>103.8</v>
      </c>
      <c r="JY6" s="86">
        <v>103.8</v>
      </c>
      <c r="JZ6" s="86">
        <v>103.8</v>
      </c>
      <c r="KA6" s="86">
        <v>103.8</v>
      </c>
      <c r="KB6" s="86">
        <v>103.8</v>
      </c>
      <c r="KC6" s="86">
        <v>103.8</v>
      </c>
      <c r="KD6" s="86">
        <v>103.8</v>
      </c>
      <c r="KE6" s="86">
        <v>103.8</v>
      </c>
      <c r="KF6" s="86">
        <v>103.8</v>
      </c>
      <c r="KG6" s="86">
        <v>103.8</v>
      </c>
      <c r="KH6" s="86">
        <v>103.8</v>
      </c>
      <c r="KI6" s="86">
        <v>103.8</v>
      </c>
      <c r="KJ6" s="86">
        <v>103.8</v>
      </c>
      <c r="KK6" s="86">
        <v>103.8</v>
      </c>
      <c r="KL6" s="86">
        <v>103.8</v>
      </c>
      <c r="KM6" s="86">
        <v>103.8</v>
      </c>
      <c r="KN6" s="86">
        <v>103.8</v>
      </c>
      <c r="LI6" s="86">
        <v>103.8</v>
      </c>
      <c r="LJ6" s="86">
        <v>103.8</v>
      </c>
      <c r="LK6" s="86">
        <v>103.8</v>
      </c>
      <c r="LL6" s="86">
        <v>103.8</v>
      </c>
      <c r="LM6" s="86">
        <v>103.8</v>
      </c>
      <c r="LN6" s="86">
        <v>103.8</v>
      </c>
      <c r="LO6" s="86">
        <v>103.8</v>
      </c>
      <c r="LP6" s="86">
        <v>103.8</v>
      </c>
      <c r="LQ6" s="86">
        <v>103.8</v>
      </c>
      <c r="LR6" s="86">
        <v>103.8</v>
      </c>
      <c r="LS6" s="86">
        <v>103.8</v>
      </c>
      <c r="LT6" s="86">
        <v>103.8</v>
      </c>
      <c r="LU6" s="86">
        <v>103.8</v>
      </c>
      <c r="LV6" s="86">
        <v>103.8</v>
      </c>
      <c r="LW6" s="86">
        <v>103.8</v>
      </c>
      <c r="LX6" s="86">
        <v>103.8</v>
      </c>
      <c r="LY6" s="86">
        <v>103.8</v>
      </c>
      <c r="LZ6" s="86">
        <v>103.8</v>
      </c>
      <c r="MA6" s="86">
        <v>103.8</v>
      </c>
      <c r="MB6" s="86">
        <v>103.8</v>
      </c>
      <c r="MC6" s="86">
        <v>103.8</v>
      </c>
      <c r="MD6" s="86">
        <v>103.8</v>
      </c>
      <c r="ME6" s="86">
        <v>103.8</v>
      </c>
      <c r="MF6" s="86">
        <v>103.8</v>
      </c>
      <c r="MG6" s="86">
        <v>103.8</v>
      </c>
      <c r="MH6" s="86">
        <v>103.8</v>
      </c>
      <c r="MI6" s="86">
        <v>103.8</v>
      </c>
      <c r="MJ6" s="86">
        <v>103.8</v>
      </c>
      <c r="MK6" s="86">
        <v>103.8</v>
      </c>
      <c r="ML6" s="86">
        <v>103.8</v>
      </c>
      <c r="MM6" s="86">
        <v>103.8</v>
      </c>
      <c r="MN6" s="86">
        <v>103.8</v>
      </c>
      <c r="MO6" s="86">
        <v>103.8</v>
      </c>
      <c r="MP6" s="86">
        <v>103.8</v>
      </c>
      <c r="MQ6" s="86">
        <v>103.8</v>
      </c>
      <c r="MR6" s="86">
        <v>103.8</v>
      </c>
      <c r="MS6" s="86">
        <v>103.8</v>
      </c>
      <c r="MT6" s="86">
        <v>103.8</v>
      </c>
      <c r="MU6" s="86">
        <v>103.8</v>
      </c>
      <c r="MV6" s="86">
        <v>103.8</v>
      </c>
      <c r="MW6" s="86">
        <v>103.8</v>
      </c>
      <c r="MX6" s="86">
        <v>103.8</v>
      </c>
      <c r="MY6" s="86">
        <v>103.8</v>
      </c>
      <c r="MZ6" s="86">
        <v>103.8</v>
      </c>
      <c r="NA6" s="86">
        <v>103.8</v>
      </c>
      <c r="NB6" s="86">
        <v>103.8</v>
      </c>
      <c r="NC6" s="86">
        <v>103.8</v>
      </c>
      <c r="ND6" s="86">
        <v>103.8</v>
      </c>
      <c r="NE6" s="86">
        <v>103.8</v>
      </c>
      <c r="NF6" s="86">
        <v>103.8</v>
      </c>
      <c r="NG6" s="86">
        <v>103.8</v>
      </c>
      <c r="NH6" s="86">
        <v>103.8</v>
      </c>
      <c r="NI6" s="86">
        <v>103.8</v>
      </c>
      <c r="NJ6" s="86">
        <v>103.8</v>
      </c>
      <c r="NK6" s="86">
        <v>103.8</v>
      </c>
      <c r="NL6" s="86">
        <v>103.8</v>
      </c>
      <c r="NM6" s="86">
        <v>103.8</v>
      </c>
      <c r="NN6" s="86">
        <v>103.8</v>
      </c>
      <c r="NO6" s="86">
        <v>103.8</v>
      </c>
      <c r="NP6" s="86">
        <v>103.8</v>
      </c>
      <c r="NQ6" s="86">
        <v>103.8</v>
      </c>
      <c r="NR6" s="86">
        <v>103.8</v>
      </c>
      <c r="OK6" s="86">
        <v>103.8</v>
      </c>
      <c r="OL6" s="86">
        <v>103.8</v>
      </c>
      <c r="OM6" s="86">
        <v>103.8</v>
      </c>
      <c r="ON6" s="86">
        <v>103.8</v>
      </c>
      <c r="OO6" s="86">
        <v>103.8</v>
      </c>
      <c r="OP6" s="86">
        <v>103.8</v>
      </c>
      <c r="OQ6" s="86">
        <v>103.8</v>
      </c>
      <c r="OR6" s="86">
        <v>103.8</v>
      </c>
      <c r="OS6" s="86">
        <v>103.8</v>
      </c>
      <c r="OT6" s="86">
        <v>103.8</v>
      </c>
      <c r="OU6" s="86">
        <v>103.8</v>
      </c>
      <c r="OV6" s="86">
        <v>103.8</v>
      </c>
      <c r="OW6" s="86">
        <v>103.8</v>
      </c>
      <c r="OX6" s="86">
        <v>103.8</v>
      </c>
      <c r="OY6" s="86">
        <v>103.8</v>
      </c>
      <c r="OZ6" s="86">
        <v>103.8</v>
      </c>
      <c r="PA6" s="86">
        <v>103.8</v>
      </c>
      <c r="PB6" s="86">
        <v>103.8</v>
      </c>
      <c r="PC6" s="86">
        <v>103.8</v>
      </c>
      <c r="PD6" s="86">
        <v>103.8</v>
      </c>
      <c r="PE6" s="86">
        <v>103.8</v>
      </c>
      <c r="PF6" s="86">
        <v>103.8</v>
      </c>
      <c r="PG6" s="86">
        <v>103.8</v>
      </c>
      <c r="PH6" s="86">
        <v>103.8</v>
      </c>
      <c r="PI6" s="86">
        <v>103.8</v>
      </c>
      <c r="PJ6" s="86">
        <v>103.8</v>
      </c>
      <c r="PK6" s="86">
        <v>103.8</v>
      </c>
      <c r="PL6" s="86">
        <v>103.8</v>
      </c>
      <c r="PM6" s="86">
        <v>103.8</v>
      </c>
      <c r="PN6" s="86">
        <v>103.8</v>
      </c>
      <c r="PO6" s="86">
        <v>103.8</v>
      </c>
      <c r="PP6" s="86">
        <v>103.8</v>
      </c>
      <c r="PQ6" s="86">
        <v>103.8</v>
      </c>
      <c r="PR6" s="86">
        <v>103.8</v>
      </c>
      <c r="PS6" s="86">
        <v>103.8</v>
      </c>
      <c r="PT6" s="86">
        <v>103.8</v>
      </c>
      <c r="PU6" s="86">
        <v>103.8</v>
      </c>
      <c r="PV6" s="86">
        <v>103.8</v>
      </c>
      <c r="PW6" s="86">
        <v>103.8</v>
      </c>
      <c r="PX6" s="86">
        <v>103.8</v>
      </c>
      <c r="PY6" s="86">
        <v>103.8</v>
      </c>
      <c r="PZ6" s="86">
        <v>103.8</v>
      </c>
      <c r="QA6" s="86">
        <v>103.8</v>
      </c>
      <c r="QB6" s="86">
        <v>103.8</v>
      </c>
      <c r="QC6" s="86">
        <v>103.8</v>
      </c>
      <c r="QD6" s="86">
        <v>103.8</v>
      </c>
      <c r="QE6" s="86">
        <v>103.8</v>
      </c>
      <c r="QF6" s="86">
        <v>103.8</v>
      </c>
      <c r="QG6" s="86">
        <v>103.8</v>
      </c>
      <c r="QH6" s="86">
        <v>103.8</v>
      </c>
      <c r="QI6" s="86">
        <v>103.8</v>
      </c>
      <c r="QJ6" s="86">
        <v>103.8</v>
      </c>
      <c r="QK6" s="86">
        <v>103.8</v>
      </c>
      <c r="QL6" s="86">
        <v>103.8</v>
      </c>
      <c r="QM6" s="86">
        <v>103.8</v>
      </c>
      <c r="QN6" s="86">
        <v>103.8</v>
      </c>
      <c r="QO6" s="86">
        <v>103.8</v>
      </c>
      <c r="QP6" s="86">
        <v>103.8</v>
      </c>
      <c r="QQ6" s="86">
        <v>103.8</v>
      </c>
      <c r="QR6" s="86">
        <v>103.8</v>
      </c>
      <c r="QS6" s="86">
        <v>103.8</v>
      </c>
      <c r="QT6" s="86">
        <v>103.8</v>
      </c>
      <c r="RM6" s="86">
        <v>103.8</v>
      </c>
      <c r="RN6" s="86">
        <v>103.8</v>
      </c>
      <c r="RO6" s="86">
        <v>103.8</v>
      </c>
      <c r="RP6" s="86">
        <v>103.8</v>
      </c>
      <c r="RQ6" s="86">
        <v>103.8</v>
      </c>
      <c r="RR6" s="86">
        <v>103.8</v>
      </c>
      <c r="RS6" s="86">
        <v>103.8</v>
      </c>
      <c r="RT6" s="86">
        <v>103.8</v>
      </c>
      <c r="RU6" s="86">
        <v>103.8</v>
      </c>
      <c r="RV6" s="86">
        <v>103.8</v>
      </c>
      <c r="RW6" s="86">
        <v>103.8</v>
      </c>
      <c r="RX6" s="86">
        <v>103.8</v>
      </c>
      <c r="RY6" s="86">
        <v>103.8</v>
      </c>
      <c r="RZ6" s="86">
        <v>103.8</v>
      </c>
      <c r="SA6" s="86">
        <v>103.8</v>
      </c>
      <c r="SB6" s="86">
        <v>103.8</v>
      </c>
      <c r="SC6" s="86">
        <v>103.8</v>
      </c>
      <c r="SD6" s="86">
        <v>103.8</v>
      </c>
      <c r="SE6" s="86">
        <v>103.8</v>
      </c>
      <c r="SF6" s="86">
        <v>103.8</v>
      </c>
      <c r="SG6" s="86">
        <v>103.8</v>
      </c>
      <c r="SH6" s="86">
        <v>103.8</v>
      </c>
      <c r="SI6" s="86">
        <v>103.8</v>
      </c>
      <c r="SJ6" s="86">
        <v>103.8</v>
      </c>
      <c r="SK6" s="86">
        <v>103.8</v>
      </c>
      <c r="SL6" s="86">
        <v>103.8</v>
      </c>
      <c r="SM6" s="86">
        <v>103.8</v>
      </c>
      <c r="SN6" s="86">
        <v>103.8</v>
      </c>
      <c r="SO6" s="86">
        <v>103.8</v>
      </c>
      <c r="SP6" s="86">
        <v>103.8</v>
      </c>
      <c r="SQ6" s="86">
        <v>103.8</v>
      </c>
      <c r="SR6" s="86">
        <v>103.8</v>
      </c>
      <c r="SS6" s="86">
        <v>103.8</v>
      </c>
      <c r="ST6" s="86">
        <v>103.8</v>
      </c>
      <c r="SU6" s="86">
        <v>103.8</v>
      </c>
      <c r="SV6" s="86">
        <v>103.8</v>
      </c>
      <c r="SW6" s="86">
        <v>103.8</v>
      </c>
      <c r="SX6" s="86">
        <v>103.8</v>
      </c>
      <c r="SY6" s="86">
        <v>103.8</v>
      </c>
      <c r="SZ6" s="86">
        <v>103.8</v>
      </c>
      <c r="TA6" s="86">
        <v>103.8</v>
      </c>
      <c r="TB6" s="86">
        <v>103.8</v>
      </c>
      <c r="TC6" s="86">
        <v>103.8</v>
      </c>
      <c r="TD6" s="86">
        <v>103.8</v>
      </c>
      <c r="TE6" s="86">
        <v>103.8</v>
      </c>
      <c r="TF6" s="86">
        <v>103.8</v>
      </c>
      <c r="TG6" s="86">
        <v>103.8</v>
      </c>
      <c r="TH6" s="86">
        <v>103.8</v>
      </c>
      <c r="TI6" s="86">
        <v>103.8</v>
      </c>
      <c r="TJ6" s="86">
        <v>103.8</v>
      </c>
      <c r="TK6" s="86">
        <v>103.8</v>
      </c>
      <c r="TL6" s="86">
        <v>103.8</v>
      </c>
      <c r="TM6" s="86">
        <v>103.8</v>
      </c>
      <c r="TN6" s="86">
        <v>103.8</v>
      </c>
      <c r="TO6" s="86">
        <v>103.8</v>
      </c>
      <c r="TP6" s="86">
        <v>103.8</v>
      </c>
      <c r="TQ6" s="86">
        <v>103.8</v>
      </c>
      <c r="TR6" s="86">
        <v>103.8</v>
      </c>
      <c r="TS6" s="86">
        <v>103.8</v>
      </c>
      <c r="TT6" s="86">
        <v>103.8</v>
      </c>
      <c r="TU6" s="86">
        <v>103.8</v>
      </c>
      <c r="TV6" s="86">
        <v>103.8</v>
      </c>
      <c r="UO6" s="86">
        <v>103.8</v>
      </c>
      <c r="UP6" s="86">
        <v>103.8</v>
      </c>
      <c r="UQ6" s="86">
        <v>103.8</v>
      </c>
      <c r="UR6" s="86">
        <v>103.8</v>
      </c>
      <c r="US6" s="86">
        <v>103.8</v>
      </c>
      <c r="UT6" s="86">
        <v>103.8</v>
      </c>
      <c r="UU6" s="86">
        <v>103.8</v>
      </c>
      <c r="UV6" s="86">
        <v>103.8</v>
      </c>
      <c r="UW6" s="86">
        <v>103.8</v>
      </c>
      <c r="UX6" s="86">
        <v>103.8</v>
      </c>
      <c r="UY6" s="86">
        <v>103.8</v>
      </c>
      <c r="UZ6" s="86">
        <v>103.8</v>
      </c>
      <c r="VA6" s="86">
        <v>103.8</v>
      </c>
      <c r="VB6" s="86">
        <v>103.8</v>
      </c>
      <c r="VC6" s="86">
        <v>103.8</v>
      </c>
      <c r="VD6" s="86">
        <v>103.8</v>
      </c>
      <c r="VE6" s="86">
        <v>103.8</v>
      </c>
      <c r="VF6" s="86">
        <v>103.8</v>
      </c>
      <c r="VG6" s="86">
        <v>103.8</v>
      </c>
      <c r="VH6" s="86">
        <v>103.8</v>
      </c>
      <c r="VI6" s="86">
        <v>103.8</v>
      </c>
      <c r="VJ6" s="86">
        <v>103.8</v>
      </c>
      <c r="VK6" s="86">
        <v>103.8</v>
      </c>
      <c r="VL6" s="86">
        <v>103.8</v>
      </c>
      <c r="VM6" s="86">
        <v>103.8</v>
      </c>
      <c r="VN6" s="86">
        <v>103.8</v>
      </c>
      <c r="VO6" s="86">
        <v>103.8</v>
      </c>
      <c r="VP6" s="86">
        <v>103.8</v>
      </c>
      <c r="VQ6" s="86">
        <v>103.8</v>
      </c>
      <c r="VR6" s="86">
        <v>103.8</v>
      </c>
      <c r="VS6" s="86">
        <v>103.8</v>
      </c>
      <c r="VT6" s="86">
        <v>103.8</v>
      </c>
      <c r="VU6" s="86">
        <v>103.8</v>
      </c>
      <c r="VV6" s="86">
        <v>103.8</v>
      </c>
      <c r="VW6" s="86">
        <v>103.8</v>
      </c>
      <c r="VX6" s="86">
        <v>103.8</v>
      </c>
      <c r="VY6" s="86">
        <v>103.8</v>
      </c>
      <c r="VZ6" s="86">
        <v>103.8</v>
      </c>
      <c r="WA6" s="86">
        <v>103.8</v>
      </c>
      <c r="WB6" s="86">
        <v>103.8</v>
      </c>
      <c r="WC6" s="86">
        <v>103.8</v>
      </c>
      <c r="WD6" s="86">
        <v>103.8</v>
      </c>
      <c r="WE6" s="86">
        <v>103.8</v>
      </c>
      <c r="WF6" s="86">
        <v>103.8</v>
      </c>
      <c r="WG6" s="86">
        <v>103.8</v>
      </c>
      <c r="WH6" s="86">
        <v>103.8</v>
      </c>
      <c r="WI6" s="86">
        <v>103.8</v>
      </c>
      <c r="WJ6" s="86">
        <v>103.8</v>
      </c>
      <c r="WK6" s="86">
        <v>103.8</v>
      </c>
      <c r="WL6" s="86">
        <v>103.8</v>
      </c>
      <c r="WM6" s="86">
        <v>103.8</v>
      </c>
      <c r="WN6" s="86">
        <v>103.8</v>
      </c>
      <c r="WO6" s="86">
        <v>103.8</v>
      </c>
      <c r="WP6" s="86">
        <v>103.8</v>
      </c>
      <c r="WQ6" s="86">
        <v>103.8</v>
      </c>
      <c r="WR6" s="86">
        <v>103.8</v>
      </c>
      <c r="WS6" s="86">
        <v>103.8</v>
      </c>
      <c r="WT6" s="86">
        <v>103.8</v>
      </c>
      <c r="WU6" s="86">
        <v>103.8</v>
      </c>
      <c r="WV6" s="86">
        <v>103.8</v>
      </c>
      <c r="WW6" s="86">
        <v>103.8</v>
      </c>
      <c r="XQ6" s="86">
        <v>103.8</v>
      </c>
      <c r="XR6" s="86">
        <v>103.8</v>
      </c>
      <c r="XS6" s="86">
        <v>103.8</v>
      </c>
      <c r="XT6" s="86">
        <v>103.8</v>
      </c>
      <c r="XU6" s="86">
        <v>103.8</v>
      </c>
      <c r="XV6" s="86">
        <v>103.8</v>
      </c>
      <c r="XW6" s="86">
        <v>103.8</v>
      </c>
      <c r="XX6" s="86">
        <v>103.8</v>
      </c>
      <c r="XY6" s="86">
        <v>103.8</v>
      </c>
      <c r="XZ6" s="86">
        <v>103.8</v>
      </c>
      <c r="YA6" s="86">
        <v>103.8</v>
      </c>
      <c r="YB6" s="86">
        <v>103.8</v>
      </c>
      <c r="YC6" s="86">
        <v>103.8</v>
      </c>
      <c r="YD6" s="86">
        <v>103.8</v>
      </c>
      <c r="YE6" s="86">
        <v>103.8</v>
      </c>
      <c r="YF6" s="86">
        <v>103.8</v>
      </c>
      <c r="YG6" s="86">
        <v>103.8</v>
      </c>
      <c r="YH6" s="86">
        <v>103.8</v>
      </c>
      <c r="YI6" s="86">
        <v>103.8</v>
      </c>
      <c r="YJ6" s="86">
        <v>103.8</v>
      </c>
      <c r="YK6" s="86">
        <v>103.8</v>
      </c>
      <c r="YL6" s="86">
        <v>103.8</v>
      </c>
      <c r="YM6" s="86">
        <v>103.8</v>
      </c>
      <c r="YN6" s="86">
        <v>103.8</v>
      </c>
      <c r="YO6" s="86">
        <v>103.8</v>
      </c>
      <c r="YP6" s="86">
        <v>103.8</v>
      </c>
      <c r="YQ6" s="86">
        <v>103.8</v>
      </c>
      <c r="YR6" s="86">
        <v>103.8</v>
      </c>
      <c r="YS6" s="86">
        <v>103.8</v>
      </c>
      <c r="YT6" s="86">
        <v>103.8</v>
      </c>
      <c r="YU6" s="86">
        <v>103.8</v>
      </c>
      <c r="YV6" s="86">
        <v>103.8</v>
      </c>
      <c r="YW6" s="86">
        <v>103.8</v>
      </c>
      <c r="YX6" s="86">
        <v>103.8</v>
      </c>
      <c r="YY6" s="86">
        <v>103.8</v>
      </c>
      <c r="YZ6" s="86">
        <v>103.8</v>
      </c>
      <c r="ZA6" s="86">
        <v>103.8</v>
      </c>
      <c r="ZB6" s="86">
        <v>103.8</v>
      </c>
      <c r="ZC6" s="86">
        <v>103.8</v>
      </c>
      <c r="ZD6" s="86">
        <v>103.8</v>
      </c>
      <c r="ZE6" s="86">
        <v>103.8</v>
      </c>
      <c r="ZF6" s="86">
        <v>103.8</v>
      </c>
      <c r="ZG6" s="86">
        <v>103.8</v>
      </c>
      <c r="ZH6" s="86">
        <v>103.8</v>
      </c>
      <c r="ZI6" s="86">
        <v>103.8</v>
      </c>
      <c r="ZJ6" s="86">
        <v>103.8</v>
      </c>
      <c r="ZK6" s="86">
        <v>103.8</v>
      </c>
      <c r="ZL6" s="86">
        <v>103.8</v>
      </c>
      <c r="ZM6" s="86">
        <v>103.8</v>
      </c>
      <c r="ZN6" s="86">
        <v>103.8</v>
      </c>
      <c r="ZO6" s="86">
        <v>103.8</v>
      </c>
      <c r="ZP6" s="86">
        <v>103.8</v>
      </c>
      <c r="ZQ6" s="86">
        <v>103.8</v>
      </c>
      <c r="ZR6" s="86">
        <v>103.8</v>
      </c>
      <c r="ZS6" s="86">
        <v>103.8</v>
      </c>
      <c r="ZT6" s="86">
        <v>103.8</v>
      </c>
      <c r="ZU6" s="86">
        <v>103.8</v>
      </c>
      <c r="ZV6" s="86">
        <v>103.8</v>
      </c>
      <c r="ZW6" s="86">
        <v>103.8</v>
      </c>
      <c r="AAS6" s="86">
        <v>103.8</v>
      </c>
      <c r="AAT6" s="86">
        <v>103.8</v>
      </c>
      <c r="AAU6" s="86">
        <v>103.8</v>
      </c>
      <c r="AAV6" s="86">
        <v>103.8</v>
      </c>
      <c r="AAW6" s="86">
        <v>103.8</v>
      </c>
      <c r="AAX6" s="86">
        <v>103.8</v>
      </c>
      <c r="AAY6" s="86">
        <v>103.8</v>
      </c>
      <c r="AAZ6" s="86">
        <v>103.8</v>
      </c>
      <c r="ABA6" s="86">
        <v>103.8</v>
      </c>
      <c r="ABB6" s="86">
        <v>103.8</v>
      </c>
      <c r="ABC6" s="86">
        <v>103.8</v>
      </c>
      <c r="ABD6" s="86">
        <v>103.8</v>
      </c>
      <c r="ABE6" s="86">
        <v>103.8</v>
      </c>
      <c r="ABF6" s="86">
        <v>103.8</v>
      </c>
      <c r="ABG6" s="86">
        <v>103.8</v>
      </c>
      <c r="ABH6" s="86">
        <v>103.8</v>
      </c>
      <c r="ABI6" s="86">
        <v>103.8</v>
      </c>
      <c r="ABJ6" s="86">
        <v>103.8</v>
      </c>
      <c r="ABK6" s="86">
        <v>103.8</v>
      </c>
      <c r="ABL6" s="86">
        <v>103.8</v>
      </c>
      <c r="ABM6" s="86">
        <v>103.8</v>
      </c>
      <c r="ABN6" s="86">
        <v>103.8</v>
      </c>
      <c r="ABO6" s="86">
        <v>103.8</v>
      </c>
      <c r="ABP6" s="86">
        <v>103.8</v>
      </c>
      <c r="ABQ6" s="86">
        <v>103.8</v>
      </c>
      <c r="ABR6" s="86">
        <v>103.8</v>
      </c>
      <c r="ABS6" s="86">
        <v>103.8</v>
      </c>
      <c r="ABT6" s="86">
        <v>103.8</v>
      </c>
      <c r="ABU6" s="86">
        <v>103.8</v>
      </c>
      <c r="ABV6" s="86">
        <v>103.8</v>
      </c>
      <c r="ABW6" s="86">
        <v>103.8</v>
      </c>
      <c r="ABX6" s="86">
        <v>103.8</v>
      </c>
      <c r="ABY6" s="86">
        <v>103.8</v>
      </c>
      <c r="ABZ6" s="86">
        <v>103.8</v>
      </c>
      <c r="ACA6" s="86">
        <v>103.8</v>
      </c>
      <c r="ACB6" s="86">
        <v>103.8</v>
      </c>
      <c r="ACC6" s="86">
        <v>103.8</v>
      </c>
      <c r="ACD6" s="86">
        <v>103.8</v>
      </c>
      <c r="ACE6" s="86">
        <v>103.8</v>
      </c>
      <c r="ACF6" s="86">
        <v>103.8</v>
      </c>
      <c r="ACG6" s="86">
        <v>103.8</v>
      </c>
      <c r="ACH6" s="86">
        <v>103.8</v>
      </c>
      <c r="ACI6" s="86">
        <v>103.8</v>
      </c>
      <c r="ACJ6" s="86">
        <v>103.8</v>
      </c>
      <c r="ACK6" s="86">
        <v>103.8</v>
      </c>
      <c r="ACL6" s="86">
        <v>103.8</v>
      </c>
      <c r="ACM6" s="86">
        <v>103.8</v>
      </c>
      <c r="ACN6" s="86">
        <v>103.8</v>
      </c>
      <c r="ACO6" s="86">
        <v>103.8</v>
      </c>
      <c r="ACP6" s="86">
        <v>103.8</v>
      </c>
      <c r="ACQ6" s="86">
        <v>103.8</v>
      </c>
      <c r="ACR6" s="86">
        <v>103.8</v>
      </c>
      <c r="ACS6" s="86">
        <v>103.8</v>
      </c>
      <c r="ACT6" s="86">
        <v>103.8</v>
      </c>
      <c r="ACU6" s="86">
        <v>103.8</v>
      </c>
      <c r="ACV6" s="86">
        <v>103.8</v>
      </c>
      <c r="ACW6" s="86">
        <v>103.8</v>
      </c>
      <c r="ACX6" s="86">
        <v>103.8</v>
      </c>
      <c r="ADU6" s="86">
        <v>103.8</v>
      </c>
      <c r="ADV6" s="86">
        <v>103.8</v>
      </c>
      <c r="ADW6" s="86">
        <v>103.8</v>
      </c>
      <c r="ADX6" s="86">
        <v>103.8</v>
      </c>
      <c r="ADY6" s="86">
        <v>103.8</v>
      </c>
      <c r="ADZ6" s="86">
        <v>103.8</v>
      </c>
      <c r="AEA6" s="86">
        <v>103.8</v>
      </c>
      <c r="AEB6" s="86">
        <v>103.8</v>
      </c>
      <c r="AEC6" s="86">
        <v>103.8</v>
      </c>
      <c r="AED6" s="86">
        <v>103.8</v>
      </c>
      <c r="AEE6" s="86">
        <v>103.8</v>
      </c>
      <c r="AEF6" s="86">
        <v>103.8</v>
      </c>
      <c r="AEG6" s="86">
        <v>103.8</v>
      </c>
      <c r="AEH6" s="86">
        <v>103.8</v>
      </c>
      <c r="AEI6" s="86">
        <v>103.8</v>
      </c>
      <c r="AEJ6" s="86">
        <v>103.8</v>
      </c>
      <c r="AEK6" s="86">
        <v>103.8</v>
      </c>
      <c r="AEL6" s="86">
        <v>103.8</v>
      </c>
      <c r="AEM6" s="86">
        <v>103.8</v>
      </c>
      <c r="AEN6" s="86">
        <v>103.8</v>
      </c>
      <c r="AEO6" s="86">
        <v>103.8</v>
      </c>
      <c r="AEP6" s="86">
        <v>103.8</v>
      </c>
      <c r="AEQ6" s="86">
        <v>103.8</v>
      </c>
      <c r="AER6" s="86">
        <v>103.8</v>
      </c>
      <c r="AES6" s="86">
        <v>103.8</v>
      </c>
      <c r="AET6" s="86">
        <v>103.8</v>
      </c>
      <c r="AEU6" s="86">
        <v>103.8</v>
      </c>
      <c r="AEV6" s="86">
        <v>103.8</v>
      </c>
      <c r="AEW6" s="86">
        <v>103.8</v>
      </c>
      <c r="AEX6" s="86">
        <v>103.8</v>
      </c>
      <c r="AEY6" s="86">
        <v>103.8</v>
      </c>
      <c r="AEZ6" s="86">
        <v>103.8</v>
      </c>
      <c r="AFA6" s="86">
        <v>103.8</v>
      </c>
      <c r="AFB6" s="86">
        <v>103.8</v>
      </c>
      <c r="AFC6" s="86">
        <v>103.8</v>
      </c>
      <c r="AFD6" s="86">
        <v>103.8</v>
      </c>
      <c r="AFE6" s="86">
        <v>103.8</v>
      </c>
      <c r="AFF6" s="86">
        <v>103.8</v>
      </c>
      <c r="AFG6" s="86">
        <v>103.8</v>
      </c>
      <c r="AFH6" s="86">
        <v>103.8</v>
      </c>
      <c r="AFI6" s="86">
        <v>103.8</v>
      </c>
      <c r="AFJ6" s="86">
        <v>103.8</v>
      </c>
      <c r="AFK6" s="86">
        <v>103.8</v>
      </c>
      <c r="AFL6" s="86">
        <v>103.8</v>
      </c>
      <c r="AFM6" s="86">
        <v>103.8</v>
      </c>
      <c r="AFN6" s="86">
        <v>103.8</v>
      </c>
      <c r="AFO6" s="86">
        <v>103.8</v>
      </c>
      <c r="AFP6" s="86">
        <v>103.8</v>
      </c>
      <c r="AFQ6" s="86">
        <v>103.8</v>
      </c>
      <c r="AFR6" s="86">
        <v>103.8</v>
      </c>
      <c r="AFS6" s="86">
        <v>103.8</v>
      </c>
      <c r="AFT6" s="86">
        <v>103.8</v>
      </c>
      <c r="AFU6" s="86">
        <v>103.8</v>
      </c>
      <c r="AFV6" s="86">
        <v>103.8</v>
      </c>
      <c r="AFW6" s="86">
        <v>103.8</v>
      </c>
      <c r="AFX6" s="86">
        <v>103.8</v>
      </c>
      <c r="AFY6" s="86">
        <v>103.8</v>
      </c>
      <c r="AGW6" s="86">
        <v>103.8</v>
      </c>
      <c r="AGX6" s="86">
        <v>103.8</v>
      </c>
      <c r="AGY6" s="86">
        <v>103.8</v>
      </c>
      <c r="AGZ6" s="86">
        <v>103.8</v>
      </c>
      <c r="AHA6" s="86">
        <v>103.8</v>
      </c>
      <c r="AHB6" s="86">
        <v>103.8</v>
      </c>
      <c r="AHC6" s="86">
        <v>103.8</v>
      </c>
      <c r="AHD6" s="86">
        <v>103.8</v>
      </c>
      <c r="AHE6" s="86">
        <v>103.8</v>
      </c>
      <c r="AHF6" s="86">
        <v>103.8</v>
      </c>
      <c r="AHG6" s="86">
        <v>103.8</v>
      </c>
      <c r="AHH6" s="86">
        <v>103.8</v>
      </c>
      <c r="AHI6" s="86">
        <v>103.8</v>
      </c>
      <c r="AHJ6" s="86">
        <v>103.8</v>
      </c>
      <c r="AHK6" s="86">
        <v>103.8</v>
      </c>
      <c r="AHL6" s="86">
        <v>103.8</v>
      </c>
      <c r="AHM6" s="86">
        <v>103.8</v>
      </c>
      <c r="AHN6" s="86">
        <v>103.8</v>
      </c>
      <c r="AHO6" s="86">
        <v>103.8</v>
      </c>
      <c r="AHP6" s="86">
        <v>103.8</v>
      </c>
      <c r="AHQ6" s="86">
        <v>103.8</v>
      </c>
      <c r="AHR6" s="86">
        <v>103.8</v>
      </c>
      <c r="AHS6" s="86">
        <v>103.8</v>
      </c>
      <c r="AHT6" s="86">
        <v>103.8</v>
      </c>
      <c r="AHU6" s="86">
        <v>103.8</v>
      </c>
      <c r="AHV6" s="86">
        <v>103.8</v>
      </c>
      <c r="AHW6" s="86">
        <v>103.8</v>
      </c>
      <c r="AHX6" s="86">
        <v>103.8</v>
      </c>
      <c r="AHY6" s="86">
        <v>103.8</v>
      </c>
      <c r="AHZ6" s="86">
        <v>103.8</v>
      </c>
      <c r="AIA6" s="86">
        <v>103.8</v>
      </c>
      <c r="AIB6" s="86">
        <v>103.8</v>
      </c>
      <c r="AIC6" s="86">
        <v>103.8</v>
      </c>
      <c r="AID6" s="86">
        <v>103.8</v>
      </c>
      <c r="AIE6" s="86">
        <v>103.8</v>
      </c>
      <c r="AIF6" s="86">
        <v>103.8</v>
      </c>
      <c r="AIG6" s="86">
        <v>103.8</v>
      </c>
      <c r="AIH6" s="86">
        <v>103.8</v>
      </c>
      <c r="AII6" s="86">
        <v>103.8</v>
      </c>
      <c r="AIJ6" s="86">
        <v>103.8</v>
      </c>
      <c r="AIK6" s="86">
        <v>103.8</v>
      </c>
      <c r="AIL6" s="86">
        <v>103.8</v>
      </c>
      <c r="AIM6" s="86">
        <v>103.8</v>
      </c>
      <c r="AIN6" s="86">
        <v>103.8</v>
      </c>
      <c r="AIO6" s="86">
        <v>103.8</v>
      </c>
      <c r="AIP6" s="86">
        <v>103.8</v>
      </c>
      <c r="AIQ6" s="86">
        <v>103.8</v>
      </c>
      <c r="AIR6" s="86">
        <v>103.8</v>
      </c>
      <c r="AIS6" s="86">
        <v>103.8</v>
      </c>
      <c r="AIT6" s="86">
        <v>103.8</v>
      </c>
      <c r="AIU6" s="86">
        <v>103.8</v>
      </c>
      <c r="AIV6" s="86">
        <v>103.8</v>
      </c>
      <c r="AIW6" s="86">
        <v>103.8</v>
      </c>
      <c r="AIX6" s="86">
        <v>103.8</v>
      </c>
      <c r="AIY6" s="86">
        <v>103.8</v>
      </c>
      <c r="AIZ6" s="86">
        <v>103.8</v>
      </c>
      <c r="AJY6" t="s">
        <v>7</v>
      </c>
    </row>
    <row r="7" spans="1:961">
      <c r="A7" s="86">
        <v>86.5</v>
      </c>
      <c r="B7" s="86">
        <v>86.5</v>
      </c>
      <c r="C7" s="86">
        <v>86.5</v>
      </c>
      <c r="D7" s="86">
        <v>86.5</v>
      </c>
      <c r="E7" s="86">
        <v>86.5</v>
      </c>
      <c r="F7" s="86">
        <v>86.5</v>
      </c>
      <c r="G7" s="86">
        <v>100</v>
      </c>
      <c r="H7" s="86">
        <v>100</v>
      </c>
      <c r="I7" s="86">
        <v>100</v>
      </c>
      <c r="J7" s="86">
        <v>100</v>
      </c>
      <c r="K7" s="86">
        <v>86.5</v>
      </c>
      <c r="L7" s="86">
        <v>86.5</v>
      </c>
      <c r="M7" s="86">
        <v>86.5</v>
      </c>
      <c r="N7" s="86">
        <v>86.5</v>
      </c>
      <c r="O7" s="86">
        <v>86.5</v>
      </c>
      <c r="P7" s="86">
        <v>86.5</v>
      </c>
      <c r="Q7" s="86">
        <v>86.5</v>
      </c>
      <c r="R7" s="86">
        <v>86.5</v>
      </c>
      <c r="S7" s="86">
        <v>100</v>
      </c>
      <c r="T7" s="86">
        <v>86.5</v>
      </c>
      <c r="U7" s="86">
        <v>86.5</v>
      </c>
      <c r="V7" s="86">
        <v>86.5</v>
      </c>
      <c r="W7" s="86">
        <v>86.5</v>
      </c>
      <c r="X7" s="86">
        <v>86.5</v>
      </c>
      <c r="Y7" s="86">
        <v>86.5</v>
      </c>
      <c r="Z7" s="86">
        <v>86.5</v>
      </c>
      <c r="AA7" s="86">
        <v>86.5</v>
      </c>
      <c r="AB7" s="86">
        <v>86.5</v>
      </c>
      <c r="AC7" s="86">
        <v>86.5</v>
      </c>
      <c r="AD7" s="86">
        <v>86.5</v>
      </c>
      <c r="AE7" s="86">
        <v>86.5</v>
      </c>
      <c r="AF7" s="86">
        <v>86.5</v>
      </c>
      <c r="AG7" s="86">
        <v>100</v>
      </c>
      <c r="AH7" s="86">
        <v>86.5</v>
      </c>
      <c r="AI7" s="86">
        <v>86.5</v>
      </c>
      <c r="AJ7" s="86">
        <v>86.5</v>
      </c>
      <c r="AK7" s="86">
        <v>86.5</v>
      </c>
      <c r="AL7" s="86">
        <v>86.5</v>
      </c>
      <c r="AM7" s="86">
        <v>86.5</v>
      </c>
      <c r="AN7" s="86">
        <v>86.5</v>
      </c>
      <c r="AO7" s="86">
        <v>86.5</v>
      </c>
      <c r="AP7" s="86">
        <v>86.5</v>
      </c>
      <c r="AQ7" s="86">
        <v>86.5</v>
      </c>
      <c r="AR7" s="86">
        <v>86.5</v>
      </c>
      <c r="AS7" s="86">
        <v>86.5</v>
      </c>
      <c r="AT7" s="86">
        <v>86.5</v>
      </c>
      <c r="AU7" s="86">
        <v>86.5</v>
      </c>
      <c r="AV7" s="86">
        <v>86.5</v>
      </c>
      <c r="AW7" s="86">
        <v>86.5</v>
      </c>
      <c r="AX7" s="86">
        <v>86.5</v>
      </c>
      <c r="AY7" s="86">
        <v>86.5</v>
      </c>
      <c r="AZ7" s="86">
        <v>86.5</v>
      </c>
      <c r="CC7" s="86">
        <v>86.5</v>
      </c>
      <c r="CD7" s="86">
        <v>86.5</v>
      </c>
      <c r="CE7" s="86">
        <v>86.5</v>
      </c>
      <c r="CF7" s="86">
        <v>86.5</v>
      </c>
      <c r="CG7" s="86">
        <v>86.5</v>
      </c>
      <c r="CH7" s="86">
        <v>100</v>
      </c>
      <c r="CI7" s="86">
        <v>86.5</v>
      </c>
      <c r="CJ7" s="86">
        <v>100</v>
      </c>
      <c r="CK7" s="86">
        <v>100</v>
      </c>
      <c r="CL7" s="86">
        <v>100</v>
      </c>
      <c r="CM7" s="86">
        <v>100</v>
      </c>
      <c r="CN7" s="86">
        <v>100</v>
      </c>
      <c r="CO7" s="86">
        <v>86.5</v>
      </c>
      <c r="CP7" s="86">
        <v>86.5</v>
      </c>
      <c r="CQ7" s="86">
        <v>86.5</v>
      </c>
      <c r="CR7" s="86">
        <v>86.5</v>
      </c>
      <c r="CS7" s="86">
        <v>86.5</v>
      </c>
      <c r="CT7" s="86">
        <v>86.5</v>
      </c>
      <c r="CU7" s="86">
        <v>86.5</v>
      </c>
      <c r="CV7" s="86">
        <v>86.5</v>
      </c>
      <c r="CW7" s="86">
        <v>86.5</v>
      </c>
      <c r="CX7" s="86">
        <v>86.5</v>
      </c>
      <c r="CY7" s="86">
        <v>86.5</v>
      </c>
      <c r="CZ7" s="86">
        <v>86.5</v>
      </c>
      <c r="DA7" s="86">
        <v>86.5</v>
      </c>
      <c r="DB7" s="86">
        <v>86.5</v>
      </c>
      <c r="DC7" s="86">
        <v>86.5</v>
      </c>
      <c r="DD7" s="86">
        <v>86.5</v>
      </c>
      <c r="DE7" s="86">
        <v>86.5</v>
      </c>
      <c r="DF7" s="86">
        <v>86.5</v>
      </c>
      <c r="DG7" s="86">
        <v>86.5</v>
      </c>
      <c r="DH7" s="86">
        <v>86.5</v>
      </c>
      <c r="DI7" s="86">
        <v>86.5</v>
      </c>
      <c r="DJ7" s="86">
        <v>86.5</v>
      </c>
      <c r="DK7" s="86">
        <v>86.5</v>
      </c>
      <c r="DL7" s="86">
        <v>86.5</v>
      </c>
      <c r="DM7" s="86">
        <v>86.5</v>
      </c>
      <c r="DN7" s="86">
        <v>86.5</v>
      </c>
      <c r="DO7" s="86">
        <v>86.5</v>
      </c>
      <c r="DP7" s="86">
        <v>86.5</v>
      </c>
      <c r="DQ7" s="86">
        <v>86.5</v>
      </c>
      <c r="DR7" s="86">
        <v>86.5</v>
      </c>
      <c r="DS7" s="86">
        <v>86.5</v>
      </c>
      <c r="DT7" s="86">
        <v>86.5</v>
      </c>
      <c r="DU7" s="86">
        <v>86.5</v>
      </c>
      <c r="DV7" s="86">
        <v>86.5</v>
      </c>
      <c r="DW7" s="86">
        <v>86.5</v>
      </c>
      <c r="DX7" s="86">
        <v>86.5</v>
      </c>
      <c r="DY7" s="86">
        <v>86.5</v>
      </c>
      <c r="DZ7" s="86">
        <v>86.5</v>
      </c>
      <c r="EA7" s="86">
        <v>86.5</v>
      </c>
      <c r="EB7" s="86">
        <v>86.5</v>
      </c>
      <c r="EC7" s="86">
        <v>86.5</v>
      </c>
      <c r="ED7" s="86">
        <v>86.5</v>
      </c>
      <c r="EE7" s="86">
        <v>100</v>
      </c>
      <c r="EF7" s="86">
        <v>86.5</v>
      </c>
      <c r="EG7" s="86">
        <v>86.5</v>
      </c>
      <c r="EH7" s="86">
        <v>86.5</v>
      </c>
      <c r="EI7" s="86">
        <v>86.5</v>
      </c>
      <c r="FE7" s="86">
        <v>86.5</v>
      </c>
      <c r="FF7" s="86">
        <v>86.5</v>
      </c>
      <c r="FG7" s="86">
        <v>86.5</v>
      </c>
      <c r="FH7" s="86">
        <v>86.5</v>
      </c>
      <c r="FI7" s="86">
        <v>86.5</v>
      </c>
      <c r="FJ7" s="86">
        <v>86.5</v>
      </c>
      <c r="FK7" s="86">
        <v>100</v>
      </c>
      <c r="FL7" s="86">
        <v>86.5</v>
      </c>
      <c r="FM7" s="86">
        <v>100</v>
      </c>
      <c r="FN7" s="86">
        <v>100</v>
      </c>
      <c r="FO7" s="86">
        <v>100</v>
      </c>
      <c r="FP7" s="86">
        <v>100</v>
      </c>
      <c r="FQ7" s="86">
        <v>100</v>
      </c>
      <c r="FR7" s="86">
        <v>86.5</v>
      </c>
      <c r="FS7" s="86">
        <v>86.5</v>
      </c>
      <c r="FT7" s="86">
        <v>86.5</v>
      </c>
      <c r="FU7" s="86">
        <v>86.5</v>
      </c>
      <c r="FV7" s="86">
        <v>86.5</v>
      </c>
      <c r="FW7" s="86">
        <v>86.5</v>
      </c>
      <c r="FX7" s="86">
        <v>86.5</v>
      </c>
      <c r="FY7" s="86">
        <v>86.5</v>
      </c>
      <c r="FZ7" s="86">
        <v>86.5</v>
      </c>
      <c r="GA7" s="86">
        <v>86.5</v>
      </c>
      <c r="GB7" s="86">
        <v>86.5</v>
      </c>
      <c r="GC7" s="86">
        <v>86.5</v>
      </c>
      <c r="GD7" s="86">
        <v>86.5</v>
      </c>
      <c r="GE7" s="86">
        <v>86.5</v>
      </c>
      <c r="GF7" s="86">
        <v>86.5</v>
      </c>
      <c r="GG7" s="86">
        <v>86.5</v>
      </c>
      <c r="GH7" s="86">
        <v>86.5</v>
      </c>
      <c r="GI7" s="86">
        <v>86.5</v>
      </c>
      <c r="GJ7" s="86">
        <v>86.5</v>
      </c>
      <c r="GK7" s="86">
        <v>86.5</v>
      </c>
      <c r="GL7" s="86">
        <v>86.5</v>
      </c>
      <c r="GM7" s="86">
        <v>86.5</v>
      </c>
      <c r="GN7" s="86">
        <v>86.5</v>
      </c>
      <c r="GO7" s="86">
        <v>86.5</v>
      </c>
      <c r="GP7" s="86">
        <v>86.5</v>
      </c>
      <c r="GQ7" s="86">
        <v>86.5</v>
      </c>
      <c r="GR7" s="86">
        <v>86.5</v>
      </c>
      <c r="GS7" s="86">
        <v>86.5</v>
      </c>
      <c r="GT7" s="86">
        <v>86.5</v>
      </c>
      <c r="GU7" s="86">
        <v>86.5</v>
      </c>
      <c r="GV7" s="86">
        <v>86.5</v>
      </c>
      <c r="GW7" s="86">
        <v>86.5</v>
      </c>
      <c r="GX7" s="86">
        <v>86.5</v>
      </c>
      <c r="GY7" s="86">
        <v>86.5</v>
      </c>
      <c r="GZ7" s="86">
        <v>86.5</v>
      </c>
      <c r="HA7" s="86">
        <v>86.5</v>
      </c>
      <c r="HB7" s="86">
        <v>86.5</v>
      </c>
      <c r="HC7" s="86">
        <v>86.5</v>
      </c>
      <c r="HD7" s="86">
        <v>86.5</v>
      </c>
      <c r="HE7" s="86">
        <v>86.5</v>
      </c>
      <c r="HF7" s="86">
        <v>86.5</v>
      </c>
      <c r="HG7" s="86">
        <v>86.5</v>
      </c>
      <c r="HH7" s="86">
        <v>86.5</v>
      </c>
      <c r="HI7" s="86">
        <v>100</v>
      </c>
      <c r="HJ7" s="86">
        <v>86.5</v>
      </c>
      <c r="HK7" s="86">
        <v>86.5</v>
      </c>
      <c r="HL7" s="86">
        <v>86.5</v>
      </c>
      <c r="IG7" s="86">
        <v>86.5</v>
      </c>
      <c r="IH7" s="86">
        <v>86.5</v>
      </c>
      <c r="II7" s="86">
        <v>86.5</v>
      </c>
      <c r="IJ7" s="86">
        <v>86.5</v>
      </c>
      <c r="IK7" s="86">
        <v>86.5</v>
      </c>
      <c r="IL7" s="86">
        <v>86.5</v>
      </c>
      <c r="IM7" s="86">
        <v>100</v>
      </c>
      <c r="IN7" s="86">
        <v>86.5</v>
      </c>
      <c r="IO7" s="86">
        <v>100</v>
      </c>
      <c r="IP7" s="86">
        <v>100</v>
      </c>
      <c r="IQ7" s="86">
        <v>100</v>
      </c>
      <c r="IR7" s="86">
        <v>100</v>
      </c>
      <c r="IS7" s="86">
        <v>100</v>
      </c>
      <c r="IT7" s="86">
        <v>86.5</v>
      </c>
      <c r="IU7" s="86">
        <v>86.5</v>
      </c>
      <c r="IV7" s="86">
        <v>86.5</v>
      </c>
      <c r="IW7" s="86">
        <v>86.5</v>
      </c>
      <c r="IX7" s="86">
        <v>86.5</v>
      </c>
      <c r="IY7" s="86">
        <v>100</v>
      </c>
      <c r="IZ7" s="86">
        <v>86.5</v>
      </c>
      <c r="JA7" s="86">
        <v>86.5</v>
      </c>
      <c r="JB7" s="86">
        <v>86.5</v>
      </c>
      <c r="JC7" s="86">
        <v>86.5</v>
      </c>
      <c r="JD7" s="86">
        <v>86.5</v>
      </c>
      <c r="JE7" s="86">
        <v>86.5</v>
      </c>
      <c r="JF7" s="86">
        <v>86.5</v>
      </c>
      <c r="JG7" s="86">
        <v>86.5</v>
      </c>
      <c r="JH7" s="86">
        <v>86.5</v>
      </c>
      <c r="JI7" s="86">
        <v>86.5</v>
      </c>
      <c r="JJ7" s="86">
        <v>86.5</v>
      </c>
      <c r="JK7" s="86">
        <v>86.5</v>
      </c>
      <c r="JL7" s="86">
        <v>86.5</v>
      </c>
      <c r="JM7" s="86">
        <v>86.5</v>
      </c>
      <c r="JN7" s="86">
        <v>86.5</v>
      </c>
      <c r="JO7" s="86">
        <v>86.5</v>
      </c>
      <c r="JP7" s="86">
        <v>86.5</v>
      </c>
      <c r="JQ7" s="86">
        <v>86.5</v>
      </c>
      <c r="JR7" s="86">
        <v>86.5</v>
      </c>
      <c r="JS7" s="86">
        <v>86.5</v>
      </c>
      <c r="JT7" s="86">
        <v>86.5</v>
      </c>
      <c r="JU7" s="86">
        <v>86.5</v>
      </c>
      <c r="JV7" s="86">
        <v>86.5</v>
      </c>
      <c r="JW7" s="86">
        <v>86.5</v>
      </c>
      <c r="JX7" s="86">
        <v>86.5</v>
      </c>
      <c r="JY7" s="86">
        <v>86.5</v>
      </c>
      <c r="JZ7" s="86">
        <v>86.5</v>
      </c>
      <c r="KA7" s="86">
        <v>86.5</v>
      </c>
      <c r="KB7" s="86">
        <v>86.5</v>
      </c>
      <c r="KC7" s="86">
        <v>86.5</v>
      </c>
      <c r="KD7" s="86">
        <v>86.5</v>
      </c>
      <c r="KE7" s="86">
        <v>86.5</v>
      </c>
      <c r="KF7" s="86">
        <v>86.5</v>
      </c>
      <c r="KG7" s="86">
        <v>86.5</v>
      </c>
      <c r="KH7" s="86">
        <v>86.5</v>
      </c>
      <c r="KI7" s="86">
        <v>86.5</v>
      </c>
      <c r="KJ7" s="86">
        <v>86.5</v>
      </c>
      <c r="KK7" s="86">
        <v>100</v>
      </c>
      <c r="KL7" s="86">
        <v>86.5</v>
      </c>
      <c r="KM7" s="86">
        <v>86.5</v>
      </c>
      <c r="KN7" s="86">
        <v>86.5</v>
      </c>
      <c r="LI7" s="86">
        <v>86.5</v>
      </c>
      <c r="LJ7" s="86">
        <v>100</v>
      </c>
      <c r="LK7" s="86">
        <v>86.5</v>
      </c>
      <c r="LL7" s="86">
        <v>86.5</v>
      </c>
      <c r="LM7" s="86">
        <v>86.5</v>
      </c>
      <c r="LN7" s="86">
        <v>86.5</v>
      </c>
      <c r="LO7" s="86">
        <v>100</v>
      </c>
      <c r="LP7" s="86">
        <v>86.5</v>
      </c>
      <c r="LQ7" s="86">
        <v>100</v>
      </c>
      <c r="LR7" s="86">
        <v>100</v>
      </c>
      <c r="LS7" s="86">
        <v>100</v>
      </c>
      <c r="LT7" s="86">
        <v>100</v>
      </c>
      <c r="LU7" s="86">
        <v>100</v>
      </c>
      <c r="LV7" s="86">
        <v>86.5</v>
      </c>
      <c r="LW7" s="86">
        <v>86.5</v>
      </c>
      <c r="LX7" s="86">
        <v>86.5</v>
      </c>
      <c r="LY7" s="86">
        <v>86.5</v>
      </c>
      <c r="LZ7" s="86">
        <v>86.5</v>
      </c>
      <c r="MA7" s="86">
        <v>86.5</v>
      </c>
      <c r="MB7" s="86">
        <v>86.5</v>
      </c>
      <c r="MC7" s="86">
        <v>86.5</v>
      </c>
      <c r="MD7" s="86">
        <v>86.5</v>
      </c>
      <c r="ME7" s="86">
        <v>86.5</v>
      </c>
      <c r="MF7" s="86">
        <v>86.5</v>
      </c>
      <c r="MG7" s="86">
        <v>86.5</v>
      </c>
      <c r="MH7" s="86">
        <v>86.5</v>
      </c>
      <c r="MI7" s="86">
        <v>86.5</v>
      </c>
      <c r="MJ7" s="86">
        <v>86.5</v>
      </c>
      <c r="MK7" s="86">
        <v>86.5</v>
      </c>
      <c r="ML7" s="86">
        <v>86.5</v>
      </c>
      <c r="MM7" s="86">
        <v>86.5</v>
      </c>
      <c r="MN7" s="86">
        <v>86.5</v>
      </c>
      <c r="MO7" s="86">
        <v>86.5</v>
      </c>
      <c r="MP7" s="86">
        <v>86.5</v>
      </c>
      <c r="MQ7" s="86">
        <v>86.5</v>
      </c>
      <c r="MR7" s="86">
        <v>86.5</v>
      </c>
      <c r="MS7" s="86">
        <v>86.5</v>
      </c>
      <c r="MT7" s="86">
        <v>86.5</v>
      </c>
      <c r="MU7" s="86">
        <v>86.5</v>
      </c>
      <c r="MV7" s="86">
        <v>86.5</v>
      </c>
      <c r="MW7" s="86">
        <v>86.5</v>
      </c>
      <c r="MX7" s="86">
        <v>86.5</v>
      </c>
      <c r="MY7" s="86">
        <v>86.5</v>
      </c>
      <c r="MZ7" s="86">
        <v>86.5</v>
      </c>
      <c r="NA7" s="86">
        <v>86.5</v>
      </c>
      <c r="NB7" s="86">
        <v>86.5</v>
      </c>
      <c r="NC7" s="86">
        <v>86.5</v>
      </c>
      <c r="ND7" s="86">
        <v>86.5</v>
      </c>
      <c r="NE7" s="86">
        <v>86.5</v>
      </c>
      <c r="NF7" s="86">
        <v>86.5</v>
      </c>
      <c r="NG7" s="86">
        <v>86.5</v>
      </c>
      <c r="NH7" s="86">
        <v>86.5</v>
      </c>
      <c r="NI7" s="86">
        <v>86.5</v>
      </c>
      <c r="NJ7" s="86">
        <v>86.5</v>
      </c>
      <c r="NK7" s="86">
        <v>86.5</v>
      </c>
      <c r="NL7" s="86">
        <v>86.5</v>
      </c>
      <c r="NM7" s="86">
        <v>86.5</v>
      </c>
      <c r="NN7" s="86">
        <v>86.5</v>
      </c>
      <c r="NO7" s="86">
        <v>100</v>
      </c>
      <c r="NP7" s="86">
        <v>86.5</v>
      </c>
      <c r="NQ7" s="86">
        <v>86.5</v>
      </c>
      <c r="NR7" s="86">
        <v>86.5</v>
      </c>
      <c r="OK7" s="86">
        <v>86.5</v>
      </c>
      <c r="OL7" s="86">
        <v>86.5</v>
      </c>
      <c r="OM7" s="86">
        <v>86.5</v>
      </c>
      <c r="ON7" s="86">
        <v>86.5</v>
      </c>
      <c r="OO7" s="86">
        <v>86.5</v>
      </c>
      <c r="OP7" s="86">
        <v>86.5</v>
      </c>
      <c r="OQ7" s="86">
        <v>86.5</v>
      </c>
      <c r="OR7" s="86">
        <v>86.5</v>
      </c>
      <c r="OS7" s="86">
        <v>100</v>
      </c>
      <c r="OT7" s="86">
        <v>100</v>
      </c>
      <c r="OU7" s="86">
        <v>100</v>
      </c>
      <c r="OV7" s="86">
        <v>100</v>
      </c>
      <c r="OW7" s="86">
        <v>100</v>
      </c>
      <c r="OX7" s="86">
        <v>86.5</v>
      </c>
      <c r="OY7" s="86">
        <v>86.5</v>
      </c>
      <c r="OZ7" s="86">
        <v>86.5</v>
      </c>
      <c r="PA7" s="86">
        <v>86.5</v>
      </c>
      <c r="PB7" s="86">
        <v>86.5</v>
      </c>
      <c r="PC7" s="86">
        <v>86.5</v>
      </c>
      <c r="PD7" s="86">
        <v>86.5</v>
      </c>
      <c r="PE7" s="86">
        <v>86.5</v>
      </c>
      <c r="PF7" s="86">
        <v>86.5</v>
      </c>
      <c r="PG7" s="86">
        <v>86.5</v>
      </c>
      <c r="PH7" s="86">
        <v>86.5</v>
      </c>
      <c r="PI7" s="86">
        <v>86.5</v>
      </c>
      <c r="PJ7" s="86">
        <v>86.5</v>
      </c>
      <c r="PK7" s="86">
        <v>86.5</v>
      </c>
      <c r="PL7" s="86">
        <v>86.5</v>
      </c>
      <c r="PM7" s="86">
        <v>86.5</v>
      </c>
      <c r="PN7" s="86">
        <v>86.5</v>
      </c>
      <c r="PO7" s="86">
        <v>86.5</v>
      </c>
      <c r="PP7" s="86">
        <v>86.5</v>
      </c>
      <c r="PQ7" s="86">
        <v>86.5</v>
      </c>
      <c r="PR7" s="86">
        <v>86.5</v>
      </c>
      <c r="PS7" s="86">
        <v>86.5</v>
      </c>
      <c r="PT7" s="86">
        <v>86.5</v>
      </c>
      <c r="PU7" s="86">
        <v>86.5</v>
      </c>
      <c r="PV7" s="86">
        <v>86.5</v>
      </c>
      <c r="PW7" s="86">
        <v>86.5</v>
      </c>
      <c r="PX7" s="86">
        <v>86.5</v>
      </c>
      <c r="PY7" s="86">
        <v>86.5</v>
      </c>
      <c r="PZ7" s="86">
        <v>86.5</v>
      </c>
      <c r="QA7" s="86">
        <v>86.5</v>
      </c>
      <c r="QB7" s="86">
        <v>86.5</v>
      </c>
      <c r="QC7" s="86">
        <v>86.5</v>
      </c>
      <c r="QD7" s="86">
        <v>86.5</v>
      </c>
      <c r="QE7" s="86">
        <v>86.5</v>
      </c>
      <c r="QF7" s="86">
        <v>86.5</v>
      </c>
      <c r="QG7" s="86">
        <v>86.5</v>
      </c>
      <c r="QH7" s="86">
        <v>86.5</v>
      </c>
      <c r="QI7" s="86">
        <v>86.5</v>
      </c>
      <c r="QJ7" s="86">
        <v>86.5</v>
      </c>
      <c r="QK7" s="86">
        <v>86.5</v>
      </c>
      <c r="QL7" s="86">
        <v>86.5</v>
      </c>
      <c r="QM7" s="86">
        <v>86.5</v>
      </c>
      <c r="QN7" s="86">
        <v>86.5</v>
      </c>
      <c r="QO7" s="86">
        <v>86.5</v>
      </c>
      <c r="QP7" s="86">
        <v>86.5</v>
      </c>
      <c r="QQ7" s="86">
        <v>100</v>
      </c>
      <c r="QR7" s="86">
        <v>86.5</v>
      </c>
      <c r="QS7" s="86">
        <v>86.5</v>
      </c>
      <c r="QT7" s="86">
        <v>86.5</v>
      </c>
      <c r="RM7" s="86">
        <v>86.5</v>
      </c>
      <c r="RN7" s="86">
        <v>86.5</v>
      </c>
      <c r="RO7" s="86">
        <v>86.5</v>
      </c>
      <c r="RP7" s="86">
        <v>86.5</v>
      </c>
      <c r="RQ7" s="86">
        <v>86.5</v>
      </c>
      <c r="RR7" s="86">
        <v>86.5</v>
      </c>
      <c r="RS7" s="86">
        <v>100</v>
      </c>
      <c r="RT7" s="86">
        <v>86.5</v>
      </c>
      <c r="RU7" s="86">
        <v>100</v>
      </c>
      <c r="RV7" s="86">
        <v>100</v>
      </c>
      <c r="RW7" s="86">
        <v>100</v>
      </c>
      <c r="RX7" s="86">
        <v>100</v>
      </c>
      <c r="RY7" s="86">
        <v>100</v>
      </c>
      <c r="RZ7" s="86">
        <v>86.5</v>
      </c>
      <c r="SA7" s="86">
        <v>86.5</v>
      </c>
      <c r="SB7" s="86">
        <v>86.5</v>
      </c>
      <c r="SC7" s="86">
        <v>86.5</v>
      </c>
      <c r="SD7" s="86">
        <v>86.5</v>
      </c>
      <c r="SE7" s="86">
        <v>86.5</v>
      </c>
      <c r="SF7" s="86">
        <v>86.5</v>
      </c>
      <c r="SG7" s="86">
        <v>86.5</v>
      </c>
      <c r="SH7" s="86">
        <v>86.5</v>
      </c>
      <c r="SI7" s="86">
        <v>86.5</v>
      </c>
      <c r="SJ7" s="86">
        <v>86.5</v>
      </c>
      <c r="SK7" s="86">
        <v>86.5</v>
      </c>
      <c r="SL7" s="86">
        <v>86.5</v>
      </c>
      <c r="SM7" s="86">
        <v>86.5</v>
      </c>
      <c r="SN7" s="86">
        <v>86.5</v>
      </c>
      <c r="SO7" s="86">
        <v>86.5</v>
      </c>
      <c r="SP7" s="86">
        <v>86.5</v>
      </c>
      <c r="SQ7" s="86">
        <v>86.5</v>
      </c>
      <c r="SR7" s="86">
        <v>86.5</v>
      </c>
      <c r="SS7" s="86">
        <v>86.5</v>
      </c>
      <c r="ST7" s="86">
        <v>86.5</v>
      </c>
      <c r="SU7" s="86">
        <v>86.5</v>
      </c>
      <c r="SV7" s="86">
        <v>86.5</v>
      </c>
      <c r="SW7" s="86">
        <v>86.5</v>
      </c>
      <c r="SX7" s="86">
        <v>86.5</v>
      </c>
      <c r="SY7" s="86">
        <v>86.5</v>
      </c>
      <c r="SZ7" s="86">
        <v>86.5</v>
      </c>
      <c r="TA7" s="86">
        <v>86.5</v>
      </c>
      <c r="TB7" s="86">
        <v>86.5</v>
      </c>
      <c r="TC7" s="86">
        <v>86.5</v>
      </c>
      <c r="TD7" s="86">
        <v>86.5</v>
      </c>
      <c r="TE7" s="86">
        <v>86.5</v>
      </c>
      <c r="TF7" s="86">
        <v>86.5</v>
      </c>
      <c r="TG7" s="86">
        <v>86.5</v>
      </c>
      <c r="TH7" s="86">
        <v>86.5</v>
      </c>
      <c r="TI7" s="86">
        <v>86.5</v>
      </c>
      <c r="TJ7" s="86">
        <v>86.5</v>
      </c>
      <c r="TK7" s="86">
        <v>86.5</v>
      </c>
      <c r="TL7" s="86">
        <v>86.5</v>
      </c>
      <c r="TM7" s="86">
        <v>86.5</v>
      </c>
      <c r="TN7" s="86">
        <v>86.5</v>
      </c>
      <c r="TO7" s="86">
        <v>86.5</v>
      </c>
      <c r="TP7" s="86">
        <v>86.5</v>
      </c>
      <c r="TQ7" s="86">
        <v>86.5</v>
      </c>
      <c r="TR7" s="86">
        <v>86.5</v>
      </c>
      <c r="TS7" s="86">
        <v>100</v>
      </c>
      <c r="TT7" s="86">
        <v>86.5</v>
      </c>
      <c r="TU7" s="86">
        <v>86.5</v>
      </c>
      <c r="TV7" s="86">
        <v>86.5</v>
      </c>
      <c r="UO7" s="86">
        <v>86.5</v>
      </c>
      <c r="UP7" s="86">
        <v>86.5</v>
      </c>
      <c r="UQ7" s="86">
        <v>86.5</v>
      </c>
      <c r="UR7" s="86">
        <v>86.5</v>
      </c>
      <c r="US7" s="86">
        <v>86.5</v>
      </c>
      <c r="UT7" s="86">
        <v>86.5</v>
      </c>
      <c r="UU7" s="86">
        <v>100</v>
      </c>
      <c r="UV7" s="86">
        <v>86.5</v>
      </c>
      <c r="UW7" s="86">
        <v>100</v>
      </c>
      <c r="UX7" s="86">
        <v>100</v>
      </c>
      <c r="UY7" s="86">
        <v>100</v>
      </c>
      <c r="UZ7" s="86">
        <v>100</v>
      </c>
      <c r="VA7" s="86">
        <v>100</v>
      </c>
      <c r="VB7" s="86">
        <v>86.5</v>
      </c>
      <c r="VC7" s="86">
        <v>86.5</v>
      </c>
      <c r="VD7" s="86">
        <v>86.5</v>
      </c>
      <c r="VE7" s="86">
        <v>86.5</v>
      </c>
      <c r="VF7" s="86">
        <v>86.5</v>
      </c>
      <c r="VG7" s="86">
        <v>86.5</v>
      </c>
      <c r="VH7" s="86">
        <v>86.5</v>
      </c>
      <c r="VI7" s="86">
        <v>86.5</v>
      </c>
      <c r="VJ7" s="86">
        <v>86.5</v>
      </c>
      <c r="VK7" s="86">
        <v>86.5</v>
      </c>
      <c r="VL7" s="86">
        <v>86.5</v>
      </c>
      <c r="VM7" s="86">
        <v>86.5</v>
      </c>
      <c r="VN7" s="86">
        <v>86.5</v>
      </c>
      <c r="VO7" s="86">
        <v>86.5</v>
      </c>
      <c r="VP7" s="86">
        <v>86.5</v>
      </c>
      <c r="VQ7" s="86">
        <v>86.5</v>
      </c>
      <c r="VR7" s="86">
        <v>86.5</v>
      </c>
      <c r="VS7" s="86">
        <v>86.5</v>
      </c>
      <c r="VT7" s="86">
        <v>86.5</v>
      </c>
      <c r="VU7" s="86">
        <v>86.5</v>
      </c>
      <c r="VV7" s="86">
        <v>86.5</v>
      </c>
      <c r="VW7" s="86">
        <v>86.5</v>
      </c>
      <c r="VX7" s="86">
        <v>86.5</v>
      </c>
      <c r="VY7" s="86">
        <v>86.5</v>
      </c>
      <c r="VZ7" s="86">
        <v>86.5</v>
      </c>
      <c r="WA7" s="86">
        <v>86.5</v>
      </c>
      <c r="WB7" s="86">
        <v>86.5</v>
      </c>
      <c r="WC7" s="86">
        <v>86.5</v>
      </c>
      <c r="WD7" s="86">
        <v>86.5</v>
      </c>
      <c r="WE7" s="86">
        <v>86.5</v>
      </c>
      <c r="WF7" s="86">
        <v>86.5</v>
      </c>
      <c r="WG7" s="86">
        <v>86.5</v>
      </c>
      <c r="WH7" s="86">
        <v>86.5</v>
      </c>
      <c r="WI7" s="86">
        <v>86.5</v>
      </c>
      <c r="WJ7" s="86">
        <v>86.5</v>
      </c>
      <c r="WK7" s="86">
        <v>86.5</v>
      </c>
      <c r="WL7" s="86">
        <v>86.5</v>
      </c>
      <c r="WM7" s="86">
        <v>86.5</v>
      </c>
      <c r="WN7" s="86">
        <v>86.5</v>
      </c>
      <c r="WO7" s="86">
        <v>86.5</v>
      </c>
      <c r="WP7" s="86">
        <v>86.5</v>
      </c>
      <c r="WQ7" s="86">
        <v>86.5</v>
      </c>
      <c r="WR7" s="86">
        <v>86.5</v>
      </c>
      <c r="WS7" s="86">
        <v>86.5</v>
      </c>
      <c r="WT7" s="86">
        <v>100</v>
      </c>
      <c r="WU7" s="86">
        <v>86.5</v>
      </c>
      <c r="WV7" s="86">
        <v>86.5</v>
      </c>
      <c r="WW7" s="86">
        <v>86.5</v>
      </c>
      <c r="XQ7" s="86">
        <v>86.5</v>
      </c>
      <c r="XR7" s="86">
        <v>86.5</v>
      </c>
      <c r="XS7" s="86">
        <v>86.5</v>
      </c>
      <c r="XT7" s="86">
        <v>86.5</v>
      </c>
      <c r="XU7" s="86">
        <v>86.5</v>
      </c>
      <c r="XV7" s="86">
        <v>86.5</v>
      </c>
      <c r="XW7" s="86">
        <v>100</v>
      </c>
      <c r="XX7" s="86">
        <v>86.5</v>
      </c>
      <c r="XY7" s="86">
        <v>100</v>
      </c>
      <c r="XZ7" s="86">
        <v>100</v>
      </c>
      <c r="YA7" s="86">
        <v>100</v>
      </c>
      <c r="YB7" s="86">
        <v>100</v>
      </c>
      <c r="YC7" s="86">
        <v>100</v>
      </c>
      <c r="YD7" s="86">
        <v>86.5</v>
      </c>
      <c r="YE7" s="86">
        <v>86.5</v>
      </c>
      <c r="YF7" s="86">
        <v>86.5</v>
      </c>
      <c r="YG7" s="86">
        <v>86.5</v>
      </c>
      <c r="YH7" s="86">
        <v>86.5</v>
      </c>
      <c r="YI7" s="86">
        <v>86.5</v>
      </c>
      <c r="YJ7" s="86">
        <v>86.5</v>
      </c>
      <c r="YK7" s="86">
        <v>86.5</v>
      </c>
      <c r="YL7" s="86">
        <v>86.5</v>
      </c>
      <c r="YM7" s="86">
        <v>86.5</v>
      </c>
      <c r="YN7" s="86">
        <v>86.5</v>
      </c>
      <c r="YO7" s="86">
        <v>86.5</v>
      </c>
      <c r="YP7" s="86">
        <v>86.5</v>
      </c>
      <c r="YQ7" s="86">
        <v>86.5</v>
      </c>
      <c r="YR7" s="86">
        <v>86.5</v>
      </c>
      <c r="YS7" s="86">
        <v>86.5</v>
      </c>
      <c r="YT7" s="86">
        <v>86.5</v>
      </c>
      <c r="YU7" s="86">
        <v>86.5</v>
      </c>
      <c r="YV7" s="86">
        <v>86.5</v>
      </c>
      <c r="YW7" s="86">
        <v>86.5</v>
      </c>
      <c r="YX7" s="86">
        <v>86.5</v>
      </c>
      <c r="YY7" s="86">
        <v>86.5</v>
      </c>
      <c r="YZ7" s="86">
        <v>86.5</v>
      </c>
      <c r="ZA7" s="86">
        <v>86.5</v>
      </c>
      <c r="ZB7" s="86">
        <v>86.5</v>
      </c>
      <c r="ZC7" s="86">
        <v>86.5</v>
      </c>
      <c r="ZD7" s="86">
        <v>86.5</v>
      </c>
      <c r="ZE7" s="86">
        <v>86.5</v>
      </c>
      <c r="ZF7" s="86">
        <v>86.5</v>
      </c>
      <c r="ZG7" s="86">
        <v>86.5</v>
      </c>
      <c r="ZH7" s="86">
        <v>86.5</v>
      </c>
      <c r="ZI7" s="86">
        <v>86.5</v>
      </c>
      <c r="ZJ7" s="86">
        <v>86.5</v>
      </c>
      <c r="ZK7" s="86">
        <v>86.5</v>
      </c>
      <c r="ZL7" s="86">
        <v>86.5</v>
      </c>
      <c r="ZM7" s="86">
        <v>86.5</v>
      </c>
      <c r="ZN7" s="86">
        <v>86.5</v>
      </c>
      <c r="ZO7" s="86">
        <v>86.5</v>
      </c>
      <c r="ZP7" s="86">
        <v>86.5</v>
      </c>
      <c r="ZQ7" s="86">
        <v>86.5</v>
      </c>
      <c r="ZR7" s="86">
        <v>86.5</v>
      </c>
      <c r="ZS7" s="86">
        <v>86.5</v>
      </c>
      <c r="ZT7" s="86">
        <v>100</v>
      </c>
      <c r="ZU7" s="86">
        <v>86.5</v>
      </c>
      <c r="ZV7" s="86">
        <v>86.5</v>
      </c>
      <c r="ZW7" s="86">
        <v>86.5</v>
      </c>
      <c r="AAS7" s="86">
        <v>86.5</v>
      </c>
      <c r="AAT7" s="86">
        <v>86.5</v>
      </c>
      <c r="AAU7" s="86">
        <v>86.5</v>
      </c>
      <c r="AAV7" s="86">
        <v>86.5</v>
      </c>
      <c r="AAW7" s="86">
        <v>86.5</v>
      </c>
      <c r="AAX7" s="86">
        <v>86.5</v>
      </c>
      <c r="AAY7" s="86">
        <v>100</v>
      </c>
      <c r="AAZ7" s="86">
        <v>86.5</v>
      </c>
      <c r="ABA7" s="86">
        <v>100</v>
      </c>
      <c r="ABB7" s="86">
        <v>100</v>
      </c>
      <c r="ABC7" s="86">
        <v>100</v>
      </c>
      <c r="ABD7" s="86">
        <v>100</v>
      </c>
      <c r="ABE7" s="86">
        <v>100</v>
      </c>
      <c r="ABF7" s="86">
        <v>86.5</v>
      </c>
      <c r="ABG7" s="86">
        <v>86.5</v>
      </c>
      <c r="ABH7" s="86">
        <v>86.5</v>
      </c>
      <c r="ABI7" s="86">
        <v>86.5</v>
      </c>
      <c r="ABJ7" s="86">
        <v>86.5</v>
      </c>
      <c r="ABK7" s="86">
        <v>86.5</v>
      </c>
      <c r="ABL7" s="86">
        <v>86.5</v>
      </c>
      <c r="ABM7" s="86">
        <v>86.5</v>
      </c>
      <c r="ABN7" s="86">
        <v>86.5</v>
      </c>
      <c r="ABO7" s="86">
        <v>86.5</v>
      </c>
      <c r="ABP7" s="86">
        <v>86.5</v>
      </c>
      <c r="ABQ7" s="86">
        <v>86.5</v>
      </c>
      <c r="ABR7" s="86">
        <v>86.5</v>
      </c>
      <c r="ABS7" s="86">
        <v>86.5</v>
      </c>
      <c r="ABT7" s="86">
        <v>86.5</v>
      </c>
      <c r="ABU7" s="86">
        <v>86.5</v>
      </c>
      <c r="ABV7" s="86">
        <v>86.5</v>
      </c>
      <c r="ABW7" s="86">
        <v>86.5</v>
      </c>
      <c r="ABX7" s="86">
        <v>86.5</v>
      </c>
      <c r="ABY7" s="86">
        <v>86.5</v>
      </c>
      <c r="ABZ7" s="86">
        <v>86.5</v>
      </c>
      <c r="ACA7" s="86">
        <v>86.5</v>
      </c>
      <c r="ACB7" s="86">
        <v>86.5</v>
      </c>
      <c r="ACC7" s="86">
        <v>86.5</v>
      </c>
      <c r="ACD7" s="86">
        <v>86.5</v>
      </c>
      <c r="ACE7" s="86">
        <v>86.5</v>
      </c>
      <c r="ACF7" s="86">
        <v>86.5</v>
      </c>
      <c r="ACG7" s="86">
        <v>86.5</v>
      </c>
      <c r="ACH7" s="86">
        <v>86.5</v>
      </c>
      <c r="ACI7" s="86">
        <v>86.5</v>
      </c>
      <c r="ACJ7" s="86">
        <v>86.5</v>
      </c>
      <c r="ACK7" s="86">
        <v>86.5</v>
      </c>
      <c r="ACL7" s="86">
        <v>86.5</v>
      </c>
      <c r="ACM7" s="86">
        <v>86.5</v>
      </c>
      <c r="ACN7" s="86">
        <v>86.5</v>
      </c>
      <c r="ACO7" s="86">
        <v>86.5</v>
      </c>
      <c r="ACP7" s="86">
        <v>86.5</v>
      </c>
      <c r="ACQ7" s="86">
        <v>86.5</v>
      </c>
      <c r="ACR7" s="86">
        <v>86.5</v>
      </c>
      <c r="ACS7" s="86">
        <v>86.5</v>
      </c>
      <c r="ACT7" s="86">
        <v>86.5</v>
      </c>
      <c r="ACU7" s="86">
        <v>100</v>
      </c>
      <c r="ACV7" s="86">
        <v>86.5</v>
      </c>
      <c r="ACW7" s="86">
        <v>86.5</v>
      </c>
      <c r="ACX7" s="86">
        <v>86.5</v>
      </c>
      <c r="ADU7" s="86">
        <v>86.5</v>
      </c>
      <c r="ADV7" s="86">
        <v>86.5</v>
      </c>
      <c r="ADW7" s="86">
        <v>86.5</v>
      </c>
      <c r="ADX7" s="86">
        <v>86.5</v>
      </c>
      <c r="ADY7" s="86">
        <v>86.5</v>
      </c>
      <c r="ADZ7" s="86">
        <v>100</v>
      </c>
      <c r="AEA7" s="86">
        <v>86.5</v>
      </c>
      <c r="AEB7" s="86">
        <v>100</v>
      </c>
      <c r="AEC7" s="86">
        <v>100</v>
      </c>
      <c r="AED7" s="86">
        <v>100</v>
      </c>
      <c r="AEE7" s="86">
        <v>100</v>
      </c>
      <c r="AEF7" s="86">
        <v>100</v>
      </c>
      <c r="AEG7" s="86">
        <v>86.5</v>
      </c>
      <c r="AEH7" s="86">
        <v>86.5</v>
      </c>
      <c r="AEI7" s="86">
        <v>86.5</v>
      </c>
      <c r="AEJ7" s="86">
        <v>86.5</v>
      </c>
      <c r="AEK7" s="86">
        <v>86.5</v>
      </c>
      <c r="AEL7" s="86">
        <v>86.5</v>
      </c>
      <c r="AEM7" s="86">
        <v>86.5</v>
      </c>
      <c r="AEN7" s="86">
        <v>86.5</v>
      </c>
      <c r="AEO7" s="86">
        <v>86.5</v>
      </c>
      <c r="AEP7" s="86">
        <v>86.5</v>
      </c>
      <c r="AEQ7" s="86">
        <v>86.5</v>
      </c>
      <c r="AER7" s="86">
        <v>86.5</v>
      </c>
      <c r="AES7" s="86">
        <v>86.5</v>
      </c>
      <c r="AET7" s="86">
        <v>86.5</v>
      </c>
      <c r="AEU7" s="86">
        <v>86.5</v>
      </c>
      <c r="AEV7" s="86">
        <v>86.5</v>
      </c>
      <c r="AEW7" s="86">
        <v>86.5</v>
      </c>
      <c r="AEX7" s="86">
        <v>86.5</v>
      </c>
      <c r="AEY7" s="86">
        <v>86.5</v>
      </c>
      <c r="AEZ7" s="86">
        <v>86.5</v>
      </c>
      <c r="AFA7" s="86">
        <v>86.5</v>
      </c>
      <c r="AFB7" s="86">
        <v>86.5</v>
      </c>
      <c r="AFC7" s="86">
        <v>86.5</v>
      </c>
      <c r="AFD7" s="86">
        <v>86.5</v>
      </c>
      <c r="AFE7" s="86">
        <v>86.5</v>
      </c>
      <c r="AFF7" s="86">
        <v>86.5</v>
      </c>
      <c r="AFG7" s="86">
        <v>86.5</v>
      </c>
      <c r="AFH7" s="86">
        <v>86.5</v>
      </c>
      <c r="AFI7" s="86">
        <v>86.5</v>
      </c>
      <c r="AFJ7" s="86">
        <v>86.5</v>
      </c>
      <c r="AFK7" s="86">
        <v>86.5</v>
      </c>
      <c r="AFL7" s="86">
        <v>86.5</v>
      </c>
      <c r="AFM7" s="86">
        <v>86.5</v>
      </c>
      <c r="AFN7" s="86">
        <v>86.5</v>
      </c>
      <c r="AFO7" s="86">
        <v>86.5</v>
      </c>
      <c r="AFP7" s="86">
        <v>86.5</v>
      </c>
      <c r="AFQ7" s="86">
        <v>86.5</v>
      </c>
      <c r="AFR7" s="86">
        <v>86.5</v>
      </c>
      <c r="AFS7" s="86">
        <v>86.5</v>
      </c>
      <c r="AFT7" s="86">
        <v>86.5</v>
      </c>
      <c r="AFU7" s="86">
        <v>86.5</v>
      </c>
      <c r="AFV7" s="86">
        <v>100</v>
      </c>
      <c r="AFW7" s="86">
        <v>86.5</v>
      </c>
      <c r="AFX7" s="86">
        <v>86.5</v>
      </c>
      <c r="AFY7" s="86">
        <v>86.5</v>
      </c>
      <c r="AGW7" s="86">
        <v>86.5</v>
      </c>
      <c r="AGX7" s="86">
        <v>86.5</v>
      </c>
      <c r="AGY7" s="86">
        <v>86.5</v>
      </c>
      <c r="AGZ7" s="86">
        <v>86.5</v>
      </c>
      <c r="AHA7" s="86">
        <v>86.5</v>
      </c>
      <c r="AHB7" s="86">
        <v>100</v>
      </c>
      <c r="AHC7" s="86">
        <v>86.5</v>
      </c>
      <c r="AHD7" s="86">
        <v>100</v>
      </c>
      <c r="AHE7" s="86">
        <v>100</v>
      </c>
      <c r="AHF7" s="86">
        <v>100</v>
      </c>
      <c r="AHG7" s="86">
        <v>100</v>
      </c>
      <c r="AHH7" s="86">
        <v>100</v>
      </c>
      <c r="AHI7" s="86">
        <v>86.5</v>
      </c>
      <c r="AHJ7" s="86">
        <v>86.5</v>
      </c>
      <c r="AHK7" s="86">
        <v>86.5</v>
      </c>
      <c r="AHL7" s="86">
        <v>86.5</v>
      </c>
      <c r="AHM7" s="86">
        <v>86.5</v>
      </c>
      <c r="AHN7" s="86">
        <v>86.5</v>
      </c>
      <c r="AHO7" s="86">
        <v>86.5</v>
      </c>
      <c r="AHP7" s="86">
        <v>86.5</v>
      </c>
      <c r="AHQ7" s="86">
        <v>86.5</v>
      </c>
      <c r="AHR7" s="86">
        <v>86.5</v>
      </c>
      <c r="AHS7" s="86">
        <v>86.5</v>
      </c>
      <c r="AHT7" s="86">
        <v>86.5</v>
      </c>
      <c r="AHU7" s="86">
        <v>86.5</v>
      </c>
      <c r="AHV7" s="86">
        <v>86.5</v>
      </c>
      <c r="AHW7" s="86">
        <v>86.5</v>
      </c>
      <c r="AHX7" s="86">
        <v>86.5</v>
      </c>
      <c r="AHY7" s="86">
        <v>86.5</v>
      </c>
      <c r="AHZ7" s="86">
        <v>86.5</v>
      </c>
      <c r="AIA7" s="86">
        <v>86.5</v>
      </c>
      <c r="AIB7" s="86">
        <v>86.5</v>
      </c>
      <c r="AIC7" s="86">
        <v>86.5</v>
      </c>
      <c r="AID7" s="86">
        <v>86.5</v>
      </c>
      <c r="AIE7" s="86">
        <v>86.5</v>
      </c>
      <c r="AIF7" s="86">
        <v>86.5</v>
      </c>
      <c r="AIG7" s="86">
        <v>86.5</v>
      </c>
      <c r="AIH7" s="86">
        <v>86.5</v>
      </c>
      <c r="AII7" s="86">
        <v>86.5</v>
      </c>
      <c r="AIJ7" s="86">
        <v>86.5</v>
      </c>
      <c r="AIK7" s="86">
        <v>86.5</v>
      </c>
      <c r="AIL7" s="86">
        <v>86.5</v>
      </c>
      <c r="AIM7" s="86">
        <v>86.5</v>
      </c>
      <c r="AIN7" s="86">
        <v>86.5</v>
      </c>
      <c r="AIO7" s="86">
        <v>86.5</v>
      </c>
      <c r="AIP7" s="86">
        <v>86.5</v>
      </c>
      <c r="AIQ7" s="86">
        <v>86.5</v>
      </c>
      <c r="AIR7" s="86">
        <v>86.5</v>
      </c>
      <c r="AIS7" s="86">
        <v>86.5</v>
      </c>
      <c r="AIT7" s="86">
        <v>86.5</v>
      </c>
      <c r="AIU7" s="86">
        <v>86.5</v>
      </c>
      <c r="AIV7" s="86">
        <v>86.5</v>
      </c>
      <c r="AIW7" s="86">
        <v>86.5</v>
      </c>
      <c r="AIX7" s="86">
        <v>100</v>
      </c>
      <c r="AIY7" s="86">
        <v>86.5</v>
      </c>
      <c r="AIZ7" s="86">
        <v>86.5</v>
      </c>
      <c r="AJY7" t="s">
        <v>8</v>
      </c>
    </row>
    <row r="8" spans="1:961">
      <c r="A8" s="86">
        <v>69.2</v>
      </c>
      <c r="B8" s="86">
        <v>69.2</v>
      </c>
      <c r="C8" s="86">
        <v>69.2</v>
      </c>
      <c r="D8" s="86">
        <v>69.2</v>
      </c>
      <c r="E8" s="86">
        <v>69.2</v>
      </c>
      <c r="F8" s="86">
        <v>69.2</v>
      </c>
      <c r="G8" s="86">
        <v>86.5</v>
      </c>
      <c r="H8" s="86">
        <v>86.5</v>
      </c>
      <c r="I8" s="86">
        <v>86.5</v>
      </c>
      <c r="J8" s="86">
        <v>86.5</v>
      </c>
      <c r="K8" s="86">
        <v>69.2</v>
      </c>
      <c r="L8" s="86">
        <v>69.2</v>
      </c>
      <c r="M8" s="86">
        <v>69.2</v>
      </c>
      <c r="N8" s="86">
        <v>69.2</v>
      </c>
      <c r="O8" s="86">
        <v>69.2</v>
      </c>
      <c r="P8" s="86">
        <v>69.2</v>
      </c>
      <c r="Q8" s="86">
        <v>69.2</v>
      </c>
      <c r="R8" s="86">
        <v>69.2</v>
      </c>
      <c r="S8" s="86">
        <v>86.5</v>
      </c>
      <c r="T8" s="86">
        <v>69.2</v>
      </c>
      <c r="U8" s="86">
        <v>69.2</v>
      </c>
      <c r="V8" s="86">
        <v>69.2</v>
      </c>
      <c r="W8" s="86">
        <v>69.2</v>
      </c>
      <c r="X8" s="86">
        <v>69.2</v>
      </c>
      <c r="Y8" s="86">
        <v>69.2</v>
      </c>
      <c r="Z8" s="86">
        <v>69.2</v>
      </c>
      <c r="AA8" s="86">
        <v>69.2</v>
      </c>
      <c r="AB8" s="86">
        <v>69.2</v>
      </c>
      <c r="AC8" s="86">
        <v>69.2</v>
      </c>
      <c r="AD8" s="86">
        <v>69.2</v>
      </c>
      <c r="AE8" s="86">
        <v>69.2</v>
      </c>
      <c r="AF8" s="86">
        <v>69.2</v>
      </c>
      <c r="AG8" s="86">
        <v>86.5</v>
      </c>
      <c r="AH8" s="86">
        <v>69.2</v>
      </c>
      <c r="AI8" s="86">
        <v>69.2</v>
      </c>
      <c r="AJ8" s="86">
        <v>69.2</v>
      </c>
      <c r="AK8" s="86">
        <v>69.2</v>
      </c>
      <c r="AL8" s="86">
        <v>69.2</v>
      </c>
      <c r="AM8" s="86">
        <v>69.2</v>
      </c>
      <c r="AN8" s="86">
        <v>69.2</v>
      </c>
      <c r="AO8" s="86">
        <v>69.2</v>
      </c>
      <c r="AP8" s="86">
        <v>69.2</v>
      </c>
      <c r="AQ8" s="86">
        <v>69.2</v>
      </c>
      <c r="AR8" s="86">
        <v>69.2</v>
      </c>
      <c r="AS8" s="86">
        <v>69.2</v>
      </c>
      <c r="AT8" s="86">
        <v>69.2</v>
      </c>
      <c r="AU8" s="86">
        <v>69.2</v>
      </c>
      <c r="AV8" s="86">
        <v>69.2</v>
      </c>
      <c r="AW8" s="86">
        <v>69.2</v>
      </c>
      <c r="AX8" s="86">
        <v>69.2</v>
      </c>
      <c r="AY8" s="86">
        <v>69.2</v>
      </c>
      <c r="AZ8" s="86">
        <v>69.2</v>
      </c>
      <c r="CC8" s="86">
        <v>69.2</v>
      </c>
      <c r="CD8" s="86">
        <v>69.2</v>
      </c>
      <c r="CE8" s="86">
        <v>69.2</v>
      </c>
      <c r="CF8" s="86">
        <v>69.2</v>
      </c>
      <c r="CG8" s="86">
        <v>69.2</v>
      </c>
      <c r="CH8" s="86">
        <v>86.5</v>
      </c>
      <c r="CI8" s="86">
        <v>69.2</v>
      </c>
      <c r="CJ8" s="86">
        <v>86.5</v>
      </c>
      <c r="CK8" s="86">
        <v>86.5</v>
      </c>
      <c r="CL8" s="86">
        <v>86.5</v>
      </c>
      <c r="CM8" s="86">
        <v>86.5</v>
      </c>
      <c r="CN8" s="86">
        <v>86.5</v>
      </c>
      <c r="CO8" s="86">
        <v>69.2</v>
      </c>
      <c r="CP8" s="86">
        <v>69.2</v>
      </c>
      <c r="CQ8" s="86">
        <v>69.2</v>
      </c>
      <c r="CR8" s="86">
        <v>69.2</v>
      </c>
      <c r="CS8" s="86">
        <v>69.2</v>
      </c>
      <c r="CT8" s="86">
        <v>69.2</v>
      </c>
      <c r="CU8" s="86">
        <v>69.2</v>
      </c>
      <c r="CV8" s="86">
        <v>69.2</v>
      </c>
      <c r="CW8" s="86">
        <v>69.2</v>
      </c>
      <c r="CX8" s="86">
        <v>69.2</v>
      </c>
      <c r="CY8" s="86">
        <v>69.2</v>
      </c>
      <c r="CZ8" s="86">
        <v>69.2</v>
      </c>
      <c r="DA8" s="86">
        <v>69.2</v>
      </c>
      <c r="DB8" s="86">
        <v>69.2</v>
      </c>
      <c r="DC8" s="86">
        <v>69.2</v>
      </c>
      <c r="DD8" s="86">
        <v>69.2</v>
      </c>
      <c r="DE8" s="86">
        <v>69.2</v>
      </c>
      <c r="DF8" s="86">
        <v>69.2</v>
      </c>
      <c r="DG8" s="86">
        <v>69.2</v>
      </c>
      <c r="DH8" s="86">
        <v>69.2</v>
      </c>
      <c r="DI8" s="86">
        <v>69.2</v>
      </c>
      <c r="DJ8" s="86">
        <v>69.2</v>
      </c>
      <c r="DK8" s="86">
        <v>69.2</v>
      </c>
      <c r="DL8" s="86">
        <v>69.2</v>
      </c>
      <c r="DM8" s="86">
        <v>69.2</v>
      </c>
      <c r="DN8" s="86">
        <v>69.2</v>
      </c>
      <c r="DO8" s="86">
        <v>69.2</v>
      </c>
      <c r="DP8" s="86">
        <v>69.2</v>
      </c>
      <c r="DQ8" s="86">
        <v>69.2</v>
      </c>
      <c r="DR8" s="86">
        <v>69.2</v>
      </c>
      <c r="DS8" s="86">
        <v>69.2</v>
      </c>
      <c r="DT8" s="86">
        <v>69.2</v>
      </c>
      <c r="DU8" s="86">
        <v>69.2</v>
      </c>
      <c r="DV8" s="86">
        <v>69.2</v>
      </c>
      <c r="DW8" s="86">
        <v>69.2</v>
      </c>
      <c r="DX8" s="86">
        <v>69.2</v>
      </c>
      <c r="DY8" s="86">
        <v>69.2</v>
      </c>
      <c r="DZ8" s="86">
        <v>69.2</v>
      </c>
      <c r="EA8" s="86">
        <v>69.2</v>
      </c>
      <c r="EB8" s="86">
        <v>69.2</v>
      </c>
      <c r="EC8" s="86">
        <v>69.2</v>
      </c>
      <c r="ED8" s="86">
        <v>69.2</v>
      </c>
      <c r="EE8" s="86">
        <v>86.5</v>
      </c>
      <c r="EF8" s="86">
        <v>69.2</v>
      </c>
      <c r="EG8" s="86">
        <v>69.2</v>
      </c>
      <c r="EH8" s="86">
        <v>69.2</v>
      </c>
      <c r="EI8" s="86">
        <v>69.2</v>
      </c>
      <c r="FE8" s="86">
        <v>69.2</v>
      </c>
      <c r="FF8" s="86">
        <v>69.2</v>
      </c>
      <c r="FG8" s="86">
        <v>69.2</v>
      </c>
      <c r="FH8" s="86">
        <v>69.2</v>
      </c>
      <c r="FI8" s="86">
        <v>69.2</v>
      </c>
      <c r="FJ8" s="86">
        <v>69.2</v>
      </c>
      <c r="FK8" s="86">
        <v>86.5</v>
      </c>
      <c r="FL8" s="86">
        <v>69.2</v>
      </c>
      <c r="FM8" s="86">
        <v>86.5</v>
      </c>
      <c r="FN8" s="86">
        <v>86.5</v>
      </c>
      <c r="FO8" s="86">
        <v>86.5</v>
      </c>
      <c r="FP8" s="86">
        <v>86.5</v>
      </c>
      <c r="FQ8" s="86">
        <v>86.5</v>
      </c>
      <c r="FR8" s="86">
        <v>69.2</v>
      </c>
      <c r="FS8" s="86">
        <v>69.2</v>
      </c>
      <c r="FT8" s="86">
        <v>69.2</v>
      </c>
      <c r="FU8" s="86">
        <v>69.2</v>
      </c>
      <c r="FV8" s="86">
        <v>69.2</v>
      </c>
      <c r="FW8" s="86">
        <v>69.2</v>
      </c>
      <c r="FX8" s="86">
        <v>69.2</v>
      </c>
      <c r="FY8" s="86">
        <v>69.2</v>
      </c>
      <c r="FZ8" s="86">
        <v>69.2</v>
      </c>
      <c r="GA8" s="86">
        <v>69.2</v>
      </c>
      <c r="GB8" s="86">
        <v>69.2</v>
      </c>
      <c r="GC8" s="86">
        <v>69.2</v>
      </c>
      <c r="GD8" s="86">
        <v>69.2</v>
      </c>
      <c r="GE8" s="86">
        <v>69.2</v>
      </c>
      <c r="GF8" s="86">
        <v>69.2</v>
      </c>
      <c r="GG8" s="86">
        <v>69.2</v>
      </c>
      <c r="GH8" s="86">
        <v>69.2</v>
      </c>
      <c r="GI8" s="86">
        <v>69.2</v>
      </c>
      <c r="GJ8" s="86">
        <v>69.2</v>
      </c>
      <c r="GK8" s="86">
        <v>69.2</v>
      </c>
      <c r="GL8" s="86">
        <v>69.2</v>
      </c>
      <c r="GM8" s="86">
        <v>69.2</v>
      </c>
      <c r="GN8" s="86">
        <v>69.2</v>
      </c>
      <c r="GO8" s="86">
        <v>69.2</v>
      </c>
      <c r="GP8" s="86">
        <v>69.2</v>
      </c>
      <c r="GQ8" s="86">
        <v>69.2</v>
      </c>
      <c r="GR8" s="86">
        <v>69.2</v>
      </c>
      <c r="GS8" s="86">
        <v>69.2</v>
      </c>
      <c r="GT8" s="86">
        <v>69.2</v>
      </c>
      <c r="GU8" s="86">
        <v>69.2</v>
      </c>
      <c r="GV8" s="86">
        <v>69.2</v>
      </c>
      <c r="GW8" s="86">
        <v>69.2</v>
      </c>
      <c r="GX8" s="86">
        <v>69.2</v>
      </c>
      <c r="GY8" s="86">
        <v>69.2</v>
      </c>
      <c r="GZ8" s="86">
        <v>69.2</v>
      </c>
      <c r="HA8" s="86">
        <v>69.2</v>
      </c>
      <c r="HB8" s="86">
        <v>69.2</v>
      </c>
      <c r="HC8" s="86">
        <v>69.2</v>
      </c>
      <c r="HD8" s="86">
        <v>69.2</v>
      </c>
      <c r="HE8" s="86">
        <v>69.2</v>
      </c>
      <c r="HF8" s="86">
        <v>69.2</v>
      </c>
      <c r="HG8" s="86">
        <v>69.2</v>
      </c>
      <c r="HH8" s="86">
        <v>69.2</v>
      </c>
      <c r="HI8" s="86">
        <v>86.5</v>
      </c>
      <c r="HJ8" s="86">
        <v>69.2</v>
      </c>
      <c r="HK8" s="86">
        <v>69.2</v>
      </c>
      <c r="HL8" s="86">
        <v>69.2</v>
      </c>
      <c r="IG8" s="86">
        <v>69.2</v>
      </c>
      <c r="IH8" s="86">
        <v>69.2</v>
      </c>
      <c r="II8" s="86">
        <v>69.2</v>
      </c>
      <c r="IJ8" s="86">
        <v>69.2</v>
      </c>
      <c r="IK8" s="86">
        <v>69.2</v>
      </c>
      <c r="IL8" s="86">
        <v>69.2</v>
      </c>
      <c r="IM8" s="86">
        <v>86.5</v>
      </c>
      <c r="IN8" s="86">
        <v>69.2</v>
      </c>
      <c r="IO8" s="86">
        <v>86.5</v>
      </c>
      <c r="IP8" s="86">
        <v>86.5</v>
      </c>
      <c r="IQ8" s="86">
        <v>86.5</v>
      </c>
      <c r="IR8" s="86">
        <v>86.5</v>
      </c>
      <c r="IS8" s="86">
        <v>86.5</v>
      </c>
      <c r="IT8" s="86">
        <v>69.2</v>
      </c>
      <c r="IU8" s="86">
        <v>69.2</v>
      </c>
      <c r="IV8" s="86">
        <v>69.2</v>
      </c>
      <c r="IW8" s="86">
        <v>69.2</v>
      </c>
      <c r="IX8" s="86">
        <v>69.2</v>
      </c>
      <c r="IY8" s="86">
        <v>86.5</v>
      </c>
      <c r="IZ8" s="86">
        <v>69.2</v>
      </c>
      <c r="JA8" s="86">
        <v>69.2</v>
      </c>
      <c r="JB8" s="86">
        <v>69.2</v>
      </c>
      <c r="JC8" s="86">
        <v>69.2</v>
      </c>
      <c r="JD8" s="86">
        <v>69.2</v>
      </c>
      <c r="JE8" s="86">
        <v>69.2</v>
      </c>
      <c r="JF8" s="86">
        <v>69.2</v>
      </c>
      <c r="JG8" s="86">
        <v>69.2</v>
      </c>
      <c r="JH8" s="86">
        <v>69.2</v>
      </c>
      <c r="JI8" s="86">
        <v>69.2</v>
      </c>
      <c r="JJ8" s="86">
        <v>69.2</v>
      </c>
      <c r="JK8" s="86">
        <v>69.2</v>
      </c>
      <c r="JL8" s="86">
        <v>69.2</v>
      </c>
      <c r="JM8" s="86">
        <v>69.2</v>
      </c>
      <c r="JN8" s="86">
        <v>69.2</v>
      </c>
      <c r="JO8" s="86">
        <v>69.2</v>
      </c>
      <c r="JP8" s="86">
        <v>69.2</v>
      </c>
      <c r="JQ8" s="86">
        <v>69.2</v>
      </c>
      <c r="JR8" s="86">
        <v>69.2</v>
      </c>
      <c r="JS8" s="86">
        <v>69.2</v>
      </c>
      <c r="JT8" s="86">
        <v>69.2</v>
      </c>
      <c r="JU8" s="86">
        <v>69.2</v>
      </c>
      <c r="JV8" s="86">
        <v>69.2</v>
      </c>
      <c r="JW8" s="86">
        <v>69.2</v>
      </c>
      <c r="JX8" s="86">
        <v>69.2</v>
      </c>
      <c r="JY8" s="86">
        <v>69.2</v>
      </c>
      <c r="JZ8" s="86">
        <v>69.2</v>
      </c>
      <c r="KA8" s="86">
        <v>69.2</v>
      </c>
      <c r="KB8" s="86">
        <v>69.2</v>
      </c>
      <c r="KC8" s="86">
        <v>69.2</v>
      </c>
      <c r="KD8" s="86">
        <v>69.2</v>
      </c>
      <c r="KE8" s="86">
        <v>69.2</v>
      </c>
      <c r="KF8" s="86">
        <v>69.2</v>
      </c>
      <c r="KG8" s="86">
        <v>69.2</v>
      </c>
      <c r="KH8" s="86">
        <v>69.2</v>
      </c>
      <c r="KI8" s="86">
        <v>69.2</v>
      </c>
      <c r="KJ8" s="86">
        <v>69.2</v>
      </c>
      <c r="KK8" s="86">
        <v>86.5</v>
      </c>
      <c r="KL8" s="86">
        <v>69.2</v>
      </c>
      <c r="KM8" s="86">
        <v>69.2</v>
      </c>
      <c r="KN8" s="86">
        <v>69.2</v>
      </c>
      <c r="LI8" s="86">
        <v>69.2</v>
      </c>
      <c r="LJ8" s="86">
        <v>86.5</v>
      </c>
      <c r="LK8" s="86">
        <v>69.2</v>
      </c>
      <c r="LL8" s="86">
        <v>69.2</v>
      </c>
      <c r="LM8" s="86">
        <v>69.2</v>
      </c>
      <c r="LN8" s="86">
        <v>69.2</v>
      </c>
      <c r="LO8" s="86">
        <v>86.5</v>
      </c>
      <c r="LP8" s="86">
        <v>69.2</v>
      </c>
      <c r="LQ8" s="86">
        <v>86.5</v>
      </c>
      <c r="LR8" s="86">
        <v>86.5</v>
      </c>
      <c r="LS8" s="86">
        <v>86.5</v>
      </c>
      <c r="LT8" s="86">
        <v>86.5</v>
      </c>
      <c r="LU8" s="86">
        <v>86.5</v>
      </c>
      <c r="LV8" s="86">
        <v>69.2</v>
      </c>
      <c r="LW8" s="86">
        <v>69.2</v>
      </c>
      <c r="LX8" s="86">
        <v>69.2</v>
      </c>
      <c r="LY8" s="86">
        <v>69.2</v>
      </c>
      <c r="LZ8" s="86">
        <v>69.2</v>
      </c>
      <c r="MA8" s="86">
        <v>69.2</v>
      </c>
      <c r="MB8" s="86">
        <v>69.2</v>
      </c>
      <c r="MC8" s="86">
        <v>69.2</v>
      </c>
      <c r="MD8" s="86">
        <v>69.2</v>
      </c>
      <c r="ME8" s="86">
        <v>69.2</v>
      </c>
      <c r="MF8" s="86">
        <v>69.2</v>
      </c>
      <c r="MG8" s="86">
        <v>69.2</v>
      </c>
      <c r="MH8" s="86">
        <v>69.2</v>
      </c>
      <c r="MI8" s="86">
        <v>69.2</v>
      </c>
      <c r="MJ8" s="86">
        <v>69.2</v>
      </c>
      <c r="MK8" s="86">
        <v>69.2</v>
      </c>
      <c r="ML8" s="86">
        <v>69.2</v>
      </c>
      <c r="MM8" s="86">
        <v>69.2</v>
      </c>
      <c r="MN8" s="86">
        <v>69.2</v>
      </c>
      <c r="MO8" s="86">
        <v>69.2</v>
      </c>
      <c r="MP8" s="86">
        <v>69.2</v>
      </c>
      <c r="MQ8" s="86">
        <v>69.2</v>
      </c>
      <c r="MR8" s="86">
        <v>69.2</v>
      </c>
      <c r="MS8" s="86">
        <v>69.2</v>
      </c>
      <c r="MT8" s="86">
        <v>69.2</v>
      </c>
      <c r="MU8" s="86">
        <v>69.2</v>
      </c>
      <c r="MV8" s="86">
        <v>69.2</v>
      </c>
      <c r="MW8" s="86">
        <v>69.2</v>
      </c>
      <c r="MX8" s="86">
        <v>69.2</v>
      </c>
      <c r="MY8" s="86">
        <v>69.2</v>
      </c>
      <c r="MZ8" s="86">
        <v>69.2</v>
      </c>
      <c r="NA8" s="86">
        <v>69.2</v>
      </c>
      <c r="NB8" s="86">
        <v>69.2</v>
      </c>
      <c r="NC8" s="86">
        <v>69.2</v>
      </c>
      <c r="ND8" s="86">
        <v>69.2</v>
      </c>
      <c r="NE8" s="86">
        <v>69.2</v>
      </c>
      <c r="NF8" s="86">
        <v>69.2</v>
      </c>
      <c r="NG8" s="86">
        <v>69.2</v>
      </c>
      <c r="NH8" s="86">
        <v>69.2</v>
      </c>
      <c r="NI8" s="86">
        <v>69.2</v>
      </c>
      <c r="NJ8" s="86">
        <v>69.2</v>
      </c>
      <c r="NK8" s="86">
        <v>69.2</v>
      </c>
      <c r="NL8" s="86">
        <v>69.2</v>
      </c>
      <c r="NM8" s="86">
        <v>69.2</v>
      </c>
      <c r="NN8" s="86">
        <v>69.2</v>
      </c>
      <c r="NO8" s="86">
        <v>86.5</v>
      </c>
      <c r="NP8" s="86">
        <v>69.2</v>
      </c>
      <c r="NQ8" s="86">
        <v>69.2</v>
      </c>
      <c r="NR8" s="86">
        <v>69.2</v>
      </c>
      <c r="OK8" s="86">
        <v>69.2</v>
      </c>
      <c r="OL8" s="86">
        <v>69.2</v>
      </c>
      <c r="OM8" s="86">
        <v>69.2</v>
      </c>
      <c r="ON8" s="86">
        <v>69.2</v>
      </c>
      <c r="OO8" s="86">
        <v>69.2</v>
      </c>
      <c r="OP8" s="86">
        <v>69.2</v>
      </c>
      <c r="OQ8" s="86">
        <v>69.2</v>
      </c>
      <c r="OR8" s="86">
        <v>69.2</v>
      </c>
      <c r="OS8" s="86">
        <v>86.5</v>
      </c>
      <c r="OT8" s="86">
        <v>86.5</v>
      </c>
      <c r="OU8" s="86">
        <v>86.5</v>
      </c>
      <c r="OV8" s="86">
        <v>86.5</v>
      </c>
      <c r="OW8" s="86">
        <v>86.5</v>
      </c>
      <c r="OX8" s="86">
        <v>69.2</v>
      </c>
      <c r="OY8" s="86">
        <v>69.2</v>
      </c>
      <c r="OZ8" s="86">
        <v>69.2</v>
      </c>
      <c r="PA8" s="86">
        <v>69.2</v>
      </c>
      <c r="PB8" s="86">
        <v>69.2</v>
      </c>
      <c r="PC8" s="86">
        <v>69.2</v>
      </c>
      <c r="PD8" s="86">
        <v>69.2</v>
      </c>
      <c r="PE8" s="86">
        <v>69.2</v>
      </c>
      <c r="PF8" s="86">
        <v>69.2</v>
      </c>
      <c r="PG8" s="86">
        <v>69.2</v>
      </c>
      <c r="PH8" s="86">
        <v>69.2</v>
      </c>
      <c r="PI8" s="86">
        <v>69.2</v>
      </c>
      <c r="PJ8" s="86">
        <v>69.2</v>
      </c>
      <c r="PK8" s="86">
        <v>69.2</v>
      </c>
      <c r="PL8" s="86">
        <v>69.2</v>
      </c>
      <c r="PM8" s="86">
        <v>69.2</v>
      </c>
      <c r="PN8" s="86">
        <v>69.2</v>
      </c>
      <c r="PO8" s="86">
        <v>69.2</v>
      </c>
      <c r="PP8" s="86">
        <v>69.2</v>
      </c>
      <c r="PQ8" s="86">
        <v>69.2</v>
      </c>
      <c r="PR8" s="86">
        <v>69.2</v>
      </c>
      <c r="PS8" s="86">
        <v>69.2</v>
      </c>
      <c r="PT8" s="86">
        <v>69.2</v>
      </c>
      <c r="PU8" s="86">
        <v>69.2</v>
      </c>
      <c r="PV8" s="86">
        <v>69.2</v>
      </c>
      <c r="PW8" s="86">
        <v>69.2</v>
      </c>
      <c r="PX8" s="86">
        <v>69.2</v>
      </c>
      <c r="PY8" s="86">
        <v>69.2</v>
      </c>
      <c r="PZ8" s="86">
        <v>69.2</v>
      </c>
      <c r="QA8" s="86">
        <v>69.2</v>
      </c>
      <c r="QB8" s="86">
        <v>69.2</v>
      </c>
      <c r="QC8" s="86">
        <v>69.2</v>
      </c>
      <c r="QD8" s="86">
        <v>69.2</v>
      </c>
      <c r="QE8" s="86">
        <v>69.2</v>
      </c>
      <c r="QF8" s="86">
        <v>69.2</v>
      </c>
      <c r="QG8" s="86">
        <v>69.2</v>
      </c>
      <c r="QH8" s="86">
        <v>69.2</v>
      </c>
      <c r="QI8" s="86">
        <v>69.2</v>
      </c>
      <c r="QJ8" s="86">
        <v>69.2</v>
      </c>
      <c r="QK8" s="86">
        <v>69.2</v>
      </c>
      <c r="QL8" s="86">
        <v>69.2</v>
      </c>
      <c r="QM8" s="86">
        <v>69.2</v>
      </c>
      <c r="QN8" s="86">
        <v>69.2</v>
      </c>
      <c r="QO8" s="86">
        <v>69.2</v>
      </c>
      <c r="QP8" s="86">
        <v>69.2</v>
      </c>
      <c r="QQ8" s="86">
        <v>86.5</v>
      </c>
      <c r="QR8" s="86">
        <v>69.2</v>
      </c>
      <c r="QS8" s="86">
        <v>69.2</v>
      </c>
      <c r="QT8" s="86">
        <v>69.2</v>
      </c>
      <c r="RM8" s="86">
        <v>69.2</v>
      </c>
      <c r="RN8" s="86">
        <v>69.2</v>
      </c>
      <c r="RO8" s="86">
        <v>69.2</v>
      </c>
      <c r="RP8" s="86">
        <v>69.2</v>
      </c>
      <c r="RQ8" s="86">
        <v>69.2</v>
      </c>
      <c r="RR8" s="86">
        <v>69.2</v>
      </c>
      <c r="RS8" s="86">
        <v>86.5</v>
      </c>
      <c r="RT8" s="86">
        <v>69.2</v>
      </c>
      <c r="RU8" s="86">
        <v>86.5</v>
      </c>
      <c r="RV8" s="86">
        <v>86.5</v>
      </c>
      <c r="RW8" s="86">
        <v>86.5</v>
      </c>
      <c r="RX8" s="86">
        <v>86.5</v>
      </c>
      <c r="RY8" s="86">
        <v>86.5</v>
      </c>
      <c r="RZ8" s="86">
        <v>69.2</v>
      </c>
      <c r="SA8" s="86">
        <v>69.2</v>
      </c>
      <c r="SB8" s="86">
        <v>69.2</v>
      </c>
      <c r="SC8" s="86">
        <v>69.2</v>
      </c>
      <c r="SD8" s="86">
        <v>69.2</v>
      </c>
      <c r="SE8" s="86">
        <v>69.2</v>
      </c>
      <c r="SF8" s="86">
        <v>69.2</v>
      </c>
      <c r="SG8" s="86">
        <v>69.2</v>
      </c>
      <c r="SH8" s="86">
        <v>69.2</v>
      </c>
      <c r="SI8" s="86">
        <v>69.2</v>
      </c>
      <c r="SJ8" s="86">
        <v>69.2</v>
      </c>
      <c r="SK8" s="86">
        <v>69.2</v>
      </c>
      <c r="SL8" s="86">
        <v>69.2</v>
      </c>
      <c r="SM8" s="86">
        <v>69.2</v>
      </c>
      <c r="SN8" s="86">
        <v>69.2</v>
      </c>
      <c r="SO8" s="86">
        <v>69.2</v>
      </c>
      <c r="SP8" s="86">
        <v>69.2</v>
      </c>
      <c r="SQ8" s="86">
        <v>69.2</v>
      </c>
      <c r="SR8" s="86">
        <v>69.2</v>
      </c>
      <c r="SS8" s="86">
        <v>69.2</v>
      </c>
      <c r="ST8" s="86">
        <v>69.2</v>
      </c>
      <c r="SU8" s="86">
        <v>69.2</v>
      </c>
      <c r="SV8" s="86">
        <v>69.2</v>
      </c>
      <c r="SW8" s="86">
        <v>69.2</v>
      </c>
      <c r="SX8" s="86">
        <v>69.2</v>
      </c>
      <c r="SY8" s="86">
        <v>69.2</v>
      </c>
      <c r="SZ8" s="86">
        <v>69.2</v>
      </c>
      <c r="TA8" s="86">
        <v>69.2</v>
      </c>
      <c r="TB8" s="86">
        <v>69.2</v>
      </c>
      <c r="TC8" s="86">
        <v>69.2</v>
      </c>
      <c r="TD8" s="86">
        <v>69.2</v>
      </c>
      <c r="TE8" s="86">
        <v>69.2</v>
      </c>
      <c r="TF8" s="86">
        <v>69.2</v>
      </c>
      <c r="TG8" s="86">
        <v>69.2</v>
      </c>
      <c r="TH8" s="86">
        <v>69.2</v>
      </c>
      <c r="TI8" s="86">
        <v>69.2</v>
      </c>
      <c r="TJ8" s="86">
        <v>69.2</v>
      </c>
      <c r="TK8" s="86">
        <v>69.2</v>
      </c>
      <c r="TL8" s="86">
        <v>69.2</v>
      </c>
      <c r="TM8" s="86">
        <v>69.2</v>
      </c>
      <c r="TN8" s="86">
        <v>69.2</v>
      </c>
      <c r="TO8" s="86">
        <v>69.2</v>
      </c>
      <c r="TP8" s="86">
        <v>69.2</v>
      </c>
      <c r="TQ8" s="86">
        <v>69.2</v>
      </c>
      <c r="TR8" s="86">
        <v>69.2</v>
      </c>
      <c r="TS8" s="86">
        <v>86.5</v>
      </c>
      <c r="TT8" s="86">
        <v>69.2</v>
      </c>
      <c r="TU8" s="86">
        <v>69.2</v>
      </c>
      <c r="TV8" s="86">
        <v>69.2</v>
      </c>
      <c r="UO8" s="86">
        <v>69.2</v>
      </c>
      <c r="UP8" s="86">
        <v>69.2</v>
      </c>
      <c r="UQ8" s="86">
        <v>69.2</v>
      </c>
      <c r="UR8" s="86">
        <v>69.2</v>
      </c>
      <c r="US8" s="86">
        <v>69.2</v>
      </c>
      <c r="UT8" s="86">
        <v>69.2</v>
      </c>
      <c r="UU8" s="86">
        <v>86.5</v>
      </c>
      <c r="UV8" s="86">
        <v>69.2</v>
      </c>
      <c r="UW8" s="86">
        <v>86.5</v>
      </c>
      <c r="UX8" s="86">
        <v>86.5</v>
      </c>
      <c r="UY8" s="86">
        <v>86.5</v>
      </c>
      <c r="UZ8" s="86">
        <v>86.5</v>
      </c>
      <c r="VA8" s="86">
        <v>86.5</v>
      </c>
      <c r="VB8" s="86">
        <v>69.2</v>
      </c>
      <c r="VC8" s="86">
        <v>69.2</v>
      </c>
      <c r="VD8" s="86">
        <v>69.2</v>
      </c>
      <c r="VE8" s="86">
        <v>69.2</v>
      </c>
      <c r="VF8" s="86">
        <v>69.2</v>
      </c>
      <c r="VG8" s="86">
        <v>69.2</v>
      </c>
      <c r="VH8" s="86">
        <v>69.2</v>
      </c>
      <c r="VI8" s="86">
        <v>69.2</v>
      </c>
      <c r="VJ8" s="86">
        <v>69.2</v>
      </c>
      <c r="VK8" s="86">
        <v>69.2</v>
      </c>
      <c r="VL8" s="86">
        <v>69.2</v>
      </c>
      <c r="VM8" s="86">
        <v>69.2</v>
      </c>
      <c r="VN8" s="86">
        <v>69.2</v>
      </c>
      <c r="VO8" s="86">
        <v>69.2</v>
      </c>
      <c r="VP8" s="86">
        <v>69.2</v>
      </c>
      <c r="VQ8" s="86">
        <v>69.2</v>
      </c>
      <c r="VR8" s="86">
        <v>69.2</v>
      </c>
      <c r="VS8" s="86">
        <v>69.2</v>
      </c>
      <c r="VT8" s="86">
        <v>69.2</v>
      </c>
      <c r="VU8" s="86">
        <v>69.2</v>
      </c>
      <c r="VV8" s="86">
        <v>69.2</v>
      </c>
      <c r="VW8" s="86">
        <v>69.2</v>
      </c>
      <c r="VX8" s="86">
        <v>69.2</v>
      </c>
      <c r="VY8" s="86">
        <v>69.2</v>
      </c>
      <c r="VZ8" s="86">
        <v>69.2</v>
      </c>
      <c r="WA8" s="86">
        <v>69.2</v>
      </c>
      <c r="WB8" s="86">
        <v>69.2</v>
      </c>
      <c r="WC8" s="86">
        <v>69.2</v>
      </c>
      <c r="WD8" s="86">
        <v>69.2</v>
      </c>
      <c r="WE8" s="86">
        <v>69.2</v>
      </c>
      <c r="WF8" s="86">
        <v>69.2</v>
      </c>
      <c r="WG8" s="86">
        <v>69.2</v>
      </c>
      <c r="WH8" s="86">
        <v>69.2</v>
      </c>
      <c r="WI8" s="86">
        <v>69.2</v>
      </c>
      <c r="WJ8" s="86">
        <v>69.2</v>
      </c>
      <c r="WK8" s="86">
        <v>69.2</v>
      </c>
      <c r="WL8" s="86">
        <v>69.2</v>
      </c>
      <c r="WM8" s="86">
        <v>69.2</v>
      </c>
      <c r="WN8" s="86">
        <v>69.2</v>
      </c>
      <c r="WO8" s="86">
        <v>69.2</v>
      </c>
      <c r="WP8" s="86">
        <v>69.2</v>
      </c>
      <c r="WQ8" s="86">
        <v>69.2</v>
      </c>
      <c r="WR8" s="86">
        <v>69.2</v>
      </c>
      <c r="WS8" s="86">
        <v>69.2</v>
      </c>
      <c r="WT8" s="86">
        <v>86.5</v>
      </c>
      <c r="WU8" s="86">
        <v>69.2</v>
      </c>
      <c r="WV8" s="86">
        <v>69.2</v>
      </c>
      <c r="WW8" s="86">
        <v>69.2</v>
      </c>
      <c r="XQ8" s="86">
        <v>69.2</v>
      </c>
      <c r="XR8" s="86">
        <v>69.2</v>
      </c>
      <c r="XS8" s="86">
        <v>69.2</v>
      </c>
      <c r="XT8" s="86">
        <v>69.2</v>
      </c>
      <c r="XU8" s="86">
        <v>69.2</v>
      </c>
      <c r="XV8" s="86">
        <v>69.2</v>
      </c>
      <c r="XW8" s="86">
        <v>86.5</v>
      </c>
      <c r="XX8" s="86">
        <v>69.2</v>
      </c>
      <c r="XY8" s="86">
        <v>86.5</v>
      </c>
      <c r="XZ8" s="86">
        <v>86.5</v>
      </c>
      <c r="YA8" s="86">
        <v>86.5</v>
      </c>
      <c r="YB8" s="86">
        <v>86.5</v>
      </c>
      <c r="YC8" s="86">
        <v>86.5</v>
      </c>
      <c r="YD8" s="86">
        <v>69.2</v>
      </c>
      <c r="YE8" s="86">
        <v>69.2</v>
      </c>
      <c r="YF8" s="86">
        <v>69.2</v>
      </c>
      <c r="YG8" s="86">
        <v>69.2</v>
      </c>
      <c r="YH8" s="86">
        <v>69.2</v>
      </c>
      <c r="YI8" s="86">
        <v>69.2</v>
      </c>
      <c r="YJ8" s="86">
        <v>69.2</v>
      </c>
      <c r="YK8" s="86">
        <v>69.2</v>
      </c>
      <c r="YL8" s="86">
        <v>69.2</v>
      </c>
      <c r="YM8" s="86">
        <v>69.2</v>
      </c>
      <c r="YN8" s="86">
        <v>69.2</v>
      </c>
      <c r="YO8" s="86">
        <v>69.2</v>
      </c>
      <c r="YP8" s="86">
        <v>69.2</v>
      </c>
      <c r="YQ8" s="86">
        <v>69.2</v>
      </c>
      <c r="YR8" s="86">
        <v>69.2</v>
      </c>
      <c r="YS8" s="86">
        <v>69.2</v>
      </c>
      <c r="YT8" s="86">
        <v>69.2</v>
      </c>
      <c r="YU8" s="86">
        <v>69.2</v>
      </c>
      <c r="YV8" s="86">
        <v>69.2</v>
      </c>
      <c r="YW8" s="86">
        <v>69.2</v>
      </c>
      <c r="YX8" s="86">
        <v>69.2</v>
      </c>
      <c r="YY8" s="86">
        <v>69.2</v>
      </c>
      <c r="YZ8" s="86">
        <v>69.2</v>
      </c>
      <c r="ZA8" s="86">
        <v>69.2</v>
      </c>
      <c r="ZB8" s="86">
        <v>69.2</v>
      </c>
      <c r="ZC8" s="86">
        <v>69.2</v>
      </c>
      <c r="ZD8" s="86">
        <v>69.2</v>
      </c>
      <c r="ZE8" s="86">
        <v>69.2</v>
      </c>
      <c r="ZF8" s="86">
        <v>69.2</v>
      </c>
      <c r="ZG8" s="86">
        <v>69.2</v>
      </c>
      <c r="ZH8" s="86">
        <v>69.2</v>
      </c>
      <c r="ZI8" s="86">
        <v>69.2</v>
      </c>
      <c r="ZJ8" s="86">
        <v>69.2</v>
      </c>
      <c r="ZK8" s="86">
        <v>69.2</v>
      </c>
      <c r="ZL8" s="86">
        <v>69.2</v>
      </c>
      <c r="ZM8" s="86">
        <v>69.2</v>
      </c>
      <c r="ZN8" s="86">
        <v>69.2</v>
      </c>
      <c r="ZO8" s="86">
        <v>69.2</v>
      </c>
      <c r="ZP8" s="86">
        <v>69.2</v>
      </c>
      <c r="ZQ8" s="86">
        <v>69.2</v>
      </c>
      <c r="ZR8" s="86">
        <v>69.2</v>
      </c>
      <c r="ZS8" s="86">
        <v>69.2</v>
      </c>
      <c r="ZT8" s="86">
        <v>86.5</v>
      </c>
      <c r="ZU8" s="86">
        <v>69.2</v>
      </c>
      <c r="ZV8" s="86">
        <v>69.2</v>
      </c>
      <c r="ZW8" s="86">
        <v>69.2</v>
      </c>
      <c r="AAS8" s="86">
        <v>69.2</v>
      </c>
      <c r="AAT8" s="86">
        <v>69.2</v>
      </c>
      <c r="AAU8" s="86">
        <v>69.2</v>
      </c>
      <c r="AAV8" s="86">
        <v>69.2</v>
      </c>
      <c r="AAW8" s="86">
        <v>69.2</v>
      </c>
      <c r="AAX8" s="86">
        <v>69.2</v>
      </c>
      <c r="AAY8" s="86">
        <v>86.5</v>
      </c>
      <c r="AAZ8" s="86">
        <v>69.2</v>
      </c>
      <c r="ABA8" s="86">
        <v>86.5</v>
      </c>
      <c r="ABB8" s="86">
        <v>86.5</v>
      </c>
      <c r="ABC8" s="86">
        <v>86.5</v>
      </c>
      <c r="ABD8" s="86">
        <v>86.5</v>
      </c>
      <c r="ABE8" s="86">
        <v>86.5</v>
      </c>
      <c r="ABF8" s="86">
        <v>69.2</v>
      </c>
      <c r="ABG8" s="86">
        <v>69.2</v>
      </c>
      <c r="ABH8" s="86">
        <v>69.2</v>
      </c>
      <c r="ABI8" s="86">
        <v>69.2</v>
      </c>
      <c r="ABJ8" s="86">
        <v>69.2</v>
      </c>
      <c r="ABK8" s="86">
        <v>69.2</v>
      </c>
      <c r="ABL8" s="86">
        <v>69.2</v>
      </c>
      <c r="ABM8" s="86">
        <v>69.2</v>
      </c>
      <c r="ABN8" s="86">
        <v>69.2</v>
      </c>
      <c r="ABO8" s="86">
        <v>69.2</v>
      </c>
      <c r="ABP8" s="86">
        <v>69.2</v>
      </c>
      <c r="ABQ8" s="86">
        <v>69.2</v>
      </c>
      <c r="ABR8" s="86">
        <v>69.2</v>
      </c>
      <c r="ABS8" s="86">
        <v>69.2</v>
      </c>
      <c r="ABT8" s="86">
        <v>69.2</v>
      </c>
      <c r="ABU8" s="86">
        <v>69.2</v>
      </c>
      <c r="ABV8" s="86">
        <v>69.2</v>
      </c>
      <c r="ABW8" s="86">
        <v>69.2</v>
      </c>
      <c r="ABX8" s="86">
        <v>69.2</v>
      </c>
      <c r="ABY8" s="86">
        <v>69.2</v>
      </c>
      <c r="ABZ8" s="86">
        <v>69.2</v>
      </c>
      <c r="ACA8" s="86">
        <v>69.2</v>
      </c>
      <c r="ACB8" s="86">
        <v>69.2</v>
      </c>
      <c r="ACC8" s="86">
        <v>69.2</v>
      </c>
      <c r="ACD8" s="86">
        <v>69.2</v>
      </c>
      <c r="ACE8" s="86">
        <v>69.2</v>
      </c>
      <c r="ACF8" s="86">
        <v>69.2</v>
      </c>
      <c r="ACG8" s="86">
        <v>69.2</v>
      </c>
      <c r="ACH8" s="86">
        <v>69.2</v>
      </c>
      <c r="ACI8" s="86">
        <v>69.2</v>
      </c>
      <c r="ACJ8" s="86">
        <v>69.2</v>
      </c>
      <c r="ACK8" s="86">
        <v>69.2</v>
      </c>
      <c r="ACL8" s="86">
        <v>69.2</v>
      </c>
      <c r="ACM8" s="86">
        <v>69.2</v>
      </c>
      <c r="ACN8" s="86">
        <v>69.2</v>
      </c>
      <c r="ACO8" s="86">
        <v>69.2</v>
      </c>
      <c r="ACP8" s="86">
        <v>69.2</v>
      </c>
      <c r="ACQ8" s="86">
        <v>69.2</v>
      </c>
      <c r="ACR8" s="86">
        <v>69.2</v>
      </c>
      <c r="ACS8" s="86">
        <v>69.2</v>
      </c>
      <c r="ACT8" s="86">
        <v>69.2</v>
      </c>
      <c r="ACU8" s="86">
        <v>86.5</v>
      </c>
      <c r="ACV8" s="86">
        <v>69.2</v>
      </c>
      <c r="ACW8" s="86">
        <v>69.2</v>
      </c>
      <c r="ACX8" s="86">
        <v>69.2</v>
      </c>
      <c r="ADU8" s="86">
        <v>69.2</v>
      </c>
      <c r="ADV8" s="86">
        <v>69.2</v>
      </c>
      <c r="ADW8" s="86">
        <v>69.2</v>
      </c>
      <c r="ADX8" s="86">
        <v>69.2</v>
      </c>
      <c r="ADY8" s="86">
        <v>69.2</v>
      </c>
      <c r="ADZ8" s="86">
        <v>86.5</v>
      </c>
      <c r="AEA8" s="86">
        <v>69.2</v>
      </c>
      <c r="AEB8" s="86">
        <v>86.5</v>
      </c>
      <c r="AEC8" s="86">
        <v>86.5</v>
      </c>
      <c r="AED8" s="86">
        <v>86.5</v>
      </c>
      <c r="AEE8" s="86">
        <v>86.5</v>
      </c>
      <c r="AEF8" s="86">
        <v>86.5</v>
      </c>
      <c r="AEG8" s="86">
        <v>69.2</v>
      </c>
      <c r="AEH8" s="86">
        <v>69.2</v>
      </c>
      <c r="AEI8" s="86">
        <v>69.2</v>
      </c>
      <c r="AEJ8" s="86">
        <v>69.2</v>
      </c>
      <c r="AEK8" s="86">
        <v>69.2</v>
      </c>
      <c r="AEL8" s="86">
        <v>69.2</v>
      </c>
      <c r="AEM8" s="86">
        <v>69.2</v>
      </c>
      <c r="AEN8" s="86">
        <v>69.2</v>
      </c>
      <c r="AEO8" s="86">
        <v>69.2</v>
      </c>
      <c r="AEP8" s="86">
        <v>69.2</v>
      </c>
      <c r="AEQ8" s="86">
        <v>69.2</v>
      </c>
      <c r="AER8" s="86">
        <v>69.2</v>
      </c>
      <c r="AES8" s="86">
        <v>69.2</v>
      </c>
      <c r="AET8" s="86">
        <v>69.2</v>
      </c>
      <c r="AEU8" s="86">
        <v>69.2</v>
      </c>
      <c r="AEV8" s="86">
        <v>69.2</v>
      </c>
      <c r="AEW8" s="86">
        <v>69.2</v>
      </c>
      <c r="AEX8" s="86">
        <v>69.2</v>
      </c>
      <c r="AEY8" s="86">
        <v>69.2</v>
      </c>
      <c r="AEZ8" s="86">
        <v>69.2</v>
      </c>
      <c r="AFA8" s="86">
        <v>69.2</v>
      </c>
      <c r="AFB8" s="86">
        <v>69.2</v>
      </c>
      <c r="AFC8" s="86">
        <v>69.2</v>
      </c>
      <c r="AFD8" s="86">
        <v>69.2</v>
      </c>
      <c r="AFE8" s="86">
        <v>69.2</v>
      </c>
      <c r="AFF8" s="86">
        <v>69.2</v>
      </c>
      <c r="AFG8" s="86">
        <v>69.2</v>
      </c>
      <c r="AFH8" s="86">
        <v>69.2</v>
      </c>
      <c r="AFI8" s="86">
        <v>69.2</v>
      </c>
      <c r="AFJ8" s="86">
        <v>69.2</v>
      </c>
      <c r="AFK8" s="86">
        <v>69.2</v>
      </c>
      <c r="AFL8" s="86">
        <v>69.2</v>
      </c>
      <c r="AFM8" s="86">
        <v>69.2</v>
      </c>
      <c r="AFN8" s="86">
        <v>69.2</v>
      </c>
      <c r="AFO8" s="86">
        <v>69.2</v>
      </c>
      <c r="AFP8" s="86">
        <v>69.2</v>
      </c>
      <c r="AFQ8" s="86">
        <v>69.2</v>
      </c>
      <c r="AFR8" s="86">
        <v>69.2</v>
      </c>
      <c r="AFS8" s="86">
        <v>69.2</v>
      </c>
      <c r="AFT8" s="86">
        <v>69.2</v>
      </c>
      <c r="AFU8" s="86">
        <v>69.2</v>
      </c>
      <c r="AFV8" s="86">
        <v>86.5</v>
      </c>
      <c r="AFW8" s="86">
        <v>69.2</v>
      </c>
      <c r="AFX8" s="86">
        <v>69.2</v>
      </c>
      <c r="AFY8" s="86">
        <v>69.2</v>
      </c>
      <c r="AGW8" s="86">
        <v>69.2</v>
      </c>
      <c r="AGX8" s="86">
        <v>69.2</v>
      </c>
      <c r="AGY8" s="86">
        <v>69.2</v>
      </c>
      <c r="AGZ8" s="86">
        <v>69.2</v>
      </c>
      <c r="AHA8" s="86">
        <v>69.2</v>
      </c>
      <c r="AHB8" s="86">
        <v>86.5</v>
      </c>
      <c r="AHC8" s="86">
        <v>69.2</v>
      </c>
      <c r="AHD8" s="86">
        <v>86.5</v>
      </c>
      <c r="AHE8" s="86">
        <v>86.5</v>
      </c>
      <c r="AHF8" s="86">
        <v>86.5</v>
      </c>
      <c r="AHG8" s="86">
        <v>86.5</v>
      </c>
      <c r="AHH8" s="86">
        <v>86.5</v>
      </c>
      <c r="AHI8" s="86">
        <v>69.2</v>
      </c>
      <c r="AHJ8" s="86">
        <v>69.2</v>
      </c>
      <c r="AHK8" s="86">
        <v>69.2</v>
      </c>
      <c r="AHL8" s="86">
        <v>69.2</v>
      </c>
      <c r="AHM8" s="86">
        <v>69.2</v>
      </c>
      <c r="AHN8" s="86">
        <v>69.2</v>
      </c>
      <c r="AHO8" s="86">
        <v>69.2</v>
      </c>
      <c r="AHP8" s="86">
        <v>69.2</v>
      </c>
      <c r="AHQ8" s="86">
        <v>69.2</v>
      </c>
      <c r="AHR8" s="86">
        <v>69.2</v>
      </c>
      <c r="AHS8" s="86">
        <v>69.2</v>
      </c>
      <c r="AHT8" s="86">
        <v>69.2</v>
      </c>
      <c r="AHU8" s="86">
        <v>69.2</v>
      </c>
      <c r="AHV8" s="86">
        <v>69.2</v>
      </c>
      <c r="AHW8" s="86">
        <v>69.2</v>
      </c>
      <c r="AHX8" s="86">
        <v>69.2</v>
      </c>
      <c r="AHY8" s="86">
        <v>69.2</v>
      </c>
      <c r="AHZ8" s="86">
        <v>69.2</v>
      </c>
      <c r="AIA8" s="86">
        <v>69.2</v>
      </c>
      <c r="AIB8" s="86">
        <v>69.2</v>
      </c>
      <c r="AIC8" s="86">
        <v>69.2</v>
      </c>
      <c r="AID8" s="86">
        <v>69.2</v>
      </c>
      <c r="AIE8" s="86">
        <v>69.2</v>
      </c>
      <c r="AIF8" s="86">
        <v>69.2</v>
      </c>
      <c r="AIG8" s="86">
        <v>69.2</v>
      </c>
      <c r="AIH8" s="86">
        <v>69.2</v>
      </c>
      <c r="AII8" s="86">
        <v>69.2</v>
      </c>
      <c r="AIJ8" s="86">
        <v>69.2</v>
      </c>
      <c r="AIK8" s="86">
        <v>69.2</v>
      </c>
      <c r="AIL8" s="86">
        <v>69.2</v>
      </c>
      <c r="AIM8" s="86">
        <v>69.2</v>
      </c>
      <c r="AIN8" s="86">
        <v>69.2</v>
      </c>
      <c r="AIO8" s="86">
        <v>69.2</v>
      </c>
      <c r="AIP8" s="86">
        <v>69.2</v>
      </c>
      <c r="AIQ8" s="86">
        <v>69.2</v>
      </c>
      <c r="AIR8" s="86">
        <v>69.2</v>
      </c>
      <c r="AIS8" s="86">
        <v>69.2</v>
      </c>
      <c r="AIT8" s="86">
        <v>69.2</v>
      </c>
      <c r="AIU8" s="86">
        <v>69.2</v>
      </c>
      <c r="AIV8" s="86">
        <v>69.2</v>
      </c>
      <c r="AIW8" s="86">
        <v>69.2</v>
      </c>
      <c r="AIX8" s="86">
        <v>86.5</v>
      </c>
      <c r="AIY8" s="86">
        <v>69.2</v>
      </c>
      <c r="AIZ8" s="86">
        <v>69.2</v>
      </c>
      <c r="AJY8" t="s">
        <v>9</v>
      </c>
    </row>
    <row r="9" spans="1:961">
      <c r="A9" s="86">
        <v>51.9</v>
      </c>
      <c r="B9" s="86">
        <v>51.9</v>
      </c>
      <c r="C9" s="86">
        <v>51.9</v>
      </c>
      <c r="D9" s="86">
        <v>51.9</v>
      </c>
      <c r="E9" s="86">
        <v>64</v>
      </c>
      <c r="F9" s="86">
        <v>51.9</v>
      </c>
      <c r="G9" s="86">
        <v>69.2</v>
      </c>
      <c r="H9" s="86">
        <v>69.2</v>
      </c>
      <c r="I9" s="86">
        <v>69.2</v>
      </c>
      <c r="J9" s="86">
        <v>69.2</v>
      </c>
      <c r="K9" s="86">
        <v>64</v>
      </c>
      <c r="L9" s="86">
        <v>51.9</v>
      </c>
      <c r="M9" s="86">
        <v>64</v>
      </c>
      <c r="N9" s="86">
        <v>64</v>
      </c>
      <c r="O9" s="86">
        <v>64</v>
      </c>
      <c r="P9" s="86">
        <v>51.9</v>
      </c>
      <c r="Q9" s="86">
        <v>64</v>
      </c>
      <c r="R9" s="86">
        <v>64</v>
      </c>
      <c r="S9" s="86">
        <v>69.2</v>
      </c>
      <c r="T9" s="86">
        <v>51.9</v>
      </c>
      <c r="U9" s="86">
        <v>51.9</v>
      </c>
      <c r="V9" s="86">
        <v>64</v>
      </c>
      <c r="W9" s="86">
        <v>64</v>
      </c>
      <c r="X9" s="86">
        <v>64</v>
      </c>
      <c r="Y9" s="86">
        <v>51.9</v>
      </c>
      <c r="Z9" s="86">
        <v>64</v>
      </c>
      <c r="AA9" s="86">
        <v>64</v>
      </c>
      <c r="AB9" s="86">
        <v>64</v>
      </c>
      <c r="AC9" s="86">
        <v>64</v>
      </c>
      <c r="AD9" s="86">
        <v>64</v>
      </c>
      <c r="AE9" s="86">
        <v>64</v>
      </c>
      <c r="AF9" s="86">
        <v>64</v>
      </c>
      <c r="AG9" s="86">
        <v>69.2</v>
      </c>
      <c r="AH9" s="86">
        <v>64</v>
      </c>
      <c r="AI9" s="86">
        <v>64</v>
      </c>
      <c r="AJ9" s="86">
        <v>64</v>
      </c>
      <c r="AK9" s="86">
        <v>64</v>
      </c>
      <c r="AL9" s="86">
        <v>64</v>
      </c>
      <c r="AM9" s="86">
        <v>64</v>
      </c>
      <c r="AN9" s="86">
        <v>64</v>
      </c>
      <c r="AO9" s="86">
        <v>64</v>
      </c>
      <c r="AP9" s="86">
        <v>64</v>
      </c>
      <c r="AQ9" s="86">
        <v>64</v>
      </c>
      <c r="AR9" s="86">
        <v>64</v>
      </c>
      <c r="AS9" s="86">
        <v>64</v>
      </c>
      <c r="AT9" s="86">
        <v>64</v>
      </c>
      <c r="AU9" s="86">
        <v>64</v>
      </c>
      <c r="AV9" s="86">
        <v>64</v>
      </c>
      <c r="AW9" s="86">
        <v>64</v>
      </c>
      <c r="AX9" s="86">
        <v>64</v>
      </c>
      <c r="AY9" s="86">
        <v>64</v>
      </c>
      <c r="AZ9" s="86">
        <v>64</v>
      </c>
      <c r="CC9" s="86">
        <v>51.9</v>
      </c>
      <c r="CD9" s="86">
        <v>51.9</v>
      </c>
      <c r="CE9" s="86">
        <v>51.9</v>
      </c>
      <c r="CF9" s="86">
        <v>51.9</v>
      </c>
      <c r="CG9" s="86">
        <v>51.9</v>
      </c>
      <c r="CH9" s="86">
        <v>69.2</v>
      </c>
      <c r="CI9" s="86">
        <v>51.9</v>
      </c>
      <c r="CJ9" s="86">
        <v>69.2</v>
      </c>
      <c r="CK9" s="86">
        <v>69.2</v>
      </c>
      <c r="CL9" s="86">
        <v>69.2</v>
      </c>
      <c r="CM9" s="86">
        <v>69.2</v>
      </c>
      <c r="CN9" s="86">
        <v>69.2</v>
      </c>
      <c r="CO9" s="86">
        <v>51.9</v>
      </c>
      <c r="CP9" s="86">
        <v>64</v>
      </c>
      <c r="CQ9" s="86">
        <v>64</v>
      </c>
      <c r="CR9" s="86">
        <v>64</v>
      </c>
      <c r="CS9" s="86">
        <v>51.9</v>
      </c>
      <c r="CT9" s="86">
        <v>64</v>
      </c>
      <c r="CU9" s="86">
        <v>64</v>
      </c>
      <c r="CV9" s="86">
        <v>64</v>
      </c>
      <c r="CW9" s="86">
        <v>51.9</v>
      </c>
      <c r="CX9" s="86">
        <v>51.9</v>
      </c>
      <c r="CY9" s="86">
        <v>64</v>
      </c>
      <c r="CZ9" s="86">
        <v>64</v>
      </c>
      <c r="DA9" s="86">
        <v>64</v>
      </c>
      <c r="DB9" s="86">
        <v>51.9</v>
      </c>
      <c r="DC9" s="86">
        <v>64</v>
      </c>
      <c r="DD9" s="86">
        <v>64</v>
      </c>
      <c r="DE9" s="86">
        <v>64</v>
      </c>
      <c r="DF9" s="86">
        <v>64</v>
      </c>
      <c r="DG9" s="86">
        <v>64</v>
      </c>
      <c r="DH9" s="86">
        <v>64</v>
      </c>
      <c r="DI9" s="86">
        <v>64</v>
      </c>
      <c r="DJ9" s="86">
        <v>64</v>
      </c>
      <c r="DK9" s="86">
        <v>64</v>
      </c>
      <c r="DL9" s="86">
        <v>64</v>
      </c>
      <c r="DM9" s="86">
        <v>64</v>
      </c>
      <c r="DN9" s="86">
        <v>64</v>
      </c>
      <c r="DO9" s="86">
        <v>64</v>
      </c>
      <c r="DP9" s="86">
        <v>64</v>
      </c>
      <c r="DQ9" s="86">
        <v>64</v>
      </c>
      <c r="DR9" s="86">
        <v>64</v>
      </c>
      <c r="DS9" s="86">
        <v>64</v>
      </c>
      <c r="DT9" s="86">
        <v>64</v>
      </c>
      <c r="DU9" s="86">
        <v>64</v>
      </c>
      <c r="DV9" s="86">
        <v>64</v>
      </c>
      <c r="DW9" s="86">
        <v>64</v>
      </c>
      <c r="DX9" s="86">
        <v>64</v>
      </c>
      <c r="DY9" s="86">
        <v>64</v>
      </c>
      <c r="DZ9" s="86">
        <v>64</v>
      </c>
      <c r="EA9" s="86">
        <v>64</v>
      </c>
      <c r="EB9" s="86">
        <v>64</v>
      </c>
      <c r="EC9" s="86">
        <v>64</v>
      </c>
      <c r="ED9" s="86">
        <v>64</v>
      </c>
      <c r="EE9" s="86">
        <v>69.2</v>
      </c>
      <c r="EF9" s="86">
        <v>64</v>
      </c>
      <c r="EG9" s="86">
        <v>64</v>
      </c>
      <c r="EH9" s="86">
        <v>64</v>
      </c>
      <c r="EI9" s="86">
        <v>64</v>
      </c>
      <c r="FE9" s="86">
        <v>64</v>
      </c>
      <c r="FF9" s="86">
        <v>51.9</v>
      </c>
      <c r="FG9" s="86">
        <v>51.9</v>
      </c>
      <c r="FH9" s="86">
        <v>51.9</v>
      </c>
      <c r="FI9" s="86">
        <v>51.9</v>
      </c>
      <c r="FJ9" s="86">
        <v>51.9</v>
      </c>
      <c r="FK9" s="86">
        <v>69.2</v>
      </c>
      <c r="FL9" s="86">
        <v>51.9</v>
      </c>
      <c r="FM9" s="86">
        <v>69.2</v>
      </c>
      <c r="FN9" s="86">
        <v>69.2</v>
      </c>
      <c r="FO9" s="86">
        <v>69.2</v>
      </c>
      <c r="FP9" s="86">
        <v>69.2</v>
      </c>
      <c r="FQ9" s="86">
        <v>69.2</v>
      </c>
      <c r="FR9" s="86">
        <v>51.9</v>
      </c>
      <c r="FS9" s="86">
        <v>64</v>
      </c>
      <c r="FT9" s="86">
        <v>64</v>
      </c>
      <c r="FU9" s="86">
        <v>64</v>
      </c>
      <c r="FV9" s="86">
        <v>51.9</v>
      </c>
      <c r="FW9" s="86">
        <v>64</v>
      </c>
      <c r="FX9" s="86">
        <v>64</v>
      </c>
      <c r="FY9" s="86">
        <v>64</v>
      </c>
      <c r="FZ9" s="86">
        <v>51.9</v>
      </c>
      <c r="GA9" s="86">
        <v>51.9</v>
      </c>
      <c r="GB9" s="86">
        <v>64</v>
      </c>
      <c r="GC9" s="86">
        <v>64</v>
      </c>
      <c r="GD9" s="86">
        <v>64</v>
      </c>
      <c r="GE9" s="86">
        <v>51.9</v>
      </c>
      <c r="GF9" s="86">
        <v>64</v>
      </c>
      <c r="GG9" s="86">
        <v>64</v>
      </c>
      <c r="GH9" s="86">
        <v>64</v>
      </c>
      <c r="GI9" s="86">
        <v>64</v>
      </c>
      <c r="GJ9" s="86">
        <v>64</v>
      </c>
      <c r="GK9" s="86">
        <v>64</v>
      </c>
      <c r="GL9" s="86">
        <v>64</v>
      </c>
      <c r="GM9" s="86">
        <v>64</v>
      </c>
      <c r="GN9" s="86">
        <v>64</v>
      </c>
      <c r="GO9" s="86">
        <v>64</v>
      </c>
      <c r="GP9" s="86">
        <v>64</v>
      </c>
      <c r="GQ9" s="86">
        <v>64</v>
      </c>
      <c r="GR9" s="86">
        <v>64</v>
      </c>
      <c r="GS9" s="86">
        <v>64</v>
      </c>
      <c r="GT9" s="86">
        <v>64</v>
      </c>
      <c r="GU9" s="86">
        <v>64</v>
      </c>
      <c r="GV9" s="86">
        <v>64</v>
      </c>
      <c r="GW9" s="86">
        <v>64</v>
      </c>
      <c r="GX9" s="86">
        <v>64</v>
      </c>
      <c r="GY9" s="86">
        <v>64</v>
      </c>
      <c r="GZ9" s="86">
        <v>64</v>
      </c>
      <c r="HA9" s="86">
        <v>64</v>
      </c>
      <c r="HB9" s="86">
        <v>64</v>
      </c>
      <c r="HC9" s="86">
        <v>64</v>
      </c>
      <c r="HD9" s="86">
        <v>64</v>
      </c>
      <c r="HE9" s="86">
        <v>64</v>
      </c>
      <c r="HF9" s="86">
        <v>64</v>
      </c>
      <c r="HG9" s="86">
        <v>64</v>
      </c>
      <c r="HH9" s="86">
        <v>64</v>
      </c>
      <c r="HI9" s="86">
        <v>69.2</v>
      </c>
      <c r="HJ9" s="86">
        <v>64</v>
      </c>
      <c r="HK9" s="86">
        <v>64</v>
      </c>
      <c r="HL9" s="86">
        <v>64</v>
      </c>
      <c r="IG9" s="86">
        <v>64</v>
      </c>
      <c r="IH9" s="86">
        <v>51.9</v>
      </c>
      <c r="II9" s="86">
        <v>51.9</v>
      </c>
      <c r="IJ9" s="86">
        <v>51.9</v>
      </c>
      <c r="IK9" s="86">
        <v>51.9</v>
      </c>
      <c r="IL9" s="86">
        <v>51.9</v>
      </c>
      <c r="IM9" s="86">
        <v>69.2</v>
      </c>
      <c r="IN9" s="86">
        <v>51.9</v>
      </c>
      <c r="IO9" s="86">
        <v>69.2</v>
      </c>
      <c r="IP9" s="86">
        <v>69.2</v>
      </c>
      <c r="IQ9" s="86">
        <v>69.2</v>
      </c>
      <c r="IR9" s="86">
        <v>69.2</v>
      </c>
      <c r="IS9" s="86">
        <v>69.2</v>
      </c>
      <c r="IT9" s="86">
        <v>51.9</v>
      </c>
      <c r="IU9" s="86">
        <v>64</v>
      </c>
      <c r="IV9" s="86">
        <v>64</v>
      </c>
      <c r="IW9" s="86">
        <v>64</v>
      </c>
      <c r="IX9" s="86">
        <v>51.9</v>
      </c>
      <c r="IY9" s="86">
        <v>69.2</v>
      </c>
      <c r="IZ9" s="86">
        <v>64</v>
      </c>
      <c r="JA9" s="86">
        <v>64</v>
      </c>
      <c r="JB9" s="86">
        <v>51.9</v>
      </c>
      <c r="JC9" s="86">
        <v>51.9</v>
      </c>
      <c r="JD9" s="86">
        <v>64</v>
      </c>
      <c r="JE9" s="86">
        <v>64</v>
      </c>
      <c r="JF9" s="86">
        <v>64</v>
      </c>
      <c r="JG9" s="86">
        <v>51.9</v>
      </c>
      <c r="JH9" s="86">
        <v>64</v>
      </c>
      <c r="JI9" s="86">
        <v>64</v>
      </c>
      <c r="JJ9" s="86">
        <v>64</v>
      </c>
      <c r="JK9" s="86">
        <v>64</v>
      </c>
      <c r="JL9" s="86">
        <v>64</v>
      </c>
      <c r="JM9" s="86">
        <v>64</v>
      </c>
      <c r="JN9" s="86">
        <v>64</v>
      </c>
      <c r="JO9" s="86">
        <v>64</v>
      </c>
      <c r="JP9" s="86">
        <v>64</v>
      </c>
      <c r="JQ9" s="86">
        <v>64</v>
      </c>
      <c r="JR9" s="86">
        <v>64</v>
      </c>
      <c r="JS9" s="86">
        <v>64</v>
      </c>
      <c r="JT9" s="86">
        <v>64</v>
      </c>
      <c r="JU9" s="86">
        <v>64</v>
      </c>
      <c r="JV9" s="86">
        <v>64</v>
      </c>
      <c r="JW9" s="86">
        <v>64</v>
      </c>
      <c r="JX9" s="86">
        <v>64</v>
      </c>
      <c r="JY9" s="86">
        <v>64</v>
      </c>
      <c r="JZ9" s="86">
        <v>64</v>
      </c>
      <c r="KA9" s="86">
        <v>64</v>
      </c>
      <c r="KB9" s="86">
        <v>64</v>
      </c>
      <c r="KC9" s="86">
        <v>64</v>
      </c>
      <c r="KD9" s="86">
        <v>64</v>
      </c>
      <c r="KE9" s="86">
        <v>64</v>
      </c>
      <c r="KF9" s="86">
        <v>64</v>
      </c>
      <c r="KG9" s="86">
        <v>64</v>
      </c>
      <c r="KH9" s="86">
        <v>64</v>
      </c>
      <c r="KI9" s="86">
        <v>64</v>
      </c>
      <c r="KJ9" s="86">
        <v>64</v>
      </c>
      <c r="KK9" s="86">
        <v>69.2</v>
      </c>
      <c r="KL9" s="86">
        <v>64</v>
      </c>
      <c r="KM9" s="86">
        <v>64</v>
      </c>
      <c r="KN9" s="86">
        <v>64</v>
      </c>
      <c r="LI9" s="86">
        <v>51.9</v>
      </c>
      <c r="LJ9" s="86">
        <v>69.2</v>
      </c>
      <c r="LK9" s="86">
        <v>51.9</v>
      </c>
      <c r="LL9" s="86">
        <v>51.9</v>
      </c>
      <c r="LM9" s="86">
        <v>51.9</v>
      </c>
      <c r="LN9" s="86">
        <v>51.9</v>
      </c>
      <c r="LO9" s="86">
        <v>69.2</v>
      </c>
      <c r="LP9" s="86">
        <v>51.9</v>
      </c>
      <c r="LQ9" s="86">
        <v>69.2</v>
      </c>
      <c r="LR9" s="86">
        <v>69.2</v>
      </c>
      <c r="LS9" s="86">
        <v>69.2</v>
      </c>
      <c r="LT9" s="86">
        <v>69.2</v>
      </c>
      <c r="LU9" s="86">
        <v>69.2</v>
      </c>
      <c r="LV9" s="86">
        <v>51.9</v>
      </c>
      <c r="LW9" s="86">
        <v>64</v>
      </c>
      <c r="LX9" s="86">
        <v>64</v>
      </c>
      <c r="LY9" s="86">
        <v>64</v>
      </c>
      <c r="LZ9" s="86">
        <v>51.9</v>
      </c>
      <c r="MA9" s="86">
        <v>64</v>
      </c>
      <c r="MB9" s="86">
        <v>64</v>
      </c>
      <c r="MC9" s="86">
        <v>51.9</v>
      </c>
      <c r="MD9" s="86">
        <v>51.9</v>
      </c>
      <c r="ME9" s="86">
        <v>51.9</v>
      </c>
      <c r="MF9" s="86">
        <v>64</v>
      </c>
      <c r="MG9" s="86">
        <v>64</v>
      </c>
      <c r="MH9" s="86">
        <v>64</v>
      </c>
      <c r="MI9" s="86">
        <v>51.9</v>
      </c>
      <c r="MJ9" s="86">
        <v>64</v>
      </c>
      <c r="MK9" s="86">
        <v>64</v>
      </c>
      <c r="ML9" s="86">
        <v>64</v>
      </c>
      <c r="MM9" s="86">
        <v>64</v>
      </c>
      <c r="MN9" s="86">
        <v>64</v>
      </c>
      <c r="MO9" s="86">
        <v>64</v>
      </c>
      <c r="MP9" s="86">
        <v>64</v>
      </c>
      <c r="MQ9" s="86">
        <v>64</v>
      </c>
      <c r="MR9" s="86">
        <v>64</v>
      </c>
      <c r="MS9" s="86">
        <v>64</v>
      </c>
      <c r="MT9" s="86">
        <v>64</v>
      </c>
      <c r="MU9" s="86">
        <v>64</v>
      </c>
      <c r="MV9" s="86">
        <v>64</v>
      </c>
      <c r="MW9" s="86">
        <v>64</v>
      </c>
      <c r="MX9" s="86">
        <v>64</v>
      </c>
      <c r="MY9" s="86">
        <v>64</v>
      </c>
      <c r="MZ9" s="86">
        <v>64</v>
      </c>
      <c r="NA9" s="86">
        <v>64</v>
      </c>
      <c r="NB9" s="86">
        <v>64</v>
      </c>
      <c r="NC9" s="86">
        <v>64</v>
      </c>
      <c r="ND9" s="86">
        <v>64</v>
      </c>
      <c r="NE9" s="86">
        <v>64</v>
      </c>
      <c r="NF9" s="86">
        <v>64</v>
      </c>
      <c r="NG9" s="86">
        <v>64</v>
      </c>
      <c r="NH9" s="86">
        <v>64</v>
      </c>
      <c r="NI9" s="86">
        <v>64</v>
      </c>
      <c r="NJ9" s="86">
        <v>64</v>
      </c>
      <c r="NK9" s="86">
        <v>64</v>
      </c>
      <c r="NL9" s="86">
        <v>64</v>
      </c>
      <c r="NM9" s="86">
        <v>64</v>
      </c>
      <c r="NN9" s="86">
        <v>64</v>
      </c>
      <c r="NO9" s="86">
        <v>69.2</v>
      </c>
      <c r="NP9" s="86">
        <v>64</v>
      </c>
      <c r="NQ9" s="86">
        <v>64</v>
      </c>
      <c r="NR9" s="86">
        <v>64</v>
      </c>
      <c r="OK9" s="86">
        <v>64</v>
      </c>
      <c r="OL9" s="86">
        <v>51.9</v>
      </c>
      <c r="OM9" s="86">
        <v>51.9</v>
      </c>
      <c r="ON9" s="86">
        <v>51.9</v>
      </c>
      <c r="OO9" s="86">
        <v>51.9</v>
      </c>
      <c r="OP9" s="86">
        <v>51.9</v>
      </c>
      <c r="OQ9" s="86">
        <v>51.9</v>
      </c>
      <c r="OR9" s="86">
        <v>51.9</v>
      </c>
      <c r="OS9" s="86">
        <v>69.2</v>
      </c>
      <c r="OT9" s="86">
        <v>69.2</v>
      </c>
      <c r="OU9" s="86">
        <v>69.2</v>
      </c>
      <c r="OV9" s="86">
        <v>69.2</v>
      </c>
      <c r="OW9" s="86">
        <v>69.2</v>
      </c>
      <c r="OX9" s="86">
        <v>51.9</v>
      </c>
      <c r="OY9" s="86">
        <v>64</v>
      </c>
      <c r="OZ9" s="86">
        <v>64</v>
      </c>
      <c r="PA9" s="86">
        <v>64</v>
      </c>
      <c r="PB9" s="86">
        <v>51.9</v>
      </c>
      <c r="PC9" s="86">
        <v>64</v>
      </c>
      <c r="PD9" s="86">
        <v>64</v>
      </c>
      <c r="PE9" s="86">
        <v>64</v>
      </c>
      <c r="PF9" s="86">
        <v>51.9</v>
      </c>
      <c r="PG9" s="86">
        <v>51.9</v>
      </c>
      <c r="PH9" s="86">
        <v>64</v>
      </c>
      <c r="PI9" s="86">
        <v>64</v>
      </c>
      <c r="PJ9" s="86">
        <v>64</v>
      </c>
      <c r="PK9" s="86">
        <v>51.9</v>
      </c>
      <c r="PL9" s="86">
        <v>64</v>
      </c>
      <c r="PM9" s="86">
        <v>64</v>
      </c>
      <c r="PN9" s="86">
        <v>64</v>
      </c>
      <c r="PO9" s="86">
        <v>64</v>
      </c>
      <c r="PP9" s="86">
        <v>64</v>
      </c>
      <c r="PQ9" s="86">
        <v>64</v>
      </c>
      <c r="PR9" s="86">
        <v>64</v>
      </c>
      <c r="PS9" s="86">
        <v>64</v>
      </c>
      <c r="PT9" s="86">
        <v>64</v>
      </c>
      <c r="PU9" s="86">
        <v>64</v>
      </c>
      <c r="PV9" s="86">
        <v>64</v>
      </c>
      <c r="PW9" s="86">
        <v>64</v>
      </c>
      <c r="PX9" s="86">
        <v>64</v>
      </c>
      <c r="PY9" s="86">
        <v>64</v>
      </c>
      <c r="PZ9" s="86">
        <v>64</v>
      </c>
      <c r="QA9" s="86">
        <v>64</v>
      </c>
      <c r="QB9" s="86">
        <v>64</v>
      </c>
      <c r="QC9" s="86">
        <v>64</v>
      </c>
      <c r="QD9" s="86">
        <v>64</v>
      </c>
      <c r="QE9" s="86">
        <v>64</v>
      </c>
      <c r="QF9" s="86">
        <v>64</v>
      </c>
      <c r="QG9" s="86">
        <v>64</v>
      </c>
      <c r="QH9" s="86">
        <v>64</v>
      </c>
      <c r="QI9" s="86">
        <v>64</v>
      </c>
      <c r="QJ9" s="86">
        <v>64</v>
      </c>
      <c r="QK9" s="86">
        <v>64</v>
      </c>
      <c r="QL9" s="86">
        <v>64</v>
      </c>
      <c r="QM9" s="86">
        <v>64</v>
      </c>
      <c r="QN9" s="86">
        <v>64</v>
      </c>
      <c r="QO9" s="86">
        <v>64</v>
      </c>
      <c r="QP9" s="86">
        <v>64</v>
      </c>
      <c r="QQ9" s="86">
        <v>69.2</v>
      </c>
      <c r="QR9" s="86">
        <v>64</v>
      </c>
      <c r="QS9" s="86">
        <v>64</v>
      </c>
      <c r="QT9" s="86">
        <v>64</v>
      </c>
      <c r="RM9" s="86">
        <v>64</v>
      </c>
      <c r="RN9" s="86">
        <v>51.9</v>
      </c>
      <c r="RO9" s="86">
        <v>51.9</v>
      </c>
      <c r="RP9" s="86">
        <v>51.9</v>
      </c>
      <c r="RQ9" s="86">
        <v>51.9</v>
      </c>
      <c r="RR9" s="86">
        <v>51.9</v>
      </c>
      <c r="RS9" s="86">
        <v>69.2</v>
      </c>
      <c r="RT9" s="86">
        <v>51.9</v>
      </c>
      <c r="RU9" s="86">
        <v>69.2</v>
      </c>
      <c r="RV9" s="86">
        <v>69.2</v>
      </c>
      <c r="RW9" s="86">
        <v>69.2</v>
      </c>
      <c r="RX9" s="86">
        <v>69.2</v>
      </c>
      <c r="RY9" s="86">
        <v>69.2</v>
      </c>
      <c r="RZ9" s="86">
        <v>51.9</v>
      </c>
      <c r="SA9" s="86">
        <v>64</v>
      </c>
      <c r="SB9" s="86">
        <v>64</v>
      </c>
      <c r="SC9" s="86">
        <v>64</v>
      </c>
      <c r="SD9" s="86">
        <v>51.9</v>
      </c>
      <c r="SE9" s="86">
        <v>64</v>
      </c>
      <c r="SF9" s="86">
        <v>64</v>
      </c>
      <c r="SG9" s="86">
        <v>64</v>
      </c>
      <c r="SH9" s="86">
        <v>51.9</v>
      </c>
      <c r="SI9" s="86">
        <v>51.9</v>
      </c>
      <c r="SJ9" s="86">
        <v>64</v>
      </c>
      <c r="SK9" s="86">
        <v>64</v>
      </c>
      <c r="SL9" s="86">
        <v>64</v>
      </c>
      <c r="SM9" s="86">
        <v>51.9</v>
      </c>
      <c r="SN9" s="86">
        <v>64</v>
      </c>
      <c r="SO9" s="86">
        <v>64</v>
      </c>
      <c r="SP9" s="86">
        <v>64</v>
      </c>
      <c r="SQ9" s="86">
        <v>64</v>
      </c>
      <c r="SR9" s="86">
        <v>64</v>
      </c>
      <c r="SS9" s="86">
        <v>64</v>
      </c>
      <c r="ST9" s="86">
        <v>64</v>
      </c>
      <c r="SU9" s="86">
        <v>64</v>
      </c>
      <c r="SV9" s="86">
        <v>64</v>
      </c>
      <c r="SW9" s="86">
        <v>64</v>
      </c>
      <c r="SX9" s="86">
        <v>64</v>
      </c>
      <c r="SY9" s="86">
        <v>64</v>
      </c>
      <c r="SZ9" s="86">
        <v>64</v>
      </c>
      <c r="TA9" s="86">
        <v>64</v>
      </c>
      <c r="TB9" s="86">
        <v>64</v>
      </c>
      <c r="TC9" s="86">
        <v>64</v>
      </c>
      <c r="TD9" s="86">
        <v>64</v>
      </c>
      <c r="TE9" s="86">
        <v>64</v>
      </c>
      <c r="TF9" s="86">
        <v>64</v>
      </c>
      <c r="TG9" s="86">
        <v>64</v>
      </c>
      <c r="TH9" s="86">
        <v>64</v>
      </c>
      <c r="TI9" s="86">
        <v>64</v>
      </c>
      <c r="TJ9" s="86">
        <v>64</v>
      </c>
      <c r="TK9" s="86">
        <v>64</v>
      </c>
      <c r="TL9" s="86">
        <v>64</v>
      </c>
      <c r="TM9" s="86">
        <v>64</v>
      </c>
      <c r="TN9" s="86">
        <v>64</v>
      </c>
      <c r="TO9" s="86">
        <v>64</v>
      </c>
      <c r="TP9" s="86">
        <v>64</v>
      </c>
      <c r="TQ9" s="86">
        <v>64</v>
      </c>
      <c r="TR9" s="86">
        <v>64</v>
      </c>
      <c r="TS9" s="86">
        <v>69.2</v>
      </c>
      <c r="TT9" s="86">
        <v>64</v>
      </c>
      <c r="TU9" s="86">
        <v>64</v>
      </c>
      <c r="TV9" s="86">
        <v>64</v>
      </c>
      <c r="UO9" s="86">
        <v>64</v>
      </c>
      <c r="UP9" s="86">
        <v>51.9</v>
      </c>
      <c r="UQ9" s="86">
        <v>51.9</v>
      </c>
      <c r="UR9" s="86">
        <v>51.9</v>
      </c>
      <c r="US9" s="86">
        <v>51.9</v>
      </c>
      <c r="UT9" s="86">
        <v>51.9</v>
      </c>
      <c r="UU9" s="86">
        <v>69.2</v>
      </c>
      <c r="UV9" s="86">
        <v>51.9</v>
      </c>
      <c r="UW9" s="86">
        <v>69.2</v>
      </c>
      <c r="UX9" s="86">
        <v>69.2</v>
      </c>
      <c r="UY9" s="86">
        <v>69.2</v>
      </c>
      <c r="UZ9" s="86">
        <v>69.2</v>
      </c>
      <c r="VA9" s="86">
        <v>69.2</v>
      </c>
      <c r="VB9" s="86">
        <v>51.9</v>
      </c>
      <c r="VC9" s="86">
        <v>64</v>
      </c>
      <c r="VD9" s="86">
        <v>64</v>
      </c>
      <c r="VE9" s="86">
        <v>51.9</v>
      </c>
      <c r="VF9" s="86">
        <v>64</v>
      </c>
      <c r="VG9" s="86">
        <v>64</v>
      </c>
      <c r="VH9" s="86">
        <v>64</v>
      </c>
      <c r="VI9" s="86">
        <v>51.9</v>
      </c>
      <c r="VJ9" s="86">
        <v>51.9</v>
      </c>
      <c r="VK9" s="86">
        <v>64</v>
      </c>
      <c r="VL9" s="86">
        <v>64</v>
      </c>
      <c r="VM9" s="86">
        <v>64</v>
      </c>
      <c r="VN9" s="86">
        <v>51.9</v>
      </c>
      <c r="VO9" s="86">
        <v>64</v>
      </c>
      <c r="VP9" s="86">
        <v>64</v>
      </c>
      <c r="VQ9" s="86">
        <v>64</v>
      </c>
      <c r="VR9" s="86">
        <v>64</v>
      </c>
      <c r="VS9" s="86">
        <v>64</v>
      </c>
      <c r="VT9" s="86">
        <v>64</v>
      </c>
      <c r="VU9" s="86">
        <v>64</v>
      </c>
      <c r="VV9" s="86">
        <v>64</v>
      </c>
      <c r="VW9" s="86">
        <v>64</v>
      </c>
      <c r="VX9" s="86">
        <v>64</v>
      </c>
      <c r="VY9" s="86">
        <v>64</v>
      </c>
      <c r="VZ9" s="86">
        <v>64</v>
      </c>
      <c r="WA9" s="86">
        <v>64</v>
      </c>
      <c r="WB9" s="86">
        <v>64</v>
      </c>
      <c r="WC9" s="86">
        <v>64</v>
      </c>
      <c r="WD9" s="86">
        <v>64</v>
      </c>
      <c r="WE9" s="86">
        <v>64</v>
      </c>
      <c r="WF9" s="86">
        <v>64</v>
      </c>
      <c r="WG9" s="86">
        <v>64</v>
      </c>
      <c r="WH9" s="86">
        <v>64</v>
      </c>
      <c r="WI9" s="86">
        <v>64</v>
      </c>
      <c r="WJ9" s="86">
        <v>64</v>
      </c>
      <c r="WK9" s="86">
        <v>64</v>
      </c>
      <c r="WL9" s="86">
        <v>64</v>
      </c>
      <c r="WM9" s="86">
        <v>64</v>
      </c>
      <c r="WN9" s="86">
        <v>64</v>
      </c>
      <c r="WO9" s="86">
        <v>64</v>
      </c>
      <c r="WP9" s="86">
        <v>64</v>
      </c>
      <c r="WQ9" s="86">
        <v>64</v>
      </c>
      <c r="WR9" s="86">
        <v>64</v>
      </c>
      <c r="WS9" s="86">
        <v>64</v>
      </c>
      <c r="WT9" s="86">
        <v>69.2</v>
      </c>
      <c r="WU9" s="86">
        <v>64</v>
      </c>
      <c r="WV9" s="86">
        <v>64</v>
      </c>
      <c r="WW9" s="86">
        <v>64</v>
      </c>
      <c r="XQ9" s="86">
        <v>64</v>
      </c>
      <c r="XR9" s="86">
        <v>51.9</v>
      </c>
      <c r="XS9" s="86">
        <v>51.9</v>
      </c>
      <c r="XT9" s="86">
        <v>51.9</v>
      </c>
      <c r="XU9" s="86">
        <v>51.9</v>
      </c>
      <c r="XV9" s="86">
        <v>51.9</v>
      </c>
      <c r="XW9" s="86">
        <v>69.2</v>
      </c>
      <c r="XX9" s="86">
        <v>51.9</v>
      </c>
      <c r="XY9" s="86">
        <v>69.2</v>
      </c>
      <c r="XZ9" s="86">
        <v>69.2</v>
      </c>
      <c r="YA9" s="86">
        <v>69.2</v>
      </c>
      <c r="YB9" s="86">
        <v>69.2</v>
      </c>
      <c r="YC9" s="86">
        <v>69.2</v>
      </c>
      <c r="YD9" s="86">
        <v>51.9</v>
      </c>
      <c r="YE9" s="86">
        <v>64</v>
      </c>
      <c r="YF9" s="86">
        <v>64</v>
      </c>
      <c r="YG9" s="86">
        <v>51.9</v>
      </c>
      <c r="YH9" s="86">
        <v>64</v>
      </c>
      <c r="YI9" s="86">
        <v>64</v>
      </c>
      <c r="YJ9" s="86">
        <v>64</v>
      </c>
      <c r="YK9" s="86">
        <v>51.9</v>
      </c>
      <c r="YL9" s="86">
        <v>51.9</v>
      </c>
      <c r="YM9" s="86">
        <v>64</v>
      </c>
      <c r="YN9" s="86">
        <v>64</v>
      </c>
      <c r="YO9" s="86">
        <v>64</v>
      </c>
      <c r="YP9" s="86">
        <v>51.9</v>
      </c>
      <c r="YQ9" s="86">
        <v>64</v>
      </c>
      <c r="YR9" s="86">
        <v>64</v>
      </c>
      <c r="YS9" s="86">
        <v>64</v>
      </c>
      <c r="YT9" s="86">
        <v>64</v>
      </c>
      <c r="YU9" s="86">
        <v>64</v>
      </c>
      <c r="YV9" s="86">
        <v>64</v>
      </c>
      <c r="YW9" s="86">
        <v>64</v>
      </c>
      <c r="YX9" s="86">
        <v>64</v>
      </c>
      <c r="YY9" s="86">
        <v>64</v>
      </c>
      <c r="YZ9" s="86">
        <v>64</v>
      </c>
      <c r="ZA9" s="86">
        <v>64</v>
      </c>
      <c r="ZB9" s="86">
        <v>64</v>
      </c>
      <c r="ZC9" s="86">
        <v>64</v>
      </c>
      <c r="ZD9" s="86">
        <v>64</v>
      </c>
      <c r="ZE9" s="86">
        <v>64</v>
      </c>
      <c r="ZF9" s="86">
        <v>64</v>
      </c>
      <c r="ZG9" s="86">
        <v>64</v>
      </c>
      <c r="ZH9" s="86">
        <v>64</v>
      </c>
      <c r="ZI9" s="86">
        <v>64</v>
      </c>
      <c r="ZJ9" s="86">
        <v>64</v>
      </c>
      <c r="ZK9" s="86">
        <v>64</v>
      </c>
      <c r="ZL9" s="86">
        <v>64</v>
      </c>
      <c r="ZM9" s="86">
        <v>64</v>
      </c>
      <c r="ZN9" s="86">
        <v>64</v>
      </c>
      <c r="ZO9" s="86">
        <v>64</v>
      </c>
      <c r="ZP9" s="86">
        <v>64</v>
      </c>
      <c r="ZQ9" s="86">
        <v>64</v>
      </c>
      <c r="ZR9" s="86">
        <v>64</v>
      </c>
      <c r="ZS9" s="86">
        <v>64</v>
      </c>
      <c r="ZT9" s="86">
        <v>69.2</v>
      </c>
      <c r="ZU9" s="86">
        <v>64</v>
      </c>
      <c r="ZV9" s="86">
        <v>64</v>
      </c>
      <c r="ZW9" s="86">
        <v>64</v>
      </c>
      <c r="AAS9" s="86">
        <v>64</v>
      </c>
      <c r="AAT9" s="86">
        <v>51.9</v>
      </c>
      <c r="AAU9" s="86">
        <v>51.9</v>
      </c>
      <c r="AAV9" s="86">
        <v>51.9</v>
      </c>
      <c r="AAW9" s="86">
        <v>51.9</v>
      </c>
      <c r="AAX9" s="86">
        <v>51.9</v>
      </c>
      <c r="AAY9" s="86">
        <v>69.2</v>
      </c>
      <c r="AAZ9" s="86">
        <v>51.9</v>
      </c>
      <c r="ABA9" s="86">
        <v>69.2</v>
      </c>
      <c r="ABB9" s="86">
        <v>69.2</v>
      </c>
      <c r="ABC9" s="86">
        <v>69.2</v>
      </c>
      <c r="ABD9" s="86">
        <v>69.2</v>
      </c>
      <c r="ABE9" s="86">
        <v>69.2</v>
      </c>
      <c r="ABF9" s="86">
        <v>51.9</v>
      </c>
      <c r="ABG9" s="86">
        <v>64</v>
      </c>
      <c r="ABH9" s="86">
        <v>64</v>
      </c>
      <c r="ABI9" s="86">
        <v>51.9</v>
      </c>
      <c r="ABJ9" s="86">
        <v>64</v>
      </c>
      <c r="ABK9" s="86">
        <v>64</v>
      </c>
      <c r="ABL9" s="86">
        <v>51.9</v>
      </c>
      <c r="ABM9" s="86">
        <v>51.9</v>
      </c>
      <c r="ABN9" s="86">
        <v>64</v>
      </c>
      <c r="ABO9" s="86">
        <v>64</v>
      </c>
      <c r="ABP9" s="86">
        <v>64</v>
      </c>
      <c r="ABQ9" s="86">
        <v>51.9</v>
      </c>
      <c r="ABR9" s="86">
        <v>64</v>
      </c>
      <c r="ABS9" s="86">
        <v>64</v>
      </c>
      <c r="ABT9" s="86">
        <v>64</v>
      </c>
      <c r="ABU9" s="86">
        <v>64</v>
      </c>
      <c r="ABV9" s="86">
        <v>64</v>
      </c>
      <c r="ABW9" s="86">
        <v>64</v>
      </c>
      <c r="ABX9" s="86">
        <v>64</v>
      </c>
      <c r="ABY9" s="86">
        <v>64</v>
      </c>
      <c r="ABZ9" s="86">
        <v>64</v>
      </c>
      <c r="ACA9" s="86">
        <v>64</v>
      </c>
      <c r="ACB9" s="86">
        <v>64</v>
      </c>
      <c r="ACC9" s="86">
        <v>64</v>
      </c>
      <c r="ACD9" s="86">
        <v>64</v>
      </c>
      <c r="ACE9" s="86">
        <v>64</v>
      </c>
      <c r="ACF9" s="86">
        <v>64</v>
      </c>
      <c r="ACG9" s="86">
        <v>64</v>
      </c>
      <c r="ACH9" s="86">
        <v>64</v>
      </c>
      <c r="ACI9" s="86">
        <v>64</v>
      </c>
      <c r="ACJ9" s="86">
        <v>64</v>
      </c>
      <c r="ACK9" s="86">
        <v>64</v>
      </c>
      <c r="ACL9" s="86">
        <v>64</v>
      </c>
      <c r="ACM9" s="86">
        <v>64</v>
      </c>
      <c r="ACN9" s="86">
        <v>64</v>
      </c>
      <c r="ACO9" s="86">
        <v>64</v>
      </c>
      <c r="ACP9" s="86">
        <v>64</v>
      </c>
      <c r="ACQ9" s="86">
        <v>64</v>
      </c>
      <c r="ACR9" s="86">
        <v>64</v>
      </c>
      <c r="ACS9" s="86">
        <v>64</v>
      </c>
      <c r="ACT9" s="86">
        <v>64</v>
      </c>
      <c r="ACU9" s="86">
        <v>69.2</v>
      </c>
      <c r="ACV9" s="86">
        <v>64</v>
      </c>
      <c r="ACW9" s="86">
        <v>64</v>
      </c>
      <c r="ACX9" s="86">
        <v>64</v>
      </c>
      <c r="ADU9" s="86">
        <v>64</v>
      </c>
      <c r="ADV9" s="86">
        <v>51.9</v>
      </c>
      <c r="ADW9" s="86">
        <v>51.9</v>
      </c>
      <c r="ADX9" s="86">
        <v>51.9</v>
      </c>
      <c r="ADY9" s="86">
        <v>51.9</v>
      </c>
      <c r="ADZ9" s="86">
        <v>69.2</v>
      </c>
      <c r="AEA9" s="86">
        <v>51.9</v>
      </c>
      <c r="AEB9" s="86">
        <v>69.2</v>
      </c>
      <c r="AEC9" s="86">
        <v>69.2</v>
      </c>
      <c r="AED9" s="86">
        <v>69.2</v>
      </c>
      <c r="AEE9" s="86">
        <v>69.2</v>
      </c>
      <c r="AEF9" s="86">
        <v>69.2</v>
      </c>
      <c r="AEG9" s="86">
        <v>51.9</v>
      </c>
      <c r="AEH9" s="86">
        <v>64</v>
      </c>
      <c r="AEI9" s="86">
        <v>64</v>
      </c>
      <c r="AEJ9" s="86">
        <v>51.9</v>
      </c>
      <c r="AEK9" s="86">
        <v>64</v>
      </c>
      <c r="AEL9" s="86">
        <v>64</v>
      </c>
      <c r="AEM9" s="86">
        <v>51.9</v>
      </c>
      <c r="AEN9" s="86">
        <v>51.9</v>
      </c>
      <c r="AEO9" s="86">
        <v>64</v>
      </c>
      <c r="AEP9" s="86">
        <v>64</v>
      </c>
      <c r="AEQ9" s="86">
        <v>64</v>
      </c>
      <c r="AER9" s="86">
        <v>51.9</v>
      </c>
      <c r="AES9" s="86">
        <v>64</v>
      </c>
      <c r="AET9" s="86">
        <v>64</v>
      </c>
      <c r="AEU9" s="86">
        <v>64</v>
      </c>
      <c r="AEV9" s="86">
        <v>64</v>
      </c>
      <c r="AEW9" s="86">
        <v>64</v>
      </c>
      <c r="AEX9" s="86">
        <v>64</v>
      </c>
      <c r="AEY9" s="86">
        <v>64</v>
      </c>
      <c r="AEZ9" s="86">
        <v>64</v>
      </c>
      <c r="AFA9" s="86">
        <v>64</v>
      </c>
      <c r="AFB9" s="86">
        <v>64</v>
      </c>
      <c r="AFC9" s="86">
        <v>64</v>
      </c>
      <c r="AFD9" s="86">
        <v>64</v>
      </c>
      <c r="AFE9" s="86">
        <v>64</v>
      </c>
      <c r="AFF9" s="86">
        <v>64</v>
      </c>
      <c r="AFG9" s="86">
        <v>64</v>
      </c>
      <c r="AFH9" s="86">
        <v>64</v>
      </c>
      <c r="AFI9" s="86">
        <v>64</v>
      </c>
      <c r="AFJ9" s="86">
        <v>64</v>
      </c>
      <c r="AFK9" s="86">
        <v>64</v>
      </c>
      <c r="AFL9" s="86">
        <v>64</v>
      </c>
      <c r="AFM9" s="86">
        <v>64</v>
      </c>
      <c r="AFN9" s="86">
        <v>64</v>
      </c>
      <c r="AFO9" s="86">
        <v>64</v>
      </c>
      <c r="AFP9" s="86">
        <v>64</v>
      </c>
      <c r="AFQ9" s="86">
        <v>64</v>
      </c>
      <c r="AFR9" s="86">
        <v>64</v>
      </c>
      <c r="AFS9" s="86">
        <v>64</v>
      </c>
      <c r="AFT9" s="86">
        <v>64</v>
      </c>
      <c r="AFU9" s="86">
        <v>64</v>
      </c>
      <c r="AFV9" s="86">
        <v>69.2</v>
      </c>
      <c r="AFW9" s="86">
        <v>64</v>
      </c>
      <c r="AFX9" s="86">
        <v>64</v>
      </c>
      <c r="AFY9" s="86">
        <v>64</v>
      </c>
      <c r="AGW9" s="86">
        <v>64</v>
      </c>
      <c r="AGX9" s="86">
        <v>51.9</v>
      </c>
      <c r="AGY9" s="86">
        <v>51.9</v>
      </c>
      <c r="AGZ9" s="86">
        <v>51.9</v>
      </c>
      <c r="AHA9" s="86">
        <v>51.9</v>
      </c>
      <c r="AHB9" s="86">
        <v>69.2</v>
      </c>
      <c r="AHC9" s="86">
        <v>51.9</v>
      </c>
      <c r="AHD9" s="86">
        <v>69.2</v>
      </c>
      <c r="AHE9" s="86">
        <v>69.2</v>
      </c>
      <c r="AHF9" s="86">
        <v>69.2</v>
      </c>
      <c r="AHG9" s="86">
        <v>69.2</v>
      </c>
      <c r="AHH9" s="86">
        <v>69.2</v>
      </c>
      <c r="AHI9" s="86">
        <v>51.9</v>
      </c>
      <c r="AHJ9" s="86">
        <v>64</v>
      </c>
      <c r="AHK9" s="86">
        <v>64</v>
      </c>
      <c r="AHL9" s="86">
        <v>51.9</v>
      </c>
      <c r="AHM9" s="86">
        <v>64</v>
      </c>
      <c r="AHN9" s="86">
        <v>64</v>
      </c>
      <c r="AHO9" s="86">
        <v>51.9</v>
      </c>
      <c r="AHP9" s="86">
        <v>51.9</v>
      </c>
      <c r="AHQ9" s="86">
        <v>64</v>
      </c>
      <c r="AHR9" s="86">
        <v>64</v>
      </c>
      <c r="AHS9" s="86">
        <v>64</v>
      </c>
      <c r="AHT9" s="86">
        <v>51.9</v>
      </c>
      <c r="AHU9" s="86">
        <v>64</v>
      </c>
      <c r="AHV9" s="86">
        <v>64</v>
      </c>
      <c r="AHW9" s="86">
        <v>64</v>
      </c>
      <c r="AHX9" s="86">
        <v>64</v>
      </c>
      <c r="AHY9" s="86">
        <v>64</v>
      </c>
      <c r="AHZ9" s="86">
        <v>64</v>
      </c>
      <c r="AIA9" s="86">
        <v>64</v>
      </c>
      <c r="AIB9" s="86">
        <v>64</v>
      </c>
      <c r="AIC9" s="86">
        <v>64</v>
      </c>
      <c r="AID9" s="86">
        <v>64</v>
      </c>
      <c r="AIE9" s="86">
        <v>64</v>
      </c>
      <c r="AIF9" s="86">
        <v>64</v>
      </c>
      <c r="AIG9" s="86">
        <v>64</v>
      </c>
      <c r="AIH9" s="86">
        <v>64</v>
      </c>
      <c r="AII9" s="86">
        <v>64</v>
      </c>
      <c r="AIJ9" s="86">
        <v>64</v>
      </c>
      <c r="AIK9" s="86">
        <v>64</v>
      </c>
      <c r="AIL9" s="86">
        <v>64</v>
      </c>
      <c r="AIM9" s="86">
        <v>64</v>
      </c>
      <c r="AIN9" s="86">
        <v>64</v>
      </c>
      <c r="AIO9" s="86">
        <v>64</v>
      </c>
      <c r="AIP9" s="86">
        <v>64</v>
      </c>
      <c r="AIQ9" s="86">
        <v>64</v>
      </c>
      <c r="AIR9" s="86">
        <v>64</v>
      </c>
      <c r="AIS9" s="86">
        <v>64</v>
      </c>
      <c r="AIT9" s="86">
        <v>64</v>
      </c>
      <c r="AIU9" s="86">
        <v>64</v>
      </c>
      <c r="AIV9" s="86">
        <v>64</v>
      </c>
      <c r="AIW9" s="86">
        <v>64</v>
      </c>
      <c r="AIX9" s="86">
        <v>69.2</v>
      </c>
      <c r="AIY9" s="86">
        <v>64</v>
      </c>
      <c r="AIZ9" s="86">
        <v>64</v>
      </c>
      <c r="AJY9" t="s">
        <v>10</v>
      </c>
    </row>
    <row r="10" spans="1:961">
      <c r="A10" s="86">
        <v>47.58</v>
      </c>
      <c r="B10" s="86">
        <v>47.58</v>
      </c>
      <c r="C10" s="86">
        <v>47.58</v>
      </c>
      <c r="D10" s="86">
        <v>47.58</v>
      </c>
      <c r="E10" s="86">
        <v>51.9</v>
      </c>
      <c r="F10" s="86">
        <v>47.58</v>
      </c>
      <c r="G10" s="86">
        <v>51.9</v>
      </c>
      <c r="H10" s="86">
        <v>51.9</v>
      </c>
      <c r="I10" s="86">
        <v>51.9</v>
      </c>
      <c r="J10" s="86">
        <v>51.9</v>
      </c>
      <c r="K10" s="86">
        <v>51.9</v>
      </c>
      <c r="L10" s="86">
        <v>47.58</v>
      </c>
      <c r="M10" s="86">
        <v>51.9</v>
      </c>
      <c r="N10" s="86">
        <v>51.9</v>
      </c>
      <c r="O10" s="86">
        <v>51.9</v>
      </c>
      <c r="P10" s="86">
        <v>47.58</v>
      </c>
      <c r="Q10" s="86">
        <v>51.9</v>
      </c>
      <c r="R10" s="86">
        <v>51.9</v>
      </c>
      <c r="S10" s="86">
        <v>51.9</v>
      </c>
      <c r="T10" s="86">
        <v>47.58</v>
      </c>
      <c r="U10" s="86">
        <v>47.58</v>
      </c>
      <c r="V10" s="86">
        <v>51.9</v>
      </c>
      <c r="W10" s="86">
        <v>51.9</v>
      </c>
      <c r="X10" s="86">
        <v>51.9</v>
      </c>
      <c r="Y10" s="86">
        <v>47.58</v>
      </c>
      <c r="Z10" s="86">
        <v>51.9</v>
      </c>
      <c r="AA10" s="86">
        <v>51.9</v>
      </c>
      <c r="AB10" s="86">
        <v>51.9</v>
      </c>
      <c r="AC10" s="86">
        <v>51.9</v>
      </c>
      <c r="AD10" s="86">
        <v>51.9</v>
      </c>
      <c r="AE10" s="86">
        <v>51.9</v>
      </c>
      <c r="AF10" s="86">
        <v>51.9</v>
      </c>
      <c r="AG10" s="86">
        <v>51.9</v>
      </c>
      <c r="AH10" s="86">
        <v>51.9</v>
      </c>
      <c r="AI10" s="86">
        <v>51.9</v>
      </c>
      <c r="AJ10" s="86">
        <v>51.9</v>
      </c>
      <c r="AK10" s="86">
        <v>51.9</v>
      </c>
      <c r="AL10" s="86">
        <v>51.9</v>
      </c>
      <c r="AM10" s="86">
        <v>51.9</v>
      </c>
      <c r="AN10" s="86">
        <v>51.9</v>
      </c>
      <c r="AO10" s="86">
        <v>51.9</v>
      </c>
      <c r="AP10" s="86">
        <v>51.9</v>
      </c>
      <c r="AQ10" s="86">
        <v>51.9</v>
      </c>
      <c r="AR10" s="86">
        <v>51.9</v>
      </c>
      <c r="AS10" s="86">
        <v>51.9</v>
      </c>
      <c r="AT10" s="86">
        <v>51.9</v>
      </c>
      <c r="AU10" s="86">
        <v>51.9</v>
      </c>
      <c r="AV10" s="86">
        <v>51.9</v>
      </c>
      <c r="AW10" s="86">
        <v>51.9</v>
      </c>
      <c r="AX10" s="86">
        <v>51.9</v>
      </c>
      <c r="AY10" s="86">
        <v>51.9</v>
      </c>
      <c r="AZ10" s="86">
        <v>51.9</v>
      </c>
      <c r="CC10" s="86">
        <v>47.58</v>
      </c>
      <c r="CD10" s="86">
        <v>47.58</v>
      </c>
      <c r="CE10" s="86">
        <v>47.58</v>
      </c>
      <c r="CF10" s="86">
        <v>47.58</v>
      </c>
      <c r="CG10" s="86">
        <v>47.58</v>
      </c>
      <c r="CH10" s="86">
        <v>51.9</v>
      </c>
      <c r="CI10" s="86">
        <v>47.58</v>
      </c>
      <c r="CJ10" s="86">
        <v>51.9</v>
      </c>
      <c r="CK10" s="86">
        <v>51.9</v>
      </c>
      <c r="CL10" s="86">
        <v>51.9</v>
      </c>
      <c r="CM10" s="86">
        <v>51.9</v>
      </c>
      <c r="CN10" s="86">
        <v>51.9</v>
      </c>
      <c r="CO10" s="86">
        <v>47.58</v>
      </c>
      <c r="CP10" s="86">
        <v>51.9</v>
      </c>
      <c r="CQ10" s="86">
        <v>51.9</v>
      </c>
      <c r="CR10" s="86">
        <v>51.9</v>
      </c>
      <c r="CS10" s="86">
        <v>47.58</v>
      </c>
      <c r="CT10" s="86">
        <v>51.9</v>
      </c>
      <c r="CU10" s="86">
        <v>51.9</v>
      </c>
      <c r="CV10" s="86">
        <v>51.9</v>
      </c>
      <c r="CW10" s="86">
        <v>47.58</v>
      </c>
      <c r="CX10" s="86">
        <v>47.58</v>
      </c>
      <c r="CY10" s="86">
        <v>51.9</v>
      </c>
      <c r="CZ10" s="86">
        <v>51.9</v>
      </c>
      <c r="DA10" s="86">
        <v>51.9</v>
      </c>
      <c r="DB10" s="86">
        <v>47.58</v>
      </c>
      <c r="DC10" s="86">
        <v>51.9</v>
      </c>
      <c r="DD10" s="86">
        <v>51.9</v>
      </c>
      <c r="DE10" s="86">
        <v>51.9</v>
      </c>
      <c r="DF10" s="86">
        <v>51.9</v>
      </c>
      <c r="DG10" s="86">
        <v>51.9</v>
      </c>
      <c r="DH10" s="86">
        <v>51.9</v>
      </c>
      <c r="DI10" s="86">
        <v>51.9</v>
      </c>
      <c r="DJ10" s="86">
        <v>51.9</v>
      </c>
      <c r="DK10" s="86">
        <v>51.9</v>
      </c>
      <c r="DL10" s="86">
        <v>51.9</v>
      </c>
      <c r="DM10" s="86">
        <v>51.9</v>
      </c>
      <c r="DN10" s="86">
        <v>51.9</v>
      </c>
      <c r="DO10" s="86">
        <v>51.9</v>
      </c>
      <c r="DP10" s="86">
        <v>51.9</v>
      </c>
      <c r="DQ10" s="86">
        <v>51.9</v>
      </c>
      <c r="DR10" s="86">
        <v>51.9</v>
      </c>
      <c r="DS10" s="86">
        <v>51.9</v>
      </c>
      <c r="DT10" s="86">
        <v>51.9</v>
      </c>
      <c r="DU10" s="86">
        <v>51.9</v>
      </c>
      <c r="DV10" s="86">
        <v>51.9</v>
      </c>
      <c r="DW10" s="86">
        <v>51.9</v>
      </c>
      <c r="DX10" s="86">
        <v>51.9</v>
      </c>
      <c r="DY10" s="86">
        <v>51.9</v>
      </c>
      <c r="DZ10" s="86">
        <v>51.9</v>
      </c>
      <c r="EA10" s="86">
        <v>51.9</v>
      </c>
      <c r="EB10" s="86">
        <v>51.9</v>
      </c>
      <c r="EC10" s="86">
        <v>51.9</v>
      </c>
      <c r="ED10" s="86">
        <v>51.9</v>
      </c>
      <c r="EE10" s="86">
        <v>51.9</v>
      </c>
      <c r="EF10" s="86">
        <v>51.9</v>
      </c>
      <c r="EG10" s="86">
        <v>51.9</v>
      </c>
      <c r="EH10" s="86">
        <v>51.9</v>
      </c>
      <c r="EI10" s="86">
        <v>51.9</v>
      </c>
      <c r="FE10" s="86">
        <v>51.9</v>
      </c>
      <c r="FF10" s="86">
        <v>47.58</v>
      </c>
      <c r="FG10" s="86">
        <v>47.58</v>
      </c>
      <c r="FH10" s="86">
        <v>47.58</v>
      </c>
      <c r="FI10" s="86">
        <v>47.58</v>
      </c>
      <c r="FJ10" s="86">
        <v>47.58</v>
      </c>
      <c r="FK10" s="86">
        <v>51.9</v>
      </c>
      <c r="FL10" s="86">
        <v>47.58</v>
      </c>
      <c r="FM10" s="86">
        <v>51.9</v>
      </c>
      <c r="FN10" s="86">
        <v>51.9</v>
      </c>
      <c r="FO10" s="86">
        <v>51.9</v>
      </c>
      <c r="FP10" s="86">
        <v>51.9</v>
      </c>
      <c r="FQ10" s="86">
        <v>51.9</v>
      </c>
      <c r="FR10" s="86">
        <v>47.58</v>
      </c>
      <c r="FS10" s="86">
        <v>51.9</v>
      </c>
      <c r="FT10" s="86">
        <v>51.9</v>
      </c>
      <c r="FU10" s="86">
        <v>51.9</v>
      </c>
      <c r="FV10" s="86">
        <v>47.58</v>
      </c>
      <c r="FW10" s="86">
        <v>51.9</v>
      </c>
      <c r="FX10" s="86">
        <v>51.9</v>
      </c>
      <c r="FY10" s="86">
        <v>51.9</v>
      </c>
      <c r="FZ10" s="86">
        <v>47.58</v>
      </c>
      <c r="GA10" s="86">
        <v>47.58</v>
      </c>
      <c r="GB10" s="86">
        <v>51.9</v>
      </c>
      <c r="GC10" s="86">
        <v>51.9</v>
      </c>
      <c r="GD10" s="86">
        <v>51.9</v>
      </c>
      <c r="GE10" s="86">
        <v>47.58</v>
      </c>
      <c r="GF10" s="86">
        <v>51.9</v>
      </c>
      <c r="GG10" s="86">
        <v>51.9</v>
      </c>
      <c r="GH10" s="86">
        <v>51.9</v>
      </c>
      <c r="GI10" s="86">
        <v>51.9</v>
      </c>
      <c r="GJ10" s="86">
        <v>51.9</v>
      </c>
      <c r="GK10" s="86">
        <v>51.9</v>
      </c>
      <c r="GL10" s="86">
        <v>51.9</v>
      </c>
      <c r="GM10" s="86">
        <v>51.9</v>
      </c>
      <c r="GN10" s="86">
        <v>51.9</v>
      </c>
      <c r="GO10" s="86">
        <v>51.9</v>
      </c>
      <c r="GP10" s="86">
        <v>51.9</v>
      </c>
      <c r="GQ10" s="86">
        <v>51.9</v>
      </c>
      <c r="GR10" s="86">
        <v>51.9</v>
      </c>
      <c r="GS10" s="86">
        <v>51.9</v>
      </c>
      <c r="GT10" s="86">
        <v>51.9</v>
      </c>
      <c r="GU10" s="86">
        <v>51.9</v>
      </c>
      <c r="GV10" s="86">
        <v>51.9</v>
      </c>
      <c r="GW10" s="86">
        <v>51.9</v>
      </c>
      <c r="GX10" s="86">
        <v>51.9</v>
      </c>
      <c r="GY10" s="86">
        <v>51.9</v>
      </c>
      <c r="GZ10" s="86">
        <v>51.9</v>
      </c>
      <c r="HA10" s="86">
        <v>51.9</v>
      </c>
      <c r="HB10" s="86">
        <v>51.9</v>
      </c>
      <c r="HC10" s="86">
        <v>51.9</v>
      </c>
      <c r="HD10" s="86">
        <v>51.9</v>
      </c>
      <c r="HE10" s="86">
        <v>51.9</v>
      </c>
      <c r="HF10" s="86">
        <v>51.9</v>
      </c>
      <c r="HG10" s="86">
        <v>51.9</v>
      </c>
      <c r="HH10" s="86">
        <v>51.9</v>
      </c>
      <c r="HI10" s="86">
        <v>51.9</v>
      </c>
      <c r="HJ10" s="86">
        <v>51.9</v>
      </c>
      <c r="HK10" s="86">
        <v>51.9</v>
      </c>
      <c r="HL10" s="86">
        <v>51.9</v>
      </c>
      <c r="IG10" s="86">
        <v>51.9</v>
      </c>
      <c r="IH10" s="86">
        <v>47.58</v>
      </c>
      <c r="II10" s="86">
        <v>47.58</v>
      </c>
      <c r="IJ10" s="86">
        <v>47.58</v>
      </c>
      <c r="IK10" s="86">
        <v>47.58</v>
      </c>
      <c r="IL10" s="86">
        <v>47.58</v>
      </c>
      <c r="IM10" s="86">
        <v>51.9</v>
      </c>
      <c r="IN10" s="86">
        <v>47.58</v>
      </c>
      <c r="IO10" s="86">
        <v>51.9</v>
      </c>
      <c r="IP10" s="86">
        <v>51.9</v>
      </c>
      <c r="IQ10" s="86">
        <v>51.9</v>
      </c>
      <c r="IR10" s="86">
        <v>51.9</v>
      </c>
      <c r="IS10" s="86">
        <v>51.9</v>
      </c>
      <c r="IT10" s="86">
        <v>47.58</v>
      </c>
      <c r="IU10" s="86">
        <v>51.9</v>
      </c>
      <c r="IV10" s="86">
        <v>51.9</v>
      </c>
      <c r="IW10" s="86">
        <v>51.9</v>
      </c>
      <c r="IX10" s="86">
        <v>47.58</v>
      </c>
      <c r="IY10" s="86">
        <v>51.9</v>
      </c>
      <c r="IZ10" s="86">
        <v>51.9</v>
      </c>
      <c r="JA10" s="86">
        <v>51.9</v>
      </c>
      <c r="JB10" s="86">
        <v>47.58</v>
      </c>
      <c r="JC10" s="86">
        <v>47.58</v>
      </c>
      <c r="JD10" s="86">
        <v>51.9</v>
      </c>
      <c r="JE10" s="86">
        <v>51.9</v>
      </c>
      <c r="JF10" s="86">
        <v>51.9</v>
      </c>
      <c r="JG10" s="86">
        <v>47.58</v>
      </c>
      <c r="JH10" s="86">
        <v>51.9</v>
      </c>
      <c r="JI10" s="86">
        <v>51.9</v>
      </c>
      <c r="JJ10" s="86">
        <v>51.9</v>
      </c>
      <c r="JK10" s="86">
        <v>51.9</v>
      </c>
      <c r="JL10" s="86">
        <v>51.9</v>
      </c>
      <c r="JM10" s="86">
        <v>51.9</v>
      </c>
      <c r="JN10" s="86">
        <v>51.9</v>
      </c>
      <c r="JO10" s="86">
        <v>51.9</v>
      </c>
      <c r="JP10" s="86">
        <v>51.9</v>
      </c>
      <c r="JQ10" s="86">
        <v>51.9</v>
      </c>
      <c r="JR10" s="86">
        <v>51.9</v>
      </c>
      <c r="JS10" s="86">
        <v>51.9</v>
      </c>
      <c r="JT10" s="86">
        <v>51.9</v>
      </c>
      <c r="JU10" s="86">
        <v>51.9</v>
      </c>
      <c r="JV10" s="86">
        <v>51.9</v>
      </c>
      <c r="JW10" s="86">
        <v>51.9</v>
      </c>
      <c r="JX10" s="86">
        <v>51.9</v>
      </c>
      <c r="JY10" s="86">
        <v>51.9</v>
      </c>
      <c r="JZ10" s="86">
        <v>51.9</v>
      </c>
      <c r="KA10" s="86">
        <v>51.9</v>
      </c>
      <c r="KB10" s="86">
        <v>51.9</v>
      </c>
      <c r="KC10" s="86">
        <v>51.9</v>
      </c>
      <c r="KD10" s="86">
        <v>51.9</v>
      </c>
      <c r="KE10" s="86">
        <v>51.9</v>
      </c>
      <c r="KF10" s="86">
        <v>51.9</v>
      </c>
      <c r="KG10" s="86">
        <v>51.9</v>
      </c>
      <c r="KH10" s="86">
        <v>51.9</v>
      </c>
      <c r="KI10" s="86">
        <v>51.9</v>
      </c>
      <c r="KJ10" s="86">
        <v>51.9</v>
      </c>
      <c r="KK10" s="86">
        <v>51.9</v>
      </c>
      <c r="KL10" s="86">
        <v>51.9</v>
      </c>
      <c r="KM10" s="86">
        <v>51.9</v>
      </c>
      <c r="KN10" s="86">
        <v>51.9</v>
      </c>
      <c r="LI10" s="86">
        <v>47.58</v>
      </c>
      <c r="LJ10" s="86">
        <v>51.9</v>
      </c>
      <c r="LK10" s="86">
        <v>47.58</v>
      </c>
      <c r="LL10" s="86">
        <v>47.58</v>
      </c>
      <c r="LM10" s="86">
        <v>47.58</v>
      </c>
      <c r="LN10" s="86">
        <v>47.58</v>
      </c>
      <c r="LO10" s="86">
        <v>51.9</v>
      </c>
      <c r="LP10" s="86">
        <v>47.58</v>
      </c>
      <c r="LQ10" s="86">
        <v>51.9</v>
      </c>
      <c r="LR10" s="86">
        <v>51.9</v>
      </c>
      <c r="LS10" s="86">
        <v>51.9</v>
      </c>
      <c r="LT10" s="86">
        <v>51.9</v>
      </c>
      <c r="LU10" s="86">
        <v>51.9</v>
      </c>
      <c r="LV10" s="86">
        <v>47.58</v>
      </c>
      <c r="LW10" s="86">
        <v>51.9</v>
      </c>
      <c r="LX10" s="86">
        <v>51.9</v>
      </c>
      <c r="LY10" s="86">
        <v>51.9</v>
      </c>
      <c r="LZ10" s="86">
        <v>47.58</v>
      </c>
      <c r="MA10" s="86">
        <v>51.9</v>
      </c>
      <c r="MB10" s="86">
        <v>51.9</v>
      </c>
      <c r="MC10" s="86">
        <v>47.58</v>
      </c>
      <c r="MD10" s="86">
        <v>47.58</v>
      </c>
      <c r="ME10" s="86">
        <v>47.58</v>
      </c>
      <c r="MF10" s="86">
        <v>51.9</v>
      </c>
      <c r="MG10" s="86">
        <v>51.9</v>
      </c>
      <c r="MH10" s="86">
        <v>51.9</v>
      </c>
      <c r="MI10" s="86">
        <v>47.58</v>
      </c>
      <c r="MJ10" s="86">
        <v>51.9</v>
      </c>
      <c r="MK10" s="86">
        <v>51.9</v>
      </c>
      <c r="ML10" s="86">
        <v>51.9</v>
      </c>
      <c r="MM10" s="86">
        <v>51.9</v>
      </c>
      <c r="MN10" s="86">
        <v>51.9</v>
      </c>
      <c r="MO10" s="86">
        <v>51.9</v>
      </c>
      <c r="MP10" s="86">
        <v>51.9</v>
      </c>
      <c r="MQ10" s="86">
        <v>51.9</v>
      </c>
      <c r="MR10" s="86">
        <v>51.9</v>
      </c>
      <c r="MS10" s="86">
        <v>51.9</v>
      </c>
      <c r="MT10" s="86">
        <v>51.9</v>
      </c>
      <c r="MU10" s="86">
        <v>51.9</v>
      </c>
      <c r="MV10" s="86">
        <v>51.9</v>
      </c>
      <c r="MW10" s="86">
        <v>51.9</v>
      </c>
      <c r="MX10" s="86">
        <v>51.9</v>
      </c>
      <c r="MY10" s="86">
        <v>51.9</v>
      </c>
      <c r="MZ10" s="86">
        <v>51.9</v>
      </c>
      <c r="NA10" s="86">
        <v>51.9</v>
      </c>
      <c r="NB10" s="86">
        <v>51.9</v>
      </c>
      <c r="NC10" s="86">
        <v>51.9</v>
      </c>
      <c r="ND10" s="86">
        <v>51.9</v>
      </c>
      <c r="NE10" s="86">
        <v>51.9</v>
      </c>
      <c r="NF10" s="86">
        <v>51.9</v>
      </c>
      <c r="NG10" s="86">
        <v>51.9</v>
      </c>
      <c r="NH10" s="86">
        <v>51.9</v>
      </c>
      <c r="NI10" s="86">
        <v>51.9</v>
      </c>
      <c r="NJ10" s="86">
        <v>51.9</v>
      </c>
      <c r="NK10" s="86">
        <v>51.9</v>
      </c>
      <c r="NL10" s="86">
        <v>51.9</v>
      </c>
      <c r="NM10" s="86">
        <v>51.9</v>
      </c>
      <c r="NN10" s="86">
        <v>51.9</v>
      </c>
      <c r="NO10" s="86">
        <v>51.9</v>
      </c>
      <c r="NP10" s="86">
        <v>51.9</v>
      </c>
      <c r="NQ10" s="86">
        <v>51.9</v>
      </c>
      <c r="NR10" s="86">
        <v>51.9</v>
      </c>
      <c r="OK10" s="86">
        <v>51.9</v>
      </c>
      <c r="OL10" s="86">
        <v>47.58</v>
      </c>
      <c r="OM10" s="86">
        <v>47.58</v>
      </c>
      <c r="ON10" s="86">
        <v>47.58</v>
      </c>
      <c r="OO10" s="86">
        <v>47.58</v>
      </c>
      <c r="OP10" s="86">
        <v>47.58</v>
      </c>
      <c r="OQ10" s="86">
        <v>47.58</v>
      </c>
      <c r="OR10" s="86">
        <v>47.58</v>
      </c>
      <c r="OS10" s="86">
        <v>51.9</v>
      </c>
      <c r="OT10" s="86">
        <v>51.9</v>
      </c>
      <c r="OU10" s="86">
        <v>51.9</v>
      </c>
      <c r="OV10" s="86">
        <v>51.9</v>
      </c>
      <c r="OW10" s="86">
        <v>51.9</v>
      </c>
      <c r="OX10" s="86">
        <v>47.58</v>
      </c>
      <c r="OY10" s="86">
        <v>51.9</v>
      </c>
      <c r="OZ10" s="86">
        <v>51.9</v>
      </c>
      <c r="PA10" s="86">
        <v>51.9</v>
      </c>
      <c r="PB10" s="86">
        <v>47.58</v>
      </c>
      <c r="PC10" s="86">
        <v>51.9</v>
      </c>
      <c r="PD10" s="86">
        <v>51.9</v>
      </c>
      <c r="PE10" s="86">
        <v>51.9</v>
      </c>
      <c r="PF10" s="86">
        <v>47.58</v>
      </c>
      <c r="PG10" s="86">
        <v>47.58</v>
      </c>
      <c r="PH10" s="86">
        <v>51.9</v>
      </c>
      <c r="PI10" s="86">
        <v>51.9</v>
      </c>
      <c r="PJ10" s="86">
        <v>51.9</v>
      </c>
      <c r="PK10" s="86">
        <v>47.58</v>
      </c>
      <c r="PL10" s="86">
        <v>51.9</v>
      </c>
      <c r="PM10" s="86">
        <v>51.9</v>
      </c>
      <c r="PN10" s="86">
        <v>51.9</v>
      </c>
      <c r="PO10" s="86">
        <v>51.9</v>
      </c>
      <c r="PP10" s="86">
        <v>51.9</v>
      </c>
      <c r="PQ10" s="86">
        <v>51.9</v>
      </c>
      <c r="PR10" s="86">
        <v>51.9</v>
      </c>
      <c r="PS10" s="86">
        <v>51.9</v>
      </c>
      <c r="PT10" s="86">
        <v>51.9</v>
      </c>
      <c r="PU10" s="86">
        <v>51.9</v>
      </c>
      <c r="PV10" s="86">
        <v>51.9</v>
      </c>
      <c r="PW10" s="86">
        <v>51.9</v>
      </c>
      <c r="PX10" s="86">
        <v>51.9</v>
      </c>
      <c r="PY10" s="86">
        <v>51.9</v>
      </c>
      <c r="PZ10" s="86">
        <v>51.9</v>
      </c>
      <c r="QA10" s="86">
        <v>51.9</v>
      </c>
      <c r="QB10" s="86">
        <v>51.9</v>
      </c>
      <c r="QC10" s="86">
        <v>51.9</v>
      </c>
      <c r="QD10" s="86">
        <v>51.9</v>
      </c>
      <c r="QE10" s="86">
        <v>51.9</v>
      </c>
      <c r="QF10" s="86">
        <v>51.9</v>
      </c>
      <c r="QG10" s="86">
        <v>51.9</v>
      </c>
      <c r="QH10" s="86">
        <v>51.9</v>
      </c>
      <c r="QI10" s="86">
        <v>51.9</v>
      </c>
      <c r="QJ10" s="86">
        <v>51.9</v>
      </c>
      <c r="QK10" s="86">
        <v>51.9</v>
      </c>
      <c r="QL10" s="86">
        <v>51.9</v>
      </c>
      <c r="QM10" s="86">
        <v>51.9</v>
      </c>
      <c r="QN10" s="86">
        <v>51.9</v>
      </c>
      <c r="QO10" s="86">
        <v>51.9</v>
      </c>
      <c r="QP10" s="86">
        <v>51.9</v>
      </c>
      <c r="QQ10" s="86">
        <v>51.9</v>
      </c>
      <c r="QR10" s="86">
        <v>51.9</v>
      </c>
      <c r="QS10" s="86">
        <v>51.9</v>
      </c>
      <c r="QT10" s="86">
        <v>51.9</v>
      </c>
      <c r="RM10" s="86">
        <v>51.9</v>
      </c>
      <c r="RN10" s="86">
        <v>47.58</v>
      </c>
      <c r="RO10" s="86">
        <v>47.58</v>
      </c>
      <c r="RP10" s="86">
        <v>47.58</v>
      </c>
      <c r="RQ10" s="86">
        <v>47.58</v>
      </c>
      <c r="RR10" s="86">
        <v>47.58</v>
      </c>
      <c r="RS10" s="86">
        <v>51.9</v>
      </c>
      <c r="RT10" s="86">
        <v>47.58</v>
      </c>
      <c r="RU10" s="86">
        <v>51.9</v>
      </c>
      <c r="RV10" s="86">
        <v>51.9</v>
      </c>
      <c r="RW10" s="86">
        <v>51.9</v>
      </c>
      <c r="RX10" s="86">
        <v>51.9</v>
      </c>
      <c r="RY10" s="86">
        <v>51.9</v>
      </c>
      <c r="RZ10" s="86">
        <v>47.58</v>
      </c>
      <c r="SA10" s="86">
        <v>51.9</v>
      </c>
      <c r="SB10" s="86">
        <v>51.9</v>
      </c>
      <c r="SC10" s="86">
        <v>51.9</v>
      </c>
      <c r="SD10" s="86">
        <v>47.58</v>
      </c>
      <c r="SE10" s="86">
        <v>51.9</v>
      </c>
      <c r="SF10" s="86">
        <v>51.9</v>
      </c>
      <c r="SG10" s="86">
        <v>51.9</v>
      </c>
      <c r="SH10" s="86">
        <v>47.58</v>
      </c>
      <c r="SI10" s="86">
        <v>47.58</v>
      </c>
      <c r="SJ10" s="86">
        <v>51.9</v>
      </c>
      <c r="SK10" s="86">
        <v>51.9</v>
      </c>
      <c r="SL10" s="86">
        <v>51.9</v>
      </c>
      <c r="SM10" s="86">
        <v>47.58</v>
      </c>
      <c r="SN10" s="86">
        <v>51.9</v>
      </c>
      <c r="SO10" s="86">
        <v>51.9</v>
      </c>
      <c r="SP10" s="86">
        <v>51.9</v>
      </c>
      <c r="SQ10" s="86">
        <v>51.9</v>
      </c>
      <c r="SR10" s="86">
        <v>51.9</v>
      </c>
      <c r="SS10" s="86">
        <v>51.9</v>
      </c>
      <c r="ST10" s="86">
        <v>51.9</v>
      </c>
      <c r="SU10" s="86">
        <v>51.9</v>
      </c>
      <c r="SV10" s="86">
        <v>51.9</v>
      </c>
      <c r="SW10" s="86">
        <v>51.9</v>
      </c>
      <c r="SX10" s="86">
        <v>51.9</v>
      </c>
      <c r="SY10" s="86">
        <v>51.9</v>
      </c>
      <c r="SZ10" s="86">
        <v>51.9</v>
      </c>
      <c r="TA10" s="86">
        <v>51.9</v>
      </c>
      <c r="TB10" s="86">
        <v>51.9</v>
      </c>
      <c r="TC10" s="86">
        <v>51.9</v>
      </c>
      <c r="TD10" s="86">
        <v>51.9</v>
      </c>
      <c r="TE10" s="86">
        <v>51.9</v>
      </c>
      <c r="TF10" s="86">
        <v>51.9</v>
      </c>
      <c r="TG10" s="86">
        <v>51.9</v>
      </c>
      <c r="TH10" s="86">
        <v>51.9</v>
      </c>
      <c r="TI10" s="86">
        <v>51.9</v>
      </c>
      <c r="TJ10" s="86">
        <v>51.9</v>
      </c>
      <c r="TK10" s="86">
        <v>51.9</v>
      </c>
      <c r="TL10" s="86">
        <v>51.9</v>
      </c>
      <c r="TM10" s="86">
        <v>51.9</v>
      </c>
      <c r="TN10" s="86">
        <v>51.9</v>
      </c>
      <c r="TO10" s="86">
        <v>51.9</v>
      </c>
      <c r="TP10" s="86">
        <v>51.9</v>
      </c>
      <c r="TQ10" s="86">
        <v>51.9</v>
      </c>
      <c r="TR10" s="86">
        <v>51.9</v>
      </c>
      <c r="TS10" s="86">
        <v>51.9</v>
      </c>
      <c r="TT10" s="86">
        <v>51.9</v>
      </c>
      <c r="TU10" s="86">
        <v>51.9</v>
      </c>
      <c r="TV10" s="86">
        <v>51.9</v>
      </c>
      <c r="UO10" s="86">
        <v>51.9</v>
      </c>
      <c r="UP10" s="86">
        <v>47.58</v>
      </c>
      <c r="UQ10" s="86">
        <v>47.58</v>
      </c>
      <c r="UR10" s="86">
        <v>47.58</v>
      </c>
      <c r="US10" s="86">
        <v>47.58</v>
      </c>
      <c r="UT10" s="86">
        <v>47.58</v>
      </c>
      <c r="UU10" s="86">
        <v>51.9</v>
      </c>
      <c r="UV10" s="86">
        <v>47.58</v>
      </c>
      <c r="UW10" s="86">
        <v>51.9</v>
      </c>
      <c r="UX10" s="86">
        <v>51.9</v>
      </c>
      <c r="UY10" s="86">
        <v>51.9</v>
      </c>
      <c r="UZ10" s="86">
        <v>51.9</v>
      </c>
      <c r="VA10" s="86">
        <v>51.9</v>
      </c>
      <c r="VB10" s="86">
        <v>47.58</v>
      </c>
      <c r="VC10" s="86">
        <v>51.9</v>
      </c>
      <c r="VD10" s="86">
        <v>51.9</v>
      </c>
      <c r="VE10" s="86">
        <v>47.58</v>
      </c>
      <c r="VF10" s="86">
        <v>51.9</v>
      </c>
      <c r="VG10" s="86">
        <v>51.9</v>
      </c>
      <c r="VH10" s="86">
        <v>51.9</v>
      </c>
      <c r="VI10" s="86">
        <v>47.58</v>
      </c>
      <c r="VJ10" s="86">
        <v>47.58</v>
      </c>
      <c r="VK10" s="86">
        <v>51.9</v>
      </c>
      <c r="VL10" s="86">
        <v>51.9</v>
      </c>
      <c r="VM10" s="86">
        <v>51.9</v>
      </c>
      <c r="VN10" s="86">
        <v>47.58</v>
      </c>
      <c r="VO10" s="86">
        <v>51.9</v>
      </c>
      <c r="VP10" s="86">
        <v>51.9</v>
      </c>
      <c r="VQ10" s="86">
        <v>51.9</v>
      </c>
      <c r="VR10" s="86">
        <v>51.9</v>
      </c>
      <c r="VS10" s="86">
        <v>51.9</v>
      </c>
      <c r="VT10" s="86">
        <v>51.9</v>
      </c>
      <c r="VU10" s="86">
        <v>51.9</v>
      </c>
      <c r="VV10" s="86">
        <v>51.9</v>
      </c>
      <c r="VW10" s="86">
        <v>51.9</v>
      </c>
      <c r="VX10" s="86">
        <v>51.9</v>
      </c>
      <c r="VY10" s="86">
        <v>51.9</v>
      </c>
      <c r="VZ10" s="86">
        <v>51.9</v>
      </c>
      <c r="WA10" s="86">
        <v>51.9</v>
      </c>
      <c r="WB10" s="86">
        <v>51.9</v>
      </c>
      <c r="WC10" s="86">
        <v>51.9</v>
      </c>
      <c r="WD10" s="86">
        <v>51.9</v>
      </c>
      <c r="WE10" s="86">
        <v>51.9</v>
      </c>
      <c r="WF10" s="86">
        <v>51.9</v>
      </c>
      <c r="WG10" s="86">
        <v>51.9</v>
      </c>
      <c r="WH10" s="86">
        <v>51.9</v>
      </c>
      <c r="WI10" s="86">
        <v>51.9</v>
      </c>
      <c r="WJ10" s="86">
        <v>51.9</v>
      </c>
      <c r="WK10" s="86">
        <v>51.9</v>
      </c>
      <c r="WL10" s="86">
        <v>51.9</v>
      </c>
      <c r="WM10" s="86">
        <v>51.9</v>
      </c>
      <c r="WN10" s="86">
        <v>51.9</v>
      </c>
      <c r="WO10" s="86">
        <v>51.9</v>
      </c>
      <c r="WP10" s="86">
        <v>51.9</v>
      </c>
      <c r="WQ10" s="86">
        <v>51.9</v>
      </c>
      <c r="WR10" s="86">
        <v>51.9</v>
      </c>
      <c r="WS10" s="86">
        <v>51.9</v>
      </c>
      <c r="WT10" s="86">
        <v>51.9</v>
      </c>
      <c r="WU10" s="86">
        <v>51.9</v>
      </c>
      <c r="WV10" s="86">
        <v>51.9</v>
      </c>
      <c r="WW10" s="86">
        <v>51.9</v>
      </c>
      <c r="XQ10" s="86">
        <v>51.9</v>
      </c>
      <c r="XR10" s="86">
        <v>47.58</v>
      </c>
      <c r="XS10" s="86">
        <v>47.58</v>
      </c>
      <c r="XT10" s="86">
        <v>47.58</v>
      </c>
      <c r="XU10" s="86">
        <v>47.58</v>
      </c>
      <c r="XV10" s="86">
        <v>47.58</v>
      </c>
      <c r="XW10" s="86">
        <v>51.9</v>
      </c>
      <c r="XX10" s="86">
        <v>47.58</v>
      </c>
      <c r="XY10" s="86">
        <v>51.9</v>
      </c>
      <c r="XZ10" s="86">
        <v>51.9</v>
      </c>
      <c r="YA10" s="86">
        <v>51.9</v>
      </c>
      <c r="YB10" s="86">
        <v>51.9</v>
      </c>
      <c r="YC10" s="86">
        <v>51.9</v>
      </c>
      <c r="YD10" s="86">
        <v>47.58</v>
      </c>
      <c r="YE10" s="86">
        <v>51.9</v>
      </c>
      <c r="YF10" s="86">
        <v>51.9</v>
      </c>
      <c r="YG10" s="86">
        <v>47.58</v>
      </c>
      <c r="YH10" s="86">
        <v>51.9</v>
      </c>
      <c r="YI10" s="86">
        <v>51.9</v>
      </c>
      <c r="YJ10" s="86">
        <v>51.9</v>
      </c>
      <c r="YK10" s="86">
        <v>47.58</v>
      </c>
      <c r="YL10" s="86">
        <v>47.58</v>
      </c>
      <c r="YM10" s="86">
        <v>51.9</v>
      </c>
      <c r="YN10" s="86">
        <v>51.9</v>
      </c>
      <c r="YO10" s="86">
        <v>51.9</v>
      </c>
      <c r="YP10" s="86">
        <v>47.58</v>
      </c>
      <c r="YQ10" s="86">
        <v>51.9</v>
      </c>
      <c r="YR10" s="86">
        <v>51.9</v>
      </c>
      <c r="YS10" s="86">
        <v>51.9</v>
      </c>
      <c r="YT10" s="86">
        <v>51.9</v>
      </c>
      <c r="YU10" s="86">
        <v>51.9</v>
      </c>
      <c r="YV10" s="86">
        <v>51.9</v>
      </c>
      <c r="YW10" s="86">
        <v>51.9</v>
      </c>
      <c r="YX10" s="86">
        <v>51.9</v>
      </c>
      <c r="YY10" s="86">
        <v>51.9</v>
      </c>
      <c r="YZ10" s="86">
        <v>51.9</v>
      </c>
      <c r="ZA10" s="86">
        <v>51.9</v>
      </c>
      <c r="ZB10" s="86">
        <v>51.9</v>
      </c>
      <c r="ZC10" s="86">
        <v>51.9</v>
      </c>
      <c r="ZD10" s="86">
        <v>51.9</v>
      </c>
      <c r="ZE10" s="86">
        <v>51.9</v>
      </c>
      <c r="ZF10" s="86">
        <v>51.9</v>
      </c>
      <c r="ZG10" s="86">
        <v>51.9</v>
      </c>
      <c r="ZH10" s="86">
        <v>51.9</v>
      </c>
      <c r="ZI10" s="86">
        <v>51.9</v>
      </c>
      <c r="ZJ10" s="86">
        <v>51.9</v>
      </c>
      <c r="ZK10" s="86">
        <v>51.9</v>
      </c>
      <c r="ZL10" s="86">
        <v>51.9</v>
      </c>
      <c r="ZM10" s="86">
        <v>51.9</v>
      </c>
      <c r="ZN10" s="86">
        <v>51.9</v>
      </c>
      <c r="ZO10" s="86">
        <v>51.9</v>
      </c>
      <c r="ZP10" s="86">
        <v>51.9</v>
      </c>
      <c r="ZQ10" s="86">
        <v>51.9</v>
      </c>
      <c r="ZR10" s="86">
        <v>51.9</v>
      </c>
      <c r="ZS10" s="86">
        <v>51.9</v>
      </c>
      <c r="ZT10" s="86">
        <v>51.9</v>
      </c>
      <c r="ZU10" s="86">
        <v>51.9</v>
      </c>
      <c r="ZV10" s="86">
        <v>51.9</v>
      </c>
      <c r="ZW10" s="86">
        <v>51.9</v>
      </c>
      <c r="AAS10" s="86">
        <v>51.9</v>
      </c>
      <c r="AAT10" s="86">
        <v>47.58</v>
      </c>
      <c r="AAU10" s="86">
        <v>47.58</v>
      </c>
      <c r="AAV10" s="86">
        <v>47.58</v>
      </c>
      <c r="AAW10" s="86">
        <v>47.58</v>
      </c>
      <c r="AAX10" s="86">
        <v>47.58</v>
      </c>
      <c r="AAY10" s="86">
        <v>51.9</v>
      </c>
      <c r="AAZ10" s="86">
        <v>47.58</v>
      </c>
      <c r="ABA10" s="86">
        <v>51.9</v>
      </c>
      <c r="ABB10" s="86">
        <v>51.9</v>
      </c>
      <c r="ABC10" s="86">
        <v>51.9</v>
      </c>
      <c r="ABD10" s="86">
        <v>51.9</v>
      </c>
      <c r="ABE10" s="86">
        <v>51.9</v>
      </c>
      <c r="ABF10" s="86">
        <v>47.58</v>
      </c>
      <c r="ABG10" s="86">
        <v>51.9</v>
      </c>
      <c r="ABH10" s="86">
        <v>51.9</v>
      </c>
      <c r="ABI10" s="86">
        <v>47.58</v>
      </c>
      <c r="ABJ10" s="86">
        <v>51.9</v>
      </c>
      <c r="ABK10" s="86">
        <v>51.9</v>
      </c>
      <c r="ABL10" s="86">
        <v>47.58</v>
      </c>
      <c r="ABM10" s="86">
        <v>47.58</v>
      </c>
      <c r="ABN10" s="86">
        <v>51.9</v>
      </c>
      <c r="ABO10" s="86">
        <v>51.9</v>
      </c>
      <c r="ABP10" s="86">
        <v>51.9</v>
      </c>
      <c r="ABQ10" s="86">
        <v>47.58</v>
      </c>
      <c r="ABR10" s="86">
        <v>51.9</v>
      </c>
      <c r="ABS10" s="86">
        <v>51.9</v>
      </c>
      <c r="ABT10" s="86">
        <v>51.9</v>
      </c>
      <c r="ABU10" s="86">
        <v>51.9</v>
      </c>
      <c r="ABV10" s="86">
        <v>51.9</v>
      </c>
      <c r="ABW10" s="86">
        <v>51.9</v>
      </c>
      <c r="ABX10" s="86">
        <v>51.9</v>
      </c>
      <c r="ABY10" s="86">
        <v>51.9</v>
      </c>
      <c r="ABZ10" s="86">
        <v>51.9</v>
      </c>
      <c r="ACA10" s="86">
        <v>51.9</v>
      </c>
      <c r="ACB10" s="86">
        <v>51.9</v>
      </c>
      <c r="ACC10" s="86">
        <v>51.9</v>
      </c>
      <c r="ACD10" s="86">
        <v>51.9</v>
      </c>
      <c r="ACE10" s="86">
        <v>51.9</v>
      </c>
      <c r="ACF10" s="86">
        <v>51.9</v>
      </c>
      <c r="ACG10" s="86">
        <v>51.9</v>
      </c>
      <c r="ACH10" s="86">
        <v>51.9</v>
      </c>
      <c r="ACI10" s="86">
        <v>51.9</v>
      </c>
      <c r="ACJ10" s="86">
        <v>51.9</v>
      </c>
      <c r="ACK10" s="86">
        <v>51.9</v>
      </c>
      <c r="ACL10" s="86">
        <v>51.9</v>
      </c>
      <c r="ACM10" s="86">
        <v>51.9</v>
      </c>
      <c r="ACN10" s="86">
        <v>51.9</v>
      </c>
      <c r="ACO10" s="86">
        <v>51.9</v>
      </c>
      <c r="ACP10" s="86">
        <v>51.9</v>
      </c>
      <c r="ACQ10" s="86">
        <v>51.9</v>
      </c>
      <c r="ACR10" s="86">
        <v>51.9</v>
      </c>
      <c r="ACS10" s="86">
        <v>51.9</v>
      </c>
      <c r="ACT10" s="86">
        <v>51.9</v>
      </c>
      <c r="ACU10" s="86">
        <v>51.9</v>
      </c>
      <c r="ACV10" s="86">
        <v>51.9</v>
      </c>
      <c r="ACW10" s="86">
        <v>51.9</v>
      </c>
      <c r="ACX10" s="86">
        <v>51.9</v>
      </c>
      <c r="ADU10" s="86">
        <v>51.9</v>
      </c>
      <c r="ADV10" s="86">
        <v>47.58</v>
      </c>
      <c r="ADW10" s="86">
        <v>47.58</v>
      </c>
      <c r="ADX10" s="86">
        <v>47.58</v>
      </c>
      <c r="ADY10" s="86">
        <v>47.58</v>
      </c>
      <c r="ADZ10" s="86">
        <v>51.9</v>
      </c>
      <c r="AEA10" s="86">
        <v>47.58</v>
      </c>
      <c r="AEB10" s="86">
        <v>51.9</v>
      </c>
      <c r="AEC10" s="86">
        <v>51.9</v>
      </c>
      <c r="AED10" s="86">
        <v>51.9</v>
      </c>
      <c r="AEE10" s="86">
        <v>51.9</v>
      </c>
      <c r="AEF10" s="86">
        <v>51.9</v>
      </c>
      <c r="AEG10" s="86">
        <v>47.58</v>
      </c>
      <c r="AEH10" s="86">
        <v>51.9</v>
      </c>
      <c r="AEI10" s="86">
        <v>51.9</v>
      </c>
      <c r="AEJ10" s="86">
        <v>47.58</v>
      </c>
      <c r="AEK10" s="86">
        <v>51.9</v>
      </c>
      <c r="AEL10" s="86">
        <v>51.9</v>
      </c>
      <c r="AEM10" s="86">
        <v>47.58</v>
      </c>
      <c r="AEN10" s="86">
        <v>47.58</v>
      </c>
      <c r="AEO10" s="86">
        <v>51.9</v>
      </c>
      <c r="AEP10" s="86">
        <v>51.9</v>
      </c>
      <c r="AEQ10" s="86">
        <v>51.9</v>
      </c>
      <c r="AER10" s="86">
        <v>47.58</v>
      </c>
      <c r="AES10" s="86">
        <v>51.9</v>
      </c>
      <c r="AET10" s="86">
        <v>51.9</v>
      </c>
      <c r="AEU10" s="86">
        <v>51.9</v>
      </c>
      <c r="AEV10" s="86">
        <v>51.9</v>
      </c>
      <c r="AEW10" s="86">
        <v>51.9</v>
      </c>
      <c r="AEX10" s="86">
        <v>51.9</v>
      </c>
      <c r="AEY10" s="86">
        <v>51.9</v>
      </c>
      <c r="AEZ10" s="86">
        <v>51.9</v>
      </c>
      <c r="AFA10" s="86">
        <v>51.9</v>
      </c>
      <c r="AFB10" s="86">
        <v>51.9</v>
      </c>
      <c r="AFC10" s="86">
        <v>51.9</v>
      </c>
      <c r="AFD10" s="86">
        <v>51.9</v>
      </c>
      <c r="AFE10" s="86">
        <v>51.9</v>
      </c>
      <c r="AFF10" s="86">
        <v>51.9</v>
      </c>
      <c r="AFG10" s="86">
        <v>51.9</v>
      </c>
      <c r="AFH10" s="86">
        <v>51.9</v>
      </c>
      <c r="AFI10" s="86">
        <v>51.9</v>
      </c>
      <c r="AFJ10" s="86">
        <v>51.9</v>
      </c>
      <c r="AFK10" s="86">
        <v>51.9</v>
      </c>
      <c r="AFL10" s="86">
        <v>51.9</v>
      </c>
      <c r="AFM10" s="86">
        <v>51.9</v>
      </c>
      <c r="AFN10" s="86">
        <v>51.9</v>
      </c>
      <c r="AFO10" s="86">
        <v>51.9</v>
      </c>
      <c r="AFP10" s="86">
        <v>51.9</v>
      </c>
      <c r="AFQ10" s="86">
        <v>51.9</v>
      </c>
      <c r="AFR10" s="86">
        <v>51.9</v>
      </c>
      <c r="AFS10" s="86">
        <v>51.9</v>
      </c>
      <c r="AFT10" s="86">
        <v>51.9</v>
      </c>
      <c r="AFU10" s="86">
        <v>51.9</v>
      </c>
      <c r="AFV10" s="86">
        <v>51.9</v>
      </c>
      <c r="AFW10" s="86">
        <v>51.9</v>
      </c>
      <c r="AFX10" s="86">
        <v>51.9</v>
      </c>
      <c r="AFY10" s="86">
        <v>51.9</v>
      </c>
      <c r="AGW10" s="86">
        <v>51.9</v>
      </c>
      <c r="AGX10" s="86">
        <v>47.58</v>
      </c>
      <c r="AGY10" s="86">
        <v>47.58</v>
      </c>
      <c r="AGZ10" s="86">
        <v>47.58</v>
      </c>
      <c r="AHA10" s="86">
        <v>47.58</v>
      </c>
      <c r="AHB10" s="86">
        <v>51.9</v>
      </c>
      <c r="AHC10" s="86">
        <v>47.58</v>
      </c>
      <c r="AHD10" s="86">
        <v>51.9</v>
      </c>
      <c r="AHE10" s="86">
        <v>51.9</v>
      </c>
      <c r="AHF10" s="86">
        <v>51.9</v>
      </c>
      <c r="AHG10" s="86">
        <v>51.9</v>
      </c>
      <c r="AHH10" s="86">
        <v>51.9</v>
      </c>
      <c r="AHI10" s="86">
        <v>47.58</v>
      </c>
      <c r="AHJ10" s="86">
        <v>51.9</v>
      </c>
      <c r="AHK10" s="86">
        <v>51.9</v>
      </c>
      <c r="AHL10" s="86">
        <v>47.58</v>
      </c>
      <c r="AHM10" s="86">
        <v>51.9</v>
      </c>
      <c r="AHN10" s="86">
        <v>51.9</v>
      </c>
      <c r="AHO10" s="86">
        <v>47.58</v>
      </c>
      <c r="AHP10" s="86">
        <v>47.58</v>
      </c>
      <c r="AHQ10" s="86">
        <v>51.9</v>
      </c>
      <c r="AHR10" s="86">
        <v>51.9</v>
      </c>
      <c r="AHS10" s="86">
        <v>51.9</v>
      </c>
      <c r="AHT10" s="86">
        <v>47.58</v>
      </c>
      <c r="AHU10" s="86">
        <v>51.9</v>
      </c>
      <c r="AHV10" s="86">
        <v>51.9</v>
      </c>
      <c r="AHW10" s="86">
        <v>51.9</v>
      </c>
      <c r="AHX10" s="86">
        <v>51.9</v>
      </c>
      <c r="AHY10" s="86">
        <v>51.9</v>
      </c>
      <c r="AHZ10" s="86">
        <v>51.9</v>
      </c>
      <c r="AIA10" s="86">
        <v>51.9</v>
      </c>
      <c r="AIB10" s="86">
        <v>51.9</v>
      </c>
      <c r="AIC10" s="86">
        <v>51.9</v>
      </c>
      <c r="AID10" s="86">
        <v>51.9</v>
      </c>
      <c r="AIE10" s="86">
        <v>51.9</v>
      </c>
      <c r="AIF10" s="86">
        <v>51.9</v>
      </c>
      <c r="AIG10" s="86">
        <v>51.9</v>
      </c>
      <c r="AIH10" s="86">
        <v>51.9</v>
      </c>
      <c r="AII10" s="86">
        <v>51.9</v>
      </c>
      <c r="AIJ10" s="86">
        <v>51.9</v>
      </c>
      <c r="AIK10" s="86">
        <v>51.9</v>
      </c>
      <c r="AIL10" s="86">
        <v>51.9</v>
      </c>
      <c r="AIM10" s="86">
        <v>51.9</v>
      </c>
      <c r="AIN10" s="86">
        <v>51.9</v>
      </c>
      <c r="AIO10" s="86">
        <v>51.9</v>
      </c>
      <c r="AIP10" s="86">
        <v>51.9</v>
      </c>
      <c r="AIQ10" s="86">
        <v>51.9</v>
      </c>
      <c r="AIR10" s="86">
        <v>51.9</v>
      </c>
      <c r="AIS10" s="86">
        <v>51.9</v>
      </c>
      <c r="AIT10" s="86">
        <v>51.9</v>
      </c>
      <c r="AIU10" s="86">
        <v>51.9</v>
      </c>
      <c r="AIV10" s="86">
        <v>51.9</v>
      </c>
      <c r="AIW10" s="86">
        <v>51.9</v>
      </c>
      <c r="AIX10" s="86">
        <v>51.9</v>
      </c>
      <c r="AIY10" s="86">
        <v>51.9</v>
      </c>
      <c r="AIZ10" s="86">
        <v>51.9</v>
      </c>
      <c r="AJY10" t="s">
        <v>11</v>
      </c>
    </row>
    <row r="11" spans="1:961">
      <c r="A11" s="86">
        <v>43.25</v>
      </c>
      <c r="B11" s="86">
        <v>43.25</v>
      </c>
      <c r="C11" s="86">
        <v>43.25</v>
      </c>
      <c r="D11" s="86">
        <v>43.25</v>
      </c>
      <c r="E11" s="86">
        <v>47.58</v>
      </c>
      <c r="F11" s="86">
        <v>43.25</v>
      </c>
      <c r="G11" s="86">
        <v>47.58</v>
      </c>
      <c r="H11" s="86">
        <v>47.58</v>
      </c>
      <c r="I11" s="86">
        <v>47.58</v>
      </c>
      <c r="J11" s="86">
        <v>47.58</v>
      </c>
      <c r="K11" s="86">
        <v>47.58</v>
      </c>
      <c r="L11" s="86">
        <v>43.25</v>
      </c>
      <c r="M11" s="86">
        <v>47.58</v>
      </c>
      <c r="N11" s="86">
        <v>47.58</v>
      </c>
      <c r="O11" s="86">
        <v>47.58</v>
      </c>
      <c r="P11" s="86">
        <v>43.25</v>
      </c>
      <c r="Q11" s="86">
        <v>47.58</v>
      </c>
      <c r="R11" s="86">
        <v>47.58</v>
      </c>
      <c r="S11" s="86">
        <v>47.58</v>
      </c>
      <c r="T11" s="86">
        <v>43.25</v>
      </c>
      <c r="U11" s="86">
        <v>43.25</v>
      </c>
      <c r="V11" s="86">
        <v>47.58</v>
      </c>
      <c r="W11" s="86">
        <v>47.58</v>
      </c>
      <c r="X11" s="86">
        <v>47.58</v>
      </c>
      <c r="Y11" s="86">
        <v>43.25</v>
      </c>
      <c r="Z11" s="86">
        <v>47.58</v>
      </c>
      <c r="AA11" s="86">
        <v>47.58</v>
      </c>
      <c r="AB11" s="86">
        <v>47.58</v>
      </c>
      <c r="AC11" s="86">
        <v>47.58</v>
      </c>
      <c r="AD11" s="86">
        <v>47.58</v>
      </c>
      <c r="AE11" s="86">
        <v>47.58</v>
      </c>
      <c r="AF11" s="86">
        <v>47.58</v>
      </c>
      <c r="AG11" s="86">
        <v>47.58</v>
      </c>
      <c r="AH11" s="86">
        <v>47.58</v>
      </c>
      <c r="AI11" s="86">
        <v>47.58</v>
      </c>
      <c r="AJ11" s="86">
        <v>47.58</v>
      </c>
      <c r="AK11" s="86">
        <v>47.58</v>
      </c>
      <c r="AL11" s="86">
        <v>47.58</v>
      </c>
      <c r="AM11" s="86">
        <v>47.58</v>
      </c>
      <c r="AN11" s="86">
        <v>47.58</v>
      </c>
      <c r="AO11" s="86">
        <v>47.58</v>
      </c>
      <c r="AP11" s="86">
        <v>47.58</v>
      </c>
      <c r="AQ11" s="86">
        <v>47.58</v>
      </c>
      <c r="AR11" s="86">
        <v>47.58</v>
      </c>
      <c r="AS11" s="86">
        <v>47.58</v>
      </c>
      <c r="AT11" s="86">
        <v>47.58</v>
      </c>
      <c r="AU11" s="86">
        <v>47.58</v>
      </c>
      <c r="AV11" s="86">
        <v>47.58</v>
      </c>
      <c r="AW11" s="86">
        <v>47.58</v>
      </c>
      <c r="AX11" s="86">
        <v>47.58</v>
      </c>
      <c r="AY11" s="86">
        <v>47.58</v>
      </c>
      <c r="AZ11" s="86">
        <v>47.58</v>
      </c>
      <c r="CC11" s="86">
        <v>43.25</v>
      </c>
      <c r="CD11" s="86">
        <v>43.25</v>
      </c>
      <c r="CE11" s="86">
        <v>43.25</v>
      </c>
      <c r="CF11" s="86">
        <v>43.25</v>
      </c>
      <c r="CG11" s="86">
        <v>43.25</v>
      </c>
      <c r="CH11" s="86">
        <v>47.58</v>
      </c>
      <c r="CI11" s="86">
        <v>43.25</v>
      </c>
      <c r="CJ11" s="86">
        <v>47.58</v>
      </c>
      <c r="CK11" s="86">
        <v>47.58</v>
      </c>
      <c r="CL11" s="86">
        <v>47.58</v>
      </c>
      <c r="CM11" s="86">
        <v>47.58</v>
      </c>
      <c r="CN11" s="86">
        <v>47.58</v>
      </c>
      <c r="CO11" s="86">
        <v>43.25</v>
      </c>
      <c r="CP11" s="86">
        <v>47.58</v>
      </c>
      <c r="CQ11" s="86">
        <v>47.58</v>
      </c>
      <c r="CR11" s="86">
        <v>47.58</v>
      </c>
      <c r="CS11" s="86">
        <v>43.25</v>
      </c>
      <c r="CT11" s="86">
        <v>47.58</v>
      </c>
      <c r="CU11" s="86">
        <v>47.58</v>
      </c>
      <c r="CV11" s="86">
        <v>47.58</v>
      </c>
      <c r="CW11" s="86">
        <v>43.25</v>
      </c>
      <c r="CX11" s="86">
        <v>43.25</v>
      </c>
      <c r="CY11" s="86">
        <v>47.58</v>
      </c>
      <c r="CZ11" s="86">
        <v>47.58</v>
      </c>
      <c r="DA11" s="86">
        <v>47.58</v>
      </c>
      <c r="DB11" s="86">
        <v>43.25</v>
      </c>
      <c r="DC11" s="86">
        <v>47.58</v>
      </c>
      <c r="DD11" s="86">
        <v>47.58</v>
      </c>
      <c r="DE11" s="86">
        <v>47.58</v>
      </c>
      <c r="DF11" s="86">
        <v>47.58</v>
      </c>
      <c r="DG11" s="86">
        <v>47.58</v>
      </c>
      <c r="DH11" s="86">
        <v>47.58</v>
      </c>
      <c r="DI11" s="86">
        <v>47.58</v>
      </c>
      <c r="DJ11" s="86">
        <v>47.58</v>
      </c>
      <c r="DK11" s="86">
        <v>47.58</v>
      </c>
      <c r="DL11" s="86">
        <v>47.58</v>
      </c>
      <c r="DM11" s="86">
        <v>47.58</v>
      </c>
      <c r="DN11" s="86">
        <v>47.58</v>
      </c>
      <c r="DO11" s="86">
        <v>47.58</v>
      </c>
      <c r="DP11" s="86">
        <v>47.58</v>
      </c>
      <c r="DQ11" s="86">
        <v>47.58</v>
      </c>
      <c r="DR11" s="86">
        <v>47.58</v>
      </c>
      <c r="DS11" s="86">
        <v>47.58</v>
      </c>
      <c r="DT11" s="86">
        <v>47.58</v>
      </c>
      <c r="DU11" s="86">
        <v>47.58</v>
      </c>
      <c r="DV11" s="86">
        <v>47.58</v>
      </c>
      <c r="DW11" s="86">
        <v>47.58</v>
      </c>
      <c r="DX11" s="86">
        <v>47.58</v>
      </c>
      <c r="DY11" s="86">
        <v>47.58</v>
      </c>
      <c r="DZ11" s="86">
        <v>47.58</v>
      </c>
      <c r="EA11" s="86">
        <v>47.58</v>
      </c>
      <c r="EB11" s="86">
        <v>47.58</v>
      </c>
      <c r="EC11" s="86">
        <v>47.58</v>
      </c>
      <c r="ED11" s="86">
        <v>47.58</v>
      </c>
      <c r="EE11" s="86">
        <v>47.58</v>
      </c>
      <c r="EF11" s="86">
        <v>47.58</v>
      </c>
      <c r="EG11" s="86">
        <v>47.58</v>
      </c>
      <c r="EH11" s="86">
        <v>47.58</v>
      </c>
      <c r="EI11" s="86">
        <v>47.58</v>
      </c>
      <c r="FE11" s="86">
        <v>47.58</v>
      </c>
      <c r="FF11" s="86">
        <v>43.25</v>
      </c>
      <c r="FG11" s="86">
        <v>43.25</v>
      </c>
      <c r="FH11" s="86">
        <v>43.25</v>
      </c>
      <c r="FI11" s="86">
        <v>43.25</v>
      </c>
      <c r="FJ11" s="86">
        <v>43.25</v>
      </c>
      <c r="FK11" s="86">
        <v>47.58</v>
      </c>
      <c r="FL11" s="86">
        <v>43.25</v>
      </c>
      <c r="FM11" s="86">
        <v>47.58</v>
      </c>
      <c r="FN11" s="86">
        <v>47.58</v>
      </c>
      <c r="FO11" s="86">
        <v>47.58</v>
      </c>
      <c r="FP11" s="86">
        <v>47.58</v>
      </c>
      <c r="FQ11" s="86">
        <v>47.58</v>
      </c>
      <c r="FR11" s="86">
        <v>43.25</v>
      </c>
      <c r="FS11" s="86">
        <v>47.58</v>
      </c>
      <c r="FT11" s="86">
        <v>47.58</v>
      </c>
      <c r="FU11" s="86">
        <v>47.58</v>
      </c>
      <c r="FV11" s="86">
        <v>43.25</v>
      </c>
      <c r="FW11" s="86">
        <v>47.58</v>
      </c>
      <c r="FX11" s="86">
        <v>47.58</v>
      </c>
      <c r="FY11" s="86">
        <v>47.58</v>
      </c>
      <c r="FZ11" s="86">
        <v>43.25</v>
      </c>
      <c r="GA11" s="86">
        <v>43.25</v>
      </c>
      <c r="GB11" s="86">
        <v>47.58</v>
      </c>
      <c r="GC11" s="86">
        <v>47.58</v>
      </c>
      <c r="GD11" s="86">
        <v>47.58</v>
      </c>
      <c r="GE11" s="86">
        <v>43.25</v>
      </c>
      <c r="GF11" s="86">
        <v>47.58</v>
      </c>
      <c r="GG11" s="86">
        <v>47.58</v>
      </c>
      <c r="GH11" s="86">
        <v>47.58</v>
      </c>
      <c r="GI11" s="86">
        <v>47.58</v>
      </c>
      <c r="GJ11" s="86">
        <v>47.58</v>
      </c>
      <c r="GK11" s="86">
        <v>47.58</v>
      </c>
      <c r="GL11" s="86">
        <v>47.58</v>
      </c>
      <c r="GM11" s="86">
        <v>47.58</v>
      </c>
      <c r="GN11" s="86">
        <v>47.58</v>
      </c>
      <c r="GO11" s="86">
        <v>47.58</v>
      </c>
      <c r="GP11" s="86">
        <v>47.58</v>
      </c>
      <c r="GQ11" s="86">
        <v>47.58</v>
      </c>
      <c r="GR11" s="86">
        <v>47.58</v>
      </c>
      <c r="GS11" s="86">
        <v>47.58</v>
      </c>
      <c r="GT11" s="86">
        <v>47.58</v>
      </c>
      <c r="GU11" s="86">
        <v>47.58</v>
      </c>
      <c r="GV11" s="86">
        <v>47.58</v>
      </c>
      <c r="GW11" s="86">
        <v>47.58</v>
      </c>
      <c r="GX11" s="86">
        <v>47.58</v>
      </c>
      <c r="GY11" s="86">
        <v>47.58</v>
      </c>
      <c r="GZ11" s="86">
        <v>47.58</v>
      </c>
      <c r="HA11" s="86">
        <v>47.58</v>
      </c>
      <c r="HB11" s="86">
        <v>47.58</v>
      </c>
      <c r="HC11" s="86">
        <v>47.58</v>
      </c>
      <c r="HD11" s="86">
        <v>47.58</v>
      </c>
      <c r="HE11" s="86">
        <v>47.58</v>
      </c>
      <c r="HF11" s="86">
        <v>47.58</v>
      </c>
      <c r="HG11" s="86">
        <v>47.58</v>
      </c>
      <c r="HH11" s="86">
        <v>47.58</v>
      </c>
      <c r="HI11" s="86">
        <v>47.58</v>
      </c>
      <c r="HJ11" s="86">
        <v>47.58</v>
      </c>
      <c r="HK11" s="86">
        <v>47.58</v>
      </c>
      <c r="HL11" s="86">
        <v>47.58</v>
      </c>
      <c r="IG11" s="86">
        <v>47.58</v>
      </c>
      <c r="IH11" s="86">
        <v>43.25</v>
      </c>
      <c r="II11" s="86">
        <v>43.25</v>
      </c>
      <c r="IJ11" s="86">
        <v>43.25</v>
      </c>
      <c r="IK11" s="86">
        <v>43.25</v>
      </c>
      <c r="IL11" s="86">
        <v>43.25</v>
      </c>
      <c r="IM11" s="86">
        <v>47.58</v>
      </c>
      <c r="IN11" s="86">
        <v>43.25</v>
      </c>
      <c r="IO11" s="86">
        <v>47.58</v>
      </c>
      <c r="IP11" s="86">
        <v>47.58</v>
      </c>
      <c r="IQ11" s="86">
        <v>47.58</v>
      </c>
      <c r="IR11" s="86">
        <v>47.58</v>
      </c>
      <c r="IS11" s="86">
        <v>47.58</v>
      </c>
      <c r="IT11" s="86">
        <v>43.25</v>
      </c>
      <c r="IU11" s="86">
        <v>47.58</v>
      </c>
      <c r="IV11" s="86">
        <v>47.58</v>
      </c>
      <c r="IW11" s="86">
        <v>47.58</v>
      </c>
      <c r="IX11" s="86">
        <v>43.25</v>
      </c>
      <c r="IY11" s="86">
        <v>47.58</v>
      </c>
      <c r="IZ11" s="86">
        <v>47.58</v>
      </c>
      <c r="JA11" s="86">
        <v>47.58</v>
      </c>
      <c r="JB11" s="86">
        <v>43.25</v>
      </c>
      <c r="JC11" s="86">
        <v>43.25</v>
      </c>
      <c r="JD11" s="86">
        <v>47.58</v>
      </c>
      <c r="JE11" s="86">
        <v>47.58</v>
      </c>
      <c r="JF11" s="86">
        <v>47.58</v>
      </c>
      <c r="JG11" s="86">
        <v>43.25</v>
      </c>
      <c r="JH11" s="86">
        <v>47.58</v>
      </c>
      <c r="JI11" s="86">
        <v>47.58</v>
      </c>
      <c r="JJ11" s="86">
        <v>47.58</v>
      </c>
      <c r="JK11" s="86">
        <v>47.58</v>
      </c>
      <c r="JL11" s="86">
        <v>47.58</v>
      </c>
      <c r="JM11" s="86">
        <v>47.58</v>
      </c>
      <c r="JN11" s="86">
        <v>47.58</v>
      </c>
      <c r="JO11" s="86">
        <v>47.58</v>
      </c>
      <c r="JP11" s="86">
        <v>47.58</v>
      </c>
      <c r="JQ11" s="86">
        <v>47.58</v>
      </c>
      <c r="JR11" s="86">
        <v>47.58</v>
      </c>
      <c r="JS11" s="86">
        <v>47.58</v>
      </c>
      <c r="JT11" s="86">
        <v>47.58</v>
      </c>
      <c r="JU11" s="86">
        <v>47.58</v>
      </c>
      <c r="JV11" s="86">
        <v>47.58</v>
      </c>
      <c r="JW11" s="86">
        <v>47.58</v>
      </c>
      <c r="JX11" s="86">
        <v>47.58</v>
      </c>
      <c r="JY11" s="86">
        <v>47.58</v>
      </c>
      <c r="JZ11" s="86">
        <v>47.58</v>
      </c>
      <c r="KA11" s="86">
        <v>47.58</v>
      </c>
      <c r="KB11" s="86">
        <v>47.58</v>
      </c>
      <c r="KC11" s="86">
        <v>47.58</v>
      </c>
      <c r="KD11" s="86">
        <v>47.58</v>
      </c>
      <c r="KE11" s="86">
        <v>47.58</v>
      </c>
      <c r="KF11" s="86">
        <v>47.58</v>
      </c>
      <c r="KG11" s="86">
        <v>47.58</v>
      </c>
      <c r="KH11" s="86">
        <v>47.58</v>
      </c>
      <c r="KI11" s="86">
        <v>47.58</v>
      </c>
      <c r="KJ11" s="86">
        <v>47.58</v>
      </c>
      <c r="KK11" s="86">
        <v>47.58</v>
      </c>
      <c r="KL11" s="86">
        <v>47.58</v>
      </c>
      <c r="KM11" s="86">
        <v>47.58</v>
      </c>
      <c r="KN11" s="86">
        <v>47.58</v>
      </c>
      <c r="LI11" s="86">
        <v>43.25</v>
      </c>
      <c r="LJ11" s="86">
        <v>47.58</v>
      </c>
      <c r="LK11" s="86">
        <v>43.25</v>
      </c>
      <c r="LL11" s="86">
        <v>43.25</v>
      </c>
      <c r="LM11" s="86">
        <v>43.25</v>
      </c>
      <c r="LN11" s="86">
        <v>43.25</v>
      </c>
      <c r="LO11" s="86">
        <v>47.58</v>
      </c>
      <c r="LP11" s="86">
        <v>43.25</v>
      </c>
      <c r="LQ11" s="86">
        <v>47.58</v>
      </c>
      <c r="LR11" s="86">
        <v>47.58</v>
      </c>
      <c r="LS11" s="86">
        <v>47.58</v>
      </c>
      <c r="LT11" s="86">
        <v>47.58</v>
      </c>
      <c r="LU11" s="86">
        <v>47.58</v>
      </c>
      <c r="LV11" s="86">
        <v>43.25</v>
      </c>
      <c r="LW11" s="86">
        <v>47.58</v>
      </c>
      <c r="LX11" s="86">
        <v>47.58</v>
      </c>
      <c r="LY11" s="86">
        <v>47.58</v>
      </c>
      <c r="LZ11" s="86">
        <v>43.25</v>
      </c>
      <c r="MA11" s="86">
        <v>47.58</v>
      </c>
      <c r="MB11" s="86">
        <v>47.58</v>
      </c>
      <c r="MC11" s="86">
        <v>43.25</v>
      </c>
      <c r="MD11" s="86">
        <v>43.25</v>
      </c>
      <c r="ME11" s="86">
        <v>43.25</v>
      </c>
      <c r="MF11" s="86">
        <v>47.58</v>
      </c>
      <c r="MG11" s="86">
        <v>47.58</v>
      </c>
      <c r="MH11" s="86">
        <v>47.58</v>
      </c>
      <c r="MI11" s="86">
        <v>43.25</v>
      </c>
      <c r="MJ11" s="86">
        <v>47.58</v>
      </c>
      <c r="MK11" s="86">
        <v>47.58</v>
      </c>
      <c r="ML11" s="86">
        <v>47.58</v>
      </c>
      <c r="MM11" s="86">
        <v>47.58</v>
      </c>
      <c r="MN11" s="86">
        <v>47.58</v>
      </c>
      <c r="MO11" s="86">
        <v>47.58</v>
      </c>
      <c r="MP11" s="86">
        <v>47.58</v>
      </c>
      <c r="MQ11" s="86">
        <v>47.58</v>
      </c>
      <c r="MR11" s="86">
        <v>47.58</v>
      </c>
      <c r="MS11" s="86">
        <v>47.58</v>
      </c>
      <c r="MT11" s="86">
        <v>47.58</v>
      </c>
      <c r="MU11" s="86">
        <v>47.58</v>
      </c>
      <c r="MV11" s="86">
        <v>47.58</v>
      </c>
      <c r="MW11" s="86">
        <v>47.58</v>
      </c>
      <c r="MX11" s="86">
        <v>47.58</v>
      </c>
      <c r="MY11" s="86">
        <v>47.58</v>
      </c>
      <c r="MZ11" s="86">
        <v>47.58</v>
      </c>
      <c r="NA11" s="86">
        <v>47.58</v>
      </c>
      <c r="NB11" s="86">
        <v>47.58</v>
      </c>
      <c r="NC11" s="86">
        <v>47.58</v>
      </c>
      <c r="ND11" s="86">
        <v>47.58</v>
      </c>
      <c r="NE11" s="86">
        <v>47.58</v>
      </c>
      <c r="NF11" s="86">
        <v>47.58</v>
      </c>
      <c r="NG11" s="86">
        <v>47.58</v>
      </c>
      <c r="NH11" s="86">
        <v>47.58</v>
      </c>
      <c r="NI11" s="86">
        <v>47.58</v>
      </c>
      <c r="NJ11" s="86">
        <v>47.58</v>
      </c>
      <c r="NK11" s="86">
        <v>47.58</v>
      </c>
      <c r="NL11" s="86">
        <v>47.58</v>
      </c>
      <c r="NM11" s="86">
        <v>47.58</v>
      </c>
      <c r="NN11" s="86">
        <v>47.58</v>
      </c>
      <c r="NO11" s="86">
        <v>47.58</v>
      </c>
      <c r="NP11" s="86">
        <v>47.58</v>
      </c>
      <c r="NQ11" s="86">
        <v>47.58</v>
      </c>
      <c r="NR11" s="86">
        <v>47.58</v>
      </c>
      <c r="OK11" s="86">
        <v>47.58</v>
      </c>
      <c r="OL11" s="86">
        <v>43.25</v>
      </c>
      <c r="OM11" s="86">
        <v>43.25</v>
      </c>
      <c r="ON11" s="86">
        <v>43.25</v>
      </c>
      <c r="OO11" s="86">
        <v>43.25</v>
      </c>
      <c r="OP11" s="86">
        <v>43.25</v>
      </c>
      <c r="OQ11" s="86">
        <v>43.25</v>
      </c>
      <c r="OR11" s="86">
        <v>43.25</v>
      </c>
      <c r="OS11" s="86">
        <v>47.58</v>
      </c>
      <c r="OT11" s="86">
        <v>47.58</v>
      </c>
      <c r="OU11" s="86">
        <v>47.58</v>
      </c>
      <c r="OV11" s="86">
        <v>47.58</v>
      </c>
      <c r="OW11" s="86">
        <v>47.58</v>
      </c>
      <c r="OX11" s="86">
        <v>43.25</v>
      </c>
      <c r="OY11" s="86">
        <v>47.58</v>
      </c>
      <c r="OZ11" s="86">
        <v>47.58</v>
      </c>
      <c r="PA11" s="86">
        <v>47.58</v>
      </c>
      <c r="PB11" s="86">
        <v>43.25</v>
      </c>
      <c r="PC11" s="86">
        <v>47.58</v>
      </c>
      <c r="PD11" s="86">
        <v>47.58</v>
      </c>
      <c r="PE11" s="86">
        <v>47.58</v>
      </c>
      <c r="PF11" s="86">
        <v>43.25</v>
      </c>
      <c r="PG11" s="86">
        <v>43.25</v>
      </c>
      <c r="PH11" s="86">
        <v>47.58</v>
      </c>
      <c r="PI11" s="86">
        <v>47.58</v>
      </c>
      <c r="PJ11" s="86">
        <v>47.58</v>
      </c>
      <c r="PK11" s="86">
        <v>43.25</v>
      </c>
      <c r="PL11" s="86">
        <v>47.58</v>
      </c>
      <c r="PM11" s="86">
        <v>47.58</v>
      </c>
      <c r="PN11" s="86">
        <v>47.58</v>
      </c>
      <c r="PO11" s="86">
        <v>47.58</v>
      </c>
      <c r="PP11" s="86">
        <v>47.58</v>
      </c>
      <c r="PQ11" s="86">
        <v>47.58</v>
      </c>
      <c r="PR11" s="86">
        <v>47.58</v>
      </c>
      <c r="PS11" s="86">
        <v>47.58</v>
      </c>
      <c r="PT11" s="86">
        <v>47.58</v>
      </c>
      <c r="PU11" s="86">
        <v>47.58</v>
      </c>
      <c r="PV11" s="86">
        <v>47.58</v>
      </c>
      <c r="PW11" s="86">
        <v>47.58</v>
      </c>
      <c r="PX11" s="86">
        <v>47.58</v>
      </c>
      <c r="PY11" s="86">
        <v>47.58</v>
      </c>
      <c r="PZ11" s="86">
        <v>47.58</v>
      </c>
      <c r="QA11" s="86">
        <v>47.58</v>
      </c>
      <c r="QB11" s="86">
        <v>47.58</v>
      </c>
      <c r="QC11" s="86">
        <v>47.58</v>
      </c>
      <c r="QD11" s="86">
        <v>47.58</v>
      </c>
      <c r="QE11" s="86">
        <v>47.58</v>
      </c>
      <c r="QF11" s="86">
        <v>47.58</v>
      </c>
      <c r="QG11" s="86">
        <v>47.58</v>
      </c>
      <c r="QH11" s="86">
        <v>47.58</v>
      </c>
      <c r="QI11" s="86">
        <v>47.58</v>
      </c>
      <c r="QJ11" s="86">
        <v>47.58</v>
      </c>
      <c r="QK11" s="86">
        <v>47.58</v>
      </c>
      <c r="QL11" s="86">
        <v>47.58</v>
      </c>
      <c r="QM11" s="86">
        <v>47.58</v>
      </c>
      <c r="QN11" s="86">
        <v>47.58</v>
      </c>
      <c r="QO11" s="86">
        <v>47.58</v>
      </c>
      <c r="QP11" s="86">
        <v>47.58</v>
      </c>
      <c r="QQ11" s="86">
        <v>47.58</v>
      </c>
      <c r="QR11" s="86">
        <v>47.58</v>
      </c>
      <c r="QS11" s="86">
        <v>47.58</v>
      </c>
      <c r="QT11" s="86">
        <v>47.58</v>
      </c>
      <c r="RM11" s="86">
        <v>47.58</v>
      </c>
      <c r="RN11" s="86">
        <v>43.25</v>
      </c>
      <c r="RO11" s="86">
        <v>43.25</v>
      </c>
      <c r="RP11" s="86">
        <v>43.25</v>
      </c>
      <c r="RQ11" s="86">
        <v>43.25</v>
      </c>
      <c r="RR11" s="86">
        <v>43.25</v>
      </c>
      <c r="RS11" s="86">
        <v>47.58</v>
      </c>
      <c r="RT11" s="86">
        <v>43.25</v>
      </c>
      <c r="RU11" s="86">
        <v>47.58</v>
      </c>
      <c r="RV11" s="86">
        <v>47.58</v>
      </c>
      <c r="RW11" s="86">
        <v>47.58</v>
      </c>
      <c r="RX11" s="86">
        <v>47.58</v>
      </c>
      <c r="RY11" s="86">
        <v>47.58</v>
      </c>
      <c r="RZ11" s="86">
        <v>43.25</v>
      </c>
      <c r="SA11" s="86">
        <v>47.58</v>
      </c>
      <c r="SB11" s="86">
        <v>47.58</v>
      </c>
      <c r="SC11" s="86">
        <v>47.58</v>
      </c>
      <c r="SD11" s="86">
        <v>43.25</v>
      </c>
      <c r="SE11" s="86">
        <v>47.58</v>
      </c>
      <c r="SF11" s="86">
        <v>47.58</v>
      </c>
      <c r="SG11" s="86">
        <v>47.58</v>
      </c>
      <c r="SH11" s="86">
        <v>43.25</v>
      </c>
      <c r="SI11" s="86">
        <v>43.25</v>
      </c>
      <c r="SJ11" s="86">
        <v>47.58</v>
      </c>
      <c r="SK11" s="86">
        <v>47.58</v>
      </c>
      <c r="SL11" s="86">
        <v>47.58</v>
      </c>
      <c r="SM11" s="86">
        <v>43.25</v>
      </c>
      <c r="SN11" s="86">
        <v>47.58</v>
      </c>
      <c r="SO11" s="86">
        <v>47.58</v>
      </c>
      <c r="SP11" s="86">
        <v>47.58</v>
      </c>
      <c r="SQ11" s="86">
        <v>47.58</v>
      </c>
      <c r="SR11" s="86">
        <v>47.58</v>
      </c>
      <c r="SS11" s="86">
        <v>47.58</v>
      </c>
      <c r="ST11" s="86">
        <v>47.58</v>
      </c>
      <c r="SU11" s="86">
        <v>47.58</v>
      </c>
      <c r="SV11" s="86">
        <v>47.58</v>
      </c>
      <c r="SW11" s="86">
        <v>47.58</v>
      </c>
      <c r="SX11" s="86">
        <v>47.58</v>
      </c>
      <c r="SY11" s="86">
        <v>47.58</v>
      </c>
      <c r="SZ11" s="86">
        <v>47.58</v>
      </c>
      <c r="TA11" s="86">
        <v>47.58</v>
      </c>
      <c r="TB11" s="86">
        <v>47.58</v>
      </c>
      <c r="TC11" s="86">
        <v>47.58</v>
      </c>
      <c r="TD11" s="86">
        <v>47.58</v>
      </c>
      <c r="TE11" s="86">
        <v>47.58</v>
      </c>
      <c r="TF11" s="86">
        <v>47.58</v>
      </c>
      <c r="TG11" s="86">
        <v>47.58</v>
      </c>
      <c r="TH11" s="86">
        <v>47.58</v>
      </c>
      <c r="TI11" s="86">
        <v>47.58</v>
      </c>
      <c r="TJ11" s="86">
        <v>47.58</v>
      </c>
      <c r="TK11" s="86">
        <v>47.58</v>
      </c>
      <c r="TL11" s="86">
        <v>47.58</v>
      </c>
      <c r="TM11" s="86">
        <v>47.58</v>
      </c>
      <c r="TN11" s="86">
        <v>47.58</v>
      </c>
      <c r="TO11" s="86">
        <v>47.58</v>
      </c>
      <c r="TP11" s="86">
        <v>47.58</v>
      </c>
      <c r="TQ11" s="86">
        <v>47.58</v>
      </c>
      <c r="TR11" s="86">
        <v>47.58</v>
      </c>
      <c r="TS11" s="86">
        <v>47.58</v>
      </c>
      <c r="TT11" s="86">
        <v>47.58</v>
      </c>
      <c r="TU11" s="86">
        <v>47.58</v>
      </c>
      <c r="TV11" s="86">
        <v>47.58</v>
      </c>
      <c r="UO11" s="86">
        <v>47.58</v>
      </c>
      <c r="UP11" s="86">
        <v>43.25</v>
      </c>
      <c r="UQ11" s="86">
        <v>43.25</v>
      </c>
      <c r="UR11" s="86">
        <v>43.25</v>
      </c>
      <c r="US11" s="86">
        <v>43.25</v>
      </c>
      <c r="UT11" s="86">
        <v>43.25</v>
      </c>
      <c r="UU11" s="86">
        <v>47.58</v>
      </c>
      <c r="UV11" s="86">
        <v>43.25</v>
      </c>
      <c r="UW11" s="86">
        <v>47.58</v>
      </c>
      <c r="UX11" s="86">
        <v>47.58</v>
      </c>
      <c r="UY11" s="86">
        <v>47.58</v>
      </c>
      <c r="UZ11" s="86">
        <v>47.58</v>
      </c>
      <c r="VA11" s="86">
        <v>47.58</v>
      </c>
      <c r="VB11" s="86">
        <v>43.25</v>
      </c>
      <c r="VC11" s="86">
        <v>47.58</v>
      </c>
      <c r="VD11" s="86">
        <v>47.58</v>
      </c>
      <c r="VE11" s="86">
        <v>43.25</v>
      </c>
      <c r="VF11" s="86">
        <v>47.58</v>
      </c>
      <c r="VG11" s="86">
        <v>47.58</v>
      </c>
      <c r="VH11" s="86">
        <v>47.58</v>
      </c>
      <c r="VI11" s="86">
        <v>43.25</v>
      </c>
      <c r="VJ11" s="86">
        <v>43.25</v>
      </c>
      <c r="VK11" s="86">
        <v>47.58</v>
      </c>
      <c r="VL11" s="86">
        <v>47.58</v>
      </c>
      <c r="VM11" s="86">
        <v>47.58</v>
      </c>
      <c r="VN11" s="86">
        <v>43.25</v>
      </c>
      <c r="VO11" s="86">
        <v>47.58</v>
      </c>
      <c r="VP11" s="86">
        <v>47.58</v>
      </c>
      <c r="VQ11" s="86">
        <v>47.58</v>
      </c>
      <c r="VR11" s="86">
        <v>47.58</v>
      </c>
      <c r="VS11" s="86">
        <v>47.58</v>
      </c>
      <c r="VT11" s="86">
        <v>47.58</v>
      </c>
      <c r="VU11" s="86">
        <v>47.58</v>
      </c>
      <c r="VV11" s="86">
        <v>47.58</v>
      </c>
      <c r="VW11" s="86">
        <v>47.58</v>
      </c>
      <c r="VX11" s="86">
        <v>47.58</v>
      </c>
      <c r="VY11" s="86">
        <v>47.58</v>
      </c>
      <c r="VZ11" s="86">
        <v>47.58</v>
      </c>
      <c r="WA11" s="86">
        <v>47.58</v>
      </c>
      <c r="WB11" s="86">
        <v>47.58</v>
      </c>
      <c r="WC11" s="86">
        <v>47.58</v>
      </c>
      <c r="WD11" s="86">
        <v>47.58</v>
      </c>
      <c r="WE11" s="86">
        <v>47.58</v>
      </c>
      <c r="WF11" s="86">
        <v>47.58</v>
      </c>
      <c r="WG11" s="86">
        <v>47.58</v>
      </c>
      <c r="WH11" s="86">
        <v>47.58</v>
      </c>
      <c r="WI11" s="86">
        <v>47.58</v>
      </c>
      <c r="WJ11" s="86">
        <v>47.58</v>
      </c>
      <c r="WK11" s="86">
        <v>47.58</v>
      </c>
      <c r="WL11" s="86">
        <v>47.58</v>
      </c>
      <c r="WM11" s="86">
        <v>47.58</v>
      </c>
      <c r="WN11" s="86">
        <v>47.58</v>
      </c>
      <c r="WO11" s="86">
        <v>47.58</v>
      </c>
      <c r="WP11" s="86">
        <v>47.58</v>
      </c>
      <c r="WQ11" s="86">
        <v>47.58</v>
      </c>
      <c r="WR11" s="86">
        <v>47.58</v>
      </c>
      <c r="WS11" s="86">
        <v>47.58</v>
      </c>
      <c r="WT11" s="86">
        <v>47.58</v>
      </c>
      <c r="WU11" s="86">
        <v>47.58</v>
      </c>
      <c r="WV11" s="86">
        <v>47.58</v>
      </c>
      <c r="WW11" s="86">
        <v>47.58</v>
      </c>
      <c r="XQ11" s="86">
        <v>47.58</v>
      </c>
      <c r="XR11" s="86">
        <v>43.25</v>
      </c>
      <c r="XS11" s="86">
        <v>43.25</v>
      </c>
      <c r="XT11" s="86">
        <v>43.25</v>
      </c>
      <c r="XU11" s="86">
        <v>43.25</v>
      </c>
      <c r="XV11" s="86">
        <v>43.25</v>
      </c>
      <c r="XW11" s="86">
        <v>47.58</v>
      </c>
      <c r="XX11" s="86">
        <v>43.25</v>
      </c>
      <c r="XY11" s="86">
        <v>47.58</v>
      </c>
      <c r="XZ11" s="86">
        <v>47.58</v>
      </c>
      <c r="YA11" s="86">
        <v>47.58</v>
      </c>
      <c r="YB11" s="86">
        <v>47.58</v>
      </c>
      <c r="YC11" s="86">
        <v>47.58</v>
      </c>
      <c r="YD11" s="86">
        <v>43.25</v>
      </c>
      <c r="YE11" s="86">
        <v>47.58</v>
      </c>
      <c r="YF11" s="86">
        <v>47.58</v>
      </c>
      <c r="YG11" s="86">
        <v>43.25</v>
      </c>
      <c r="YH11" s="86">
        <v>47.58</v>
      </c>
      <c r="YI11" s="86">
        <v>47.58</v>
      </c>
      <c r="YJ11" s="86">
        <v>47.58</v>
      </c>
      <c r="YK11" s="86">
        <v>43.25</v>
      </c>
      <c r="YL11" s="86">
        <v>43.25</v>
      </c>
      <c r="YM11" s="86">
        <v>47.58</v>
      </c>
      <c r="YN11" s="86">
        <v>47.58</v>
      </c>
      <c r="YO11" s="86">
        <v>47.58</v>
      </c>
      <c r="YP11" s="86">
        <v>43.25</v>
      </c>
      <c r="YQ11" s="86">
        <v>47.58</v>
      </c>
      <c r="YR11" s="86">
        <v>47.58</v>
      </c>
      <c r="YS11" s="86">
        <v>47.58</v>
      </c>
      <c r="YT11" s="86">
        <v>47.58</v>
      </c>
      <c r="YU11" s="86">
        <v>47.58</v>
      </c>
      <c r="YV11" s="86">
        <v>47.58</v>
      </c>
      <c r="YW11" s="86">
        <v>47.58</v>
      </c>
      <c r="YX11" s="86">
        <v>47.58</v>
      </c>
      <c r="YY11" s="86">
        <v>47.58</v>
      </c>
      <c r="YZ11" s="86">
        <v>47.58</v>
      </c>
      <c r="ZA11" s="86">
        <v>47.58</v>
      </c>
      <c r="ZB11" s="86">
        <v>47.58</v>
      </c>
      <c r="ZC11" s="86">
        <v>47.58</v>
      </c>
      <c r="ZD11" s="86">
        <v>47.58</v>
      </c>
      <c r="ZE11" s="86">
        <v>47.58</v>
      </c>
      <c r="ZF11" s="86">
        <v>47.58</v>
      </c>
      <c r="ZG11" s="86">
        <v>47.58</v>
      </c>
      <c r="ZH11" s="86">
        <v>47.58</v>
      </c>
      <c r="ZI11" s="86">
        <v>47.58</v>
      </c>
      <c r="ZJ11" s="86">
        <v>47.58</v>
      </c>
      <c r="ZK11" s="86">
        <v>47.58</v>
      </c>
      <c r="ZL11" s="86">
        <v>47.58</v>
      </c>
      <c r="ZM11" s="86">
        <v>47.58</v>
      </c>
      <c r="ZN11" s="86">
        <v>47.58</v>
      </c>
      <c r="ZO11" s="86">
        <v>47.58</v>
      </c>
      <c r="ZP11" s="86">
        <v>47.58</v>
      </c>
      <c r="ZQ11" s="86">
        <v>47.58</v>
      </c>
      <c r="ZR11" s="86">
        <v>47.58</v>
      </c>
      <c r="ZS11" s="86">
        <v>47.58</v>
      </c>
      <c r="ZT11" s="86">
        <v>47.58</v>
      </c>
      <c r="ZU11" s="86">
        <v>47.58</v>
      </c>
      <c r="ZV11" s="86">
        <v>47.58</v>
      </c>
      <c r="ZW11" s="86">
        <v>47.58</v>
      </c>
      <c r="AAS11" s="86">
        <v>47.58</v>
      </c>
      <c r="AAT11" s="86">
        <v>43.25</v>
      </c>
      <c r="AAU11" s="86">
        <v>43.25</v>
      </c>
      <c r="AAV11" s="86">
        <v>43.25</v>
      </c>
      <c r="AAW11" s="86">
        <v>43.25</v>
      </c>
      <c r="AAX11" s="86">
        <v>43.25</v>
      </c>
      <c r="AAY11" s="86">
        <v>47.58</v>
      </c>
      <c r="AAZ11" s="86">
        <v>43.25</v>
      </c>
      <c r="ABA11" s="86">
        <v>47.58</v>
      </c>
      <c r="ABB11" s="86">
        <v>47.58</v>
      </c>
      <c r="ABC11" s="86">
        <v>47.58</v>
      </c>
      <c r="ABD11" s="86">
        <v>47.58</v>
      </c>
      <c r="ABE11" s="86">
        <v>47.58</v>
      </c>
      <c r="ABF11" s="86">
        <v>43.25</v>
      </c>
      <c r="ABG11" s="86">
        <v>47.58</v>
      </c>
      <c r="ABH11" s="86">
        <v>47.58</v>
      </c>
      <c r="ABI11" s="86">
        <v>43.25</v>
      </c>
      <c r="ABJ11" s="86">
        <v>47.58</v>
      </c>
      <c r="ABK11" s="86">
        <v>47.58</v>
      </c>
      <c r="ABL11" s="86">
        <v>43.25</v>
      </c>
      <c r="ABM11" s="86">
        <v>43.25</v>
      </c>
      <c r="ABN11" s="86">
        <v>47.58</v>
      </c>
      <c r="ABO11" s="86">
        <v>47.58</v>
      </c>
      <c r="ABP11" s="86">
        <v>47.58</v>
      </c>
      <c r="ABQ11" s="86">
        <v>43.25</v>
      </c>
      <c r="ABR11" s="86">
        <v>47.58</v>
      </c>
      <c r="ABS11" s="86">
        <v>47.58</v>
      </c>
      <c r="ABT11" s="86">
        <v>47.58</v>
      </c>
      <c r="ABU11" s="86">
        <v>47.58</v>
      </c>
      <c r="ABV11" s="86">
        <v>47.58</v>
      </c>
      <c r="ABW11" s="86">
        <v>47.58</v>
      </c>
      <c r="ABX11" s="86">
        <v>47.58</v>
      </c>
      <c r="ABY11" s="86">
        <v>47.58</v>
      </c>
      <c r="ABZ11" s="86">
        <v>47.58</v>
      </c>
      <c r="ACA11" s="86">
        <v>47.58</v>
      </c>
      <c r="ACB11" s="86">
        <v>47.58</v>
      </c>
      <c r="ACC11" s="86">
        <v>47.58</v>
      </c>
      <c r="ACD11" s="86">
        <v>47.58</v>
      </c>
      <c r="ACE11" s="86">
        <v>47.58</v>
      </c>
      <c r="ACF11" s="86">
        <v>47.58</v>
      </c>
      <c r="ACG11" s="86">
        <v>47.58</v>
      </c>
      <c r="ACH11" s="86">
        <v>47.58</v>
      </c>
      <c r="ACI11" s="86">
        <v>47.58</v>
      </c>
      <c r="ACJ11" s="86">
        <v>47.58</v>
      </c>
      <c r="ACK11" s="86">
        <v>47.58</v>
      </c>
      <c r="ACL11" s="86">
        <v>47.58</v>
      </c>
      <c r="ACM11" s="86">
        <v>47.58</v>
      </c>
      <c r="ACN11" s="86">
        <v>47.58</v>
      </c>
      <c r="ACO11" s="86">
        <v>47.58</v>
      </c>
      <c r="ACP11" s="86">
        <v>47.58</v>
      </c>
      <c r="ACQ11" s="86">
        <v>47.58</v>
      </c>
      <c r="ACR11" s="86">
        <v>47.58</v>
      </c>
      <c r="ACS11" s="86">
        <v>47.58</v>
      </c>
      <c r="ACT11" s="86">
        <v>47.58</v>
      </c>
      <c r="ACU11" s="86">
        <v>47.58</v>
      </c>
      <c r="ACV11" s="86">
        <v>47.58</v>
      </c>
      <c r="ACW11" s="86">
        <v>47.58</v>
      </c>
      <c r="ACX11" s="86">
        <v>47.58</v>
      </c>
      <c r="ADU11" s="86">
        <v>47.58</v>
      </c>
      <c r="ADV11" s="86">
        <v>43.25</v>
      </c>
      <c r="ADW11" s="86">
        <v>43.25</v>
      </c>
      <c r="ADX11" s="86">
        <v>43.25</v>
      </c>
      <c r="ADY11" s="86">
        <v>43.25</v>
      </c>
      <c r="ADZ11" s="86">
        <v>47.58</v>
      </c>
      <c r="AEA11" s="86">
        <v>43.25</v>
      </c>
      <c r="AEB11" s="86">
        <v>47.58</v>
      </c>
      <c r="AEC11" s="86">
        <v>47.58</v>
      </c>
      <c r="AED11" s="86">
        <v>47.58</v>
      </c>
      <c r="AEE11" s="86">
        <v>47.58</v>
      </c>
      <c r="AEF11" s="86">
        <v>47.58</v>
      </c>
      <c r="AEG11" s="86">
        <v>43.25</v>
      </c>
      <c r="AEH11" s="86">
        <v>47.58</v>
      </c>
      <c r="AEI11" s="86">
        <v>47.58</v>
      </c>
      <c r="AEJ11" s="86">
        <v>43.25</v>
      </c>
      <c r="AEK11" s="86">
        <v>47.58</v>
      </c>
      <c r="AEL11" s="86">
        <v>47.58</v>
      </c>
      <c r="AEM11" s="86">
        <v>43.25</v>
      </c>
      <c r="AEN11" s="86">
        <v>43.25</v>
      </c>
      <c r="AEO11" s="86">
        <v>47.58</v>
      </c>
      <c r="AEP11" s="86">
        <v>47.58</v>
      </c>
      <c r="AEQ11" s="86">
        <v>47.58</v>
      </c>
      <c r="AER11" s="86">
        <v>43.25</v>
      </c>
      <c r="AES11" s="86">
        <v>47.58</v>
      </c>
      <c r="AET11" s="86">
        <v>47.58</v>
      </c>
      <c r="AEU11" s="86">
        <v>47.58</v>
      </c>
      <c r="AEV11" s="86">
        <v>47.58</v>
      </c>
      <c r="AEW11" s="86">
        <v>47.58</v>
      </c>
      <c r="AEX11" s="86">
        <v>47.58</v>
      </c>
      <c r="AEY11" s="86">
        <v>47.58</v>
      </c>
      <c r="AEZ11" s="86">
        <v>47.58</v>
      </c>
      <c r="AFA11" s="86">
        <v>47.58</v>
      </c>
      <c r="AFB11" s="86">
        <v>47.58</v>
      </c>
      <c r="AFC11" s="86">
        <v>47.58</v>
      </c>
      <c r="AFD11" s="86">
        <v>47.58</v>
      </c>
      <c r="AFE11" s="86">
        <v>47.58</v>
      </c>
      <c r="AFF11" s="86">
        <v>47.58</v>
      </c>
      <c r="AFG11" s="86">
        <v>47.58</v>
      </c>
      <c r="AFH11" s="86">
        <v>47.58</v>
      </c>
      <c r="AFI11" s="86">
        <v>47.58</v>
      </c>
      <c r="AFJ11" s="86">
        <v>47.58</v>
      </c>
      <c r="AFK11" s="86">
        <v>47.58</v>
      </c>
      <c r="AFL11" s="86">
        <v>47.58</v>
      </c>
      <c r="AFM11" s="86">
        <v>47.58</v>
      </c>
      <c r="AFN11" s="86">
        <v>47.58</v>
      </c>
      <c r="AFO11" s="86">
        <v>47.58</v>
      </c>
      <c r="AFP11" s="86">
        <v>47.58</v>
      </c>
      <c r="AFQ11" s="86">
        <v>47.58</v>
      </c>
      <c r="AFR11" s="86">
        <v>47.58</v>
      </c>
      <c r="AFS11" s="86">
        <v>47.58</v>
      </c>
      <c r="AFT11" s="86">
        <v>47.58</v>
      </c>
      <c r="AFU11" s="86">
        <v>47.58</v>
      </c>
      <c r="AFV11" s="86">
        <v>47.58</v>
      </c>
      <c r="AFW11" s="86">
        <v>47.58</v>
      </c>
      <c r="AFX11" s="86">
        <v>47.58</v>
      </c>
      <c r="AFY11" s="86">
        <v>47.58</v>
      </c>
      <c r="AGW11" s="86">
        <v>47.58</v>
      </c>
      <c r="AGX11" s="86">
        <v>43.25</v>
      </c>
      <c r="AGY11" s="86">
        <v>43.25</v>
      </c>
      <c r="AGZ11" s="86">
        <v>43.25</v>
      </c>
      <c r="AHA11" s="86">
        <v>43.25</v>
      </c>
      <c r="AHB11" s="86">
        <v>47.58</v>
      </c>
      <c r="AHC11" s="86">
        <v>43.25</v>
      </c>
      <c r="AHD11" s="86">
        <v>47.58</v>
      </c>
      <c r="AHE11" s="86">
        <v>47.58</v>
      </c>
      <c r="AHF11" s="86">
        <v>47.58</v>
      </c>
      <c r="AHG11" s="86">
        <v>47.58</v>
      </c>
      <c r="AHH11" s="86">
        <v>47.58</v>
      </c>
      <c r="AHI11" s="86">
        <v>43.25</v>
      </c>
      <c r="AHJ11" s="86">
        <v>47.58</v>
      </c>
      <c r="AHK11" s="86">
        <v>47.58</v>
      </c>
      <c r="AHL11" s="86">
        <v>43.25</v>
      </c>
      <c r="AHM11" s="86">
        <v>47.58</v>
      </c>
      <c r="AHN11" s="86">
        <v>47.58</v>
      </c>
      <c r="AHO11" s="86">
        <v>43.25</v>
      </c>
      <c r="AHP11" s="86">
        <v>43.25</v>
      </c>
      <c r="AHQ11" s="86">
        <v>47.58</v>
      </c>
      <c r="AHR11" s="86">
        <v>47.58</v>
      </c>
      <c r="AHS11" s="86">
        <v>47.58</v>
      </c>
      <c r="AHT11" s="86">
        <v>43.25</v>
      </c>
      <c r="AHU11" s="86">
        <v>47.58</v>
      </c>
      <c r="AHV11" s="86">
        <v>47.58</v>
      </c>
      <c r="AHW11" s="86">
        <v>47.58</v>
      </c>
      <c r="AHX11" s="86">
        <v>47.58</v>
      </c>
      <c r="AHY11" s="86">
        <v>47.58</v>
      </c>
      <c r="AHZ11" s="86">
        <v>47.58</v>
      </c>
      <c r="AIA11" s="86">
        <v>47.58</v>
      </c>
      <c r="AIB11" s="86">
        <v>47.58</v>
      </c>
      <c r="AIC11" s="86">
        <v>47.58</v>
      </c>
      <c r="AID11" s="86">
        <v>47.58</v>
      </c>
      <c r="AIE11" s="86">
        <v>47.58</v>
      </c>
      <c r="AIF11" s="86">
        <v>47.58</v>
      </c>
      <c r="AIG11" s="86">
        <v>47.58</v>
      </c>
      <c r="AIH11" s="86">
        <v>47.58</v>
      </c>
      <c r="AII11" s="86">
        <v>47.58</v>
      </c>
      <c r="AIJ11" s="86">
        <v>47.58</v>
      </c>
      <c r="AIK11" s="86">
        <v>47.58</v>
      </c>
      <c r="AIL11" s="86">
        <v>47.58</v>
      </c>
      <c r="AIM11" s="86">
        <v>47.58</v>
      </c>
      <c r="AIN11" s="86">
        <v>47.58</v>
      </c>
      <c r="AIO11" s="86">
        <v>47.58</v>
      </c>
      <c r="AIP11" s="86">
        <v>47.58</v>
      </c>
      <c r="AIQ11" s="86">
        <v>47.58</v>
      </c>
      <c r="AIR11" s="86">
        <v>47.58</v>
      </c>
      <c r="AIS11" s="86">
        <v>47.58</v>
      </c>
      <c r="AIT11" s="86">
        <v>47.58</v>
      </c>
      <c r="AIU11" s="86">
        <v>47.58</v>
      </c>
      <c r="AIV11" s="86">
        <v>47.58</v>
      </c>
      <c r="AIW11" s="86">
        <v>47.58</v>
      </c>
      <c r="AIX11" s="86">
        <v>47.58</v>
      </c>
      <c r="AIY11" s="86">
        <v>47.58</v>
      </c>
      <c r="AIZ11" s="86">
        <v>47.58</v>
      </c>
      <c r="AJY11" t="s">
        <v>12</v>
      </c>
    </row>
    <row r="12" spans="1:961">
      <c r="A12" s="86">
        <v>34.6</v>
      </c>
      <c r="B12" s="86">
        <v>34.6</v>
      </c>
      <c r="C12" s="86">
        <v>34.6</v>
      </c>
      <c r="D12" s="86">
        <v>34.6</v>
      </c>
      <c r="E12" s="86">
        <v>43.25</v>
      </c>
      <c r="F12" s="86">
        <v>34.6</v>
      </c>
      <c r="G12" s="86">
        <v>43.25</v>
      </c>
      <c r="H12" s="86">
        <v>43.25</v>
      </c>
      <c r="I12" s="86">
        <v>43.25</v>
      </c>
      <c r="J12" s="86">
        <v>43.25</v>
      </c>
      <c r="K12" s="86">
        <v>43.25</v>
      </c>
      <c r="L12" s="86">
        <v>34.6</v>
      </c>
      <c r="M12" s="86">
        <v>43.25</v>
      </c>
      <c r="N12" s="86">
        <v>43.25</v>
      </c>
      <c r="O12" s="86">
        <v>43.25</v>
      </c>
      <c r="P12" s="86">
        <v>34.6</v>
      </c>
      <c r="Q12" s="86">
        <v>43.25</v>
      </c>
      <c r="R12" s="86">
        <v>43.25</v>
      </c>
      <c r="S12" s="86">
        <v>43.25</v>
      </c>
      <c r="T12" s="86">
        <v>34.6</v>
      </c>
      <c r="U12" s="86">
        <v>34.6</v>
      </c>
      <c r="V12" s="86">
        <v>43.25</v>
      </c>
      <c r="W12" s="86">
        <v>43.25</v>
      </c>
      <c r="X12" s="86">
        <v>43.25</v>
      </c>
      <c r="Y12" s="86">
        <v>34.6</v>
      </c>
      <c r="Z12" s="86">
        <v>43.25</v>
      </c>
      <c r="AA12" s="86">
        <v>43.25</v>
      </c>
      <c r="AB12" s="86">
        <v>43.25</v>
      </c>
      <c r="AC12" s="86">
        <v>43.25</v>
      </c>
      <c r="AD12" s="86">
        <v>43.25</v>
      </c>
      <c r="AE12" s="86">
        <v>43.25</v>
      </c>
      <c r="AF12" s="86">
        <v>43.25</v>
      </c>
      <c r="AG12" s="86">
        <v>43.25</v>
      </c>
      <c r="AH12" s="86">
        <v>43.25</v>
      </c>
      <c r="AI12" s="86">
        <v>43.25</v>
      </c>
      <c r="AJ12" s="86">
        <v>43.25</v>
      </c>
      <c r="AK12" s="86">
        <v>43.25</v>
      </c>
      <c r="AL12" s="86">
        <v>43.25</v>
      </c>
      <c r="AM12" s="86">
        <v>43.25</v>
      </c>
      <c r="AN12" s="86">
        <v>43.25</v>
      </c>
      <c r="AO12" s="86">
        <v>43.25</v>
      </c>
      <c r="AP12" s="86">
        <v>43.25</v>
      </c>
      <c r="AQ12" s="86">
        <v>43.25</v>
      </c>
      <c r="AR12" s="86">
        <v>43.25</v>
      </c>
      <c r="AS12" s="86">
        <v>43.25</v>
      </c>
      <c r="AT12" s="86">
        <v>43.25</v>
      </c>
      <c r="AU12" s="86">
        <v>43.25</v>
      </c>
      <c r="AV12" s="86">
        <v>43.25</v>
      </c>
      <c r="AW12" s="86">
        <v>43.25</v>
      </c>
      <c r="AX12" s="86">
        <v>43.25</v>
      </c>
      <c r="AY12" s="86">
        <v>43.25</v>
      </c>
      <c r="AZ12" s="86">
        <v>43.25</v>
      </c>
      <c r="CC12" s="86">
        <v>34.6</v>
      </c>
      <c r="CD12" s="86">
        <v>34.6</v>
      </c>
      <c r="CE12" s="86">
        <v>34.6</v>
      </c>
      <c r="CF12" s="86">
        <v>34.6</v>
      </c>
      <c r="CG12" s="86">
        <v>34.6</v>
      </c>
      <c r="CH12" s="86">
        <v>43.25</v>
      </c>
      <c r="CI12" s="86">
        <v>34.6</v>
      </c>
      <c r="CJ12" s="86">
        <v>43.25</v>
      </c>
      <c r="CK12" s="86">
        <v>43.25</v>
      </c>
      <c r="CL12" s="86">
        <v>43.25</v>
      </c>
      <c r="CM12" s="86">
        <v>43.25</v>
      </c>
      <c r="CN12" s="86">
        <v>43.25</v>
      </c>
      <c r="CO12" s="86">
        <v>34.6</v>
      </c>
      <c r="CP12" s="86">
        <v>43.25</v>
      </c>
      <c r="CQ12" s="86">
        <v>43.25</v>
      </c>
      <c r="CR12" s="86">
        <v>43.25</v>
      </c>
      <c r="CS12" s="86">
        <v>34.6</v>
      </c>
      <c r="CT12" s="86">
        <v>43.25</v>
      </c>
      <c r="CU12" s="86">
        <v>43.25</v>
      </c>
      <c r="CV12" s="86">
        <v>43.25</v>
      </c>
      <c r="CW12" s="86">
        <v>34.6</v>
      </c>
      <c r="CX12" s="86">
        <v>34.6</v>
      </c>
      <c r="CY12" s="86">
        <v>43.25</v>
      </c>
      <c r="CZ12" s="86">
        <v>43.25</v>
      </c>
      <c r="DA12" s="86">
        <v>43.25</v>
      </c>
      <c r="DB12" s="86">
        <v>34.6</v>
      </c>
      <c r="DC12" s="86">
        <v>43.25</v>
      </c>
      <c r="DD12" s="86">
        <v>43.25</v>
      </c>
      <c r="DE12" s="86">
        <v>43.25</v>
      </c>
      <c r="DF12" s="86">
        <v>43.25</v>
      </c>
      <c r="DG12" s="86">
        <v>43.25</v>
      </c>
      <c r="DH12" s="86">
        <v>43.25</v>
      </c>
      <c r="DI12" s="86">
        <v>43.25</v>
      </c>
      <c r="DJ12" s="86">
        <v>43.25</v>
      </c>
      <c r="DK12" s="86">
        <v>43.25</v>
      </c>
      <c r="DL12" s="86">
        <v>43.25</v>
      </c>
      <c r="DM12" s="86">
        <v>43.25</v>
      </c>
      <c r="DN12" s="86">
        <v>43.25</v>
      </c>
      <c r="DO12" s="86">
        <v>43.25</v>
      </c>
      <c r="DP12" s="86">
        <v>43.25</v>
      </c>
      <c r="DQ12" s="86">
        <v>43.25</v>
      </c>
      <c r="DR12" s="86">
        <v>43.25</v>
      </c>
      <c r="DS12" s="86">
        <v>43.25</v>
      </c>
      <c r="DT12" s="86">
        <v>43.25</v>
      </c>
      <c r="DU12" s="86">
        <v>43.25</v>
      </c>
      <c r="DV12" s="86">
        <v>43.25</v>
      </c>
      <c r="DW12" s="86">
        <v>43.25</v>
      </c>
      <c r="DX12" s="86">
        <v>43.25</v>
      </c>
      <c r="DY12" s="86">
        <v>43.25</v>
      </c>
      <c r="DZ12" s="86">
        <v>43.25</v>
      </c>
      <c r="EA12" s="86">
        <v>43.25</v>
      </c>
      <c r="EB12" s="86">
        <v>43.25</v>
      </c>
      <c r="EC12" s="86">
        <v>43.25</v>
      </c>
      <c r="ED12" s="86">
        <v>43.25</v>
      </c>
      <c r="EE12" s="86">
        <v>43.25</v>
      </c>
      <c r="EF12" s="86">
        <v>43.25</v>
      </c>
      <c r="EG12" s="86">
        <v>43.25</v>
      </c>
      <c r="EH12" s="86">
        <v>43.25</v>
      </c>
      <c r="EI12" s="86">
        <v>43.25</v>
      </c>
      <c r="FE12" s="86">
        <v>43.25</v>
      </c>
      <c r="FF12" s="86">
        <v>34.6</v>
      </c>
      <c r="FG12" s="86">
        <v>34.6</v>
      </c>
      <c r="FH12" s="86">
        <v>34.6</v>
      </c>
      <c r="FI12" s="86">
        <v>34.6</v>
      </c>
      <c r="FJ12" s="86">
        <v>34.6</v>
      </c>
      <c r="FK12" s="86">
        <v>43.25</v>
      </c>
      <c r="FL12" s="86">
        <v>34.6</v>
      </c>
      <c r="FM12" s="86">
        <v>43.25</v>
      </c>
      <c r="FN12" s="86">
        <v>43.25</v>
      </c>
      <c r="FO12" s="86">
        <v>43.25</v>
      </c>
      <c r="FP12" s="86">
        <v>43.25</v>
      </c>
      <c r="FQ12" s="86">
        <v>43.25</v>
      </c>
      <c r="FR12" s="86">
        <v>34.6</v>
      </c>
      <c r="FS12" s="86">
        <v>43.25</v>
      </c>
      <c r="FT12" s="86">
        <v>43.25</v>
      </c>
      <c r="FU12" s="86">
        <v>43.25</v>
      </c>
      <c r="FV12" s="86">
        <v>34.6</v>
      </c>
      <c r="FW12" s="86">
        <v>43.25</v>
      </c>
      <c r="FX12" s="86">
        <v>43.25</v>
      </c>
      <c r="FY12" s="86">
        <v>43.25</v>
      </c>
      <c r="FZ12" s="86">
        <v>34.6</v>
      </c>
      <c r="GA12" s="86">
        <v>34.6</v>
      </c>
      <c r="GB12" s="86">
        <v>43.25</v>
      </c>
      <c r="GC12" s="86">
        <v>43.25</v>
      </c>
      <c r="GD12" s="86">
        <v>43.25</v>
      </c>
      <c r="GE12" s="86">
        <v>34.6</v>
      </c>
      <c r="GF12" s="86">
        <v>43.25</v>
      </c>
      <c r="GG12" s="86">
        <v>43.25</v>
      </c>
      <c r="GH12" s="86">
        <v>43.25</v>
      </c>
      <c r="GI12" s="86">
        <v>43.25</v>
      </c>
      <c r="GJ12" s="86">
        <v>43.25</v>
      </c>
      <c r="GK12" s="86">
        <v>43.25</v>
      </c>
      <c r="GL12" s="86">
        <v>43.25</v>
      </c>
      <c r="GM12" s="86">
        <v>43.25</v>
      </c>
      <c r="GN12" s="86">
        <v>43.25</v>
      </c>
      <c r="GO12" s="86">
        <v>43.25</v>
      </c>
      <c r="GP12" s="86">
        <v>43.25</v>
      </c>
      <c r="GQ12" s="86">
        <v>43.25</v>
      </c>
      <c r="GR12" s="86">
        <v>43.25</v>
      </c>
      <c r="GS12" s="86">
        <v>43.25</v>
      </c>
      <c r="GT12" s="86">
        <v>43.25</v>
      </c>
      <c r="GU12" s="86">
        <v>43.25</v>
      </c>
      <c r="GV12" s="86">
        <v>43.25</v>
      </c>
      <c r="GW12" s="86">
        <v>43.25</v>
      </c>
      <c r="GX12" s="86">
        <v>43.25</v>
      </c>
      <c r="GY12" s="86">
        <v>43.25</v>
      </c>
      <c r="GZ12" s="86">
        <v>43.25</v>
      </c>
      <c r="HA12" s="86">
        <v>43.25</v>
      </c>
      <c r="HB12" s="86">
        <v>43.25</v>
      </c>
      <c r="HC12" s="86">
        <v>43.25</v>
      </c>
      <c r="HD12" s="86">
        <v>43.25</v>
      </c>
      <c r="HE12" s="86">
        <v>43.25</v>
      </c>
      <c r="HF12" s="86">
        <v>43.25</v>
      </c>
      <c r="HG12" s="86">
        <v>43.25</v>
      </c>
      <c r="HH12" s="86">
        <v>43.25</v>
      </c>
      <c r="HI12" s="86">
        <v>43.25</v>
      </c>
      <c r="HJ12" s="86">
        <v>43.25</v>
      </c>
      <c r="HK12" s="86">
        <v>43.25</v>
      </c>
      <c r="HL12" s="86">
        <v>43.25</v>
      </c>
      <c r="IG12" s="86">
        <v>43.25</v>
      </c>
      <c r="IH12" s="86">
        <v>34.6</v>
      </c>
      <c r="II12" s="86">
        <v>34.6</v>
      </c>
      <c r="IJ12" s="86">
        <v>34.6</v>
      </c>
      <c r="IK12" s="86">
        <v>34.6</v>
      </c>
      <c r="IL12" s="86">
        <v>34.6</v>
      </c>
      <c r="IM12" s="86">
        <v>43.25</v>
      </c>
      <c r="IN12" s="86">
        <v>34.6</v>
      </c>
      <c r="IO12" s="86">
        <v>43.25</v>
      </c>
      <c r="IP12" s="86">
        <v>43.25</v>
      </c>
      <c r="IQ12" s="86">
        <v>43.25</v>
      </c>
      <c r="IR12" s="86">
        <v>43.25</v>
      </c>
      <c r="IS12" s="86">
        <v>43.25</v>
      </c>
      <c r="IT12" s="86">
        <v>34.6</v>
      </c>
      <c r="IU12" s="86">
        <v>43.25</v>
      </c>
      <c r="IV12" s="86">
        <v>43.25</v>
      </c>
      <c r="IW12" s="86">
        <v>43.25</v>
      </c>
      <c r="IX12" s="86">
        <v>34.6</v>
      </c>
      <c r="IY12" s="86">
        <v>43.25</v>
      </c>
      <c r="IZ12" s="86">
        <v>43.25</v>
      </c>
      <c r="JA12" s="86">
        <v>43.25</v>
      </c>
      <c r="JB12" s="86">
        <v>34.6</v>
      </c>
      <c r="JC12" s="86">
        <v>34.6</v>
      </c>
      <c r="JD12" s="86">
        <v>43.25</v>
      </c>
      <c r="JE12" s="86">
        <v>43.25</v>
      </c>
      <c r="JF12" s="86">
        <v>43.25</v>
      </c>
      <c r="JG12" s="86">
        <v>34.6</v>
      </c>
      <c r="JH12" s="86">
        <v>43.25</v>
      </c>
      <c r="JI12" s="86">
        <v>43.25</v>
      </c>
      <c r="JJ12" s="86">
        <v>43.25</v>
      </c>
      <c r="JK12" s="86">
        <v>43.25</v>
      </c>
      <c r="JL12" s="86">
        <v>43.25</v>
      </c>
      <c r="JM12" s="86">
        <v>43.25</v>
      </c>
      <c r="JN12" s="86">
        <v>43.25</v>
      </c>
      <c r="JO12" s="86">
        <v>43.25</v>
      </c>
      <c r="JP12" s="86">
        <v>43.25</v>
      </c>
      <c r="JQ12" s="86">
        <v>43.25</v>
      </c>
      <c r="JR12" s="86">
        <v>43.25</v>
      </c>
      <c r="JS12" s="86">
        <v>43.25</v>
      </c>
      <c r="JT12" s="86">
        <v>43.25</v>
      </c>
      <c r="JU12" s="86">
        <v>43.25</v>
      </c>
      <c r="JV12" s="86">
        <v>43.25</v>
      </c>
      <c r="JW12" s="86">
        <v>43.25</v>
      </c>
      <c r="JX12" s="86">
        <v>43.25</v>
      </c>
      <c r="JY12" s="86">
        <v>43.25</v>
      </c>
      <c r="JZ12" s="86">
        <v>43.25</v>
      </c>
      <c r="KA12" s="86">
        <v>43.25</v>
      </c>
      <c r="KB12" s="86">
        <v>43.25</v>
      </c>
      <c r="KC12" s="86">
        <v>43.25</v>
      </c>
      <c r="KD12" s="86">
        <v>43.25</v>
      </c>
      <c r="KE12" s="86">
        <v>43.25</v>
      </c>
      <c r="KF12" s="86">
        <v>43.25</v>
      </c>
      <c r="KG12" s="86">
        <v>43.25</v>
      </c>
      <c r="KH12" s="86">
        <v>43.25</v>
      </c>
      <c r="KI12" s="86">
        <v>43.25</v>
      </c>
      <c r="KJ12" s="86">
        <v>43.25</v>
      </c>
      <c r="KK12" s="86">
        <v>43.25</v>
      </c>
      <c r="KL12" s="86">
        <v>43.25</v>
      </c>
      <c r="KM12" s="86">
        <v>43.25</v>
      </c>
      <c r="KN12" s="86">
        <v>43.25</v>
      </c>
      <c r="LI12" s="86">
        <v>34.6</v>
      </c>
      <c r="LJ12" s="86">
        <v>43.25</v>
      </c>
      <c r="LK12" s="86">
        <v>34.6</v>
      </c>
      <c r="LL12" s="86">
        <v>34.6</v>
      </c>
      <c r="LM12" s="86">
        <v>34.6</v>
      </c>
      <c r="LN12" s="86">
        <v>34.6</v>
      </c>
      <c r="LO12" s="86">
        <v>43.25</v>
      </c>
      <c r="LP12" s="86">
        <v>34.6</v>
      </c>
      <c r="LQ12" s="86">
        <v>43.25</v>
      </c>
      <c r="LR12" s="86">
        <v>43.25</v>
      </c>
      <c r="LS12" s="86">
        <v>43.25</v>
      </c>
      <c r="LT12" s="86">
        <v>43.25</v>
      </c>
      <c r="LU12" s="86">
        <v>43.25</v>
      </c>
      <c r="LV12" s="86">
        <v>34.6</v>
      </c>
      <c r="LW12" s="86">
        <v>43.25</v>
      </c>
      <c r="LX12" s="86">
        <v>43.25</v>
      </c>
      <c r="LY12" s="86">
        <v>43.25</v>
      </c>
      <c r="LZ12" s="86">
        <v>34.6</v>
      </c>
      <c r="MA12" s="86">
        <v>43.25</v>
      </c>
      <c r="MB12" s="86">
        <v>43.25</v>
      </c>
      <c r="MC12" s="86">
        <v>34.6</v>
      </c>
      <c r="MD12" s="86">
        <v>34.6</v>
      </c>
      <c r="ME12" s="86">
        <v>34.6</v>
      </c>
      <c r="MF12" s="86">
        <v>43.25</v>
      </c>
      <c r="MG12" s="86">
        <v>43.25</v>
      </c>
      <c r="MH12" s="86">
        <v>43.25</v>
      </c>
      <c r="MI12" s="86">
        <v>34.6</v>
      </c>
      <c r="MJ12" s="86">
        <v>43.25</v>
      </c>
      <c r="MK12" s="86">
        <v>43.25</v>
      </c>
      <c r="ML12" s="86">
        <v>43.25</v>
      </c>
      <c r="MM12" s="86">
        <v>43.25</v>
      </c>
      <c r="MN12" s="86">
        <v>43.25</v>
      </c>
      <c r="MO12" s="86">
        <v>43.25</v>
      </c>
      <c r="MP12" s="86">
        <v>43.25</v>
      </c>
      <c r="MQ12" s="86">
        <v>43.25</v>
      </c>
      <c r="MR12" s="86">
        <v>43.25</v>
      </c>
      <c r="MS12" s="86">
        <v>43.25</v>
      </c>
      <c r="MT12" s="86">
        <v>43.25</v>
      </c>
      <c r="MU12" s="86">
        <v>43.25</v>
      </c>
      <c r="MV12" s="86">
        <v>43.25</v>
      </c>
      <c r="MW12" s="86">
        <v>43.25</v>
      </c>
      <c r="MX12" s="86">
        <v>43.25</v>
      </c>
      <c r="MY12" s="86">
        <v>43.25</v>
      </c>
      <c r="MZ12" s="86">
        <v>43.25</v>
      </c>
      <c r="NA12" s="86">
        <v>43.25</v>
      </c>
      <c r="NB12" s="86">
        <v>43.25</v>
      </c>
      <c r="NC12" s="86">
        <v>43.25</v>
      </c>
      <c r="ND12" s="86">
        <v>43.25</v>
      </c>
      <c r="NE12" s="86">
        <v>43.25</v>
      </c>
      <c r="NF12" s="86">
        <v>43.25</v>
      </c>
      <c r="NG12" s="86">
        <v>43.25</v>
      </c>
      <c r="NH12" s="86">
        <v>43.25</v>
      </c>
      <c r="NI12" s="86">
        <v>43.25</v>
      </c>
      <c r="NJ12" s="86">
        <v>43.25</v>
      </c>
      <c r="NK12" s="86">
        <v>43.25</v>
      </c>
      <c r="NL12" s="86">
        <v>43.25</v>
      </c>
      <c r="NM12" s="86">
        <v>43.25</v>
      </c>
      <c r="NN12" s="86">
        <v>43.25</v>
      </c>
      <c r="NO12" s="86">
        <v>43.25</v>
      </c>
      <c r="NP12" s="86">
        <v>43.25</v>
      </c>
      <c r="NQ12" s="86">
        <v>43.25</v>
      </c>
      <c r="NR12" s="86">
        <v>43.25</v>
      </c>
      <c r="OK12" s="86">
        <v>43.25</v>
      </c>
      <c r="OL12" s="86">
        <v>34.6</v>
      </c>
      <c r="OM12" s="86">
        <v>34.6</v>
      </c>
      <c r="ON12" s="86">
        <v>34.6</v>
      </c>
      <c r="OO12" s="86">
        <v>34.6</v>
      </c>
      <c r="OP12" s="86">
        <v>34.6</v>
      </c>
      <c r="OQ12" s="86">
        <v>34.6</v>
      </c>
      <c r="OR12" s="86">
        <v>34.6</v>
      </c>
      <c r="OS12" s="86">
        <v>43.25</v>
      </c>
      <c r="OT12" s="86">
        <v>43.25</v>
      </c>
      <c r="OU12" s="86">
        <v>43.25</v>
      </c>
      <c r="OV12" s="86">
        <v>43.25</v>
      </c>
      <c r="OW12" s="86">
        <v>43.25</v>
      </c>
      <c r="OX12" s="86">
        <v>34.6</v>
      </c>
      <c r="OY12" s="86">
        <v>43.25</v>
      </c>
      <c r="OZ12" s="86">
        <v>43.25</v>
      </c>
      <c r="PA12" s="86">
        <v>43.25</v>
      </c>
      <c r="PB12" s="86">
        <v>34.6</v>
      </c>
      <c r="PC12" s="86">
        <v>43.25</v>
      </c>
      <c r="PD12" s="86">
        <v>43.25</v>
      </c>
      <c r="PE12" s="86">
        <v>43.25</v>
      </c>
      <c r="PF12" s="86">
        <v>34.6</v>
      </c>
      <c r="PG12" s="86">
        <v>34.6</v>
      </c>
      <c r="PH12" s="86">
        <v>43.25</v>
      </c>
      <c r="PI12" s="86">
        <v>43.25</v>
      </c>
      <c r="PJ12" s="86">
        <v>43.25</v>
      </c>
      <c r="PK12" s="86">
        <v>34.6</v>
      </c>
      <c r="PL12" s="86">
        <v>43.25</v>
      </c>
      <c r="PM12" s="86">
        <v>43.25</v>
      </c>
      <c r="PN12" s="86">
        <v>43.25</v>
      </c>
      <c r="PO12" s="86">
        <v>43.25</v>
      </c>
      <c r="PP12" s="86">
        <v>43.25</v>
      </c>
      <c r="PQ12" s="86">
        <v>43.25</v>
      </c>
      <c r="PR12" s="86">
        <v>43.25</v>
      </c>
      <c r="PS12" s="86">
        <v>43.25</v>
      </c>
      <c r="PT12" s="86">
        <v>43.25</v>
      </c>
      <c r="PU12" s="86">
        <v>43.25</v>
      </c>
      <c r="PV12" s="86">
        <v>43.25</v>
      </c>
      <c r="PW12" s="86">
        <v>43.25</v>
      </c>
      <c r="PX12" s="86">
        <v>43.25</v>
      </c>
      <c r="PY12" s="86">
        <v>43.25</v>
      </c>
      <c r="PZ12" s="86">
        <v>43.25</v>
      </c>
      <c r="QA12" s="86">
        <v>43.25</v>
      </c>
      <c r="QB12" s="86">
        <v>43.25</v>
      </c>
      <c r="QC12" s="86">
        <v>43.25</v>
      </c>
      <c r="QD12" s="86">
        <v>43.25</v>
      </c>
      <c r="QE12" s="86">
        <v>43.25</v>
      </c>
      <c r="QF12" s="86">
        <v>43.25</v>
      </c>
      <c r="QG12" s="86">
        <v>43.25</v>
      </c>
      <c r="QH12" s="86">
        <v>43.25</v>
      </c>
      <c r="QI12" s="86">
        <v>43.25</v>
      </c>
      <c r="QJ12" s="86">
        <v>43.25</v>
      </c>
      <c r="QK12" s="86">
        <v>43.25</v>
      </c>
      <c r="QL12" s="86">
        <v>43.25</v>
      </c>
      <c r="QM12" s="86">
        <v>43.25</v>
      </c>
      <c r="QN12" s="86">
        <v>43.25</v>
      </c>
      <c r="QO12" s="86">
        <v>43.25</v>
      </c>
      <c r="QP12" s="86">
        <v>43.25</v>
      </c>
      <c r="QQ12" s="86">
        <v>43.25</v>
      </c>
      <c r="QR12" s="86">
        <v>43.25</v>
      </c>
      <c r="QS12" s="86">
        <v>43.25</v>
      </c>
      <c r="QT12" s="86">
        <v>43.25</v>
      </c>
      <c r="RM12" s="86">
        <v>43.25</v>
      </c>
      <c r="RN12" s="86">
        <v>34.6</v>
      </c>
      <c r="RO12" s="86">
        <v>34.6</v>
      </c>
      <c r="RP12" s="86">
        <v>34.6</v>
      </c>
      <c r="RQ12" s="86">
        <v>34.6</v>
      </c>
      <c r="RR12" s="86">
        <v>34.6</v>
      </c>
      <c r="RS12" s="86">
        <v>43.25</v>
      </c>
      <c r="RT12" s="86">
        <v>34.6</v>
      </c>
      <c r="RU12" s="86">
        <v>43.25</v>
      </c>
      <c r="RV12" s="86">
        <v>43.25</v>
      </c>
      <c r="RW12" s="86">
        <v>43.25</v>
      </c>
      <c r="RX12" s="86">
        <v>43.25</v>
      </c>
      <c r="RY12" s="86">
        <v>43.25</v>
      </c>
      <c r="RZ12" s="86">
        <v>34.6</v>
      </c>
      <c r="SA12" s="86">
        <v>43.25</v>
      </c>
      <c r="SB12" s="86">
        <v>43.25</v>
      </c>
      <c r="SC12" s="86">
        <v>43.25</v>
      </c>
      <c r="SD12" s="86">
        <v>34.6</v>
      </c>
      <c r="SE12" s="86">
        <v>43.25</v>
      </c>
      <c r="SF12" s="86">
        <v>43.25</v>
      </c>
      <c r="SG12" s="86">
        <v>43.25</v>
      </c>
      <c r="SH12" s="86">
        <v>34.6</v>
      </c>
      <c r="SI12" s="86">
        <v>34.6</v>
      </c>
      <c r="SJ12" s="86">
        <v>43.25</v>
      </c>
      <c r="SK12" s="86">
        <v>43.25</v>
      </c>
      <c r="SL12" s="86">
        <v>43.25</v>
      </c>
      <c r="SM12" s="86">
        <v>34.6</v>
      </c>
      <c r="SN12" s="86">
        <v>43.25</v>
      </c>
      <c r="SO12" s="86">
        <v>43.25</v>
      </c>
      <c r="SP12" s="86">
        <v>43.25</v>
      </c>
      <c r="SQ12" s="86">
        <v>43.25</v>
      </c>
      <c r="SR12" s="86">
        <v>43.25</v>
      </c>
      <c r="SS12" s="86">
        <v>43.25</v>
      </c>
      <c r="ST12" s="86">
        <v>43.25</v>
      </c>
      <c r="SU12" s="86">
        <v>43.25</v>
      </c>
      <c r="SV12" s="86">
        <v>43.25</v>
      </c>
      <c r="SW12" s="86">
        <v>43.25</v>
      </c>
      <c r="SX12" s="86">
        <v>43.25</v>
      </c>
      <c r="SY12" s="86">
        <v>43.25</v>
      </c>
      <c r="SZ12" s="86">
        <v>43.25</v>
      </c>
      <c r="TA12" s="86">
        <v>43.25</v>
      </c>
      <c r="TB12" s="86">
        <v>43.25</v>
      </c>
      <c r="TC12" s="86">
        <v>43.25</v>
      </c>
      <c r="TD12" s="86">
        <v>43.25</v>
      </c>
      <c r="TE12" s="86">
        <v>43.25</v>
      </c>
      <c r="TF12" s="86">
        <v>43.25</v>
      </c>
      <c r="TG12" s="86">
        <v>43.25</v>
      </c>
      <c r="TH12" s="86">
        <v>43.25</v>
      </c>
      <c r="TI12" s="86">
        <v>43.25</v>
      </c>
      <c r="TJ12" s="86">
        <v>43.25</v>
      </c>
      <c r="TK12" s="86">
        <v>43.25</v>
      </c>
      <c r="TL12" s="86">
        <v>43.25</v>
      </c>
      <c r="TM12" s="86">
        <v>43.25</v>
      </c>
      <c r="TN12" s="86">
        <v>43.25</v>
      </c>
      <c r="TO12" s="86">
        <v>43.25</v>
      </c>
      <c r="TP12" s="86">
        <v>43.25</v>
      </c>
      <c r="TQ12" s="86">
        <v>43.25</v>
      </c>
      <c r="TR12" s="86">
        <v>43.25</v>
      </c>
      <c r="TS12" s="86">
        <v>43.25</v>
      </c>
      <c r="TT12" s="86">
        <v>43.25</v>
      </c>
      <c r="TU12" s="86">
        <v>43.25</v>
      </c>
      <c r="TV12" s="86">
        <v>43.25</v>
      </c>
      <c r="UO12" s="86">
        <v>43.25</v>
      </c>
      <c r="UP12" s="86">
        <v>34.6</v>
      </c>
      <c r="UQ12" s="86">
        <v>34.6</v>
      </c>
      <c r="UR12" s="86">
        <v>34.6</v>
      </c>
      <c r="US12" s="86">
        <v>34.6</v>
      </c>
      <c r="UT12" s="86">
        <v>34.6</v>
      </c>
      <c r="UU12" s="86">
        <v>43.25</v>
      </c>
      <c r="UV12" s="86">
        <v>34.6</v>
      </c>
      <c r="UW12" s="86">
        <v>43.25</v>
      </c>
      <c r="UX12" s="86">
        <v>43.25</v>
      </c>
      <c r="UY12" s="86">
        <v>43.25</v>
      </c>
      <c r="UZ12" s="86">
        <v>43.25</v>
      </c>
      <c r="VA12" s="86">
        <v>43.25</v>
      </c>
      <c r="VB12" s="86">
        <v>34.6</v>
      </c>
      <c r="VC12" s="86">
        <v>43.25</v>
      </c>
      <c r="VD12" s="86">
        <v>43.25</v>
      </c>
      <c r="VE12" s="86">
        <v>34.6</v>
      </c>
      <c r="VF12" s="86">
        <v>43.25</v>
      </c>
      <c r="VG12" s="86">
        <v>43.25</v>
      </c>
      <c r="VH12" s="86">
        <v>43.25</v>
      </c>
      <c r="VI12" s="86">
        <v>34.6</v>
      </c>
      <c r="VJ12" s="86">
        <v>34.6</v>
      </c>
      <c r="VK12" s="86">
        <v>43.25</v>
      </c>
      <c r="VL12" s="86">
        <v>43.25</v>
      </c>
      <c r="VM12" s="86">
        <v>43.25</v>
      </c>
      <c r="VN12" s="86">
        <v>34.6</v>
      </c>
      <c r="VO12" s="86">
        <v>43.25</v>
      </c>
      <c r="VP12" s="86">
        <v>43.25</v>
      </c>
      <c r="VQ12" s="86">
        <v>43.25</v>
      </c>
      <c r="VR12" s="86">
        <v>43.25</v>
      </c>
      <c r="VS12" s="86">
        <v>43.25</v>
      </c>
      <c r="VT12" s="86">
        <v>43.25</v>
      </c>
      <c r="VU12" s="86">
        <v>43.25</v>
      </c>
      <c r="VV12" s="86">
        <v>43.25</v>
      </c>
      <c r="VW12" s="86">
        <v>43.25</v>
      </c>
      <c r="VX12" s="86">
        <v>43.25</v>
      </c>
      <c r="VY12" s="86">
        <v>43.25</v>
      </c>
      <c r="VZ12" s="86">
        <v>43.25</v>
      </c>
      <c r="WA12" s="86">
        <v>43.25</v>
      </c>
      <c r="WB12" s="86">
        <v>43.25</v>
      </c>
      <c r="WC12" s="86">
        <v>43.25</v>
      </c>
      <c r="WD12" s="86">
        <v>43.25</v>
      </c>
      <c r="WE12" s="86">
        <v>43.25</v>
      </c>
      <c r="WF12" s="86">
        <v>43.25</v>
      </c>
      <c r="WG12" s="86">
        <v>43.25</v>
      </c>
      <c r="WH12" s="86">
        <v>43.25</v>
      </c>
      <c r="WI12" s="86">
        <v>43.25</v>
      </c>
      <c r="WJ12" s="86">
        <v>43.25</v>
      </c>
      <c r="WK12" s="86">
        <v>43.25</v>
      </c>
      <c r="WL12" s="86">
        <v>43.25</v>
      </c>
      <c r="WM12" s="86">
        <v>43.25</v>
      </c>
      <c r="WN12" s="86">
        <v>43.25</v>
      </c>
      <c r="WO12" s="86">
        <v>43.25</v>
      </c>
      <c r="WP12" s="86">
        <v>43.25</v>
      </c>
      <c r="WQ12" s="86">
        <v>43.25</v>
      </c>
      <c r="WR12" s="86">
        <v>43.25</v>
      </c>
      <c r="WS12" s="86">
        <v>43.25</v>
      </c>
      <c r="WT12" s="86">
        <v>43.25</v>
      </c>
      <c r="WU12" s="86">
        <v>43.25</v>
      </c>
      <c r="WV12" s="86">
        <v>43.25</v>
      </c>
      <c r="WW12" s="86">
        <v>43.25</v>
      </c>
      <c r="XQ12" s="86">
        <v>43.25</v>
      </c>
      <c r="XR12" s="86">
        <v>34.6</v>
      </c>
      <c r="XS12" s="86">
        <v>34.6</v>
      </c>
      <c r="XT12" s="86">
        <v>34.6</v>
      </c>
      <c r="XU12" s="86">
        <v>34.6</v>
      </c>
      <c r="XV12" s="86">
        <v>34.6</v>
      </c>
      <c r="XW12" s="86">
        <v>43.25</v>
      </c>
      <c r="XX12" s="86">
        <v>34.6</v>
      </c>
      <c r="XY12" s="86">
        <v>43.25</v>
      </c>
      <c r="XZ12" s="86">
        <v>43.25</v>
      </c>
      <c r="YA12" s="86">
        <v>43.25</v>
      </c>
      <c r="YB12" s="86">
        <v>43.25</v>
      </c>
      <c r="YC12" s="86">
        <v>43.25</v>
      </c>
      <c r="YD12" s="86">
        <v>34.6</v>
      </c>
      <c r="YE12" s="86">
        <v>43.25</v>
      </c>
      <c r="YF12" s="86">
        <v>43.25</v>
      </c>
      <c r="YG12" s="86">
        <v>34.6</v>
      </c>
      <c r="YH12" s="86">
        <v>43.25</v>
      </c>
      <c r="YI12" s="86">
        <v>43.25</v>
      </c>
      <c r="YJ12" s="86">
        <v>43.25</v>
      </c>
      <c r="YK12" s="86">
        <v>34.6</v>
      </c>
      <c r="YL12" s="86">
        <v>34.6</v>
      </c>
      <c r="YM12" s="86">
        <v>43.25</v>
      </c>
      <c r="YN12" s="86">
        <v>43.25</v>
      </c>
      <c r="YO12" s="86">
        <v>43.25</v>
      </c>
      <c r="YP12" s="86">
        <v>34.6</v>
      </c>
      <c r="YQ12" s="86">
        <v>43.25</v>
      </c>
      <c r="YR12" s="86">
        <v>43.25</v>
      </c>
      <c r="YS12" s="86">
        <v>43.25</v>
      </c>
      <c r="YT12" s="86">
        <v>43.25</v>
      </c>
      <c r="YU12" s="86">
        <v>43.25</v>
      </c>
      <c r="YV12" s="86">
        <v>43.25</v>
      </c>
      <c r="YW12" s="86">
        <v>43.25</v>
      </c>
      <c r="YX12" s="86">
        <v>43.25</v>
      </c>
      <c r="YY12" s="86">
        <v>43.25</v>
      </c>
      <c r="YZ12" s="86">
        <v>43.25</v>
      </c>
      <c r="ZA12" s="86">
        <v>43.25</v>
      </c>
      <c r="ZB12" s="86">
        <v>43.25</v>
      </c>
      <c r="ZC12" s="86">
        <v>43.25</v>
      </c>
      <c r="ZD12" s="86">
        <v>43.25</v>
      </c>
      <c r="ZE12" s="86">
        <v>43.25</v>
      </c>
      <c r="ZF12" s="86">
        <v>43.25</v>
      </c>
      <c r="ZG12" s="86">
        <v>43.25</v>
      </c>
      <c r="ZH12" s="86">
        <v>43.25</v>
      </c>
      <c r="ZI12" s="86">
        <v>43.25</v>
      </c>
      <c r="ZJ12" s="86">
        <v>43.25</v>
      </c>
      <c r="ZK12" s="86">
        <v>43.25</v>
      </c>
      <c r="ZL12" s="86">
        <v>43.25</v>
      </c>
      <c r="ZM12" s="86">
        <v>43.25</v>
      </c>
      <c r="ZN12" s="86">
        <v>43.25</v>
      </c>
      <c r="ZO12" s="86">
        <v>43.25</v>
      </c>
      <c r="ZP12" s="86">
        <v>43.25</v>
      </c>
      <c r="ZQ12" s="86">
        <v>43.25</v>
      </c>
      <c r="ZR12" s="86">
        <v>43.25</v>
      </c>
      <c r="ZS12" s="86">
        <v>43.25</v>
      </c>
      <c r="ZT12" s="86">
        <v>43.25</v>
      </c>
      <c r="ZU12" s="86">
        <v>43.25</v>
      </c>
      <c r="ZV12" s="86">
        <v>43.25</v>
      </c>
      <c r="ZW12" s="86">
        <v>43.25</v>
      </c>
      <c r="AAS12" s="86">
        <v>43.25</v>
      </c>
      <c r="AAT12" s="86">
        <v>34.6</v>
      </c>
      <c r="AAU12" s="86">
        <v>34.6</v>
      </c>
      <c r="AAV12" s="86">
        <v>34.6</v>
      </c>
      <c r="AAW12" s="86">
        <v>34.6</v>
      </c>
      <c r="AAX12" s="86">
        <v>34.6</v>
      </c>
      <c r="AAY12" s="86">
        <v>43.25</v>
      </c>
      <c r="AAZ12" s="86">
        <v>34.6</v>
      </c>
      <c r="ABA12" s="86">
        <v>43.25</v>
      </c>
      <c r="ABB12" s="86">
        <v>43.25</v>
      </c>
      <c r="ABC12" s="86">
        <v>43.25</v>
      </c>
      <c r="ABD12" s="86">
        <v>43.25</v>
      </c>
      <c r="ABE12" s="86">
        <v>43.25</v>
      </c>
      <c r="ABF12" s="86">
        <v>34.6</v>
      </c>
      <c r="ABG12" s="86">
        <v>43.25</v>
      </c>
      <c r="ABH12" s="86">
        <v>43.25</v>
      </c>
      <c r="ABI12" s="86">
        <v>34.6</v>
      </c>
      <c r="ABJ12" s="86">
        <v>43.25</v>
      </c>
      <c r="ABK12" s="86">
        <v>43.25</v>
      </c>
      <c r="ABL12" s="86">
        <v>34.6</v>
      </c>
      <c r="ABM12" s="86">
        <v>34.6</v>
      </c>
      <c r="ABN12" s="86">
        <v>43.25</v>
      </c>
      <c r="ABO12" s="86">
        <v>43.25</v>
      </c>
      <c r="ABP12" s="86">
        <v>43.25</v>
      </c>
      <c r="ABQ12" s="86">
        <v>34.6</v>
      </c>
      <c r="ABR12" s="86">
        <v>43.25</v>
      </c>
      <c r="ABS12" s="86">
        <v>43.25</v>
      </c>
      <c r="ABT12" s="86">
        <v>43.25</v>
      </c>
      <c r="ABU12" s="86">
        <v>43.25</v>
      </c>
      <c r="ABV12" s="86">
        <v>43.25</v>
      </c>
      <c r="ABW12" s="86">
        <v>43.25</v>
      </c>
      <c r="ABX12" s="86">
        <v>43.25</v>
      </c>
      <c r="ABY12" s="86">
        <v>43.25</v>
      </c>
      <c r="ABZ12" s="86">
        <v>43.25</v>
      </c>
      <c r="ACA12" s="86">
        <v>43.25</v>
      </c>
      <c r="ACB12" s="86">
        <v>43.25</v>
      </c>
      <c r="ACC12" s="86">
        <v>43.25</v>
      </c>
      <c r="ACD12" s="86">
        <v>43.25</v>
      </c>
      <c r="ACE12" s="86">
        <v>43.25</v>
      </c>
      <c r="ACF12" s="86">
        <v>43.25</v>
      </c>
      <c r="ACG12" s="86">
        <v>43.25</v>
      </c>
      <c r="ACH12" s="86">
        <v>43.25</v>
      </c>
      <c r="ACI12" s="86">
        <v>43.25</v>
      </c>
      <c r="ACJ12" s="86">
        <v>43.25</v>
      </c>
      <c r="ACK12" s="86">
        <v>43.25</v>
      </c>
      <c r="ACL12" s="86">
        <v>43.25</v>
      </c>
      <c r="ACM12" s="86">
        <v>43.25</v>
      </c>
      <c r="ACN12" s="86">
        <v>43.25</v>
      </c>
      <c r="ACO12" s="86">
        <v>43.25</v>
      </c>
      <c r="ACP12" s="86">
        <v>43.25</v>
      </c>
      <c r="ACQ12" s="86">
        <v>43.25</v>
      </c>
      <c r="ACR12" s="86">
        <v>43.25</v>
      </c>
      <c r="ACS12" s="86">
        <v>43.25</v>
      </c>
      <c r="ACT12" s="86">
        <v>43.25</v>
      </c>
      <c r="ACU12" s="86">
        <v>43.25</v>
      </c>
      <c r="ACV12" s="86">
        <v>43.25</v>
      </c>
      <c r="ACW12" s="86">
        <v>43.25</v>
      </c>
      <c r="ACX12" s="86">
        <v>43.25</v>
      </c>
      <c r="ADU12" s="86">
        <v>43.25</v>
      </c>
      <c r="ADV12" s="86">
        <v>34.6</v>
      </c>
      <c r="ADW12" s="86">
        <v>34.6</v>
      </c>
      <c r="ADX12" s="86">
        <v>34.6</v>
      </c>
      <c r="ADY12" s="86">
        <v>34.6</v>
      </c>
      <c r="ADZ12" s="86">
        <v>43.25</v>
      </c>
      <c r="AEA12" s="86">
        <v>34.6</v>
      </c>
      <c r="AEB12" s="86">
        <v>43.25</v>
      </c>
      <c r="AEC12" s="86">
        <v>43.25</v>
      </c>
      <c r="AED12" s="86">
        <v>43.25</v>
      </c>
      <c r="AEE12" s="86">
        <v>43.25</v>
      </c>
      <c r="AEF12" s="86">
        <v>43.25</v>
      </c>
      <c r="AEG12" s="86">
        <v>34.6</v>
      </c>
      <c r="AEH12" s="86">
        <v>43.25</v>
      </c>
      <c r="AEI12" s="86">
        <v>43.25</v>
      </c>
      <c r="AEJ12" s="86">
        <v>34.6</v>
      </c>
      <c r="AEK12" s="86">
        <v>43.25</v>
      </c>
      <c r="AEL12" s="86">
        <v>43.25</v>
      </c>
      <c r="AEM12" s="86">
        <v>34.6</v>
      </c>
      <c r="AEN12" s="86">
        <v>34.6</v>
      </c>
      <c r="AEO12" s="86">
        <v>43.25</v>
      </c>
      <c r="AEP12" s="86">
        <v>43.25</v>
      </c>
      <c r="AEQ12" s="86">
        <v>43.25</v>
      </c>
      <c r="AER12" s="86">
        <v>34.6</v>
      </c>
      <c r="AES12" s="86">
        <v>43.25</v>
      </c>
      <c r="AET12" s="86">
        <v>43.25</v>
      </c>
      <c r="AEU12" s="86">
        <v>43.25</v>
      </c>
      <c r="AEV12" s="86">
        <v>43.25</v>
      </c>
      <c r="AEW12" s="86">
        <v>43.25</v>
      </c>
      <c r="AEX12" s="86">
        <v>43.25</v>
      </c>
      <c r="AEY12" s="86">
        <v>43.25</v>
      </c>
      <c r="AEZ12" s="86">
        <v>43.25</v>
      </c>
      <c r="AFA12" s="86">
        <v>43.25</v>
      </c>
      <c r="AFB12" s="86">
        <v>43.25</v>
      </c>
      <c r="AFC12" s="86">
        <v>43.25</v>
      </c>
      <c r="AFD12" s="86">
        <v>43.25</v>
      </c>
      <c r="AFE12" s="86">
        <v>43.25</v>
      </c>
      <c r="AFF12" s="86">
        <v>43.25</v>
      </c>
      <c r="AFG12" s="86">
        <v>43.25</v>
      </c>
      <c r="AFH12" s="86">
        <v>43.25</v>
      </c>
      <c r="AFI12" s="86">
        <v>43.25</v>
      </c>
      <c r="AFJ12" s="86">
        <v>43.25</v>
      </c>
      <c r="AFK12" s="86">
        <v>43.25</v>
      </c>
      <c r="AFL12" s="86">
        <v>43.25</v>
      </c>
      <c r="AFM12" s="86">
        <v>43.25</v>
      </c>
      <c r="AFN12" s="86">
        <v>43.25</v>
      </c>
      <c r="AFO12" s="86">
        <v>43.25</v>
      </c>
      <c r="AFP12" s="86">
        <v>43.25</v>
      </c>
      <c r="AFQ12" s="86">
        <v>43.25</v>
      </c>
      <c r="AFR12" s="86">
        <v>43.25</v>
      </c>
      <c r="AFS12" s="86">
        <v>43.25</v>
      </c>
      <c r="AFT12" s="86">
        <v>43.25</v>
      </c>
      <c r="AFU12" s="86">
        <v>43.25</v>
      </c>
      <c r="AFV12" s="86">
        <v>43.25</v>
      </c>
      <c r="AFW12" s="86">
        <v>43.25</v>
      </c>
      <c r="AFX12" s="86">
        <v>43.25</v>
      </c>
      <c r="AFY12" s="86">
        <v>43.25</v>
      </c>
      <c r="AGW12" s="86">
        <v>43.25</v>
      </c>
      <c r="AGX12" s="86">
        <v>34.6</v>
      </c>
      <c r="AGY12" s="86">
        <v>34.6</v>
      </c>
      <c r="AGZ12" s="86">
        <v>34.6</v>
      </c>
      <c r="AHA12" s="86">
        <v>34.6</v>
      </c>
      <c r="AHB12" s="86">
        <v>43.25</v>
      </c>
      <c r="AHC12" s="86">
        <v>34.6</v>
      </c>
      <c r="AHD12" s="86">
        <v>43.25</v>
      </c>
      <c r="AHE12" s="86">
        <v>43.25</v>
      </c>
      <c r="AHF12" s="86">
        <v>43.25</v>
      </c>
      <c r="AHG12" s="86">
        <v>43.25</v>
      </c>
      <c r="AHH12" s="86">
        <v>43.25</v>
      </c>
      <c r="AHI12" s="86">
        <v>34.6</v>
      </c>
      <c r="AHJ12" s="86">
        <v>43.25</v>
      </c>
      <c r="AHK12" s="86">
        <v>43.25</v>
      </c>
      <c r="AHL12" s="86">
        <v>34.6</v>
      </c>
      <c r="AHM12" s="86">
        <v>43.25</v>
      </c>
      <c r="AHN12" s="86">
        <v>43.25</v>
      </c>
      <c r="AHO12" s="86">
        <v>34.6</v>
      </c>
      <c r="AHP12" s="86">
        <v>34.6</v>
      </c>
      <c r="AHQ12" s="86">
        <v>43.25</v>
      </c>
      <c r="AHR12" s="86">
        <v>43.25</v>
      </c>
      <c r="AHS12" s="86">
        <v>43.25</v>
      </c>
      <c r="AHT12" s="86">
        <v>34.6</v>
      </c>
      <c r="AHU12" s="86">
        <v>43.25</v>
      </c>
      <c r="AHV12" s="86">
        <v>43.25</v>
      </c>
      <c r="AHW12" s="86">
        <v>43.25</v>
      </c>
      <c r="AHX12" s="86">
        <v>43.25</v>
      </c>
      <c r="AHY12" s="86">
        <v>43.25</v>
      </c>
      <c r="AHZ12" s="86">
        <v>43.25</v>
      </c>
      <c r="AIA12" s="86">
        <v>43.25</v>
      </c>
      <c r="AIB12" s="86">
        <v>43.25</v>
      </c>
      <c r="AIC12" s="86">
        <v>43.25</v>
      </c>
      <c r="AID12" s="86">
        <v>43.25</v>
      </c>
      <c r="AIE12" s="86">
        <v>43.25</v>
      </c>
      <c r="AIF12" s="86">
        <v>43.25</v>
      </c>
      <c r="AIG12" s="86">
        <v>43.25</v>
      </c>
      <c r="AIH12" s="86">
        <v>43.25</v>
      </c>
      <c r="AII12" s="86">
        <v>43.25</v>
      </c>
      <c r="AIJ12" s="86">
        <v>43.25</v>
      </c>
      <c r="AIK12" s="86">
        <v>43.25</v>
      </c>
      <c r="AIL12" s="86">
        <v>43.25</v>
      </c>
      <c r="AIM12" s="86">
        <v>43.25</v>
      </c>
      <c r="AIN12" s="86">
        <v>43.25</v>
      </c>
      <c r="AIO12" s="86">
        <v>43.25</v>
      </c>
      <c r="AIP12" s="86">
        <v>43.25</v>
      </c>
      <c r="AIQ12" s="86">
        <v>43.25</v>
      </c>
      <c r="AIR12" s="86">
        <v>43.25</v>
      </c>
      <c r="AIS12" s="86">
        <v>43.25</v>
      </c>
      <c r="AIT12" s="86">
        <v>43.25</v>
      </c>
      <c r="AIU12" s="86">
        <v>43.25</v>
      </c>
      <c r="AIV12" s="86">
        <v>43.25</v>
      </c>
      <c r="AIW12" s="86">
        <v>43.25</v>
      </c>
      <c r="AIX12" s="86">
        <v>43.25</v>
      </c>
      <c r="AIY12" s="86">
        <v>43.25</v>
      </c>
      <c r="AIZ12" s="86">
        <v>43.25</v>
      </c>
      <c r="AJY12" t="s">
        <v>13</v>
      </c>
    </row>
    <row r="13" spans="1:961">
      <c r="A13" s="86">
        <v>32.01</v>
      </c>
      <c r="B13" s="86">
        <v>32.01</v>
      </c>
      <c r="C13" s="86">
        <v>32.01</v>
      </c>
      <c r="D13" s="86">
        <v>32.01</v>
      </c>
      <c r="E13" s="86">
        <v>34.6</v>
      </c>
      <c r="F13" s="86">
        <v>32.01</v>
      </c>
      <c r="G13" s="86">
        <v>34.6</v>
      </c>
      <c r="H13" s="86">
        <v>34.6</v>
      </c>
      <c r="I13" s="86">
        <v>34.6</v>
      </c>
      <c r="J13" s="86">
        <v>34.6</v>
      </c>
      <c r="K13" s="86">
        <v>34.6</v>
      </c>
      <c r="L13" s="86">
        <v>32.01</v>
      </c>
      <c r="M13" s="86">
        <v>34.6</v>
      </c>
      <c r="N13" s="86">
        <v>34.6</v>
      </c>
      <c r="O13" s="86">
        <v>34.6</v>
      </c>
      <c r="P13" s="86">
        <v>32.01</v>
      </c>
      <c r="Q13" s="86">
        <v>34.6</v>
      </c>
      <c r="R13" s="86">
        <v>34.6</v>
      </c>
      <c r="S13" s="86">
        <v>34.6</v>
      </c>
      <c r="T13" s="86">
        <v>32.01</v>
      </c>
      <c r="U13" s="86">
        <v>32.01</v>
      </c>
      <c r="V13" s="86">
        <v>34.6</v>
      </c>
      <c r="W13" s="86">
        <v>34.6</v>
      </c>
      <c r="X13" s="86">
        <v>34.6</v>
      </c>
      <c r="Y13" s="86">
        <v>32.01</v>
      </c>
      <c r="Z13" s="86">
        <v>34.6</v>
      </c>
      <c r="AA13" s="86">
        <v>34.6</v>
      </c>
      <c r="AB13" s="86">
        <v>34.6</v>
      </c>
      <c r="AC13" s="86">
        <v>34.6</v>
      </c>
      <c r="AD13" s="86">
        <v>34.6</v>
      </c>
      <c r="AE13" s="86">
        <v>34.6</v>
      </c>
      <c r="AF13" s="86">
        <v>34.6</v>
      </c>
      <c r="AG13" s="86">
        <v>34.6</v>
      </c>
      <c r="AH13" s="86">
        <v>34.6</v>
      </c>
      <c r="AI13" s="86">
        <v>34.6</v>
      </c>
      <c r="AJ13" s="86">
        <v>34.6</v>
      </c>
      <c r="AK13" s="86">
        <v>34.6</v>
      </c>
      <c r="AL13" s="86">
        <v>34.6</v>
      </c>
      <c r="AM13" s="86">
        <v>34.6</v>
      </c>
      <c r="AN13" s="86">
        <v>34.6</v>
      </c>
      <c r="AO13" s="86">
        <v>34.6</v>
      </c>
      <c r="AP13" s="86">
        <v>34.6</v>
      </c>
      <c r="AQ13" s="86">
        <v>34.6</v>
      </c>
      <c r="AR13" s="86">
        <v>34.6</v>
      </c>
      <c r="AS13" s="86">
        <v>34.6</v>
      </c>
      <c r="AT13" s="86">
        <v>34.6</v>
      </c>
      <c r="AU13" s="86">
        <v>34.6</v>
      </c>
      <c r="AV13" s="86">
        <v>34.6</v>
      </c>
      <c r="AW13" s="86">
        <v>34.6</v>
      </c>
      <c r="AX13" s="86">
        <v>34.6</v>
      </c>
      <c r="AY13" s="86">
        <v>34.6</v>
      </c>
      <c r="AZ13" s="86">
        <v>34.6</v>
      </c>
      <c r="CC13" s="86">
        <v>32.01</v>
      </c>
      <c r="CD13" s="86">
        <v>32.01</v>
      </c>
      <c r="CE13" s="86">
        <v>32.01</v>
      </c>
      <c r="CF13" s="86">
        <v>32.01</v>
      </c>
      <c r="CG13" s="86">
        <v>32.01</v>
      </c>
      <c r="CH13" s="86">
        <v>34.6</v>
      </c>
      <c r="CI13" s="86">
        <v>32.01</v>
      </c>
      <c r="CJ13" s="86">
        <v>34.6</v>
      </c>
      <c r="CK13" s="86">
        <v>34.6</v>
      </c>
      <c r="CL13" s="86">
        <v>34.6</v>
      </c>
      <c r="CM13" s="86">
        <v>34.6</v>
      </c>
      <c r="CN13" s="86">
        <v>34.6</v>
      </c>
      <c r="CO13" s="86">
        <v>32.01</v>
      </c>
      <c r="CP13" s="86">
        <v>34.6</v>
      </c>
      <c r="CQ13" s="86">
        <v>34.6</v>
      </c>
      <c r="CR13" s="86">
        <v>34.6</v>
      </c>
      <c r="CS13" s="86">
        <v>32.01</v>
      </c>
      <c r="CT13" s="86">
        <v>34.6</v>
      </c>
      <c r="CU13" s="86">
        <v>34.6</v>
      </c>
      <c r="CV13" s="86">
        <v>34.6</v>
      </c>
      <c r="CW13" s="86">
        <v>32.01</v>
      </c>
      <c r="CX13" s="86">
        <v>32.01</v>
      </c>
      <c r="CY13" s="86">
        <v>34.6</v>
      </c>
      <c r="CZ13" s="86">
        <v>34.6</v>
      </c>
      <c r="DA13" s="86">
        <v>34.6</v>
      </c>
      <c r="DB13" s="86">
        <v>32.01</v>
      </c>
      <c r="DC13" s="86">
        <v>34.6</v>
      </c>
      <c r="DD13" s="86">
        <v>34.6</v>
      </c>
      <c r="DE13" s="86">
        <v>34.6</v>
      </c>
      <c r="DF13" s="86">
        <v>34.6</v>
      </c>
      <c r="DG13" s="86">
        <v>34.6</v>
      </c>
      <c r="DH13" s="86">
        <v>34.6</v>
      </c>
      <c r="DI13" s="86">
        <v>34.6</v>
      </c>
      <c r="DJ13" s="86">
        <v>34.6</v>
      </c>
      <c r="DK13" s="86">
        <v>34.6</v>
      </c>
      <c r="DL13" s="86">
        <v>34.6</v>
      </c>
      <c r="DM13" s="86">
        <v>34.6</v>
      </c>
      <c r="DN13" s="86">
        <v>34.6</v>
      </c>
      <c r="DO13" s="86">
        <v>34.6</v>
      </c>
      <c r="DP13" s="86">
        <v>34.6</v>
      </c>
      <c r="DQ13" s="86">
        <v>34.6</v>
      </c>
      <c r="DR13" s="86">
        <v>34.6</v>
      </c>
      <c r="DS13" s="86">
        <v>34.6</v>
      </c>
      <c r="DT13" s="86">
        <v>34.6</v>
      </c>
      <c r="DU13" s="86">
        <v>34.6</v>
      </c>
      <c r="DV13" s="86">
        <v>34.6</v>
      </c>
      <c r="DW13" s="86">
        <v>34.6</v>
      </c>
      <c r="DX13" s="86">
        <v>34.6</v>
      </c>
      <c r="DY13" s="86">
        <v>34.6</v>
      </c>
      <c r="DZ13" s="86">
        <v>34.6</v>
      </c>
      <c r="EA13" s="86">
        <v>34.6</v>
      </c>
      <c r="EB13" s="86">
        <v>34.6</v>
      </c>
      <c r="EC13" s="86">
        <v>34.6</v>
      </c>
      <c r="ED13" s="86">
        <v>34.6</v>
      </c>
      <c r="EE13" s="86">
        <v>34.6</v>
      </c>
      <c r="EF13" s="86">
        <v>34.6</v>
      </c>
      <c r="EG13" s="86">
        <v>34.6</v>
      </c>
      <c r="EH13" s="86">
        <v>34.6</v>
      </c>
      <c r="EI13" s="86">
        <v>34.6</v>
      </c>
      <c r="FE13" s="86">
        <v>34.6</v>
      </c>
      <c r="FF13" s="86">
        <v>32.01</v>
      </c>
      <c r="FG13" s="86">
        <v>32.01</v>
      </c>
      <c r="FH13" s="86">
        <v>32.01</v>
      </c>
      <c r="FI13" s="86">
        <v>32.01</v>
      </c>
      <c r="FJ13" s="86">
        <v>32.01</v>
      </c>
      <c r="FK13" s="86">
        <v>34.6</v>
      </c>
      <c r="FL13" s="86">
        <v>32.01</v>
      </c>
      <c r="FM13" s="86">
        <v>34.6</v>
      </c>
      <c r="FN13" s="86">
        <v>34.6</v>
      </c>
      <c r="FO13" s="86">
        <v>34.6</v>
      </c>
      <c r="FP13" s="86">
        <v>34.6</v>
      </c>
      <c r="FQ13" s="86">
        <v>34.6</v>
      </c>
      <c r="FR13" s="86">
        <v>32.01</v>
      </c>
      <c r="FS13" s="86">
        <v>34.6</v>
      </c>
      <c r="FT13" s="86">
        <v>34.6</v>
      </c>
      <c r="FU13" s="86">
        <v>34.6</v>
      </c>
      <c r="FV13" s="86">
        <v>32.01</v>
      </c>
      <c r="FW13" s="86">
        <v>34.6</v>
      </c>
      <c r="FX13" s="86">
        <v>34.6</v>
      </c>
      <c r="FY13" s="86">
        <v>34.6</v>
      </c>
      <c r="FZ13" s="86">
        <v>32.01</v>
      </c>
      <c r="GA13" s="86">
        <v>32.01</v>
      </c>
      <c r="GB13" s="86">
        <v>34.6</v>
      </c>
      <c r="GC13" s="86">
        <v>34.6</v>
      </c>
      <c r="GD13" s="86">
        <v>34.6</v>
      </c>
      <c r="GE13" s="86">
        <v>32.01</v>
      </c>
      <c r="GF13" s="86">
        <v>34.6</v>
      </c>
      <c r="GG13" s="86">
        <v>34.6</v>
      </c>
      <c r="GH13" s="86">
        <v>34.6</v>
      </c>
      <c r="GI13" s="86">
        <v>34.6</v>
      </c>
      <c r="GJ13" s="86">
        <v>34.6</v>
      </c>
      <c r="GK13" s="86">
        <v>34.6</v>
      </c>
      <c r="GL13" s="86">
        <v>34.6</v>
      </c>
      <c r="GM13" s="86">
        <v>34.6</v>
      </c>
      <c r="GN13" s="86">
        <v>34.6</v>
      </c>
      <c r="GO13" s="86">
        <v>34.6</v>
      </c>
      <c r="GP13" s="86">
        <v>34.6</v>
      </c>
      <c r="GQ13" s="86">
        <v>34.6</v>
      </c>
      <c r="GR13" s="86">
        <v>34.6</v>
      </c>
      <c r="GS13" s="86">
        <v>34.6</v>
      </c>
      <c r="GT13" s="86">
        <v>34.6</v>
      </c>
      <c r="GU13" s="86">
        <v>34.6</v>
      </c>
      <c r="GV13" s="86">
        <v>34.6</v>
      </c>
      <c r="GW13" s="86">
        <v>34.6</v>
      </c>
      <c r="GX13" s="86">
        <v>34.6</v>
      </c>
      <c r="GY13" s="86">
        <v>34.6</v>
      </c>
      <c r="GZ13" s="86">
        <v>34.6</v>
      </c>
      <c r="HA13" s="86">
        <v>34.6</v>
      </c>
      <c r="HB13" s="86">
        <v>34.6</v>
      </c>
      <c r="HC13" s="86">
        <v>34.6</v>
      </c>
      <c r="HD13" s="86">
        <v>34.6</v>
      </c>
      <c r="HE13" s="86">
        <v>34.6</v>
      </c>
      <c r="HF13" s="86">
        <v>34.6</v>
      </c>
      <c r="HG13" s="86">
        <v>34.6</v>
      </c>
      <c r="HH13" s="86">
        <v>34.6</v>
      </c>
      <c r="HI13" s="86">
        <v>34.6</v>
      </c>
      <c r="HJ13" s="86">
        <v>34.6</v>
      </c>
      <c r="HK13" s="86">
        <v>34.6</v>
      </c>
      <c r="HL13" s="86">
        <v>34.6</v>
      </c>
      <c r="IG13" s="86">
        <v>34.6</v>
      </c>
      <c r="IH13" s="86">
        <v>32.01</v>
      </c>
      <c r="II13" s="86">
        <v>32.01</v>
      </c>
      <c r="IJ13" s="86">
        <v>32.01</v>
      </c>
      <c r="IK13" s="86">
        <v>32.01</v>
      </c>
      <c r="IL13" s="86">
        <v>32.01</v>
      </c>
      <c r="IM13" s="86">
        <v>34.6</v>
      </c>
      <c r="IN13" s="86">
        <v>32.01</v>
      </c>
      <c r="IO13" s="86">
        <v>34.6</v>
      </c>
      <c r="IP13" s="86">
        <v>34.6</v>
      </c>
      <c r="IQ13" s="86">
        <v>34.6</v>
      </c>
      <c r="IR13" s="86">
        <v>34.6</v>
      </c>
      <c r="IS13" s="86">
        <v>34.6</v>
      </c>
      <c r="IT13" s="86">
        <v>32.01</v>
      </c>
      <c r="IU13" s="86">
        <v>34.6</v>
      </c>
      <c r="IV13" s="86">
        <v>34.6</v>
      </c>
      <c r="IW13" s="86">
        <v>34.6</v>
      </c>
      <c r="IX13" s="86">
        <v>32.01</v>
      </c>
      <c r="IY13" s="86">
        <v>34.6</v>
      </c>
      <c r="IZ13" s="86">
        <v>34.6</v>
      </c>
      <c r="JA13" s="86">
        <v>34.6</v>
      </c>
      <c r="JB13" s="86">
        <v>32.01</v>
      </c>
      <c r="JC13" s="86">
        <v>32.01</v>
      </c>
      <c r="JD13" s="86">
        <v>34.6</v>
      </c>
      <c r="JE13" s="86">
        <v>34.6</v>
      </c>
      <c r="JF13" s="86">
        <v>34.6</v>
      </c>
      <c r="JG13" s="86">
        <v>32.01</v>
      </c>
      <c r="JH13" s="86">
        <v>34.6</v>
      </c>
      <c r="JI13" s="86">
        <v>34.6</v>
      </c>
      <c r="JJ13" s="86">
        <v>34.6</v>
      </c>
      <c r="JK13" s="86">
        <v>34.6</v>
      </c>
      <c r="JL13" s="86">
        <v>34.6</v>
      </c>
      <c r="JM13" s="86">
        <v>34.6</v>
      </c>
      <c r="JN13" s="86">
        <v>34.6</v>
      </c>
      <c r="JO13" s="86">
        <v>34.6</v>
      </c>
      <c r="JP13" s="86">
        <v>34.6</v>
      </c>
      <c r="JQ13" s="86">
        <v>34.6</v>
      </c>
      <c r="JR13" s="86">
        <v>34.6</v>
      </c>
      <c r="JS13" s="86">
        <v>34.6</v>
      </c>
      <c r="JT13" s="86">
        <v>34.6</v>
      </c>
      <c r="JU13" s="86">
        <v>34.6</v>
      </c>
      <c r="JV13" s="86">
        <v>34.6</v>
      </c>
      <c r="JW13" s="86">
        <v>34.6</v>
      </c>
      <c r="JX13" s="86">
        <v>34.6</v>
      </c>
      <c r="JY13" s="86">
        <v>34.6</v>
      </c>
      <c r="JZ13" s="86">
        <v>34.6</v>
      </c>
      <c r="KA13" s="86">
        <v>34.6</v>
      </c>
      <c r="KB13" s="86">
        <v>34.6</v>
      </c>
      <c r="KC13" s="86">
        <v>34.6</v>
      </c>
      <c r="KD13" s="86">
        <v>34.6</v>
      </c>
      <c r="KE13" s="86">
        <v>34.6</v>
      </c>
      <c r="KF13" s="86">
        <v>34.6</v>
      </c>
      <c r="KG13" s="86">
        <v>34.6</v>
      </c>
      <c r="KH13" s="86">
        <v>34.6</v>
      </c>
      <c r="KI13" s="86">
        <v>34.6</v>
      </c>
      <c r="KJ13" s="86">
        <v>34.6</v>
      </c>
      <c r="KK13" s="86">
        <v>34.6</v>
      </c>
      <c r="KL13" s="86">
        <v>34.6</v>
      </c>
      <c r="KM13" s="86">
        <v>34.6</v>
      </c>
      <c r="KN13" s="86">
        <v>34.6</v>
      </c>
      <c r="LI13" s="86">
        <v>32.01</v>
      </c>
      <c r="LJ13" s="86">
        <v>34.6</v>
      </c>
      <c r="LK13" s="86">
        <v>32.01</v>
      </c>
      <c r="LL13" s="86">
        <v>32.01</v>
      </c>
      <c r="LM13" s="86">
        <v>32.01</v>
      </c>
      <c r="LN13" s="86">
        <v>32.01</v>
      </c>
      <c r="LO13" s="86">
        <v>34.6</v>
      </c>
      <c r="LP13" s="86">
        <v>32.01</v>
      </c>
      <c r="LQ13" s="86">
        <v>34.6</v>
      </c>
      <c r="LR13" s="86">
        <v>34.6</v>
      </c>
      <c r="LS13" s="86">
        <v>34.6</v>
      </c>
      <c r="LT13" s="86">
        <v>34.6</v>
      </c>
      <c r="LU13" s="86">
        <v>34.6</v>
      </c>
      <c r="LV13" s="86">
        <v>32.01</v>
      </c>
      <c r="LW13" s="86">
        <v>34.6</v>
      </c>
      <c r="LX13" s="86">
        <v>34.6</v>
      </c>
      <c r="LY13" s="86">
        <v>34.6</v>
      </c>
      <c r="LZ13" s="86">
        <v>32.01</v>
      </c>
      <c r="MA13" s="86">
        <v>34.6</v>
      </c>
      <c r="MB13" s="86">
        <v>34.6</v>
      </c>
      <c r="MC13" s="86">
        <v>32.01</v>
      </c>
      <c r="MD13" s="86">
        <v>32.01</v>
      </c>
      <c r="ME13" s="86">
        <v>32.01</v>
      </c>
      <c r="MF13" s="86">
        <v>34.6</v>
      </c>
      <c r="MG13" s="86">
        <v>34.6</v>
      </c>
      <c r="MH13" s="86">
        <v>34.6</v>
      </c>
      <c r="MI13" s="86">
        <v>32.01</v>
      </c>
      <c r="MJ13" s="86">
        <v>34.6</v>
      </c>
      <c r="MK13" s="86">
        <v>34.6</v>
      </c>
      <c r="ML13" s="86">
        <v>34.6</v>
      </c>
      <c r="MM13" s="86">
        <v>34.6</v>
      </c>
      <c r="MN13" s="86">
        <v>34.6</v>
      </c>
      <c r="MO13" s="86">
        <v>34.6</v>
      </c>
      <c r="MP13" s="86">
        <v>34.6</v>
      </c>
      <c r="MQ13" s="86">
        <v>34.6</v>
      </c>
      <c r="MR13" s="86">
        <v>34.6</v>
      </c>
      <c r="MS13" s="86">
        <v>34.6</v>
      </c>
      <c r="MT13" s="86">
        <v>34.6</v>
      </c>
      <c r="MU13" s="86">
        <v>34.6</v>
      </c>
      <c r="MV13" s="86">
        <v>34.6</v>
      </c>
      <c r="MW13" s="86">
        <v>34.6</v>
      </c>
      <c r="MX13" s="86">
        <v>34.6</v>
      </c>
      <c r="MY13" s="86">
        <v>34.6</v>
      </c>
      <c r="MZ13" s="86">
        <v>34.6</v>
      </c>
      <c r="NA13" s="86">
        <v>34.6</v>
      </c>
      <c r="NB13" s="86">
        <v>34.6</v>
      </c>
      <c r="NC13" s="86">
        <v>34.6</v>
      </c>
      <c r="ND13" s="86">
        <v>34.6</v>
      </c>
      <c r="NE13" s="86">
        <v>34.6</v>
      </c>
      <c r="NF13" s="86">
        <v>34.6</v>
      </c>
      <c r="NG13" s="86">
        <v>34.6</v>
      </c>
      <c r="NH13" s="86">
        <v>34.6</v>
      </c>
      <c r="NI13" s="86">
        <v>34.6</v>
      </c>
      <c r="NJ13" s="86">
        <v>34.6</v>
      </c>
      <c r="NK13" s="86">
        <v>34.6</v>
      </c>
      <c r="NL13" s="86">
        <v>34.6</v>
      </c>
      <c r="NM13" s="86">
        <v>34.6</v>
      </c>
      <c r="NN13" s="86">
        <v>34.6</v>
      </c>
      <c r="NO13" s="86">
        <v>34.6</v>
      </c>
      <c r="NP13" s="86">
        <v>34.6</v>
      </c>
      <c r="NQ13" s="86">
        <v>34.6</v>
      </c>
      <c r="NR13" s="86">
        <v>34.6</v>
      </c>
      <c r="OK13" s="86">
        <v>34.6</v>
      </c>
      <c r="OL13" s="86">
        <v>32.01</v>
      </c>
      <c r="OM13" s="86">
        <v>32.01</v>
      </c>
      <c r="ON13" s="86">
        <v>32.01</v>
      </c>
      <c r="OO13" s="86">
        <v>32.01</v>
      </c>
      <c r="OP13" s="86">
        <v>32.01</v>
      </c>
      <c r="OQ13" s="86">
        <v>32.01</v>
      </c>
      <c r="OR13" s="86">
        <v>32.01</v>
      </c>
      <c r="OS13" s="86">
        <v>34.6</v>
      </c>
      <c r="OT13" s="86">
        <v>34.6</v>
      </c>
      <c r="OU13" s="86">
        <v>34.6</v>
      </c>
      <c r="OV13" s="86">
        <v>34.6</v>
      </c>
      <c r="OW13" s="86">
        <v>34.6</v>
      </c>
      <c r="OX13" s="86">
        <v>32.01</v>
      </c>
      <c r="OY13" s="86">
        <v>34.6</v>
      </c>
      <c r="OZ13" s="86">
        <v>34.6</v>
      </c>
      <c r="PA13" s="86">
        <v>34.6</v>
      </c>
      <c r="PB13" s="86">
        <v>32.01</v>
      </c>
      <c r="PC13" s="86">
        <v>34.6</v>
      </c>
      <c r="PD13" s="86">
        <v>34.6</v>
      </c>
      <c r="PE13" s="86">
        <v>34.6</v>
      </c>
      <c r="PF13" s="86">
        <v>32.01</v>
      </c>
      <c r="PG13" s="86">
        <v>32.01</v>
      </c>
      <c r="PH13" s="86">
        <v>34.6</v>
      </c>
      <c r="PI13" s="86">
        <v>34.6</v>
      </c>
      <c r="PJ13" s="86">
        <v>34.6</v>
      </c>
      <c r="PK13" s="86">
        <v>32.01</v>
      </c>
      <c r="PL13" s="86">
        <v>34.6</v>
      </c>
      <c r="PM13" s="86">
        <v>34.6</v>
      </c>
      <c r="PN13" s="86">
        <v>34.6</v>
      </c>
      <c r="PO13" s="86">
        <v>34.6</v>
      </c>
      <c r="PP13" s="86">
        <v>34.6</v>
      </c>
      <c r="PQ13" s="86">
        <v>34.6</v>
      </c>
      <c r="PR13" s="86">
        <v>34.6</v>
      </c>
      <c r="PS13" s="86">
        <v>34.6</v>
      </c>
      <c r="PT13" s="86">
        <v>34.6</v>
      </c>
      <c r="PU13" s="86">
        <v>34.6</v>
      </c>
      <c r="PV13" s="86">
        <v>34.6</v>
      </c>
      <c r="PW13" s="86">
        <v>34.6</v>
      </c>
      <c r="PX13" s="86">
        <v>34.6</v>
      </c>
      <c r="PY13" s="86">
        <v>34.6</v>
      </c>
      <c r="PZ13" s="86">
        <v>34.6</v>
      </c>
      <c r="QA13" s="86">
        <v>34.6</v>
      </c>
      <c r="QB13" s="86">
        <v>34.6</v>
      </c>
      <c r="QC13" s="86">
        <v>34.6</v>
      </c>
      <c r="QD13" s="86">
        <v>34.6</v>
      </c>
      <c r="QE13" s="86">
        <v>34.6</v>
      </c>
      <c r="QF13" s="86">
        <v>34.6</v>
      </c>
      <c r="QG13" s="86">
        <v>34.6</v>
      </c>
      <c r="QH13" s="86">
        <v>34.6</v>
      </c>
      <c r="QI13" s="86">
        <v>34.6</v>
      </c>
      <c r="QJ13" s="86">
        <v>34.6</v>
      </c>
      <c r="QK13" s="86">
        <v>34.6</v>
      </c>
      <c r="QL13" s="86">
        <v>34.6</v>
      </c>
      <c r="QM13" s="86">
        <v>34.6</v>
      </c>
      <c r="QN13" s="86">
        <v>34.6</v>
      </c>
      <c r="QO13" s="86">
        <v>34.6</v>
      </c>
      <c r="QP13" s="86">
        <v>34.6</v>
      </c>
      <c r="QQ13" s="86">
        <v>34.6</v>
      </c>
      <c r="QR13" s="86">
        <v>34.6</v>
      </c>
      <c r="QS13" s="86">
        <v>34.6</v>
      </c>
      <c r="QT13" s="86">
        <v>34.6</v>
      </c>
      <c r="RM13" s="86">
        <v>34.6</v>
      </c>
      <c r="RN13" s="86">
        <v>32.01</v>
      </c>
      <c r="RO13" s="86">
        <v>32.01</v>
      </c>
      <c r="RP13" s="86">
        <v>32.01</v>
      </c>
      <c r="RQ13" s="86">
        <v>32.01</v>
      </c>
      <c r="RR13" s="86">
        <v>32.01</v>
      </c>
      <c r="RS13" s="86">
        <v>34.6</v>
      </c>
      <c r="RT13" s="86">
        <v>32.01</v>
      </c>
      <c r="RU13" s="86">
        <v>34.6</v>
      </c>
      <c r="RV13" s="86">
        <v>34.6</v>
      </c>
      <c r="RW13" s="86">
        <v>34.6</v>
      </c>
      <c r="RX13" s="86">
        <v>34.6</v>
      </c>
      <c r="RY13" s="86">
        <v>34.6</v>
      </c>
      <c r="RZ13" s="86">
        <v>32.01</v>
      </c>
      <c r="SA13" s="86">
        <v>34.6</v>
      </c>
      <c r="SB13" s="86">
        <v>34.6</v>
      </c>
      <c r="SC13" s="86">
        <v>34.6</v>
      </c>
      <c r="SD13" s="86">
        <v>32.01</v>
      </c>
      <c r="SE13" s="86">
        <v>34.6</v>
      </c>
      <c r="SF13" s="86">
        <v>34.6</v>
      </c>
      <c r="SG13" s="86">
        <v>34.6</v>
      </c>
      <c r="SH13" s="86">
        <v>32.01</v>
      </c>
      <c r="SI13" s="86">
        <v>32.01</v>
      </c>
      <c r="SJ13" s="86">
        <v>34.6</v>
      </c>
      <c r="SK13" s="86">
        <v>34.6</v>
      </c>
      <c r="SL13" s="86">
        <v>34.6</v>
      </c>
      <c r="SM13" s="86">
        <v>32.01</v>
      </c>
      <c r="SN13" s="86">
        <v>34.6</v>
      </c>
      <c r="SO13" s="86">
        <v>34.6</v>
      </c>
      <c r="SP13" s="86">
        <v>34.6</v>
      </c>
      <c r="SQ13" s="86">
        <v>34.6</v>
      </c>
      <c r="SR13" s="86">
        <v>34.6</v>
      </c>
      <c r="SS13" s="86">
        <v>34.6</v>
      </c>
      <c r="ST13" s="86">
        <v>34.6</v>
      </c>
      <c r="SU13" s="86">
        <v>34.6</v>
      </c>
      <c r="SV13" s="86">
        <v>34.6</v>
      </c>
      <c r="SW13" s="86">
        <v>34.6</v>
      </c>
      <c r="SX13" s="86">
        <v>34.6</v>
      </c>
      <c r="SY13" s="86">
        <v>34.6</v>
      </c>
      <c r="SZ13" s="86">
        <v>34.6</v>
      </c>
      <c r="TA13" s="86">
        <v>34.6</v>
      </c>
      <c r="TB13" s="86">
        <v>34.6</v>
      </c>
      <c r="TC13" s="86">
        <v>34.6</v>
      </c>
      <c r="TD13" s="86">
        <v>34.6</v>
      </c>
      <c r="TE13" s="86">
        <v>34.6</v>
      </c>
      <c r="TF13" s="86">
        <v>34.6</v>
      </c>
      <c r="TG13" s="86">
        <v>34.6</v>
      </c>
      <c r="TH13" s="86">
        <v>34.6</v>
      </c>
      <c r="TI13" s="86">
        <v>34.6</v>
      </c>
      <c r="TJ13" s="86">
        <v>34.6</v>
      </c>
      <c r="TK13" s="86">
        <v>34.6</v>
      </c>
      <c r="TL13" s="86">
        <v>34.6</v>
      </c>
      <c r="TM13" s="86">
        <v>34.6</v>
      </c>
      <c r="TN13" s="86">
        <v>34.6</v>
      </c>
      <c r="TO13" s="86">
        <v>34.6</v>
      </c>
      <c r="TP13" s="86">
        <v>34.6</v>
      </c>
      <c r="TQ13" s="86">
        <v>34.6</v>
      </c>
      <c r="TR13" s="86">
        <v>34.6</v>
      </c>
      <c r="TS13" s="86">
        <v>34.6</v>
      </c>
      <c r="TT13" s="86">
        <v>34.6</v>
      </c>
      <c r="TU13" s="86">
        <v>34.6</v>
      </c>
      <c r="TV13" s="86">
        <v>34.6</v>
      </c>
      <c r="UO13" s="86">
        <v>34.6</v>
      </c>
      <c r="UP13" s="86">
        <v>32.01</v>
      </c>
      <c r="UQ13" s="86">
        <v>32.01</v>
      </c>
      <c r="UR13" s="86">
        <v>32.01</v>
      </c>
      <c r="US13" s="86">
        <v>32.01</v>
      </c>
      <c r="UT13" s="86">
        <v>32.01</v>
      </c>
      <c r="UU13" s="86">
        <v>34.6</v>
      </c>
      <c r="UV13" s="86">
        <v>32.01</v>
      </c>
      <c r="UW13" s="86">
        <v>34.6</v>
      </c>
      <c r="UX13" s="86">
        <v>34.6</v>
      </c>
      <c r="UY13" s="86">
        <v>34.6</v>
      </c>
      <c r="UZ13" s="86">
        <v>34.6</v>
      </c>
      <c r="VA13" s="86">
        <v>34.6</v>
      </c>
      <c r="VB13" s="86">
        <v>32.01</v>
      </c>
      <c r="VC13" s="86">
        <v>34.6</v>
      </c>
      <c r="VD13" s="86">
        <v>34.6</v>
      </c>
      <c r="VE13" s="86">
        <v>32.01</v>
      </c>
      <c r="VF13" s="86">
        <v>34.6</v>
      </c>
      <c r="VG13" s="86">
        <v>34.6</v>
      </c>
      <c r="VH13" s="86">
        <v>34.6</v>
      </c>
      <c r="VI13" s="86">
        <v>32.01</v>
      </c>
      <c r="VJ13" s="86">
        <v>32.01</v>
      </c>
      <c r="VK13" s="86">
        <v>34.6</v>
      </c>
      <c r="VL13" s="86">
        <v>34.6</v>
      </c>
      <c r="VM13" s="86">
        <v>34.6</v>
      </c>
      <c r="VN13" s="86">
        <v>32.01</v>
      </c>
      <c r="VO13" s="86">
        <v>34.6</v>
      </c>
      <c r="VP13" s="86">
        <v>34.6</v>
      </c>
      <c r="VQ13" s="86">
        <v>34.6</v>
      </c>
      <c r="VR13" s="86">
        <v>34.6</v>
      </c>
      <c r="VS13" s="86">
        <v>34.6</v>
      </c>
      <c r="VT13" s="86">
        <v>34.6</v>
      </c>
      <c r="VU13" s="86">
        <v>34.6</v>
      </c>
      <c r="VV13" s="86">
        <v>34.6</v>
      </c>
      <c r="VW13" s="86">
        <v>34.6</v>
      </c>
      <c r="VX13" s="86">
        <v>34.6</v>
      </c>
      <c r="VY13" s="86">
        <v>34.6</v>
      </c>
      <c r="VZ13" s="86">
        <v>34.6</v>
      </c>
      <c r="WA13" s="86">
        <v>34.6</v>
      </c>
      <c r="WB13" s="86">
        <v>34.6</v>
      </c>
      <c r="WC13" s="86">
        <v>34.6</v>
      </c>
      <c r="WD13" s="86">
        <v>34.6</v>
      </c>
      <c r="WE13" s="86">
        <v>34.6</v>
      </c>
      <c r="WF13" s="86">
        <v>34.6</v>
      </c>
      <c r="WG13" s="86">
        <v>34.6</v>
      </c>
      <c r="WH13" s="86">
        <v>34.6</v>
      </c>
      <c r="WI13" s="86">
        <v>34.6</v>
      </c>
      <c r="WJ13" s="86">
        <v>34.6</v>
      </c>
      <c r="WK13" s="86">
        <v>34.6</v>
      </c>
      <c r="WL13" s="86">
        <v>34.6</v>
      </c>
      <c r="WM13" s="86">
        <v>34.6</v>
      </c>
      <c r="WN13" s="86">
        <v>34.6</v>
      </c>
      <c r="WO13" s="86">
        <v>34.6</v>
      </c>
      <c r="WP13" s="86">
        <v>34.6</v>
      </c>
      <c r="WQ13" s="86">
        <v>34.6</v>
      </c>
      <c r="WR13" s="86">
        <v>34.6</v>
      </c>
      <c r="WS13" s="86">
        <v>34.6</v>
      </c>
      <c r="WT13" s="86">
        <v>34.6</v>
      </c>
      <c r="WU13" s="86">
        <v>34.6</v>
      </c>
      <c r="WV13" s="86">
        <v>34.6</v>
      </c>
      <c r="WW13" s="86">
        <v>34.6</v>
      </c>
      <c r="XQ13" s="86">
        <v>34.6</v>
      </c>
      <c r="XR13" s="86">
        <v>32.01</v>
      </c>
      <c r="XS13" s="86">
        <v>32.01</v>
      </c>
      <c r="XT13" s="86">
        <v>32.01</v>
      </c>
      <c r="XU13" s="86">
        <v>32.01</v>
      </c>
      <c r="XV13" s="86">
        <v>32.01</v>
      </c>
      <c r="XW13" s="86">
        <v>34.6</v>
      </c>
      <c r="XX13" s="86">
        <v>32.01</v>
      </c>
      <c r="XY13" s="86">
        <v>34.6</v>
      </c>
      <c r="XZ13" s="86">
        <v>34.6</v>
      </c>
      <c r="YA13" s="86">
        <v>34.6</v>
      </c>
      <c r="YB13" s="86">
        <v>34.6</v>
      </c>
      <c r="YC13" s="86">
        <v>34.6</v>
      </c>
      <c r="YD13" s="86">
        <v>32.01</v>
      </c>
      <c r="YE13" s="86">
        <v>34.6</v>
      </c>
      <c r="YF13" s="86">
        <v>34.6</v>
      </c>
      <c r="YG13" s="86">
        <v>32.01</v>
      </c>
      <c r="YH13" s="86">
        <v>34.6</v>
      </c>
      <c r="YI13" s="86">
        <v>34.6</v>
      </c>
      <c r="YJ13" s="86">
        <v>34.6</v>
      </c>
      <c r="YK13" s="86">
        <v>32.01</v>
      </c>
      <c r="YL13" s="86">
        <v>32.01</v>
      </c>
      <c r="YM13" s="86">
        <v>34.6</v>
      </c>
      <c r="YN13" s="86">
        <v>34.6</v>
      </c>
      <c r="YO13" s="86">
        <v>34.6</v>
      </c>
      <c r="YP13" s="86">
        <v>32.01</v>
      </c>
      <c r="YQ13" s="86">
        <v>34.6</v>
      </c>
      <c r="YR13" s="86">
        <v>34.6</v>
      </c>
      <c r="YS13" s="86">
        <v>34.6</v>
      </c>
      <c r="YT13" s="86">
        <v>34.6</v>
      </c>
      <c r="YU13" s="86">
        <v>34.6</v>
      </c>
      <c r="YV13" s="86">
        <v>34.6</v>
      </c>
      <c r="YW13" s="86">
        <v>34.6</v>
      </c>
      <c r="YX13" s="86">
        <v>34.6</v>
      </c>
      <c r="YY13" s="86">
        <v>34.6</v>
      </c>
      <c r="YZ13" s="86">
        <v>34.6</v>
      </c>
      <c r="ZA13" s="86">
        <v>34.6</v>
      </c>
      <c r="ZB13" s="86">
        <v>34.6</v>
      </c>
      <c r="ZC13" s="86">
        <v>34.6</v>
      </c>
      <c r="ZD13" s="86">
        <v>34.6</v>
      </c>
      <c r="ZE13" s="86">
        <v>34.6</v>
      </c>
      <c r="ZF13" s="86">
        <v>34.6</v>
      </c>
      <c r="ZG13" s="86">
        <v>34.6</v>
      </c>
      <c r="ZH13" s="86">
        <v>34.6</v>
      </c>
      <c r="ZI13" s="86">
        <v>34.6</v>
      </c>
      <c r="ZJ13" s="86">
        <v>34.6</v>
      </c>
      <c r="ZK13" s="86">
        <v>34.6</v>
      </c>
      <c r="ZL13" s="86">
        <v>34.6</v>
      </c>
      <c r="ZM13" s="86">
        <v>34.6</v>
      </c>
      <c r="ZN13" s="86">
        <v>34.6</v>
      </c>
      <c r="ZO13" s="86">
        <v>34.6</v>
      </c>
      <c r="ZP13" s="86">
        <v>34.6</v>
      </c>
      <c r="ZQ13" s="86">
        <v>34.6</v>
      </c>
      <c r="ZR13" s="86">
        <v>34.6</v>
      </c>
      <c r="ZS13" s="86">
        <v>34.6</v>
      </c>
      <c r="ZT13" s="86">
        <v>34.6</v>
      </c>
      <c r="ZU13" s="86">
        <v>34.6</v>
      </c>
      <c r="ZV13" s="86">
        <v>34.6</v>
      </c>
      <c r="ZW13" s="86">
        <v>34.6</v>
      </c>
      <c r="AAS13" s="86">
        <v>34.6</v>
      </c>
      <c r="AAT13" s="86">
        <v>32.01</v>
      </c>
      <c r="AAU13" s="86">
        <v>32.01</v>
      </c>
      <c r="AAV13" s="86">
        <v>32.01</v>
      </c>
      <c r="AAW13" s="86">
        <v>32.01</v>
      </c>
      <c r="AAX13" s="86">
        <v>32.01</v>
      </c>
      <c r="AAY13" s="86">
        <v>34.6</v>
      </c>
      <c r="AAZ13" s="86">
        <v>32.01</v>
      </c>
      <c r="ABA13" s="86">
        <v>34.6</v>
      </c>
      <c r="ABB13" s="86">
        <v>34.6</v>
      </c>
      <c r="ABC13" s="86">
        <v>34.6</v>
      </c>
      <c r="ABD13" s="86">
        <v>34.6</v>
      </c>
      <c r="ABE13" s="86">
        <v>34.6</v>
      </c>
      <c r="ABF13" s="86">
        <v>32.01</v>
      </c>
      <c r="ABG13" s="86">
        <v>34.6</v>
      </c>
      <c r="ABH13" s="86">
        <v>34.6</v>
      </c>
      <c r="ABI13" s="86">
        <v>32.01</v>
      </c>
      <c r="ABJ13" s="86">
        <v>34.6</v>
      </c>
      <c r="ABK13" s="86">
        <v>34.6</v>
      </c>
      <c r="ABL13" s="86">
        <v>32.01</v>
      </c>
      <c r="ABM13" s="86">
        <v>32.01</v>
      </c>
      <c r="ABN13" s="86">
        <v>34.6</v>
      </c>
      <c r="ABO13" s="86">
        <v>34.6</v>
      </c>
      <c r="ABP13" s="86">
        <v>34.6</v>
      </c>
      <c r="ABQ13" s="86">
        <v>32.01</v>
      </c>
      <c r="ABR13" s="86">
        <v>34.6</v>
      </c>
      <c r="ABS13" s="86">
        <v>34.6</v>
      </c>
      <c r="ABT13" s="86">
        <v>34.6</v>
      </c>
      <c r="ABU13" s="86">
        <v>34.6</v>
      </c>
      <c r="ABV13" s="86">
        <v>34.6</v>
      </c>
      <c r="ABW13" s="86">
        <v>34.6</v>
      </c>
      <c r="ABX13" s="86">
        <v>34.6</v>
      </c>
      <c r="ABY13" s="86">
        <v>34.6</v>
      </c>
      <c r="ABZ13" s="86">
        <v>34.6</v>
      </c>
      <c r="ACA13" s="86">
        <v>34.6</v>
      </c>
      <c r="ACB13" s="86">
        <v>34.6</v>
      </c>
      <c r="ACC13" s="86">
        <v>34.6</v>
      </c>
      <c r="ACD13" s="86">
        <v>34.6</v>
      </c>
      <c r="ACE13" s="86">
        <v>34.6</v>
      </c>
      <c r="ACF13" s="86">
        <v>34.6</v>
      </c>
      <c r="ACG13" s="86">
        <v>34.6</v>
      </c>
      <c r="ACH13" s="86">
        <v>34.6</v>
      </c>
      <c r="ACI13" s="86">
        <v>34.6</v>
      </c>
      <c r="ACJ13" s="86">
        <v>34.6</v>
      </c>
      <c r="ACK13" s="86">
        <v>34.6</v>
      </c>
      <c r="ACL13" s="86">
        <v>34.6</v>
      </c>
      <c r="ACM13" s="86">
        <v>34.6</v>
      </c>
      <c r="ACN13" s="86">
        <v>34.6</v>
      </c>
      <c r="ACO13" s="86">
        <v>34.6</v>
      </c>
      <c r="ACP13" s="86">
        <v>34.6</v>
      </c>
      <c r="ACQ13" s="86">
        <v>34.6</v>
      </c>
      <c r="ACR13" s="86">
        <v>34.6</v>
      </c>
      <c r="ACS13" s="86">
        <v>34.6</v>
      </c>
      <c r="ACT13" s="86">
        <v>34.6</v>
      </c>
      <c r="ACU13" s="86">
        <v>34.6</v>
      </c>
      <c r="ACV13" s="86">
        <v>34.6</v>
      </c>
      <c r="ACW13" s="86">
        <v>34.6</v>
      </c>
      <c r="ACX13" s="86">
        <v>34.6</v>
      </c>
      <c r="ADU13" s="86">
        <v>34.6</v>
      </c>
      <c r="ADV13" s="86">
        <v>32.01</v>
      </c>
      <c r="ADW13" s="86">
        <v>32.01</v>
      </c>
      <c r="ADX13" s="86">
        <v>32.01</v>
      </c>
      <c r="ADY13" s="86">
        <v>32.01</v>
      </c>
      <c r="ADZ13" s="86">
        <v>34.6</v>
      </c>
      <c r="AEA13" s="86">
        <v>32.01</v>
      </c>
      <c r="AEB13" s="86">
        <v>34.6</v>
      </c>
      <c r="AEC13" s="86">
        <v>34.6</v>
      </c>
      <c r="AED13" s="86">
        <v>34.6</v>
      </c>
      <c r="AEE13" s="86">
        <v>34.6</v>
      </c>
      <c r="AEF13" s="86">
        <v>34.6</v>
      </c>
      <c r="AEG13" s="86">
        <v>32.01</v>
      </c>
      <c r="AEH13" s="86">
        <v>34.6</v>
      </c>
      <c r="AEI13" s="86">
        <v>34.6</v>
      </c>
      <c r="AEJ13" s="86">
        <v>32.01</v>
      </c>
      <c r="AEK13" s="86">
        <v>34.6</v>
      </c>
      <c r="AEL13" s="86">
        <v>34.6</v>
      </c>
      <c r="AEM13" s="86">
        <v>32.01</v>
      </c>
      <c r="AEN13" s="86">
        <v>32.01</v>
      </c>
      <c r="AEO13" s="86">
        <v>34.6</v>
      </c>
      <c r="AEP13" s="86">
        <v>34.6</v>
      </c>
      <c r="AEQ13" s="86">
        <v>34.6</v>
      </c>
      <c r="AER13" s="86">
        <v>32.01</v>
      </c>
      <c r="AES13" s="86">
        <v>34.6</v>
      </c>
      <c r="AET13" s="86">
        <v>34.6</v>
      </c>
      <c r="AEU13" s="86">
        <v>34.6</v>
      </c>
      <c r="AEV13" s="86">
        <v>34.6</v>
      </c>
      <c r="AEW13" s="86">
        <v>34.6</v>
      </c>
      <c r="AEX13" s="86">
        <v>34.6</v>
      </c>
      <c r="AEY13" s="86">
        <v>34.6</v>
      </c>
      <c r="AEZ13" s="86">
        <v>34.6</v>
      </c>
      <c r="AFA13" s="86">
        <v>34.6</v>
      </c>
      <c r="AFB13" s="86">
        <v>34.6</v>
      </c>
      <c r="AFC13" s="86">
        <v>34.6</v>
      </c>
      <c r="AFD13" s="86">
        <v>34.6</v>
      </c>
      <c r="AFE13" s="86">
        <v>34.6</v>
      </c>
      <c r="AFF13" s="86">
        <v>34.6</v>
      </c>
      <c r="AFG13" s="86">
        <v>34.6</v>
      </c>
      <c r="AFH13" s="86">
        <v>34.6</v>
      </c>
      <c r="AFI13" s="86">
        <v>34.6</v>
      </c>
      <c r="AFJ13" s="86">
        <v>34.6</v>
      </c>
      <c r="AFK13" s="86">
        <v>34.6</v>
      </c>
      <c r="AFL13" s="86">
        <v>34.6</v>
      </c>
      <c r="AFM13" s="86">
        <v>34.6</v>
      </c>
      <c r="AFN13" s="86">
        <v>34.6</v>
      </c>
      <c r="AFO13" s="86">
        <v>34.6</v>
      </c>
      <c r="AFP13" s="86">
        <v>34.6</v>
      </c>
      <c r="AFQ13" s="86">
        <v>34.6</v>
      </c>
      <c r="AFR13" s="86">
        <v>34.6</v>
      </c>
      <c r="AFS13" s="86">
        <v>34.6</v>
      </c>
      <c r="AFT13" s="86">
        <v>34.6</v>
      </c>
      <c r="AFU13" s="86">
        <v>34.6</v>
      </c>
      <c r="AFV13" s="86">
        <v>34.6</v>
      </c>
      <c r="AFW13" s="86">
        <v>34.6</v>
      </c>
      <c r="AFX13" s="86">
        <v>34.6</v>
      </c>
      <c r="AFY13" s="86">
        <v>34.6</v>
      </c>
      <c r="AGW13" s="86">
        <v>34.6</v>
      </c>
      <c r="AGX13" s="86">
        <v>32.01</v>
      </c>
      <c r="AGY13" s="86">
        <v>32.01</v>
      </c>
      <c r="AGZ13" s="86">
        <v>32.01</v>
      </c>
      <c r="AHA13" s="86">
        <v>32.01</v>
      </c>
      <c r="AHB13" s="86">
        <v>34.6</v>
      </c>
      <c r="AHC13" s="86">
        <v>32.01</v>
      </c>
      <c r="AHD13" s="86">
        <v>34.6</v>
      </c>
      <c r="AHE13" s="86">
        <v>34.6</v>
      </c>
      <c r="AHF13" s="86">
        <v>34.6</v>
      </c>
      <c r="AHG13" s="86">
        <v>34.6</v>
      </c>
      <c r="AHH13" s="86">
        <v>34.6</v>
      </c>
      <c r="AHI13" s="86">
        <v>32.01</v>
      </c>
      <c r="AHJ13" s="86">
        <v>34.6</v>
      </c>
      <c r="AHK13" s="86">
        <v>34.6</v>
      </c>
      <c r="AHL13" s="86">
        <v>32.01</v>
      </c>
      <c r="AHM13" s="86">
        <v>34.6</v>
      </c>
      <c r="AHN13" s="86">
        <v>34.6</v>
      </c>
      <c r="AHO13" s="86">
        <v>32.01</v>
      </c>
      <c r="AHP13" s="86">
        <v>32.01</v>
      </c>
      <c r="AHQ13" s="86">
        <v>34.6</v>
      </c>
      <c r="AHR13" s="86">
        <v>34.6</v>
      </c>
      <c r="AHS13" s="86">
        <v>34.6</v>
      </c>
      <c r="AHT13" s="86">
        <v>32.01</v>
      </c>
      <c r="AHU13" s="86">
        <v>34.6</v>
      </c>
      <c r="AHV13" s="86">
        <v>34.6</v>
      </c>
      <c r="AHW13" s="86">
        <v>34.6</v>
      </c>
      <c r="AHX13" s="86">
        <v>34.6</v>
      </c>
      <c r="AHY13" s="86">
        <v>34.6</v>
      </c>
      <c r="AHZ13" s="86">
        <v>34.6</v>
      </c>
      <c r="AIA13" s="86">
        <v>34.6</v>
      </c>
      <c r="AIB13" s="86">
        <v>34.6</v>
      </c>
      <c r="AIC13" s="86">
        <v>34.6</v>
      </c>
      <c r="AID13" s="86">
        <v>34.6</v>
      </c>
      <c r="AIE13" s="86">
        <v>34.6</v>
      </c>
      <c r="AIF13" s="86">
        <v>34.6</v>
      </c>
      <c r="AIG13" s="86">
        <v>34.6</v>
      </c>
      <c r="AIH13" s="86">
        <v>34.6</v>
      </c>
      <c r="AII13" s="86">
        <v>34.6</v>
      </c>
      <c r="AIJ13" s="86">
        <v>34.6</v>
      </c>
      <c r="AIK13" s="86">
        <v>34.6</v>
      </c>
      <c r="AIL13" s="86">
        <v>34.6</v>
      </c>
      <c r="AIM13" s="86">
        <v>34.6</v>
      </c>
      <c r="AIN13" s="86">
        <v>34.6</v>
      </c>
      <c r="AIO13" s="86">
        <v>34.6</v>
      </c>
      <c r="AIP13" s="86">
        <v>34.6</v>
      </c>
      <c r="AIQ13" s="86">
        <v>34.6</v>
      </c>
      <c r="AIR13" s="86">
        <v>34.6</v>
      </c>
      <c r="AIS13" s="86">
        <v>34.6</v>
      </c>
      <c r="AIT13" s="86">
        <v>34.6</v>
      </c>
      <c r="AIU13" s="86">
        <v>34.6</v>
      </c>
      <c r="AIV13" s="86">
        <v>34.6</v>
      </c>
      <c r="AIW13" s="86">
        <v>34.6</v>
      </c>
      <c r="AIX13" s="86">
        <v>34.6</v>
      </c>
      <c r="AIY13" s="86">
        <v>34.6</v>
      </c>
      <c r="AIZ13" s="86">
        <v>34.6</v>
      </c>
    </row>
    <row r="14" spans="1:961">
      <c r="E14" s="86">
        <v>32.01</v>
      </c>
      <c r="G14" s="86">
        <v>32.01</v>
      </c>
      <c r="H14" s="86">
        <v>32.01</v>
      </c>
      <c r="I14" s="86">
        <v>32.01</v>
      </c>
      <c r="J14" s="86">
        <v>32.01</v>
      </c>
      <c r="K14" s="86">
        <v>32.01</v>
      </c>
      <c r="M14" s="86">
        <v>32.01</v>
      </c>
      <c r="N14" s="86">
        <v>32.01</v>
      </c>
      <c r="O14" s="86">
        <v>32.01</v>
      </c>
      <c r="Q14" s="86">
        <v>32.01</v>
      </c>
      <c r="R14" s="86">
        <v>32.01</v>
      </c>
      <c r="S14" s="86">
        <v>32.01</v>
      </c>
      <c r="V14" s="86">
        <v>32.01</v>
      </c>
      <c r="W14" s="86">
        <v>32.01</v>
      </c>
      <c r="X14" s="86">
        <v>32.01</v>
      </c>
      <c r="Z14" s="86">
        <v>32.01</v>
      </c>
      <c r="AA14" s="86">
        <v>32.01</v>
      </c>
      <c r="AB14" s="86">
        <v>32.01</v>
      </c>
      <c r="AC14" s="86">
        <v>32.01</v>
      </c>
      <c r="AD14" s="86">
        <v>32.01</v>
      </c>
      <c r="AE14" s="86">
        <v>32.01</v>
      </c>
      <c r="AF14" s="86">
        <v>32.01</v>
      </c>
      <c r="AG14" s="86">
        <v>32.01</v>
      </c>
      <c r="AH14" s="86">
        <v>32.01</v>
      </c>
      <c r="AI14" s="86">
        <v>32.01</v>
      </c>
      <c r="AJ14" s="86">
        <v>32.01</v>
      </c>
      <c r="AK14" s="86">
        <v>32.01</v>
      </c>
      <c r="AL14" s="86">
        <v>32.01</v>
      </c>
      <c r="AM14" s="86">
        <v>32.01</v>
      </c>
      <c r="AN14" s="86">
        <v>32.01</v>
      </c>
      <c r="AO14" s="86">
        <v>32.01</v>
      </c>
      <c r="AP14" s="86">
        <v>32.01</v>
      </c>
      <c r="AQ14" s="86">
        <v>32.01</v>
      </c>
      <c r="AR14" s="86">
        <v>32.01</v>
      </c>
      <c r="AS14" s="86">
        <v>32.01</v>
      </c>
      <c r="AT14" s="86">
        <v>32.01</v>
      </c>
      <c r="AU14" s="86">
        <v>32.01</v>
      </c>
      <c r="AV14" s="86">
        <v>32.01</v>
      </c>
      <c r="AW14" s="86">
        <v>32.01</v>
      </c>
      <c r="AX14" s="86">
        <v>32.01</v>
      </c>
      <c r="AY14" s="86">
        <v>32.01</v>
      </c>
      <c r="AZ14" s="86">
        <v>32.01</v>
      </c>
      <c r="CH14" s="86">
        <v>32.01</v>
      </c>
      <c r="CJ14" s="86">
        <v>32.01</v>
      </c>
      <c r="CK14" s="86">
        <v>32.01</v>
      </c>
      <c r="CL14" s="86">
        <v>32.01</v>
      </c>
      <c r="CM14" s="86">
        <v>32.01</v>
      </c>
      <c r="CN14" s="86">
        <v>32.01</v>
      </c>
      <c r="CP14" s="86">
        <v>32.01</v>
      </c>
      <c r="CQ14" s="86">
        <v>32.01</v>
      </c>
      <c r="CR14" s="86">
        <v>32.01</v>
      </c>
      <c r="CT14" s="86">
        <v>32.01</v>
      </c>
      <c r="CU14" s="86">
        <v>32.01</v>
      </c>
      <c r="CV14" s="86">
        <v>32.01</v>
      </c>
      <c r="CY14" s="86">
        <v>32.01</v>
      </c>
      <c r="CZ14" s="86">
        <v>32.01</v>
      </c>
      <c r="DA14" s="86">
        <v>32.01</v>
      </c>
      <c r="DC14" s="86">
        <v>32.01</v>
      </c>
      <c r="DD14" s="86">
        <v>32.01</v>
      </c>
      <c r="DE14" s="86">
        <v>32.01</v>
      </c>
      <c r="DF14" s="86">
        <v>32.01</v>
      </c>
      <c r="DG14" s="86">
        <v>32.01</v>
      </c>
      <c r="DH14" s="86">
        <v>32.01</v>
      </c>
      <c r="DI14" s="86">
        <v>32.01</v>
      </c>
      <c r="DJ14" s="86">
        <v>32.01</v>
      </c>
      <c r="DK14" s="86">
        <v>32.01</v>
      </c>
      <c r="DL14" s="86">
        <v>32.01</v>
      </c>
      <c r="DM14" s="86">
        <v>32.01</v>
      </c>
      <c r="DN14" s="86">
        <v>32.01</v>
      </c>
      <c r="DO14" s="86">
        <v>32.01</v>
      </c>
      <c r="DP14" s="86">
        <v>32.01</v>
      </c>
      <c r="DQ14" s="86">
        <v>32.01</v>
      </c>
      <c r="DR14" s="86">
        <v>32.01</v>
      </c>
      <c r="DS14" s="86">
        <v>32.01</v>
      </c>
      <c r="DT14" s="86">
        <v>32.01</v>
      </c>
      <c r="DU14" s="86">
        <v>32.01</v>
      </c>
      <c r="DV14" s="86">
        <v>32.01</v>
      </c>
      <c r="DW14" s="86">
        <v>32.01</v>
      </c>
      <c r="DX14" s="86">
        <v>32.01</v>
      </c>
      <c r="DY14" s="86">
        <v>32.01</v>
      </c>
      <c r="DZ14" s="86">
        <v>32.01</v>
      </c>
      <c r="EA14" s="86">
        <v>32.01</v>
      </c>
      <c r="EB14" s="86">
        <v>32.01</v>
      </c>
      <c r="EC14" s="86">
        <v>32.01</v>
      </c>
      <c r="ED14" s="86">
        <v>32.01</v>
      </c>
      <c r="EE14" s="86">
        <v>32.01</v>
      </c>
      <c r="EF14" s="86">
        <v>32.01</v>
      </c>
      <c r="EG14" s="86">
        <v>32.01</v>
      </c>
      <c r="EH14" s="86">
        <v>32.01</v>
      </c>
      <c r="EI14" s="86">
        <v>32.01</v>
      </c>
      <c r="FE14" s="86">
        <v>32.01</v>
      </c>
      <c r="FK14" s="86">
        <v>32.01</v>
      </c>
      <c r="FM14" s="86">
        <v>32.01</v>
      </c>
      <c r="FN14" s="86">
        <v>32.01</v>
      </c>
      <c r="FO14" s="86">
        <v>32.01</v>
      </c>
      <c r="FP14" s="86">
        <v>32.01</v>
      </c>
      <c r="FQ14" s="86">
        <v>32.01</v>
      </c>
      <c r="FS14" s="86">
        <v>32.01</v>
      </c>
      <c r="FT14" s="86">
        <v>32.01</v>
      </c>
      <c r="FU14" s="86">
        <v>32.01</v>
      </c>
      <c r="FW14" s="86">
        <v>32.01</v>
      </c>
      <c r="FX14" s="86">
        <v>32.01</v>
      </c>
      <c r="FY14" s="86">
        <v>32.01</v>
      </c>
      <c r="GB14" s="86">
        <v>32.01</v>
      </c>
      <c r="GC14" s="86">
        <v>32.01</v>
      </c>
      <c r="GD14" s="86">
        <v>32.01</v>
      </c>
      <c r="GF14" s="86">
        <v>32.01</v>
      </c>
      <c r="GG14" s="86">
        <v>32.01</v>
      </c>
      <c r="GH14" s="86">
        <v>32.01</v>
      </c>
      <c r="GI14" s="86">
        <v>32.01</v>
      </c>
      <c r="GJ14" s="86">
        <v>32.01</v>
      </c>
      <c r="GK14" s="86">
        <v>32.01</v>
      </c>
      <c r="GL14" s="86">
        <v>32.01</v>
      </c>
      <c r="GM14" s="86">
        <v>32.01</v>
      </c>
      <c r="GN14" s="86">
        <v>32.01</v>
      </c>
      <c r="GO14" s="86">
        <v>32.01</v>
      </c>
      <c r="GP14" s="86">
        <v>32.01</v>
      </c>
      <c r="GQ14" s="86">
        <v>32.01</v>
      </c>
      <c r="GR14" s="86">
        <v>32.01</v>
      </c>
      <c r="GS14" s="86">
        <v>32.01</v>
      </c>
      <c r="GT14" s="86">
        <v>32.01</v>
      </c>
      <c r="GU14" s="86">
        <v>32.01</v>
      </c>
      <c r="GV14" s="86">
        <v>32.01</v>
      </c>
      <c r="GW14" s="86">
        <v>32.01</v>
      </c>
      <c r="GX14" s="86">
        <v>32.01</v>
      </c>
      <c r="GY14" s="86">
        <v>32.01</v>
      </c>
      <c r="GZ14" s="86">
        <v>32.01</v>
      </c>
      <c r="HA14" s="86">
        <v>32.01</v>
      </c>
      <c r="HB14" s="86">
        <v>32.01</v>
      </c>
      <c r="HC14" s="86">
        <v>32.01</v>
      </c>
      <c r="HD14" s="86">
        <v>32.01</v>
      </c>
      <c r="HE14" s="86">
        <v>32.01</v>
      </c>
      <c r="HF14" s="86">
        <v>32.01</v>
      </c>
      <c r="HG14" s="86">
        <v>32.01</v>
      </c>
      <c r="HH14" s="86">
        <v>32.01</v>
      </c>
      <c r="HI14" s="86">
        <v>32.01</v>
      </c>
      <c r="HJ14" s="86">
        <v>32.01</v>
      </c>
      <c r="HK14" s="86">
        <v>32.01</v>
      </c>
      <c r="HL14" s="86">
        <v>32.01</v>
      </c>
      <c r="IG14" s="86">
        <v>32.01</v>
      </c>
      <c r="IM14" s="86">
        <v>32.01</v>
      </c>
      <c r="IO14" s="86">
        <v>32.01</v>
      </c>
      <c r="IP14" s="86">
        <v>32.01</v>
      </c>
      <c r="IQ14" s="86">
        <v>32.01</v>
      </c>
      <c r="IR14" s="86">
        <v>32.01</v>
      </c>
      <c r="IS14" s="86">
        <v>32.01</v>
      </c>
      <c r="IU14" s="86">
        <v>32.01</v>
      </c>
      <c r="IV14" s="86">
        <v>32.01</v>
      </c>
      <c r="IW14" s="86">
        <v>32.01</v>
      </c>
      <c r="IY14" s="86">
        <v>32.01</v>
      </c>
      <c r="IZ14" s="86">
        <v>32.01</v>
      </c>
      <c r="JA14" s="86">
        <v>32.01</v>
      </c>
      <c r="JD14" s="86">
        <v>32.01</v>
      </c>
      <c r="JE14" s="86">
        <v>32.01</v>
      </c>
      <c r="JF14" s="86">
        <v>32.01</v>
      </c>
      <c r="JH14" s="86">
        <v>32.01</v>
      </c>
      <c r="JI14" s="86">
        <v>32.01</v>
      </c>
      <c r="JJ14" s="86">
        <v>32.01</v>
      </c>
      <c r="JK14" s="86">
        <v>32.01</v>
      </c>
      <c r="JL14" s="86">
        <v>32.01</v>
      </c>
      <c r="JM14" s="86">
        <v>32.01</v>
      </c>
      <c r="JN14" s="86">
        <v>32.01</v>
      </c>
      <c r="JO14" s="86">
        <v>32.01</v>
      </c>
      <c r="JP14" s="86">
        <v>32.01</v>
      </c>
      <c r="JQ14" s="86">
        <v>32.01</v>
      </c>
      <c r="JR14" s="86">
        <v>32.01</v>
      </c>
      <c r="JS14" s="86">
        <v>32.01</v>
      </c>
      <c r="JT14" s="86">
        <v>32.01</v>
      </c>
      <c r="JU14" s="86">
        <v>32.01</v>
      </c>
      <c r="JV14" s="86">
        <v>32.01</v>
      </c>
      <c r="JW14" s="86">
        <v>32.01</v>
      </c>
      <c r="JX14" s="86">
        <v>32.01</v>
      </c>
      <c r="JY14" s="86">
        <v>32.01</v>
      </c>
      <c r="JZ14" s="86">
        <v>32.01</v>
      </c>
      <c r="KA14" s="86">
        <v>32.01</v>
      </c>
      <c r="KB14" s="86">
        <v>32.01</v>
      </c>
      <c r="KC14" s="86">
        <v>32.01</v>
      </c>
      <c r="KD14" s="86">
        <v>32.01</v>
      </c>
      <c r="KE14" s="86">
        <v>32.01</v>
      </c>
      <c r="KF14" s="86">
        <v>32.01</v>
      </c>
      <c r="KG14" s="86">
        <v>32.01</v>
      </c>
      <c r="KH14" s="86">
        <v>32.01</v>
      </c>
      <c r="KI14" s="86">
        <v>32.01</v>
      </c>
      <c r="KJ14" s="86">
        <v>32.01</v>
      </c>
      <c r="KK14" s="86">
        <v>32.01</v>
      </c>
      <c r="KL14" s="86">
        <v>32.01</v>
      </c>
      <c r="KM14" s="86">
        <v>32.01</v>
      </c>
      <c r="KN14" s="86">
        <v>32.01</v>
      </c>
      <c r="LJ14" s="86">
        <v>32.01</v>
      </c>
      <c r="LO14" s="86">
        <v>32.01</v>
      </c>
      <c r="LQ14" s="86">
        <v>32.01</v>
      </c>
      <c r="LR14" s="86">
        <v>32.01</v>
      </c>
      <c r="LS14" s="86">
        <v>32.01</v>
      </c>
      <c r="LT14" s="86">
        <v>32.01</v>
      </c>
      <c r="LU14" s="86">
        <v>32.01</v>
      </c>
      <c r="LW14" s="86">
        <v>32.01</v>
      </c>
      <c r="LX14" s="86">
        <v>32.01</v>
      </c>
      <c r="LY14" s="86">
        <v>32.01</v>
      </c>
      <c r="MA14" s="86">
        <v>32.01</v>
      </c>
      <c r="MB14" s="86">
        <v>32.01</v>
      </c>
      <c r="MF14" s="86">
        <v>32.01</v>
      </c>
      <c r="MG14" s="86">
        <v>32.01</v>
      </c>
      <c r="MH14" s="86">
        <v>32.01</v>
      </c>
      <c r="MJ14" s="86">
        <v>32.01</v>
      </c>
      <c r="MK14" s="86">
        <v>32.01</v>
      </c>
      <c r="ML14" s="86">
        <v>32.01</v>
      </c>
      <c r="MM14" s="86">
        <v>32.01</v>
      </c>
      <c r="MN14" s="86">
        <v>32.01</v>
      </c>
      <c r="MO14" s="86">
        <v>32.01</v>
      </c>
      <c r="MP14" s="86">
        <v>32.01</v>
      </c>
      <c r="MQ14" s="86">
        <v>32.01</v>
      </c>
      <c r="MR14" s="86">
        <v>32.01</v>
      </c>
      <c r="MS14" s="86">
        <v>32.01</v>
      </c>
      <c r="MT14" s="86">
        <v>32.01</v>
      </c>
      <c r="MU14" s="86">
        <v>32.01</v>
      </c>
      <c r="MV14" s="86">
        <v>32.01</v>
      </c>
      <c r="MW14" s="86">
        <v>32.01</v>
      </c>
      <c r="MX14" s="86">
        <v>32.01</v>
      </c>
      <c r="MY14" s="86">
        <v>32.01</v>
      </c>
      <c r="MZ14" s="86">
        <v>32.01</v>
      </c>
      <c r="NA14" s="86">
        <v>32.01</v>
      </c>
      <c r="NB14" s="86">
        <v>32.01</v>
      </c>
      <c r="NC14" s="86">
        <v>32.01</v>
      </c>
      <c r="ND14" s="86">
        <v>32.01</v>
      </c>
      <c r="NE14" s="86">
        <v>32.01</v>
      </c>
      <c r="NF14" s="86">
        <v>32.01</v>
      </c>
      <c r="NG14" s="86">
        <v>32.01</v>
      </c>
      <c r="NH14" s="86">
        <v>32.01</v>
      </c>
      <c r="NI14" s="86">
        <v>32.01</v>
      </c>
      <c r="NJ14" s="86">
        <v>32.01</v>
      </c>
      <c r="NK14" s="86">
        <v>32.01</v>
      </c>
      <c r="NL14" s="86">
        <v>32.01</v>
      </c>
      <c r="NM14" s="86">
        <v>32.01</v>
      </c>
      <c r="NN14" s="86">
        <v>32.01</v>
      </c>
      <c r="NO14" s="86">
        <v>32.01</v>
      </c>
      <c r="NP14" s="86">
        <v>32.01</v>
      </c>
      <c r="NQ14" s="86">
        <v>32.01</v>
      </c>
      <c r="NR14" s="86">
        <v>32.01</v>
      </c>
      <c r="OK14" s="86">
        <v>32.01</v>
      </c>
      <c r="OS14" s="86">
        <v>32.01</v>
      </c>
      <c r="OT14" s="86">
        <v>32.01</v>
      </c>
      <c r="OU14" s="86">
        <v>32.01</v>
      </c>
      <c r="OV14" s="86">
        <v>32.01</v>
      </c>
      <c r="OW14" s="86">
        <v>32.01</v>
      </c>
      <c r="OY14" s="86">
        <v>32.01</v>
      </c>
      <c r="OZ14" s="86">
        <v>32.01</v>
      </c>
      <c r="PA14" s="86">
        <v>32.01</v>
      </c>
      <c r="PC14" s="86">
        <v>32.01</v>
      </c>
      <c r="PD14" s="86">
        <v>32.01</v>
      </c>
      <c r="PE14" s="86">
        <v>32.01</v>
      </c>
      <c r="PH14" s="86">
        <v>32.01</v>
      </c>
      <c r="PI14" s="86">
        <v>32.01</v>
      </c>
      <c r="PJ14" s="86">
        <v>32.01</v>
      </c>
      <c r="PL14" s="86">
        <v>32.01</v>
      </c>
      <c r="PM14" s="86">
        <v>32.01</v>
      </c>
      <c r="PN14" s="86">
        <v>32.01</v>
      </c>
      <c r="PO14" s="86">
        <v>32.01</v>
      </c>
      <c r="PP14" s="86">
        <v>32.01</v>
      </c>
      <c r="PQ14" s="86">
        <v>32.01</v>
      </c>
      <c r="PR14" s="86">
        <v>32.01</v>
      </c>
      <c r="PS14" s="86">
        <v>32.01</v>
      </c>
      <c r="PT14" s="86">
        <v>32.01</v>
      </c>
      <c r="PU14" s="86">
        <v>32.01</v>
      </c>
      <c r="PV14" s="86">
        <v>32.01</v>
      </c>
      <c r="PW14" s="86">
        <v>32.01</v>
      </c>
      <c r="PX14" s="86">
        <v>32.01</v>
      </c>
      <c r="PY14" s="86">
        <v>32.01</v>
      </c>
      <c r="PZ14" s="86">
        <v>32.01</v>
      </c>
      <c r="QA14" s="86">
        <v>32.01</v>
      </c>
      <c r="QB14" s="86">
        <v>32.01</v>
      </c>
      <c r="QC14" s="86">
        <v>32.01</v>
      </c>
      <c r="QD14" s="86">
        <v>32.01</v>
      </c>
      <c r="QE14" s="86">
        <v>32.01</v>
      </c>
      <c r="QF14" s="86">
        <v>32.01</v>
      </c>
      <c r="QG14" s="86">
        <v>32.01</v>
      </c>
      <c r="QH14" s="86">
        <v>32.01</v>
      </c>
      <c r="QI14" s="86">
        <v>32.01</v>
      </c>
      <c r="QJ14" s="86">
        <v>32.01</v>
      </c>
      <c r="QK14" s="86">
        <v>32.01</v>
      </c>
      <c r="QL14" s="86">
        <v>32.01</v>
      </c>
      <c r="QM14" s="86">
        <v>32.01</v>
      </c>
      <c r="QN14" s="86">
        <v>32.01</v>
      </c>
      <c r="QO14" s="86">
        <v>32.01</v>
      </c>
      <c r="QP14" s="86">
        <v>32.01</v>
      </c>
      <c r="QQ14" s="86">
        <v>32.01</v>
      </c>
      <c r="QR14" s="86">
        <v>32.01</v>
      </c>
      <c r="QS14" s="86">
        <v>32.01</v>
      </c>
      <c r="QT14" s="86">
        <v>32.01</v>
      </c>
      <c r="RM14" s="86">
        <v>32.01</v>
      </c>
      <c r="RS14" s="86">
        <v>32.01</v>
      </c>
      <c r="RU14" s="86">
        <v>32.01</v>
      </c>
      <c r="RV14" s="86">
        <v>32.01</v>
      </c>
      <c r="RW14" s="86">
        <v>32.01</v>
      </c>
      <c r="RX14" s="86">
        <v>32.01</v>
      </c>
      <c r="RY14" s="86">
        <v>32.01</v>
      </c>
      <c r="SA14" s="86">
        <v>32.01</v>
      </c>
      <c r="SB14" s="86">
        <v>32.01</v>
      </c>
      <c r="SC14" s="86">
        <v>32.01</v>
      </c>
      <c r="SE14" s="86">
        <v>32.01</v>
      </c>
      <c r="SF14" s="86">
        <v>32.01</v>
      </c>
      <c r="SG14" s="86">
        <v>32.01</v>
      </c>
      <c r="SJ14" s="86">
        <v>32.01</v>
      </c>
      <c r="SK14" s="86">
        <v>32.01</v>
      </c>
      <c r="SL14" s="86">
        <v>32.01</v>
      </c>
      <c r="SN14" s="86">
        <v>32.01</v>
      </c>
      <c r="SO14" s="86">
        <v>32.01</v>
      </c>
      <c r="SP14" s="86">
        <v>32.01</v>
      </c>
      <c r="SQ14" s="86">
        <v>32.01</v>
      </c>
      <c r="SR14" s="86">
        <v>32.01</v>
      </c>
      <c r="SS14" s="86">
        <v>32.01</v>
      </c>
      <c r="ST14" s="86">
        <v>32.01</v>
      </c>
      <c r="SU14" s="86">
        <v>32.01</v>
      </c>
      <c r="SV14" s="86">
        <v>32.01</v>
      </c>
      <c r="SW14" s="86">
        <v>32.01</v>
      </c>
      <c r="SX14" s="86">
        <v>32.01</v>
      </c>
      <c r="SY14" s="86">
        <v>32.01</v>
      </c>
      <c r="SZ14" s="86">
        <v>32.01</v>
      </c>
      <c r="TA14" s="86">
        <v>32.01</v>
      </c>
      <c r="TB14" s="86">
        <v>32.01</v>
      </c>
      <c r="TC14" s="86">
        <v>32.01</v>
      </c>
      <c r="TD14" s="86">
        <v>32.01</v>
      </c>
      <c r="TE14" s="86">
        <v>32.01</v>
      </c>
      <c r="TF14" s="86">
        <v>32.01</v>
      </c>
      <c r="TG14" s="86">
        <v>32.01</v>
      </c>
      <c r="TH14" s="86">
        <v>32.01</v>
      </c>
      <c r="TI14" s="86">
        <v>32.01</v>
      </c>
      <c r="TJ14" s="86">
        <v>32.01</v>
      </c>
      <c r="TK14" s="86">
        <v>32.01</v>
      </c>
      <c r="TL14" s="86">
        <v>32.01</v>
      </c>
      <c r="TM14" s="86">
        <v>32.01</v>
      </c>
      <c r="TN14" s="86">
        <v>32.01</v>
      </c>
      <c r="TO14" s="86">
        <v>32.01</v>
      </c>
      <c r="TP14" s="86">
        <v>32.01</v>
      </c>
      <c r="TQ14" s="86">
        <v>32.01</v>
      </c>
      <c r="TR14" s="86">
        <v>32.01</v>
      </c>
      <c r="TS14" s="86">
        <v>32.01</v>
      </c>
      <c r="TT14" s="86">
        <v>32.01</v>
      </c>
      <c r="TU14" s="86">
        <v>32.01</v>
      </c>
      <c r="TV14" s="86">
        <v>32.01</v>
      </c>
      <c r="UO14" s="86">
        <v>32.01</v>
      </c>
      <c r="UU14" s="86">
        <v>32.01</v>
      </c>
      <c r="UW14" s="86">
        <v>32.01</v>
      </c>
      <c r="UX14" s="86">
        <v>32.01</v>
      </c>
      <c r="UY14" s="86">
        <v>32.01</v>
      </c>
      <c r="UZ14" s="86">
        <v>32.01</v>
      </c>
      <c r="VA14" s="86">
        <v>32.01</v>
      </c>
      <c r="VC14" s="86">
        <v>32.01</v>
      </c>
      <c r="VD14" s="86">
        <v>32.01</v>
      </c>
      <c r="VF14" s="86">
        <v>32.01</v>
      </c>
      <c r="VG14" s="86">
        <v>32.01</v>
      </c>
      <c r="VH14" s="86">
        <v>32.01</v>
      </c>
      <c r="VK14" s="86">
        <v>32.01</v>
      </c>
      <c r="VL14" s="86">
        <v>32.01</v>
      </c>
      <c r="VM14" s="86">
        <v>32.01</v>
      </c>
      <c r="VO14" s="86">
        <v>32.01</v>
      </c>
      <c r="VP14" s="86">
        <v>32.01</v>
      </c>
      <c r="VQ14" s="86">
        <v>32.01</v>
      </c>
      <c r="VR14" s="86">
        <v>32.01</v>
      </c>
      <c r="VS14" s="86">
        <v>32.01</v>
      </c>
      <c r="VT14" s="86">
        <v>32.01</v>
      </c>
      <c r="VU14" s="86">
        <v>32.01</v>
      </c>
      <c r="VV14" s="86">
        <v>32.01</v>
      </c>
      <c r="VW14" s="86">
        <v>32.01</v>
      </c>
      <c r="VX14" s="86">
        <v>32.01</v>
      </c>
      <c r="VY14" s="86">
        <v>32.01</v>
      </c>
      <c r="VZ14" s="86">
        <v>32.01</v>
      </c>
      <c r="WA14" s="86">
        <v>32.01</v>
      </c>
      <c r="WB14" s="86">
        <v>32.01</v>
      </c>
      <c r="WC14" s="86">
        <v>32.01</v>
      </c>
      <c r="WD14" s="86">
        <v>32.01</v>
      </c>
      <c r="WE14" s="86">
        <v>32.01</v>
      </c>
      <c r="WF14" s="86">
        <v>32.01</v>
      </c>
      <c r="WG14" s="86">
        <v>32.01</v>
      </c>
      <c r="WH14" s="86">
        <v>32.01</v>
      </c>
      <c r="WI14" s="86">
        <v>32.01</v>
      </c>
      <c r="WJ14" s="86">
        <v>32.01</v>
      </c>
      <c r="WK14" s="86">
        <v>32.01</v>
      </c>
      <c r="WL14" s="86">
        <v>32.01</v>
      </c>
      <c r="WM14" s="86">
        <v>32.01</v>
      </c>
      <c r="WN14" s="86">
        <v>32.01</v>
      </c>
      <c r="WO14" s="86">
        <v>32.01</v>
      </c>
      <c r="WP14" s="86">
        <v>32.01</v>
      </c>
      <c r="WQ14" s="86">
        <v>32.01</v>
      </c>
      <c r="WR14" s="86">
        <v>32.01</v>
      </c>
      <c r="WS14" s="86">
        <v>32.01</v>
      </c>
      <c r="WT14" s="86">
        <v>32.01</v>
      </c>
      <c r="WU14" s="86">
        <v>32.01</v>
      </c>
      <c r="WV14" s="86">
        <v>32.01</v>
      </c>
      <c r="WW14" s="86">
        <v>32.01</v>
      </c>
      <c r="XQ14" s="86">
        <v>32.01</v>
      </c>
      <c r="XW14" s="86">
        <v>32.01</v>
      </c>
      <c r="XY14" s="86">
        <v>32.01</v>
      </c>
      <c r="XZ14" s="86">
        <v>32.01</v>
      </c>
      <c r="YA14" s="86">
        <v>32.01</v>
      </c>
      <c r="YB14" s="86">
        <v>32.01</v>
      </c>
      <c r="YC14" s="86">
        <v>32.01</v>
      </c>
      <c r="YE14" s="86">
        <v>32.01</v>
      </c>
      <c r="YF14" s="86">
        <v>32.01</v>
      </c>
      <c r="YH14" s="86">
        <v>32.01</v>
      </c>
      <c r="YI14" s="86">
        <v>32.01</v>
      </c>
      <c r="YJ14" s="86">
        <v>32.01</v>
      </c>
      <c r="YM14" s="86">
        <v>32.01</v>
      </c>
      <c r="YN14" s="86">
        <v>32.01</v>
      </c>
      <c r="YO14" s="86">
        <v>32.01</v>
      </c>
      <c r="YQ14" s="86">
        <v>32.01</v>
      </c>
      <c r="YR14" s="86">
        <v>32.01</v>
      </c>
      <c r="YS14" s="86">
        <v>32.01</v>
      </c>
      <c r="YT14" s="86">
        <v>32.01</v>
      </c>
      <c r="YU14" s="86">
        <v>32.01</v>
      </c>
      <c r="YV14" s="86">
        <v>32.01</v>
      </c>
      <c r="YW14" s="86">
        <v>32.01</v>
      </c>
      <c r="YX14" s="86">
        <v>32.01</v>
      </c>
      <c r="YY14" s="86">
        <v>32.01</v>
      </c>
      <c r="YZ14" s="86">
        <v>32.01</v>
      </c>
      <c r="ZA14" s="86">
        <v>32.01</v>
      </c>
      <c r="ZB14" s="86">
        <v>32.01</v>
      </c>
      <c r="ZC14" s="86">
        <v>32.01</v>
      </c>
      <c r="ZD14" s="86">
        <v>32.01</v>
      </c>
      <c r="ZE14" s="86">
        <v>32.01</v>
      </c>
      <c r="ZF14" s="86">
        <v>32.01</v>
      </c>
      <c r="ZG14" s="86">
        <v>32.01</v>
      </c>
      <c r="ZH14" s="86">
        <v>32.01</v>
      </c>
      <c r="ZI14" s="86">
        <v>32.01</v>
      </c>
      <c r="ZJ14" s="86">
        <v>32.01</v>
      </c>
      <c r="ZK14" s="86">
        <v>32.01</v>
      </c>
      <c r="ZL14" s="86">
        <v>32.01</v>
      </c>
      <c r="ZM14" s="86">
        <v>32.01</v>
      </c>
      <c r="ZN14" s="86">
        <v>32.01</v>
      </c>
      <c r="ZO14" s="86">
        <v>32.01</v>
      </c>
      <c r="ZP14" s="86">
        <v>32.01</v>
      </c>
      <c r="ZQ14" s="86">
        <v>32.01</v>
      </c>
      <c r="ZR14" s="86">
        <v>32.01</v>
      </c>
      <c r="ZS14" s="86">
        <v>32.01</v>
      </c>
      <c r="ZT14" s="86">
        <v>32.01</v>
      </c>
      <c r="ZU14" s="86">
        <v>32.01</v>
      </c>
      <c r="ZV14" s="86">
        <v>32.01</v>
      </c>
      <c r="ZW14" s="86">
        <v>32.01</v>
      </c>
      <c r="AAS14" s="86">
        <v>32.01</v>
      </c>
      <c r="AAY14" s="86">
        <v>32.01</v>
      </c>
      <c r="ABA14" s="86">
        <v>32.01</v>
      </c>
      <c r="ABB14" s="86">
        <v>32.01</v>
      </c>
      <c r="ABC14" s="86">
        <v>32.01</v>
      </c>
      <c r="ABD14" s="86">
        <v>32.01</v>
      </c>
      <c r="ABE14" s="86">
        <v>32.01</v>
      </c>
      <c r="ABG14" s="86">
        <v>32.01</v>
      </c>
      <c r="ABH14" s="86">
        <v>32.01</v>
      </c>
      <c r="ABJ14" s="86">
        <v>32.01</v>
      </c>
      <c r="ABK14" s="86">
        <v>32.01</v>
      </c>
      <c r="ABN14" s="86">
        <v>32.01</v>
      </c>
      <c r="ABO14" s="86">
        <v>32.01</v>
      </c>
      <c r="ABP14" s="86">
        <v>32.01</v>
      </c>
      <c r="ABR14" s="86">
        <v>32.01</v>
      </c>
      <c r="ABS14" s="86">
        <v>32.01</v>
      </c>
      <c r="ABT14" s="86">
        <v>32.01</v>
      </c>
      <c r="ABU14" s="86">
        <v>32.01</v>
      </c>
      <c r="ABV14" s="86">
        <v>32.01</v>
      </c>
      <c r="ABW14" s="86">
        <v>32.01</v>
      </c>
      <c r="ABX14" s="86">
        <v>32.01</v>
      </c>
      <c r="ABY14" s="86">
        <v>32.01</v>
      </c>
      <c r="ABZ14" s="86">
        <v>32.01</v>
      </c>
      <c r="ACA14" s="86">
        <v>32.01</v>
      </c>
      <c r="ACB14" s="86">
        <v>32.01</v>
      </c>
      <c r="ACC14" s="86">
        <v>32.01</v>
      </c>
      <c r="ACD14" s="86">
        <v>32.01</v>
      </c>
      <c r="ACE14" s="86">
        <v>32.01</v>
      </c>
      <c r="ACF14" s="86">
        <v>32.01</v>
      </c>
      <c r="ACG14" s="86">
        <v>32.01</v>
      </c>
      <c r="ACH14" s="86">
        <v>32.01</v>
      </c>
      <c r="ACI14" s="86">
        <v>32.01</v>
      </c>
      <c r="ACJ14" s="86">
        <v>32.01</v>
      </c>
      <c r="ACK14" s="86">
        <v>32.01</v>
      </c>
      <c r="ACL14" s="86">
        <v>32.01</v>
      </c>
      <c r="ACM14" s="86">
        <v>32.01</v>
      </c>
      <c r="ACN14" s="86">
        <v>32.01</v>
      </c>
      <c r="ACO14" s="86">
        <v>32.01</v>
      </c>
      <c r="ACP14" s="86">
        <v>32.01</v>
      </c>
      <c r="ACQ14" s="86">
        <v>32.01</v>
      </c>
      <c r="ACR14" s="86">
        <v>32.01</v>
      </c>
      <c r="ACS14" s="86">
        <v>32.01</v>
      </c>
      <c r="ACT14" s="86">
        <v>32.01</v>
      </c>
      <c r="ACU14" s="86">
        <v>32.01</v>
      </c>
      <c r="ACV14" s="86">
        <v>32.01</v>
      </c>
      <c r="ACW14" s="86">
        <v>32.01</v>
      </c>
      <c r="ACX14" s="86">
        <v>32.01</v>
      </c>
      <c r="ADU14" s="86">
        <v>32.01</v>
      </c>
      <c r="ADZ14" s="86">
        <v>32.01</v>
      </c>
      <c r="AEB14" s="86">
        <v>32.01</v>
      </c>
      <c r="AEC14" s="86">
        <v>32.01</v>
      </c>
      <c r="AED14" s="86">
        <v>32.01</v>
      </c>
      <c r="AEE14" s="86">
        <v>32.01</v>
      </c>
      <c r="AEF14" s="86">
        <v>32.01</v>
      </c>
      <c r="AEH14" s="86">
        <v>32.01</v>
      </c>
      <c r="AEI14" s="86">
        <v>32.01</v>
      </c>
      <c r="AEK14" s="86">
        <v>32.01</v>
      </c>
      <c r="AEL14" s="86">
        <v>32.01</v>
      </c>
      <c r="AEO14" s="86">
        <v>32.01</v>
      </c>
      <c r="AEP14" s="86">
        <v>32.01</v>
      </c>
      <c r="AEQ14" s="86">
        <v>32.01</v>
      </c>
      <c r="AES14" s="86">
        <v>32.01</v>
      </c>
      <c r="AET14" s="86">
        <v>32.01</v>
      </c>
      <c r="AEU14" s="86">
        <v>32.01</v>
      </c>
      <c r="AEV14" s="86">
        <v>32.01</v>
      </c>
      <c r="AEW14" s="86">
        <v>32.01</v>
      </c>
      <c r="AEX14" s="86">
        <v>32.01</v>
      </c>
      <c r="AEY14" s="86">
        <v>32.01</v>
      </c>
      <c r="AEZ14" s="86">
        <v>32.01</v>
      </c>
      <c r="AFA14" s="86">
        <v>32.01</v>
      </c>
      <c r="AFB14" s="86">
        <v>32.01</v>
      </c>
      <c r="AFC14" s="86">
        <v>32.01</v>
      </c>
      <c r="AFD14" s="86">
        <v>32.01</v>
      </c>
      <c r="AFE14" s="86">
        <v>32.01</v>
      </c>
      <c r="AFF14" s="86">
        <v>32.01</v>
      </c>
      <c r="AFG14" s="86">
        <v>32.01</v>
      </c>
      <c r="AFH14" s="86">
        <v>32.01</v>
      </c>
      <c r="AFI14" s="86">
        <v>32.01</v>
      </c>
      <c r="AFJ14" s="86">
        <v>32.01</v>
      </c>
      <c r="AFK14" s="86">
        <v>32.01</v>
      </c>
      <c r="AFL14" s="86">
        <v>32.01</v>
      </c>
      <c r="AFM14" s="86">
        <v>32.01</v>
      </c>
      <c r="AFN14" s="86">
        <v>32.01</v>
      </c>
      <c r="AFO14" s="86">
        <v>32.01</v>
      </c>
      <c r="AFP14" s="86">
        <v>32.01</v>
      </c>
      <c r="AFQ14" s="86">
        <v>32.01</v>
      </c>
      <c r="AFR14" s="86">
        <v>32.01</v>
      </c>
      <c r="AFS14" s="86">
        <v>32.01</v>
      </c>
      <c r="AFT14" s="86">
        <v>32.01</v>
      </c>
      <c r="AFU14" s="86">
        <v>32.01</v>
      </c>
      <c r="AFV14" s="86">
        <v>32.01</v>
      </c>
      <c r="AFW14" s="86">
        <v>32.01</v>
      </c>
      <c r="AFX14" s="86">
        <v>32.01</v>
      </c>
      <c r="AFY14" s="86">
        <v>32.01</v>
      </c>
      <c r="AGW14" s="86">
        <v>32.01</v>
      </c>
      <c r="AHB14" s="86">
        <v>32.01</v>
      </c>
      <c r="AHD14" s="86">
        <v>32.01</v>
      </c>
      <c r="AHE14" s="86">
        <v>32.01</v>
      </c>
      <c r="AHF14" s="86">
        <v>32.01</v>
      </c>
      <c r="AHG14" s="86">
        <v>32.01</v>
      </c>
      <c r="AHH14" s="86">
        <v>32.01</v>
      </c>
      <c r="AHJ14" s="86">
        <v>32.01</v>
      </c>
      <c r="AHK14" s="86">
        <v>32.01</v>
      </c>
      <c r="AHM14" s="86">
        <v>32.01</v>
      </c>
      <c r="AHN14" s="86">
        <v>32.01</v>
      </c>
      <c r="AHQ14" s="86">
        <v>32.01</v>
      </c>
      <c r="AHR14" s="86">
        <v>32.01</v>
      </c>
      <c r="AHS14" s="86">
        <v>32.01</v>
      </c>
      <c r="AHU14" s="86">
        <v>32.01</v>
      </c>
      <c r="AHV14" s="86">
        <v>32.01</v>
      </c>
      <c r="AHW14" s="86">
        <v>32.01</v>
      </c>
      <c r="AHX14" s="86">
        <v>32.01</v>
      </c>
      <c r="AHY14" s="86">
        <v>32.01</v>
      </c>
      <c r="AHZ14" s="86">
        <v>32.01</v>
      </c>
      <c r="AIA14" s="86">
        <v>32.01</v>
      </c>
      <c r="AIB14" s="86">
        <v>32.01</v>
      </c>
      <c r="AIC14" s="86">
        <v>32.01</v>
      </c>
      <c r="AID14" s="86">
        <v>32.01</v>
      </c>
      <c r="AIE14" s="86">
        <v>32.01</v>
      </c>
      <c r="AIF14" s="86">
        <v>32.01</v>
      </c>
      <c r="AIG14" s="86">
        <v>32.01</v>
      </c>
      <c r="AIH14" s="86">
        <v>32.01</v>
      </c>
      <c r="AII14" s="86">
        <v>32.01</v>
      </c>
      <c r="AIJ14" s="86">
        <v>32.01</v>
      </c>
      <c r="AIK14" s="86">
        <v>32.01</v>
      </c>
      <c r="AIL14" s="86">
        <v>32.01</v>
      </c>
      <c r="AIM14" s="86">
        <v>32.01</v>
      </c>
      <c r="AIN14" s="86">
        <v>32.01</v>
      </c>
      <c r="AIO14" s="86">
        <v>32.01</v>
      </c>
      <c r="AIP14" s="86">
        <v>32.01</v>
      </c>
      <c r="AIQ14" s="86">
        <v>32.01</v>
      </c>
      <c r="AIR14" s="86">
        <v>32.01</v>
      </c>
      <c r="AIS14" s="86">
        <v>32.01</v>
      </c>
      <c r="AIT14" s="86">
        <v>32.01</v>
      </c>
      <c r="AIU14" s="86">
        <v>32.01</v>
      </c>
      <c r="AIV14" s="86">
        <v>32.01</v>
      </c>
      <c r="AIW14" s="86">
        <v>32.01</v>
      </c>
      <c r="AIX14" s="86">
        <v>32.01</v>
      </c>
      <c r="AIY14" s="86">
        <v>32.01</v>
      </c>
      <c r="AIZ14" s="86">
        <v>32.01</v>
      </c>
    </row>
    <row r="15" spans="1:961">
      <c r="E15" s="86">
        <v>10</v>
      </c>
      <c r="K15" s="86">
        <v>10</v>
      </c>
      <c r="M15" s="86">
        <v>10</v>
      </c>
      <c r="N15" s="86">
        <v>10</v>
      </c>
      <c r="O15" s="86">
        <v>10</v>
      </c>
      <c r="Q15" s="86">
        <v>10</v>
      </c>
      <c r="R15" s="86">
        <v>10</v>
      </c>
      <c r="V15" s="86">
        <v>10</v>
      </c>
      <c r="W15" s="86">
        <v>10</v>
      </c>
      <c r="X15" s="86">
        <v>10</v>
      </c>
      <c r="Z15" s="86">
        <v>10</v>
      </c>
      <c r="AA15" s="86">
        <v>10</v>
      </c>
      <c r="AB15" s="86">
        <v>10</v>
      </c>
      <c r="AC15" s="86">
        <v>10</v>
      </c>
      <c r="AD15" s="86">
        <v>10</v>
      </c>
      <c r="AE15" s="86">
        <v>10</v>
      </c>
      <c r="AF15" s="86">
        <v>10</v>
      </c>
      <c r="AH15" s="86">
        <v>10</v>
      </c>
      <c r="AI15" s="86">
        <v>10</v>
      </c>
      <c r="AJ15" s="86">
        <v>10</v>
      </c>
      <c r="AK15" s="86">
        <v>10</v>
      </c>
      <c r="AL15" s="86">
        <v>10</v>
      </c>
      <c r="AM15" s="86">
        <v>10</v>
      </c>
      <c r="AN15" s="86">
        <v>10</v>
      </c>
      <c r="AO15" s="86">
        <v>10</v>
      </c>
      <c r="AP15" s="86">
        <v>10</v>
      </c>
      <c r="AQ15" s="86">
        <v>10</v>
      </c>
      <c r="AR15" s="86">
        <v>10</v>
      </c>
      <c r="AS15" s="86">
        <v>10</v>
      </c>
      <c r="AT15" s="86">
        <v>10</v>
      </c>
      <c r="AU15" s="86">
        <v>10</v>
      </c>
      <c r="AV15" s="86">
        <v>10</v>
      </c>
      <c r="AW15" s="86">
        <v>10</v>
      </c>
      <c r="AX15" s="86">
        <v>10</v>
      </c>
      <c r="AY15" s="86">
        <v>10</v>
      </c>
      <c r="AZ15" s="86">
        <v>10</v>
      </c>
      <c r="CP15" s="86">
        <v>10</v>
      </c>
      <c r="CQ15" s="86">
        <v>10</v>
      </c>
      <c r="CR15" s="86">
        <v>10</v>
      </c>
      <c r="CT15" s="86">
        <v>10</v>
      </c>
      <c r="CU15" s="86">
        <v>10</v>
      </c>
      <c r="CV15" s="86">
        <v>10</v>
      </c>
      <c r="CY15" s="86">
        <v>10</v>
      </c>
      <c r="CZ15" s="86">
        <v>10</v>
      </c>
      <c r="DA15" s="86">
        <v>10</v>
      </c>
      <c r="DC15" s="86">
        <v>10</v>
      </c>
      <c r="DD15" s="86">
        <v>10</v>
      </c>
      <c r="DE15" s="86">
        <v>10</v>
      </c>
      <c r="DF15" s="86">
        <v>10</v>
      </c>
      <c r="DG15" s="86">
        <v>10</v>
      </c>
      <c r="DH15" s="86">
        <v>10</v>
      </c>
      <c r="DI15" s="86">
        <v>10</v>
      </c>
      <c r="DJ15" s="86">
        <v>10</v>
      </c>
      <c r="DK15" s="86">
        <v>10</v>
      </c>
      <c r="DL15" s="86">
        <v>10</v>
      </c>
      <c r="DM15" s="86">
        <v>10</v>
      </c>
      <c r="DN15" s="86">
        <v>10</v>
      </c>
      <c r="DO15" s="86">
        <v>10</v>
      </c>
      <c r="DP15" s="86">
        <v>10</v>
      </c>
      <c r="DQ15" s="86">
        <v>10</v>
      </c>
      <c r="DR15" s="86">
        <v>10</v>
      </c>
      <c r="DS15" s="86">
        <v>10</v>
      </c>
      <c r="DT15" s="86">
        <v>10</v>
      </c>
      <c r="DU15" s="86">
        <v>10</v>
      </c>
      <c r="DV15" s="86">
        <v>10</v>
      </c>
      <c r="DW15" s="86">
        <v>10</v>
      </c>
      <c r="DX15" s="86">
        <v>10</v>
      </c>
      <c r="DY15" s="86">
        <v>10</v>
      </c>
      <c r="DZ15" s="86">
        <v>10</v>
      </c>
      <c r="EA15" s="86">
        <v>10</v>
      </c>
      <c r="EB15" s="86">
        <v>10</v>
      </c>
      <c r="EC15" s="86">
        <v>10</v>
      </c>
      <c r="ED15" s="86">
        <v>10</v>
      </c>
      <c r="EF15" s="86">
        <v>10</v>
      </c>
      <c r="EG15" s="86">
        <v>10</v>
      </c>
      <c r="EH15" s="86">
        <v>10</v>
      </c>
      <c r="EI15" s="86">
        <v>10</v>
      </c>
      <c r="FE15" s="86">
        <v>10</v>
      </c>
      <c r="FS15" s="86">
        <v>10</v>
      </c>
      <c r="FT15" s="86">
        <v>10</v>
      </c>
      <c r="FU15" s="86">
        <v>10</v>
      </c>
      <c r="FW15" s="86">
        <v>10</v>
      </c>
      <c r="FX15" s="86">
        <v>10</v>
      </c>
      <c r="FY15" s="86">
        <v>10</v>
      </c>
      <c r="GB15" s="86">
        <v>10</v>
      </c>
      <c r="GC15" s="86">
        <v>10</v>
      </c>
      <c r="GD15" s="86">
        <v>10</v>
      </c>
      <c r="GF15" s="86">
        <v>10</v>
      </c>
      <c r="GG15" s="86">
        <v>10</v>
      </c>
      <c r="GH15" s="86">
        <v>10</v>
      </c>
      <c r="GI15" s="86">
        <v>10</v>
      </c>
      <c r="GJ15" s="86">
        <v>10</v>
      </c>
      <c r="GK15" s="86">
        <v>10</v>
      </c>
      <c r="GL15" s="86">
        <v>10</v>
      </c>
      <c r="GM15" s="86">
        <v>10</v>
      </c>
      <c r="GN15" s="86">
        <v>10</v>
      </c>
      <c r="GO15" s="86">
        <v>10</v>
      </c>
      <c r="GP15" s="86">
        <v>10</v>
      </c>
      <c r="GQ15" s="86">
        <v>10</v>
      </c>
      <c r="GR15" s="86">
        <v>10</v>
      </c>
      <c r="GS15" s="86">
        <v>10</v>
      </c>
      <c r="GT15" s="86">
        <v>10</v>
      </c>
      <c r="GU15" s="86">
        <v>10</v>
      </c>
      <c r="GV15" s="86">
        <v>10</v>
      </c>
      <c r="GW15" s="86">
        <v>10</v>
      </c>
      <c r="GX15" s="86">
        <v>10</v>
      </c>
      <c r="GY15" s="86">
        <v>10</v>
      </c>
      <c r="GZ15" s="86">
        <v>10</v>
      </c>
      <c r="HA15" s="86">
        <v>10</v>
      </c>
      <c r="HB15" s="86">
        <v>10</v>
      </c>
      <c r="HC15" s="86">
        <v>10</v>
      </c>
      <c r="HD15" s="86">
        <v>10</v>
      </c>
      <c r="HE15" s="86">
        <v>10</v>
      </c>
      <c r="HF15" s="86">
        <v>10</v>
      </c>
      <c r="HG15" s="86">
        <v>10</v>
      </c>
      <c r="HH15" s="86">
        <v>10</v>
      </c>
      <c r="HJ15" s="86">
        <v>10</v>
      </c>
      <c r="HK15" s="86">
        <v>10</v>
      </c>
      <c r="HL15" s="86">
        <v>10</v>
      </c>
      <c r="IG15" s="86">
        <v>10</v>
      </c>
      <c r="IU15" s="86">
        <v>10</v>
      </c>
      <c r="IV15" s="86">
        <v>10</v>
      </c>
      <c r="IW15" s="86">
        <v>10</v>
      </c>
      <c r="IZ15" s="86">
        <v>10</v>
      </c>
      <c r="JA15" s="86">
        <v>10</v>
      </c>
      <c r="JD15" s="86">
        <v>10</v>
      </c>
      <c r="JE15" s="86">
        <v>10</v>
      </c>
      <c r="JF15" s="86">
        <v>10</v>
      </c>
      <c r="JH15" s="86">
        <v>10</v>
      </c>
      <c r="JI15" s="86">
        <v>10</v>
      </c>
      <c r="JJ15" s="86">
        <v>10</v>
      </c>
      <c r="JK15" s="86">
        <v>10</v>
      </c>
      <c r="JL15" s="86">
        <v>10</v>
      </c>
      <c r="JM15" s="86">
        <v>10</v>
      </c>
      <c r="JN15" s="86">
        <v>10</v>
      </c>
      <c r="JO15" s="86">
        <v>10</v>
      </c>
      <c r="JP15" s="86">
        <v>10</v>
      </c>
      <c r="JQ15" s="86">
        <v>10</v>
      </c>
      <c r="JR15" s="86">
        <v>10</v>
      </c>
      <c r="JS15" s="86">
        <v>10</v>
      </c>
      <c r="JT15" s="86">
        <v>10</v>
      </c>
      <c r="JU15" s="86">
        <v>10</v>
      </c>
      <c r="JV15" s="86">
        <v>10</v>
      </c>
      <c r="JW15" s="86">
        <v>10</v>
      </c>
      <c r="JX15" s="86">
        <v>10</v>
      </c>
      <c r="JY15" s="86">
        <v>10</v>
      </c>
      <c r="JZ15" s="86">
        <v>10</v>
      </c>
      <c r="KA15" s="86">
        <v>10</v>
      </c>
      <c r="KB15" s="86">
        <v>10</v>
      </c>
      <c r="KC15" s="86">
        <v>10</v>
      </c>
      <c r="KD15" s="86">
        <v>10</v>
      </c>
      <c r="KE15" s="86">
        <v>10</v>
      </c>
      <c r="KF15" s="86">
        <v>10</v>
      </c>
      <c r="KG15" s="86">
        <v>10</v>
      </c>
      <c r="KH15" s="86">
        <v>10</v>
      </c>
      <c r="KI15" s="86">
        <v>10</v>
      </c>
      <c r="KJ15" s="86">
        <v>10</v>
      </c>
      <c r="KL15" s="86">
        <v>10</v>
      </c>
      <c r="KM15" s="86">
        <v>10</v>
      </c>
      <c r="KN15" s="86">
        <v>10</v>
      </c>
      <c r="LW15" s="86">
        <v>10</v>
      </c>
      <c r="LX15" s="86">
        <v>10</v>
      </c>
      <c r="LY15" s="86">
        <v>10</v>
      </c>
      <c r="MA15" s="86">
        <v>10</v>
      </c>
      <c r="MB15" s="86">
        <v>10</v>
      </c>
      <c r="MF15" s="86">
        <v>10</v>
      </c>
      <c r="MG15" s="86">
        <v>10</v>
      </c>
      <c r="MH15" s="86">
        <v>10</v>
      </c>
      <c r="MJ15" s="86">
        <v>10</v>
      </c>
      <c r="MK15" s="86">
        <v>10</v>
      </c>
      <c r="ML15" s="86">
        <v>10</v>
      </c>
      <c r="MM15" s="86">
        <v>10</v>
      </c>
      <c r="MN15" s="86">
        <v>10</v>
      </c>
      <c r="MO15" s="86">
        <v>10</v>
      </c>
      <c r="MP15" s="86">
        <v>10</v>
      </c>
      <c r="MQ15" s="86">
        <v>10</v>
      </c>
      <c r="MR15" s="86">
        <v>10</v>
      </c>
      <c r="MS15" s="86">
        <v>10</v>
      </c>
      <c r="MT15" s="86">
        <v>10</v>
      </c>
      <c r="MU15" s="86">
        <v>10</v>
      </c>
      <c r="MV15" s="86">
        <v>10</v>
      </c>
      <c r="MW15" s="86">
        <v>10</v>
      </c>
      <c r="MX15" s="86">
        <v>10</v>
      </c>
      <c r="MY15" s="86">
        <v>10</v>
      </c>
      <c r="MZ15" s="86">
        <v>10</v>
      </c>
      <c r="NA15" s="86">
        <v>10</v>
      </c>
      <c r="NB15" s="86">
        <v>10</v>
      </c>
      <c r="NC15" s="86">
        <v>10</v>
      </c>
      <c r="ND15" s="86">
        <v>10</v>
      </c>
      <c r="NE15" s="86">
        <v>10</v>
      </c>
      <c r="NF15" s="86">
        <v>10</v>
      </c>
      <c r="NG15" s="86">
        <v>10</v>
      </c>
      <c r="NH15" s="86">
        <v>10</v>
      </c>
      <c r="NI15" s="86">
        <v>10</v>
      </c>
      <c r="NJ15" s="86">
        <v>10</v>
      </c>
      <c r="NK15" s="86">
        <v>10</v>
      </c>
      <c r="NL15" s="86">
        <v>10</v>
      </c>
      <c r="NM15" s="86">
        <v>10</v>
      </c>
      <c r="NN15" s="86">
        <v>10</v>
      </c>
      <c r="NP15" s="86">
        <v>10</v>
      </c>
      <c r="NQ15" s="86">
        <v>10</v>
      </c>
      <c r="NR15" s="86">
        <v>10</v>
      </c>
      <c r="OK15" s="86">
        <v>10</v>
      </c>
      <c r="OY15" s="86">
        <v>10</v>
      </c>
      <c r="OZ15" s="86">
        <v>10</v>
      </c>
      <c r="PA15" s="86">
        <v>10</v>
      </c>
      <c r="PC15" s="86">
        <v>10</v>
      </c>
      <c r="PD15" s="86">
        <v>10</v>
      </c>
      <c r="PE15" s="86">
        <v>10</v>
      </c>
      <c r="PH15" s="86">
        <v>10</v>
      </c>
      <c r="PI15" s="86">
        <v>10</v>
      </c>
      <c r="PJ15" s="86">
        <v>10</v>
      </c>
      <c r="PL15" s="86">
        <v>10</v>
      </c>
      <c r="PM15" s="86">
        <v>10</v>
      </c>
      <c r="PN15" s="86">
        <v>10</v>
      </c>
      <c r="PO15" s="86">
        <v>10</v>
      </c>
      <c r="PP15" s="86">
        <v>10</v>
      </c>
      <c r="PQ15" s="86">
        <v>10</v>
      </c>
      <c r="PR15" s="86">
        <v>10</v>
      </c>
      <c r="PS15" s="86">
        <v>10</v>
      </c>
      <c r="PT15" s="86">
        <v>10</v>
      </c>
      <c r="PU15" s="86">
        <v>10</v>
      </c>
      <c r="PV15" s="86">
        <v>10</v>
      </c>
      <c r="PW15" s="86">
        <v>10</v>
      </c>
      <c r="PX15" s="86">
        <v>10</v>
      </c>
      <c r="PY15" s="86">
        <v>10</v>
      </c>
      <c r="PZ15" s="86">
        <v>10</v>
      </c>
      <c r="QA15" s="86">
        <v>10</v>
      </c>
      <c r="QB15" s="86">
        <v>10</v>
      </c>
      <c r="QC15" s="86">
        <v>10</v>
      </c>
      <c r="QD15" s="86">
        <v>10</v>
      </c>
      <c r="QE15" s="86">
        <v>10</v>
      </c>
      <c r="QF15" s="86">
        <v>10</v>
      </c>
      <c r="QG15" s="86">
        <v>10</v>
      </c>
      <c r="QH15" s="86">
        <v>10</v>
      </c>
      <c r="QI15" s="86">
        <v>10</v>
      </c>
      <c r="QJ15" s="86">
        <v>10</v>
      </c>
      <c r="QK15" s="86">
        <v>10</v>
      </c>
      <c r="QL15" s="86">
        <v>10</v>
      </c>
      <c r="QM15" s="86">
        <v>10</v>
      </c>
      <c r="QN15" s="86">
        <v>10</v>
      </c>
      <c r="QO15" s="86">
        <v>10</v>
      </c>
      <c r="QP15" s="86">
        <v>10</v>
      </c>
      <c r="QR15" s="86">
        <v>10</v>
      </c>
      <c r="QS15" s="86">
        <v>10</v>
      </c>
      <c r="QT15" s="86">
        <v>10</v>
      </c>
      <c r="RM15" s="86">
        <v>10</v>
      </c>
      <c r="SA15" s="86">
        <v>10</v>
      </c>
      <c r="SB15" s="86">
        <v>10</v>
      </c>
      <c r="SC15" s="86">
        <v>10</v>
      </c>
      <c r="SE15" s="86">
        <v>10</v>
      </c>
      <c r="SF15" s="86">
        <v>10</v>
      </c>
      <c r="SG15" s="86">
        <v>10</v>
      </c>
      <c r="SJ15" s="86">
        <v>10</v>
      </c>
      <c r="SK15" s="86">
        <v>10</v>
      </c>
      <c r="SL15" s="86">
        <v>10</v>
      </c>
      <c r="SN15" s="86">
        <v>10</v>
      </c>
      <c r="SO15" s="86">
        <v>10</v>
      </c>
      <c r="SP15" s="86">
        <v>10</v>
      </c>
      <c r="SQ15" s="86">
        <v>10</v>
      </c>
      <c r="SR15" s="86">
        <v>10</v>
      </c>
      <c r="SS15" s="86">
        <v>10</v>
      </c>
      <c r="ST15" s="86">
        <v>10</v>
      </c>
      <c r="SU15" s="86">
        <v>10</v>
      </c>
      <c r="SV15" s="86">
        <v>10</v>
      </c>
      <c r="SW15" s="86">
        <v>10</v>
      </c>
      <c r="SX15" s="86">
        <v>10</v>
      </c>
      <c r="SY15" s="86">
        <v>10</v>
      </c>
      <c r="SZ15" s="86">
        <v>10</v>
      </c>
      <c r="TA15" s="86">
        <v>10</v>
      </c>
      <c r="TB15" s="86">
        <v>10</v>
      </c>
      <c r="TC15" s="86">
        <v>10</v>
      </c>
      <c r="TD15" s="86">
        <v>10</v>
      </c>
      <c r="TE15" s="86">
        <v>10</v>
      </c>
      <c r="TF15" s="86">
        <v>10</v>
      </c>
      <c r="TG15" s="86">
        <v>10</v>
      </c>
      <c r="TH15" s="86">
        <v>10</v>
      </c>
      <c r="TI15" s="86">
        <v>10</v>
      </c>
      <c r="TJ15" s="86">
        <v>10</v>
      </c>
      <c r="TK15" s="86">
        <v>10</v>
      </c>
      <c r="TL15" s="86">
        <v>10</v>
      </c>
      <c r="TM15" s="86">
        <v>10</v>
      </c>
      <c r="TN15" s="86">
        <v>10</v>
      </c>
      <c r="TO15" s="86">
        <v>10</v>
      </c>
      <c r="TP15" s="86">
        <v>10</v>
      </c>
      <c r="TQ15" s="86">
        <v>10</v>
      </c>
      <c r="TR15" s="86">
        <v>10</v>
      </c>
      <c r="TT15" s="86">
        <v>10</v>
      </c>
      <c r="TU15" s="86">
        <v>10</v>
      </c>
      <c r="TV15" s="86">
        <v>10</v>
      </c>
      <c r="UO15" s="86">
        <v>10</v>
      </c>
      <c r="VC15" s="86">
        <v>10</v>
      </c>
      <c r="VD15" s="86">
        <v>10</v>
      </c>
      <c r="VF15" s="86">
        <v>10</v>
      </c>
      <c r="VG15" s="86">
        <v>10</v>
      </c>
      <c r="VH15" s="86">
        <v>10</v>
      </c>
      <c r="VK15" s="86">
        <v>10</v>
      </c>
      <c r="VL15" s="86">
        <v>10</v>
      </c>
      <c r="VM15" s="86">
        <v>10</v>
      </c>
      <c r="VO15" s="86">
        <v>10</v>
      </c>
      <c r="VP15" s="86">
        <v>10</v>
      </c>
      <c r="VQ15" s="86">
        <v>10</v>
      </c>
      <c r="VR15" s="86">
        <v>10</v>
      </c>
      <c r="VS15" s="86">
        <v>10</v>
      </c>
      <c r="VT15" s="86">
        <v>10</v>
      </c>
      <c r="VU15" s="86">
        <v>10</v>
      </c>
      <c r="VV15" s="86">
        <v>10</v>
      </c>
      <c r="VW15" s="86">
        <v>10</v>
      </c>
      <c r="VX15" s="86">
        <v>10</v>
      </c>
      <c r="VY15" s="86">
        <v>10</v>
      </c>
      <c r="VZ15" s="86">
        <v>10</v>
      </c>
      <c r="WA15" s="86">
        <v>10</v>
      </c>
      <c r="WB15" s="86">
        <v>10</v>
      </c>
      <c r="WC15" s="86">
        <v>10</v>
      </c>
      <c r="WD15" s="86">
        <v>10</v>
      </c>
      <c r="WE15" s="86">
        <v>10</v>
      </c>
      <c r="WF15" s="86">
        <v>10</v>
      </c>
      <c r="WG15" s="86">
        <v>10</v>
      </c>
      <c r="WH15" s="86">
        <v>10</v>
      </c>
      <c r="WI15" s="86">
        <v>10</v>
      </c>
      <c r="WJ15" s="86">
        <v>10</v>
      </c>
      <c r="WK15" s="86">
        <v>10</v>
      </c>
      <c r="WL15" s="86">
        <v>10</v>
      </c>
      <c r="WM15" s="86">
        <v>10</v>
      </c>
      <c r="WN15" s="86">
        <v>10</v>
      </c>
      <c r="WO15" s="86">
        <v>10</v>
      </c>
      <c r="WP15" s="86">
        <v>10</v>
      </c>
      <c r="WQ15" s="86">
        <v>10</v>
      </c>
      <c r="WR15" s="86">
        <v>10</v>
      </c>
      <c r="WS15" s="86">
        <v>10</v>
      </c>
      <c r="WU15" s="86">
        <v>10</v>
      </c>
      <c r="WV15" s="86">
        <v>10</v>
      </c>
      <c r="WW15" s="86">
        <v>10</v>
      </c>
      <c r="XQ15" s="86">
        <v>10</v>
      </c>
      <c r="YE15" s="86">
        <v>10</v>
      </c>
      <c r="YF15" s="86">
        <v>10</v>
      </c>
      <c r="YH15" s="86">
        <v>10</v>
      </c>
      <c r="YI15" s="86">
        <v>10</v>
      </c>
      <c r="YJ15" s="86">
        <v>10</v>
      </c>
      <c r="YM15" s="86">
        <v>10</v>
      </c>
      <c r="YN15" s="86">
        <v>10</v>
      </c>
      <c r="YO15" s="86">
        <v>10</v>
      </c>
      <c r="YQ15" s="86">
        <v>10</v>
      </c>
      <c r="YR15" s="86">
        <v>10</v>
      </c>
      <c r="YS15" s="86">
        <v>10</v>
      </c>
      <c r="YT15" s="86">
        <v>10</v>
      </c>
      <c r="YU15" s="86">
        <v>10</v>
      </c>
      <c r="YV15" s="86">
        <v>10</v>
      </c>
      <c r="YW15" s="86">
        <v>10</v>
      </c>
      <c r="YX15" s="86">
        <v>10</v>
      </c>
      <c r="YY15" s="86">
        <v>10</v>
      </c>
      <c r="YZ15" s="86">
        <v>10</v>
      </c>
      <c r="ZA15" s="86">
        <v>10</v>
      </c>
      <c r="ZB15" s="86">
        <v>10</v>
      </c>
      <c r="ZC15" s="86">
        <v>10</v>
      </c>
      <c r="ZD15" s="86">
        <v>10</v>
      </c>
      <c r="ZE15" s="86">
        <v>10</v>
      </c>
      <c r="ZF15" s="86">
        <v>10</v>
      </c>
      <c r="ZG15" s="86">
        <v>10</v>
      </c>
      <c r="ZH15" s="86">
        <v>10</v>
      </c>
      <c r="ZI15" s="86">
        <v>10</v>
      </c>
      <c r="ZJ15" s="86">
        <v>10</v>
      </c>
      <c r="ZK15" s="86">
        <v>10</v>
      </c>
      <c r="ZL15" s="86">
        <v>10</v>
      </c>
      <c r="ZM15" s="86">
        <v>10</v>
      </c>
      <c r="ZN15" s="86">
        <v>10</v>
      </c>
      <c r="ZO15" s="86">
        <v>10</v>
      </c>
      <c r="ZP15" s="86">
        <v>10</v>
      </c>
      <c r="ZQ15" s="86">
        <v>10</v>
      </c>
      <c r="ZR15" s="86">
        <v>10</v>
      </c>
      <c r="ZS15" s="86">
        <v>10</v>
      </c>
      <c r="ZU15" s="86">
        <v>10</v>
      </c>
      <c r="ZV15" s="86">
        <v>10</v>
      </c>
      <c r="ZW15" s="86">
        <v>10</v>
      </c>
      <c r="AAS15" s="86">
        <v>10</v>
      </c>
      <c r="ABG15" s="86">
        <v>10</v>
      </c>
      <c r="ABH15" s="86">
        <v>10</v>
      </c>
      <c r="ABJ15" s="86">
        <v>10</v>
      </c>
      <c r="ABK15" s="86">
        <v>10</v>
      </c>
      <c r="ABN15" s="86">
        <v>10</v>
      </c>
      <c r="ABO15" s="86">
        <v>10</v>
      </c>
      <c r="ABP15" s="86">
        <v>10</v>
      </c>
      <c r="ABR15" s="86">
        <v>10</v>
      </c>
      <c r="ABS15" s="86">
        <v>10</v>
      </c>
      <c r="ABT15" s="86">
        <v>10</v>
      </c>
      <c r="ABU15" s="86">
        <v>10</v>
      </c>
      <c r="ABV15" s="86">
        <v>10</v>
      </c>
      <c r="ABW15" s="86">
        <v>10</v>
      </c>
      <c r="ABX15" s="86">
        <v>10</v>
      </c>
      <c r="ABY15" s="86">
        <v>10</v>
      </c>
      <c r="ABZ15" s="86">
        <v>10</v>
      </c>
      <c r="ACA15" s="86">
        <v>10</v>
      </c>
      <c r="ACB15" s="86">
        <v>10</v>
      </c>
      <c r="ACC15" s="86">
        <v>10</v>
      </c>
      <c r="ACD15" s="86">
        <v>10</v>
      </c>
      <c r="ACE15" s="86">
        <v>10</v>
      </c>
      <c r="ACF15" s="86">
        <v>10</v>
      </c>
      <c r="ACG15" s="86">
        <v>10</v>
      </c>
      <c r="ACH15" s="86">
        <v>10</v>
      </c>
      <c r="ACI15" s="86">
        <v>10</v>
      </c>
      <c r="ACJ15" s="86">
        <v>10</v>
      </c>
      <c r="ACK15" s="86">
        <v>10</v>
      </c>
      <c r="ACL15" s="86">
        <v>10</v>
      </c>
      <c r="ACM15" s="86">
        <v>10</v>
      </c>
      <c r="ACN15" s="86">
        <v>10</v>
      </c>
      <c r="ACO15" s="86">
        <v>10</v>
      </c>
      <c r="ACP15" s="86">
        <v>10</v>
      </c>
      <c r="ACQ15" s="86">
        <v>10</v>
      </c>
      <c r="ACR15" s="86">
        <v>10</v>
      </c>
      <c r="ACS15" s="86">
        <v>10</v>
      </c>
      <c r="ACT15" s="86">
        <v>10</v>
      </c>
      <c r="ACV15" s="86">
        <v>10</v>
      </c>
      <c r="ACW15" s="86">
        <v>10</v>
      </c>
      <c r="ACX15" s="86">
        <v>10</v>
      </c>
      <c r="ADU15" s="86">
        <v>10</v>
      </c>
      <c r="AEH15" s="86">
        <v>10</v>
      </c>
      <c r="AEI15" s="86">
        <v>10</v>
      </c>
      <c r="AEK15" s="86">
        <v>10</v>
      </c>
      <c r="AEL15" s="86">
        <v>10</v>
      </c>
      <c r="AEO15" s="86">
        <v>10</v>
      </c>
      <c r="AEP15" s="86">
        <v>10</v>
      </c>
      <c r="AEQ15" s="86">
        <v>10</v>
      </c>
      <c r="AES15" s="86">
        <v>10</v>
      </c>
      <c r="AET15" s="86">
        <v>10</v>
      </c>
      <c r="AEU15" s="86">
        <v>10</v>
      </c>
      <c r="AEV15" s="86">
        <v>10</v>
      </c>
      <c r="AEW15" s="86">
        <v>10</v>
      </c>
      <c r="AEX15" s="86">
        <v>10</v>
      </c>
      <c r="AEY15" s="86">
        <v>10</v>
      </c>
      <c r="AEZ15" s="86">
        <v>10</v>
      </c>
      <c r="AFA15" s="86">
        <v>10</v>
      </c>
      <c r="AFB15" s="86">
        <v>10</v>
      </c>
      <c r="AFC15" s="86">
        <v>10</v>
      </c>
      <c r="AFD15" s="86">
        <v>10</v>
      </c>
      <c r="AFE15" s="86">
        <v>10</v>
      </c>
      <c r="AFF15" s="86">
        <v>10</v>
      </c>
      <c r="AFG15" s="86">
        <v>10</v>
      </c>
      <c r="AFH15" s="86">
        <v>10</v>
      </c>
      <c r="AFI15" s="86">
        <v>10</v>
      </c>
      <c r="AFJ15" s="86">
        <v>10</v>
      </c>
      <c r="AFK15" s="86">
        <v>10</v>
      </c>
      <c r="AFL15" s="86">
        <v>10</v>
      </c>
      <c r="AFM15" s="86">
        <v>10</v>
      </c>
      <c r="AFN15" s="86">
        <v>10</v>
      </c>
      <c r="AFO15" s="86">
        <v>10</v>
      </c>
      <c r="AFP15" s="86">
        <v>10</v>
      </c>
      <c r="AFQ15" s="86">
        <v>10</v>
      </c>
      <c r="AFR15" s="86">
        <v>10</v>
      </c>
      <c r="AFS15" s="86">
        <v>10</v>
      </c>
      <c r="AFT15" s="86">
        <v>10</v>
      </c>
      <c r="AFU15" s="86">
        <v>10</v>
      </c>
      <c r="AFW15" s="86">
        <v>10</v>
      </c>
      <c r="AFX15" s="86">
        <v>10</v>
      </c>
      <c r="AFY15" s="86">
        <v>10</v>
      </c>
      <c r="AGW15" s="86">
        <v>10</v>
      </c>
      <c r="AHJ15" s="86">
        <v>10</v>
      </c>
      <c r="AHK15" s="86">
        <v>10</v>
      </c>
      <c r="AHM15" s="86">
        <v>10</v>
      </c>
      <c r="AHN15" s="86">
        <v>10</v>
      </c>
      <c r="AHQ15" s="86">
        <v>10</v>
      </c>
      <c r="AHR15" s="86">
        <v>10</v>
      </c>
      <c r="AHS15" s="86">
        <v>10</v>
      </c>
      <c r="AHU15" s="86">
        <v>10</v>
      </c>
      <c r="AHV15" s="86">
        <v>10</v>
      </c>
      <c r="AHW15" s="86">
        <v>10</v>
      </c>
      <c r="AHX15" s="86">
        <v>10</v>
      </c>
      <c r="AHY15" s="86">
        <v>10</v>
      </c>
      <c r="AHZ15" s="86">
        <v>10</v>
      </c>
      <c r="AIA15" s="86">
        <v>10</v>
      </c>
      <c r="AIB15" s="86">
        <v>10</v>
      </c>
      <c r="AIC15" s="86">
        <v>10</v>
      </c>
      <c r="AID15" s="86">
        <v>10</v>
      </c>
      <c r="AIE15" s="86">
        <v>10</v>
      </c>
      <c r="AIF15" s="86">
        <v>10</v>
      </c>
      <c r="AIG15" s="86">
        <v>10</v>
      </c>
      <c r="AIH15" s="86">
        <v>10</v>
      </c>
      <c r="AII15" s="86">
        <v>10</v>
      </c>
      <c r="AIJ15" s="86">
        <v>10</v>
      </c>
      <c r="AIK15" s="86">
        <v>10</v>
      </c>
      <c r="AIL15" s="86">
        <v>10</v>
      </c>
      <c r="AIM15" s="86">
        <v>10</v>
      </c>
      <c r="AIN15" s="86">
        <v>10</v>
      </c>
      <c r="AIO15" s="86">
        <v>10</v>
      </c>
      <c r="AIP15" s="86">
        <v>10</v>
      </c>
      <c r="AIQ15" s="86">
        <v>10</v>
      </c>
      <c r="AIR15" s="86">
        <v>10</v>
      </c>
      <c r="AIS15" s="86">
        <v>10</v>
      </c>
      <c r="AIT15" s="86">
        <v>10</v>
      </c>
      <c r="AIU15" s="86">
        <v>10</v>
      </c>
      <c r="AIV15" s="86">
        <v>10</v>
      </c>
      <c r="AIW15" s="86">
        <v>10</v>
      </c>
      <c r="AIY15" s="86">
        <v>10</v>
      </c>
      <c r="AIZ15" s="86">
        <v>10</v>
      </c>
    </row>
  </sheetData>
  <sheetProtection algorithmName="SHA-512" hashValue="tKIFzsSRiwEDBE+1R8UWNt7y3hggigUlbbSgBjjwt0rdKIl2mnt6+UMUi9C2vb9Z7xxiM7My4ftIHVTUirFjpQ==" saltValue="qDL3WFtVxNB5VGJVoaBQBQ==" spinCount="100000" sheet="1" objects="1" scenarios="1"/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6D455-93AC-F74E-8620-89590BC67570}">
  <sheetPr codeName="Tabelle22"/>
  <dimension ref="A1:E71"/>
  <sheetViews>
    <sheetView workbookViewId="0"/>
  </sheetViews>
  <sheetFormatPr baseColWidth="10" defaultRowHeight="14.5"/>
  <sheetData>
    <row r="1" spans="1:5">
      <c r="A1" t="s">
        <v>337</v>
      </c>
      <c r="B1" t="s">
        <v>338</v>
      </c>
      <c r="C1" t="s">
        <v>339</v>
      </c>
      <c r="D1" t="s">
        <v>340</v>
      </c>
      <c r="E1" t="s">
        <v>341</v>
      </c>
    </row>
    <row r="2" spans="1:5">
      <c r="A2">
        <v>2026</v>
      </c>
      <c r="B2">
        <v>4</v>
      </c>
      <c r="C2" t="s">
        <v>356</v>
      </c>
      <c r="D2" t="s">
        <v>357</v>
      </c>
      <c r="E2">
        <v>138.4</v>
      </c>
    </row>
    <row r="3" spans="1:5">
      <c r="A3">
        <v>2026</v>
      </c>
      <c r="B3">
        <v>5</v>
      </c>
      <c r="C3" t="s">
        <v>358</v>
      </c>
      <c r="D3" t="s">
        <v>357</v>
      </c>
      <c r="E3">
        <v>129.75</v>
      </c>
    </row>
    <row r="4" spans="1:5">
      <c r="A4">
        <v>2026</v>
      </c>
      <c r="B4">
        <v>8</v>
      </c>
      <c r="C4" t="s">
        <v>461</v>
      </c>
      <c r="D4" t="s">
        <v>357</v>
      </c>
      <c r="E4">
        <v>138.4</v>
      </c>
    </row>
    <row r="5" spans="1:5">
      <c r="A5">
        <v>2026</v>
      </c>
      <c r="B5">
        <v>7</v>
      </c>
      <c r="C5" t="s">
        <v>462</v>
      </c>
      <c r="D5" t="s">
        <v>357</v>
      </c>
      <c r="E5">
        <v>173</v>
      </c>
    </row>
    <row r="6" spans="1:5">
      <c r="A6">
        <v>2026</v>
      </c>
      <c r="B6">
        <v>4</v>
      </c>
      <c r="C6" t="s">
        <v>462</v>
      </c>
      <c r="D6" t="s">
        <v>357</v>
      </c>
      <c r="E6">
        <v>151.38</v>
      </c>
    </row>
    <row r="7" spans="1:5">
      <c r="A7">
        <v>2026</v>
      </c>
      <c r="B7">
        <v>8</v>
      </c>
      <c r="C7" t="s">
        <v>463</v>
      </c>
      <c r="D7" t="s">
        <v>357</v>
      </c>
      <c r="E7">
        <v>173</v>
      </c>
    </row>
    <row r="8" spans="1:5">
      <c r="A8">
        <v>2026</v>
      </c>
      <c r="B8">
        <v>3</v>
      </c>
      <c r="C8" t="s">
        <v>464</v>
      </c>
      <c r="D8" t="s">
        <v>357</v>
      </c>
      <c r="E8">
        <v>138.4</v>
      </c>
    </row>
    <row r="9" spans="1:5">
      <c r="A9">
        <v>2026</v>
      </c>
      <c r="B9">
        <v>3</v>
      </c>
      <c r="C9" t="s">
        <v>465</v>
      </c>
      <c r="D9" t="s">
        <v>357</v>
      </c>
      <c r="E9">
        <v>151.38</v>
      </c>
    </row>
    <row r="10" spans="1:5">
      <c r="A10">
        <v>2026</v>
      </c>
      <c r="B10">
        <v>2</v>
      </c>
      <c r="C10" t="s">
        <v>466</v>
      </c>
      <c r="D10" t="s">
        <v>357</v>
      </c>
      <c r="E10">
        <v>138.4</v>
      </c>
    </row>
    <row r="11" spans="1:5">
      <c r="A11">
        <v>2026</v>
      </c>
      <c r="B11">
        <v>2</v>
      </c>
      <c r="C11" t="s">
        <v>467</v>
      </c>
      <c r="D11" t="s">
        <v>357</v>
      </c>
      <c r="E11">
        <v>173</v>
      </c>
    </row>
    <row r="12" spans="1:5">
      <c r="A12">
        <v>2026</v>
      </c>
      <c r="B12">
        <v>5</v>
      </c>
      <c r="C12" t="s">
        <v>468</v>
      </c>
      <c r="D12" t="s">
        <v>357</v>
      </c>
      <c r="E12">
        <v>173</v>
      </c>
    </row>
    <row r="13" spans="1:5">
      <c r="A13">
        <v>2026</v>
      </c>
      <c r="B13">
        <v>5</v>
      </c>
      <c r="C13" t="s">
        <v>461</v>
      </c>
      <c r="D13" t="s">
        <v>357</v>
      </c>
      <c r="E13">
        <v>173</v>
      </c>
    </row>
    <row r="14" spans="1:5">
      <c r="A14">
        <v>2026</v>
      </c>
      <c r="B14">
        <v>4</v>
      </c>
      <c r="C14" t="s">
        <v>471</v>
      </c>
      <c r="D14" t="s">
        <v>357</v>
      </c>
      <c r="E14">
        <v>173</v>
      </c>
    </row>
    <row r="15" spans="1:5">
      <c r="A15">
        <v>2026</v>
      </c>
      <c r="B15">
        <v>4</v>
      </c>
      <c r="C15" t="s">
        <v>472</v>
      </c>
      <c r="D15" t="s">
        <v>357</v>
      </c>
      <c r="E15">
        <v>173</v>
      </c>
    </row>
    <row r="16" spans="1:5">
      <c r="A16">
        <v>2026</v>
      </c>
      <c r="B16">
        <v>4</v>
      </c>
      <c r="C16" t="s">
        <v>473</v>
      </c>
      <c r="D16" t="s">
        <v>357</v>
      </c>
      <c r="E16">
        <v>173</v>
      </c>
    </row>
    <row r="17" spans="1:5">
      <c r="A17">
        <v>2026</v>
      </c>
      <c r="B17">
        <v>4</v>
      </c>
      <c r="C17" t="s">
        <v>474</v>
      </c>
      <c r="D17" t="s">
        <v>475</v>
      </c>
      <c r="E17" t="s">
        <v>4</v>
      </c>
    </row>
    <row r="18" spans="1:5">
      <c r="A18">
        <v>2026</v>
      </c>
      <c r="B18">
        <v>4</v>
      </c>
      <c r="C18" t="s">
        <v>476</v>
      </c>
      <c r="D18" t="s">
        <v>475</v>
      </c>
      <c r="E18" t="s">
        <v>5</v>
      </c>
    </row>
    <row r="19" spans="1:5">
      <c r="A19">
        <v>2026</v>
      </c>
      <c r="B19">
        <v>1</v>
      </c>
      <c r="C19" t="s">
        <v>474</v>
      </c>
      <c r="D19" t="s">
        <v>357</v>
      </c>
      <c r="E19">
        <v>173</v>
      </c>
    </row>
    <row r="20" spans="1:5">
      <c r="A20">
        <v>2026</v>
      </c>
      <c r="B20">
        <v>1</v>
      </c>
      <c r="C20" t="s">
        <v>474</v>
      </c>
      <c r="D20" t="s">
        <v>475</v>
      </c>
      <c r="E20" t="s">
        <v>2</v>
      </c>
    </row>
    <row r="21" spans="1:5">
      <c r="A21">
        <v>2026</v>
      </c>
      <c r="B21">
        <v>1</v>
      </c>
      <c r="C21" t="s">
        <v>472</v>
      </c>
      <c r="D21" t="s">
        <v>357</v>
      </c>
      <c r="E21">
        <v>173</v>
      </c>
    </row>
    <row r="22" spans="1:5">
      <c r="A22">
        <v>2026</v>
      </c>
      <c r="B22">
        <v>5</v>
      </c>
      <c r="C22" t="s">
        <v>478</v>
      </c>
      <c r="D22" t="s">
        <v>357</v>
      </c>
      <c r="E22">
        <v>151.38</v>
      </c>
    </row>
    <row r="23" spans="1:5">
      <c r="A23">
        <v>2026</v>
      </c>
      <c r="B23">
        <v>5</v>
      </c>
      <c r="C23" t="s">
        <v>478</v>
      </c>
      <c r="D23" t="s">
        <v>475</v>
      </c>
      <c r="E23" t="s">
        <v>10</v>
      </c>
    </row>
    <row r="24" spans="1:5">
      <c r="A24">
        <v>2026</v>
      </c>
      <c r="B24">
        <v>6</v>
      </c>
      <c r="C24" t="s">
        <v>479</v>
      </c>
      <c r="D24" t="s">
        <v>357</v>
      </c>
      <c r="E24">
        <v>151.38</v>
      </c>
    </row>
    <row r="25" spans="1:5">
      <c r="A25">
        <v>2026</v>
      </c>
      <c r="B25">
        <v>6</v>
      </c>
      <c r="C25" t="s">
        <v>480</v>
      </c>
      <c r="D25" t="s">
        <v>475</v>
      </c>
      <c r="E25" t="s">
        <v>13</v>
      </c>
    </row>
    <row r="26" spans="1:5">
      <c r="A26">
        <v>2026</v>
      </c>
      <c r="B26">
        <v>1</v>
      </c>
      <c r="C26" t="s">
        <v>519</v>
      </c>
      <c r="D26" t="s">
        <v>475</v>
      </c>
      <c r="E26" t="s">
        <v>13</v>
      </c>
    </row>
    <row r="27" spans="1:5">
      <c r="A27">
        <v>2026</v>
      </c>
      <c r="B27">
        <v>1</v>
      </c>
      <c r="C27" t="s">
        <v>519</v>
      </c>
      <c r="D27" t="s">
        <v>357</v>
      </c>
      <c r="E27">
        <v>47.58</v>
      </c>
    </row>
    <row r="28" spans="1:5">
      <c r="A28">
        <v>2026</v>
      </c>
      <c r="B28">
        <v>1</v>
      </c>
      <c r="C28" t="s">
        <v>534</v>
      </c>
      <c r="D28" t="s">
        <v>357</v>
      </c>
      <c r="E28">
        <v>173</v>
      </c>
    </row>
    <row r="29" spans="1:5">
      <c r="A29">
        <v>2026</v>
      </c>
      <c r="B29">
        <v>1</v>
      </c>
      <c r="C29" t="s">
        <v>466</v>
      </c>
      <c r="D29" t="s">
        <v>357</v>
      </c>
      <c r="E29">
        <v>173</v>
      </c>
    </row>
    <row r="30" spans="1:5">
      <c r="A30">
        <v>2026</v>
      </c>
      <c r="B30">
        <v>1</v>
      </c>
      <c r="C30" t="s">
        <v>535</v>
      </c>
      <c r="D30" t="s">
        <v>357</v>
      </c>
      <c r="E30">
        <v>173</v>
      </c>
    </row>
    <row r="31" spans="1:5">
      <c r="A31">
        <v>2026</v>
      </c>
      <c r="B31">
        <v>1</v>
      </c>
      <c r="C31" t="s">
        <v>536</v>
      </c>
      <c r="D31" t="s">
        <v>357</v>
      </c>
      <c r="E31">
        <v>173</v>
      </c>
    </row>
    <row r="32" spans="1:5">
      <c r="A32">
        <v>2026</v>
      </c>
      <c r="B32">
        <v>1</v>
      </c>
      <c r="C32" t="s">
        <v>537</v>
      </c>
      <c r="D32" t="s">
        <v>357</v>
      </c>
      <c r="E32">
        <v>173</v>
      </c>
    </row>
    <row r="33" spans="1:5">
      <c r="A33">
        <v>2026</v>
      </c>
      <c r="B33">
        <v>1</v>
      </c>
      <c r="C33" t="s">
        <v>464</v>
      </c>
      <c r="D33" t="s">
        <v>357</v>
      </c>
      <c r="E33">
        <v>173</v>
      </c>
    </row>
    <row r="34" spans="1:5">
      <c r="A34">
        <v>2026</v>
      </c>
      <c r="B34">
        <v>1</v>
      </c>
      <c r="C34" t="s">
        <v>538</v>
      </c>
      <c r="D34" t="s">
        <v>357</v>
      </c>
      <c r="E34">
        <v>173</v>
      </c>
    </row>
    <row r="35" spans="1:5">
      <c r="A35">
        <v>2026</v>
      </c>
      <c r="B35">
        <v>1</v>
      </c>
      <c r="C35" t="s">
        <v>539</v>
      </c>
      <c r="D35" t="s">
        <v>357</v>
      </c>
      <c r="E35">
        <v>173</v>
      </c>
    </row>
    <row r="36" spans="1:5">
      <c r="A36">
        <v>2026</v>
      </c>
      <c r="B36">
        <v>1</v>
      </c>
      <c r="C36" t="s">
        <v>540</v>
      </c>
      <c r="D36" t="s">
        <v>357</v>
      </c>
      <c r="E36">
        <v>173</v>
      </c>
    </row>
    <row r="37" spans="1:5">
      <c r="A37">
        <v>2026</v>
      </c>
      <c r="B37">
        <v>1</v>
      </c>
      <c r="C37" t="s">
        <v>541</v>
      </c>
      <c r="D37" t="s">
        <v>357</v>
      </c>
      <c r="E37">
        <v>173</v>
      </c>
    </row>
    <row r="38" spans="1:5">
      <c r="A38">
        <v>2026</v>
      </c>
      <c r="B38">
        <v>1</v>
      </c>
      <c r="C38" t="s">
        <v>542</v>
      </c>
      <c r="D38" t="s">
        <v>357</v>
      </c>
      <c r="E38">
        <v>173</v>
      </c>
    </row>
    <row r="39" spans="1:5">
      <c r="A39">
        <v>2026</v>
      </c>
      <c r="B39">
        <v>1</v>
      </c>
      <c r="C39" t="s">
        <v>543</v>
      </c>
      <c r="D39" t="s">
        <v>357</v>
      </c>
      <c r="E39">
        <v>86.5</v>
      </c>
    </row>
    <row r="40" spans="1:5">
      <c r="A40">
        <v>2026</v>
      </c>
      <c r="B40">
        <v>1</v>
      </c>
      <c r="C40" t="s">
        <v>544</v>
      </c>
      <c r="D40" t="s">
        <v>357</v>
      </c>
      <c r="E40">
        <v>86.5</v>
      </c>
    </row>
    <row r="41" spans="1:5">
      <c r="A41">
        <v>2026</v>
      </c>
      <c r="B41">
        <v>1</v>
      </c>
      <c r="C41" t="s">
        <v>545</v>
      </c>
      <c r="D41" t="s">
        <v>357</v>
      </c>
      <c r="E41">
        <v>86.5</v>
      </c>
    </row>
    <row r="42" spans="1:5">
      <c r="A42">
        <v>2026</v>
      </c>
      <c r="B42">
        <v>1</v>
      </c>
      <c r="C42" t="s">
        <v>546</v>
      </c>
      <c r="D42" t="s">
        <v>357</v>
      </c>
      <c r="E42">
        <v>86.5</v>
      </c>
    </row>
    <row r="43" spans="1:5">
      <c r="A43">
        <v>2026</v>
      </c>
      <c r="B43">
        <v>1</v>
      </c>
      <c r="C43" t="s">
        <v>547</v>
      </c>
      <c r="D43" t="s">
        <v>357</v>
      </c>
      <c r="E43">
        <v>86.5</v>
      </c>
    </row>
    <row r="44" spans="1:5">
      <c r="A44">
        <v>2026</v>
      </c>
      <c r="B44">
        <v>1</v>
      </c>
      <c r="C44" t="s">
        <v>548</v>
      </c>
      <c r="D44" t="s">
        <v>357</v>
      </c>
      <c r="E44">
        <v>86.5</v>
      </c>
    </row>
    <row r="45" spans="1:5">
      <c r="A45">
        <v>2026</v>
      </c>
      <c r="B45">
        <v>1</v>
      </c>
      <c r="C45" t="s">
        <v>549</v>
      </c>
      <c r="D45" t="s">
        <v>357</v>
      </c>
      <c r="E45">
        <v>86.5</v>
      </c>
    </row>
    <row r="46" spans="1:5">
      <c r="A46">
        <v>2026</v>
      </c>
      <c r="B46">
        <v>1</v>
      </c>
      <c r="C46" t="s">
        <v>550</v>
      </c>
      <c r="D46" t="s">
        <v>357</v>
      </c>
      <c r="E46">
        <v>86.5</v>
      </c>
    </row>
    <row r="47" spans="1:5">
      <c r="A47">
        <v>2026</v>
      </c>
      <c r="B47">
        <v>1</v>
      </c>
      <c r="C47" t="s">
        <v>551</v>
      </c>
      <c r="D47" t="s">
        <v>357</v>
      </c>
      <c r="E47">
        <v>86.5</v>
      </c>
    </row>
    <row r="48" spans="1:5">
      <c r="A48">
        <v>2026</v>
      </c>
      <c r="B48">
        <v>1</v>
      </c>
      <c r="C48" t="s">
        <v>552</v>
      </c>
      <c r="D48" t="s">
        <v>357</v>
      </c>
      <c r="E48">
        <v>86.5</v>
      </c>
    </row>
    <row r="49" spans="1:5">
      <c r="A49">
        <v>2026</v>
      </c>
      <c r="B49">
        <v>1</v>
      </c>
      <c r="C49" t="s">
        <v>553</v>
      </c>
      <c r="D49" t="s">
        <v>357</v>
      </c>
      <c r="E49">
        <v>86.5</v>
      </c>
    </row>
    <row r="50" spans="1:5">
      <c r="A50">
        <v>2026</v>
      </c>
      <c r="B50">
        <v>1</v>
      </c>
      <c r="C50" t="s">
        <v>554</v>
      </c>
      <c r="D50" t="s">
        <v>357</v>
      </c>
      <c r="E50">
        <v>86.5</v>
      </c>
    </row>
    <row r="51" spans="1:5">
      <c r="A51">
        <v>2026</v>
      </c>
      <c r="B51">
        <v>1</v>
      </c>
      <c r="C51" t="s">
        <v>555</v>
      </c>
      <c r="D51" t="s">
        <v>357</v>
      </c>
      <c r="E51">
        <v>86.5</v>
      </c>
    </row>
    <row r="52" spans="1:5">
      <c r="A52">
        <v>2026</v>
      </c>
      <c r="B52">
        <v>1</v>
      </c>
      <c r="C52" t="s">
        <v>556</v>
      </c>
      <c r="D52" t="s">
        <v>357</v>
      </c>
      <c r="E52">
        <v>86.5</v>
      </c>
    </row>
    <row r="53" spans="1:5">
      <c r="A53">
        <v>2026</v>
      </c>
      <c r="B53">
        <v>1</v>
      </c>
      <c r="C53" t="s">
        <v>557</v>
      </c>
      <c r="D53" t="s">
        <v>357</v>
      </c>
      <c r="E53">
        <v>86.5</v>
      </c>
    </row>
    <row r="54" spans="1:5">
      <c r="A54">
        <v>2026</v>
      </c>
      <c r="B54">
        <v>1</v>
      </c>
      <c r="C54" t="s">
        <v>558</v>
      </c>
      <c r="D54" t="s">
        <v>357</v>
      </c>
      <c r="E54">
        <v>173</v>
      </c>
    </row>
    <row r="55" spans="1:5">
      <c r="A55">
        <v>2026</v>
      </c>
      <c r="B55">
        <v>1</v>
      </c>
      <c r="C55" t="s">
        <v>559</v>
      </c>
      <c r="D55" t="s">
        <v>357</v>
      </c>
      <c r="E55">
        <v>173</v>
      </c>
    </row>
    <row r="56" spans="1:5">
      <c r="A56">
        <v>2026</v>
      </c>
      <c r="B56">
        <v>1</v>
      </c>
      <c r="C56" t="s">
        <v>560</v>
      </c>
      <c r="D56" t="s">
        <v>357</v>
      </c>
      <c r="E56">
        <v>173</v>
      </c>
    </row>
    <row r="57" spans="1:5">
      <c r="A57">
        <v>2026</v>
      </c>
      <c r="B57">
        <v>1</v>
      </c>
      <c r="C57" t="s">
        <v>465</v>
      </c>
      <c r="D57" t="s">
        <v>357</v>
      </c>
      <c r="E57">
        <v>173</v>
      </c>
    </row>
    <row r="58" spans="1:5">
      <c r="A58">
        <v>2026</v>
      </c>
      <c r="B58">
        <v>1</v>
      </c>
      <c r="C58" t="s">
        <v>561</v>
      </c>
      <c r="D58" t="s">
        <v>357</v>
      </c>
      <c r="E58">
        <v>86.5</v>
      </c>
    </row>
    <row r="59" spans="1:5">
      <c r="A59">
        <v>2026</v>
      </c>
      <c r="B59">
        <v>7</v>
      </c>
      <c r="C59" t="s">
        <v>561</v>
      </c>
      <c r="D59" t="s">
        <v>357</v>
      </c>
      <c r="E59">
        <v>86.5</v>
      </c>
    </row>
    <row r="60" spans="1:5">
      <c r="A60">
        <v>2026</v>
      </c>
      <c r="B60">
        <v>7</v>
      </c>
      <c r="C60" t="s">
        <v>543</v>
      </c>
      <c r="D60" t="s">
        <v>357</v>
      </c>
      <c r="E60">
        <v>86.5</v>
      </c>
    </row>
    <row r="61" spans="1:5">
      <c r="A61">
        <v>2026</v>
      </c>
      <c r="B61">
        <v>7</v>
      </c>
      <c r="C61" t="s">
        <v>544</v>
      </c>
      <c r="D61" t="s">
        <v>357</v>
      </c>
      <c r="E61">
        <v>86.5</v>
      </c>
    </row>
    <row r="62" spans="1:5">
      <c r="A62">
        <v>2026</v>
      </c>
      <c r="B62">
        <v>7</v>
      </c>
      <c r="C62" t="s">
        <v>545</v>
      </c>
      <c r="D62" t="s">
        <v>357</v>
      </c>
      <c r="E62">
        <v>86.5</v>
      </c>
    </row>
    <row r="63" spans="1:5">
      <c r="A63">
        <v>2026</v>
      </c>
      <c r="B63">
        <v>7</v>
      </c>
      <c r="C63" t="s">
        <v>546</v>
      </c>
      <c r="D63" t="s">
        <v>357</v>
      </c>
      <c r="E63">
        <v>86.5</v>
      </c>
    </row>
    <row r="64" spans="1:5">
      <c r="A64">
        <v>2026</v>
      </c>
      <c r="B64">
        <v>7</v>
      </c>
      <c r="C64" t="s">
        <v>547</v>
      </c>
      <c r="D64" t="s">
        <v>357</v>
      </c>
      <c r="E64">
        <v>86.5</v>
      </c>
    </row>
    <row r="65" spans="1:5">
      <c r="A65">
        <v>2026</v>
      </c>
      <c r="B65">
        <v>7</v>
      </c>
      <c r="C65" t="s">
        <v>548</v>
      </c>
      <c r="D65" t="s">
        <v>357</v>
      </c>
      <c r="E65">
        <v>86.5</v>
      </c>
    </row>
    <row r="66" spans="1:5">
      <c r="A66">
        <v>2026</v>
      </c>
      <c r="B66">
        <v>7</v>
      </c>
      <c r="C66" t="s">
        <v>551</v>
      </c>
      <c r="D66" t="s">
        <v>357</v>
      </c>
      <c r="E66">
        <v>86.5</v>
      </c>
    </row>
    <row r="67" spans="1:5">
      <c r="A67">
        <v>2026</v>
      </c>
      <c r="B67">
        <v>7</v>
      </c>
      <c r="C67" t="s">
        <v>552</v>
      </c>
      <c r="D67" t="s">
        <v>357</v>
      </c>
      <c r="E67">
        <v>86.5</v>
      </c>
    </row>
    <row r="68" spans="1:5">
      <c r="A68">
        <v>2026</v>
      </c>
      <c r="B68">
        <v>7</v>
      </c>
      <c r="C68" t="s">
        <v>554</v>
      </c>
      <c r="D68" t="s">
        <v>357</v>
      </c>
      <c r="E68">
        <v>86.5</v>
      </c>
    </row>
    <row r="69" spans="1:5">
      <c r="A69">
        <v>2026</v>
      </c>
      <c r="B69">
        <v>7</v>
      </c>
      <c r="C69" t="s">
        <v>555</v>
      </c>
      <c r="D69" t="s">
        <v>357</v>
      </c>
      <c r="E69">
        <v>86.5</v>
      </c>
    </row>
    <row r="70" spans="1:5">
      <c r="A70">
        <v>2026</v>
      </c>
      <c r="B70">
        <v>7</v>
      </c>
      <c r="C70" t="s">
        <v>556</v>
      </c>
      <c r="D70" t="s">
        <v>357</v>
      </c>
      <c r="E70">
        <v>86.5</v>
      </c>
    </row>
    <row r="71" spans="1:5">
      <c r="A71">
        <v>2026</v>
      </c>
      <c r="B71">
        <v>7</v>
      </c>
      <c r="C71" t="s">
        <v>557</v>
      </c>
      <c r="D71" t="s">
        <v>357</v>
      </c>
      <c r="E71">
        <v>86.5</v>
      </c>
    </row>
  </sheetData>
  <sheetProtection algorithmName="SHA-512" hashValue="Yq8OJjNAI1t3U6n+ifoSt+PrMUXihA7VmCWyz3gCWP7U33AFkWaLY6GrvWbt9nhaqPw74LxpDE00s5IGw555Mg==" saltValue="PTYUpiLLuXlTMEIsH8gaFA==" spinCount="100000" sheet="1" objects="1" scenarios="1" sort="0" autoFilter="0"/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8C3C7-AFB6-486C-A2D6-53177B31154E}">
  <sheetPr codeName="Tabelle23"/>
  <dimension ref="A1:E9"/>
  <sheetViews>
    <sheetView workbookViewId="0"/>
  </sheetViews>
  <sheetFormatPr baseColWidth="10" defaultRowHeight="14.5"/>
  <cols>
    <col min="1" max="1" width="40.6328125" customWidth="1"/>
    <col min="2" max="2" width="12.6328125" customWidth="1"/>
    <col min="3" max="3" width="58.6328125" customWidth="1"/>
    <col min="4" max="4" width="22.6328125" customWidth="1"/>
    <col min="5" max="5" width="70.6328125" customWidth="1"/>
  </cols>
  <sheetData>
    <row r="1" spans="1:5">
      <c r="A1" s="168" t="s">
        <v>489</v>
      </c>
      <c r="B1" s="168" t="s">
        <v>300</v>
      </c>
      <c r="C1" s="168" t="s">
        <v>490</v>
      </c>
      <c r="D1" s="168" t="s">
        <v>491</v>
      </c>
      <c r="E1" s="168" t="s">
        <v>492</v>
      </c>
    </row>
    <row r="2" spans="1:5" ht="29">
      <c r="A2" s="169" t="s">
        <v>493</v>
      </c>
      <c r="B2" s="170" t="s">
        <v>494</v>
      </c>
      <c r="C2" s="172" t="s">
        <v>495</v>
      </c>
      <c r="D2" s="173">
        <v>46164.755231481482</v>
      </c>
      <c r="E2" s="172" t="s">
        <v>496</v>
      </c>
    </row>
    <row r="3" spans="1:5" ht="29">
      <c r="A3" s="169" t="s">
        <v>497</v>
      </c>
      <c r="B3" s="170" t="s">
        <v>494</v>
      </c>
      <c r="C3" s="172" t="s">
        <v>498</v>
      </c>
      <c r="D3" s="173">
        <v>46164.755231481482</v>
      </c>
      <c r="E3" s="172" t="s">
        <v>499</v>
      </c>
    </row>
    <row r="4" spans="1:5" ht="29">
      <c r="A4" s="169" t="s">
        <v>500</v>
      </c>
      <c r="B4" s="170" t="s">
        <v>494</v>
      </c>
      <c r="C4" s="172" t="s">
        <v>501</v>
      </c>
      <c r="D4" s="173">
        <v>46164.755231481482</v>
      </c>
      <c r="E4" s="172" t="s">
        <v>502</v>
      </c>
    </row>
    <row r="5" spans="1:5" ht="43.5">
      <c r="A5" s="169" t="s">
        <v>503</v>
      </c>
      <c r="B5" s="170" t="s">
        <v>494</v>
      </c>
      <c r="C5" s="172" t="s">
        <v>504</v>
      </c>
      <c r="D5" s="173">
        <v>46164.755231481482</v>
      </c>
      <c r="E5" s="172" t="s">
        <v>505</v>
      </c>
    </row>
    <row r="6" spans="1:5" ht="29">
      <c r="A6" s="169" t="s">
        <v>506</v>
      </c>
      <c r="B6" s="170" t="s">
        <v>494</v>
      </c>
      <c r="C6" s="172" t="s">
        <v>507</v>
      </c>
      <c r="D6" s="173">
        <v>46164.755231481482</v>
      </c>
      <c r="E6" s="172" t="s">
        <v>508</v>
      </c>
    </row>
    <row r="7" spans="1:5" ht="29">
      <c r="A7" s="169" t="s">
        <v>509</v>
      </c>
      <c r="B7" s="170" t="s">
        <v>494</v>
      </c>
      <c r="C7" s="172" t="s">
        <v>510</v>
      </c>
      <c r="D7" s="173">
        <v>46164.755231481482</v>
      </c>
      <c r="E7" s="172" t="s">
        <v>511</v>
      </c>
    </row>
    <row r="8" spans="1:5">
      <c r="A8" s="169" t="s">
        <v>512</v>
      </c>
      <c r="B8" s="171" t="s">
        <v>513</v>
      </c>
      <c r="C8" s="172" t="s">
        <v>514</v>
      </c>
      <c r="D8" s="173">
        <v>46164.755231481482</v>
      </c>
      <c r="E8" s="172" t="s">
        <v>515</v>
      </c>
    </row>
    <row r="9" spans="1:5" ht="43.5">
      <c r="A9" s="169" t="s">
        <v>516</v>
      </c>
      <c r="B9" s="170" t="s">
        <v>494</v>
      </c>
      <c r="C9" s="172" t="s">
        <v>517</v>
      </c>
      <c r="D9" s="173">
        <v>46164.755231481482</v>
      </c>
      <c r="E9" s="172" t="s">
        <v>518</v>
      </c>
    </row>
  </sheetData>
  <sheetProtection algorithmName="SHA-512" hashValue="N+Wb6TTGpvj1KkeAIZsDwZSQmuk/dO0AMD9koOH7OAo7BoP/hHQkwO5QhtSUwEuibBi9oqURGy2grKt4ZMJ0KQ==" saltValue="tN3LrnQwN3JfboprhvtLVA==" spinCount="100000" sheet="1" objects="1" scenarios="1" sort="0" autoFilter="0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18</vt:i4>
      </vt:variant>
      <vt:variant>
        <vt:lpstr>Benannte Bereiche</vt:lpstr>
      </vt:variant>
      <vt:variant>
        <vt:i4>721</vt:i4>
      </vt:variant>
    </vt:vector>
  </HeadingPairs>
  <TitlesOfParts>
    <vt:vector size="739" baseType="lpstr">
      <vt:lpstr>LOHNTABELLE</vt:lpstr>
      <vt:lpstr>EINSTELLUNG</vt:lpstr>
      <vt:lpstr>MAKROS</vt:lpstr>
      <vt:lpstr>Januar</vt:lpstr>
      <vt:lpstr>Februar</vt:lpstr>
      <vt:lpstr>Marz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UBERSICHT</vt:lpstr>
      <vt:lpstr>FLUKTUATION</vt:lpstr>
      <vt:lpstr>SYSTEM_CHECK</vt:lpstr>
      <vt:lpstr>KV_DD_APRIL_10</vt:lpstr>
      <vt:lpstr>KV_DD_APRIL_11</vt:lpstr>
      <vt:lpstr>KV_DD_APRIL_12</vt:lpstr>
      <vt:lpstr>KV_DD_APRIL_13</vt:lpstr>
      <vt:lpstr>KV_DD_APRIL_14</vt:lpstr>
      <vt:lpstr>KV_DD_APRIL_15</vt:lpstr>
      <vt:lpstr>KV_DD_APRIL_16</vt:lpstr>
      <vt:lpstr>KV_DD_APRIL_17</vt:lpstr>
      <vt:lpstr>KV_DD_APRIL_18</vt:lpstr>
      <vt:lpstr>KV_DD_APRIL_19</vt:lpstr>
      <vt:lpstr>KV_DD_APRIL_20</vt:lpstr>
      <vt:lpstr>KV_DD_APRIL_21</vt:lpstr>
      <vt:lpstr>KV_DD_APRIL_22</vt:lpstr>
      <vt:lpstr>KV_DD_APRIL_23</vt:lpstr>
      <vt:lpstr>KV_DD_APRIL_24</vt:lpstr>
      <vt:lpstr>KV_DD_APRIL_25</vt:lpstr>
      <vt:lpstr>KV_DD_APRIL_26</vt:lpstr>
      <vt:lpstr>KV_DD_APRIL_27</vt:lpstr>
      <vt:lpstr>KV_DD_APRIL_28</vt:lpstr>
      <vt:lpstr>KV_DD_APRIL_29</vt:lpstr>
      <vt:lpstr>KV_DD_APRIL_3</vt:lpstr>
      <vt:lpstr>KV_DD_APRIL_30</vt:lpstr>
      <vt:lpstr>KV_DD_APRIL_31</vt:lpstr>
      <vt:lpstr>KV_DD_APRIL_32</vt:lpstr>
      <vt:lpstr>KV_DD_APRIL_33</vt:lpstr>
      <vt:lpstr>KV_DD_APRIL_34</vt:lpstr>
      <vt:lpstr>KV_DD_APRIL_35</vt:lpstr>
      <vt:lpstr>KV_DD_APRIL_36</vt:lpstr>
      <vt:lpstr>KV_DD_APRIL_37</vt:lpstr>
      <vt:lpstr>KV_DD_APRIL_38</vt:lpstr>
      <vt:lpstr>KV_DD_APRIL_39</vt:lpstr>
      <vt:lpstr>KV_DD_APRIL_4</vt:lpstr>
      <vt:lpstr>KV_DD_APRIL_40</vt:lpstr>
      <vt:lpstr>KV_DD_APRIL_41</vt:lpstr>
      <vt:lpstr>KV_DD_APRIL_42</vt:lpstr>
      <vt:lpstr>KV_DD_APRIL_43</vt:lpstr>
      <vt:lpstr>KV_DD_APRIL_44</vt:lpstr>
      <vt:lpstr>KV_DD_APRIL_45</vt:lpstr>
      <vt:lpstr>KV_DD_APRIL_46</vt:lpstr>
      <vt:lpstr>KV_DD_APRIL_47</vt:lpstr>
      <vt:lpstr>KV_DD_APRIL_48</vt:lpstr>
      <vt:lpstr>KV_DD_APRIL_49</vt:lpstr>
      <vt:lpstr>KV_DD_APRIL_5</vt:lpstr>
      <vt:lpstr>KV_DD_APRIL_50</vt:lpstr>
      <vt:lpstr>KV_DD_APRIL_51</vt:lpstr>
      <vt:lpstr>KV_DD_APRIL_52</vt:lpstr>
      <vt:lpstr>KV_DD_APRIL_53</vt:lpstr>
      <vt:lpstr>KV_DD_APRIL_54</vt:lpstr>
      <vt:lpstr>KV_DD_APRIL_55</vt:lpstr>
      <vt:lpstr>KV_DD_APRIL_56</vt:lpstr>
      <vt:lpstr>KV_DD_APRIL_57</vt:lpstr>
      <vt:lpstr>KV_DD_APRIL_58</vt:lpstr>
      <vt:lpstr>KV_DD_APRIL_59</vt:lpstr>
      <vt:lpstr>KV_DD_APRIL_6</vt:lpstr>
      <vt:lpstr>KV_DD_APRIL_60</vt:lpstr>
      <vt:lpstr>KV_DD_APRIL_61</vt:lpstr>
      <vt:lpstr>KV_DD_APRIL_62</vt:lpstr>
      <vt:lpstr>KV_DD_APRIL_7</vt:lpstr>
      <vt:lpstr>KV_DD_APRIL_8</vt:lpstr>
      <vt:lpstr>KV_DD_APRIL_9</vt:lpstr>
      <vt:lpstr>KV_DD_AUGUST_10</vt:lpstr>
      <vt:lpstr>KV_DD_AUGUST_11</vt:lpstr>
      <vt:lpstr>KV_DD_AUGUST_12</vt:lpstr>
      <vt:lpstr>KV_DD_AUGUST_13</vt:lpstr>
      <vt:lpstr>KV_DD_AUGUST_14</vt:lpstr>
      <vt:lpstr>KV_DD_AUGUST_15</vt:lpstr>
      <vt:lpstr>KV_DD_AUGUST_16</vt:lpstr>
      <vt:lpstr>KV_DD_AUGUST_17</vt:lpstr>
      <vt:lpstr>KV_DD_AUGUST_18</vt:lpstr>
      <vt:lpstr>KV_DD_AUGUST_19</vt:lpstr>
      <vt:lpstr>KV_DD_AUGUST_20</vt:lpstr>
      <vt:lpstr>KV_DD_AUGUST_21</vt:lpstr>
      <vt:lpstr>KV_DD_AUGUST_22</vt:lpstr>
      <vt:lpstr>KV_DD_AUGUST_23</vt:lpstr>
      <vt:lpstr>KV_DD_AUGUST_24</vt:lpstr>
      <vt:lpstr>KV_DD_AUGUST_25</vt:lpstr>
      <vt:lpstr>KV_DD_AUGUST_26</vt:lpstr>
      <vt:lpstr>KV_DD_AUGUST_27</vt:lpstr>
      <vt:lpstr>KV_DD_AUGUST_28</vt:lpstr>
      <vt:lpstr>KV_DD_AUGUST_29</vt:lpstr>
      <vt:lpstr>KV_DD_AUGUST_3</vt:lpstr>
      <vt:lpstr>KV_DD_AUGUST_30</vt:lpstr>
      <vt:lpstr>KV_DD_AUGUST_31</vt:lpstr>
      <vt:lpstr>KV_DD_AUGUST_32</vt:lpstr>
      <vt:lpstr>KV_DD_AUGUST_33</vt:lpstr>
      <vt:lpstr>KV_DD_AUGUST_34</vt:lpstr>
      <vt:lpstr>KV_DD_AUGUST_35</vt:lpstr>
      <vt:lpstr>KV_DD_AUGUST_36</vt:lpstr>
      <vt:lpstr>KV_DD_AUGUST_37</vt:lpstr>
      <vt:lpstr>KV_DD_AUGUST_38</vt:lpstr>
      <vt:lpstr>KV_DD_AUGUST_39</vt:lpstr>
      <vt:lpstr>KV_DD_AUGUST_4</vt:lpstr>
      <vt:lpstr>KV_DD_AUGUST_40</vt:lpstr>
      <vt:lpstr>KV_DD_AUGUST_41</vt:lpstr>
      <vt:lpstr>KV_DD_AUGUST_42</vt:lpstr>
      <vt:lpstr>KV_DD_AUGUST_43</vt:lpstr>
      <vt:lpstr>KV_DD_AUGUST_44</vt:lpstr>
      <vt:lpstr>KV_DD_AUGUST_45</vt:lpstr>
      <vt:lpstr>KV_DD_AUGUST_46</vt:lpstr>
      <vt:lpstr>KV_DD_AUGUST_47</vt:lpstr>
      <vt:lpstr>KV_DD_AUGUST_48</vt:lpstr>
      <vt:lpstr>KV_DD_AUGUST_49</vt:lpstr>
      <vt:lpstr>KV_DD_AUGUST_5</vt:lpstr>
      <vt:lpstr>KV_DD_AUGUST_50</vt:lpstr>
      <vt:lpstr>KV_DD_AUGUST_51</vt:lpstr>
      <vt:lpstr>KV_DD_AUGUST_52</vt:lpstr>
      <vt:lpstr>KV_DD_AUGUST_53</vt:lpstr>
      <vt:lpstr>KV_DD_AUGUST_54</vt:lpstr>
      <vt:lpstr>KV_DD_AUGUST_55</vt:lpstr>
      <vt:lpstr>KV_DD_AUGUST_56</vt:lpstr>
      <vt:lpstr>KV_DD_AUGUST_57</vt:lpstr>
      <vt:lpstr>KV_DD_AUGUST_58</vt:lpstr>
      <vt:lpstr>KV_DD_AUGUST_59</vt:lpstr>
      <vt:lpstr>KV_DD_AUGUST_6</vt:lpstr>
      <vt:lpstr>KV_DD_AUGUST_60</vt:lpstr>
      <vt:lpstr>KV_DD_AUGUST_61</vt:lpstr>
      <vt:lpstr>KV_DD_AUGUST_62</vt:lpstr>
      <vt:lpstr>KV_DD_AUGUST_63</vt:lpstr>
      <vt:lpstr>KV_DD_AUGUST_7</vt:lpstr>
      <vt:lpstr>KV_DD_AUGUST_8</vt:lpstr>
      <vt:lpstr>KV_DD_AUGUST_9</vt:lpstr>
      <vt:lpstr>KV_DD_DEZEMBER_10</vt:lpstr>
      <vt:lpstr>KV_DD_DEZEMBER_11</vt:lpstr>
      <vt:lpstr>KV_DD_DEZEMBER_12</vt:lpstr>
      <vt:lpstr>KV_DD_DEZEMBER_13</vt:lpstr>
      <vt:lpstr>KV_DD_DEZEMBER_14</vt:lpstr>
      <vt:lpstr>KV_DD_DEZEMBER_15</vt:lpstr>
      <vt:lpstr>KV_DD_DEZEMBER_16</vt:lpstr>
      <vt:lpstr>KV_DD_DEZEMBER_17</vt:lpstr>
      <vt:lpstr>KV_DD_DEZEMBER_18</vt:lpstr>
      <vt:lpstr>KV_DD_DEZEMBER_19</vt:lpstr>
      <vt:lpstr>KV_DD_DEZEMBER_20</vt:lpstr>
      <vt:lpstr>KV_DD_DEZEMBER_21</vt:lpstr>
      <vt:lpstr>KV_DD_DEZEMBER_22</vt:lpstr>
      <vt:lpstr>KV_DD_DEZEMBER_23</vt:lpstr>
      <vt:lpstr>KV_DD_DEZEMBER_24</vt:lpstr>
      <vt:lpstr>KV_DD_DEZEMBER_25</vt:lpstr>
      <vt:lpstr>KV_DD_DEZEMBER_26</vt:lpstr>
      <vt:lpstr>KV_DD_DEZEMBER_27</vt:lpstr>
      <vt:lpstr>KV_DD_DEZEMBER_28</vt:lpstr>
      <vt:lpstr>KV_DD_DEZEMBER_29</vt:lpstr>
      <vt:lpstr>KV_DD_DEZEMBER_3</vt:lpstr>
      <vt:lpstr>KV_DD_DEZEMBER_30</vt:lpstr>
      <vt:lpstr>KV_DD_DEZEMBER_31</vt:lpstr>
      <vt:lpstr>KV_DD_DEZEMBER_32</vt:lpstr>
      <vt:lpstr>KV_DD_DEZEMBER_33</vt:lpstr>
      <vt:lpstr>KV_DD_DEZEMBER_34</vt:lpstr>
      <vt:lpstr>KV_DD_DEZEMBER_35</vt:lpstr>
      <vt:lpstr>KV_DD_DEZEMBER_36</vt:lpstr>
      <vt:lpstr>KV_DD_DEZEMBER_37</vt:lpstr>
      <vt:lpstr>KV_DD_DEZEMBER_38</vt:lpstr>
      <vt:lpstr>KV_DD_DEZEMBER_39</vt:lpstr>
      <vt:lpstr>KV_DD_DEZEMBER_4</vt:lpstr>
      <vt:lpstr>KV_DD_DEZEMBER_40</vt:lpstr>
      <vt:lpstr>KV_DD_DEZEMBER_41</vt:lpstr>
      <vt:lpstr>KV_DD_DEZEMBER_42</vt:lpstr>
      <vt:lpstr>KV_DD_DEZEMBER_43</vt:lpstr>
      <vt:lpstr>KV_DD_DEZEMBER_44</vt:lpstr>
      <vt:lpstr>KV_DD_DEZEMBER_45</vt:lpstr>
      <vt:lpstr>KV_DD_DEZEMBER_46</vt:lpstr>
      <vt:lpstr>KV_DD_DEZEMBER_47</vt:lpstr>
      <vt:lpstr>KV_DD_DEZEMBER_48</vt:lpstr>
      <vt:lpstr>KV_DD_DEZEMBER_49</vt:lpstr>
      <vt:lpstr>KV_DD_DEZEMBER_5</vt:lpstr>
      <vt:lpstr>KV_DD_DEZEMBER_50</vt:lpstr>
      <vt:lpstr>KV_DD_DEZEMBER_51</vt:lpstr>
      <vt:lpstr>KV_DD_DEZEMBER_52</vt:lpstr>
      <vt:lpstr>KV_DD_DEZEMBER_53</vt:lpstr>
      <vt:lpstr>KV_DD_DEZEMBER_54</vt:lpstr>
      <vt:lpstr>KV_DD_DEZEMBER_55</vt:lpstr>
      <vt:lpstr>KV_DD_DEZEMBER_56</vt:lpstr>
      <vt:lpstr>KV_DD_DEZEMBER_57</vt:lpstr>
      <vt:lpstr>KV_DD_DEZEMBER_58</vt:lpstr>
      <vt:lpstr>KV_DD_DEZEMBER_59</vt:lpstr>
      <vt:lpstr>KV_DD_DEZEMBER_6</vt:lpstr>
      <vt:lpstr>KV_DD_DEZEMBER_60</vt:lpstr>
      <vt:lpstr>KV_DD_DEZEMBER_61</vt:lpstr>
      <vt:lpstr>KV_DD_DEZEMBER_62</vt:lpstr>
      <vt:lpstr>KV_DD_DEZEMBER_7</vt:lpstr>
      <vt:lpstr>KV_DD_DEZEMBER_8</vt:lpstr>
      <vt:lpstr>KV_DD_DEZEMBER_9</vt:lpstr>
      <vt:lpstr>KV_DD_FEBRUAR_10</vt:lpstr>
      <vt:lpstr>KV_DD_FEBRUAR_11</vt:lpstr>
      <vt:lpstr>KV_DD_FEBRUAR_12</vt:lpstr>
      <vt:lpstr>KV_DD_FEBRUAR_13</vt:lpstr>
      <vt:lpstr>KV_DD_FEBRUAR_14</vt:lpstr>
      <vt:lpstr>KV_DD_FEBRUAR_15</vt:lpstr>
      <vt:lpstr>KV_DD_FEBRUAR_16</vt:lpstr>
      <vt:lpstr>KV_DD_FEBRUAR_17</vt:lpstr>
      <vt:lpstr>KV_DD_FEBRUAR_18</vt:lpstr>
      <vt:lpstr>KV_DD_FEBRUAR_19</vt:lpstr>
      <vt:lpstr>KV_DD_FEBRUAR_20</vt:lpstr>
      <vt:lpstr>KV_DD_FEBRUAR_21</vt:lpstr>
      <vt:lpstr>KV_DD_FEBRUAR_22</vt:lpstr>
      <vt:lpstr>KV_DD_FEBRUAR_23</vt:lpstr>
      <vt:lpstr>KV_DD_FEBRUAR_24</vt:lpstr>
      <vt:lpstr>KV_DD_FEBRUAR_25</vt:lpstr>
      <vt:lpstr>KV_DD_FEBRUAR_26</vt:lpstr>
      <vt:lpstr>KV_DD_FEBRUAR_27</vt:lpstr>
      <vt:lpstr>KV_DD_FEBRUAR_28</vt:lpstr>
      <vt:lpstr>KV_DD_FEBRUAR_29</vt:lpstr>
      <vt:lpstr>KV_DD_FEBRUAR_3</vt:lpstr>
      <vt:lpstr>KV_DD_FEBRUAR_30</vt:lpstr>
      <vt:lpstr>KV_DD_FEBRUAR_31</vt:lpstr>
      <vt:lpstr>KV_DD_FEBRUAR_32</vt:lpstr>
      <vt:lpstr>KV_DD_FEBRUAR_33</vt:lpstr>
      <vt:lpstr>KV_DD_FEBRUAR_34</vt:lpstr>
      <vt:lpstr>KV_DD_FEBRUAR_35</vt:lpstr>
      <vt:lpstr>KV_DD_FEBRUAR_36</vt:lpstr>
      <vt:lpstr>KV_DD_FEBRUAR_37</vt:lpstr>
      <vt:lpstr>KV_DD_FEBRUAR_38</vt:lpstr>
      <vt:lpstr>KV_DD_FEBRUAR_39</vt:lpstr>
      <vt:lpstr>KV_DD_FEBRUAR_4</vt:lpstr>
      <vt:lpstr>KV_DD_FEBRUAR_40</vt:lpstr>
      <vt:lpstr>KV_DD_FEBRUAR_41</vt:lpstr>
      <vt:lpstr>KV_DD_FEBRUAR_42</vt:lpstr>
      <vt:lpstr>KV_DD_FEBRUAR_43</vt:lpstr>
      <vt:lpstr>KV_DD_FEBRUAR_44</vt:lpstr>
      <vt:lpstr>KV_DD_FEBRUAR_45</vt:lpstr>
      <vt:lpstr>KV_DD_FEBRUAR_46</vt:lpstr>
      <vt:lpstr>KV_DD_FEBRUAR_47</vt:lpstr>
      <vt:lpstr>KV_DD_FEBRUAR_48</vt:lpstr>
      <vt:lpstr>KV_DD_FEBRUAR_49</vt:lpstr>
      <vt:lpstr>KV_DD_FEBRUAR_5</vt:lpstr>
      <vt:lpstr>KV_DD_FEBRUAR_50</vt:lpstr>
      <vt:lpstr>KV_DD_FEBRUAR_51</vt:lpstr>
      <vt:lpstr>KV_DD_FEBRUAR_52</vt:lpstr>
      <vt:lpstr>KV_DD_FEBRUAR_53</vt:lpstr>
      <vt:lpstr>KV_DD_FEBRUAR_54</vt:lpstr>
      <vt:lpstr>KV_DD_FEBRUAR_55</vt:lpstr>
      <vt:lpstr>KV_DD_FEBRUAR_56</vt:lpstr>
      <vt:lpstr>KV_DD_FEBRUAR_57</vt:lpstr>
      <vt:lpstr>KV_DD_FEBRUAR_58</vt:lpstr>
      <vt:lpstr>KV_DD_FEBRUAR_59</vt:lpstr>
      <vt:lpstr>KV_DD_FEBRUAR_6</vt:lpstr>
      <vt:lpstr>KV_DD_FEBRUAR_60</vt:lpstr>
      <vt:lpstr>KV_DD_FEBRUAR_61</vt:lpstr>
      <vt:lpstr>KV_DD_FEBRUAR_7</vt:lpstr>
      <vt:lpstr>KV_DD_FEBRUAR_8</vt:lpstr>
      <vt:lpstr>KV_DD_FEBRUAR_9</vt:lpstr>
      <vt:lpstr>KV_DD_JANUAR_10</vt:lpstr>
      <vt:lpstr>KV_DD_JANUAR_11</vt:lpstr>
      <vt:lpstr>KV_DD_JANUAR_12</vt:lpstr>
      <vt:lpstr>KV_DD_JANUAR_13</vt:lpstr>
      <vt:lpstr>KV_DD_JANUAR_14</vt:lpstr>
      <vt:lpstr>KV_DD_JANUAR_15</vt:lpstr>
      <vt:lpstr>KV_DD_JANUAR_16</vt:lpstr>
      <vt:lpstr>KV_DD_JANUAR_17</vt:lpstr>
      <vt:lpstr>KV_DD_JANUAR_18</vt:lpstr>
      <vt:lpstr>KV_DD_JANUAR_19</vt:lpstr>
      <vt:lpstr>KV_DD_JANUAR_20</vt:lpstr>
      <vt:lpstr>KV_DD_JANUAR_21</vt:lpstr>
      <vt:lpstr>KV_DD_JANUAR_22</vt:lpstr>
      <vt:lpstr>KV_DD_JANUAR_23</vt:lpstr>
      <vt:lpstr>KV_DD_JANUAR_24</vt:lpstr>
      <vt:lpstr>KV_DD_JANUAR_25</vt:lpstr>
      <vt:lpstr>KV_DD_JANUAR_26</vt:lpstr>
      <vt:lpstr>KV_DD_JANUAR_27</vt:lpstr>
      <vt:lpstr>KV_DD_JANUAR_28</vt:lpstr>
      <vt:lpstr>KV_DD_JANUAR_29</vt:lpstr>
      <vt:lpstr>KV_DD_JANUAR_3</vt:lpstr>
      <vt:lpstr>KV_DD_JANUAR_30</vt:lpstr>
      <vt:lpstr>KV_DD_JANUAR_31</vt:lpstr>
      <vt:lpstr>KV_DD_JANUAR_32</vt:lpstr>
      <vt:lpstr>KV_DD_JANUAR_33</vt:lpstr>
      <vt:lpstr>KV_DD_JANUAR_34</vt:lpstr>
      <vt:lpstr>KV_DD_JANUAR_35</vt:lpstr>
      <vt:lpstr>KV_DD_JANUAR_36</vt:lpstr>
      <vt:lpstr>KV_DD_JANUAR_37</vt:lpstr>
      <vt:lpstr>KV_DD_JANUAR_38</vt:lpstr>
      <vt:lpstr>KV_DD_JANUAR_39</vt:lpstr>
      <vt:lpstr>KV_DD_JANUAR_4</vt:lpstr>
      <vt:lpstr>KV_DD_JANUAR_40</vt:lpstr>
      <vt:lpstr>KV_DD_JANUAR_41</vt:lpstr>
      <vt:lpstr>KV_DD_JANUAR_42</vt:lpstr>
      <vt:lpstr>KV_DD_JANUAR_43</vt:lpstr>
      <vt:lpstr>KV_DD_JANUAR_44</vt:lpstr>
      <vt:lpstr>KV_DD_JANUAR_45</vt:lpstr>
      <vt:lpstr>KV_DD_JANUAR_46</vt:lpstr>
      <vt:lpstr>KV_DD_JANUAR_47</vt:lpstr>
      <vt:lpstr>KV_DD_JANUAR_48</vt:lpstr>
      <vt:lpstr>KV_DD_JANUAR_49</vt:lpstr>
      <vt:lpstr>KV_DD_JANUAR_5</vt:lpstr>
      <vt:lpstr>KV_DD_JANUAR_50</vt:lpstr>
      <vt:lpstr>KV_DD_JANUAR_51</vt:lpstr>
      <vt:lpstr>KV_DD_JANUAR_52</vt:lpstr>
      <vt:lpstr>KV_DD_JANUAR_53</vt:lpstr>
      <vt:lpstr>KV_DD_JANUAR_54</vt:lpstr>
      <vt:lpstr>KV_DD_JANUAR_6</vt:lpstr>
      <vt:lpstr>KV_DD_JANUAR_7</vt:lpstr>
      <vt:lpstr>KV_DD_JANUAR_8</vt:lpstr>
      <vt:lpstr>KV_DD_JANUAR_9</vt:lpstr>
      <vt:lpstr>KV_DD_JULI_10</vt:lpstr>
      <vt:lpstr>KV_DD_JULI_11</vt:lpstr>
      <vt:lpstr>KV_DD_JULI_12</vt:lpstr>
      <vt:lpstr>KV_DD_JULI_13</vt:lpstr>
      <vt:lpstr>KV_DD_JULI_14</vt:lpstr>
      <vt:lpstr>KV_DD_JULI_15</vt:lpstr>
      <vt:lpstr>KV_DD_JULI_16</vt:lpstr>
      <vt:lpstr>KV_DD_JULI_17</vt:lpstr>
      <vt:lpstr>KV_DD_JULI_18</vt:lpstr>
      <vt:lpstr>KV_DD_JULI_19</vt:lpstr>
      <vt:lpstr>KV_DD_JULI_20</vt:lpstr>
      <vt:lpstr>KV_DD_JULI_21</vt:lpstr>
      <vt:lpstr>KV_DD_JULI_22</vt:lpstr>
      <vt:lpstr>KV_DD_JULI_23</vt:lpstr>
      <vt:lpstr>KV_DD_JULI_24</vt:lpstr>
      <vt:lpstr>KV_DD_JULI_25</vt:lpstr>
      <vt:lpstr>KV_DD_JULI_26</vt:lpstr>
      <vt:lpstr>KV_DD_JULI_27</vt:lpstr>
      <vt:lpstr>KV_DD_JULI_28</vt:lpstr>
      <vt:lpstr>KV_DD_JULI_29</vt:lpstr>
      <vt:lpstr>KV_DD_JULI_3</vt:lpstr>
      <vt:lpstr>KV_DD_JULI_30</vt:lpstr>
      <vt:lpstr>KV_DD_JULI_31</vt:lpstr>
      <vt:lpstr>KV_DD_JULI_32</vt:lpstr>
      <vt:lpstr>KV_DD_JULI_33</vt:lpstr>
      <vt:lpstr>KV_DD_JULI_34</vt:lpstr>
      <vt:lpstr>KV_DD_JULI_35</vt:lpstr>
      <vt:lpstr>KV_DD_JULI_36</vt:lpstr>
      <vt:lpstr>KV_DD_JULI_37</vt:lpstr>
      <vt:lpstr>KV_DD_JULI_38</vt:lpstr>
      <vt:lpstr>KV_DD_JULI_39</vt:lpstr>
      <vt:lpstr>KV_DD_JULI_4</vt:lpstr>
      <vt:lpstr>KV_DD_JULI_40</vt:lpstr>
      <vt:lpstr>KV_DD_JULI_41</vt:lpstr>
      <vt:lpstr>KV_DD_JULI_42</vt:lpstr>
      <vt:lpstr>KV_DD_JULI_43</vt:lpstr>
      <vt:lpstr>KV_DD_JULI_44</vt:lpstr>
      <vt:lpstr>KV_DD_JULI_45</vt:lpstr>
      <vt:lpstr>KV_DD_JULI_46</vt:lpstr>
      <vt:lpstr>KV_DD_JULI_47</vt:lpstr>
      <vt:lpstr>KV_DD_JULI_48</vt:lpstr>
      <vt:lpstr>KV_DD_JULI_49</vt:lpstr>
      <vt:lpstr>KV_DD_JULI_5</vt:lpstr>
      <vt:lpstr>KV_DD_JULI_50</vt:lpstr>
      <vt:lpstr>KV_DD_JULI_51</vt:lpstr>
      <vt:lpstr>KV_DD_JULI_52</vt:lpstr>
      <vt:lpstr>KV_DD_JULI_53</vt:lpstr>
      <vt:lpstr>KV_DD_JULI_54</vt:lpstr>
      <vt:lpstr>KV_DD_JULI_55</vt:lpstr>
      <vt:lpstr>KV_DD_JULI_56</vt:lpstr>
      <vt:lpstr>KV_DD_JULI_57</vt:lpstr>
      <vt:lpstr>KV_DD_JULI_58</vt:lpstr>
      <vt:lpstr>KV_DD_JULI_59</vt:lpstr>
      <vt:lpstr>KV_DD_JULI_6</vt:lpstr>
      <vt:lpstr>KV_DD_JULI_60</vt:lpstr>
      <vt:lpstr>KV_DD_JULI_61</vt:lpstr>
      <vt:lpstr>KV_DD_JULI_62</vt:lpstr>
      <vt:lpstr>KV_DD_JULI_63</vt:lpstr>
      <vt:lpstr>KV_DD_JULI_64</vt:lpstr>
      <vt:lpstr>KV_DD_JULI_7</vt:lpstr>
      <vt:lpstr>KV_DD_JULI_8</vt:lpstr>
      <vt:lpstr>KV_DD_JULI_9</vt:lpstr>
      <vt:lpstr>KV_DD_JUNI_10</vt:lpstr>
      <vt:lpstr>KV_DD_JUNI_11</vt:lpstr>
      <vt:lpstr>KV_DD_JUNI_12</vt:lpstr>
      <vt:lpstr>KV_DD_JUNI_13</vt:lpstr>
      <vt:lpstr>KV_DD_JUNI_14</vt:lpstr>
      <vt:lpstr>KV_DD_JUNI_15</vt:lpstr>
      <vt:lpstr>KV_DD_JUNI_16</vt:lpstr>
      <vt:lpstr>KV_DD_JUNI_17</vt:lpstr>
      <vt:lpstr>KV_DD_JUNI_18</vt:lpstr>
      <vt:lpstr>KV_DD_JUNI_19</vt:lpstr>
      <vt:lpstr>KV_DD_JUNI_20</vt:lpstr>
      <vt:lpstr>KV_DD_JUNI_21</vt:lpstr>
      <vt:lpstr>KV_DD_JUNI_22</vt:lpstr>
      <vt:lpstr>KV_DD_JUNI_23</vt:lpstr>
      <vt:lpstr>KV_DD_JUNI_24</vt:lpstr>
      <vt:lpstr>KV_DD_JUNI_25</vt:lpstr>
      <vt:lpstr>KV_DD_JUNI_26</vt:lpstr>
      <vt:lpstr>KV_DD_JUNI_27</vt:lpstr>
      <vt:lpstr>KV_DD_JUNI_28</vt:lpstr>
      <vt:lpstr>KV_DD_JUNI_29</vt:lpstr>
      <vt:lpstr>KV_DD_JUNI_3</vt:lpstr>
      <vt:lpstr>KV_DD_JUNI_30</vt:lpstr>
      <vt:lpstr>KV_DD_JUNI_31</vt:lpstr>
      <vt:lpstr>KV_DD_JUNI_32</vt:lpstr>
      <vt:lpstr>KV_DD_JUNI_33</vt:lpstr>
      <vt:lpstr>KV_DD_JUNI_34</vt:lpstr>
      <vt:lpstr>KV_DD_JUNI_35</vt:lpstr>
      <vt:lpstr>KV_DD_JUNI_36</vt:lpstr>
      <vt:lpstr>KV_DD_JUNI_37</vt:lpstr>
      <vt:lpstr>KV_DD_JUNI_38</vt:lpstr>
      <vt:lpstr>KV_DD_JUNI_39</vt:lpstr>
      <vt:lpstr>KV_DD_JUNI_4</vt:lpstr>
      <vt:lpstr>KV_DD_JUNI_40</vt:lpstr>
      <vt:lpstr>KV_DD_JUNI_41</vt:lpstr>
      <vt:lpstr>KV_DD_JUNI_42</vt:lpstr>
      <vt:lpstr>KV_DD_JUNI_43</vt:lpstr>
      <vt:lpstr>KV_DD_JUNI_44</vt:lpstr>
      <vt:lpstr>KV_DD_JUNI_45</vt:lpstr>
      <vt:lpstr>KV_DD_JUNI_46</vt:lpstr>
      <vt:lpstr>KV_DD_JUNI_47</vt:lpstr>
      <vt:lpstr>KV_DD_JUNI_48</vt:lpstr>
      <vt:lpstr>KV_DD_JUNI_49</vt:lpstr>
      <vt:lpstr>KV_DD_JUNI_5</vt:lpstr>
      <vt:lpstr>KV_DD_JUNI_50</vt:lpstr>
      <vt:lpstr>KV_DD_JUNI_51</vt:lpstr>
      <vt:lpstr>KV_DD_JUNI_52</vt:lpstr>
      <vt:lpstr>KV_DD_JUNI_53</vt:lpstr>
      <vt:lpstr>KV_DD_JUNI_54</vt:lpstr>
      <vt:lpstr>KV_DD_JUNI_55</vt:lpstr>
      <vt:lpstr>KV_DD_JUNI_56</vt:lpstr>
      <vt:lpstr>KV_DD_JUNI_57</vt:lpstr>
      <vt:lpstr>KV_DD_JUNI_58</vt:lpstr>
      <vt:lpstr>KV_DD_JUNI_59</vt:lpstr>
      <vt:lpstr>KV_DD_JUNI_6</vt:lpstr>
      <vt:lpstr>KV_DD_JUNI_60</vt:lpstr>
      <vt:lpstr>KV_DD_JUNI_61</vt:lpstr>
      <vt:lpstr>KV_DD_JUNI_62</vt:lpstr>
      <vt:lpstr>KV_DD_JUNI_63</vt:lpstr>
      <vt:lpstr>KV_DD_JUNI_64</vt:lpstr>
      <vt:lpstr>KV_DD_JUNI_7</vt:lpstr>
      <vt:lpstr>KV_DD_JUNI_8</vt:lpstr>
      <vt:lpstr>KV_DD_JUNI_9</vt:lpstr>
      <vt:lpstr>KV_DD_MAI_10</vt:lpstr>
      <vt:lpstr>KV_DD_MAI_11</vt:lpstr>
      <vt:lpstr>KV_DD_MAI_12</vt:lpstr>
      <vt:lpstr>KV_DD_MAI_13</vt:lpstr>
      <vt:lpstr>KV_DD_MAI_14</vt:lpstr>
      <vt:lpstr>KV_DD_MAI_15</vt:lpstr>
      <vt:lpstr>KV_DD_MAI_16</vt:lpstr>
      <vt:lpstr>KV_DD_MAI_17</vt:lpstr>
      <vt:lpstr>KV_DD_MAI_18</vt:lpstr>
      <vt:lpstr>KV_DD_MAI_19</vt:lpstr>
      <vt:lpstr>KV_DD_MAI_20</vt:lpstr>
      <vt:lpstr>KV_DD_MAI_21</vt:lpstr>
      <vt:lpstr>KV_DD_MAI_22</vt:lpstr>
      <vt:lpstr>KV_DD_MAI_23</vt:lpstr>
      <vt:lpstr>KV_DD_MAI_24</vt:lpstr>
      <vt:lpstr>KV_DD_MAI_25</vt:lpstr>
      <vt:lpstr>KV_DD_MAI_26</vt:lpstr>
      <vt:lpstr>KV_DD_MAI_27</vt:lpstr>
      <vt:lpstr>KV_DD_MAI_28</vt:lpstr>
      <vt:lpstr>KV_DD_MAI_29</vt:lpstr>
      <vt:lpstr>KV_DD_MAI_3</vt:lpstr>
      <vt:lpstr>KV_DD_MAI_30</vt:lpstr>
      <vt:lpstr>KV_DD_MAI_31</vt:lpstr>
      <vt:lpstr>KV_DD_MAI_32</vt:lpstr>
      <vt:lpstr>KV_DD_MAI_33</vt:lpstr>
      <vt:lpstr>KV_DD_MAI_34</vt:lpstr>
      <vt:lpstr>KV_DD_MAI_35</vt:lpstr>
      <vt:lpstr>KV_DD_MAI_36</vt:lpstr>
      <vt:lpstr>KV_DD_MAI_37</vt:lpstr>
      <vt:lpstr>KV_DD_MAI_38</vt:lpstr>
      <vt:lpstr>KV_DD_MAI_39</vt:lpstr>
      <vt:lpstr>KV_DD_MAI_4</vt:lpstr>
      <vt:lpstr>KV_DD_MAI_40</vt:lpstr>
      <vt:lpstr>KV_DD_MAI_41</vt:lpstr>
      <vt:lpstr>KV_DD_MAI_42</vt:lpstr>
      <vt:lpstr>KV_DD_MAI_43</vt:lpstr>
      <vt:lpstr>KV_DD_MAI_44</vt:lpstr>
      <vt:lpstr>KV_DD_MAI_45</vt:lpstr>
      <vt:lpstr>KV_DD_MAI_46</vt:lpstr>
      <vt:lpstr>KV_DD_MAI_47</vt:lpstr>
      <vt:lpstr>KV_DD_MAI_48</vt:lpstr>
      <vt:lpstr>KV_DD_MAI_49</vt:lpstr>
      <vt:lpstr>KV_DD_MAI_5</vt:lpstr>
      <vt:lpstr>KV_DD_MAI_50</vt:lpstr>
      <vt:lpstr>KV_DD_MAI_51</vt:lpstr>
      <vt:lpstr>KV_DD_MAI_52</vt:lpstr>
      <vt:lpstr>KV_DD_MAI_53</vt:lpstr>
      <vt:lpstr>KV_DD_MAI_54</vt:lpstr>
      <vt:lpstr>KV_DD_MAI_55</vt:lpstr>
      <vt:lpstr>KV_DD_MAI_56</vt:lpstr>
      <vt:lpstr>KV_DD_MAI_57</vt:lpstr>
      <vt:lpstr>KV_DD_MAI_58</vt:lpstr>
      <vt:lpstr>KV_DD_MAI_59</vt:lpstr>
      <vt:lpstr>KV_DD_MAI_6</vt:lpstr>
      <vt:lpstr>KV_DD_MAI_60</vt:lpstr>
      <vt:lpstr>KV_DD_MAI_61</vt:lpstr>
      <vt:lpstr>KV_DD_MAI_62</vt:lpstr>
      <vt:lpstr>KV_DD_MAI_63</vt:lpstr>
      <vt:lpstr>KV_DD_MAI_64</vt:lpstr>
      <vt:lpstr>KV_DD_MAI_7</vt:lpstr>
      <vt:lpstr>KV_DD_MAI_8</vt:lpstr>
      <vt:lpstr>KV_DD_MAI_9</vt:lpstr>
      <vt:lpstr>KV_DD_MARZ_10</vt:lpstr>
      <vt:lpstr>KV_DD_MARZ_11</vt:lpstr>
      <vt:lpstr>KV_DD_MARZ_12</vt:lpstr>
      <vt:lpstr>KV_DD_MARZ_13</vt:lpstr>
      <vt:lpstr>KV_DD_MARZ_14</vt:lpstr>
      <vt:lpstr>KV_DD_MARZ_15</vt:lpstr>
      <vt:lpstr>KV_DD_MARZ_16</vt:lpstr>
      <vt:lpstr>KV_DD_MARZ_17</vt:lpstr>
      <vt:lpstr>KV_DD_MARZ_18</vt:lpstr>
      <vt:lpstr>KV_DD_MARZ_19</vt:lpstr>
      <vt:lpstr>KV_DD_MARZ_20</vt:lpstr>
      <vt:lpstr>KV_DD_MARZ_21</vt:lpstr>
      <vt:lpstr>KV_DD_MARZ_22</vt:lpstr>
      <vt:lpstr>KV_DD_MARZ_23</vt:lpstr>
      <vt:lpstr>KV_DD_MARZ_24</vt:lpstr>
      <vt:lpstr>KV_DD_MARZ_25</vt:lpstr>
      <vt:lpstr>KV_DD_MARZ_26</vt:lpstr>
      <vt:lpstr>KV_DD_MARZ_27</vt:lpstr>
      <vt:lpstr>KV_DD_MARZ_28</vt:lpstr>
      <vt:lpstr>KV_DD_MARZ_29</vt:lpstr>
      <vt:lpstr>KV_DD_MARZ_3</vt:lpstr>
      <vt:lpstr>KV_DD_MARZ_30</vt:lpstr>
      <vt:lpstr>KV_DD_MARZ_31</vt:lpstr>
      <vt:lpstr>KV_DD_MARZ_32</vt:lpstr>
      <vt:lpstr>KV_DD_MARZ_33</vt:lpstr>
      <vt:lpstr>KV_DD_MARZ_34</vt:lpstr>
      <vt:lpstr>KV_DD_MARZ_35</vt:lpstr>
      <vt:lpstr>KV_DD_MARZ_36</vt:lpstr>
      <vt:lpstr>KV_DD_MARZ_37</vt:lpstr>
      <vt:lpstr>KV_DD_MARZ_38</vt:lpstr>
      <vt:lpstr>KV_DD_MARZ_39</vt:lpstr>
      <vt:lpstr>KV_DD_MARZ_4</vt:lpstr>
      <vt:lpstr>KV_DD_MARZ_40</vt:lpstr>
      <vt:lpstr>KV_DD_MARZ_41</vt:lpstr>
      <vt:lpstr>KV_DD_MARZ_42</vt:lpstr>
      <vt:lpstr>KV_DD_MARZ_43</vt:lpstr>
      <vt:lpstr>KV_DD_MARZ_44</vt:lpstr>
      <vt:lpstr>KV_DD_MARZ_45</vt:lpstr>
      <vt:lpstr>KV_DD_MARZ_46</vt:lpstr>
      <vt:lpstr>KV_DD_MARZ_47</vt:lpstr>
      <vt:lpstr>KV_DD_MARZ_48</vt:lpstr>
      <vt:lpstr>KV_DD_MARZ_49</vt:lpstr>
      <vt:lpstr>KV_DD_MARZ_5</vt:lpstr>
      <vt:lpstr>KV_DD_MARZ_50</vt:lpstr>
      <vt:lpstr>KV_DD_MARZ_51</vt:lpstr>
      <vt:lpstr>KV_DD_MARZ_52</vt:lpstr>
      <vt:lpstr>KV_DD_MARZ_53</vt:lpstr>
      <vt:lpstr>KV_DD_MARZ_54</vt:lpstr>
      <vt:lpstr>KV_DD_MARZ_55</vt:lpstr>
      <vt:lpstr>KV_DD_MARZ_56</vt:lpstr>
      <vt:lpstr>KV_DD_MARZ_57</vt:lpstr>
      <vt:lpstr>KV_DD_MARZ_58</vt:lpstr>
      <vt:lpstr>KV_DD_MARZ_59</vt:lpstr>
      <vt:lpstr>KV_DD_MARZ_6</vt:lpstr>
      <vt:lpstr>KV_DD_MARZ_60</vt:lpstr>
      <vt:lpstr>KV_DD_MARZ_61</vt:lpstr>
      <vt:lpstr>KV_DD_MARZ_62</vt:lpstr>
      <vt:lpstr>KV_DD_MARZ_63</vt:lpstr>
      <vt:lpstr>KV_DD_MARZ_7</vt:lpstr>
      <vt:lpstr>KV_DD_MARZ_8</vt:lpstr>
      <vt:lpstr>KV_DD_MARZ_9</vt:lpstr>
      <vt:lpstr>KV_DD_NOVEMBER_10</vt:lpstr>
      <vt:lpstr>KV_DD_NOVEMBER_11</vt:lpstr>
      <vt:lpstr>KV_DD_NOVEMBER_12</vt:lpstr>
      <vt:lpstr>KV_DD_NOVEMBER_13</vt:lpstr>
      <vt:lpstr>KV_DD_NOVEMBER_14</vt:lpstr>
      <vt:lpstr>KV_DD_NOVEMBER_15</vt:lpstr>
      <vt:lpstr>KV_DD_NOVEMBER_16</vt:lpstr>
      <vt:lpstr>KV_DD_NOVEMBER_17</vt:lpstr>
      <vt:lpstr>KV_DD_NOVEMBER_18</vt:lpstr>
      <vt:lpstr>KV_DD_NOVEMBER_19</vt:lpstr>
      <vt:lpstr>KV_DD_NOVEMBER_20</vt:lpstr>
      <vt:lpstr>KV_DD_NOVEMBER_21</vt:lpstr>
      <vt:lpstr>KV_DD_NOVEMBER_22</vt:lpstr>
      <vt:lpstr>KV_DD_NOVEMBER_23</vt:lpstr>
      <vt:lpstr>KV_DD_NOVEMBER_24</vt:lpstr>
      <vt:lpstr>KV_DD_NOVEMBER_25</vt:lpstr>
      <vt:lpstr>KV_DD_NOVEMBER_26</vt:lpstr>
      <vt:lpstr>KV_DD_NOVEMBER_27</vt:lpstr>
      <vt:lpstr>KV_DD_NOVEMBER_28</vt:lpstr>
      <vt:lpstr>KV_DD_NOVEMBER_29</vt:lpstr>
      <vt:lpstr>KV_DD_NOVEMBER_3</vt:lpstr>
      <vt:lpstr>KV_DD_NOVEMBER_30</vt:lpstr>
      <vt:lpstr>KV_DD_NOVEMBER_31</vt:lpstr>
      <vt:lpstr>KV_DD_NOVEMBER_32</vt:lpstr>
      <vt:lpstr>KV_DD_NOVEMBER_33</vt:lpstr>
      <vt:lpstr>KV_DD_NOVEMBER_34</vt:lpstr>
      <vt:lpstr>KV_DD_NOVEMBER_35</vt:lpstr>
      <vt:lpstr>KV_DD_NOVEMBER_36</vt:lpstr>
      <vt:lpstr>KV_DD_NOVEMBER_37</vt:lpstr>
      <vt:lpstr>KV_DD_NOVEMBER_38</vt:lpstr>
      <vt:lpstr>KV_DD_NOVEMBER_39</vt:lpstr>
      <vt:lpstr>KV_DD_NOVEMBER_4</vt:lpstr>
      <vt:lpstr>KV_DD_NOVEMBER_40</vt:lpstr>
      <vt:lpstr>KV_DD_NOVEMBER_41</vt:lpstr>
      <vt:lpstr>KV_DD_NOVEMBER_42</vt:lpstr>
      <vt:lpstr>KV_DD_NOVEMBER_43</vt:lpstr>
      <vt:lpstr>KV_DD_NOVEMBER_44</vt:lpstr>
      <vt:lpstr>KV_DD_NOVEMBER_45</vt:lpstr>
      <vt:lpstr>KV_DD_NOVEMBER_46</vt:lpstr>
      <vt:lpstr>KV_DD_NOVEMBER_47</vt:lpstr>
      <vt:lpstr>KV_DD_NOVEMBER_48</vt:lpstr>
      <vt:lpstr>KV_DD_NOVEMBER_49</vt:lpstr>
      <vt:lpstr>KV_DD_NOVEMBER_5</vt:lpstr>
      <vt:lpstr>KV_DD_NOVEMBER_50</vt:lpstr>
      <vt:lpstr>KV_DD_NOVEMBER_51</vt:lpstr>
      <vt:lpstr>KV_DD_NOVEMBER_52</vt:lpstr>
      <vt:lpstr>KV_DD_NOVEMBER_53</vt:lpstr>
      <vt:lpstr>KV_DD_NOVEMBER_54</vt:lpstr>
      <vt:lpstr>KV_DD_NOVEMBER_55</vt:lpstr>
      <vt:lpstr>KV_DD_NOVEMBER_56</vt:lpstr>
      <vt:lpstr>KV_DD_NOVEMBER_57</vt:lpstr>
      <vt:lpstr>KV_DD_NOVEMBER_58</vt:lpstr>
      <vt:lpstr>KV_DD_NOVEMBER_59</vt:lpstr>
      <vt:lpstr>KV_DD_NOVEMBER_6</vt:lpstr>
      <vt:lpstr>KV_DD_NOVEMBER_60</vt:lpstr>
      <vt:lpstr>KV_DD_NOVEMBER_61</vt:lpstr>
      <vt:lpstr>KV_DD_NOVEMBER_62</vt:lpstr>
      <vt:lpstr>KV_DD_NOVEMBER_7</vt:lpstr>
      <vt:lpstr>KV_DD_NOVEMBER_8</vt:lpstr>
      <vt:lpstr>KV_DD_NOVEMBER_9</vt:lpstr>
      <vt:lpstr>KV_DD_OKTOBER_10</vt:lpstr>
      <vt:lpstr>KV_DD_OKTOBER_11</vt:lpstr>
      <vt:lpstr>KV_DD_OKTOBER_12</vt:lpstr>
      <vt:lpstr>KV_DD_OKTOBER_13</vt:lpstr>
      <vt:lpstr>KV_DD_OKTOBER_14</vt:lpstr>
      <vt:lpstr>KV_DD_OKTOBER_15</vt:lpstr>
      <vt:lpstr>KV_DD_OKTOBER_16</vt:lpstr>
      <vt:lpstr>KV_DD_OKTOBER_17</vt:lpstr>
      <vt:lpstr>KV_DD_OKTOBER_18</vt:lpstr>
      <vt:lpstr>KV_DD_OKTOBER_19</vt:lpstr>
      <vt:lpstr>KV_DD_OKTOBER_20</vt:lpstr>
      <vt:lpstr>KV_DD_OKTOBER_21</vt:lpstr>
      <vt:lpstr>KV_DD_OKTOBER_22</vt:lpstr>
      <vt:lpstr>KV_DD_OKTOBER_23</vt:lpstr>
      <vt:lpstr>KV_DD_OKTOBER_24</vt:lpstr>
      <vt:lpstr>KV_DD_OKTOBER_25</vt:lpstr>
      <vt:lpstr>KV_DD_OKTOBER_26</vt:lpstr>
      <vt:lpstr>KV_DD_OKTOBER_27</vt:lpstr>
      <vt:lpstr>KV_DD_OKTOBER_28</vt:lpstr>
      <vt:lpstr>KV_DD_OKTOBER_29</vt:lpstr>
      <vt:lpstr>KV_DD_OKTOBER_3</vt:lpstr>
      <vt:lpstr>KV_DD_OKTOBER_30</vt:lpstr>
      <vt:lpstr>KV_DD_OKTOBER_31</vt:lpstr>
      <vt:lpstr>KV_DD_OKTOBER_32</vt:lpstr>
      <vt:lpstr>KV_DD_OKTOBER_33</vt:lpstr>
      <vt:lpstr>KV_DD_OKTOBER_34</vt:lpstr>
      <vt:lpstr>KV_DD_OKTOBER_35</vt:lpstr>
      <vt:lpstr>KV_DD_OKTOBER_36</vt:lpstr>
      <vt:lpstr>KV_DD_OKTOBER_37</vt:lpstr>
      <vt:lpstr>KV_DD_OKTOBER_38</vt:lpstr>
      <vt:lpstr>KV_DD_OKTOBER_39</vt:lpstr>
      <vt:lpstr>KV_DD_OKTOBER_4</vt:lpstr>
      <vt:lpstr>KV_DD_OKTOBER_40</vt:lpstr>
      <vt:lpstr>KV_DD_OKTOBER_41</vt:lpstr>
      <vt:lpstr>KV_DD_OKTOBER_42</vt:lpstr>
      <vt:lpstr>KV_DD_OKTOBER_43</vt:lpstr>
      <vt:lpstr>KV_DD_OKTOBER_44</vt:lpstr>
      <vt:lpstr>KV_DD_OKTOBER_45</vt:lpstr>
      <vt:lpstr>KV_DD_OKTOBER_46</vt:lpstr>
      <vt:lpstr>KV_DD_OKTOBER_47</vt:lpstr>
      <vt:lpstr>KV_DD_OKTOBER_48</vt:lpstr>
      <vt:lpstr>KV_DD_OKTOBER_49</vt:lpstr>
      <vt:lpstr>KV_DD_OKTOBER_5</vt:lpstr>
      <vt:lpstr>KV_DD_OKTOBER_50</vt:lpstr>
      <vt:lpstr>KV_DD_OKTOBER_51</vt:lpstr>
      <vt:lpstr>KV_DD_OKTOBER_52</vt:lpstr>
      <vt:lpstr>KV_DD_OKTOBER_53</vt:lpstr>
      <vt:lpstr>KV_DD_OKTOBER_54</vt:lpstr>
      <vt:lpstr>KV_DD_OKTOBER_55</vt:lpstr>
      <vt:lpstr>KV_DD_OKTOBER_56</vt:lpstr>
      <vt:lpstr>KV_DD_OKTOBER_57</vt:lpstr>
      <vt:lpstr>KV_DD_OKTOBER_58</vt:lpstr>
      <vt:lpstr>KV_DD_OKTOBER_59</vt:lpstr>
      <vt:lpstr>KV_DD_OKTOBER_6</vt:lpstr>
      <vt:lpstr>KV_DD_OKTOBER_60</vt:lpstr>
      <vt:lpstr>KV_DD_OKTOBER_61</vt:lpstr>
      <vt:lpstr>KV_DD_OKTOBER_62</vt:lpstr>
      <vt:lpstr>KV_DD_OKTOBER_63</vt:lpstr>
      <vt:lpstr>KV_DD_OKTOBER_7</vt:lpstr>
      <vt:lpstr>KV_DD_OKTOBER_8</vt:lpstr>
      <vt:lpstr>KV_DD_OKTOBER_9</vt:lpstr>
      <vt:lpstr>KV_DD_SEPTEMBER_10</vt:lpstr>
      <vt:lpstr>KV_DD_SEPTEMBER_11</vt:lpstr>
      <vt:lpstr>KV_DD_SEPTEMBER_12</vt:lpstr>
      <vt:lpstr>KV_DD_SEPTEMBER_13</vt:lpstr>
      <vt:lpstr>KV_DD_SEPTEMBER_14</vt:lpstr>
      <vt:lpstr>KV_DD_SEPTEMBER_15</vt:lpstr>
      <vt:lpstr>KV_DD_SEPTEMBER_16</vt:lpstr>
      <vt:lpstr>KV_DD_SEPTEMBER_17</vt:lpstr>
      <vt:lpstr>KV_DD_SEPTEMBER_18</vt:lpstr>
      <vt:lpstr>KV_DD_SEPTEMBER_19</vt:lpstr>
      <vt:lpstr>KV_DD_SEPTEMBER_20</vt:lpstr>
      <vt:lpstr>KV_DD_SEPTEMBER_21</vt:lpstr>
      <vt:lpstr>KV_DD_SEPTEMBER_22</vt:lpstr>
      <vt:lpstr>KV_DD_SEPTEMBER_23</vt:lpstr>
      <vt:lpstr>KV_DD_SEPTEMBER_24</vt:lpstr>
      <vt:lpstr>KV_DD_SEPTEMBER_25</vt:lpstr>
      <vt:lpstr>KV_DD_SEPTEMBER_26</vt:lpstr>
      <vt:lpstr>KV_DD_SEPTEMBER_27</vt:lpstr>
      <vt:lpstr>KV_DD_SEPTEMBER_28</vt:lpstr>
      <vt:lpstr>KV_DD_SEPTEMBER_29</vt:lpstr>
      <vt:lpstr>KV_DD_SEPTEMBER_3</vt:lpstr>
      <vt:lpstr>KV_DD_SEPTEMBER_30</vt:lpstr>
      <vt:lpstr>KV_DD_SEPTEMBER_31</vt:lpstr>
      <vt:lpstr>KV_DD_SEPTEMBER_32</vt:lpstr>
      <vt:lpstr>KV_DD_SEPTEMBER_33</vt:lpstr>
      <vt:lpstr>KV_DD_SEPTEMBER_34</vt:lpstr>
      <vt:lpstr>KV_DD_SEPTEMBER_35</vt:lpstr>
      <vt:lpstr>KV_DD_SEPTEMBER_36</vt:lpstr>
      <vt:lpstr>KV_DD_SEPTEMBER_37</vt:lpstr>
      <vt:lpstr>KV_DD_SEPTEMBER_38</vt:lpstr>
      <vt:lpstr>KV_DD_SEPTEMBER_39</vt:lpstr>
      <vt:lpstr>KV_DD_SEPTEMBER_4</vt:lpstr>
      <vt:lpstr>KV_DD_SEPTEMBER_40</vt:lpstr>
      <vt:lpstr>KV_DD_SEPTEMBER_41</vt:lpstr>
      <vt:lpstr>KV_DD_SEPTEMBER_42</vt:lpstr>
      <vt:lpstr>KV_DD_SEPTEMBER_43</vt:lpstr>
      <vt:lpstr>KV_DD_SEPTEMBER_44</vt:lpstr>
      <vt:lpstr>KV_DD_SEPTEMBER_45</vt:lpstr>
      <vt:lpstr>KV_DD_SEPTEMBER_46</vt:lpstr>
      <vt:lpstr>KV_DD_SEPTEMBER_47</vt:lpstr>
      <vt:lpstr>KV_DD_SEPTEMBER_48</vt:lpstr>
      <vt:lpstr>KV_DD_SEPTEMBER_49</vt:lpstr>
      <vt:lpstr>KV_DD_SEPTEMBER_5</vt:lpstr>
      <vt:lpstr>KV_DD_SEPTEMBER_50</vt:lpstr>
      <vt:lpstr>KV_DD_SEPTEMBER_51</vt:lpstr>
      <vt:lpstr>KV_DD_SEPTEMBER_52</vt:lpstr>
      <vt:lpstr>KV_DD_SEPTEMBER_53</vt:lpstr>
      <vt:lpstr>KV_DD_SEPTEMBER_54</vt:lpstr>
      <vt:lpstr>KV_DD_SEPTEMBER_55</vt:lpstr>
      <vt:lpstr>KV_DD_SEPTEMBER_56</vt:lpstr>
      <vt:lpstr>KV_DD_SEPTEMBER_57</vt:lpstr>
      <vt:lpstr>KV_DD_SEPTEMBER_58</vt:lpstr>
      <vt:lpstr>KV_DD_SEPTEMBER_59</vt:lpstr>
      <vt:lpstr>KV_DD_SEPTEMBER_6</vt:lpstr>
      <vt:lpstr>KV_DD_SEPTEMBER_60</vt:lpstr>
      <vt:lpstr>KV_DD_SEPTEMBER_61</vt:lpstr>
      <vt:lpstr>KV_DD_SEPTEMBER_62</vt:lpstr>
      <vt:lpstr>KV_DD_SEPTEMBER_7</vt:lpstr>
      <vt:lpstr>KV_DD_SEPTEMBER_8</vt:lpstr>
      <vt:lpstr>KV_DD_SEPTEMBER_9</vt:lpstr>
      <vt:lpstr>PID_KV_CODE_LIST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Nagy Adam</cp:lastModifiedBy>
  <cp:revision/>
  <dcterms:created xsi:type="dcterms:W3CDTF">2024-07-06T11:11:20Z</dcterms:created>
  <dcterms:modified xsi:type="dcterms:W3CDTF">2026-05-22T18:04:24Z</dcterms:modified>
  <cp:category/>
  <cp:contentStatus/>
</cp:coreProperties>
</file>
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Adam\iCloudDrive\Desktop\PERSONALSHEET_DEV\"/>
    </mc:Choice>
  </mc:AlternateContent>
  <xr:revisionPtr revIDLastSave="0" documentId="13_ncr:1_{9EE43027-969B-4219-992F-CE1896B4A95C}" xr6:coauthVersionLast="47" xr6:coauthVersionMax="47" xr10:uidLastSave="{00000000-0000-0000-0000-000000000000}"/>
  <bookViews>
    <workbookView xWindow="-110" yWindow="-110" windowWidth="38620" windowHeight="21100" tabRatio="677"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61">KV_DROPDOWN_HELPER!$KM$1:$KM$13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KV_DROPDOWN_HELPER!$LW$1:$LW$14</definedName>
    <definedName name="KV_DD_MAI_18">KV_DROPDOWN_HELPER!$LX$1:$LX$14</definedName>
    <definedName name="KV_DD_MAI_19">KV_DROPDOWN_HELPER!$LY$1:$LY$14</definedName>
    <definedName name="KV_DD_MAI_20">KV_DROPDOWN_HELPER!$LZ$1:$LZ$13</definedName>
    <definedName name="KV_DD_MAI_21">KV_DROPDOWN_HELPER!$MA$1:$MA$14</definedName>
    <definedName name="KV_DD_MAI_22">KV_DROPDOWN_HELPER!$MB$1:$MB$14</definedName>
    <definedName name="KV_DD_MAI_23">KV_DROPDOWN_HELPER!$MC$1:$MC$14</definedName>
    <definedName name="KV_DD_MAI_24">KV_DROPDOWN_HELPER!$MD$1:$MD$13</definedName>
    <definedName name="KV_DD_MAI_25">KV_DROPDOWN_HELPER!$ME$1:$ME$13</definedName>
    <definedName name="KV_DD_MAI_26">KV_DROPDOWN_HELPER!$MF$1:$MF$14</definedName>
    <definedName name="KV_DD_MAI_27">KV_DROPDOWN_HELPER!$MG$1:$MG$14</definedName>
    <definedName name="KV_DD_MAI_28">KV_DROPDOWN_HELPER!$MH$1:$MH$14</definedName>
    <definedName name="KV_DD_MAI_29">KV_DROPDOWN_HELPER!$MI$1:$MI$13</definedName>
    <definedName name="KV_DD_MAI_3">KV_DROPDOWN_HELPER!$LI$1:$LI$14</definedName>
    <definedName name="KV_DD_MAI_30">KV_DROPDOWN_HELPER!$MJ$1:$MJ$14</definedName>
    <definedName name="KV_DD_MAI_31">KV_DROPDOWN_HELPER!$MK$1:$MK$14</definedName>
    <definedName name="KV_DD_MAI_32">KV_DROPDOWN_HELPER!$ML$1:$ML$14</definedName>
    <definedName name="KV_DD_MAI_33">KV_DROPDOWN_HELPER!$MM$1:$MM$14</definedName>
    <definedName name="KV_DD_MAI_34">KV_DROPDOWN_HELPER!$MN$1:$MN$14</definedName>
    <definedName name="KV_DD_MAI_35">KV_DROPDOWN_HELPER!$MO$1:$MO$14</definedName>
    <definedName name="KV_DD_MAI_36">KV_DROPDOWN_HELPER!$MP$1:$MP$14</definedName>
    <definedName name="KV_DD_MAI_37">KV_DROPDOWN_HELPER!$MQ$1:$MQ$14</definedName>
    <definedName name="KV_DD_MAI_38">KV_DROPDOWN_HELPER!$MR$1:$MR$14</definedName>
    <definedName name="KV_DD_MAI_39">KV_DROPDOWN_HELPER!$MS$1:$MS$14</definedName>
    <definedName name="KV_DD_MAI_4">KV_DROPDOWN_HELPER!$LJ$1:$LJ$13</definedName>
    <definedName name="KV_DD_MAI_40">KV_DROPDOWN_HELPER!$MT$1:$MT$14</definedName>
    <definedName name="KV_DD_MAI_41">KV_DROPDOWN_HELPER!$MU$1:$MU$14</definedName>
    <definedName name="KV_DD_MAI_42">KV_DROPDOWN_HELPER!$MV$1:$MV$14</definedName>
    <definedName name="KV_DD_MAI_43">KV_DROPDOWN_HELPER!$MW$1:$MW$14</definedName>
    <definedName name="KV_DD_MAI_44">KV_DROPDOWN_HELPER!$MX$1:$MX$14</definedName>
    <definedName name="KV_DD_MAI_45">KV_DROPDOWN_HELPER!$MY$1:$MY$14</definedName>
    <definedName name="KV_DD_MAI_46">KV_DROPDOWN_HELPER!$MZ$1:$MZ$14</definedName>
    <definedName name="KV_DD_MAI_47">KV_DROPDOWN_HELPER!$NA$1:$NA$14</definedName>
    <definedName name="KV_DD_MAI_48">KV_DROPDOWN_HELPER!$NB$1:$NB$14</definedName>
    <definedName name="KV_DD_MAI_49">KV_DROPDOWN_HELPER!$NC$1:$NC$14</definedName>
    <definedName name="KV_DD_MAI_5">KV_DROPDOWN_HELPER!$LK$1:$LK$13</definedName>
    <definedName name="KV_DD_MAI_50">KV_DROPDOWN_HELPER!$ND$1:$ND$14</definedName>
    <definedName name="KV_DD_MAI_51">KV_DROPDOWN_HELPER!$NE$1:$NE$14</definedName>
    <definedName name="KV_DD_MAI_52">KV_DROPDOWN_HELPER!$NF$1:$NF$14</definedName>
    <definedName name="KV_DD_MAI_53">KV_DROPDOWN_HELPER!$NG$1:$NG$14</definedName>
    <definedName name="KV_DD_MAI_54">KV_DROPDOWN_HELPER!$NH$1:$NH$14</definedName>
    <definedName name="KV_DD_MAI_55">KV_DROPDOWN_HELPER!$NI$1:$NI$14</definedName>
    <definedName name="KV_DD_MAI_56">KV_DROPDOWN_HELPER!$NJ$1:$NJ$14</definedName>
    <definedName name="KV_DD_MAI_57">KV_DROPDOWN_HELPER!$NK$1:$NK$14</definedName>
    <definedName name="KV_DD_MAI_58">KV_DROPDOWN_HELPER!$NL$1:$NL$14</definedName>
    <definedName name="KV_DD_MAI_59">KV_DROPDOWN_HELPER!$NM$1:$NM$14</definedName>
    <definedName name="KV_DD_MAI_6">KV_DROPDOWN_HELPER!$LL$1:$LL$13</definedName>
    <definedName name="KV_DD_MAI_60">KV_DROPDOWN_HELPER!$NN$1:$NN$14</definedName>
    <definedName name="KV_DD_MAI_61">KV_DROPDOWN_HELPER!$NO$1:$NO$13</definedName>
    <definedName name="KV_DD_MAI_62">KV_DROPDOWN_HELPER!$NP$1:$NP$14</definedName>
    <definedName name="KV_DD_MAI_63">KV_DROPDOWN_HELPER!$NQ$1:$NQ$14</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62">KV_DROPDOWN_HELPER!$HL$1:$HL$13</definedName>
    <definedName name="KV_DD_MARZ_63">KV_DROPDOWN_HELPER!$HM$1:$HM$13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8" i="36"/>
  <c r="L9" i="36"/>
  <c r="L12" i="36"/>
  <c r="L13" i="36"/>
  <c r="L14" i="36"/>
  <c r="L15" i="36"/>
  <c r="L16" i="36"/>
  <c r="L17" i="36"/>
  <c r="L18" i="36"/>
  <c r="L35" i="36"/>
  <c r="L36" i="36"/>
  <c r="L37" i="36"/>
  <c r="L38" i="36"/>
  <c r="L39" i="36"/>
  <c r="L40" i="36"/>
  <c r="L41" i="36"/>
  <c r="L46" i="36"/>
  <c r="L47" i="36"/>
  <c r="L48" i="36"/>
  <c r="L49" i="36"/>
  <c r="L50" i="36"/>
  <c r="L67" i="36"/>
  <c r="L68" i="36"/>
  <c r="L69" i="36"/>
  <c r="L70" i="36"/>
  <c r="L71" i="36"/>
  <c r="L72" i="36"/>
  <c r="L73" i="36"/>
  <c r="L78" i="36"/>
  <c r="L79" i="36"/>
  <c r="L81" i="36"/>
  <c r="L82" i="36"/>
  <c r="K3" i="36"/>
  <c r="K4" i="36"/>
  <c r="K5" i="36"/>
  <c r="K6" i="36"/>
  <c r="K7" i="36"/>
  <c r="K8" i="36"/>
  <c r="K9" i="36"/>
  <c r="K10" i="36"/>
  <c r="L10" i="36" s="1"/>
  <c r="K11" i="36"/>
  <c r="L11" i="36" s="1"/>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K38" i="36"/>
  <c r="K39" i="36"/>
  <c r="K40" i="36"/>
  <c r="K41" i="36"/>
  <c r="K42" i="36"/>
  <c r="L42" i="36" s="1"/>
  <c r="K43" i="36"/>
  <c r="L43" i="36" s="1"/>
  <c r="K44" i="36"/>
  <c r="L44" i="36" s="1"/>
  <c r="K45" i="36"/>
  <c r="L45" i="36" s="1"/>
  <c r="K46" i="36"/>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K69" i="36"/>
  <c r="K70" i="36"/>
  <c r="K71" i="36"/>
  <c r="K72" i="36"/>
  <c r="K73" i="36"/>
  <c r="K74" i="36"/>
  <c r="L74" i="36" s="1"/>
  <c r="K75" i="36"/>
  <c r="L75" i="36" s="1"/>
  <c r="K76" i="36"/>
  <c r="L76" i="36" s="1"/>
  <c r="K77" i="36"/>
  <c r="L77" i="36" s="1"/>
  <c r="K78" i="36"/>
  <c r="K79" i="36"/>
  <c r="K80" i="36"/>
  <c r="L80" i="36" s="1"/>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9" i="33"/>
  <c r="L20" i="33"/>
  <c r="L21" i="33"/>
  <c r="L22" i="33"/>
  <c r="L23" i="33"/>
  <c r="L24" i="33"/>
  <c r="L25" i="33"/>
  <c r="L28" i="33"/>
  <c r="L30" i="33"/>
  <c r="L31" i="33"/>
  <c r="L32" i="33"/>
  <c r="L33" i="33"/>
  <c r="L34" i="33"/>
  <c r="L51" i="33"/>
  <c r="L52" i="33"/>
  <c r="L53" i="33"/>
  <c r="L54" i="33"/>
  <c r="L55" i="33"/>
  <c r="L56" i="33"/>
  <c r="L57" i="33"/>
  <c r="L62" i="33"/>
  <c r="L63" i="33"/>
  <c r="L65" i="33"/>
  <c r="L66" i="33"/>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K20" i="33"/>
  <c r="K21" i="33"/>
  <c r="K22" i="33"/>
  <c r="K23" i="33"/>
  <c r="K24" i="33"/>
  <c r="K25" i="33"/>
  <c r="K26" i="33"/>
  <c r="L26" i="33" s="1"/>
  <c r="K27" i="33"/>
  <c r="L27" i="33" s="1"/>
  <c r="K28" i="33"/>
  <c r="K29" i="33"/>
  <c r="L29" i="33" s="1"/>
  <c r="K30" i="33"/>
  <c r="K31" i="33"/>
  <c r="K32" i="33"/>
  <c r="K33" i="33"/>
  <c r="K34" i="33"/>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K52" i="33"/>
  <c r="K53" i="33"/>
  <c r="K54" i="33"/>
  <c r="K55" i="33"/>
  <c r="K56" i="33"/>
  <c r="K57" i="33"/>
  <c r="K58" i="33"/>
  <c r="L58" i="33" s="1"/>
  <c r="K59" i="33"/>
  <c r="L59" i="33" s="1"/>
  <c r="K60" i="33"/>
  <c r="L60" i="33" s="1"/>
  <c r="K61" i="33"/>
  <c r="L61" i="33" s="1"/>
  <c r="K62" i="33"/>
  <c r="K63" i="33"/>
  <c r="K64" i="33"/>
  <c r="L64" i="33" s="1"/>
  <c r="K65" i="33"/>
  <c r="K66" i="33"/>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7" i="32"/>
  <c r="L8" i="32"/>
  <c r="L9" i="32"/>
  <c r="L12" i="32"/>
  <c r="L14" i="32"/>
  <c r="L15" i="32"/>
  <c r="L17" i="32"/>
  <c r="L18" i="32"/>
  <c r="L35" i="32"/>
  <c r="L36" i="32"/>
  <c r="L37" i="32"/>
  <c r="L38" i="32"/>
  <c r="L39" i="32"/>
  <c r="L40" i="32"/>
  <c r="L41" i="32"/>
  <c r="L46" i="32"/>
  <c r="L47" i="32"/>
  <c r="L49" i="32"/>
  <c r="L50" i="32"/>
  <c r="L67" i="32"/>
  <c r="L68" i="32"/>
  <c r="L69" i="32"/>
  <c r="L70" i="32"/>
  <c r="L71" i="32"/>
  <c r="L72" i="32"/>
  <c r="L73" i="32"/>
  <c r="L78" i="32"/>
  <c r="L79" i="32"/>
  <c r="L82" i="32"/>
  <c r="K3" i="32"/>
  <c r="K4" i="32"/>
  <c r="K5" i="32"/>
  <c r="K6" i="32"/>
  <c r="K7" i="32"/>
  <c r="K8" i="32"/>
  <c r="K9" i="32"/>
  <c r="K10" i="32"/>
  <c r="L10" i="32" s="1"/>
  <c r="K11" i="32"/>
  <c r="L11" i="32" s="1"/>
  <c r="K12" i="32"/>
  <c r="K13" i="32"/>
  <c r="L13" i="32" s="1"/>
  <c r="K14" i="32"/>
  <c r="K15" i="32"/>
  <c r="K16" i="32"/>
  <c r="L16" i="32" s="1"/>
  <c r="K17" i="32"/>
  <c r="K18" i="32"/>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K36" i="32"/>
  <c r="K37" i="32"/>
  <c r="K38" i="32"/>
  <c r="K39" i="32"/>
  <c r="K40" i="32"/>
  <c r="K41" i="32"/>
  <c r="K42" i="32"/>
  <c r="L42" i="32" s="1"/>
  <c r="K43" i="32"/>
  <c r="L43" i="32" s="1"/>
  <c r="K44" i="32"/>
  <c r="L44" i="32" s="1"/>
  <c r="K45" i="32"/>
  <c r="L45" i="32" s="1"/>
  <c r="K46" i="32"/>
  <c r="K47" i="32"/>
  <c r="K48" i="32"/>
  <c r="L48" i="32" s="1"/>
  <c r="K49" i="32"/>
  <c r="K50" i="32"/>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K68" i="32"/>
  <c r="K69" i="32"/>
  <c r="K70" i="32"/>
  <c r="K71" i="32"/>
  <c r="K72" i="32"/>
  <c r="K73" i="32"/>
  <c r="K74" i="32"/>
  <c r="L74" i="32" s="1"/>
  <c r="K75" i="32"/>
  <c r="L75" i="32" s="1"/>
  <c r="K76" i="32"/>
  <c r="L76" i="32" s="1"/>
  <c r="K77" i="32"/>
  <c r="L77" i="32" s="1"/>
  <c r="K78" i="32"/>
  <c r="K79" i="32"/>
  <c r="K80" i="32"/>
  <c r="L80" i="32" s="1"/>
  <c r="K81" i="32"/>
  <c r="L81" i="32" s="1"/>
  <c r="K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30" i="31"/>
  <c r="L31" i="31"/>
  <c r="L33" i="31"/>
  <c r="L34" i="31"/>
  <c r="L42" i="31"/>
  <c r="L51" i="31"/>
  <c r="L52" i="31"/>
  <c r="L53" i="31"/>
  <c r="L54" i="31"/>
  <c r="L55" i="31"/>
  <c r="L56" i="31"/>
  <c r="L57" i="31"/>
  <c r="L62" i="31"/>
  <c r="L63" i="31"/>
  <c r="L65" i="31"/>
  <c r="L66" i="31"/>
  <c r="L74"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L28" i="31" s="1"/>
  <c r="K29" i="31"/>
  <c r="L29" i="31" s="1"/>
  <c r="K30" i="31"/>
  <c r="K31" i="31"/>
  <c r="K32" i="31"/>
  <c r="L32" i="31" s="1"/>
  <c r="K33" i="3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K58" i="31"/>
  <c r="L58" i="31" s="1"/>
  <c r="K59" i="31"/>
  <c r="L59" i="31" s="1"/>
  <c r="K60" i="31"/>
  <c r="L60" i="31" s="1"/>
  <c r="K61" i="31"/>
  <c r="L61" i="31" s="1"/>
  <c r="K62" i="31"/>
  <c r="K63" i="31"/>
  <c r="K64" i="31"/>
  <c r="L64" i="31" s="1"/>
  <c r="K65" i="31"/>
  <c r="K66" i="31"/>
  <c r="K67" i="31"/>
  <c r="L67" i="31" s="1"/>
  <c r="K68" i="31"/>
  <c r="L68" i="31" s="1"/>
  <c r="K69" i="31"/>
  <c r="L69" i="31" s="1"/>
  <c r="K70" i="31"/>
  <c r="L70" i="31" s="1"/>
  <c r="K71" i="31"/>
  <c r="L71" i="31" s="1"/>
  <c r="K72" i="31"/>
  <c r="L72" i="31" s="1"/>
  <c r="K73" i="31"/>
  <c r="L73" i="31" s="1"/>
  <c r="K74" i="3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6" i="28"/>
  <c r="L7" i="28"/>
  <c r="L9" i="28"/>
  <c r="L10" i="28"/>
  <c r="L11" i="28"/>
  <c r="L12" i="28"/>
  <c r="L13" i="28"/>
  <c r="L14" i="28"/>
  <c r="L15" i="28"/>
  <c r="L17" i="28"/>
  <c r="L18" i="28"/>
  <c r="L24" i="28"/>
  <c r="L35" i="28"/>
  <c r="L37" i="28"/>
  <c r="L38" i="28"/>
  <c r="L39" i="28"/>
  <c r="L41" i="28"/>
  <c r="L43" i="28"/>
  <c r="L44" i="28"/>
  <c r="L45" i="28"/>
  <c r="L47" i="28"/>
  <c r="L49" i="28"/>
  <c r="L50" i="28"/>
  <c r="L56" i="28"/>
  <c r="L67" i="28"/>
  <c r="L70" i="28"/>
  <c r="L71" i="28"/>
  <c r="L73" i="28"/>
  <c r="L74" i="28"/>
  <c r="L75" i="28"/>
  <c r="L76" i="28"/>
  <c r="L77" i="28"/>
  <c r="L79" i="28"/>
  <c r="L81" i="28"/>
  <c r="L82" i="28"/>
  <c r="K3" i="28"/>
  <c r="K4" i="28"/>
  <c r="L4" i="28" s="1"/>
  <c r="K5" i="28"/>
  <c r="K6" i="28"/>
  <c r="K7" i="28"/>
  <c r="K8" i="28"/>
  <c r="L8" i="28" s="1"/>
  <c r="K9" i="28"/>
  <c r="K10" i="28"/>
  <c r="K11" i="28"/>
  <c r="K12" i="28"/>
  <c r="K13" i="28"/>
  <c r="K14" i="28"/>
  <c r="K15" i="28"/>
  <c r="K16" i="28"/>
  <c r="L16" i="28" s="1"/>
  <c r="K17" i="28"/>
  <c r="K18" i="28"/>
  <c r="K19" i="28"/>
  <c r="L19" i="28" s="1"/>
  <c r="K20" i="28"/>
  <c r="L20" i="28" s="1"/>
  <c r="K21" i="28"/>
  <c r="L21" i="28" s="1"/>
  <c r="K22" i="28"/>
  <c r="L22" i="28" s="1"/>
  <c r="K23" i="28"/>
  <c r="L23" i="28" s="1"/>
  <c r="K24" i="28"/>
  <c r="K25" i="28"/>
  <c r="L25" i="28" s="1"/>
  <c r="K26" i="28"/>
  <c r="L26" i="28" s="1"/>
  <c r="K27" i="28"/>
  <c r="L27" i="28" s="1"/>
  <c r="K28" i="28"/>
  <c r="L28" i="28" s="1"/>
  <c r="K29" i="28"/>
  <c r="L29" i="28" s="1"/>
  <c r="K30" i="28"/>
  <c r="L30" i="28" s="1"/>
  <c r="K31" i="28"/>
  <c r="L31" i="28" s="1"/>
  <c r="K32" i="28"/>
  <c r="L32" i="28" s="1"/>
  <c r="K33" i="28"/>
  <c r="L33" i="28" s="1"/>
  <c r="K34" i="28"/>
  <c r="L34" i="28" s="1"/>
  <c r="K35" i="28"/>
  <c r="K36" i="28"/>
  <c r="L36" i="28" s="1"/>
  <c r="K37" i="28"/>
  <c r="K38" i="28"/>
  <c r="K39" i="28"/>
  <c r="K40" i="28"/>
  <c r="L40" i="28" s="1"/>
  <c r="K41" i="28"/>
  <c r="K42" i="28"/>
  <c r="L42" i="28" s="1"/>
  <c r="K43" i="28"/>
  <c r="K44" i="28"/>
  <c r="K45" i="28"/>
  <c r="K46" i="28"/>
  <c r="L46" i="28" s="1"/>
  <c r="K47" i="28"/>
  <c r="K48" i="28"/>
  <c r="L48" i="28" s="1"/>
  <c r="K49" i="28"/>
  <c r="K50" i="28"/>
  <c r="K51" i="28"/>
  <c r="L51" i="28" s="1"/>
  <c r="K52" i="28"/>
  <c r="L52" i="28" s="1"/>
  <c r="K53" i="28"/>
  <c r="L53" i="28" s="1"/>
  <c r="K54" i="28"/>
  <c r="L54" i="28" s="1"/>
  <c r="K55" i="28"/>
  <c r="L55" i="28" s="1"/>
  <c r="K56" i="28"/>
  <c r="K57" i="28"/>
  <c r="L57" i="28" s="1"/>
  <c r="K58" i="28"/>
  <c r="L58" i="28" s="1"/>
  <c r="K59" i="28"/>
  <c r="L59" i="28" s="1"/>
  <c r="K60" i="28"/>
  <c r="L60" i="28" s="1"/>
  <c r="K61" i="28"/>
  <c r="L61" i="28" s="1"/>
  <c r="K62" i="28"/>
  <c r="L62" i="28" s="1"/>
  <c r="K63" i="28"/>
  <c r="L63" i="28" s="1"/>
  <c r="K64" i="28"/>
  <c r="L64" i="28" s="1"/>
  <c r="K65" i="28"/>
  <c r="L65" i="28" s="1"/>
  <c r="K66" i="28"/>
  <c r="L66" i="28" s="1"/>
  <c r="K67" i="28"/>
  <c r="K68" i="28"/>
  <c r="L68" i="28" s="1"/>
  <c r="K69" i="28"/>
  <c r="L69" i="28" s="1"/>
  <c r="K70" i="28"/>
  <c r="K71" i="28"/>
  <c r="K72" i="28"/>
  <c r="L72" i="28" s="1"/>
  <c r="K73" i="28"/>
  <c r="K74" i="28"/>
  <c r="K75" i="28"/>
  <c r="K76" i="28"/>
  <c r="K77" i="28"/>
  <c r="K78" i="28"/>
  <c r="L78" i="28" s="1"/>
  <c r="K79" i="28"/>
  <c r="K80" i="28"/>
  <c r="L80" i="28" s="1"/>
  <c r="K81" i="28"/>
  <c r="K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8" i="27"/>
  <c r="L10" i="27"/>
  <c r="L12" i="27"/>
  <c r="L15" i="27"/>
  <c r="L19" i="27"/>
  <c r="L21" i="27"/>
  <c r="L22" i="27"/>
  <c r="L23" i="27"/>
  <c r="L25" i="27"/>
  <c r="L27" i="27"/>
  <c r="L29" i="27"/>
  <c r="L30" i="27"/>
  <c r="L32" i="27"/>
  <c r="L33" i="27"/>
  <c r="L34" i="27"/>
  <c r="L40" i="27"/>
  <c r="L43" i="27"/>
  <c r="L51" i="27"/>
  <c r="L54" i="27"/>
  <c r="L55" i="27"/>
  <c r="L57" i="27"/>
  <c r="L58" i="27"/>
  <c r="L59" i="27"/>
  <c r="L62" i="27"/>
  <c r="L64" i="27"/>
  <c r="L65" i="27"/>
  <c r="L66" i="27"/>
  <c r="L72" i="27"/>
  <c r="K3" i="27"/>
  <c r="L3" i="27" s="1"/>
  <c r="K4" i="27"/>
  <c r="L4" i="27" s="1"/>
  <c r="K5" i="27"/>
  <c r="L5" i="27" s="1"/>
  <c r="K6" i="27"/>
  <c r="L6" i="27" s="1"/>
  <c r="K7" i="27"/>
  <c r="L7" i="27" s="1"/>
  <c r="K8" i="27"/>
  <c r="K9" i="27"/>
  <c r="L9" i="27" s="1"/>
  <c r="K10" i="27"/>
  <c r="K11" i="27"/>
  <c r="L11" i="27" s="1"/>
  <c r="K12" i="27"/>
  <c r="K13" i="27"/>
  <c r="L13" i="27" s="1"/>
  <c r="K14" i="27"/>
  <c r="L14" i="27" s="1"/>
  <c r="K15" i="27"/>
  <c r="K16" i="27"/>
  <c r="L16" i="27" s="1"/>
  <c r="K17" i="27"/>
  <c r="L17" i="27" s="1"/>
  <c r="K18" i="27"/>
  <c r="L18" i="27" s="1"/>
  <c r="K19" i="27"/>
  <c r="K20" i="27"/>
  <c r="L20" i="27" s="1"/>
  <c r="K21" i="27"/>
  <c r="K22" i="27"/>
  <c r="K23" i="27"/>
  <c r="K24" i="27"/>
  <c r="L24" i="27" s="1"/>
  <c r="K25" i="27"/>
  <c r="K26" i="27"/>
  <c r="L26" i="27" s="1"/>
  <c r="K27" i="27"/>
  <c r="K28" i="27"/>
  <c r="L28" i="27" s="1"/>
  <c r="K29" i="27"/>
  <c r="K30" i="27"/>
  <c r="K31" i="27"/>
  <c r="L31" i="27" s="1"/>
  <c r="K32" i="27"/>
  <c r="K33" i="27"/>
  <c r="K34" i="27"/>
  <c r="K35" i="27"/>
  <c r="L35" i="27" s="1"/>
  <c r="K36" i="27"/>
  <c r="L36" i="27" s="1"/>
  <c r="K37" i="27"/>
  <c r="L37" i="27" s="1"/>
  <c r="K38" i="27"/>
  <c r="L38" i="27" s="1"/>
  <c r="K39" i="27"/>
  <c r="L39" i="27" s="1"/>
  <c r="K40" i="27"/>
  <c r="K41" i="27"/>
  <c r="L41" i="27" s="1"/>
  <c r="K42" i="27"/>
  <c r="L42" i="27" s="1"/>
  <c r="K43" i="27"/>
  <c r="K44" i="27"/>
  <c r="L44" i="27" s="1"/>
  <c r="K45" i="27"/>
  <c r="L45" i="27" s="1"/>
  <c r="K46" i="27"/>
  <c r="L46" i="27" s="1"/>
  <c r="K47" i="27"/>
  <c r="L47" i="27" s="1"/>
  <c r="K48" i="27"/>
  <c r="L48" i="27" s="1"/>
  <c r="K49" i="27"/>
  <c r="L49" i="27" s="1"/>
  <c r="K50" i="27"/>
  <c r="L50" i="27" s="1"/>
  <c r="K51" i="27"/>
  <c r="K52" i="27"/>
  <c r="L52" i="27" s="1"/>
  <c r="K53" i="27"/>
  <c r="L53" i="27" s="1"/>
  <c r="K54" i="27"/>
  <c r="K55" i="27"/>
  <c r="K56" i="27"/>
  <c r="L56" i="27" s="1"/>
  <c r="K57" i="27"/>
  <c r="K58" i="27"/>
  <c r="K59" i="27"/>
  <c r="K60" i="27"/>
  <c r="L60" i="27" s="1"/>
  <c r="K61" i="27"/>
  <c r="L61" i="27" s="1"/>
  <c r="K62" i="27"/>
  <c r="K63" i="27"/>
  <c r="L63" i="27" s="1"/>
  <c r="K64" i="27"/>
  <c r="K65" i="27"/>
  <c r="K66" i="27"/>
  <c r="K67" i="27"/>
  <c r="L67" i="27" s="1"/>
  <c r="K68" i="27"/>
  <c r="L68" i="27" s="1"/>
  <c r="K69" i="27"/>
  <c r="L69" i="27" s="1"/>
  <c r="K70" i="27"/>
  <c r="L70" i="27" s="1"/>
  <c r="K71" i="27"/>
  <c r="L71" i="27" s="1"/>
  <c r="K72" i="27"/>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5" i="26"/>
  <c r="L6" i="26"/>
  <c r="L7" i="26"/>
  <c r="L9" i="26"/>
  <c r="L10" i="26"/>
  <c r="L11" i="26"/>
  <c r="L13" i="26"/>
  <c r="L14" i="26"/>
  <c r="L16" i="26"/>
  <c r="L17" i="26"/>
  <c r="L18" i="26"/>
  <c r="L24" i="26"/>
  <c r="L27" i="26"/>
  <c r="L28" i="26"/>
  <c r="L31" i="26"/>
  <c r="L35" i="26"/>
  <c r="L37" i="26"/>
  <c r="L38" i="26"/>
  <c r="L39" i="26"/>
  <c r="L41" i="26"/>
  <c r="L42" i="26"/>
  <c r="L44" i="26"/>
  <c r="L46" i="26"/>
  <c r="L48" i="26"/>
  <c r="L49" i="26"/>
  <c r="L50" i="26"/>
  <c r="L59" i="26"/>
  <c r="L60" i="26"/>
  <c r="L63" i="26"/>
  <c r="L67" i="26"/>
  <c r="L70" i="26"/>
  <c r="L71" i="26"/>
  <c r="L73" i="26"/>
  <c r="L74" i="26"/>
  <c r="L77" i="26"/>
  <c r="L78" i="26"/>
  <c r="L80" i="26"/>
  <c r="L81" i="26"/>
  <c r="L82" i="26"/>
  <c r="K3" i="26"/>
  <c r="K4" i="26"/>
  <c r="L4" i="26" s="1"/>
  <c r="K5" i="26"/>
  <c r="K6" i="26"/>
  <c r="K7" i="26"/>
  <c r="K8" i="26"/>
  <c r="L8" i="26" s="1"/>
  <c r="K9" i="26"/>
  <c r="K10" i="26"/>
  <c r="K11" i="26"/>
  <c r="K12" i="26"/>
  <c r="L12" i="26" s="1"/>
  <c r="K13" i="26"/>
  <c r="K14" i="26"/>
  <c r="K15" i="26"/>
  <c r="L15" i="26" s="1"/>
  <c r="K16" i="26"/>
  <c r="K17" i="26"/>
  <c r="K18" i="26"/>
  <c r="K19" i="26"/>
  <c r="L19" i="26" s="1"/>
  <c r="K20" i="26"/>
  <c r="L20" i="26" s="1"/>
  <c r="K21" i="26"/>
  <c r="L21" i="26" s="1"/>
  <c r="K22" i="26"/>
  <c r="L22" i="26" s="1"/>
  <c r="K23" i="26"/>
  <c r="L23" i="26" s="1"/>
  <c r="K24" i="26"/>
  <c r="K25" i="26"/>
  <c r="L25" i="26" s="1"/>
  <c r="K26" i="26"/>
  <c r="L26" i="26" s="1"/>
  <c r="K27" i="26"/>
  <c r="K28" i="26"/>
  <c r="K29" i="26"/>
  <c r="L29" i="26" s="1"/>
  <c r="K30" i="26"/>
  <c r="L30" i="26" s="1"/>
  <c r="K31" i="26"/>
  <c r="K32" i="26"/>
  <c r="L32" i="26" s="1"/>
  <c r="K33" i="26"/>
  <c r="L33" i="26" s="1"/>
  <c r="K34" i="26"/>
  <c r="L34" i="26" s="1"/>
  <c r="K35" i="26"/>
  <c r="K36" i="26"/>
  <c r="L36" i="26" s="1"/>
  <c r="K37" i="26"/>
  <c r="K38" i="26"/>
  <c r="K39" i="26"/>
  <c r="K40" i="26"/>
  <c r="L40" i="26" s="1"/>
  <c r="K41" i="26"/>
  <c r="K42" i="26"/>
  <c r="K43" i="26"/>
  <c r="L43" i="26" s="1"/>
  <c r="K44" i="26"/>
  <c r="K45" i="26"/>
  <c r="L45" i="26" s="1"/>
  <c r="K46" i="26"/>
  <c r="K47" i="26"/>
  <c r="L47" i="26" s="1"/>
  <c r="K48" i="26"/>
  <c r="K49" i="26"/>
  <c r="K50" i="26"/>
  <c r="K51" i="26"/>
  <c r="L51" i="26" s="1"/>
  <c r="K52" i="26"/>
  <c r="L52" i="26" s="1"/>
  <c r="K53" i="26"/>
  <c r="L53" i="26" s="1"/>
  <c r="K54" i="26"/>
  <c r="L54" i="26" s="1"/>
  <c r="K55" i="26"/>
  <c r="L55" i="26" s="1"/>
  <c r="K56" i="26"/>
  <c r="L56" i="26" s="1"/>
  <c r="K57" i="26"/>
  <c r="L57" i="26" s="1"/>
  <c r="K58" i="26"/>
  <c r="L58" i="26" s="1"/>
  <c r="K59" i="26"/>
  <c r="K60" i="26"/>
  <c r="K61" i="26"/>
  <c r="L61" i="26" s="1"/>
  <c r="K62" i="26"/>
  <c r="L62" i="26" s="1"/>
  <c r="K63" i="26"/>
  <c r="K64" i="26"/>
  <c r="L64" i="26" s="1"/>
  <c r="K65" i="26"/>
  <c r="L65" i="26" s="1"/>
  <c r="K66" i="26"/>
  <c r="L66" i="26" s="1"/>
  <c r="K67" i="26"/>
  <c r="K68" i="26"/>
  <c r="L68" i="26" s="1"/>
  <c r="K69" i="26"/>
  <c r="L69" i="26" s="1"/>
  <c r="K70" i="26"/>
  <c r="K71" i="26"/>
  <c r="K72" i="26"/>
  <c r="L72" i="26" s="1"/>
  <c r="K73" i="26"/>
  <c r="K74" i="26"/>
  <c r="K75" i="26"/>
  <c r="L75" i="26" s="1"/>
  <c r="K76" i="26"/>
  <c r="L76" i="26" s="1"/>
  <c r="K77" i="26"/>
  <c r="K78" i="26"/>
  <c r="K79" i="26"/>
  <c r="L79" i="26" s="1"/>
  <c r="K80" i="26"/>
  <c r="K81" i="26"/>
  <c r="K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6" i="46"/>
  <c r="I476"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9" i="46"/>
  <c r="I319"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6" a="1"/>
  <c r="S36" i="33" a="1"/>
  <c r="S36" i="32" a="1"/>
  <c r="S36" i="31" a="1"/>
  <c r="S36" i="30" a="1"/>
  <c r="S36" i="28"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<sst xmlns="http://schemas.openxmlformats.org/spreadsheetml/2006/main" count="5415" uniqueCount="430">
  <si>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</si>
  <si>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</si>
  <si>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</si>
  <si>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</si>
  <si>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</si>
  <si>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</si>
  <si>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</si>
  <si>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</si>
  <si>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</si>
  <si>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</si>
  <si>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</si>
  <si>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</si>
  <si>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</si>
  <si>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</si>
  <si>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</si>
  <si>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</si>
  <si>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</si>
  <si>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</si>
  <si>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</si>
  <si>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</si>
  <si>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</si>
  <si>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</si>
  <si>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</si>
  <si>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</si>
  <si>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</si>
  <si>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</si>
  <si>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</si>
  <si>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</si>
  <si>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</si>
  <si>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</si>
  <si>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</si>
  <si>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</si>
  <si>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</si>
  <si>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</si>
  <si>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</si>
  <si>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</si>
  <si>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</si>
  <si>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</si>
  <si>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</si>
  <si>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</si>
  <si>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</si>
  <si>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</si>
  <si>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</si>
  <si>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</si>
  <si>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</si>
  <si>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</si>
  <si>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</si>
  <si>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</si>
  <si>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</si>
  <si>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</si>
  <si>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</si>
  <si>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</si>
  <si>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</si>
  <si>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</si>
  <si>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</si>
  <si>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</si>
  <si>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</si>
  <si>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</si>
  <si>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</si>
  <si>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</si>
  <si>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</si>
  <si>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</si>
  <si>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</si>
  <si>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</si>
  <si>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</si>
  <si>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</si>
  <si>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</si>
  <si>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</si>
  <si>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</si>
  <si>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</si>
  <si>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</si>
  <si>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</si>
  <si>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</si>
  <si>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</si>
  <si>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</si>
  <si>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</si>
  <si>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</si>
  <si>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</si>
  <si>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</si>
  <si>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</si>
  <si>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</si>
  <si>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</si>
  <si>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</si>
  <si>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</si>
  <si>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</si>
  <si>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</si>
  <si>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</si>
  <si>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</si>
  <si>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</si>
  <si>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</si>
  <si>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</si>
  <si>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</si>
  <si>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</si>
  <si>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</si>
  <si>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</si>
  <si>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</si>
  <si>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</si>
  <si>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</si>
  <si>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</si>
  <si>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</si>
  <si>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</si>
  <si>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</si>
  <si>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</si>
  <si>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</si>
  <si>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</si>
  <si>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</si>
  <si>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</si>
  <si>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</si>
  <si>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</si>
  <si>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</si>
  <si>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</si>
  <si>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</si>
  <si>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</si>
  <si>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</si>
  <si>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</si>
  <si>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</si>
  <si>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</si>
  <si>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</si>
  <si>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</si>
  <si>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</si>
  <si>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</si>
  <si>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</si>
  <si>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</si>
  <si>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</si>
  <si>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</si>
  <si>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</si>
  <si>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</si>
  <si>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</si>
  <si>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</si>
  <si>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</si>
  <si>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</si>
  <si>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</si>
  <si>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</si>
  <si>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</si>
  <si>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</si>
  <si>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</si>
  <si>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</si>
  <si>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</si>
  <si>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</si>
  <si>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</si>
  <si>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</si>
  <si>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</si>
  <si>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</si>
  <si>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</si>
  <si>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</si>
  <si>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</si>
  <si>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</si>
  <si>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</si>
  <si>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</si>
  <si>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</si>
  <si>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</si>
  <si>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</si>
  <si>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</si>
  <si>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</si>
  <si>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</si>
  <si>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</si>
  <si>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</si>
  <si>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</si>
  <si>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</si>
  <si>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</si>
  <si>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</si>
  <si>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</si>
  <si>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</si>
  <si>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</si>
  <si>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</si>
  <si>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</si>
  <si>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</si>
  <si>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</si>
  <si>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</si>
  <si>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</si>
  <si>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</si>
  <si>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</si>
  <si>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</si>
  <si>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</si>
  <si>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</si>
  <si>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</si>
  <si>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</si>
  <si>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</si>
  <si>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</si>
  <si>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</si>
  <si>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</si>
  <si>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</si>
  <si>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</si>
  <si>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</si>
  <si>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</si>
  <si>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</si>
  <si>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</si>
  <si>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</si>
  <si>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</si>
  <si>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</si>
  <si>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</si>
  <si>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</si>
  <si>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</si>
  <si>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</si>
  <si>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</si>
  <si>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</si>
  <si>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</si>
  <si>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</si>
  <si>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</si>
  <si>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</si>
  <si>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</si>
  <si>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</si>
  <si>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</si>
  <si>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</si>
  <si>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</si>
  <si>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</si>
  <si>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</si>
  <si>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</si>
  <si>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</si>
  <si>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</si>
  <si>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</si>
  <si>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</si>
  <si>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</si>
  <si>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</si>
  <si>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</si>
  <si>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</si>
  <si>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</si>
  <si>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</si>
  <si>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</si>
  <si>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</si>
  <si>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</si>
  <si>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</si>
  <si>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</si>
  <si>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</si>
  <si>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</si>
  <si>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</si>
  <si>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</si>
  <si>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</si>
  <si>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</si>
  <si>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</si>
  <si>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</si>
  <si>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</si>
  <si>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</si>
  <si>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</si>
  <si>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</si>
  <si>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</si>
  <si>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</si>
  <si>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</si>
  <si>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</si>
  <si>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</si>
  <si>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</si>
  <si>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</si>
  <si>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</si>
  <si>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</si>
  <si>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</si>
  <si>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</si>
  <si>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</si>
  <si>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</si>
  <si>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</si>
  <si>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</si>
  <si>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</si>
  <si>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</si>
  <si>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</si>
  <si>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</si>
  <si>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</si>
  <si>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</si>
  <si>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</si>
  <si>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</si>
  <si>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</si>
  <si>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</si>
  <si>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</si>
  <si>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</si>
  <si>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</si>
  <si>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</si>
  <si>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</si>
  <si>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</si>
  <si>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</si>
  <si>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</si>
  <si>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</si>
  <si>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</si>
  <si>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</si>
  <si>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</si>
  <si>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</si>
  <si>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</si>
  <si>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</si>
  <si>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</si>
  <si>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</si>
  <si>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</si>
  <si>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</si>
  <si>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</si>
  <si>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</si>
  <si>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</si>
  <si>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</si>
  <si>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</si>
  <si>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</si>
  <si>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</si>
  <si>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</si>
  <si>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</si>
  <si>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</si>
  <si>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</si>
  <si>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</si>
  <si>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</si>
  <si>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</si>
  <si>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</si>
  <si>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</si>
  <si>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</si>
  <si>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</si>
  <si>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</si>
  <si>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</si>
  <si>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</si>
  <si>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</si>
  <si>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</si>
  <si>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</si>
  <si>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</si>
  <si>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</si>
  <si>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</si>
  <si>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</si>
  <si>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</si>
  <si>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</si>
  <si>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</si>
  <si>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</si>
  <si>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</si>
  <si>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</si>
  <si>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</si>
  <si>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</si>
  <si>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</si>
  <si>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</si>
  <si>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</si>
  <si>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</si>
  <si>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</si>
  <si>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</si>
  <si>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</si>
  <si>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</si>
  <si>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</si>
  <si>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</si>
  <si>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</si>
  <si>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</si>
  <si>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</si>
  <si>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</si>
  <si>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</si>
  <si>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</si>
  <si>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</si>
  <si>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</si>
  <si>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</si>
  <si>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</si>
  <si>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</si>
  <si>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</si>
  <si>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</si>
  <si>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</si>
  <si>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</si>
  <si>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</si>
  <si>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</si>
  <si>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</si>
  <si>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</si>
  <si>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</si>
  <si>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</si>
  <si>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</si>
  <si>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</si>
  <si>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</si>
  <si>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</si>
  <si>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</si>
  <si>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</si>
  <si>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</si>
  <si>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</si>
  <si>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</si>
  <si>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</si>
  <si>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</si>
  <si>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</si>
  <si>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</si>
  <si>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</si>
  <si>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</si>
  <si>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</si>
  <si>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</si>
  <si>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</si>
  <si>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</si>
  <si>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</si>
  <si>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</si>
  <si>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</si>
  <si>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</si>
  <si>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</si>
  <si>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</si>
  <si>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</si>
  <si>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</si>
  <si>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</si>
  <si>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</si>
  <si>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</si>
  <si>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</si>
  <si>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</si>
  <si>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</si>
  <si>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</si>
  <si>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</si>
  <si>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</si>
  <si>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</si>
  <si>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</si>
  <si>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</si>
  <si>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</si>
  <si>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</si>
  <si>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</si>
  <si>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</si>
  <si>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</si>
  <si>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</si>
  <si>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</si>
  <si>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</si>
  <si>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</si>
  <si>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</si>
  <si>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</si>
  <si>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</si>
  <si>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</si>
  <si>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</si>
  <si>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</si>
  <si>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</si>
  <si>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</si>
  <si>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</si>
  <si>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</si>
  <si>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</si>
  <si>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</si>
  <si>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</si>
  <si>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</si>
  <si>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</si>
  <si>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</si>
  <si>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</si>
  <si>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</si>
  <si>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</si>
  <si>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</si>
  <si>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</si>
  <si>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Gueltig ab</t>
  </si>
  <si>
    <t>Gueltig bis</t>
  </si>
  <si>
    <t>Beschaeftigungsdauer</t>
  </si>
  <si>
    <t>Pruefung</t>
  </si>
  <si>
    <t>KV 2025/2026   |   gueltig von 01.05.2025 bis 30.04.2026</t>
  </si>
  <si>
    <t>KV 2026/2027   |   gueltig von 01.05.2026 bis 30.04.2027</t>
  </si>
  <si>
    <t>KV 2027/2028</t>
  </si>
  <si>
    <t>KV 2027/2028   |   gueltig von 01.05.2027 bis 30.04.2028</t>
  </si>
  <si>
    <t>Agika</t>
  </si>
  <si>
    <t>700000|AGIKA</t>
  </si>
  <si>
    <t>E</t>
  </si>
  <si>
    <t>F</t>
  </si>
  <si>
    <t>Pityuka</t>
  </si>
  <si>
    <t>800000|PITYUKA</t>
  </si>
  <si>
    <t>Februar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</si>
</sst>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dd\.mm\.yyyy\ hh:mm:ss"/>
  </numFmts>
  <fonts count="63">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9C6500"/>
      <name val="Calibri"/>
      <family val="2"/>
      <scheme val="minor"/>
    </font>
    <font>
      <sz val="11"/>
      <color rgb="FF006100"/>
      <name val="Calibri"/>
      <family val="2"/>
      <scheme val="minor"/>
    </font>
    <font>
      <b/>
      <sz val="13"/>
      <color rgb="FF1F4E79"/>
      <name val="Calibri"/>
      <family val="2"/>
      <scheme val="minor"/>
    </font>
    <font>
      <sz val="10"/>
      <color theme="1"/>
      <name val="Calibri"/>
      <family val="2"/>
      <scheme val="minor"/>
    </font>
    <font>
      <b/>
      <sz val="20"/>
      <color rgb="FFC0504D"/>
      <name val="Aptos Narrow"/>
      <family val="2"/>
    </font>
  </fonts>
  <fills count="29">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thin">
        <color rgb="FFB4B4B4"/>
      </top>
      <bottom style="thin">
        <color rgb="FF969696"/>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medium">
        <color rgb="FF5A5A5A"/>
      </left>
      <right style="thin">
        <color rgb="FF969696"/>
      </right>
      <top style="thin">
        <color rgb="FFB4B4B4"/>
      </top>
      <bottom style="thin">
        <color rgb="FF969696"/>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thin">
        <color rgb="FF969696"/>
      </left>
      <right style="medium">
        <color rgb="FF5A5A5A"/>
      </right>
      <top style="thin">
        <color rgb="FFB4B4B4"/>
      </top>
      <bottom style="thin">
        <color rgb="FF969696"/>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medium">
        <color rgb="FF5A5A5A"/>
      </left>
      <right style="thin">
        <color rgb="FF969696"/>
      </right>
      <top/>
      <bottom/>
      <diagonal/>
    </border>
    <border>
      <left style="thin">
        <color rgb="FF969696"/>
      </left>
      <right style="thin">
        <color rgb="FF969696"/>
      </right>
      <top/>
      <bottom/>
      <diagonal/>
    </border>
    <border>
      <left style="thin">
        <color rgb="FF969696"/>
      </left>
      <right style="medium">
        <color rgb="FF5A5A5A"/>
      </right>
      <top/>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6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8" fillId="22" borderId="76" xfId="0" applyFont="1" applyFill="1" applyBorder="1" applyAlignment="1">
      <alignment vertical="center"/>
    </xf>
    <xf numFmtId="0" fontId="59" fillId="23" borderId="76" xfId="0" applyFont="1" applyFill="1" applyBorder="1" applyAlignment="1">
      <alignment vertical="center"/>
    </xf>
    <xf numFmtId="0" fontId="0" fillId="0" borderId="76" xfId="0" applyBorder="1" applyAlignment="1">
      <alignment vertical="top" wrapText="1"/>
    </xf>
    <xf numFmtId="172" fontId="0" fillId="0" borderId="76" xfId="0" applyNumberFormat="1" applyBorder="1" applyAlignment="1">
      <alignment horizontal="center"/>
    </xf>
    <xf numFmtId="0" fontId="60" fillId="24" borderId="75" xfId="0" applyFont="1" applyFill="1" applyBorder="1" applyAlignment="1">
      <alignment horizontal="center" vertical="center"/>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2" fontId="61" fillId="25" borderId="78" xfId="0" applyNumberFormat="1" applyFont="1" applyFill="1" applyBorder="1" applyAlignment="1" applyProtection="1">
      <alignment horizontal="center" vertical="center"/>
      <protection locked="0"/>
    </xf>
    <xf numFmtId="166" fontId="61" fillId="25" borderId="78" xfId="0" applyNumberFormat="1" applyFont="1" applyFill="1" applyBorder="1" applyAlignment="1" applyProtection="1">
      <alignment horizontal="center" vertical="center"/>
      <protection locked="0"/>
    </xf>
    <xf numFmtId="2" fontId="61" fillId="25" borderId="79" xfId="0" applyNumberFormat="1" applyFont="1" applyFill="1" applyBorder="1" applyAlignment="1" applyProtection="1">
      <alignment horizontal="center" vertical="center"/>
      <protection locked="0"/>
    </xf>
    <xf numFmtId="166" fontId="61" fillId="25" borderId="79" xfId="0" applyNumberFormat="1" applyFont="1" applyFill="1" applyBorder="1" applyAlignment="1" applyProtection="1">
      <alignment horizontal="center" vertical="center"/>
      <protection locked="0"/>
    </xf>
    <xf numFmtId="2" fontId="61" fillId="25" borderId="92" xfId="0" applyNumberFormat="1" applyFont="1" applyFill="1" applyBorder="1" applyAlignment="1" applyProtection="1">
      <alignment horizontal="center" vertical="center"/>
      <protection locked="0"/>
    </xf>
    <xf numFmtId="166" fontId="61" fillId="25" borderId="92" xfId="0" applyNumberFormat="1" applyFont="1" applyFill="1" applyBorder="1" applyAlignment="1" applyProtection="1">
      <alignment horizontal="center" vertical="center"/>
      <protection locked="0"/>
    </xf>
    <xf numFmtId="2" fontId="61" fillId="26" borderId="92" xfId="0" applyNumberFormat="1" applyFont="1" applyFill="1" applyBorder="1" applyAlignment="1" applyProtection="1">
      <alignment horizontal="center" vertical="center"/>
      <protection locked="0"/>
    </xf>
    <xf numFmtId="166" fontId="61" fillId="26" borderId="92" xfId="0" applyNumberFormat="1" applyFont="1" applyFill="1" applyBorder="1" applyAlignment="1" applyProtection="1">
      <alignment horizontal="center" vertical="center"/>
      <protection locked="0"/>
    </xf>
    <xf numFmtId="2" fontId="61" fillId="26" borderId="79" xfId="0" applyNumberFormat="1" applyFont="1" applyFill="1" applyBorder="1" applyAlignment="1" applyProtection="1">
      <alignment horizontal="center" vertical="center"/>
      <protection locked="0"/>
    </xf>
    <xf numFmtId="166" fontId="61" fillId="26" borderId="79" xfId="0" applyNumberFormat="1" applyFont="1" applyFill="1" applyBorder="1" applyAlignment="1" applyProtection="1">
      <alignment horizontal="center" vertical="center"/>
      <protection locked="0"/>
    </xf>
    <xf numFmtId="2" fontId="61" fillId="27" borderId="92" xfId="0" applyNumberFormat="1" applyFont="1" applyFill="1" applyBorder="1" applyAlignment="1" applyProtection="1">
      <alignment horizontal="center" vertical="center"/>
      <protection locked="0"/>
    </xf>
    <xf numFmtId="166" fontId="61" fillId="27" borderId="92" xfId="0" applyNumberFormat="1" applyFont="1" applyFill="1" applyBorder="1" applyAlignment="1" applyProtection="1">
      <alignment horizontal="center" vertical="center"/>
      <protection locked="0"/>
    </xf>
    <xf numFmtId="2" fontId="61" fillId="27" borderId="79" xfId="0" applyNumberFormat="1" applyFont="1" applyFill="1" applyBorder="1" applyAlignment="1" applyProtection="1">
      <alignment horizontal="center" vertical="center"/>
      <protection locked="0"/>
    </xf>
    <xf numFmtId="166" fontId="61" fillId="27" borderId="79" xfId="0" applyNumberFormat="1" applyFont="1" applyFill="1" applyBorder="1" applyAlignment="1" applyProtection="1">
      <alignment horizontal="center" vertical="center"/>
      <protection locked="0"/>
    </xf>
    <xf numFmtId="2" fontId="61" fillId="27" borderId="77" xfId="0" applyNumberFormat="1" applyFont="1" applyFill="1" applyBorder="1" applyAlignment="1" applyProtection="1">
      <alignment horizontal="center" vertical="center"/>
      <protection locked="0"/>
    </xf>
    <xf numFmtId="166" fontId="61" fillId="27" borderId="77" xfId="0" applyNumberFormat="1" applyFont="1" applyFill="1" applyBorder="1" applyAlignment="1" applyProtection="1">
      <alignment horizontal="center" vertical="center"/>
      <protection locked="0"/>
    </xf>
    <xf numFmtId="2" fontId="61" fillId="27" borderId="87" xfId="0" applyNumberFormat="1" applyFont="1" applyFill="1" applyBorder="1" applyAlignment="1" applyProtection="1">
      <alignment horizontal="center" vertical="center"/>
      <protection locked="0"/>
    </xf>
    <xf numFmtId="166" fontId="61" fillId="27" borderId="87" xfId="0" applyNumberFormat="1" applyFont="1" applyFill="1" applyBorder="1" applyAlignment="1" applyProtection="1">
      <alignment horizontal="center" vertical="center"/>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2" fontId="5" fillId="6" borderId="1" xfId="0" applyNumberFormat="1" applyFont="1" applyFill="1" applyBorder="1" applyAlignment="1">
      <alignment horizontal="center"/>
    </xf>
    <xf numFmtId="0" fontId="5" fillId="6" borderId="14" xfId="0" applyFont="1" applyFill="1" applyBorder="1" applyAlignment="1">
      <alignment horizontal="left"/>
    </xf>
    <xf numFmtId="0" fontId="5" fillId="6" borderId="1" xfId="0" applyFont="1" applyFill="1" applyBorder="1" applyAlignment="1">
      <alignment horizontal="left"/>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7" fillId="0" borderId="0" xfId="0" applyFont="1" applyAlignment="1">
      <alignment horizontal="center" vertical="center"/>
    </xf>
    <xf numFmtId="0" fontId="55" fillId="0" borderId="0" xfId="0" applyFont="1" applyAlignment="1">
      <alignment horizontal="center" vertical="center"/>
    </xf>
    <xf numFmtId="0" fontId="55" fillId="0" borderId="32" xfId="0" applyFont="1" applyBorder="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0" fontId="30" fillId="0" borderId="36" xfId="0" applyFont="1" applyBorder="1" applyAlignment="1">
      <alignment horizontal="center"/>
    </xf>
    <xf numFmtId="0" fontId="5" fillId="4" borderId="36" xfId="0" applyFont="1" applyFill="1" applyBorder="1" applyAlignment="1">
      <alignment horizontal="left"/>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5" fillId="6" borderId="36"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30" fillId="0" borderId="35" xfId="0" applyFont="1" applyBorder="1" applyAlignment="1">
      <alignment horizontal="center"/>
    </xf>
    <xf numFmtId="0" fontId="12" fillId="12" borderId="35" xfId="0" applyFont="1" applyFill="1" applyBorder="1" applyAlignment="1">
      <alignment horizontal="center"/>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171" fontId="3" fillId="28" borderId="95" xfId="0" applyNumberFormat="1" applyFont="1" applyFill="1" applyBorder="1" applyAlignment="1" applyProtection="1">
      <alignment horizontal="center" vertical="center"/>
    </xf>
    <xf numFmtId="0" fontId="3" fillId="28" borderId="95" xfId="0" applyFont="1" applyFill="1" applyBorder="1" applyAlignment="1" applyProtection="1">
      <alignment horizontal="center" vertical="center"/>
    </xf>
    <xf numFmtId="2" fontId="3" fillId="28" borderId="95" xfId="0" applyNumberFormat="1" applyFont="1" applyFill="1" applyBorder="1" applyAlignment="1" applyProtection="1">
      <alignment horizontal="center" vertical="center"/>
    </xf>
    <xf numFmtId="166" fontId="3" fillId="28" borderId="95" xfId="0" applyNumberFormat="1" applyFont="1" applyFill="1" applyBorder="1" applyAlignment="1" applyProtection="1">
      <alignment horizontal="center" vertical="center"/>
    </xf>
    <xf numFmtId="171" fontId="3" fillId="28" borderId="90" xfId="0" applyNumberFormat="1" applyFont="1" applyFill="1" applyBorder="1" applyAlignment="1" applyProtection="1">
      <alignment horizontal="center" vertical="center"/>
    </xf>
    <xf numFmtId="0" fontId="3" fillId="28" borderId="90" xfId="0" applyFont="1" applyFill="1" applyBorder="1" applyAlignment="1" applyProtection="1">
      <alignment horizontal="center" vertical="center"/>
    </xf>
    <xf numFmtId="2" fontId="3" fillId="28" borderId="90" xfId="0" applyNumberFormat="1" applyFont="1" applyFill="1" applyBorder="1" applyAlignment="1" applyProtection="1">
      <alignment horizontal="center" vertical="center"/>
    </xf>
    <xf numFmtId="166" fontId="3" fillId="28" borderId="90" xfId="0" applyNumberFormat="1" applyFont="1" applyFill="1" applyBorder="1" applyAlignment="1" applyProtection="1">
      <alignment horizontal="center" vertical="center"/>
    </xf>
    <xf numFmtId="171" fontId="61" fillId="25" borderId="78" xfId="0" applyNumberFormat="1" applyFont="1" applyFill="1" applyBorder="1" applyAlignment="1" applyProtection="1">
      <alignment horizontal="center" vertical="center"/>
    </xf>
    <xf numFmtId="0" fontId="61" fillId="25" borderId="78" xfId="0" applyFont="1" applyFill="1" applyBorder="1" applyAlignment="1" applyProtection="1">
      <alignment horizontal="center" vertical="center"/>
    </xf>
    <xf numFmtId="171" fontId="61" fillId="25" borderId="79" xfId="0" applyNumberFormat="1" applyFont="1" applyFill="1" applyBorder="1" applyAlignment="1" applyProtection="1">
      <alignment horizontal="center" vertical="center"/>
    </xf>
    <xf numFmtId="0" fontId="61" fillId="25" borderId="79" xfId="0" applyFont="1" applyFill="1" applyBorder="1" applyAlignment="1" applyProtection="1">
      <alignment horizontal="center" vertical="center"/>
    </xf>
    <xf numFmtId="171" fontId="61" fillId="25" borderId="92" xfId="0" applyNumberFormat="1" applyFont="1" applyFill="1" applyBorder="1" applyAlignment="1" applyProtection="1">
      <alignment horizontal="center" vertical="center"/>
    </xf>
    <xf numFmtId="0" fontId="61" fillId="25" borderId="92" xfId="0" applyFont="1" applyFill="1" applyBorder="1" applyAlignment="1" applyProtection="1">
      <alignment horizontal="center" vertical="center"/>
    </xf>
    <xf numFmtId="171" fontId="61" fillId="26" borderId="92" xfId="0" applyNumberFormat="1" applyFont="1" applyFill="1" applyBorder="1" applyAlignment="1" applyProtection="1">
      <alignment horizontal="center" vertical="center"/>
    </xf>
    <xf numFmtId="0" fontId="61" fillId="26" borderId="92" xfId="0" applyFont="1" applyFill="1" applyBorder="1" applyAlignment="1" applyProtection="1">
      <alignment horizontal="center" vertical="center"/>
    </xf>
    <xf numFmtId="171" fontId="61" fillId="26" borderId="79" xfId="0" applyNumberFormat="1" applyFont="1" applyFill="1" applyBorder="1" applyAlignment="1" applyProtection="1">
      <alignment horizontal="center" vertical="center"/>
    </xf>
    <xf numFmtId="0" fontId="61" fillId="26" borderId="79" xfId="0" applyFont="1" applyFill="1" applyBorder="1" applyAlignment="1" applyProtection="1">
      <alignment horizontal="center" vertical="center"/>
    </xf>
    <xf numFmtId="171" fontId="61" fillId="27" borderId="77" xfId="0" applyNumberFormat="1" applyFont="1" applyFill="1" applyBorder="1" applyAlignment="1" applyProtection="1">
      <alignment horizontal="center" vertical="center"/>
    </xf>
    <xf numFmtId="0" fontId="61" fillId="27" borderId="77" xfId="0" applyFont="1" applyFill="1" applyBorder="1" applyAlignment="1" applyProtection="1">
      <alignment horizontal="center" vertical="center"/>
    </xf>
    <xf numFmtId="171" fontId="61" fillId="27" borderId="92" xfId="0" applyNumberFormat="1" applyFont="1" applyFill="1" applyBorder="1" applyAlignment="1" applyProtection="1">
      <alignment horizontal="center" vertical="center"/>
    </xf>
    <xf numFmtId="0" fontId="61" fillId="27" borderId="92" xfId="0" applyFont="1" applyFill="1" applyBorder="1" applyAlignment="1" applyProtection="1">
      <alignment horizontal="center" vertical="center"/>
    </xf>
    <xf numFmtId="171" fontId="61" fillId="27" borderId="79" xfId="0" applyNumberFormat="1" applyFont="1" applyFill="1" applyBorder="1" applyAlignment="1" applyProtection="1">
      <alignment horizontal="center" vertical="center"/>
    </xf>
    <xf numFmtId="0" fontId="61" fillId="27" borderId="79" xfId="0" applyFont="1" applyFill="1" applyBorder="1" applyAlignment="1" applyProtection="1">
      <alignment horizontal="center" vertical="center"/>
    </xf>
    <xf numFmtId="49" fontId="3" fillId="28" borderId="96" xfId="0" applyNumberFormat="1" applyFont="1" applyFill="1" applyBorder="1" applyAlignment="1" applyProtection="1">
      <alignment horizontal="center" vertical="center"/>
    </xf>
    <xf numFmtId="49" fontId="3" fillId="28" borderId="89" xfId="0" applyNumberFormat="1" applyFont="1" applyFill="1" applyBorder="1" applyAlignment="1" applyProtection="1">
      <alignment horizontal="center" vertical="center"/>
    </xf>
    <xf numFmtId="49" fontId="61" fillId="25" borderId="80" xfId="0" applyNumberFormat="1" applyFont="1" applyFill="1" applyBorder="1" applyAlignment="1" applyProtection="1">
      <alignment horizontal="center" vertical="center"/>
    </xf>
    <xf numFmtId="49" fontId="61" fillId="25" borderId="81" xfId="0" applyNumberFormat="1" applyFont="1" applyFill="1" applyBorder="1" applyAlignment="1" applyProtection="1">
      <alignment horizontal="center" vertical="center"/>
    </xf>
    <xf numFmtId="49" fontId="61" fillId="25" borderId="93" xfId="0" applyNumberFormat="1" applyFont="1" applyFill="1" applyBorder="1" applyAlignment="1" applyProtection="1">
      <alignment horizontal="center" vertical="center"/>
    </xf>
    <xf numFmtId="49" fontId="61" fillId="26" borderId="93" xfId="0" applyNumberFormat="1" applyFont="1" applyFill="1" applyBorder="1" applyAlignment="1" applyProtection="1">
      <alignment horizontal="center" vertical="center"/>
    </xf>
    <xf numFmtId="49" fontId="61" fillId="26" borderId="81" xfId="0" applyNumberFormat="1" applyFont="1" applyFill="1" applyBorder="1" applyAlignment="1" applyProtection="1">
      <alignment horizontal="center" vertical="center"/>
    </xf>
    <xf numFmtId="49" fontId="61" fillId="27" borderId="93" xfId="0" applyNumberFormat="1" applyFont="1" applyFill="1" applyBorder="1" applyAlignment="1" applyProtection="1">
      <alignment horizontal="center" vertical="center"/>
    </xf>
    <xf numFmtId="49" fontId="61" fillId="27" borderId="81" xfId="0" applyNumberFormat="1" applyFont="1" applyFill="1" applyBorder="1" applyAlignment="1" applyProtection="1">
      <alignment horizontal="center" vertical="center"/>
    </xf>
    <xf numFmtId="49" fontId="61" fillId="27" borderId="82" xfId="0" applyNumberFormat="1" applyFont="1" applyFill="1" applyBorder="1" applyAlignment="1" applyProtection="1">
      <alignment horizontal="center" vertical="center"/>
    </xf>
    <xf numFmtId="0" fontId="3" fillId="28" borderId="97" xfId="0" applyFont="1" applyFill="1" applyBorder="1" applyAlignment="1" applyProtection="1">
      <alignment horizontal="center" vertical="center"/>
    </xf>
    <xf numFmtId="0" fontId="3" fillId="28" borderId="91" xfId="0" applyFont="1" applyFill="1" applyBorder="1" applyAlignment="1" applyProtection="1">
      <alignment horizontal="center" vertical="center"/>
    </xf>
    <xf numFmtId="0" fontId="61" fillId="25" borderId="83" xfId="0" applyFont="1" applyFill="1" applyBorder="1" applyAlignment="1" applyProtection="1">
      <alignment horizontal="center" vertical="center"/>
    </xf>
    <xf numFmtId="0" fontId="61" fillId="25" borderId="84" xfId="0" applyFont="1" applyFill="1" applyBorder="1" applyAlignment="1" applyProtection="1">
      <alignment horizontal="center" vertical="center"/>
    </xf>
    <xf numFmtId="0" fontId="61" fillId="25" borderId="94" xfId="0" applyFont="1" applyFill="1" applyBorder="1" applyAlignment="1" applyProtection="1">
      <alignment horizontal="center" vertical="center"/>
    </xf>
    <xf numFmtId="0" fontId="61" fillId="26" borderId="94" xfId="0" applyFont="1" applyFill="1" applyBorder="1" applyAlignment="1" applyProtection="1">
      <alignment horizontal="center" vertical="center"/>
    </xf>
    <xf numFmtId="0" fontId="61" fillId="26" borderId="84" xfId="0" applyFont="1" applyFill="1" applyBorder="1" applyAlignment="1" applyProtection="1">
      <alignment horizontal="center" vertical="center"/>
    </xf>
    <xf numFmtId="0" fontId="61" fillId="27" borderId="94" xfId="0" applyFont="1" applyFill="1" applyBorder="1" applyAlignment="1" applyProtection="1">
      <alignment horizontal="center" vertical="center"/>
    </xf>
    <xf numFmtId="0" fontId="61" fillId="27" borderId="84" xfId="0" applyFont="1" applyFill="1" applyBorder="1" applyAlignment="1" applyProtection="1">
      <alignment horizontal="center" vertical="center"/>
    </xf>
    <xf numFmtId="0" fontId="61" fillId="27" borderId="85" xfId="0" applyFont="1" applyFill="1" applyBorder="1" applyAlignment="1" applyProtection="1">
      <alignment horizontal="center" vertical="center"/>
    </xf>
    <xf numFmtId="49" fontId="61" fillId="27" borderId="86" xfId="0" applyNumberFormat="1" applyFont="1" applyFill="1" applyBorder="1" applyAlignment="1" applyProtection="1">
      <alignment horizontal="center" vertical="center"/>
    </xf>
    <xf numFmtId="171" fontId="61" fillId="27" borderId="87" xfId="0" applyNumberFormat="1" applyFont="1" applyFill="1" applyBorder="1" applyAlignment="1" applyProtection="1">
      <alignment horizontal="center" vertical="center"/>
    </xf>
    <xf numFmtId="0" fontId="61" fillId="27" borderId="87" xfId="0" applyFont="1" applyFill="1" applyBorder="1" applyAlignment="1" applyProtection="1">
      <alignment horizontal="center" vertical="center"/>
    </xf>
    <xf numFmtId="0" fontId="61" fillId="27" borderId="88" xfId="0" applyFont="1" applyFill="1" applyBorder="1" applyAlignment="1" applyProtection="1">
      <alignment horizontal="center" vertic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000" b="1" i="0" u="none" strike="noStrike" baseline="0">
                  <a:solidFill>
                    <a:srgbClr val="C0504D"/>
                  </a:solidFill>
                  <a:latin typeface="Aptos Narrow"/>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819150</xdr:colOff>
      <xdr:row>0</xdr:row>
      <xdr:rowOff>304800</xdr:rowOff>
    </xdr:to>
    <xdr:sp macro="AddNewKVPeriodOnTop" textlink="">
      <xdr:nvSpPr>
        <xdr:cNvPr id="3" name="btn_AddNewKVPeriodOnTop">
          <a:extLst>
            <a:ext uri="{FF2B5EF4-FFF2-40B4-BE49-F238E27FC236}">
              <a16:creationId xmlns:a16="http://schemas.microsoft.com/office/drawing/2014/main" id="{BAC49F70-E210-799D-7D11-1C7835ECC67C}"/>
            </a:ext>
          </a:extLst>
        </xdr:cNvPr>
        <xdr:cNvSpPr/>
      </xdr:nvSpPr>
      <xdr:spPr>
        <a:xfrm>
          <a:off x="102489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D8" sqref="D8"/>
    </sheetView>
  </sheetViews>
  <sheetFormatPr baseColWidth="10" defaultColWidth="10.81640625" defaultRowHeight="15.5"/>
  <cols>
    <col min="1" max="1" width="10.81640625" style="11" customWidth="1"/>
    <col min="2" max="2" width="18.453125" style="12" customWidth="1"/>
    <col min="3" max="3" width="19.453125" style="7" customWidth="1"/>
    <col min="4" max="4" width="22.1796875" style="10" customWidth="1"/>
    <col min="5" max="5" width="2.1796875" style="8" customWidth="1"/>
    <col min="6" max="6" width="22" style="8" customWidth="1"/>
    <col min="7" max="7" width="10.81640625" style="8"/>
    <col min="8" max="8" width="14.6328125" style="191" customWidth="1"/>
    <col min="9" max="9" width="39.6328125" style="8" customWidth="1"/>
    <col min="10" max="14" width="10.81640625" style="9"/>
    <col min="15" max="15" width="35.453125" style="9" customWidth="1"/>
    <col min="16" max="16" width="10.81640625" style="9" customWidth="1"/>
    <col min="17" max="16384" width="10.81640625" style="9"/>
  </cols>
  <sheetData>
    <row r="1" spans="1:18" ht="21">
      <c r="A1" s="305" t="s">
        <v>0</v>
      </c>
      <c r="B1" s="307" t="s">
        <v>1</v>
      </c>
      <c r="C1" s="309" t="s">
        <v>2</v>
      </c>
      <c r="D1" s="309"/>
      <c r="I1" s="18" t="s">
        <v>3</v>
      </c>
      <c r="J1" s="312"/>
      <c r="K1" s="312"/>
      <c r="L1" s="312"/>
      <c r="M1" s="312"/>
      <c r="O1" s="177" t="s">
        <v>208</v>
      </c>
      <c r="P1" s="177" t="s">
        <v>212</v>
      </c>
    </row>
    <row r="2" spans="1:18" ht="21.5" thickBot="1">
      <c r="A2" s="306"/>
      <c r="B2" s="308"/>
      <c r="C2" s="54" t="str">
        <f>G3-1&amp;"/"&amp;G3</f>
        <v>2025/2026</v>
      </c>
      <c r="D2" s="54" t="str">
        <f>G3 &amp; "/" &amp; G3+1</f>
        <v>2026/2027</v>
      </c>
      <c r="I2" s="14"/>
      <c r="J2" s="313" t="s">
        <v>204</v>
      </c>
      <c r="K2" s="313"/>
      <c r="L2" s="313"/>
      <c r="M2" s="313"/>
      <c r="O2" s="175" t="s">
        <v>213</v>
      </c>
      <c r="P2" s="175">
        <v>0</v>
      </c>
    </row>
    <row r="3" spans="1:18" ht="16.5"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6" thickBot="1">
      <c r="A15" s="23" t="s">
        <v>4</v>
      </c>
      <c r="B15" s="24">
        <v>32.01</v>
      </c>
      <c r="C15" s="107">
        <v>373.89</v>
      </c>
      <c r="D15" s="108">
        <v>373.89</v>
      </c>
      <c r="E15" s="40"/>
      <c r="I15" s="17"/>
      <c r="Q15" s="13" t="s">
        <v>22</v>
      </c>
      <c r="R15" s="13">
        <v>47.58</v>
      </c>
    </row>
    <row r="16" spans="1:18" ht="16"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c r="A18" s="21" t="s">
        <v>8</v>
      </c>
      <c r="B18" s="22">
        <v>138.4</v>
      </c>
      <c r="C18" s="103">
        <v>1665.6</v>
      </c>
      <c r="D18" s="104">
        <v>1665.6</v>
      </c>
      <c r="I18" s="310"/>
      <c r="J18" s="311"/>
      <c r="K18" s="311"/>
      <c r="L18" s="311"/>
      <c r="M18" s="311"/>
      <c r="N18" s="124"/>
      <c r="O18" s="176" t="s">
        <v>225</v>
      </c>
      <c r="P18" s="175">
        <v>0.5</v>
      </c>
      <c r="Q18" s="13"/>
      <c r="R18" s="13"/>
    </row>
    <row r="19" spans="1:18">
      <c r="A19" s="21" t="s">
        <v>8</v>
      </c>
      <c r="B19" s="22">
        <v>129.75</v>
      </c>
      <c r="C19" s="103">
        <v>1561.5</v>
      </c>
      <c r="D19" s="104">
        <v>1561.5</v>
      </c>
      <c r="I19" s="310"/>
      <c r="J19" s="311"/>
      <c r="K19" s="311"/>
      <c r="L19" s="311"/>
      <c r="M19" s="311"/>
      <c r="N19" s="124"/>
      <c r="O19" s="176" t="s">
        <v>226</v>
      </c>
      <c r="P19" s="175">
        <v>0.75</v>
      </c>
      <c r="Q19" s="13"/>
      <c r="R19" s="13"/>
    </row>
    <row r="20" spans="1:18">
      <c r="A20" s="21" t="s">
        <v>8</v>
      </c>
      <c r="B20" s="22">
        <v>108.13</v>
      </c>
      <c r="C20" s="103">
        <v>1301.25</v>
      </c>
      <c r="D20" s="104">
        <v>1301.25</v>
      </c>
      <c r="I20" s="310"/>
      <c r="J20" s="311"/>
      <c r="K20" s="311"/>
      <c r="L20" s="311"/>
      <c r="M20" s="311"/>
      <c r="N20" s="124"/>
      <c r="O20" s="176" t="s">
        <v>227</v>
      </c>
      <c r="P20" s="175">
        <v>1</v>
      </c>
    </row>
    <row r="21" spans="1:18">
      <c r="A21" s="21" t="s">
        <v>8</v>
      </c>
      <c r="B21" s="22">
        <v>103.8</v>
      </c>
      <c r="C21" s="103">
        <v>1249.2</v>
      </c>
      <c r="D21" s="104">
        <v>1249.2</v>
      </c>
      <c r="I21" s="310"/>
      <c r="J21" s="311"/>
      <c r="K21" s="311"/>
      <c r="L21" s="311"/>
      <c r="M21" s="311"/>
      <c r="N21" s="124"/>
      <c r="O21" s="176" t="s">
        <v>228</v>
      </c>
      <c r="P21" s="175">
        <v>1.25</v>
      </c>
    </row>
    <row r="22" spans="1:18">
      <c r="A22" s="21" t="s">
        <v>8</v>
      </c>
      <c r="B22" s="22">
        <v>86.5</v>
      </c>
      <c r="C22" s="103">
        <v>1041.2</v>
      </c>
      <c r="D22" s="104">
        <v>1041.2</v>
      </c>
      <c r="I22" s="310"/>
      <c r="J22" s="311"/>
      <c r="K22" s="311"/>
      <c r="L22" s="311"/>
      <c r="M22" s="311"/>
      <c r="N22" s="124"/>
      <c r="O22" s="176" t="s">
        <v>229</v>
      </c>
      <c r="P22" s="175">
        <v>1.5</v>
      </c>
    </row>
    <row r="23" spans="1:18">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6" thickBot="1">
      <c r="A28" s="23" t="s">
        <v>8</v>
      </c>
      <c r="B28" s="24">
        <v>32.01</v>
      </c>
      <c r="C28" s="107">
        <v>385.17</v>
      </c>
      <c r="D28" s="108">
        <v>385.17</v>
      </c>
    </row>
    <row r="29" spans="1:18" ht="16"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6" thickBot="1">
      <c r="A41" s="23" t="s">
        <v>10</v>
      </c>
      <c r="B41" s="24">
        <v>32.01</v>
      </c>
      <c r="C41" s="107">
        <v>392.76</v>
      </c>
      <c r="D41" s="108">
        <v>392.76</v>
      </c>
    </row>
    <row r="42" spans="1:9" ht="16"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6" thickBot="1">
      <c r="A54" s="23" t="s">
        <v>12</v>
      </c>
      <c r="B54" s="24">
        <v>32.01</v>
      </c>
      <c r="C54" s="107">
        <v>403.86</v>
      </c>
      <c r="D54" s="108">
        <v>403.86</v>
      </c>
    </row>
    <row r="55" spans="1:4" ht="16"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6" thickBot="1">
      <c r="A67" s="30" t="s">
        <v>13</v>
      </c>
      <c r="B67" s="31">
        <v>32.01</v>
      </c>
      <c r="C67" s="107">
        <v>399.6</v>
      </c>
      <c r="D67" s="114">
        <v>399.6</v>
      </c>
    </row>
    <row r="68" spans="1:4" ht="16"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6" thickBot="1">
      <c r="A80" s="30" t="s">
        <v>15</v>
      </c>
      <c r="B80" s="31">
        <v>32.01</v>
      </c>
      <c r="C80" s="107">
        <v>399.6</v>
      </c>
      <c r="D80" s="114">
        <v>399.6</v>
      </c>
    </row>
    <row r="81" spans="1:4" ht="16"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6" thickBot="1">
      <c r="A93" s="30" t="s">
        <v>17</v>
      </c>
      <c r="B93" s="31">
        <v>32.01</v>
      </c>
      <c r="C93" s="107">
        <v>400.16</v>
      </c>
      <c r="D93" s="114">
        <v>400.16</v>
      </c>
    </row>
    <row r="94" spans="1:4" ht="16"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6" thickBot="1">
      <c r="A106" s="30" t="s">
        <v>19</v>
      </c>
      <c r="B106" s="31">
        <v>32.01</v>
      </c>
      <c r="C106" s="107">
        <v>411.63</v>
      </c>
      <c r="D106" s="114">
        <v>411.63</v>
      </c>
    </row>
    <row r="107" spans="1:4" ht="16"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6" thickBot="1">
      <c r="A119" s="36" t="s">
        <v>21</v>
      </c>
      <c r="B119" s="37">
        <v>32.01</v>
      </c>
      <c r="C119" s="107">
        <v>425.5</v>
      </c>
      <c r="D119" s="118">
        <v>425.5</v>
      </c>
    </row>
    <row r="120" spans="1:4" ht="16"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6" thickBot="1">
      <c r="A132" s="95" t="s">
        <v>22</v>
      </c>
      <c r="B132" s="37">
        <v>32.01</v>
      </c>
      <c r="C132" s="107">
        <v>425.5</v>
      </c>
      <c r="D132" s="118">
        <v>425.5</v>
      </c>
    </row>
    <row r="133" spans="1:4" ht="16"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6" thickBot="1">
      <c r="A145" s="95" t="s">
        <v>23</v>
      </c>
      <c r="B145" s="37">
        <v>32.01</v>
      </c>
      <c r="C145" s="107">
        <v>425.5</v>
      </c>
      <c r="D145" s="118">
        <v>425.5</v>
      </c>
    </row>
    <row r="146" spans="1:4" ht="16"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6" thickBot="1">
      <c r="A158" s="38" t="s">
        <v>24</v>
      </c>
      <c r="B158" s="39">
        <v>32.01</v>
      </c>
      <c r="C158" s="119">
        <v>430.68</v>
      </c>
      <c r="D158" s="120">
        <v>430.68</v>
      </c>
    </row>
  </sheetData>
  <sheetProtection algorithmName="SHA-512" hashValue="KTUg5qMlJ7ICLu1UOQe1Z6MP0JaESmLOi1bxXzn00cwj1XqI/npa98lH0QewZBoGMlaAW/Xbe11dBBe2/ZIfKQ==" saltValue="8Rc2auhmlXRKfQNtKDdyFA=="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510"/>
  <sheetViews>
    <sheetView showGridLines="0" zoomScale="120" zoomScaleNormal="120" workbookViewId="0">
      <pane ySplit="3" topLeftCell="A181" activePane="bottomLeft" state="frozen"/>
      <selection pane="bottomLeft" activeCell="H187" sqref="H187"/>
    </sheetView>
  </sheetViews>
  <sheetFormatPr baseColWidth="10" defaultRowHeight="18" customHeight="1"/>
  <cols>
    <col min="1" max="1" width="16.6328125" style="183" customWidth="1"/>
    <col min="2" max="3" width="13.6328125" style="183" customWidth="1"/>
    <col min="4" max="4" width="14.6328125" style="183" customWidth="1"/>
    <col min="5" max="5" width="12.6328125" style="183" customWidth="1"/>
    <col min="6" max="6" width="24.6328125" style="183" customWidth="1"/>
    <col min="7" max="7" width="13.6328125" style="183" customWidth="1"/>
    <col min="8" max="8" width="14.6328125" style="190" customWidth="1"/>
    <col min="9" max="9" width="22.6328125" style="183" customWidth="1"/>
    <col min="10" max="10" width="24.6328125" style="183" customWidth="1"/>
    <col min="11" max="11" width="3.6328125" customWidth="1"/>
    <col min="12" max="14" width="18.81640625" customWidth="1"/>
    <col min="27" max="29" width="0" hidden="1" customWidth="1"/>
  </cols>
  <sheetData>
    <row r="1" spans="1:10" ht="28" customHeight="1">
      <c r="A1" s="314" t="s">
        <v>320</v>
      </c>
      <c r="B1" s="315"/>
      <c r="C1" s="315"/>
      <c r="D1" s="315"/>
      <c r="E1" s="315"/>
      <c r="F1" s="315"/>
      <c r="G1" s="315"/>
      <c r="H1" s="315"/>
      <c r="I1" s="315"/>
      <c r="J1" s="315"/>
    </row>
    <row r="2" spans="1:10" ht="36" customHeight="1">
      <c r="A2" s="316" t="s">
        <v>414</v>
      </c>
      <c r="B2" s="316"/>
      <c r="C2" s="316"/>
      <c r="D2" s="316"/>
      <c r="E2" s="316"/>
      <c r="F2" s="316"/>
      <c r="G2" s="316"/>
      <c r="H2" s="316"/>
      <c r="I2" s="316"/>
      <c r="J2" s="316"/>
    </row>
    <row r="3" spans="1:10" ht="24" customHeight="1">
      <c r="A3" s="205" t="s">
        <v>325</v>
      </c>
      <c r="B3" s="205" t="s">
        <v>415</v>
      </c>
      <c r="C3" s="205" t="s">
        <v>416</v>
      </c>
      <c r="D3" s="205" t="s">
        <v>330</v>
      </c>
      <c r="E3" s="205" t="s">
        <v>326</v>
      </c>
      <c r="F3" s="205" t="s">
        <v>417</v>
      </c>
      <c r="G3" s="205" t="s">
        <v>327</v>
      </c>
      <c r="H3" s="206" t="s">
        <v>2</v>
      </c>
      <c r="I3" s="205" t="s">
        <v>328</v>
      </c>
      <c r="J3" s="205" t="s">
        <v>418</v>
      </c>
    </row>
    <row r="4" spans="1:10" ht="24" customHeight="1" thickBot="1">
      <c r="A4" s="411" t="s">
        <v>422</v>
      </c>
      <c r="B4" s="387"/>
      <c r="C4" s="387"/>
      <c r="D4" s="388"/>
      <c r="E4" s="388"/>
      <c r="F4" s="388"/>
      <c r="G4" s="389"/>
      <c r="H4" s="390"/>
      <c r="I4" s="388"/>
      <c r="J4" s="421"/>
    </row>
    <row r="5" spans="1:10" ht="24" customHeight="1">
      <c r="A5" s="413" t="s">
        <v>421</v>
      </c>
      <c r="B5" s="395">
        <v>46508</v>
      </c>
      <c r="C5" s="395">
        <v>46873</v>
      </c>
      <c r="D5" s="396" t="s">
        <v>331</v>
      </c>
      <c r="E5" s="396" t="s">
        <v>4</v>
      </c>
      <c r="F5" s="396" t="s">
        <v>321</v>
      </c>
      <c r="G5" s="207">
        <v>173</v>
      </c>
      <c r="H5" s="208"/>
      <c r="I5" s="396" t="str">
        <f>IF($A5="","",IF(OR($B5="",$C5="",$D5="",$E5="",$F5=""),"Stammdaten fehlen",IF(AND($G5="",$H5=""),"Werte fehlen",IF($G5="","Monatsstunden fehlen",IF($H5="","Monatslohn fehlt","OK")))))</f>
        <v>Monatslohn fehlt</v>
      </c>
      <c r="J5" s="423" t="str">
        <f>IF($G5="","",IF(COUNTIFS($A:$A,$A5,$D:$D,$D5,$G:$G,$G5)&gt;1,"Doppelte Monatsstunden",""))</f>
        <v/>
      </c>
    </row>
    <row r="6" spans="1:10" ht="24" customHeight="1">
      <c r="A6" s="414" t="s">
        <v>421</v>
      </c>
      <c r="B6" s="397">
        <v>46508</v>
      </c>
      <c r="C6" s="397">
        <v>46873</v>
      </c>
      <c r="D6" s="398" t="s">
        <v>331</v>
      </c>
      <c r="E6" s="398" t="s">
        <v>4</v>
      </c>
      <c r="F6" s="398" t="s">
        <v>321</v>
      </c>
      <c r="G6" s="209">
        <v>151.38</v>
      </c>
      <c r="H6" s="210"/>
      <c r="I6" s="398" t="str">
        <f>IF($A6="","",IF(OR($B6="",$C6="",$D6="",$E6="",$F6=""),"Stammdaten fehlen",IF(AND($G6="",$H6=""),"Werte fehlen",IF($G6="","Monatsstunden fehlen",IF($H6="","Monatslohn fehlt","OK")))))</f>
        <v>Monatslohn fehlt</v>
      </c>
      <c r="J6" s="424" t="str">
        <f>IF($G6="","",IF(COUNTIFS($A:$A,$A6,$D:$D,$D6,$G:$G,$G6)&gt;1,"Doppelte Monatsstunden",""))</f>
        <v/>
      </c>
    </row>
    <row r="7" spans="1:10" ht="24" customHeight="1">
      <c r="A7" s="414" t="s">
        <v>421</v>
      </c>
      <c r="B7" s="397">
        <v>46508</v>
      </c>
      <c r="C7" s="397">
        <v>46873</v>
      </c>
      <c r="D7" s="398" t="s">
        <v>331</v>
      </c>
      <c r="E7" s="398" t="s">
        <v>4</v>
      </c>
      <c r="F7" s="398" t="s">
        <v>321</v>
      </c>
      <c r="G7" s="209">
        <v>138.4</v>
      </c>
      <c r="H7" s="210"/>
      <c r="I7" s="398" t="str">
        <f>IF($A7="","",IF(OR($B7="",$C7="",$D7="",$E7="",$F7=""),"Stammdaten fehlen",IF(AND($G7="",$H7=""),"Werte fehlen",IF($G7="","Monatsstunden fehlen",IF($H7="","Monatslohn fehlt","OK")))))</f>
        <v>Monatslohn fehlt</v>
      </c>
      <c r="J7" s="424" t="str">
        <f>IF($G7="","",IF(COUNTIFS($A:$A,$A7,$D:$D,$D7,$G:$G,$G7)&gt;1,"Doppelte Monatsstunden",""))</f>
        <v/>
      </c>
    </row>
    <row r="8" spans="1:10" ht="24" customHeight="1">
      <c r="A8" s="414" t="s">
        <v>421</v>
      </c>
      <c r="B8" s="397">
        <v>46508</v>
      </c>
      <c r="C8" s="397">
        <v>46873</v>
      </c>
      <c r="D8" s="398" t="s">
        <v>331</v>
      </c>
      <c r="E8" s="398" t="s">
        <v>4</v>
      </c>
      <c r="F8" s="398" t="s">
        <v>321</v>
      </c>
      <c r="G8" s="209">
        <v>129.75</v>
      </c>
      <c r="H8" s="210"/>
      <c r="I8" s="398" t="str">
        <f>IF($A8="","",IF(OR($B8="",$C8="",$D8="",$E8="",$F8=""),"Stammdaten fehlen",IF(AND($G8="",$H8=""),"Werte fehlen",IF($G8="","Monatsstunden fehlen",IF($H8="","Monatslohn fehlt","OK")))))</f>
        <v>Monatslohn fehlt</v>
      </c>
      <c r="J8" s="424" t="str">
        <f>IF($G8="","",IF(COUNTIFS($A:$A,$A8,$D:$D,$D8,$G:$G,$G8)&gt;1,"Doppelte Monatsstunden",""))</f>
        <v/>
      </c>
    </row>
    <row r="9" spans="1:10" ht="24" customHeight="1">
      <c r="A9" s="414" t="s">
        <v>421</v>
      </c>
      <c r="B9" s="397">
        <v>46508</v>
      </c>
      <c r="C9" s="397">
        <v>46873</v>
      </c>
      <c r="D9" s="398" t="s">
        <v>331</v>
      </c>
      <c r="E9" s="398" t="s">
        <v>4</v>
      </c>
      <c r="F9" s="398" t="s">
        <v>321</v>
      </c>
      <c r="G9" s="209">
        <v>108.13</v>
      </c>
      <c r="H9" s="210"/>
      <c r="I9" s="398" t="str">
        <f>IF($A9="","",IF(OR($B9="",$C9="",$D9="",$E9="",$F9=""),"Stammdaten fehlen",IF(AND($G9="",$H9=""),"Werte fehlen",IF($G9="","Monatsstunden fehlen",IF($H9="","Monatslohn fehlt","OK")))))</f>
        <v>Monatslohn fehlt</v>
      </c>
      <c r="J9" s="424" t="str">
        <f>IF($G9="","",IF(COUNTIFS($A:$A,$A9,$D:$D,$D9,$G:$G,$G9)&gt;1,"Doppelte Monatsstunden",""))</f>
        <v/>
      </c>
    </row>
    <row r="10" spans="1:10" ht="24" customHeight="1">
      <c r="A10" s="414" t="s">
        <v>421</v>
      </c>
      <c r="B10" s="397">
        <v>46508</v>
      </c>
      <c r="C10" s="397">
        <v>46873</v>
      </c>
      <c r="D10" s="398" t="s">
        <v>331</v>
      </c>
      <c r="E10" s="398" t="s">
        <v>4</v>
      </c>
      <c r="F10" s="398" t="s">
        <v>321</v>
      </c>
      <c r="G10" s="209">
        <v>103.8</v>
      </c>
      <c r="H10" s="210"/>
      <c r="I10" s="398" t="str">
        <f>IF($A10="","",IF(OR($B10="",$C10="",$D10="",$E10="",$F10=""),"Stammdaten fehlen",IF(AND($G10="",$H10=""),"Werte fehlen",IF($G10="","Monatsstunden fehlen",IF($H10="","Monatslohn fehlt","OK")))))</f>
        <v>Monatslohn fehlt</v>
      </c>
      <c r="J10" s="424" t="str">
        <f>IF($G10="","",IF(COUNTIFS($A:$A,$A10,$D:$D,$D10,$G:$G,$G10)&gt;1,"Doppelte Monatsstunden",""))</f>
        <v/>
      </c>
    </row>
    <row r="11" spans="1:10" ht="24" customHeight="1">
      <c r="A11" s="414" t="s">
        <v>421</v>
      </c>
      <c r="B11" s="397">
        <v>46508</v>
      </c>
      <c r="C11" s="397">
        <v>46873</v>
      </c>
      <c r="D11" s="398" t="s">
        <v>331</v>
      </c>
      <c r="E11" s="398" t="s">
        <v>4</v>
      </c>
      <c r="F11" s="398" t="s">
        <v>321</v>
      </c>
      <c r="G11" s="209">
        <v>86.5</v>
      </c>
      <c r="H11" s="210"/>
      <c r="I11" s="398" t="str">
        <f>IF($A11="","",IF(OR($B11="",$C11="",$D11="",$E11="",$F11=""),"Stammdaten fehlen",IF(AND($G11="",$H11=""),"Werte fehlen",IF($G11="","Monatsstunden fehlen",IF($H11="","Monatslohn fehlt","OK")))))</f>
        <v>Monatslohn fehlt</v>
      </c>
      <c r="J11" s="424" t="str">
        <f>IF($G11="","",IF(COUNTIFS($A:$A,$A11,$D:$D,$D11,$G:$G,$G11)&gt;1,"Doppelte Monatsstunden",""))</f>
        <v/>
      </c>
    </row>
    <row r="12" spans="1:10" ht="24" customHeight="1">
      <c r="A12" s="414" t="s">
        <v>421</v>
      </c>
      <c r="B12" s="397">
        <v>46508</v>
      </c>
      <c r="C12" s="397">
        <v>46873</v>
      </c>
      <c r="D12" s="398" t="s">
        <v>331</v>
      </c>
      <c r="E12" s="398" t="s">
        <v>4</v>
      </c>
      <c r="F12" s="398" t="s">
        <v>321</v>
      </c>
      <c r="G12" s="209">
        <v>69.2</v>
      </c>
      <c r="H12" s="210"/>
      <c r="I12" s="398" t="str">
        <f>IF($A12="","",IF(OR($B12="",$C12="",$D12="",$E12="",$F12=""),"Stammdaten fehlen",IF(AND($G12="",$H12=""),"Werte fehlen",IF($G12="","Monatsstunden fehlen",IF($H12="","Monatslohn fehlt","OK")))))</f>
        <v>Monatslohn fehlt</v>
      </c>
      <c r="J12" s="424" t="str">
        <f>IF($G12="","",IF(COUNTIFS($A:$A,$A12,$D:$D,$D12,$G:$G,$G12)&gt;1,"Doppelte Monatsstunden",""))</f>
        <v/>
      </c>
    </row>
    <row r="13" spans="1:10" ht="24" customHeight="1">
      <c r="A13" s="414" t="s">
        <v>421</v>
      </c>
      <c r="B13" s="397">
        <v>46508</v>
      </c>
      <c r="C13" s="397">
        <v>46873</v>
      </c>
      <c r="D13" s="398" t="s">
        <v>331</v>
      </c>
      <c r="E13" s="398" t="s">
        <v>4</v>
      </c>
      <c r="F13" s="398" t="s">
        <v>321</v>
      </c>
      <c r="G13" s="209">
        <v>51.9</v>
      </c>
      <c r="H13" s="210"/>
      <c r="I13" s="398" t="str">
        <f>IF($A13="","",IF(OR($B13="",$C13="",$D13="",$E13="",$F13=""),"Stammdaten fehlen",IF(AND($G13="",$H13=""),"Werte fehlen",IF($G13="","Monatsstunden fehlen",IF($H13="","Monatslohn fehlt","OK")))))</f>
        <v>Monatslohn fehlt</v>
      </c>
      <c r="J13" s="424" t="str">
        <f>IF($G13="","",IF(COUNTIFS($A:$A,$A13,$D:$D,$D13,$G:$G,$G13)&gt;1,"Doppelte Monatsstunden",""))</f>
        <v/>
      </c>
    </row>
    <row r="14" spans="1:10" ht="24" customHeight="1">
      <c r="A14" s="414" t="s">
        <v>421</v>
      </c>
      <c r="B14" s="397">
        <v>46508</v>
      </c>
      <c r="C14" s="397">
        <v>46873</v>
      </c>
      <c r="D14" s="398" t="s">
        <v>331</v>
      </c>
      <c r="E14" s="398" t="s">
        <v>4</v>
      </c>
      <c r="F14" s="398" t="s">
        <v>321</v>
      </c>
      <c r="G14" s="209">
        <v>47.58</v>
      </c>
      <c r="H14" s="210"/>
      <c r="I14" s="398" t="str">
        <f>IF($A14="","",IF(OR($B14="",$C14="",$D14="",$E14="",$F14=""),"Stammdaten fehlen",IF(AND($G14="",$H14=""),"Werte fehlen",IF($G14="","Monatsstunden fehlen",IF($H14="","Monatslohn fehlt","OK")))))</f>
        <v>Monatslohn fehlt</v>
      </c>
      <c r="J14" s="424" t="str">
        <f>IF($G14="","",IF(COUNTIFS($A:$A,$A14,$D:$D,$D14,$G:$G,$G14)&gt;1,"Doppelte Monatsstunden",""))</f>
        <v/>
      </c>
    </row>
    <row r="15" spans="1:10" ht="24" customHeight="1">
      <c r="A15" s="414" t="s">
        <v>421</v>
      </c>
      <c r="B15" s="397">
        <v>46508</v>
      </c>
      <c r="C15" s="397">
        <v>46873</v>
      </c>
      <c r="D15" s="398" t="s">
        <v>331</v>
      </c>
      <c r="E15" s="398" t="s">
        <v>4</v>
      </c>
      <c r="F15" s="398" t="s">
        <v>321</v>
      </c>
      <c r="G15" s="209">
        <v>43.25</v>
      </c>
      <c r="H15" s="210"/>
      <c r="I15" s="398" t="str">
        <f>IF($A15="","",IF(OR($B15="",$C15="",$D15="",$E15="",$F15=""),"Stammdaten fehlen",IF(AND($G15="",$H15=""),"Werte fehlen",IF($G15="","Monatsstunden fehlen",IF($H15="","Monatslohn fehlt","OK")))))</f>
        <v>Monatslohn fehlt</v>
      </c>
      <c r="J15" s="424" t="str">
        <f>IF($G15="","",IF(COUNTIFS($A:$A,$A15,$D:$D,$D15,$G:$G,$G15)&gt;1,"Doppelte Monatsstunden",""))</f>
        <v/>
      </c>
    </row>
    <row r="16" spans="1:10" ht="24" customHeight="1">
      <c r="A16" s="414" t="s">
        <v>421</v>
      </c>
      <c r="B16" s="397">
        <v>46508</v>
      </c>
      <c r="C16" s="397">
        <v>46873</v>
      </c>
      <c r="D16" s="398" t="s">
        <v>331</v>
      </c>
      <c r="E16" s="398" t="s">
        <v>4</v>
      </c>
      <c r="F16" s="398" t="s">
        <v>321</v>
      </c>
      <c r="G16" s="209">
        <v>34.6</v>
      </c>
      <c r="H16" s="210"/>
      <c r="I16" s="398" t="str">
        <f>IF($A16="","",IF(OR($B16="",$C16="",$D16="",$E16="",$F16=""),"Stammdaten fehlen",IF(AND($G16="",$H16=""),"Werte fehlen",IF($G16="","Monatsstunden fehlen",IF($H16="","Monatslohn fehlt","OK")))))</f>
        <v>Monatslohn fehlt</v>
      </c>
      <c r="J16" s="424" t="str">
        <f>IF($G16="","",IF(COUNTIFS($A:$A,$A16,$D:$D,$D16,$G:$G,$G16)&gt;1,"Doppelte Monatsstunden",""))</f>
        <v/>
      </c>
    </row>
    <row r="17" spans="1:10" ht="24" customHeight="1">
      <c r="A17" s="414" t="s">
        <v>421</v>
      </c>
      <c r="B17" s="397">
        <v>46508</v>
      </c>
      <c r="C17" s="397">
        <v>46873</v>
      </c>
      <c r="D17" s="398" t="s">
        <v>331</v>
      </c>
      <c r="E17" s="398" t="s">
        <v>4</v>
      </c>
      <c r="F17" s="398" t="s">
        <v>321</v>
      </c>
      <c r="G17" s="209">
        <v>32.01</v>
      </c>
      <c r="H17" s="210"/>
      <c r="I17" s="398" t="str">
        <f>IF($A17="","",IF(OR($B17="",$C17="",$D17="",$E17="",$F17=""),"Stammdaten fehlen",IF(AND($G17="",$H17=""),"Werte fehlen",IF($G17="","Monatsstunden fehlen",IF($H17="","Monatslohn fehlt","OK")))))</f>
        <v>Monatslohn fehlt</v>
      </c>
      <c r="J17" s="424" t="str">
        <f>IF($G17="","",IF(COUNTIFS($A:$A,$A17,$D:$D,$D17,$G:$G,$G17)&gt;1,"Doppelte Monatsstunden",""))</f>
        <v/>
      </c>
    </row>
    <row r="18" spans="1:10" ht="24" customHeight="1">
      <c r="A18" s="414" t="s">
        <v>421</v>
      </c>
      <c r="B18" s="397">
        <v>46508</v>
      </c>
      <c r="C18" s="397">
        <v>46873</v>
      </c>
      <c r="D18" s="398" t="s">
        <v>331</v>
      </c>
      <c r="E18" s="398" t="s">
        <v>4</v>
      </c>
      <c r="F18" s="398" t="s">
        <v>321</v>
      </c>
      <c r="G18" s="209">
        <v>20</v>
      </c>
      <c r="H18" s="210"/>
      <c r="I18" s="398" t="str">
        <f>IF($A18="","",IF(OR($B18="",$C18="",$D18="",$E18="",$F18=""),"Stammdaten fehlen",IF(AND($G18="",$H18=""),"Werte fehlen",IF($G18="","Monatsstunden fehlen",IF($H18="","Monatslohn fehlt","OK")))))</f>
        <v>Monatslohn fehlt</v>
      </c>
      <c r="J18" s="424" t="str">
        <f>IF($G18="","",IF(COUNTIFS($A:$A,$A18,$D:$D,$D18,$G:$G,$G18)&gt;1,"Doppelte Monatsstunden",""))</f>
        <v/>
      </c>
    </row>
    <row r="19" spans="1:10" ht="24" customHeight="1" thickBot="1">
      <c r="A19" s="414" t="s">
        <v>421</v>
      </c>
      <c r="B19" s="397">
        <v>46508</v>
      </c>
      <c r="C19" s="397">
        <v>46873</v>
      </c>
      <c r="D19" s="398" t="s">
        <v>331</v>
      </c>
      <c r="E19" s="398" t="s">
        <v>4</v>
      </c>
      <c r="F19" s="398" t="s">
        <v>321</v>
      </c>
      <c r="G19" s="209"/>
      <c r="H19" s="210"/>
      <c r="I19" s="398" t="str">
        <f>IF($A19="","",IF(OR($B19="",$C19="",$D19="",$E19="",$F19=""),"Stammdaten fehlen",IF(AND($G19="",$H19=""),"Werte fehlen",IF($G19="","Monatsstunden fehlen",IF($H19="","Monatslohn fehlt","OK")))))</f>
        <v>Werte fehlen</v>
      </c>
      <c r="J19" s="424" t="str">
        <f>IF($G19="","",IF(COUNTIFS($A:$A,$A19,$D:$D,$D19,$G:$G,$G19)&gt;1,"Doppelte Monatsstunden",""))</f>
        <v/>
      </c>
    </row>
    <row r="20" spans="1:10" ht="24" customHeight="1">
      <c r="A20" s="415" t="s">
        <v>421</v>
      </c>
      <c r="B20" s="399">
        <v>46508</v>
      </c>
      <c r="C20" s="399">
        <v>46873</v>
      </c>
      <c r="D20" s="400" t="s">
        <v>8</v>
      </c>
      <c r="E20" s="400" t="s">
        <v>4</v>
      </c>
      <c r="F20" s="400" t="s">
        <v>322</v>
      </c>
      <c r="G20" s="211">
        <v>173</v>
      </c>
      <c r="H20" s="212"/>
      <c r="I20" s="400" t="str">
        <f>IF($A20="","",IF(OR($B20="",$C20="",$D20="",$E20="",$F20=""),"Stammdaten fehlen",IF(AND($G20="",$H20=""),"Werte fehlen",IF($G20="","Monatsstunden fehlen",IF($H20="","Monatslohn fehlt","OK")))))</f>
        <v>Monatslohn fehlt</v>
      </c>
      <c r="J20" s="425" t="str">
        <f>IF($G20="","",IF(COUNTIFS($A:$A,$A20,$D:$D,$D20,$G:$G,$G20)&gt;1,"Doppelte Monatsstunden",""))</f>
        <v/>
      </c>
    </row>
    <row r="21" spans="1:10" ht="24" customHeight="1">
      <c r="A21" s="414" t="s">
        <v>421</v>
      </c>
      <c r="B21" s="397">
        <v>46508</v>
      </c>
      <c r="C21" s="397">
        <v>46873</v>
      </c>
      <c r="D21" s="398" t="s">
        <v>8</v>
      </c>
      <c r="E21" s="398" t="s">
        <v>4</v>
      </c>
      <c r="F21" s="398" t="s">
        <v>322</v>
      </c>
      <c r="G21" s="209">
        <v>151.38</v>
      </c>
      <c r="H21" s="210"/>
      <c r="I21" s="398" t="str">
        <f>IF($A21="","",IF(OR($B21="",$C21="",$D21="",$E21="",$F21=""),"Stammdaten fehlen",IF(AND($G21="",$H21=""),"Werte fehlen",IF($G21="","Monatsstunden fehlen",IF($H21="","Monatslohn fehlt","OK")))))</f>
        <v>Monatslohn fehlt</v>
      </c>
      <c r="J21" s="424" t="str">
        <f>IF($G21="","",IF(COUNTIFS($A:$A,$A21,$D:$D,$D21,$G:$G,$G21)&gt;1,"Doppelte Monatsstunden",""))</f>
        <v/>
      </c>
    </row>
    <row r="22" spans="1:10" ht="24" customHeight="1">
      <c r="A22" s="414" t="s">
        <v>421</v>
      </c>
      <c r="B22" s="397">
        <v>46508</v>
      </c>
      <c r="C22" s="397">
        <v>46873</v>
      </c>
      <c r="D22" s="398" t="s">
        <v>8</v>
      </c>
      <c r="E22" s="398" t="s">
        <v>4</v>
      </c>
      <c r="F22" s="398" t="s">
        <v>322</v>
      </c>
      <c r="G22" s="209">
        <v>138.4</v>
      </c>
      <c r="H22" s="210"/>
      <c r="I22" s="398" t="str">
        <f>IF($A22="","",IF(OR($B22="",$C22="",$D22="",$E22="",$F22=""),"Stammdaten fehlen",IF(AND($G22="",$H22=""),"Werte fehlen",IF($G22="","Monatsstunden fehlen",IF($H22="","Monatslohn fehlt","OK")))))</f>
        <v>Monatslohn fehlt</v>
      </c>
      <c r="J22" s="424" t="str">
        <f>IF($G22="","",IF(COUNTIFS($A:$A,$A22,$D:$D,$D22,$G:$G,$G22)&gt;1,"Doppelte Monatsstunden",""))</f>
        <v/>
      </c>
    </row>
    <row r="23" spans="1:10" ht="24" customHeight="1">
      <c r="A23" s="414" t="s">
        <v>421</v>
      </c>
      <c r="B23" s="397">
        <v>46508</v>
      </c>
      <c r="C23" s="397">
        <v>46873</v>
      </c>
      <c r="D23" s="398" t="s">
        <v>8</v>
      </c>
      <c r="E23" s="398" t="s">
        <v>4</v>
      </c>
      <c r="F23" s="398" t="s">
        <v>322</v>
      </c>
      <c r="G23" s="209">
        <v>129.75</v>
      </c>
      <c r="H23" s="210"/>
      <c r="I23" s="398" t="str">
        <f>IF($A23="","",IF(OR($B23="",$C23="",$D23="",$E23="",$F23=""),"Stammdaten fehlen",IF(AND($G23="",$H23=""),"Werte fehlen",IF($G23="","Monatsstunden fehlen",IF($H23="","Monatslohn fehlt","OK")))))</f>
        <v>Monatslohn fehlt</v>
      </c>
      <c r="J23" s="424" t="str">
        <f>IF($G23="","",IF(COUNTIFS($A:$A,$A23,$D:$D,$D23,$G:$G,$G23)&gt;1,"Doppelte Monatsstunden",""))</f>
        <v/>
      </c>
    </row>
    <row r="24" spans="1:10" ht="24" customHeight="1">
      <c r="A24" s="414" t="s">
        <v>421</v>
      </c>
      <c r="B24" s="397">
        <v>46508</v>
      </c>
      <c r="C24" s="397">
        <v>46873</v>
      </c>
      <c r="D24" s="398" t="s">
        <v>8</v>
      </c>
      <c r="E24" s="398" t="s">
        <v>4</v>
      </c>
      <c r="F24" s="398" t="s">
        <v>322</v>
      </c>
      <c r="G24" s="209">
        <v>108.13</v>
      </c>
      <c r="H24" s="210"/>
      <c r="I24" s="398" t="str">
        <f>IF($A24="","",IF(OR($B24="",$C24="",$D24="",$E24="",$F24=""),"Stammdaten fehlen",IF(AND($G24="",$H24=""),"Werte fehlen",IF($G24="","Monatsstunden fehlen",IF($H24="","Monatslohn fehlt","OK")))))</f>
        <v>Monatslohn fehlt</v>
      </c>
      <c r="J24" s="424" t="str">
        <f>IF($G24="","",IF(COUNTIFS($A:$A,$A24,$D:$D,$D24,$G:$G,$G24)&gt;1,"Doppelte Monatsstunden",""))</f>
        <v/>
      </c>
    </row>
    <row r="25" spans="1:10" ht="24" customHeight="1">
      <c r="A25" s="414" t="s">
        <v>421</v>
      </c>
      <c r="B25" s="397">
        <v>46508</v>
      </c>
      <c r="C25" s="397">
        <v>46873</v>
      </c>
      <c r="D25" s="398" t="s">
        <v>8</v>
      </c>
      <c r="E25" s="398" t="s">
        <v>4</v>
      </c>
      <c r="F25" s="398" t="s">
        <v>322</v>
      </c>
      <c r="G25" s="209">
        <v>103.8</v>
      </c>
      <c r="H25" s="210"/>
      <c r="I25" s="398" t="str">
        <f>IF($A25="","",IF(OR($B25="",$C25="",$D25="",$E25="",$F25=""),"Stammdaten fehlen",IF(AND($G25="",$H25=""),"Werte fehlen",IF($G25="","Monatsstunden fehlen",IF($H25="","Monatslohn fehlt","OK")))))</f>
        <v>Monatslohn fehlt</v>
      </c>
      <c r="J25" s="424" t="str">
        <f>IF($G25="","",IF(COUNTIFS($A:$A,$A25,$D:$D,$D25,$G:$G,$G25)&gt;1,"Doppelte Monatsstunden",""))</f>
        <v/>
      </c>
    </row>
    <row r="26" spans="1:10" ht="24" customHeight="1">
      <c r="A26" s="414" t="s">
        <v>421</v>
      </c>
      <c r="B26" s="397">
        <v>46508</v>
      </c>
      <c r="C26" s="397">
        <v>46873</v>
      </c>
      <c r="D26" s="398" t="s">
        <v>8</v>
      </c>
      <c r="E26" s="398" t="s">
        <v>4</v>
      </c>
      <c r="F26" s="398" t="s">
        <v>322</v>
      </c>
      <c r="G26" s="209">
        <v>86.5</v>
      </c>
      <c r="H26" s="210"/>
      <c r="I26" s="398" t="str">
        <f>IF($A26="","",IF(OR($B26="",$C26="",$D26="",$E26="",$F26=""),"Stammdaten fehlen",IF(AND($G26="",$H26=""),"Werte fehlen",IF($G26="","Monatsstunden fehlen",IF($H26="","Monatslohn fehlt","OK")))))</f>
        <v>Monatslohn fehlt</v>
      </c>
      <c r="J26" s="424" t="str">
        <f>IF($G26="","",IF(COUNTIFS($A:$A,$A26,$D:$D,$D26,$G:$G,$G26)&gt;1,"Doppelte Monatsstunden",""))</f>
        <v/>
      </c>
    </row>
    <row r="27" spans="1:10" ht="24" customHeight="1">
      <c r="A27" s="414" t="s">
        <v>421</v>
      </c>
      <c r="B27" s="397">
        <v>46508</v>
      </c>
      <c r="C27" s="397">
        <v>46873</v>
      </c>
      <c r="D27" s="398" t="s">
        <v>8</v>
      </c>
      <c r="E27" s="398" t="s">
        <v>4</v>
      </c>
      <c r="F27" s="398" t="s">
        <v>322</v>
      </c>
      <c r="G27" s="209">
        <v>69.2</v>
      </c>
      <c r="H27" s="210"/>
      <c r="I27" s="398" t="str">
        <f>IF($A27="","",IF(OR($B27="",$C27="",$D27="",$E27="",$F27=""),"Stammdaten fehlen",IF(AND($G27="",$H27=""),"Werte fehlen",IF($G27="","Monatsstunden fehlen",IF($H27="","Monatslohn fehlt","OK")))))</f>
        <v>Monatslohn fehlt</v>
      </c>
      <c r="J27" s="424" t="str">
        <f>IF($G27="","",IF(COUNTIFS($A:$A,$A27,$D:$D,$D27,$G:$G,$G27)&gt;1,"Doppelte Monatsstunden",""))</f>
        <v/>
      </c>
    </row>
    <row r="28" spans="1:10" ht="24" customHeight="1">
      <c r="A28" s="414" t="s">
        <v>421</v>
      </c>
      <c r="B28" s="397">
        <v>46508</v>
      </c>
      <c r="C28" s="397">
        <v>46873</v>
      </c>
      <c r="D28" s="398" t="s">
        <v>8</v>
      </c>
      <c r="E28" s="398" t="s">
        <v>4</v>
      </c>
      <c r="F28" s="398" t="s">
        <v>322</v>
      </c>
      <c r="G28" s="209">
        <v>51.9</v>
      </c>
      <c r="H28" s="210"/>
      <c r="I28" s="398" t="str">
        <f>IF($A28="","",IF(OR($B28="",$C28="",$D28="",$E28="",$F28=""),"Stammdaten fehlen",IF(AND($G28="",$H28=""),"Werte fehlen",IF($G28="","Monatsstunden fehlen",IF($H28="","Monatslohn fehlt","OK")))))</f>
        <v>Monatslohn fehlt</v>
      </c>
      <c r="J28" s="424" t="str">
        <f>IF($G28="","",IF(COUNTIFS($A:$A,$A28,$D:$D,$D28,$G:$G,$G28)&gt;1,"Doppelte Monatsstunden",""))</f>
        <v/>
      </c>
    </row>
    <row r="29" spans="1:10" ht="24" customHeight="1">
      <c r="A29" s="414" t="s">
        <v>421</v>
      </c>
      <c r="B29" s="397">
        <v>46508</v>
      </c>
      <c r="C29" s="397">
        <v>46873</v>
      </c>
      <c r="D29" s="398" t="s">
        <v>8</v>
      </c>
      <c r="E29" s="398" t="s">
        <v>4</v>
      </c>
      <c r="F29" s="398" t="s">
        <v>322</v>
      </c>
      <c r="G29" s="209">
        <v>47.58</v>
      </c>
      <c r="H29" s="210"/>
      <c r="I29" s="398" t="str">
        <f>IF($A29="","",IF(OR($B29="",$C29="",$D29="",$E29="",$F29=""),"Stammdaten fehlen",IF(AND($G29="",$H29=""),"Werte fehlen",IF($G29="","Monatsstunden fehlen",IF($H29="","Monatslohn fehlt","OK")))))</f>
        <v>Monatslohn fehlt</v>
      </c>
      <c r="J29" s="424" t="str">
        <f>IF($G29="","",IF(COUNTIFS($A:$A,$A29,$D:$D,$D29,$G:$G,$G29)&gt;1,"Doppelte Monatsstunden",""))</f>
        <v/>
      </c>
    </row>
    <row r="30" spans="1:10" ht="24" customHeight="1">
      <c r="A30" s="414" t="s">
        <v>421</v>
      </c>
      <c r="B30" s="397">
        <v>46508</v>
      </c>
      <c r="C30" s="397">
        <v>46873</v>
      </c>
      <c r="D30" s="398" t="s">
        <v>8</v>
      </c>
      <c r="E30" s="398" t="s">
        <v>4</v>
      </c>
      <c r="F30" s="398" t="s">
        <v>322</v>
      </c>
      <c r="G30" s="209">
        <v>43.25</v>
      </c>
      <c r="H30" s="210"/>
      <c r="I30" s="398" t="str">
        <f>IF($A30="","",IF(OR($B30="",$C30="",$D30="",$E30="",$F30=""),"Stammdaten fehlen",IF(AND($G30="",$H30=""),"Werte fehlen",IF($G30="","Monatsstunden fehlen",IF($H30="","Monatslohn fehlt","OK")))))</f>
        <v>Monatslohn fehlt</v>
      </c>
      <c r="J30" s="424" t="str">
        <f>IF($G30="","",IF(COUNTIFS($A:$A,$A30,$D:$D,$D30,$G:$G,$G30)&gt;1,"Doppelte Monatsstunden",""))</f>
        <v/>
      </c>
    </row>
    <row r="31" spans="1:10" ht="24" customHeight="1">
      <c r="A31" s="414" t="s">
        <v>421</v>
      </c>
      <c r="B31" s="397">
        <v>46508</v>
      </c>
      <c r="C31" s="397">
        <v>46873</v>
      </c>
      <c r="D31" s="398" t="s">
        <v>8</v>
      </c>
      <c r="E31" s="398" t="s">
        <v>4</v>
      </c>
      <c r="F31" s="398" t="s">
        <v>322</v>
      </c>
      <c r="G31" s="209">
        <v>34.6</v>
      </c>
      <c r="H31" s="210"/>
      <c r="I31" s="398" t="str">
        <f>IF($A31="","",IF(OR($B31="",$C31="",$D31="",$E31="",$F31=""),"Stammdaten fehlen",IF(AND($G31="",$H31=""),"Werte fehlen",IF($G31="","Monatsstunden fehlen",IF($H31="","Monatslohn fehlt","OK")))))</f>
        <v>Monatslohn fehlt</v>
      </c>
      <c r="J31" s="424" t="str">
        <f>IF($G31="","",IF(COUNTIFS($A:$A,$A31,$D:$D,$D31,$G:$G,$G31)&gt;1,"Doppelte Monatsstunden",""))</f>
        <v/>
      </c>
    </row>
    <row r="32" spans="1:10" ht="24" customHeight="1">
      <c r="A32" s="414" t="s">
        <v>421</v>
      </c>
      <c r="B32" s="397">
        <v>46508</v>
      </c>
      <c r="C32" s="397">
        <v>46873</v>
      </c>
      <c r="D32" s="398" t="s">
        <v>8</v>
      </c>
      <c r="E32" s="398" t="s">
        <v>4</v>
      </c>
      <c r="F32" s="398" t="s">
        <v>322</v>
      </c>
      <c r="G32" s="209">
        <v>32.01</v>
      </c>
      <c r="H32" s="210"/>
      <c r="I32" s="398" t="str">
        <f>IF($A32="","",IF(OR($B32="",$C32="",$D32="",$E32="",$F32=""),"Stammdaten fehlen",IF(AND($G32="",$H32=""),"Werte fehlen",IF($G32="","Monatsstunden fehlen",IF($H32="","Monatslohn fehlt","OK")))))</f>
        <v>Monatslohn fehlt</v>
      </c>
      <c r="J32" s="424" t="str">
        <f>IF($G32="","",IF(COUNTIFS($A:$A,$A32,$D:$D,$D32,$G:$G,$G32)&gt;1,"Doppelte Monatsstunden",""))</f>
        <v/>
      </c>
    </row>
    <row r="33" spans="1:10" ht="24" customHeight="1">
      <c r="A33" s="414" t="s">
        <v>421</v>
      </c>
      <c r="B33" s="397">
        <v>46508</v>
      </c>
      <c r="C33" s="397">
        <v>46873</v>
      </c>
      <c r="D33" s="398" t="s">
        <v>8</v>
      </c>
      <c r="E33" s="398" t="s">
        <v>4</v>
      </c>
      <c r="F33" s="398" t="s">
        <v>322</v>
      </c>
      <c r="G33" s="209"/>
      <c r="H33" s="210"/>
      <c r="I33" s="398" t="str">
        <f>IF($A33="","",IF(OR($B33="",$C33="",$D33="",$E33="",$F33=""),"Stammdaten fehlen",IF(AND($G33="",$H33=""),"Werte fehlen",IF($G33="","Monatsstunden fehlen",IF($H33="","Monatslohn fehlt","OK")))))</f>
        <v>Werte fehlen</v>
      </c>
      <c r="J33" s="424" t="str">
        <f>IF($G33="","",IF(COUNTIFS($A:$A,$A33,$D:$D,$D33,$G:$G,$G33)&gt;1,"Doppelte Monatsstunden",""))</f>
        <v/>
      </c>
    </row>
    <row r="34" spans="1:10" ht="24" customHeight="1" thickBot="1">
      <c r="A34" s="414" t="s">
        <v>421</v>
      </c>
      <c r="B34" s="397">
        <v>46508</v>
      </c>
      <c r="C34" s="397">
        <v>46873</v>
      </c>
      <c r="D34" s="398" t="s">
        <v>8</v>
      </c>
      <c r="E34" s="398" t="s">
        <v>4</v>
      </c>
      <c r="F34" s="398" t="s">
        <v>322</v>
      </c>
      <c r="G34" s="209"/>
      <c r="H34" s="210"/>
      <c r="I34" s="398" t="str">
        <f>IF($A34="","",IF(OR($B34="",$C34="",$D34="",$E34="",$F34=""),"Stammdaten fehlen",IF(AND($G34="",$H34=""),"Werte fehlen",IF($G34="","Monatsstunden fehlen",IF($H34="","Monatslohn fehlt","OK")))))</f>
        <v>Werte fehlen</v>
      </c>
      <c r="J34" s="424" t="str">
        <f>IF($G34="","",IF(COUNTIFS($A:$A,$A34,$D:$D,$D34,$G:$G,$G34)&gt;1,"Doppelte Monatsstunden",""))</f>
        <v/>
      </c>
    </row>
    <row r="35" spans="1:10" ht="24" customHeight="1">
      <c r="A35" s="415" t="s">
        <v>421</v>
      </c>
      <c r="B35" s="399">
        <v>46508</v>
      </c>
      <c r="C35" s="399">
        <v>46873</v>
      </c>
      <c r="D35" s="400" t="s">
        <v>10</v>
      </c>
      <c r="E35" s="400" t="s">
        <v>4</v>
      </c>
      <c r="F35" s="400" t="s">
        <v>323</v>
      </c>
      <c r="G35" s="211">
        <v>173</v>
      </c>
      <c r="H35" s="212"/>
      <c r="I35" s="400" t="str">
        <f>IF($A35="","",IF(OR($B35="",$C35="",$D35="",$E35="",$F35=""),"Stammdaten fehlen",IF(AND($G35="",$H35=""),"Werte fehlen",IF($G35="","Monatsstunden fehlen",IF($H35="","Monatslohn fehlt","OK")))))</f>
        <v>Monatslohn fehlt</v>
      </c>
      <c r="J35" s="425" t="str">
        <f>IF($G35="","",IF(COUNTIFS($A:$A,$A35,$D:$D,$D35,$G:$G,$G35)&gt;1,"Doppelte Monatsstunden",""))</f>
        <v/>
      </c>
    </row>
    <row r="36" spans="1:10" ht="24" customHeight="1">
      <c r="A36" s="414" t="s">
        <v>421</v>
      </c>
      <c r="B36" s="397">
        <v>46508</v>
      </c>
      <c r="C36" s="397">
        <v>46873</v>
      </c>
      <c r="D36" s="398" t="s">
        <v>10</v>
      </c>
      <c r="E36" s="398" t="s">
        <v>4</v>
      </c>
      <c r="F36" s="398" t="s">
        <v>323</v>
      </c>
      <c r="G36" s="209">
        <v>151.38</v>
      </c>
      <c r="H36" s="210"/>
      <c r="I36" s="398" t="str">
        <f>IF($A36="","",IF(OR($B36="",$C36="",$D36="",$E36="",$F36=""),"Stammdaten fehlen",IF(AND($G36="",$H36=""),"Werte fehlen",IF($G36="","Monatsstunden fehlen",IF($H36="","Monatslohn fehlt","OK")))))</f>
        <v>Monatslohn fehlt</v>
      </c>
      <c r="J36" s="424" t="str">
        <f>IF($G36="","",IF(COUNTIFS($A:$A,$A36,$D:$D,$D36,$G:$G,$G36)&gt;1,"Doppelte Monatsstunden",""))</f>
        <v/>
      </c>
    </row>
    <row r="37" spans="1:10" ht="24" customHeight="1">
      <c r="A37" s="414" t="s">
        <v>421</v>
      </c>
      <c r="B37" s="397">
        <v>46508</v>
      </c>
      <c r="C37" s="397">
        <v>46873</v>
      </c>
      <c r="D37" s="398" t="s">
        <v>10</v>
      </c>
      <c r="E37" s="398" t="s">
        <v>4</v>
      </c>
      <c r="F37" s="398" t="s">
        <v>323</v>
      </c>
      <c r="G37" s="209">
        <v>138.4</v>
      </c>
      <c r="H37" s="210"/>
      <c r="I37" s="398" t="str">
        <f>IF($A37="","",IF(OR($B37="",$C37="",$D37="",$E37="",$F37=""),"Stammdaten fehlen",IF(AND($G37="",$H37=""),"Werte fehlen",IF($G37="","Monatsstunden fehlen",IF($H37="","Monatslohn fehlt","OK")))))</f>
        <v>Monatslohn fehlt</v>
      </c>
      <c r="J37" s="424" t="str">
        <f>IF($G37="","",IF(COUNTIFS($A:$A,$A37,$D:$D,$D37,$G:$G,$G37)&gt;1,"Doppelte Monatsstunden",""))</f>
        <v/>
      </c>
    </row>
    <row r="38" spans="1:10" ht="24" customHeight="1">
      <c r="A38" s="414" t="s">
        <v>421</v>
      </c>
      <c r="B38" s="397">
        <v>46508</v>
      </c>
      <c r="C38" s="397">
        <v>46873</v>
      </c>
      <c r="D38" s="398" t="s">
        <v>10</v>
      </c>
      <c r="E38" s="398" t="s">
        <v>4</v>
      </c>
      <c r="F38" s="398" t="s">
        <v>323</v>
      </c>
      <c r="G38" s="209">
        <v>129.75</v>
      </c>
      <c r="H38" s="210"/>
      <c r="I38" s="398" t="str">
        <f>IF($A38="","",IF(OR($B38="",$C38="",$D38="",$E38="",$F38=""),"Stammdaten fehlen",IF(AND($G38="",$H38=""),"Werte fehlen",IF($G38="","Monatsstunden fehlen",IF($H38="","Monatslohn fehlt","OK")))))</f>
        <v>Monatslohn fehlt</v>
      </c>
      <c r="J38" s="424" t="str">
        <f>IF($G38="","",IF(COUNTIFS($A:$A,$A38,$D:$D,$D38,$G:$G,$G38)&gt;1,"Doppelte Monatsstunden",""))</f>
        <v/>
      </c>
    </row>
    <row r="39" spans="1:10" ht="24" customHeight="1">
      <c r="A39" s="414" t="s">
        <v>421</v>
      </c>
      <c r="B39" s="397">
        <v>46508</v>
      </c>
      <c r="C39" s="397">
        <v>46873</v>
      </c>
      <c r="D39" s="398" t="s">
        <v>10</v>
      </c>
      <c r="E39" s="398" t="s">
        <v>4</v>
      </c>
      <c r="F39" s="398" t="s">
        <v>323</v>
      </c>
      <c r="G39" s="209">
        <v>108.13</v>
      </c>
      <c r="H39" s="210"/>
      <c r="I39" s="398" t="str">
        <f>IF($A39="","",IF(OR($B39="",$C39="",$D39="",$E39="",$F39=""),"Stammdaten fehlen",IF(AND($G39="",$H39=""),"Werte fehlen",IF($G39="","Monatsstunden fehlen",IF($H39="","Monatslohn fehlt","OK")))))</f>
        <v>Monatslohn fehlt</v>
      </c>
      <c r="J39" s="424" t="str">
        <f>IF($G39="","",IF(COUNTIFS($A:$A,$A39,$D:$D,$D39,$G:$G,$G39)&gt;1,"Doppelte Monatsstunden",""))</f>
        <v/>
      </c>
    </row>
    <row r="40" spans="1:10" ht="24" customHeight="1">
      <c r="A40" s="414" t="s">
        <v>421</v>
      </c>
      <c r="B40" s="397">
        <v>46508</v>
      </c>
      <c r="C40" s="397">
        <v>46873</v>
      </c>
      <c r="D40" s="398" t="s">
        <v>10</v>
      </c>
      <c r="E40" s="398" t="s">
        <v>4</v>
      </c>
      <c r="F40" s="398" t="s">
        <v>323</v>
      </c>
      <c r="G40" s="209">
        <v>103.8</v>
      </c>
      <c r="H40" s="210"/>
      <c r="I40" s="398" t="str">
        <f>IF($A40="","",IF(OR($B40="",$C40="",$D40="",$E40="",$F40=""),"Stammdaten fehlen",IF(AND($G40="",$H40=""),"Werte fehlen",IF($G40="","Monatsstunden fehlen",IF($H40="","Monatslohn fehlt","OK")))))</f>
        <v>Monatslohn fehlt</v>
      </c>
      <c r="J40" s="424" t="str">
        <f>IF($G40="","",IF(COUNTIFS($A:$A,$A40,$D:$D,$D40,$G:$G,$G40)&gt;1,"Doppelte Monatsstunden",""))</f>
        <v/>
      </c>
    </row>
    <row r="41" spans="1:10" ht="24" customHeight="1">
      <c r="A41" s="414" t="s">
        <v>421</v>
      </c>
      <c r="B41" s="397">
        <v>46508</v>
      </c>
      <c r="C41" s="397">
        <v>46873</v>
      </c>
      <c r="D41" s="398" t="s">
        <v>10</v>
      </c>
      <c r="E41" s="398" t="s">
        <v>4</v>
      </c>
      <c r="F41" s="398" t="s">
        <v>323</v>
      </c>
      <c r="G41" s="209">
        <v>86.5</v>
      </c>
      <c r="H41" s="210"/>
      <c r="I41" s="398" t="str">
        <f>IF($A41="","",IF(OR($B41="",$C41="",$D41="",$E41="",$F41=""),"Stammdaten fehlen",IF(AND($G41="",$H41=""),"Werte fehlen",IF($G41="","Monatsstunden fehlen",IF($H41="","Monatslohn fehlt","OK")))))</f>
        <v>Monatslohn fehlt</v>
      </c>
      <c r="J41" s="424" t="str">
        <f>IF($G41="","",IF(COUNTIFS($A:$A,$A41,$D:$D,$D41,$G:$G,$G41)&gt;1,"Doppelte Monatsstunden",""))</f>
        <v/>
      </c>
    </row>
    <row r="42" spans="1:10" ht="24" customHeight="1">
      <c r="A42" s="414" t="s">
        <v>421</v>
      </c>
      <c r="B42" s="397">
        <v>46508</v>
      </c>
      <c r="C42" s="397">
        <v>46873</v>
      </c>
      <c r="D42" s="398" t="s">
        <v>10</v>
      </c>
      <c r="E42" s="398" t="s">
        <v>4</v>
      </c>
      <c r="F42" s="398" t="s">
        <v>323</v>
      </c>
      <c r="G42" s="209">
        <v>69.2</v>
      </c>
      <c r="H42" s="210"/>
      <c r="I42" s="398" t="str">
        <f>IF($A42="","",IF(OR($B42="",$C42="",$D42="",$E42="",$F42=""),"Stammdaten fehlen",IF(AND($G42="",$H42=""),"Werte fehlen",IF($G42="","Monatsstunden fehlen",IF($H42="","Monatslohn fehlt","OK")))))</f>
        <v>Monatslohn fehlt</v>
      </c>
      <c r="J42" s="424" t="str">
        <f>IF($G42="","",IF(COUNTIFS($A:$A,$A42,$D:$D,$D42,$G:$G,$G42)&gt;1,"Doppelte Monatsstunden",""))</f>
        <v/>
      </c>
    </row>
    <row r="43" spans="1:10" ht="24" customHeight="1">
      <c r="A43" s="414" t="s">
        <v>421</v>
      </c>
      <c r="B43" s="397">
        <v>46508</v>
      </c>
      <c r="C43" s="397">
        <v>46873</v>
      </c>
      <c r="D43" s="398" t="s">
        <v>10</v>
      </c>
      <c r="E43" s="398" t="s">
        <v>4</v>
      </c>
      <c r="F43" s="398" t="s">
        <v>323</v>
      </c>
      <c r="G43" s="209">
        <v>51.9</v>
      </c>
      <c r="H43" s="210"/>
      <c r="I43" s="398" t="str">
        <f>IF($A43="","",IF(OR($B43="",$C43="",$D43="",$E43="",$F43=""),"Stammdaten fehlen",IF(AND($G43="",$H43=""),"Werte fehlen",IF($G43="","Monatsstunden fehlen",IF($H43="","Monatslohn fehlt","OK")))))</f>
        <v>Monatslohn fehlt</v>
      </c>
      <c r="J43" s="424" t="str">
        <f>IF($G43="","",IF(COUNTIFS($A:$A,$A43,$D:$D,$D43,$G:$G,$G43)&gt;1,"Doppelte Monatsstunden",""))</f>
        <v/>
      </c>
    </row>
    <row r="44" spans="1:10" ht="24" customHeight="1">
      <c r="A44" s="414" t="s">
        <v>421</v>
      </c>
      <c r="B44" s="397">
        <v>46508</v>
      </c>
      <c r="C44" s="397">
        <v>46873</v>
      </c>
      <c r="D44" s="398" t="s">
        <v>10</v>
      </c>
      <c r="E44" s="398" t="s">
        <v>4</v>
      </c>
      <c r="F44" s="398" t="s">
        <v>323</v>
      </c>
      <c r="G44" s="209">
        <v>47.58</v>
      </c>
      <c r="H44" s="210"/>
      <c r="I44" s="398" t="str">
        <f>IF($A44="","",IF(OR($B44="",$C44="",$D44="",$E44="",$F44=""),"Stammdaten fehlen",IF(AND($G44="",$H44=""),"Werte fehlen",IF($G44="","Monatsstunden fehlen",IF($H44="","Monatslohn fehlt","OK")))))</f>
        <v>Monatslohn fehlt</v>
      </c>
      <c r="J44" s="424" t="str">
        <f>IF($G44="","",IF(COUNTIFS($A:$A,$A44,$D:$D,$D44,$G:$G,$G44)&gt;1,"Doppelte Monatsstunden",""))</f>
        <v/>
      </c>
    </row>
    <row r="45" spans="1:10" ht="24" customHeight="1">
      <c r="A45" s="414" t="s">
        <v>421</v>
      </c>
      <c r="B45" s="397">
        <v>46508</v>
      </c>
      <c r="C45" s="397">
        <v>46873</v>
      </c>
      <c r="D45" s="398" t="s">
        <v>10</v>
      </c>
      <c r="E45" s="398" t="s">
        <v>4</v>
      </c>
      <c r="F45" s="398" t="s">
        <v>323</v>
      </c>
      <c r="G45" s="209">
        <v>43.25</v>
      </c>
      <c r="H45" s="210"/>
      <c r="I45" s="398" t="str">
        <f>IF($A45="","",IF(OR($B45="",$C45="",$D45="",$E45="",$F45=""),"Stammdaten fehlen",IF(AND($G45="",$H45=""),"Werte fehlen",IF($G45="","Monatsstunden fehlen",IF($H45="","Monatslohn fehlt","OK")))))</f>
        <v>Monatslohn fehlt</v>
      </c>
      <c r="J45" s="424" t="str">
        <f>IF($G45="","",IF(COUNTIFS($A:$A,$A45,$D:$D,$D45,$G:$G,$G45)&gt;1,"Doppelte Monatsstunden",""))</f>
        <v/>
      </c>
    </row>
    <row r="46" spans="1:10" ht="24" customHeight="1">
      <c r="A46" s="414" t="s">
        <v>421</v>
      </c>
      <c r="B46" s="397">
        <v>46508</v>
      </c>
      <c r="C46" s="397">
        <v>46873</v>
      </c>
      <c r="D46" s="398" t="s">
        <v>10</v>
      </c>
      <c r="E46" s="398" t="s">
        <v>4</v>
      </c>
      <c r="F46" s="398" t="s">
        <v>323</v>
      </c>
      <c r="G46" s="209">
        <v>34.6</v>
      </c>
      <c r="H46" s="210"/>
      <c r="I46" s="398" t="str">
        <f>IF($A46="","",IF(OR($B46="",$C46="",$D46="",$E46="",$F46=""),"Stammdaten fehlen",IF(AND($G46="",$H46=""),"Werte fehlen",IF($G46="","Monatsstunden fehlen",IF($H46="","Monatslohn fehlt","OK")))))</f>
        <v>Monatslohn fehlt</v>
      </c>
      <c r="J46" s="424" t="str">
        <f>IF($G46="","",IF(COUNTIFS($A:$A,$A46,$D:$D,$D46,$G:$G,$G46)&gt;1,"Doppelte Monatsstunden",""))</f>
        <v/>
      </c>
    </row>
    <row r="47" spans="1:10" ht="24" customHeight="1">
      <c r="A47" s="414" t="s">
        <v>421</v>
      </c>
      <c r="B47" s="397">
        <v>46508</v>
      </c>
      <c r="C47" s="397">
        <v>46873</v>
      </c>
      <c r="D47" s="398" t="s">
        <v>10</v>
      </c>
      <c r="E47" s="398" t="s">
        <v>4</v>
      </c>
      <c r="F47" s="398" t="s">
        <v>323</v>
      </c>
      <c r="G47" s="209">
        <v>32.01</v>
      </c>
      <c r="H47" s="210"/>
      <c r="I47" s="398" t="str">
        <f>IF($A47="","",IF(OR($B47="",$C47="",$D47="",$E47="",$F47=""),"Stammdaten fehlen",IF(AND($G47="",$H47=""),"Werte fehlen",IF($G47="","Monatsstunden fehlen",IF($H47="","Monatslohn fehlt","OK")))))</f>
        <v>Monatslohn fehlt</v>
      </c>
      <c r="J47" s="424" t="str">
        <f>IF($G47="","",IF(COUNTIFS($A:$A,$A47,$D:$D,$D47,$G:$G,$G47)&gt;1,"Doppelte Monatsstunden",""))</f>
        <v/>
      </c>
    </row>
    <row r="48" spans="1:10" ht="24" customHeight="1">
      <c r="A48" s="414" t="s">
        <v>421</v>
      </c>
      <c r="B48" s="397">
        <v>46508</v>
      </c>
      <c r="C48" s="397">
        <v>46873</v>
      </c>
      <c r="D48" s="398" t="s">
        <v>10</v>
      </c>
      <c r="E48" s="398" t="s">
        <v>4</v>
      </c>
      <c r="F48" s="398" t="s">
        <v>323</v>
      </c>
      <c r="G48" s="209"/>
      <c r="H48" s="210"/>
      <c r="I48" s="398" t="str">
        <f>IF($A48="","",IF(OR($B48="",$C48="",$D48="",$E48="",$F48=""),"Stammdaten fehlen",IF(AND($G48="",$H48=""),"Werte fehlen",IF($G48="","Monatsstunden fehlen",IF($H48="","Monatslohn fehlt","OK")))))</f>
        <v>Werte fehlen</v>
      </c>
      <c r="J48" s="424" t="str">
        <f>IF($G48="","",IF(COUNTIFS($A:$A,$A48,$D:$D,$D48,$G:$G,$G48)&gt;1,"Doppelte Monatsstunden",""))</f>
        <v/>
      </c>
    </row>
    <row r="49" spans="1:10" ht="24" customHeight="1" thickBot="1">
      <c r="A49" s="414" t="s">
        <v>421</v>
      </c>
      <c r="B49" s="397">
        <v>46508</v>
      </c>
      <c r="C49" s="397">
        <v>46873</v>
      </c>
      <c r="D49" s="398" t="s">
        <v>10</v>
      </c>
      <c r="E49" s="398" t="s">
        <v>4</v>
      </c>
      <c r="F49" s="398" t="s">
        <v>323</v>
      </c>
      <c r="G49" s="209"/>
      <c r="H49" s="210"/>
      <c r="I49" s="398" t="str">
        <f>IF($A49="","",IF(OR($B49="",$C49="",$D49="",$E49="",$F49=""),"Stammdaten fehlen",IF(AND($G49="",$H49=""),"Werte fehlen",IF($G49="","Monatsstunden fehlen",IF($H49="","Monatslohn fehlt","OK")))))</f>
        <v>Werte fehlen</v>
      </c>
      <c r="J49" s="424" t="str">
        <f>IF($G49="","",IF(COUNTIFS($A:$A,$A49,$D:$D,$D49,$G:$G,$G49)&gt;1,"Doppelte Monatsstunden",""))</f>
        <v/>
      </c>
    </row>
    <row r="50" spans="1:10" ht="24" customHeight="1">
      <c r="A50" s="415" t="s">
        <v>421</v>
      </c>
      <c r="B50" s="399">
        <v>46508</v>
      </c>
      <c r="C50" s="399">
        <v>46873</v>
      </c>
      <c r="D50" s="400" t="s">
        <v>12</v>
      </c>
      <c r="E50" s="400" t="s">
        <v>4</v>
      </c>
      <c r="F50" s="400" t="s">
        <v>324</v>
      </c>
      <c r="G50" s="211">
        <v>173</v>
      </c>
      <c r="H50" s="212"/>
      <c r="I50" s="400" t="str">
        <f>IF($A50="","",IF(OR($B50="",$C50="",$D50="",$E50="",$F50=""),"Stammdaten fehlen",IF(AND($G50="",$H50=""),"Werte fehlen",IF($G50="","Monatsstunden fehlen",IF($H50="","Monatslohn fehlt","OK")))))</f>
        <v>Monatslohn fehlt</v>
      </c>
      <c r="J50" s="425" t="str">
        <f>IF($G50="","",IF(COUNTIFS($A:$A,$A50,$D:$D,$D50,$G:$G,$G50)&gt;1,"Doppelte Monatsstunden",""))</f>
        <v/>
      </c>
    </row>
    <row r="51" spans="1:10" ht="24" customHeight="1">
      <c r="A51" s="414" t="s">
        <v>421</v>
      </c>
      <c r="B51" s="397">
        <v>46508</v>
      </c>
      <c r="C51" s="397">
        <v>46873</v>
      </c>
      <c r="D51" s="398" t="s">
        <v>12</v>
      </c>
      <c r="E51" s="398" t="s">
        <v>4</v>
      </c>
      <c r="F51" s="398" t="s">
        <v>324</v>
      </c>
      <c r="G51" s="209">
        <v>151.38</v>
      </c>
      <c r="H51" s="210"/>
      <c r="I51" s="398" t="str">
        <f>IF($A51="","",IF(OR($B51="",$C51="",$D51="",$E51="",$F51=""),"Stammdaten fehlen",IF(AND($G51="",$H51=""),"Werte fehlen",IF($G51="","Monatsstunden fehlen",IF($H51="","Monatslohn fehlt","OK")))))</f>
        <v>Monatslohn fehlt</v>
      </c>
      <c r="J51" s="424" t="str">
        <f>IF($G51="","",IF(COUNTIFS($A:$A,$A51,$D:$D,$D51,$G:$G,$G51)&gt;1,"Doppelte Monatsstunden",""))</f>
        <v/>
      </c>
    </row>
    <row r="52" spans="1:10" ht="24" customHeight="1">
      <c r="A52" s="414" t="s">
        <v>421</v>
      </c>
      <c r="B52" s="397">
        <v>46508</v>
      </c>
      <c r="C52" s="397">
        <v>46873</v>
      </c>
      <c r="D52" s="398" t="s">
        <v>12</v>
      </c>
      <c r="E52" s="398" t="s">
        <v>4</v>
      </c>
      <c r="F52" s="398" t="s">
        <v>324</v>
      </c>
      <c r="G52" s="209">
        <v>138.4</v>
      </c>
      <c r="H52" s="210"/>
      <c r="I52" s="398" t="str">
        <f>IF($A52="","",IF(OR($B52="",$C52="",$D52="",$E52="",$F52=""),"Stammdaten fehlen",IF(AND($G52="",$H52=""),"Werte fehlen",IF($G52="","Monatsstunden fehlen",IF($H52="","Monatslohn fehlt","OK")))))</f>
        <v>Monatslohn fehlt</v>
      </c>
      <c r="J52" s="424" t="str">
        <f>IF($G52="","",IF(COUNTIFS($A:$A,$A52,$D:$D,$D52,$G:$G,$G52)&gt;1,"Doppelte Monatsstunden",""))</f>
        <v/>
      </c>
    </row>
    <row r="53" spans="1:10" ht="24" customHeight="1">
      <c r="A53" s="414" t="s">
        <v>421</v>
      </c>
      <c r="B53" s="397">
        <v>46508</v>
      </c>
      <c r="C53" s="397">
        <v>46873</v>
      </c>
      <c r="D53" s="398" t="s">
        <v>12</v>
      </c>
      <c r="E53" s="398" t="s">
        <v>4</v>
      </c>
      <c r="F53" s="398" t="s">
        <v>324</v>
      </c>
      <c r="G53" s="209">
        <v>129.75</v>
      </c>
      <c r="H53" s="210"/>
      <c r="I53" s="398" t="str">
        <f>IF($A53="","",IF(OR($B53="",$C53="",$D53="",$E53="",$F53=""),"Stammdaten fehlen",IF(AND($G53="",$H53=""),"Werte fehlen",IF($G53="","Monatsstunden fehlen",IF($H53="","Monatslohn fehlt","OK")))))</f>
        <v>Monatslohn fehlt</v>
      </c>
      <c r="J53" s="424" t="str">
        <f>IF($G53="","",IF(COUNTIFS($A:$A,$A53,$D:$D,$D53,$G:$G,$G53)&gt;1,"Doppelte Monatsstunden",""))</f>
        <v/>
      </c>
    </row>
    <row r="54" spans="1:10" ht="24" customHeight="1">
      <c r="A54" s="414" t="s">
        <v>421</v>
      </c>
      <c r="B54" s="397">
        <v>46508</v>
      </c>
      <c r="C54" s="397">
        <v>46873</v>
      </c>
      <c r="D54" s="398" t="s">
        <v>12</v>
      </c>
      <c r="E54" s="398" t="s">
        <v>4</v>
      </c>
      <c r="F54" s="398" t="s">
        <v>324</v>
      </c>
      <c r="G54" s="209">
        <v>108.13</v>
      </c>
      <c r="H54" s="210"/>
      <c r="I54" s="398" t="str">
        <f>IF($A54="","",IF(OR($B54="",$C54="",$D54="",$E54="",$F54=""),"Stammdaten fehlen",IF(AND($G54="",$H54=""),"Werte fehlen",IF($G54="","Monatsstunden fehlen",IF($H54="","Monatslohn fehlt","OK")))))</f>
        <v>Monatslohn fehlt</v>
      </c>
      <c r="J54" s="424" t="str">
        <f>IF($G54="","",IF(COUNTIFS($A:$A,$A54,$D:$D,$D54,$G:$G,$G54)&gt;1,"Doppelte Monatsstunden",""))</f>
        <v/>
      </c>
    </row>
    <row r="55" spans="1:10" ht="24" customHeight="1">
      <c r="A55" s="414" t="s">
        <v>421</v>
      </c>
      <c r="B55" s="397">
        <v>46508</v>
      </c>
      <c r="C55" s="397">
        <v>46873</v>
      </c>
      <c r="D55" s="398" t="s">
        <v>12</v>
      </c>
      <c r="E55" s="398" t="s">
        <v>4</v>
      </c>
      <c r="F55" s="398" t="s">
        <v>324</v>
      </c>
      <c r="G55" s="209">
        <v>103.8</v>
      </c>
      <c r="H55" s="210"/>
      <c r="I55" s="398" t="str">
        <f>IF($A55="","",IF(OR($B55="",$C55="",$D55="",$E55="",$F55=""),"Stammdaten fehlen",IF(AND($G55="",$H55=""),"Werte fehlen",IF($G55="","Monatsstunden fehlen",IF($H55="","Monatslohn fehlt","OK")))))</f>
        <v>Monatslohn fehlt</v>
      </c>
      <c r="J55" s="424" t="str">
        <f>IF($G55="","",IF(COUNTIFS($A:$A,$A55,$D:$D,$D55,$G:$G,$G55)&gt;1,"Doppelte Monatsstunden",""))</f>
        <v/>
      </c>
    </row>
    <row r="56" spans="1:10" ht="24" customHeight="1">
      <c r="A56" s="414" t="s">
        <v>421</v>
      </c>
      <c r="B56" s="397">
        <v>46508</v>
      </c>
      <c r="C56" s="397">
        <v>46873</v>
      </c>
      <c r="D56" s="398" t="s">
        <v>12</v>
      </c>
      <c r="E56" s="398" t="s">
        <v>4</v>
      </c>
      <c r="F56" s="398" t="s">
        <v>324</v>
      </c>
      <c r="G56" s="209">
        <v>86.5</v>
      </c>
      <c r="H56" s="210"/>
      <c r="I56" s="398" t="str">
        <f>IF($A56="","",IF(OR($B56="",$C56="",$D56="",$E56="",$F56=""),"Stammdaten fehlen",IF(AND($G56="",$H56=""),"Werte fehlen",IF($G56="","Monatsstunden fehlen",IF($H56="","Monatslohn fehlt","OK")))))</f>
        <v>Monatslohn fehlt</v>
      </c>
      <c r="J56" s="424" t="str">
        <f>IF($G56="","",IF(COUNTIFS($A:$A,$A56,$D:$D,$D56,$G:$G,$G56)&gt;1,"Doppelte Monatsstunden",""))</f>
        <v/>
      </c>
    </row>
    <row r="57" spans="1:10" ht="24" customHeight="1">
      <c r="A57" s="414" t="s">
        <v>421</v>
      </c>
      <c r="B57" s="397">
        <v>46508</v>
      </c>
      <c r="C57" s="397">
        <v>46873</v>
      </c>
      <c r="D57" s="398" t="s">
        <v>12</v>
      </c>
      <c r="E57" s="398" t="s">
        <v>4</v>
      </c>
      <c r="F57" s="398" t="s">
        <v>324</v>
      </c>
      <c r="G57" s="209">
        <v>69.2</v>
      </c>
      <c r="H57" s="210"/>
      <c r="I57" s="398" t="str">
        <f>IF($A57="","",IF(OR($B57="",$C57="",$D57="",$E57="",$F57=""),"Stammdaten fehlen",IF(AND($G57="",$H57=""),"Werte fehlen",IF($G57="","Monatsstunden fehlen",IF($H57="","Monatslohn fehlt","OK")))))</f>
        <v>Monatslohn fehlt</v>
      </c>
      <c r="J57" s="424" t="str">
        <f>IF($G57="","",IF(COUNTIFS($A:$A,$A57,$D:$D,$D57,$G:$G,$G57)&gt;1,"Doppelte Monatsstunden",""))</f>
        <v/>
      </c>
    </row>
    <row r="58" spans="1:10" ht="24" customHeight="1">
      <c r="A58" s="414" t="s">
        <v>421</v>
      </c>
      <c r="B58" s="397">
        <v>46508</v>
      </c>
      <c r="C58" s="397">
        <v>46873</v>
      </c>
      <c r="D58" s="398" t="s">
        <v>12</v>
      </c>
      <c r="E58" s="398" t="s">
        <v>4</v>
      </c>
      <c r="F58" s="398" t="s">
        <v>324</v>
      </c>
      <c r="G58" s="209">
        <v>51.9</v>
      </c>
      <c r="H58" s="210"/>
      <c r="I58" s="398" t="str">
        <f>IF($A58="","",IF(OR($B58="",$C58="",$D58="",$E58="",$F58=""),"Stammdaten fehlen",IF(AND($G58="",$H58=""),"Werte fehlen",IF($G58="","Monatsstunden fehlen",IF($H58="","Monatslohn fehlt","OK")))))</f>
        <v>Monatslohn fehlt</v>
      </c>
      <c r="J58" s="424" t="str">
        <f>IF($G58="","",IF(COUNTIFS($A:$A,$A58,$D:$D,$D58,$G:$G,$G58)&gt;1,"Doppelte Monatsstunden",""))</f>
        <v/>
      </c>
    </row>
    <row r="59" spans="1:10" ht="24" customHeight="1">
      <c r="A59" s="414" t="s">
        <v>421</v>
      </c>
      <c r="B59" s="397">
        <v>46508</v>
      </c>
      <c r="C59" s="397">
        <v>46873</v>
      </c>
      <c r="D59" s="398" t="s">
        <v>12</v>
      </c>
      <c r="E59" s="398" t="s">
        <v>4</v>
      </c>
      <c r="F59" s="398" t="s">
        <v>324</v>
      </c>
      <c r="G59" s="209">
        <v>47.58</v>
      </c>
      <c r="H59" s="210"/>
      <c r="I59" s="398" t="str">
        <f>IF($A59="","",IF(OR($B59="",$C59="",$D59="",$E59="",$F59=""),"Stammdaten fehlen",IF(AND($G59="",$H59=""),"Werte fehlen",IF($G59="","Monatsstunden fehlen",IF($H59="","Monatslohn fehlt","OK")))))</f>
        <v>Monatslohn fehlt</v>
      </c>
      <c r="J59" s="424" t="str">
        <f>IF($G59="","",IF(COUNTIFS($A:$A,$A59,$D:$D,$D59,$G:$G,$G59)&gt;1,"Doppelte Monatsstunden",""))</f>
        <v/>
      </c>
    </row>
    <row r="60" spans="1:10" ht="24" customHeight="1">
      <c r="A60" s="414" t="s">
        <v>421</v>
      </c>
      <c r="B60" s="397">
        <v>46508</v>
      </c>
      <c r="C60" s="397">
        <v>46873</v>
      </c>
      <c r="D60" s="398" t="s">
        <v>12</v>
      </c>
      <c r="E60" s="398" t="s">
        <v>4</v>
      </c>
      <c r="F60" s="398" t="s">
        <v>324</v>
      </c>
      <c r="G60" s="209">
        <v>43.25</v>
      </c>
      <c r="H60" s="210"/>
      <c r="I60" s="398" t="str">
        <f>IF($A60="","",IF(OR($B60="",$C60="",$D60="",$E60="",$F60=""),"Stammdaten fehlen",IF(AND($G60="",$H60=""),"Werte fehlen",IF($G60="","Monatsstunden fehlen",IF($H60="","Monatslohn fehlt","OK")))))</f>
        <v>Monatslohn fehlt</v>
      </c>
      <c r="J60" s="424" t="str">
        <f>IF($G60="","",IF(COUNTIFS($A:$A,$A60,$D:$D,$D60,$G:$G,$G60)&gt;1,"Doppelte Monatsstunden",""))</f>
        <v/>
      </c>
    </row>
    <row r="61" spans="1:10" ht="24" customHeight="1">
      <c r="A61" s="414" t="s">
        <v>421</v>
      </c>
      <c r="B61" s="397">
        <v>46508</v>
      </c>
      <c r="C61" s="397">
        <v>46873</v>
      </c>
      <c r="D61" s="398" t="s">
        <v>12</v>
      </c>
      <c r="E61" s="398" t="s">
        <v>4</v>
      </c>
      <c r="F61" s="398" t="s">
        <v>324</v>
      </c>
      <c r="G61" s="209">
        <v>34.6</v>
      </c>
      <c r="H61" s="210"/>
      <c r="I61" s="398" t="str">
        <f>IF($A61="","",IF(OR($B61="",$C61="",$D61="",$E61="",$F61=""),"Stammdaten fehlen",IF(AND($G61="",$H61=""),"Werte fehlen",IF($G61="","Monatsstunden fehlen",IF($H61="","Monatslohn fehlt","OK")))))</f>
        <v>Monatslohn fehlt</v>
      </c>
      <c r="J61" s="424" t="str">
        <f>IF($G61="","",IF(COUNTIFS($A:$A,$A61,$D:$D,$D61,$G:$G,$G61)&gt;1,"Doppelte Monatsstunden",""))</f>
        <v/>
      </c>
    </row>
    <row r="62" spans="1:10" ht="24" customHeight="1">
      <c r="A62" s="414" t="s">
        <v>421</v>
      </c>
      <c r="B62" s="397">
        <v>46508</v>
      </c>
      <c r="C62" s="397">
        <v>46873</v>
      </c>
      <c r="D62" s="398" t="s">
        <v>12</v>
      </c>
      <c r="E62" s="398" t="s">
        <v>4</v>
      </c>
      <c r="F62" s="398" t="s">
        <v>324</v>
      </c>
      <c r="G62" s="209">
        <v>32.01</v>
      </c>
      <c r="H62" s="210"/>
      <c r="I62" s="398" t="str">
        <f>IF($A62="","",IF(OR($B62="",$C62="",$D62="",$E62="",$F62=""),"Stammdaten fehlen",IF(AND($G62="",$H62=""),"Werte fehlen",IF($G62="","Monatsstunden fehlen",IF($H62="","Monatslohn fehlt","OK")))))</f>
        <v>Monatslohn fehlt</v>
      </c>
      <c r="J62" s="424" t="str">
        <f>IF($G62="","",IF(COUNTIFS($A:$A,$A62,$D:$D,$D62,$G:$G,$G62)&gt;1,"Doppelte Monatsstunden",""))</f>
        <v/>
      </c>
    </row>
    <row r="63" spans="1:10" ht="24" customHeight="1">
      <c r="A63" s="414" t="s">
        <v>421</v>
      </c>
      <c r="B63" s="397">
        <v>46508</v>
      </c>
      <c r="C63" s="397">
        <v>46873</v>
      </c>
      <c r="D63" s="398" t="s">
        <v>12</v>
      </c>
      <c r="E63" s="398" t="s">
        <v>4</v>
      </c>
      <c r="F63" s="398" t="s">
        <v>324</v>
      </c>
      <c r="G63" s="209"/>
      <c r="H63" s="210"/>
      <c r="I63" s="398" t="str">
        <f>IF($A63="","",IF(OR($B63="",$C63="",$D63="",$E63="",$F63=""),"Stammdaten fehlen",IF(AND($G63="",$H63=""),"Werte fehlen",IF($G63="","Monatsstunden fehlen",IF($H63="","Monatslohn fehlt","OK")))))</f>
        <v>Werte fehlen</v>
      </c>
      <c r="J63" s="424" t="str">
        <f>IF($G63="","",IF(COUNTIFS($A:$A,$A63,$D:$D,$D63,$G:$G,$G63)&gt;1,"Doppelte Monatsstunden",""))</f>
        <v/>
      </c>
    </row>
    <row r="64" spans="1:10" ht="24" customHeight="1" thickBot="1">
      <c r="A64" s="414" t="s">
        <v>421</v>
      </c>
      <c r="B64" s="397">
        <v>46508</v>
      </c>
      <c r="C64" s="397">
        <v>46873</v>
      </c>
      <c r="D64" s="398" t="s">
        <v>12</v>
      </c>
      <c r="E64" s="398" t="s">
        <v>4</v>
      </c>
      <c r="F64" s="398" t="s">
        <v>324</v>
      </c>
      <c r="G64" s="209"/>
      <c r="H64" s="210"/>
      <c r="I64" s="398" t="str">
        <f>IF($A64="","",IF(OR($B64="",$C64="",$D64="",$E64="",$F64=""),"Stammdaten fehlen",IF(AND($G64="",$H64=""),"Werte fehlen",IF($G64="","Monatsstunden fehlen",IF($H64="","Monatslohn fehlt","OK")))))</f>
        <v>Werte fehlen</v>
      </c>
      <c r="J64" s="424" t="str">
        <f>IF($G64="","",IF(COUNTIFS($A:$A,$A64,$D:$D,$D64,$G:$G,$G64)&gt;1,"Doppelte Monatsstunden",""))</f>
        <v/>
      </c>
    </row>
    <row r="65" spans="1:10" ht="24" customHeight="1">
      <c r="A65" s="416" t="s">
        <v>421</v>
      </c>
      <c r="B65" s="401">
        <v>46508</v>
      </c>
      <c r="C65" s="401">
        <v>46873</v>
      </c>
      <c r="D65" s="402" t="s">
        <v>332</v>
      </c>
      <c r="E65" s="402" t="s">
        <v>13</v>
      </c>
      <c r="F65" s="402" t="s">
        <v>321</v>
      </c>
      <c r="G65" s="213">
        <v>173</v>
      </c>
      <c r="H65" s="214"/>
      <c r="I65" s="402" t="str">
        <f>IF($A65="","",IF(OR($B65="",$C65="",$D65="",$E65="",$F65=""),"Stammdaten fehlen",IF(AND($G65="",$H65=""),"Werte fehlen",IF($G65="","Monatsstunden fehlen",IF($H65="","Monatslohn fehlt","OK")))))</f>
        <v>Monatslohn fehlt</v>
      </c>
      <c r="J65" s="426" t="str">
        <f>IF($G65="","",IF(COUNTIFS($A:$A,$A65,$D:$D,$D65,$G:$G,$G65)&gt;1,"Doppelte Monatsstunden",""))</f>
        <v/>
      </c>
    </row>
    <row r="66" spans="1:10" ht="24" customHeight="1">
      <c r="A66" s="417" t="s">
        <v>421</v>
      </c>
      <c r="B66" s="403">
        <v>46508</v>
      </c>
      <c r="C66" s="403">
        <v>46873</v>
      </c>
      <c r="D66" s="404" t="s">
        <v>332</v>
      </c>
      <c r="E66" s="404" t="s">
        <v>13</v>
      </c>
      <c r="F66" s="404" t="s">
        <v>321</v>
      </c>
      <c r="G66" s="215">
        <v>151.38</v>
      </c>
      <c r="H66" s="216"/>
      <c r="I66" s="404" t="str">
        <f>IF($A66="","",IF(OR($B66="",$C66="",$D66="",$E66="",$F66=""),"Stammdaten fehlen",IF(AND($G66="",$H66=""),"Werte fehlen",IF($G66="","Monatsstunden fehlen",IF($H66="","Monatslohn fehlt","OK")))))</f>
        <v>Monatslohn fehlt</v>
      </c>
      <c r="J66" s="427" t="str">
        <f>IF($G66="","",IF(COUNTIFS($A:$A,$A66,$D:$D,$D66,$G:$G,$G66)&gt;1,"Doppelte Monatsstunden",""))</f>
        <v/>
      </c>
    </row>
    <row r="67" spans="1:10" ht="24" customHeight="1">
      <c r="A67" s="417" t="s">
        <v>421</v>
      </c>
      <c r="B67" s="403">
        <v>46508</v>
      </c>
      <c r="C67" s="403">
        <v>46873</v>
      </c>
      <c r="D67" s="404" t="s">
        <v>332</v>
      </c>
      <c r="E67" s="404" t="s">
        <v>13</v>
      </c>
      <c r="F67" s="404" t="s">
        <v>321</v>
      </c>
      <c r="G67" s="215">
        <v>138.4</v>
      </c>
      <c r="H67" s="216"/>
      <c r="I67" s="404" t="str">
        <f>IF($A67="","",IF(OR($B67="",$C67="",$D67="",$E67="",$F67=""),"Stammdaten fehlen",IF(AND($G67="",$H67=""),"Werte fehlen",IF($G67="","Monatsstunden fehlen",IF($H67="","Monatslohn fehlt","OK")))))</f>
        <v>Monatslohn fehlt</v>
      </c>
      <c r="J67" s="427" t="str">
        <f>IF($G67="","",IF(COUNTIFS($A:$A,$A67,$D:$D,$D67,$G:$G,$G67)&gt;1,"Doppelte Monatsstunden",""))</f>
        <v/>
      </c>
    </row>
    <row r="68" spans="1:10" ht="24" customHeight="1">
      <c r="A68" s="417" t="s">
        <v>421</v>
      </c>
      <c r="B68" s="403">
        <v>46508</v>
      </c>
      <c r="C68" s="403">
        <v>46873</v>
      </c>
      <c r="D68" s="404" t="s">
        <v>332</v>
      </c>
      <c r="E68" s="404" t="s">
        <v>13</v>
      </c>
      <c r="F68" s="404" t="s">
        <v>321</v>
      </c>
      <c r="G68" s="215">
        <v>129.75</v>
      </c>
      <c r="H68" s="216"/>
      <c r="I68" s="404" t="str">
        <f>IF($A68="","",IF(OR($B68="",$C68="",$D68="",$E68="",$F68=""),"Stammdaten fehlen",IF(AND($G68="",$H68=""),"Werte fehlen",IF($G68="","Monatsstunden fehlen",IF($H68="","Monatslohn fehlt","OK")))))</f>
        <v>Monatslohn fehlt</v>
      </c>
      <c r="J68" s="427" t="str">
        <f>IF($G68="","",IF(COUNTIFS($A:$A,$A68,$D:$D,$D68,$G:$G,$G68)&gt;1,"Doppelte Monatsstunden",""))</f>
        <v/>
      </c>
    </row>
    <row r="69" spans="1:10" ht="24" customHeight="1">
      <c r="A69" s="417" t="s">
        <v>421</v>
      </c>
      <c r="B69" s="403">
        <v>46508</v>
      </c>
      <c r="C69" s="403">
        <v>46873</v>
      </c>
      <c r="D69" s="404" t="s">
        <v>332</v>
      </c>
      <c r="E69" s="404" t="s">
        <v>13</v>
      </c>
      <c r="F69" s="404" t="s">
        <v>321</v>
      </c>
      <c r="G69" s="215">
        <v>108.13</v>
      </c>
      <c r="H69" s="216"/>
      <c r="I69" s="404" t="str">
        <f>IF($A69="","",IF(OR($B69="",$C69="",$D69="",$E69="",$F69=""),"Stammdaten fehlen",IF(AND($G69="",$H69=""),"Werte fehlen",IF($G69="","Monatsstunden fehlen",IF($H69="","Monatslohn fehlt","OK")))))</f>
        <v>Monatslohn fehlt</v>
      </c>
      <c r="J69" s="427" t="str">
        <f>IF($G69="","",IF(COUNTIFS($A:$A,$A69,$D:$D,$D69,$G:$G,$G69)&gt;1,"Doppelte Monatsstunden",""))</f>
        <v/>
      </c>
    </row>
    <row r="70" spans="1:10" ht="24" customHeight="1">
      <c r="A70" s="417" t="s">
        <v>421</v>
      </c>
      <c r="B70" s="403">
        <v>46508</v>
      </c>
      <c r="C70" s="403">
        <v>46873</v>
      </c>
      <c r="D70" s="404" t="s">
        <v>332</v>
      </c>
      <c r="E70" s="404" t="s">
        <v>13</v>
      </c>
      <c r="F70" s="404" t="s">
        <v>321</v>
      </c>
      <c r="G70" s="215">
        <v>103.8</v>
      </c>
      <c r="H70" s="216"/>
      <c r="I70" s="404" t="str">
        <f>IF($A70="","",IF(OR($B70="",$C70="",$D70="",$E70="",$F70=""),"Stammdaten fehlen",IF(AND($G70="",$H70=""),"Werte fehlen",IF($G70="","Monatsstunden fehlen",IF($H70="","Monatslohn fehlt","OK")))))</f>
        <v>Monatslohn fehlt</v>
      </c>
      <c r="J70" s="427" t="str">
        <f>IF($G70="","",IF(COUNTIFS($A:$A,$A70,$D:$D,$D70,$G:$G,$G70)&gt;1,"Doppelte Monatsstunden",""))</f>
        <v/>
      </c>
    </row>
    <row r="71" spans="1:10" ht="24" customHeight="1">
      <c r="A71" s="417" t="s">
        <v>421</v>
      </c>
      <c r="B71" s="403">
        <v>46508</v>
      </c>
      <c r="C71" s="403">
        <v>46873</v>
      </c>
      <c r="D71" s="404" t="s">
        <v>332</v>
      </c>
      <c r="E71" s="404" t="s">
        <v>13</v>
      </c>
      <c r="F71" s="404" t="s">
        <v>321</v>
      </c>
      <c r="G71" s="215">
        <v>86.5</v>
      </c>
      <c r="H71" s="216"/>
      <c r="I71" s="404" t="str">
        <f>IF($A71="","",IF(OR($B71="",$C71="",$D71="",$E71="",$F71=""),"Stammdaten fehlen",IF(AND($G71="",$H71=""),"Werte fehlen",IF($G71="","Monatsstunden fehlen",IF($H71="","Monatslohn fehlt","OK")))))</f>
        <v>Monatslohn fehlt</v>
      </c>
      <c r="J71" s="427" t="str">
        <f>IF($G71="","",IF(COUNTIFS($A:$A,$A71,$D:$D,$D71,$G:$G,$G71)&gt;1,"Doppelte Monatsstunden",""))</f>
        <v/>
      </c>
    </row>
    <row r="72" spans="1:10" ht="24" customHeight="1">
      <c r="A72" s="417" t="s">
        <v>421</v>
      </c>
      <c r="B72" s="403">
        <v>46508</v>
      </c>
      <c r="C72" s="403">
        <v>46873</v>
      </c>
      <c r="D72" s="404" t="s">
        <v>332</v>
      </c>
      <c r="E72" s="404" t="s">
        <v>13</v>
      </c>
      <c r="F72" s="404" t="s">
        <v>321</v>
      </c>
      <c r="G72" s="215">
        <v>69.2</v>
      </c>
      <c r="H72" s="216"/>
      <c r="I72" s="404" t="str">
        <f>IF($A72="","",IF(OR($B72="",$C72="",$D72="",$E72="",$F72=""),"Stammdaten fehlen",IF(AND($G72="",$H72=""),"Werte fehlen",IF($G72="","Monatsstunden fehlen",IF($H72="","Monatslohn fehlt","OK")))))</f>
        <v>Monatslohn fehlt</v>
      </c>
      <c r="J72" s="427" t="str">
        <f>IF($G72="","",IF(COUNTIFS($A:$A,$A72,$D:$D,$D72,$G:$G,$G72)&gt;1,"Doppelte Monatsstunden",""))</f>
        <v/>
      </c>
    </row>
    <row r="73" spans="1:10" ht="24" customHeight="1">
      <c r="A73" s="417" t="s">
        <v>421</v>
      </c>
      <c r="B73" s="403">
        <v>46508</v>
      </c>
      <c r="C73" s="403">
        <v>46873</v>
      </c>
      <c r="D73" s="404" t="s">
        <v>332</v>
      </c>
      <c r="E73" s="404" t="s">
        <v>13</v>
      </c>
      <c r="F73" s="404" t="s">
        <v>321</v>
      </c>
      <c r="G73" s="215">
        <v>51.9</v>
      </c>
      <c r="H73" s="216"/>
      <c r="I73" s="404" t="str">
        <f>IF($A73="","",IF(OR($B73="",$C73="",$D73="",$E73="",$F73=""),"Stammdaten fehlen",IF(AND($G73="",$H73=""),"Werte fehlen",IF($G73="","Monatsstunden fehlen",IF($H73="","Monatslohn fehlt","OK")))))</f>
        <v>Monatslohn fehlt</v>
      </c>
      <c r="J73" s="427" t="str">
        <f>IF($G73="","",IF(COUNTIFS($A:$A,$A73,$D:$D,$D73,$G:$G,$G73)&gt;1,"Doppelte Monatsstunden",""))</f>
        <v/>
      </c>
    </row>
    <row r="74" spans="1:10" ht="24" customHeight="1">
      <c r="A74" s="417" t="s">
        <v>421</v>
      </c>
      <c r="B74" s="403">
        <v>46508</v>
      </c>
      <c r="C74" s="403">
        <v>46873</v>
      </c>
      <c r="D74" s="404" t="s">
        <v>332</v>
      </c>
      <c r="E74" s="404" t="s">
        <v>13</v>
      </c>
      <c r="F74" s="404" t="s">
        <v>321</v>
      </c>
      <c r="G74" s="215">
        <v>47.58</v>
      </c>
      <c r="H74" s="216"/>
      <c r="I74" s="404" t="str">
        <f>IF($A74="","",IF(OR($B74="",$C74="",$D74="",$E74="",$F74=""),"Stammdaten fehlen",IF(AND($G74="",$H74=""),"Werte fehlen",IF($G74="","Monatsstunden fehlen",IF($H74="","Monatslohn fehlt","OK")))))</f>
        <v>Monatslohn fehlt</v>
      </c>
      <c r="J74" s="427" t="str">
        <f>IF($G74="","",IF(COUNTIFS($A:$A,$A74,$D:$D,$D74,$G:$G,$G74)&gt;1,"Doppelte Monatsstunden",""))</f>
        <v/>
      </c>
    </row>
    <row r="75" spans="1:10" ht="24" customHeight="1">
      <c r="A75" s="417" t="s">
        <v>421</v>
      </c>
      <c r="B75" s="403">
        <v>46508</v>
      </c>
      <c r="C75" s="403">
        <v>46873</v>
      </c>
      <c r="D75" s="404" t="s">
        <v>332</v>
      </c>
      <c r="E75" s="404" t="s">
        <v>13</v>
      </c>
      <c r="F75" s="404" t="s">
        <v>321</v>
      </c>
      <c r="G75" s="215">
        <v>43.25</v>
      </c>
      <c r="H75" s="216"/>
      <c r="I75" s="404" t="str">
        <f>IF($A75="","",IF(OR($B75="",$C75="",$D75="",$E75="",$F75=""),"Stammdaten fehlen",IF(AND($G75="",$H75=""),"Werte fehlen",IF($G75="","Monatsstunden fehlen",IF($H75="","Monatslohn fehlt","OK")))))</f>
        <v>Monatslohn fehlt</v>
      </c>
      <c r="J75" s="427" t="str">
        <f>IF($G75="","",IF(COUNTIFS($A:$A,$A75,$D:$D,$D75,$G:$G,$G75)&gt;1,"Doppelte Monatsstunden",""))</f>
        <v/>
      </c>
    </row>
    <row r="76" spans="1:10" ht="24" customHeight="1">
      <c r="A76" s="417" t="s">
        <v>421</v>
      </c>
      <c r="B76" s="403">
        <v>46508</v>
      </c>
      <c r="C76" s="403">
        <v>46873</v>
      </c>
      <c r="D76" s="404" t="s">
        <v>332</v>
      </c>
      <c r="E76" s="404" t="s">
        <v>13</v>
      </c>
      <c r="F76" s="404" t="s">
        <v>321</v>
      </c>
      <c r="G76" s="215">
        <v>34.6</v>
      </c>
      <c r="H76" s="216"/>
      <c r="I76" s="404" t="str">
        <f>IF($A76="","",IF(OR($B76="",$C76="",$D76="",$E76="",$F76=""),"Stammdaten fehlen",IF(AND($G76="",$H76=""),"Werte fehlen",IF($G76="","Monatsstunden fehlen",IF($H76="","Monatslohn fehlt","OK")))))</f>
        <v>Monatslohn fehlt</v>
      </c>
      <c r="J76" s="427" t="str">
        <f>IF($G76="","",IF(COUNTIFS($A:$A,$A76,$D:$D,$D76,$G:$G,$G76)&gt;1,"Doppelte Monatsstunden",""))</f>
        <v/>
      </c>
    </row>
    <row r="77" spans="1:10" ht="24" customHeight="1">
      <c r="A77" s="417" t="s">
        <v>421</v>
      </c>
      <c r="B77" s="403">
        <v>46508</v>
      </c>
      <c r="C77" s="403">
        <v>46873</v>
      </c>
      <c r="D77" s="404" t="s">
        <v>332</v>
      </c>
      <c r="E77" s="404" t="s">
        <v>13</v>
      </c>
      <c r="F77" s="404" t="s">
        <v>321</v>
      </c>
      <c r="G77" s="215">
        <v>32.01</v>
      </c>
      <c r="H77" s="216"/>
      <c r="I77" s="404" t="str">
        <f>IF($A77="","",IF(OR($B77="",$C77="",$D77="",$E77="",$F77=""),"Stammdaten fehlen",IF(AND($G77="",$H77=""),"Werte fehlen",IF($G77="","Monatsstunden fehlen",IF($H77="","Monatslohn fehlt","OK")))))</f>
        <v>Monatslohn fehlt</v>
      </c>
      <c r="J77" s="427" t="str">
        <f>IF($G77="","",IF(COUNTIFS($A:$A,$A77,$D:$D,$D77,$G:$G,$G77)&gt;1,"Doppelte Monatsstunden",""))</f>
        <v/>
      </c>
    </row>
    <row r="78" spans="1:10" ht="24" customHeight="1">
      <c r="A78" s="417" t="s">
        <v>421</v>
      </c>
      <c r="B78" s="403">
        <v>46508</v>
      </c>
      <c r="C78" s="403">
        <v>46873</v>
      </c>
      <c r="D78" s="404" t="s">
        <v>332</v>
      </c>
      <c r="E78" s="404" t="s">
        <v>13</v>
      </c>
      <c r="F78" s="404" t="s">
        <v>321</v>
      </c>
      <c r="G78" s="215"/>
      <c r="H78" s="216"/>
      <c r="I78" s="404" t="str">
        <f>IF($A78="","",IF(OR($B78="",$C78="",$D78="",$E78="",$F78=""),"Stammdaten fehlen",IF(AND($G78="",$H78=""),"Werte fehlen",IF($G78="","Monatsstunden fehlen",IF($H78="","Monatslohn fehlt","OK")))))</f>
        <v>Werte fehlen</v>
      </c>
      <c r="J78" s="427" t="str">
        <f>IF($G78="","",IF(COUNTIFS($A:$A,$A78,$D:$D,$D78,$G:$G,$G78)&gt;1,"Doppelte Monatsstunden",""))</f>
        <v/>
      </c>
    </row>
    <row r="79" spans="1:10" ht="24" customHeight="1" thickBot="1">
      <c r="A79" s="417" t="s">
        <v>421</v>
      </c>
      <c r="B79" s="403">
        <v>46508</v>
      </c>
      <c r="C79" s="403">
        <v>46873</v>
      </c>
      <c r="D79" s="404" t="s">
        <v>332</v>
      </c>
      <c r="E79" s="404" t="s">
        <v>13</v>
      </c>
      <c r="F79" s="404" t="s">
        <v>321</v>
      </c>
      <c r="G79" s="215"/>
      <c r="H79" s="216"/>
      <c r="I79" s="404" t="str">
        <f>IF($A79="","",IF(OR($B79="",$C79="",$D79="",$E79="",$F79=""),"Stammdaten fehlen",IF(AND($G79="",$H79=""),"Werte fehlen",IF($G79="","Monatsstunden fehlen",IF($H79="","Monatslohn fehlt","OK")))))</f>
        <v>Werte fehlen</v>
      </c>
      <c r="J79" s="427" t="str">
        <f>IF($G79="","",IF(COUNTIFS($A:$A,$A79,$D:$D,$D79,$G:$G,$G79)&gt;1,"Doppelte Monatsstunden",""))</f>
        <v/>
      </c>
    </row>
    <row r="80" spans="1:10" ht="24" customHeight="1">
      <c r="A80" s="416" t="s">
        <v>421</v>
      </c>
      <c r="B80" s="401">
        <v>46508</v>
      </c>
      <c r="C80" s="401">
        <v>46873</v>
      </c>
      <c r="D80" s="402" t="s">
        <v>15</v>
      </c>
      <c r="E80" s="402" t="s">
        <v>13</v>
      </c>
      <c r="F80" s="402" t="s">
        <v>322</v>
      </c>
      <c r="G80" s="213">
        <v>173</v>
      </c>
      <c r="H80" s="214"/>
      <c r="I80" s="402" t="str">
        <f>IF($A80="","",IF(OR($B80="",$C80="",$D80="",$E80="",$F80=""),"Stammdaten fehlen",IF(AND($G80="",$H80=""),"Werte fehlen",IF($G80="","Monatsstunden fehlen",IF($H80="","Monatslohn fehlt","OK")))))</f>
        <v>Monatslohn fehlt</v>
      </c>
      <c r="J80" s="426" t="str">
        <f>IF($G80="","",IF(COUNTIFS($A:$A,$A80,$D:$D,$D80,$G:$G,$G80)&gt;1,"Doppelte Monatsstunden",""))</f>
        <v/>
      </c>
    </row>
    <row r="81" spans="1:10" ht="24" customHeight="1">
      <c r="A81" s="417" t="s">
        <v>421</v>
      </c>
      <c r="B81" s="403">
        <v>46508</v>
      </c>
      <c r="C81" s="403">
        <v>46873</v>
      </c>
      <c r="D81" s="404" t="s">
        <v>15</v>
      </c>
      <c r="E81" s="404" t="s">
        <v>13</v>
      </c>
      <c r="F81" s="404" t="s">
        <v>322</v>
      </c>
      <c r="G81" s="215">
        <v>151.38</v>
      </c>
      <c r="H81" s="216"/>
      <c r="I81" s="404" t="str">
        <f>IF($A81="","",IF(OR($B81="",$C81="",$D81="",$E81="",$F81=""),"Stammdaten fehlen",IF(AND($G81="",$H81=""),"Werte fehlen",IF($G81="","Monatsstunden fehlen",IF($H81="","Monatslohn fehlt","OK")))))</f>
        <v>Monatslohn fehlt</v>
      </c>
      <c r="J81" s="427" t="str">
        <f>IF($G81="","",IF(COUNTIFS($A:$A,$A81,$D:$D,$D81,$G:$G,$G81)&gt;1,"Doppelte Monatsstunden",""))</f>
        <v/>
      </c>
    </row>
    <row r="82" spans="1:10" ht="24" customHeight="1">
      <c r="A82" s="417" t="s">
        <v>421</v>
      </c>
      <c r="B82" s="403">
        <v>46508</v>
      </c>
      <c r="C82" s="403">
        <v>46873</v>
      </c>
      <c r="D82" s="404" t="s">
        <v>15</v>
      </c>
      <c r="E82" s="404" t="s">
        <v>13</v>
      </c>
      <c r="F82" s="404" t="s">
        <v>322</v>
      </c>
      <c r="G82" s="215">
        <v>138.4</v>
      </c>
      <c r="H82" s="216"/>
      <c r="I82" s="404" t="str">
        <f>IF($A82="","",IF(OR($B82="",$C82="",$D82="",$E82="",$F82=""),"Stammdaten fehlen",IF(AND($G82="",$H82=""),"Werte fehlen",IF($G82="","Monatsstunden fehlen",IF($H82="","Monatslohn fehlt","OK")))))</f>
        <v>Monatslohn fehlt</v>
      </c>
      <c r="J82" s="427" t="str">
        <f>IF($G82="","",IF(COUNTIFS($A:$A,$A82,$D:$D,$D82,$G:$G,$G82)&gt;1,"Doppelte Monatsstunden",""))</f>
        <v/>
      </c>
    </row>
    <row r="83" spans="1:10" ht="24" customHeight="1">
      <c r="A83" s="417" t="s">
        <v>421</v>
      </c>
      <c r="B83" s="403">
        <v>46508</v>
      </c>
      <c r="C83" s="403">
        <v>46873</v>
      </c>
      <c r="D83" s="404" t="s">
        <v>15</v>
      </c>
      <c r="E83" s="404" t="s">
        <v>13</v>
      </c>
      <c r="F83" s="404" t="s">
        <v>322</v>
      </c>
      <c r="G83" s="215">
        <v>129.75</v>
      </c>
      <c r="H83" s="216"/>
      <c r="I83" s="404" t="str">
        <f>IF($A83="","",IF(OR($B83="",$C83="",$D83="",$E83="",$F83=""),"Stammdaten fehlen",IF(AND($G83="",$H83=""),"Werte fehlen",IF($G83="","Monatsstunden fehlen",IF($H83="","Monatslohn fehlt","OK")))))</f>
        <v>Monatslohn fehlt</v>
      </c>
      <c r="J83" s="427" t="str">
        <f>IF($G83="","",IF(COUNTIFS($A:$A,$A83,$D:$D,$D83,$G:$G,$G83)&gt;1,"Doppelte Monatsstunden",""))</f>
        <v/>
      </c>
    </row>
    <row r="84" spans="1:10" ht="24" customHeight="1">
      <c r="A84" s="417" t="s">
        <v>421</v>
      </c>
      <c r="B84" s="403">
        <v>46508</v>
      </c>
      <c r="C84" s="403">
        <v>46873</v>
      </c>
      <c r="D84" s="404" t="s">
        <v>15</v>
      </c>
      <c r="E84" s="404" t="s">
        <v>13</v>
      </c>
      <c r="F84" s="404" t="s">
        <v>322</v>
      </c>
      <c r="G84" s="215">
        <v>108.13</v>
      </c>
      <c r="H84" s="216"/>
      <c r="I84" s="404" t="str">
        <f>IF($A84="","",IF(OR($B84="",$C84="",$D84="",$E84="",$F84=""),"Stammdaten fehlen",IF(AND($G84="",$H84=""),"Werte fehlen",IF($G84="","Monatsstunden fehlen",IF($H84="","Monatslohn fehlt","OK")))))</f>
        <v>Monatslohn fehlt</v>
      </c>
      <c r="J84" s="427" t="str">
        <f>IF($G84="","",IF(COUNTIFS($A:$A,$A84,$D:$D,$D84,$G:$G,$G84)&gt;1,"Doppelte Monatsstunden",""))</f>
        <v/>
      </c>
    </row>
    <row r="85" spans="1:10" ht="24" customHeight="1">
      <c r="A85" s="417" t="s">
        <v>421</v>
      </c>
      <c r="B85" s="403">
        <v>46508</v>
      </c>
      <c r="C85" s="403">
        <v>46873</v>
      </c>
      <c r="D85" s="404" t="s">
        <v>15</v>
      </c>
      <c r="E85" s="404" t="s">
        <v>13</v>
      </c>
      <c r="F85" s="404" t="s">
        <v>322</v>
      </c>
      <c r="G85" s="215">
        <v>103.8</v>
      </c>
      <c r="H85" s="216"/>
      <c r="I85" s="404" t="str">
        <f>IF($A85="","",IF(OR($B85="",$C85="",$D85="",$E85="",$F85=""),"Stammdaten fehlen",IF(AND($G85="",$H85=""),"Werte fehlen",IF($G85="","Monatsstunden fehlen",IF($H85="","Monatslohn fehlt","OK")))))</f>
        <v>Monatslohn fehlt</v>
      </c>
      <c r="J85" s="427" t="str">
        <f>IF($G85="","",IF(COUNTIFS($A:$A,$A85,$D:$D,$D85,$G:$G,$G85)&gt;1,"Doppelte Monatsstunden",""))</f>
        <v/>
      </c>
    </row>
    <row r="86" spans="1:10" ht="24" customHeight="1">
      <c r="A86" s="417" t="s">
        <v>421</v>
      </c>
      <c r="B86" s="403">
        <v>46508</v>
      </c>
      <c r="C86" s="403">
        <v>46873</v>
      </c>
      <c r="D86" s="404" t="s">
        <v>15</v>
      </c>
      <c r="E86" s="404" t="s">
        <v>13</v>
      </c>
      <c r="F86" s="404" t="s">
        <v>322</v>
      </c>
      <c r="G86" s="215">
        <v>86.5</v>
      </c>
      <c r="H86" s="216"/>
      <c r="I86" s="404" t="str">
        <f>IF($A86="","",IF(OR($B86="",$C86="",$D86="",$E86="",$F86=""),"Stammdaten fehlen",IF(AND($G86="",$H86=""),"Werte fehlen",IF($G86="","Monatsstunden fehlen",IF($H86="","Monatslohn fehlt","OK")))))</f>
        <v>Monatslohn fehlt</v>
      </c>
      <c r="J86" s="427" t="str">
        <f>IF($G86="","",IF(COUNTIFS($A:$A,$A86,$D:$D,$D86,$G:$G,$G86)&gt;1,"Doppelte Monatsstunden",""))</f>
        <v/>
      </c>
    </row>
    <row r="87" spans="1:10" ht="24" customHeight="1">
      <c r="A87" s="417" t="s">
        <v>421</v>
      </c>
      <c r="B87" s="403">
        <v>46508</v>
      </c>
      <c r="C87" s="403">
        <v>46873</v>
      </c>
      <c r="D87" s="404" t="s">
        <v>15</v>
      </c>
      <c r="E87" s="404" t="s">
        <v>13</v>
      </c>
      <c r="F87" s="404" t="s">
        <v>322</v>
      </c>
      <c r="G87" s="215">
        <v>69.2</v>
      </c>
      <c r="H87" s="216"/>
      <c r="I87" s="404" t="str">
        <f>IF($A87="","",IF(OR($B87="",$C87="",$D87="",$E87="",$F87=""),"Stammdaten fehlen",IF(AND($G87="",$H87=""),"Werte fehlen",IF($G87="","Monatsstunden fehlen",IF($H87="","Monatslohn fehlt","OK")))))</f>
        <v>Monatslohn fehlt</v>
      </c>
      <c r="J87" s="427" t="str">
        <f>IF($G87="","",IF(COUNTIFS($A:$A,$A87,$D:$D,$D87,$G:$G,$G87)&gt;1,"Doppelte Monatsstunden",""))</f>
        <v/>
      </c>
    </row>
    <row r="88" spans="1:10" ht="24" customHeight="1">
      <c r="A88" s="417" t="s">
        <v>421</v>
      </c>
      <c r="B88" s="403">
        <v>46508</v>
      </c>
      <c r="C88" s="403">
        <v>46873</v>
      </c>
      <c r="D88" s="404" t="s">
        <v>15</v>
      </c>
      <c r="E88" s="404" t="s">
        <v>13</v>
      </c>
      <c r="F88" s="404" t="s">
        <v>322</v>
      </c>
      <c r="G88" s="215">
        <v>51.9</v>
      </c>
      <c r="H88" s="216"/>
      <c r="I88" s="404" t="str">
        <f>IF($A88="","",IF(OR($B88="",$C88="",$D88="",$E88="",$F88=""),"Stammdaten fehlen",IF(AND($G88="",$H88=""),"Werte fehlen",IF($G88="","Monatsstunden fehlen",IF($H88="","Monatslohn fehlt","OK")))))</f>
        <v>Monatslohn fehlt</v>
      </c>
      <c r="J88" s="427" t="str">
        <f>IF($G88="","",IF(COUNTIFS($A:$A,$A88,$D:$D,$D88,$G:$G,$G88)&gt;1,"Doppelte Monatsstunden",""))</f>
        <v/>
      </c>
    </row>
    <row r="89" spans="1:10" ht="24" customHeight="1">
      <c r="A89" s="417" t="s">
        <v>421</v>
      </c>
      <c r="B89" s="403">
        <v>46508</v>
      </c>
      <c r="C89" s="403">
        <v>46873</v>
      </c>
      <c r="D89" s="404" t="s">
        <v>15</v>
      </c>
      <c r="E89" s="404" t="s">
        <v>13</v>
      </c>
      <c r="F89" s="404" t="s">
        <v>322</v>
      </c>
      <c r="G89" s="215">
        <v>47.58</v>
      </c>
      <c r="H89" s="216"/>
      <c r="I89" s="404" t="str">
        <f>IF($A89="","",IF(OR($B89="",$C89="",$D89="",$E89="",$F89=""),"Stammdaten fehlen",IF(AND($G89="",$H89=""),"Werte fehlen",IF($G89="","Monatsstunden fehlen",IF($H89="","Monatslohn fehlt","OK")))))</f>
        <v>Monatslohn fehlt</v>
      </c>
      <c r="J89" s="427" t="str">
        <f>IF($G89="","",IF(COUNTIFS($A:$A,$A89,$D:$D,$D89,$G:$G,$G89)&gt;1,"Doppelte Monatsstunden",""))</f>
        <v/>
      </c>
    </row>
    <row r="90" spans="1:10" ht="24" customHeight="1">
      <c r="A90" s="417" t="s">
        <v>421</v>
      </c>
      <c r="B90" s="403">
        <v>46508</v>
      </c>
      <c r="C90" s="403">
        <v>46873</v>
      </c>
      <c r="D90" s="404" t="s">
        <v>15</v>
      </c>
      <c r="E90" s="404" t="s">
        <v>13</v>
      </c>
      <c r="F90" s="404" t="s">
        <v>322</v>
      </c>
      <c r="G90" s="215">
        <v>43.25</v>
      </c>
      <c r="H90" s="216"/>
      <c r="I90" s="404" t="str">
        <f>IF($A90="","",IF(OR($B90="",$C90="",$D90="",$E90="",$F90=""),"Stammdaten fehlen",IF(AND($G90="",$H90=""),"Werte fehlen",IF($G90="","Monatsstunden fehlen",IF($H90="","Monatslohn fehlt","OK")))))</f>
        <v>Monatslohn fehlt</v>
      </c>
      <c r="J90" s="427" t="str">
        <f>IF($G90="","",IF(COUNTIFS($A:$A,$A90,$D:$D,$D90,$G:$G,$G90)&gt;1,"Doppelte Monatsstunden",""))</f>
        <v/>
      </c>
    </row>
    <row r="91" spans="1:10" ht="24" customHeight="1">
      <c r="A91" s="417" t="s">
        <v>421</v>
      </c>
      <c r="B91" s="403">
        <v>46508</v>
      </c>
      <c r="C91" s="403">
        <v>46873</v>
      </c>
      <c r="D91" s="404" t="s">
        <v>15</v>
      </c>
      <c r="E91" s="404" t="s">
        <v>13</v>
      </c>
      <c r="F91" s="404" t="s">
        <v>322</v>
      </c>
      <c r="G91" s="215">
        <v>34.6</v>
      </c>
      <c r="H91" s="216"/>
      <c r="I91" s="404" t="str">
        <f>IF($A91="","",IF(OR($B91="",$C91="",$D91="",$E91="",$F91=""),"Stammdaten fehlen",IF(AND($G91="",$H91=""),"Werte fehlen",IF($G91="","Monatsstunden fehlen",IF($H91="","Monatslohn fehlt","OK")))))</f>
        <v>Monatslohn fehlt</v>
      </c>
      <c r="J91" s="427" t="str">
        <f>IF($G91="","",IF(COUNTIFS($A:$A,$A91,$D:$D,$D91,$G:$G,$G91)&gt;1,"Doppelte Monatsstunden",""))</f>
        <v/>
      </c>
    </row>
    <row r="92" spans="1:10" ht="24" customHeight="1">
      <c r="A92" s="417" t="s">
        <v>421</v>
      </c>
      <c r="B92" s="403">
        <v>46508</v>
      </c>
      <c r="C92" s="403">
        <v>46873</v>
      </c>
      <c r="D92" s="404" t="s">
        <v>15</v>
      </c>
      <c r="E92" s="404" t="s">
        <v>13</v>
      </c>
      <c r="F92" s="404" t="s">
        <v>322</v>
      </c>
      <c r="G92" s="215">
        <v>32.01</v>
      </c>
      <c r="H92" s="216"/>
      <c r="I92" s="404" t="str">
        <f>IF($A92="","",IF(OR($B92="",$C92="",$D92="",$E92="",$F92=""),"Stammdaten fehlen",IF(AND($G92="",$H92=""),"Werte fehlen",IF($G92="","Monatsstunden fehlen",IF($H92="","Monatslohn fehlt","OK")))))</f>
        <v>Monatslohn fehlt</v>
      </c>
      <c r="J92" s="427" t="str">
        <f>IF($G92="","",IF(COUNTIFS($A:$A,$A92,$D:$D,$D92,$G:$G,$G92)&gt;1,"Doppelte Monatsstunden",""))</f>
        <v/>
      </c>
    </row>
    <row r="93" spans="1:10" ht="24" customHeight="1">
      <c r="A93" s="417" t="s">
        <v>421</v>
      </c>
      <c r="B93" s="403">
        <v>46508</v>
      </c>
      <c r="C93" s="403">
        <v>46873</v>
      </c>
      <c r="D93" s="404" t="s">
        <v>15</v>
      </c>
      <c r="E93" s="404" t="s">
        <v>13</v>
      </c>
      <c r="F93" s="404" t="s">
        <v>322</v>
      </c>
      <c r="G93" s="215"/>
      <c r="H93" s="216"/>
      <c r="I93" s="404" t="str">
        <f>IF($A93="","",IF(OR($B93="",$C93="",$D93="",$E93="",$F93=""),"Stammdaten fehlen",IF(AND($G93="",$H93=""),"Werte fehlen",IF($G93="","Monatsstunden fehlen",IF($H93="","Monatslohn fehlt","OK")))))</f>
        <v>Werte fehlen</v>
      </c>
      <c r="J93" s="427" t="str">
        <f>IF($G93="","",IF(COUNTIFS($A:$A,$A93,$D:$D,$D93,$G:$G,$G93)&gt;1,"Doppelte Monatsstunden",""))</f>
        <v/>
      </c>
    </row>
    <row r="94" spans="1:10" ht="24" customHeight="1" thickBot="1">
      <c r="A94" s="417" t="s">
        <v>421</v>
      </c>
      <c r="B94" s="403">
        <v>46508</v>
      </c>
      <c r="C94" s="403">
        <v>46873</v>
      </c>
      <c r="D94" s="404" t="s">
        <v>15</v>
      </c>
      <c r="E94" s="404" t="s">
        <v>13</v>
      </c>
      <c r="F94" s="404" t="s">
        <v>322</v>
      </c>
      <c r="G94" s="215"/>
      <c r="H94" s="216"/>
      <c r="I94" s="404" t="str">
        <f>IF($A94="","",IF(OR($B94="",$C94="",$D94="",$E94="",$F94=""),"Stammdaten fehlen",IF(AND($G94="",$H94=""),"Werte fehlen",IF($G94="","Monatsstunden fehlen",IF($H94="","Monatslohn fehlt","OK")))))</f>
        <v>Werte fehlen</v>
      </c>
      <c r="J94" s="427" t="str">
        <f>IF($G94="","",IF(COUNTIFS($A:$A,$A94,$D:$D,$D94,$G:$G,$G94)&gt;1,"Doppelte Monatsstunden",""))</f>
        <v/>
      </c>
    </row>
    <row r="95" spans="1:10" ht="24" customHeight="1">
      <c r="A95" s="416" t="s">
        <v>421</v>
      </c>
      <c r="B95" s="401">
        <v>46508</v>
      </c>
      <c r="C95" s="401">
        <v>46873</v>
      </c>
      <c r="D95" s="402" t="s">
        <v>17</v>
      </c>
      <c r="E95" s="402" t="s">
        <v>13</v>
      </c>
      <c r="F95" s="402" t="s">
        <v>323</v>
      </c>
      <c r="G95" s="213">
        <v>173</v>
      </c>
      <c r="H95" s="214"/>
      <c r="I95" s="402" t="str">
        <f>IF($A95="","",IF(OR($B95="",$C95="",$D95="",$E95="",$F95=""),"Stammdaten fehlen",IF(AND($G95="",$H95=""),"Werte fehlen",IF($G95="","Monatsstunden fehlen",IF($H95="","Monatslohn fehlt","OK")))))</f>
        <v>Monatslohn fehlt</v>
      </c>
      <c r="J95" s="426" t="str">
        <f>IF($G95="","",IF(COUNTIFS($A:$A,$A95,$D:$D,$D95,$G:$G,$G95)&gt;1,"Doppelte Monatsstunden",""))</f>
        <v/>
      </c>
    </row>
    <row r="96" spans="1:10" ht="24" customHeight="1">
      <c r="A96" s="417" t="s">
        <v>421</v>
      </c>
      <c r="B96" s="403">
        <v>46508</v>
      </c>
      <c r="C96" s="403">
        <v>46873</v>
      </c>
      <c r="D96" s="404" t="s">
        <v>17</v>
      </c>
      <c r="E96" s="404" t="s">
        <v>13</v>
      </c>
      <c r="F96" s="404" t="s">
        <v>323</v>
      </c>
      <c r="G96" s="215">
        <v>151.38</v>
      </c>
      <c r="H96" s="216"/>
      <c r="I96" s="404" t="str">
        <f>IF($A96="","",IF(OR($B96="",$C96="",$D96="",$E96="",$F96=""),"Stammdaten fehlen",IF(AND($G96="",$H96=""),"Werte fehlen",IF($G96="","Monatsstunden fehlen",IF($H96="","Monatslohn fehlt","OK")))))</f>
        <v>Monatslohn fehlt</v>
      </c>
      <c r="J96" s="427" t="str">
        <f>IF($G96="","",IF(COUNTIFS($A:$A,$A96,$D:$D,$D96,$G:$G,$G96)&gt;1,"Doppelte Monatsstunden",""))</f>
        <v/>
      </c>
    </row>
    <row r="97" spans="1:10" ht="24" customHeight="1">
      <c r="A97" s="417" t="s">
        <v>421</v>
      </c>
      <c r="B97" s="403">
        <v>46508</v>
      </c>
      <c r="C97" s="403">
        <v>46873</v>
      </c>
      <c r="D97" s="404" t="s">
        <v>17</v>
      </c>
      <c r="E97" s="404" t="s">
        <v>13</v>
      </c>
      <c r="F97" s="404" t="s">
        <v>323</v>
      </c>
      <c r="G97" s="215">
        <v>138.4</v>
      </c>
      <c r="H97" s="216"/>
      <c r="I97" s="404" t="str">
        <f>IF($A97="","",IF(OR($B97="",$C97="",$D97="",$E97="",$F97=""),"Stammdaten fehlen",IF(AND($G97="",$H97=""),"Werte fehlen",IF($G97="","Monatsstunden fehlen",IF($H97="","Monatslohn fehlt","OK")))))</f>
        <v>Monatslohn fehlt</v>
      </c>
      <c r="J97" s="427" t="str">
        <f>IF($G97="","",IF(COUNTIFS($A:$A,$A97,$D:$D,$D97,$G:$G,$G97)&gt;1,"Doppelte Monatsstunden",""))</f>
        <v/>
      </c>
    </row>
    <row r="98" spans="1:10" ht="24" customHeight="1">
      <c r="A98" s="417" t="s">
        <v>421</v>
      </c>
      <c r="B98" s="403">
        <v>46508</v>
      </c>
      <c r="C98" s="403">
        <v>46873</v>
      </c>
      <c r="D98" s="404" t="s">
        <v>17</v>
      </c>
      <c r="E98" s="404" t="s">
        <v>13</v>
      </c>
      <c r="F98" s="404" t="s">
        <v>323</v>
      </c>
      <c r="G98" s="215">
        <v>129.75</v>
      </c>
      <c r="H98" s="216"/>
      <c r="I98" s="404" t="str">
        <f>IF($A98="","",IF(OR($B98="",$C98="",$D98="",$E98="",$F98=""),"Stammdaten fehlen",IF(AND($G98="",$H98=""),"Werte fehlen",IF($G98="","Monatsstunden fehlen",IF($H98="","Monatslohn fehlt","OK")))))</f>
        <v>Monatslohn fehlt</v>
      </c>
      <c r="J98" s="427" t="str">
        <f>IF($G98="","",IF(COUNTIFS($A:$A,$A98,$D:$D,$D98,$G:$G,$G98)&gt;1,"Doppelte Monatsstunden",""))</f>
        <v/>
      </c>
    </row>
    <row r="99" spans="1:10" ht="24" customHeight="1">
      <c r="A99" s="417" t="s">
        <v>421</v>
      </c>
      <c r="B99" s="403">
        <v>46508</v>
      </c>
      <c r="C99" s="403">
        <v>46873</v>
      </c>
      <c r="D99" s="404" t="s">
        <v>17</v>
      </c>
      <c r="E99" s="404" t="s">
        <v>13</v>
      </c>
      <c r="F99" s="404" t="s">
        <v>323</v>
      </c>
      <c r="G99" s="215">
        <v>108.13</v>
      </c>
      <c r="H99" s="216"/>
      <c r="I99" s="404" t="str">
        <f>IF($A99="","",IF(OR($B99="",$C99="",$D99="",$E99="",$F99=""),"Stammdaten fehlen",IF(AND($G99="",$H99=""),"Werte fehlen",IF($G99="","Monatsstunden fehlen",IF($H99="","Monatslohn fehlt","OK")))))</f>
        <v>Monatslohn fehlt</v>
      </c>
      <c r="J99" s="427" t="str">
        <f>IF($G99="","",IF(COUNTIFS($A:$A,$A99,$D:$D,$D99,$G:$G,$G99)&gt;1,"Doppelte Monatsstunden",""))</f>
        <v/>
      </c>
    </row>
    <row r="100" spans="1:10" ht="24" customHeight="1">
      <c r="A100" s="417" t="s">
        <v>421</v>
      </c>
      <c r="B100" s="403">
        <v>46508</v>
      </c>
      <c r="C100" s="403">
        <v>46873</v>
      </c>
      <c r="D100" s="404" t="s">
        <v>17</v>
      </c>
      <c r="E100" s="404" t="s">
        <v>13</v>
      </c>
      <c r="F100" s="404" t="s">
        <v>323</v>
      </c>
      <c r="G100" s="215">
        <v>103.8</v>
      </c>
      <c r="H100" s="216"/>
      <c r="I100" s="404" t="str">
        <f>IF($A100="","",IF(OR($B100="",$C100="",$D100="",$E100="",$F100=""),"Stammdaten fehlen",IF(AND($G100="",$H100=""),"Werte fehlen",IF($G100="","Monatsstunden fehlen",IF($H100="","Monatslohn fehlt","OK")))))</f>
        <v>Monatslohn fehlt</v>
      </c>
      <c r="J100" s="427" t="str">
        <f>IF($G100="","",IF(COUNTIFS($A:$A,$A100,$D:$D,$D100,$G:$G,$G100)&gt;1,"Doppelte Monatsstunden",""))</f>
        <v/>
      </c>
    </row>
    <row r="101" spans="1:10" ht="24" customHeight="1">
      <c r="A101" s="417" t="s">
        <v>421</v>
      </c>
      <c r="B101" s="403">
        <v>46508</v>
      </c>
      <c r="C101" s="403">
        <v>46873</v>
      </c>
      <c r="D101" s="404" t="s">
        <v>17</v>
      </c>
      <c r="E101" s="404" t="s">
        <v>13</v>
      </c>
      <c r="F101" s="404" t="s">
        <v>323</v>
      </c>
      <c r="G101" s="215">
        <v>86.5</v>
      </c>
      <c r="H101" s="216"/>
      <c r="I101" s="404" t="str">
        <f>IF($A101="","",IF(OR($B101="",$C101="",$D101="",$E101="",$F101=""),"Stammdaten fehlen",IF(AND($G101="",$H101=""),"Werte fehlen",IF($G101="","Monatsstunden fehlen",IF($H101="","Monatslohn fehlt","OK")))))</f>
        <v>Monatslohn fehlt</v>
      </c>
      <c r="J101" s="427" t="str">
        <f>IF($G101="","",IF(COUNTIFS($A:$A,$A101,$D:$D,$D101,$G:$G,$G101)&gt;1,"Doppelte Monatsstunden",""))</f>
        <v/>
      </c>
    </row>
    <row r="102" spans="1:10" ht="24" customHeight="1">
      <c r="A102" s="417" t="s">
        <v>421</v>
      </c>
      <c r="B102" s="403">
        <v>46508</v>
      </c>
      <c r="C102" s="403">
        <v>46873</v>
      </c>
      <c r="D102" s="404" t="s">
        <v>17</v>
      </c>
      <c r="E102" s="404" t="s">
        <v>13</v>
      </c>
      <c r="F102" s="404" t="s">
        <v>323</v>
      </c>
      <c r="G102" s="215">
        <v>69.2</v>
      </c>
      <c r="H102" s="216"/>
      <c r="I102" s="404" t="str">
        <f>IF($A102="","",IF(OR($B102="",$C102="",$D102="",$E102="",$F102=""),"Stammdaten fehlen",IF(AND($G102="",$H102=""),"Werte fehlen",IF($G102="","Monatsstunden fehlen",IF($H102="","Monatslohn fehlt","OK")))))</f>
        <v>Monatslohn fehlt</v>
      </c>
      <c r="J102" s="427" t="str">
        <f>IF($G102="","",IF(COUNTIFS($A:$A,$A102,$D:$D,$D102,$G:$G,$G102)&gt;1,"Doppelte Monatsstunden",""))</f>
        <v/>
      </c>
    </row>
    <row r="103" spans="1:10" ht="24" customHeight="1">
      <c r="A103" s="417" t="s">
        <v>421</v>
      </c>
      <c r="B103" s="403">
        <v>46508</v>
      </c>
      <c r="C103" s="403">
        <v>46873</v>
      </c>
      <c r="D103" s="404" t="s">
        <v>17</v>
      </c>
      <c r="E103" s="404" t="s">
        <v>13</v>
      </c>
      <c r="F103" s="404" t="s">
        <v>323</v>
      </c>
      <c r="G103" s="215">
        <v>51.9</v>
      </c>
      <c r="H103" s="216"/>
      <c r="I103" s="404" t="str">
        <f>IF($A103="","",IF(OR($B103="",$C103="",$D103="",$E103="",$F103=""),"Stammdaten fehlen",IF(AND($G103="",$H103=""),"Werte fehlen",IF($G103="","Monatsstunden fehlen",IF($H103="","Monatslohn fehlt","OK")))))</f>
        <v>Monatslohn fehlt</v>
      </c>
      <c r="J103" s="427" t="str">
        <f>IF($G103="","",IF(COUNTIFS($A:$A,$A103,$D:$D,$D103,$G:$G,$G103)&gt;1,"Doppelte Monatsstunden",""))</f>
        <v/>
      </c>
    </row>
    <row r="104" spans="1:10" ht="24" customHeight="1">
      <c r="A104" s="417" t="s">
        <v>421</v>
      </c>
      <c r="B104" s="403">
        <v>46508</v>
      </c>
      <c r="C104" s="403">
        <v>46873</v>
      </c>
      <c r="D104" s="404" t="s">
        <v>17</v>
      </c>
      <c r="E104" s="404" t="s">
        <v>13</v>
      </c>
      <c r="F104" s="404" t="s">
        <v>323</v>
      </c>
      <c r="G104" s="215">
        <v>47.58</v>
      </c>
      <c r="H104" s="216"/>
      <c r="I104" s="404" t="str">
        <f>IF($A104="","",IF(OR($B104="",$C104="",$D104="",$E104="",$F104=""),"Stammdaten fehlen",IF(AND($G104="",$H104=""),"Werte fehlen",IF($G104="","Monatsstunden fehlen",IF($H104="","Monatslohn fehlt","OK")))))</f>
        <v>Monatslohn fehlt</v>
      </c>
      <c r="J104" s="427" t="str">
        <f>IF($G104="","",IF(COUNTIFS($A:$A,$A104,$D:$D,$D104,$G:$G,$G104)&gt;1,"Doppelte Monatsstunden",""))</f>
        <v/>
      </c>
    </row>
    <row r="105" spans="1:10" ht="24" customHeight="1">
      <c r="A105" s="417" t="s">
        <v>421</v>
      </c>
      <c r="B105" s="403">
        <v>46508</v>
      </c>
      <c r="C105" s="403">
        <v>46873</v>
      </c>
      <c r="D105" s="404" t="s">
        <v>17</v>
      </c>
      <c r="E105" s="404" t="s">
        <v>13</v>
      </c>
      <c r="F105" s="404" t="s">
        <v>323</v>
      </c>
      <c r="G105" s="215">
        <v>43.25</v>
      </c>
      <c r="H105" s="216"/>
      <c r="I105" s="404" t="str">
        <f>IF($A105="","",IF(OR($B105="",$C105="",$D105="",$E105="",$F105=""),"Stammdaten fehlen",IF(AND($G105="",$H105=""),"Werte fehlen",IF($G105="","Monatsstunden fehlen",IF($H105="","Monatslohn fehlt","OK")))))</f>
        <v>Monatslohn fehlt</v>
      </c>
      <c r="J105" s="427" t="str">
        <f>IF($G105="","",IF(COUNTIFS($A:$A,$A105,$D:$D,$D105,$G:$G,$G105)&gt;1,"Doppelte Monatsstunden",""))</f>
        <v/>
      </c>
    </row>
    <row r="106" spans="1:10" ht="24" customHeight="1">
      <c r="A106" s="417" t="s">
        <v>421</v>
      </c>
      <c r="B106" s="403">
        <v>46508</v>
      </c>
      <c r="C106" s="403">
        <v>46873</v>
      </c>
      <c r="D106" s="404" t="s">
        <v>17</v>
      </c>
      <c r="E106" s="404" t="s">
        <v>13</v>
      </c>
      <c r="F106" s="404" t="s">
        <v>323</v>
      </c>
      <c r="G106" s="215">
        <v>34.6</v>
      </c>
      <c r="H106" s="216"/>
      <c r="I106" s="404" t="str">
        <f>IF($A106="","",IF(OR($B106="",$C106="",$D106="",$E106="",$F106=""),"Stammdaten fehlen",IF(AND($G106="",$H106=""),"Werte fehlen",IF($G106="","Monatsstunden fehlen",IF($H106="","Monatslohn fehlt","OK")))))</f>
        <v>Monatslohn fehlt</v>
      </c>
      <c r="J106" s="427" t="str">
        <f>IF($G106="","",IF(COUNTIFS($A:$A,$A106,$D:$D,$D106,$G:$G,$G106)&gt;1,"Doppelte Monatsstunden",""))</f>
        <v/>
      </c>
    </row>
    <row r="107" spans="1:10" ht="24" customHeight="1">
      <c r="A107" s="417" t="s">
        <v>421</v>
      </c>
      <c r="B107" s="403">
        <v>46508</v>
      </c>
      <c r="C107" s="403">
        <v>46873</v>
      </c>
      <c r="D107" s="404" t="s">
        <v>17</v>
      </c>
      <c r="E107" s="404" t="s">
        <v>13</v>
      </c>
      <c r="F107" s="404" t="s">
        <v>323</v>
      </c>
      <c r="G107" s="215">
        <v>32.01</v>
      </c>
      <c r="H107" s="216"/>
      <c r="I107" s="404" t="str">
        <f>IF($A107="","",IF(OR($B107="",$C107="",$D107="",$E107="",$F107=""),"Stammdaten fehlen",IF(AND($G107="",$H107=""),"Werte fehlen",IF($G107="","Monatsstunden fehlen",IF($H107="","Monatslohn fehlt","OK")))))</f>
        <v>Monatslohn fehlt</v>
      </c>
      <c r="J107" s="427" t="str">
        <f>IF($G107="","",IF(COUNTIFS($A:$A,$A107,$D:$D,$D107,$G:$G,$G107)&gt;1,"Doppelte Monatsstunden",""))</f>
        <v/>
      </c>
    </row>
    <row r="108" spans="1:10" ht="24" customHeight="1">
      <c r="A108" s="417" t="s">
        <v>421</v>
      </c>
      <c r="B108" s="403">
        <v>46508</v>
      </c>
      <c r="C108" s="403">
        <v>46873</v>
      </c>
      <c r="D108" s="404" t="s">
        <v>17</v>
      </c>
      <c r="E108" s="404" t="s">
        <v>13</v>
      </c>
      <c r="F108" s="404" t="s">
        <v>323</v>
      </c>
      <c r="G108" s="215"/>
      <c r="H108" s="216"/>
      <c r="I108" s="404" t="str">
        <f>IF($A108="","",IF(OR($B108="",$C108="",$D108="",$E108="",$F108=""),"Stammdaten fehlen",IF(AND($G108="",$H108=""),"Werte fehlen",IF($G108="","Monatsstunden fehlen",IF($H108="","Monatslohn fehlt","OK")))))</f>
        <v>Werte fehlen</v>
      </c>
      <c r="J108" s="427" t="str">
        <f>IF($G108="","",IF(COUNTIFS($A:$A,$A108,$D:$D,$D108,$G:$G,$G108)&gt;1,"Doppelte Monatsstunden",""))</f>
        <v/>
      </c>
    </row>
    <row r="109" spans="1:10" ht="24" customHeight="1" thickBot="1">
      <c r="A109" s="417" t="s">
        <v>421</v>
      </c>
      <c r="B109" s="403">
        <v>46508</v>
      </c>
      <c r="C109" s="403">
        <v>46873</v>
      </c>
      <c r="D109" s="404" t="s">
        <v>17</v>
      </c>
      <c r="E109" s="404" t="s">
        <v>13</v>
      </c>
      <c r="F109" s="404" t="s">
        <v>323</v>
      </c>
      <c r="G109" s="215"/>
      <c r="H109" s="216"/>
      <c r="I109" s="404" t="str">
        <f>IF($A109="","",IF(OR($B109="",$C109="",$D109="",$E109="",$F109=""),"Stammdaten fehlen",IF(AND($G109="",$H109=""),"Werte fehlen",IF($G109="","Monatsstunden fehlen",IF($H109="","Monatslohn fehlt","OK")))))</f>
        <v>Werte fehlen</v>
      </c>
      <c r="J109" s="427" t="str">
        <f>IF($G109="","",IF(COUNTIFS($A:$A,$A109,$D:$D,$D109,$G:$G,$G109)&gt;1,"Doppelte Monatsstunden",""))</f>
        <v/>
      </c>
    </row>
    <row r="110" spans="1:10" ht="24" customHeight="1">
      <c r="A110" s="416" t="s">
        <v>421</v>
      </c>
      <c r="B110" s="401">
        <v>46508</v>
      </c>
      <c r="C110" s="401">
        <v>46873</v>
      </c>
      <c r="D110" s="402" t="s">
        <v>19</v>
      </c>
      <c r="E110" s="402" t="s">
        <v>13</v>
      </c>
      <c r="F110" s="402" t="s">
        <v>324</v>
      </c>
      <c r="G110" s="213">
        <v>173</v>
      </c>
      <c r="H110" s="214"/>
      <c r="I110" s="402" t="str">
        <f>IF($A110="","",IF(OR($B110="",$C110="",$D110="",$E110="",$F110=""),"Stammdaten fehlen",IF(AND($G110="",$H110=""),"Werte fehlen",IF($G110="","Monatsstunden fehlen",IF($H110="","Monatslohn fehlt","OK")))))</f>
        <v>Monatslohn fehlt</v>
      </c>
      <c r="J110" s="426" t="str">
        <f>IF($G110="","",IF(COUNTIFS($A:$A,$A110,$D:$D,$D110,$G:$G,$G110)&gt;1,"Doppelte Monatsstunden",""))</f>
        <v/>
      </c>
    </row>
    <row r="111" spans="1:10" ht="24" customHeight="1">
      <c r="A111" s="417" t="s">
        <v>421</v>
      </c>
      <c r="B111" s="403">
        <v>46508</v>
      </c>
      <c r="C111" s="403">
        <v>46873</v>
      </c>
      <c r="D111" s="404" t="s">
        <v>19</v>
      </c>
      <c r="E111" s="404" t="s">
        <v>13</v>
      </c>
      <c r="F111" s="404" t="s">
        <v>324</v>
      </c>
      <c r="G111" s="215">
        <v>151.38</v>
      </c>
      <c r="H111" s="216"/>
      <c r="I111" s="404" t="str">
        <f>IF($A111="","",IF(OR($B111="",$C111="",$D111="",$E111="",$F111=""),"Stammdaten fehlen",IF(AND($G111="",$H111=""),"Werte fehlen",IF($G111="","Monatsstunden fehlen",IF($H111="","Monatslohn fehlt","OK")))))</f>
        <v>Monatslohn fehlt</v>
      </c>
      <c r="J111" s="427" t="str">
        <f>IF($G111="","",IF(COUNTIFS($A:$A,$A111,$D:$D,$D111,$G:$G,$G111)&gt;1,"Doppelte Monatsstunden",""))</f>
        <v/>
      </c>
    </row>
    <row r="112" spans="1:10" ht="24" customHeight="1">
      <c r="A112" s="417" t="s">
        <v>421</v>
      </c>
      <c r="B112" s="403">
        <v>46508</v>
      </c>
      <c r="C112" s="403">
        <v>46873</v>
      </c>
      <c r="D112" s="404" t="s">
        <v>19</v>
      </c>
      <c r="E112" s="404" t="s">
        <v>13</v>
      </c>
      <c r="F112" s="404" t="s">
        <v>324</v>
      </c>
      <c r="G112" s="215">
        <v>138.4</v>
      </c>
      <c r="H112" s="216"/>
      <c r="I112" s="404" t="str">
        <f>IF($A112="","",IF(OR($B112="",$C112="",$D112="",$E112="",$F112=""),"Stammdaten fehlen",IF(AND($G112="",$H112=""),"Werte fehlen",IF($G112="","Monatsstunden fehlen",IF($H112="","Monatslohn fehlt","OK")))))</f>
        <v>Monatslohn fehlt</v>
      </c>
      <c r="J112" s="427" t="str">
        <f>IF($G112="","",IF(COUNTIFS($A:$A,$A112,$D:$D,$D112,$G:$G,$G112)&gt;1,"Doppelte Monatsstunden",""))</f>
        <v/>
      </c>
    </row>
    <row r="113" spans="1:10" ht="24" customHeight="1">
      <c r="A113" s="417" t="s">
        <v>421</v>
      </c>
      <c r="B113" s="403">
        <v>46508</v>
      </c>
      <c r="C113" s="403">
        <v>46873</v>
      </c>
      <c r="D113" s="404" t="s">
        <v>19</v>
      </c>
      <c r="E113" s="404" t="s">
        <v>13</v>
      </c>
      <c r="F113" s="404" t="s">
        <v>324</v>
      </c>
      <c r="G113" s="215">
        <v>129.75</v>
      </c>
      <c r="H113" s="216"/>
      <c r="I113" s="404" t="str">
        <f>IF($A113="","",IF(OR($B113="",$C113="",$D113="",$E113="",$F113=""),"Stammdaten fehlen",IF(AND($G113="",$H113=""),"Werte fehlen",IF($G113="","Monatsstunden fehlen",IF($H113="","Monatslohn fehlt","OK")))))</f>
        <v>Monatslohn fehlt</v>
      </c>
      <c r="J113" s="427" t="str">
        <f>IF($G113="","",IF(COUNTIFS($A:$A,$A113,$D:$D,$D113,$G:$G,$G113)&gt;1,"Doppelte Monatsstunden",""))</f>
        <v/>
      </c>
    </row>
    <row r="114" spans="1:10" ht="24" customHeight="1">
      <c r="A114" s="417" t="s">
        <v>421</v>
      </c>
      <c r="B114" s="403">
        <v>46508</v>
      </c>
      <c r="C114" s="403">
        <v>46873</v>
      </c>
      <c r="D114" s="404" t="s">
        <v>19</v>
      </c>
      <c r="E114" s="404" t="s">
        <v>13</v>
      </c>
      <c r="F114" s="404" t="s">
        <v>324</v>
      </c>
      <c r="G114" s="215">
        <v>108.13</v>
      </c>
      <c r="H114" s="216"/>
      <c r="I114" s="404" t="str">
        <f>IF($A114="","",IF(OR($B114="",$C114="",$D114="",$E114="",$F114=""),"Stammdaten fehlen",IF(AND($G114="",$H114=""),"Werte fehlen",IF($G114="","Monatsstunden fehlen",IF($H114="","Monatslohn fehlt","OK")))))</f>
        <v>Monatslohn fehlt</v>
      </c>
      <c r="J114" s="427" t="str">
        <f>IF($G114="","",IF(COUNTIFS($A:$A,$A114,$D:$D,$D114,$G:$G,$G114)&gt;1,"Doppelte Monatsstunden",""))</f>
        <v/>
      </c>
    </row>
    <row r="115" spans="1:10" ht="24" customHeight="1">
      <c r="A115" s="417" t="s">
        <v>421</v>
      </c>
      <c r="B115" s="403">
        <v>46508</v>
      </c>
      <c r="C115" s="403">
        <v>46873</v>
      </c>
      <c r="D115" s="404" t="s">
        <v>19</v>
      </c>
      <c r="E115" s="404" t="s">
        <v>13</v>
      </c>
      <c r="F115" s="404" t="s">
        <v>324</v>
      </c>
      <c r="G115" s="215">
        <v>103.8</v>
      </c>
      <c r="H115" s="216"/>
      <c r="I115" s="404" t="str">
        <f>IF($A115="","",IF(OR($B115="",$C115="",$D115="",$E115="",$F115=""),"Stammdaten fehlen",IF(AND($G115="",$H115=""),"Werte fehlen",IF($G115="","Monatsstunden fehlen",IF($H115="","Monatslohn fehlt","OK")))))</f>
        <v>Monatslohn fehlt</v>
      </c>
      <c r="J115" s="427" t="str">
        <f>IF($G115="","",IF(COUNTIFS($A:$A,$A115,$D:$D,$D115,$G:$G,$G115)&gt;1,"Doppelte Monatsstunden",""))</f>
        <v/>
      </c>
    </row>
    <row r="116" spans="1:10" ht="24" customHeight="1">
      <c r="A116" s="417" t="s">
        <v>421</v>
      </c>
      <c r="B116" s="403">
        <v>46508</v>
      </c>
      <c r="C116" s="403">
        <v>46873</v>
      </c>
      <c r="D116" s="404" t="s">
        <v>19</v>
      </c>
      <c r="E116" s="404" t="s">
        <v>13</v>
      </c>
      <c r="F116" s="404" t="s">
        <v>324</v>
      </c>
      <c r="G116" s="215">
        <v>86.5</v>
      </c>
      <c r="H116" s="216"/>
      <c r="I116" s="404" t="str">
        <f>IF($A116="","",IF(OR($B116="",$C116="",$D116="",$E116="",$F116=""),"Stammdaten fehlen",IF(AND($G116="",$H116=""),"Werte fehlen",IF($G116="","Monatsstunden fehlen",IF($H116="","Monatslohn fehlt","OK")))))</f>
        <v>Monatslohn fehlt</v>
      </c>
      <c r="J116" s="427" t="str">
        <f>IF($G116="","",IF(COUNTIFS($A:$A,$A116,$D:$D,$D116,$G:$G,$G116)&gt;1,"Doppelte Monatsstunden",""))</f>
        <v/>
      </c>
    </row>
    <row r="117" spans="1:10" ht="24" customHeight="1">
      <c r="A117" s="417" t="s">
        <v>421</v>
      </c>
      <c r="B117" s="403">
        <v>46508</v>
      </c>
      <c r="C117" s="403">
        <v>46873</v>
      </c>
      <c r="D117" s="404" t="s">
        <v>19</v>
      </c>
      <c r="E117" s="404" t="s">
        <v>13</v>
      </c>
      <c r="F117" s="404" t="s">
        <v>324</v>
      </c>
      <c r="G117" s="215">
        <v>69.2</v>
      </c>
      <c r="H117" s="216"/>
      <c r="I117" s="404" t="str">
        <f>IF($A117="","",IF(OR($B117="",$C117="",$D117="",$E117="",$F117=""),"Stammdaten fehlen",IF(AND($G117="",$H117=""),"Werte fehlen",IF($G117="","Monatsstunden fehlen",IF($H117="","Monatslohn fehlt","OK")))))</f>
        <v>Monatslohn fehlt</v>
      </c>
      <c r="J117" s="427" t="str">
        <f>IF($G117="","",IF(COUNTIFS($A:$A,$A117,$D:$D,$D117,$G:$G,$G117)&gt;1,"Doppelte Monatsstunden",""))</f>
        <v/>
      </c>
    </row>
    <row r="118" spans="1:10" ht="24" customHeight="1">
      <c r="A118" s="417" t="s">
        <v>421</v>
      </c>
      <c r="B118" s="403">
        <v>46508</v>
      </c>
      <c r="C118" s="403">
        <v>46873</v>
      </c>
      <c r="D118" s="404" t="s">
        <v>19</v>
      </c>
      <c r="E118" s="404" t="s">
        <v>13</v>
      </c>
      <c r="F118" s="404" t="s">
        <v>324</v>
      </c>
      <c r="G118" s="215">
        <v>51.9</v>
      </c>
      <c r="H118" s="216"/>
      <c r="I118" s="404" t="str">
        <f>IF($A118="","",IF(OR($B118="",$C118="",$D118="",$E118="",$F118=""),"Stammdaten fehlen",IF(AND($G118="",$H118=""),"Werte fehlen",IF($G118="","Monatsstunden fehlen",IF($H118="","Monatslohn fehlt","OK")))))</f>
        <v>Monatslohn fehlt</v>
      </c>
      <c r="J118" s="427" t="str">
        <f>IF($G118="","",IF(COUNTIFS($A:$A,$A118,$D:$D,$D118,$G:$G,$G118)&gt;1,"Doppelte Monatsstunden",""))</f>
        <v/>
      </c>
    </row>
    <row r="119" spans="1:10" ht="24" customHeight="1">
      <c r="A119" s="417" t="s">
        <v>421</v>
      </c>
      <c r="B119" s="403">
        <v>46508</v>
      </c>
      <c r="C119" s="403">
        <v>46873</v>
      </c>
      <c r="D119" s="404" t="s">
        <v>19</v>
      </c>
      <c r="E119" s="404" t="s">
        <v>13</v>
      </c>
      <c r="F119" s="404" t="s">
        <v>324</v>
      </c>
      <c r="G119" s="215">
        <v>47.58</v>
      </c>
      <c r="H119" s="216"/>
      <c r="I119" s="404" t="str">
        <f>IF($A119="","",IF(OR($B119="",$C119="",$D119="",$E119="",$F119=""),"Stammdaten fehlen",IF(AND($G119="",$H119=""),"Werte fehlen",IF($G119="","Monatsstunden fehlen",IF($H119="","Monatslohn fehlt","OK")))))</f>
        <v>Monatslohn fehlt</v>
      </c>
      <c r="J119" s="427" t="str">
        <f>IF($G119="","",IF(COUNTIFS($A:$A,$A119,$D:$D,$D119,$G:$G,$G119)&gt;1,"Doppelte Monatsstunden",""))</f>
        <v/>
      </c>
    </row>
    <row r="120" spans="1:10" ht="24" customHeight="1">
      <c r="A120" s="417" t="s">
        <v>421</v>
      </c>
      <c r="B120" s="403">
        <v>46508</v>
      </c>
      <c r="C120" s="403">
        <v>46873</v>
      </c>
      <c r="D120" s="404" t="s">
        <v>19</v>
      </c>
      <c r="E120" s="404" t="s">
        <v>13</v>
      </c>
      <c r="F120" s="404" t="s">
        <v>324</v>
      </c>
      <c r="G120" s="215">
        <v>43.25</v>
      </c>
      <c r="H120" s="216"/>
      <c r="I120" s="404" t="str">
        <f>IF($A120="","",IF(OR($B120="",$C120="",$D120="",$E120="",$F120=""),"Stammdaten fehlen",IF(AND($G120="",$H120=""),"Werte fehlen",IF($G120="","Monatsstunden fehlen",IF($H120="","Monatslohn fehlt","OK")))))</f>
        <v>Monatslohn fehlt</v>
      </c>
      <c r="J120" s="427" t="str">
        <f>IF($G120="","",IF(COUNTIFS($A:$A,$A120,$D:$D,$D120,$G:$G,$G120)&gt;1,"Doppelte Monatsstunden",""))</f>
        <v/>
      </c>
    </row>
    <row r="121" spans="1:10" ht="24" customHeight="1">
      <c r="A121" s="417" t="s">
        <v>421</v>
      </c>
      <c r="B121" s="403">
        <v>46508</v>
      </c>
      <c r="C121" s="403">
        <v>46873</v>
      </c>
      <c r="D121" s="404" t="s">
        <v>19</v>
      </c>
      <c r="E121" s="404" t="s">
        <v>13</v>
      </c>
      <c r="F121" s="404" t="s">
        <v>324</v>
      </c>
      <c r="G121" s="215">
        <v>34.6</v>
      </c>
      <c r="H121" s="216"/>
      <c r="I121" s="404" t="str">
        <f>IF($A121="","",IF(OR($B121="",$C121="",$D121="",$E121="",$F121=""),"Stammdaten fehlen",IF(AND($G121="",$H121=""),"Werte fehlen",IF($G121="","Monatsstunden fehlen",IF($H121="","Monatslohn fehlt","OK")))))</f>
        <v>Monatslohn fehlt</v>
      </c>
      <c r="J121" s="427" t="str">
        <f>IF($G121="","",IF(COUNTIFS($A:$A,$A121,$D:$D,$D121,$G:$G,$G121)&gt;1,"Doppelte Monatsstunden",""))</f>
        <v/>
      </c>
    </row>
    <row r="122" spans="1:10" ht="24" customHeight="1">
      <c r="A122" s="417" t="s">
        <v>421</v>
      </c>
      <c r="B122" s="403">
        <v>46508</v>
      </c>
      <c r="C122" s="403">
        <v>46873</v>
      </c>
      <c r="D122" s="404" t="s">
        <v>19</v>
      </c>
      <c r="E122" s="404" t="s">
        <v>13</v>
      </c>
      <c r="F122" s="404" t="s">
        <v>324</v>
      </c>
      <c r="G122" s="215">
        <v>32.01</v>
      </c>
      <c r="H122" s="216"/>
      <c r="I122" s="404" t="str">
        <f>IF($A122="","",IF(OR($B122="",$C122="",$D122="",$E122="",$F122=""),"Stammdaten fehlen",IF(AND($G122="",$H122=""),"Werte fehlen",IF($G122="","Monatsstunden fehlen",IF($H122="","Monatslohn fehlt","OK")))))</f>
        <v>Monatslohn fehlt</v>
      </c>
      <c r="J122" s="427" t="str">
        <f>IF($G122="","",IF(COUNTIFS($A:$A,$A122,$D:$D,$D122,$G:$G,$G122)&gt;1,"Doppelte Monatsstunden",""))</f>
        <v/>
      </c>
    </row>
    <row r="123" spans="1:10" ht="24" customHeight="1">
      <c r="A123" s="417" t="s">
        <v>421</v>
      </c>
      <c r="B123" s="403">
        <v>46508</v>
      </c>
      <c r="C123" s="403">
        <v>46873</v>
      </c>
      <c r="D123" s="404" t="s">
        <v>19</v>
      </c>
      <c r="E123" s="404" t="s">
        <v>13</v>
      </c>
      <c r="F123" s="404" t="s">
        <v>324</v>
      </c>
      <c r="G123" s="215"/>
      <c r="H123" s="216"/>
      <c r="I123" s="404" t="str">
        <f>IF($A123="","",IF(OR($B123="",$C123="",$D123="",$E123="",$F123=""),"Stammdaten fehlen",IF(AND($G123="",$H123=""),"Werte fehlen",IF($G123="","Monatsstunden fehlen",IF($H123="","Monatslohn fehlt","OK")))))</f>
        <v>Werte fehlen</v>
      </c>
      <c r="J123" s="427" t="str">
        <f>IF($G123="","",IF(COUNTIFS($A:$A,$A123,$D:$D,$D123,$G:$G,$G123)&gt;1,"Doppelte Monatsstunden",""))</f>
        <v/>
      </c>
    </row>
    <row r="124" spans="1:10" ht="24" customHeight="1" thickBot="1">
      <c r="A124" s="417" t="s">
        <v>421</v>
      </c>
      <c r="B124" s="403">
        <v>46508</v>
      </c>
      <c r="C124" s="403">
        <v>46873</v>
      </c>
      <c r="D124" s="404" t="s">
        <v>19</v>
      </c>
      <c r="E124" s="404" t="s">
        <v>13</v>
      </c>
      <c r="F124" s="404" t="s">
        <v>324</v>
      </c>
      <c r="G124" s="215"/>
      <c r="H124" s="216"/>
      <c r="I124" s="404" t="str">
        <f>IF($A124="","",IF(OR($B124="",$C124="",$D124="",$E124="",$F124=""),"Stammdaten fehlen",IF(AND($G124="",$H124=""),"Werte fehlen",IF($G124="","Monatsstunden fehlen",IF($H124="","Monatslohn fehlt","OK")))))</f>
        <v>Werte fehlen</v>
      </c>
      <c r="J124" s="427" t="str">
        <f>IF($G124="","",IF(COUNTIFS($A:$A,$A124,$D:$D,$D124,$G:$G,$G124)&gt;1,"Doppelte Monatsstunden",""))</f>
        <v/>
      </c>
    </row>
    <row r="125" spans="1:10" ht="24" customHeight="1">
      <c r="A125" s="418" t="s">
        <v>421</v>
      </c>
      <c r="B125" s="407">
        <v>46508</v>
      </c>
      <c r="C125" s="407">
        <v>46873</v>
      </c>
      <c r="D125" s="408" t="s">
        <v>333</v>
      </c>
      <c r="E125" s="408" t="s">
        <v>21</v>
      </c>
      <c r="F125" s="408" t="s">
        <v>321</v>
      </c>
      <c r="G125" s="217">
        <v>173</v>
      </c>
      <c r="H125" s="218"/>
      <c r="I125" s="408" t="str">
        <f>IF($A125="","",IF(OR($B125="",$C125="",$D125="",$E125="",$F125=""),"Stammdaten fehlen",IF(AND($G125="",$H125=""),"Werte fehlen",IF($G125="","Monatsstunden fehlen",IF($H125="","Monatslohn fehlt","OK")))))</f>
        <v>Monatslohn fehlt</v>
      </c>
      <c r="J125" s="428" t="str">
        <f>IF($G125="","",IF(COUNTIFS($A:$A,$A125,$D:$D,$D125,$G:$G,$G125)&gt;1,"Doppelte Monatsstunden",""))</f>
        <v/>
      </c>
    </row>
    <row r="126" spans="1:10" ht="24" customHeight="1">
      <c r="A126" s="419" t="s">
        <v>421</v>
      </c>
      <c r="B126" s="409">
        <v>46508</v>
      </c>
      <c r="C126" s="409">
        <v>46873</v>
      </c>
      <c r="D126" s="410" t="s">
        <v>333</v>
      </c>
      <c r="E126" s="410" t="s">
        <v>21</v>
      </c>
      <c r="F126" s="410" t="s">
        <v>321</v>
      </c>
      <c r="G126" s="219">
        <v>151.38</v>
      </c>
      <c r="H126" s="220"/>
      <c r="I126" s="410" t="str">
        <f>IF($A126="","",IF(OR($B126="",$C126="",$D126="",$E126="",$F126=""),"Stammdaten fehlen",IF(AND($G126="",$H126=""),"Werte fehlen",IF($G126="","Monatsstunden fehlen",IF($H126="","Monatslohn fehlt","OK")))))</f>
        <v>Monatslohn fehlt</v>
      </c>
      <c r="J126" s="429" t="str">
        <f>IF($G126="","",IF(COUNTIFS($A:$A,$A126,$D:$D,$D126,$G:$G,$G126)&gt;1,"Doppelte Monatsstunden",""))</f>
        <v/>
      </c>
    </row>
    <row r="127" spans="1:10" ht="24" customHeight="1">
      <c r="A127" s="419" t="s">
        <v>421</v>
      </c>
      <c r="B127" s="409">
        <v>46508</v>
      </c>
      <c r="C127" s="409">
        <v>46873</v>
      </c>
      <c r="D127" s="410" t="s">
        <v>333</v>
      </c>
      <c r="E127" s="410" t="s">
        <v>21</v>
      </c>
      <c r="F127" s="410" t="s">
        <v>321</v>
      </c>
      <c r="G127" s="219">
        <v>138.4</v>
      </c>
      <c r="H127" s="220"/>
      <c r="I127" s="410" t="str">
        <f>IF($A127="","",IF(OR($B127="",$C127="",$D127="",$E127="",$F127=""),"Stammdaten fehlen",IF(AND($G127="",$H127=""),"Werte fehlen",IF($G127="","Monatsstunden fehlen",IF($H127="","Monatslohn fehlt","OK")))))</f>
        <v>Monatslohn fehlt</v>
      </c>
      <c r="J127" s="429" t="str">
        <f>IF($G127="","",IF(COUNTIFS($A:$A,$A127,$D:$D,$D127,$G:$G,$G127)&gt;1,"Doppelte Monatsstunden",""))</f>
        <v/>
      </c>
    </row>
    <row r="128" spans="1:10" ht="24" customHeight="1">
      <c r="A128" s="419" t="s">
        <v>421</v>
      </c>
      <c r="B128" s="409">
        <v>46508</v>
      </c>
      <c r="C128" s="409">
        <v>46873</v>
      </c>
      <c r="D128" s="410" t="s">
        <v>333</v>
      </c>
      <c r="E128" s="410" t="s">
        <v>21</v>
      </c>
      <c r="F128" s="410" t="s">
        <v>321</v>
      </c>
      <c r="G128" s="219">
        <v>129.75</v>
      </c>
      <c r="H128" s="220"/>
      <c r="I128" s="410" t="str">
        <f>IF($A128="","",IF(OR($B128="",$C128="",$D128="",$E128="",$F128=""),"Stammdaten fehlen",IF(AND($G128="",$H128=""),"Werte fehlen",IF($G128="","Monatsstunden fehlen",IF($H128="","Monatslohn fehlt","OK")))))</f>
        <v>Monatslohn fehlt</v>
      </c>
      <c r="J128" s="429" t="str">
        <f>IF($G128="","",IF(COUNTIFS($A:$A,$A128,$D:$D,$D128,$G:$G,$G128)&gt;1,"Doppelte Monatsstunden",""))</f>
        <v/>
      </c>
    </row>
    <row r="129" spans="1:10" ht="24" customHeight="1">
      <c r="A129" s="419" t="s">
        <v>421</v>
      </c>
      <c r="B129" s="409">
        <v>46508</v>
      </c>
      <c r="C129" s="409">
        <v>46873</v>
      </c>
      <c r="D129" s="410" t="s">
        <v>333</v>
      </c>
      <c r="E129" s="410" t="s">
        <v>21</v>
      </c>
      <c r="F129" s="410" t="s">
        <v>321</v>
      </c>
      <c r="G129" s="219">
        <v>108.13</v>
      </c>
      <c r="H129" s="220"/>
      <c r="I129" s="410" t="str">
        <f>IF($A129="","",IF(OR($B129="",$C129="",$D129="",$E129="",$F129=""),"Stammdaten fehlen",IF(AND($G129="",$H129=""),"Werte fehlen",IF($G129="","Monatsstunden fehlen",IF($H129="","Monatslohn fehlt","OK")))))</f>
        <v>Monatslohn fehlt</v>
      </c>
      <c r="J129" s="429" t="str">
        <f>IF($G129="","",IF(COUNTIFS($A:$A,$A129,$D:$D,$D129,$G:$G,$G129)&gt;1,"Doppelte Monatsstunden",""))</f>
        <v/>
      </c>
    </row>
    <row r="130" spans="1:10" ht="24" customHeight="1">
      <c r="A130" s="419" t="s">
        <v>421</v>
      </c>
      <c r="B130" s="409">
        <v>46508</v>
      </c>
      <c r="C130" s="409">
        <v>46873</v>
      </c>
      <c r="D130" s="410" t="s">
        <v>333</v>
      </c>
      <c r="E130" s="410" t="s">
        <v>21</v>
      </c>
      <c r="F130" s="410" t="s">
        <v>321</v>
      </c>
      <c r="G130" s="219">
        <v>103.8</v>
      </c>
      <c r="H130" s="220"/>
      <c r="I130" s="410" t="str">
        <f>IF($A130="","",IF(OR($B130="",$C130="",$D130="",$E130="",$F130=""),"Stammdaten fehlen",IF(AND($G130="",$H130=""),"Werte fehlen",IF($G130="","Monatsstunden fehlen",IF($H130="","Monatslohn fehlt","OK")))))</f>
        <v>Monatslohn fehlt</v>
      </c>
      <c r="J130" s="429" t="str">
        <f>IF($G130="","",IF(COUNTIFS($A:$A,$A130,$D:$D,$D130,$G:$G,$G130)&gt;1,"Doppelte Monatsstunden",""))</f>
        <v/>
      </c>
    </row>
    <row r="131" spans="1:10" ht="24" customHeight="1">
      <c r="A131" s="419" t="s">
        <v>421</v>
      </c>
      <c r="B131" s="409">
        <v>46508</v>
      </c>
      <c r="C131" s="409">
        <v>46873</v>
      </c>
      <c r="D131" s="410" t="s">
        <v>333</v>
      </c>
      <c r="E131" s="410" t="s">
        <v>21</v>
      </c>
      <c r="F131" s="410" t="s">
        <v>321</v>
      </c>
      <c r="G131" s="219">
        <v>86.5</v>
      </c>
      <c r="H131" s="220"/>
      <c r="I131" s="410" t="str">
        <f>IF($A131="","",IF(OR($B131="",$C131="",$D131="",$E131="",$F131=""),"Stammdaten fehlen",IF(AND($G131="",$H131=""),"Werte fehlen",IF($G131="","Monatsstunden fehlen",IF($H131="","Monatslohn fehlt","OK")))))</f>
        <v>Monatslohn fehlt</v>
      </c>
      <c r="J131" s="429" t="str">
        <f>IF($G131="","",IF(COUNTIFS($A:$A,$A131,$D:$D,$D131,$G:$G,$G131)&gt;1,"Doppelte Monatsstunden",""))</f>
        <v/>
      </c>
    </row>
    <row r="132" spans="1:10" ht="24" customHeight="1">
      <c r="A132" s="419" t="s">
        <v>421</v>
      </c>
      <c r="B132" s="409">
        <v>46508</v>
      </c>
      <c r="C132" s="409">
        <v>46873</v>
      </c>
      <c r="D132" s="410" t="s">
        <v>333</v>
      </c>
      <c r="E132" s="410" t="s">
        <v>21</v>
      </c>
      <c r="F132" s="410" t="s">
        <v>321</v>
      </c>
      <c r="G132" s="219">
        <v>69.2</v>
      </c>
      <c r="H132" s="220"/>
      <c r="I132" s="410" t="str">
        <f>IF($A132="","",IF(OR($B132="",$C132="",$D132="",$E132="",$F132=""),"Stammdaten fehlen",IF(AND($G132="",$H132=""),"Werte fehlen",IF($G132="","Monatsstunden fehlen",IF($H132="","Monatslohn fehlt","OK")))))</f>
        <v>Monatslohn fehlt</v>
      </c>
      <c r="J132" s="429" t="str">
        <f>IF($G132="","",IF(COUNTIFS($A:$A,$A132,$D:$D,$D132,$G:$G,$G132)&gt;1,"Doppelte Monatsstunden",""))</f>
        <v/>
      </c>
    </row>
    <row r="133" spans="1:10" ht="24" customHeight="1">
      <c r="A133" s="419" t="s">
        <v>421</v>
      </c>
      <c r="B133" s="409">
        <v>46508</v>
      </c>
      <c r="C133" s="409">
        <v>46873</v>
      </c>
      <c r="D133" s="410" t="s">
        <v>333</v>
      </c>
      <c r="E133" s="410" t="s">
        <v>21</v>
      </c>
      <c r="F133" s="410" t="s">
        <v>321</v>
      </c>
      <c r="G133" s="219">
        <v>51.9</v>
      </c>
      <c r="H133" s="220"/>
      <c r="I133" s="410" t="str">
        <f>IF($A133="","",IF(OR($B133="",$C133="",$D133="",$E133="",$F133=""),"Stammdaten fehlen",IF(AND($G133="",$H133=""),"Werte fehlen",IF($G133="","Monatsstunden fehlen",IF($H133="","Monatslohn fehlt","OK")))))</f>
        <v>Monatslohn fehlt</v>
      </c>
      <c r="J133" s="429" t="str">
        <f>IF($G133="","",IF(COUNTIFS($A:$A,$A133,$D:$D,$D133,$G:$G,$G133)&gt;1,"Doppelte Monatsstunden",""))</f>
        <v/>
      </c>
    </row>
    <row r="134" spans="1:10" ht="24" customHeight="1">
      <c r="A134" s="419" t="s">
        <v>421</v>
      </c>
      <c r="B134" s="409">
        <v>46508</v>
      </c>
      <c r="C134" s="409">
        <v>46873</v>
      </c>
      <c r="D134" s="410" t="s">
        <v>333</v>
      </c>
      <c r="E134" s="410" t="s">
        <v>21</v>
      </c>
      <c r="F134" s="410" t="s">
        <v>321</v>
      </c>
      <c r="G134" s="219">
        <v>47.58</v>
      </c>
      <c r="H134" s="220"/>
      <c r="I134" s="410" t="str">
        <f>IF($A134="","",IF(OR($B134="",$C134="",$D134="",$E134="",$F134=""),"Stammdaten fehlen",IF(AND($G134="",$H134=""),"Werte fehlen",IF($G134="","Monatsstunden fehlen",IF($H134="","Monatslohn fehlt","OK")))))</f>
        <v>Monatslohn fehlt</v>
      </c>
      <c r="J134" s="429" t="str">
        <f>IF($G134="","",IF(COUNTIFS($A:$A,$A134,$D:$D,$D134,$G:$G,$G134)&gt;1,"Doppelte Monatsstunden",""))</f>
        <v/>
      </c>
    </row>
    <row r="135" spans="1:10" ht="24" customHeight="1">
      <c r="A135" s="419" t="s">
        <v>421</v>
      </c>
      <c r="B135" s="409">
        <v>46508</v>
      </c>
      <c r="C135" s="409">
        <v>46873</v>
      </c>
      <c r="D135" s="410" t="s">
        <v>333</v>
      </c>
      <c r="E135" s="410" t="s">
        <v>21</v>
      </c>
      <c r="F135" s="410" t="s">
        <v>321</v>
      </c>
      <c r="G135" s="219">
        <v>43.25</v>
      </c>
      <c r="H135" s="220"/>
      <c r="I135" s="410" t="str">
        <f>IF($A135="","",IF(OR($B135="",$C135="",$D135="",$E135="",$F135=""),"Stammdaten fehlen",IF(AND($G135="",$H135=""),"Werte fehlen",IF($G135="","Monatsstunden fehlen",IF($H135="","Monatslohn fehlt","OK")))))</f>
        <v>Monatslohn fehlt</v>
      </c>
      <c r="J135" s="429" t="str">
        <f>IF($G135="","",IF(COUNTIFS($A:$A,$A135,$D:$D,$D135,$G:$G,$G135)&gt;1,"Doppelte Monatsstunden",""))</f>
        <v/>
      </c>
    </row>
    <row r="136" spans="1:10" ht="24" customHeight="1">
      <c r="A136" s="419" t="s">
        <v>421</v>
      </c>
      <c r="B136" s="409">
        <v>46508</v>
      </c>
      <c r="C136" s="409">
        <v>46873</v>
      </c>
      <c r="D136" s="410" t="s">
        <v>333</v>
      </c>
      <c r="E136" s="410" t="s">
        <v>21</v>
      </c>
      <c r="F136" s="410" t="s">
        <v>321</v>
      </c>
      <c r="G136" s="219">
        <v>34.6</v>
      </c>
      <c r="H136" s="220"/>
      <c r="I136" s="410" t="str">
        <f>IF($A136="","",IF(OR($B136="",$C136="",$D136="",$E136="",$F136=""),"Stammdaten fehlen",IF(AND($G136="",$H136=""),"Werte fehlen",IF($G136="","Monatsstunden fehlen",IF($H136="","Monatslohn fehlt","OK")))))</f>
        <v>Monatslohn fehlt</v>
      </c>
      <c r="J136" s="429" t="str">
        <f>IF($G136="","",IF(COUNTIFS($A:$A,$A136,$D:$D,$D136,$G:$G,$G136)&gt;1,"Doppelte Monatsstunden",""))</f>
        <v/>
      </c>
    </row>
    <row r="137" spans="1:10" ht="24" customHeight="1">
      <c r="A137" s="419" t="s">
        <v>421</v>
      </c>
      <c r="B137" s="409">
        <v>46508</v>
      </c>
      <c r="C137" s="409">
        <v>46873</v>
      </c>
      <c r="D137" s="410" t="s">
        <v>333</v>
      </c>
      <c r="E137" s="410" t="s">
        <v>21</v>
      </c>
      <c r="F137" s="410" t="s">
        <v>321</v>
      </c>
      <c r="G137" s="219">
        <v>32.01</v>
      </c>
      <c r="H137" s="220"/>
      <c r="I137" s="410" t="str">
        <f>IF($A137="","",IF(OR($B137="",$C137="",$D137="",$E137="",$F137=""),"Stammdaten fehlen",IF(AND($G137="",$H137=""),"Werte fehlen",IF($G137="","Monatsstunden fehlen",IF($H137="","Monatslohn fehlt","OK")))))</f>
        <v>Monatslohn fehlt</v>
      </c>
      <c r="J137" s="429" t="str">
        <f>IF($G137="","",IF(COUNTIFS($A:$A,$A137,$D:$D,$D137,$G:$G,$G137)&gt;1,"Doppelte Monatsstunden",""))</f>
        <v/>
      </c>
    </row>
    <row r="138" spans="1:10" ht="24" customHeight="1">
      <c r="A138" s="419" t="s">
        <v>421</v>
      </c>
      <c r="B138" s="409">
        <v>46508</v>
      </c>
      <c r="C138" s="409">
        <v>46873</v>
      </c>
      <c r="D138" s="410" t="s">
        <v>333</v>
      </c>
      <c r="E138" s="410" t="s">
        <v>21</v>
      </c>
      <c r="F138" s="410" t="s">
        <v>321</v>
      </c>
      <c r="G138" s="219"/>
      <c r="H138" s="220"/>
      <c r="I138" s="410" t="str">
        <f>IF($A138="","",IF(OR($B138="",$C138="",$D138="",$E138="",$F138=""),"Stammdaten fehlen",IF(AND($G138="",$H138=""),"Werte fehlen",IF($G138="","Monatsstunden fehlen",IF($H138="","Monatslohn fehlt","OK")))))</f>
        <v>Werte fehlen</v>
      </c>
      <c r="J138" s="429" t="str">
        <f>IF($G138="","",IF(COUNTIFS($A:$A,$A138,$D:$D,$D138,$G:$G,$G138)&gt;1,"Doppelte Monatsstunden",""))</f>
        <v/>
      </c>
    </row>
    <row r="139" spans="1:10" ht="24" customHeight="1" thickBot="1">
      <c r="A139" s="419" t="s">
        <v>421</v>
      </c>
      <c r="B139" s="409">
        <v>46508</v>
      </c>
      <c r="C139" s="409">
        <v>46873</v>
      </c>
      <c r="D139" s="410" t="s">
        <v>333</v>
      </c>
      <c r="E139" s="410" t="s">
        <v>21</v>
      </c>
      <c r="F139" s="410" t="s">
        <v>321</v>
      </c>
      <c r="G139" s="219"/>
      <c r="H139" s="220"/>
      <c r="I139" s="410" t="str">
        <f>IF($A139="","",IF(OR($B139="",$C139="",$D139="",$E139="",$F139=""),"Stammdaten fehlen",IF(AND($G139="",$H139=""),"Werte fehlen",IF($G139="","Monatsstunden fehlen",IF($H139="","Monatslohn fehlt","OK")))))</f>
        <v>Werte fehlen</v>
      </c>
      <c r="J139" s="429" t="str">
        <f>IF($G139="","",IF(COUNTIFS($A:$A,$A139,$D:$D,$D139,$G:$G,$G139)&gt;1,"Doppelte Monatsstunden",""))</f>
        <v/>
      </c>
    </row>
    <row r="140" spans="1:10" ht="24" customHeight="1">
      <c r="A140" s="418" t="s">
        <v>421</v>
      </c>
      <c r="B140" s="407">
        <v>46508</v>
      </c>
      <c r="C140" s="407">
        <v>46873</v>
      </c>
      <c r="D140" s="408" t="s">
        <v>22</v>
      </c>
      <c r="E140" s="408" t="s">
        <v>21</v>
      </c>
      <c r="F140" s="408" t="s">
        <v>322</v>
      </c>
      <c r="G140" s="217">
        <v>173</v>
      </c>
      <c r="H140" s="218"/>
      <c r="I140" s="408" t="str">
        <f>IF($A140="","",IF(OR($B140="",$C140="",$D140="",$E140="",$F140=""),"Stammdaten fehlen",IF(AND($G140="",$H140=""),"Werte fehlen",IF($G140="","Monatsstunden fehlen",IF($H140="","Monatslohn fehlt","OK")))))</f>
        <v>Monatslohn fehlt</v>
      </c>
      <c r="J140" s="428" t="str">
        <f>IF($G140="","",IF(COUNTIFS($A:$A,$A140,$D:$D,$D140,$G:$G,$G140)&gt;1,"Doppelte Monatsstunden",""))</f>
        <v/>
      </c>
    </row>
    <row r="141" spans="1:10" ht="24" customHeight="1">
      <c r="A141" s="419" t="s">
        <v>421</v>
      </c>
      <c r="B141" s="409">
        <v>46508</v>
      </c>
      <c r="C141" s="409">
        <v>46873</v>
      </c>
      <c r="D141" s="410" t="s">
        <v>22</v>
      </c>
      <c r="E141" s="410" t="s">
        <v>21</v>
      </c>
      <c r="F141" s="410" t="s">
        <v>322</v>
      </c>
      <c r="G141" s="219">
        <v>151.38</v>
      </c>
      <c r="H141" s="220"/>
      <c r="I141" s="410" t="str">
        <f>IF($A141="","",IF(OR($B141="",$C141="",$D141="",$E141="",$F141=""),"Stammdaten fehlen",IF(AND($G141="",$H141=""),"Werte fehlen",IF($G141="","Monatsstunden fehlen",IF($H141="","Monatslohn fehlt","OK")))))</f>
        <v>Monatslohn fehlt</v>
      </c>
      <c r="J141" s="429" t="str">
        <f>IF($G141="","",IF(COUNTIFS($A:$A,$A141,$D:$D,$D141,$G:$G,$G141)&gt;1,"Doppelte Monatsstunden",""))</f>
        <v/>
      </c>
    </row>
    <row r="142" spans="1:10" ht="24" customHeight="1">
      <c r="A142" s="419" t="s">
        <v>421</v>
      </c>
      <c r="B142" s="409">
        <v>46508</v>
      </c>
      <c r="C142" s="409">
        <v>46873</v>
      </c>
      <c r="D142" s="410" t="s">
        <v>22</v>
      </c>
      <c r="E142" s="410" t="s">
        <v>21</v>
      </c>
      <c r="F142" s="410" t="s">
        <v>322</v>
      </c>
      <c r="G142" s="219">
        <v>138.4</v>
      </c>
      <c r="H142" s="220"/>
      <c r="I142" s="410" t="str">
        <f>IF($A142="","",IF(OR($B142="",$C142="",$D142="",$E142="",$F142=""),"Stammdaten fehlen",IF(AND($G142="",$H142=""),"Werte fehlen",IF($G142="","Monatsstunden fehlen",IF($H142="","Monatslohn fehlt","OK")))))</f>
        <v>Monatslohn fehlt</v>
      </c>
      <c r="J142" s="429" t="str">
        <f>IF($G142="","",IF(COUNTIFS($A:$A,$A142,$D:$D,$D142,$G:$G,$G142)&gt;1,"Doppelte Monatsstunden",""))</f>
        <v/>
      </c>
    </row>
    <row r="143" spans="1:10" ht="24" customHeight="1">
      <c r="A143" s="419" t="s">
        <v>421</v>
      </c>
      <c r="B143" s="409">
        <v>46508</v>
      </c>
      <c r="C143" s="409">
        <v>46873</v>
      </c>
      <c r="D143" s="410" t="s">
        <v>22</v>
      </c>
      <c r="E143" s="410" t="s">
        <v>21</v>
      </c>
      <c r="F143" s="410" t="s">
        <v>322</v>
      </c>
      <c r="G143" s="219">
        <v>129.75</v>
      </c>
      <c r="H143" s="220"/>
      <c r="I143" s="410" t="str">
        <f>IF($A143="","",IF(OR($B143="",$C143="",$D143="",$E143="",$F143=""),"Stammdaten fehlen",IF(AND($G143="",$H143=""),"Werte fehlen",IF($G143="","Monatsstunden fehlen",IF($H143="","Monatslohn fehlt","OK")))))</f>
        <v>Monatslohn fehlt</v>
      </c>
      <c r="J143" s="429" t="str">
        <f>IF($G143="","",IF(COUNTIFS($A:$A,$A143,$D:$D,$D143,$G:$G,$G143)&gt;1,"Doppelte Monatsstunden",""))</f>
        <v/>
      </c>
    </row>
    <row r="144" spans="1:10" ht="24" customHeight="1">
      <c r="A144" s="419" t="s">
        <v>421</v>
      </c>
      <c r="B144" s="409">
        <v>46508</v>
      </c>
      <c r="C144" s="409">
        <v>46873</v>
      </c>
      <c r="D144" s="410" t="s">
        <v>22</v>
      </c>
      <c r="E144" s="410" t="s">
        <v>21</v>
      </c>
      <c r="F144" s="410" t="s">
        <v>322</v>
      </c>
      <c r="G144" s="219">
        <v>108.13</v>
      </c>
      <c r="H144" s="220"/>
      <c r="I144" s="410" t="str">
        <f>IF($A144="","",IF(OR($B144="",$C144="",$D144="",$E144="",$F144=""),"Stammdaten fehlen",IF(AND($G144="",$H144=""),"Werte fehlen",IF($G144="","Monatsstunden fehlen",IF($H144="","Monatslohn fehlt","OK")))))</f>
        <v>Monatslohn fehlt</v>
      </c>
      <c r="J144" s="429" t="str">
        <f>IF($G144="","",IF(COUNTIFS($A:$A,$A144,$D:$D,$D144,$G:$G,$G144)&gt;1,"Doppelte Monatsstunden",""))</f>
        <v/>
      </c>
    </row>
    <row r="145" spans="1:10" ht="24" customHeight="1">
      <c r="A145" s="419" t="s">
        <v>421</v>
      </c>
      <c r="B145" s="409">
        <v>46508</v>
      </c>
      <c r="C145" s="409">
        <v>46873</v>
      </c>
      <c r="D145" s="410" t="s">
        <v>22</v>
      </c>
      <c r="E145" s="410" t="s">
        <v>21</v>
      </c>
      <c r="F145" s="410" t="s">
        <v>322</v>
      </c>
      <c r="G145" s="219">
        <v>103.8</v>
      </c>
      <c r="H145" s="220"/>
      <c r="I145" s="410" t="str">
        <f>IF($A145="","",IF(OR($B145="",$C145="",$D145="",$E145="",$F145=""),"Stammdaten fehlen",IF(AND($G145="",$H145=""),"Werte fehlen",IF($G145="","Monatsstunden fehlen",IF($H145="","Monatslohn fehlt","OK")))))</f>
        <v>Monatslohn fehlt</v>
      </c>
      <c r="J145" s="429" t="str">
        <f>IF($G145="","",IF(COUNTIFS($A:$A,$A145,$D:$D,$D145,$G:$G,$G145)&gt;1,"Doppelte Monatsstunden",""))</f>
        <v/>
      </c>
    </row>
    <row r="146" spans="1:10" ht="24" customHeight="1">
      <c r="A146" s="419" t="s">
        <v>421</v>
      </c>
      <c r="B146" s="409">
        <v>46508</v>
      </c>
      <c r="C146" s="409">
        <v>46873</v>
      </c>
      <c r="D146" s="410" t="s">
        <v>22</v>
      </c>
      <c r="E146" s="410" t="s">
        <v>21</v>
      </c>
      <c r="F146" s="410" t="s">
        <v>322</v>
      </c>
      <c r="G146" s="219">
        <v>86.5</v>
      </c>
      <c r="H146" s="220"/>
      <c r="I146" s="410" t="str">
        <f>IF($A146="","",IF(OR($B146="",$C146="",$D146="",$E146="",$F146=""),"Stammdaten fehlen",IF(AND($G146="",$H146=""),"Werte fehlen",IF($G146="","Monatsstunden fehlen",IF($H146="","Monatslohn fehlt","OK")))))</f>
        <v>Monatslohn fehlt</v>
      </c>
      <c r="J146" s="429" t="str">
        <f>IF($G146="","",IF(COUNTIFS($A:$A,$A146,$D:$D,$D146,$G:$G,$G146)&gt;1,"Doppelte Monatsstunden",""))</f>
        <v/>
      </c>
    </row>
    <row r="147" spans="1:10" ht="24" customHeight="1">
      <c r="A147" s="419" t="s">
        <v>421</v>
      </c>
      <c r="B147" s="409">
        <v>46508</v>
      </c>
      <c r="C147" s="409">
        <v>46873</v>
      </c>
      <c r="D147" s="410" t="s">
        <v>22</v>
      </c>
      <c r="E147" s="410" t="s">
        <v>21</v>
      </c>
      <c r="F147" s="410" t="s">
        <v>322</v>
      </c>
      <c r="G147" s="219">
        <v>69.2</v>
      </c>
      <c r="H147" s="220"/>
      <c r="I147" s="410" t="str">
        <f>IF($A147="","",IF(OR($B147="",$C147="",$D147="",$E147="",$F147=""),"Stammdaten fehlen",IF(AND($G147="",$H147=""),"Werte fehlen",IF($G147="","Monatsstunden fehlen",IF($H147="","Monatslohn fehlt","OK")))))</f>
        <v>Monatslohn fehlt</v>
      </c>
      <c r="J147" s="429" t="str">
        <f>IF($G147="","",IF(COUNTIFS($A:$A,$A147,$D:$D,$D147,$G:$G,$G147)&gt;1,"Doppelte Monatsstunden",""))</f>
        <v/>
      </c>
    </row>
    <row r="148" spans="1:10" ht="24" customHeight="1">
      <c r="A148" s="419" t="s">
        <v>421</v>
      </c>
      <c r="B148" s="409">
        <v>46508</v>
      </c>
      <c r="C148" s="409">
        <v>46873</v>
      </c>
      <c r="D148" s="410" t="s">
        <v>22</v>
      </c>
      <c r="E148" s="410" t="s">
        <v>21</v>
      </c>
      <c r="F148" s="410" t="s">
        <v>322</v>
      </c>
      <c r="G148" s="219">
        <v>51.9</v>
      </c>
      <c r="H148" s="220"/>
      <c r="I148" s="410" t="str">
        <f>IF($A148="","",IF(OR($B148="",$C148="",$D148="",$E148="",$F148=""),"Stammdaten fehlen",IF(AND($G148="",$H148=""),"Werte fehlen",IF($G148="","Monatsstunden fehlen",IF($H148="","Monatslohn fehlt","OK")))))</f>
        <v>Monatslohn fehlt</v>
      </c>
      <c r="J148" s="429" t="str">
        <f>IF($G148="","",IF(COUNTIFS($A:$A,$A148,$D:$D,$D148,$G:$G,$G148)&gt;1,"Doppelte Monatsstunden",""))</f>
        <v/>
      </c>
    </row>
    <row r="149" spans="1:10" ht="24" customHeight="1">
      <c r="A149" s="419" t="s">
        <v>421</v>
      </c>
      <c r="B149" s="409">
        <v>46508</v>
      </c>
      <c r="C149" s="409">
        <v>46873</v>
      </c>
      <c r="D149" s="410" t="s">
        <v>22</v>
      </c>
      <c r="E149" s="410" t="s">
        <v>21</v>
      </c>
      <c r="F149" s="410" t="s">
        <v>322</v>
      </c>
      <c r="G149" s="219">
        <v>47.58</v>
      </c>
      <c r="H149" s="220"/>
      <c r="I149" s="410" t="str">
        <f>IF($A149="","",IF(OR($B149="",$C149="",$D149="",$E149="",$F149=""),"Stammdaten fehlen",IF(AND($G149="",$H149=""),"Werte fehlen",IF($G149="","Monatsstunden fehlen",IF($H149="","Monatslohn fehlt","OK")))))</f>
        <v>Monatslohn fehlt</v>
      </c>
      <c r="J149" s="429" t="str">
        <f>IF($G149="","",IF(COUNTIFS($A:$A,$A149,$D:$D,$D149,$G:$G,$G149)&gt;1,"Doppelte Monatsstunden",""))</f>
        <v/>
      </c>
    </row>
    <row r="150" spans="1:10" ht="24" customHeight="1">
      <c r="A150" s="419" t="s">
        <v>421</v>
      </c>
      <c r="B150" s="409">
        <v>46508</v>
      </c>
      <c r="C150" s="409">
        <v>46873</v>
      </c>
      <c r="D150" s="410" t="s">
        <v>22</v>
      </c>
      <c r="E150" s="410" t="s">
        <v>21</v>
      </c>
      <c r="F150" s="410" t="s">
        <v>322</v>
      </c>
      <c r="G150" s="219">
        <v>43.25</v>
      </c>
      <c r="H150" s="220"/>
      <c r="I150" s="410" t="str">
        <f>IF($A150="","",IF(OR($B150="",$C150="",$D150="",$E150="",$F150=""),"Stammdaten fehlen",IF(AND($G150="",$H150=""),"Werte fehlen",IF($G150="","Monatsstunden fehlen",IF($H150="","Monatslohn fehlt","OK")))))</f>
        <v>Monatslohn fehlt</v>
      </c>
      <c r="J150" s="429" t="str">
        <f>IF($G150="","",IF(COUNTIFS($A:$A,$A150,$D:$D,$D150,$G:$G,$G150)&gt;1,"Doppelte Monatsstunden",""))</f>
        <v/>
      </c>
    </row>
    <row r="151" spans="1:10" ht="24" customHeight="1">
      <c r="A151" s="419" t="s">
        <v>421</v>
      </c>
      <c r="B151" s="409">
        <v>46508</v>
      </c>
      <c r="C151" s="409">
        <v>46873</v>
      </c>
      <c r="D151" s="410" t="s">
        <v>22</v>
      </c>
      <c r="E151" s="410" t="s">
        <v>21</v>
      </c>
      <c r="F151" s="410" t="s">
        <v>322</v>
      </c>
      <c r="G151" s="219">
        <v>34.6</v>
      </c>
      <c r="H151" s="220"/>
      <c r="I151" s="410" t="str">
        <f>IF($A151="","",IF(OR($B151="",$C151="",$D151="",$E151="",$F151=""),"Stammdaten fehlen",IF(AND($G151="",$H151=""),"Werte fehlen",IF($G151="","Monatsstunden fehlen",IF($H151="","Monatslohn fehlt","OK")))))</f>
        <v>Monatslohn fehlt</v>
      </c>
      <c r="J151" s="429" t="str">
        <f>IF($G151="","",IF(COUNTIFS($A:$A,$A151,$D:$D,$D151,$G:$G,$G151)&gt;1,"Doppelte Monatsstunden",""))</f>
        <v/>
      </c>
    </row>
    <row r="152" spans="1:10" ht="24" customHeight="1">
      <c r="A152" s="419" t="s">
        <v>421</v>
      </c>
      <c r="B152" s="409">
        <v>46508</v>
      </c>
      <c r="C152" s="409">
        <v>46873</v>
      </c>
      <c r="D152" s="410" t="s">
        <v>22</v>
      </c>
      <c r="E152" s="410" t="s">
        <v>21</v>
      </c>
      <c r="F152" s="410" t="s">
        <v>322</v>
      </c>
      <c r="G152" s="219">
        <v>32.01</v>
      </c>
      <c r="H152" s="220"/>
      <c r="I152" s="410" t="str">
        <f>IF($A152="","",IF(OR($B152="",$C152="",$D152="",$E152="",$F152=""),"Stammdaten fehlen",IF(AND($G152="",$H152=""),"Werte fehlen",IF($G152="","Monatsstunden fehlen",IF($H152="","Monatslohn fehlt","OK")))))</f>
        <v>Monatslohn fehlt</v>
      </c>
      <c r="J152" s="429" t="str">
        <f>IF($G152="","",IF(COUNTIFS($A:$A,$A152,$D:$D,$D152,$G:$G,$G152)&gt;1,"Doppelte Monatsstunden",""))</f>
        <v/>
      </c>
    </row>
    <row r="153" spans="1:10" ht="24" customHeight="1">
      <c r="A153" s="419" t="s">
        <v>421</v>
      </c>
      <c r="B153" s="409">
        <v>46508</v>
      </c>
      <c r="C153" s="409">
        <v>46873</v>
      </c>
      <c r="D153" s="410" t="s">
        <v>22</v>
      </c>
      <c r="E153" s="410" t="s">
        <v>21</v>
      </c>
      <c r="F153" s="410" t="s">
        <v>322</v>
      </c>
      <c r="G153" s="219"/>
      <c r="H153" s="220"/>
      <c r="I153" s="410" t="str">
        <f>IF($A153="","",IF(OR($B153="",$C153="",$D153="",$E153="",$F153=""),"Stammdaten fehlen",IF(AND($G153="",$H153=""),"Werte fehlen",IF($G153="","Monatsstunden fehlen",IF($H153="","Monatslohn fehlt","OK")))))</f>
        <v>Werte fehlen</v>
      </c>
      <c r="J153" s="429" t="str">
        <f>IF($G153="","",IF(COUNTIFS($A:$A,$A153,$D:$D,$D153,$G:$G,$G153)&gt;1,"Doppelte Monatsstunden",""))</f>
        <v/>
      </c>
    </row>
    <row r="154" spans="1:10" ht="24" customHeight="1" thickBot="1">
      <c r="A154" s="419" t="s">
        <v>421</v>
      </c>
      <c r="B154" s="409">
        <v>46508</v>
      </c>
      <c r="C154" s="409">
        <v>46873</v>
      </c>
      <c r="D154" s="410" t="s">
        <v>22</v>
      </c>
      <c r="E154" s="410" t="s">
        <v>21</v>
      </c>
      <c r="F154" s="410" t="s">
        <v>322</v>
      </c>
      <c r="G154" s="219"/>
      <c r="H154" s="220"/>
      <c r="I154" s="410" t="str">
        <f>IF($A154="","",IF(OR($B154="",$C154="",$D154="",$E154="",$F154=""),"Stammdaten fehlen",IF(AND($G154="",$H154=""),"Werte fehlen",IF($G154="","Monatsstunden fehlen",IF($H154="","Monatslohn fehlt","OK")))))</f>
        <v>Werte fehlen</v>
      </c>
      <c r="J154" s="429" t="str">
        <f>IF($G154="","",IF(COUNTIFS($A:$A,$A154,$D:$D,$D154,$G:$G,$G154)&gt;1,"Doppelte Monatsstunden",""))</f>
        <v/>
      </c>
    </row>
    <row r="155" spans="1:10" ht="24" customHeight="1">
      <c r="A155" s="418" t="s">
        <v>421</v>
      </c>
      <c r="B155" s="407">
        <v>46508</v>
      </c>
      <c r="C155" s="407">
        <v>46873</v>
      </c>
      <c r="D155" s="408" t="s">
        <v>23</v>
      </c>
      <c r="E155" s="408" t="s">
        <v>21</v>
      </c>
      <c r="F155" s="408" t="s">
        <v>323</v>
      </c>
      <c r="G155" s="217">
        <v>173</v>
      </c>
      <c r="H155" s="218"/>
      <c r="I155" s="408" t="str">
        <f>IF($A155="","",IF(OR($B155="",$C155="",$D155="",$E155="",$F155=""),"Stammdaten fehlen",IF(AND($G155="",$H155=""),"Werte fehlen",IF($G155="","Monatsstunden fehlen",IF($H155="","Monatslohn fehlt","OK")))))</f>
        <v>Monatslohn fehlt</v>
      </c>
      <c r="J155" s="428" t="str">
        <f>IF($G155="","",IF(COUNTIFS($A:$A,$A155,$D:$D,$D155,$G:$G,$G155)&gt;1,"Doppelte Monatsstunden",""))</f>
        <v/>
      </c>
    </row>
    <row r="156" spans="1:10" ht="24" customHeight="1">
      <c r="A156" s="419" t="s">
        <v>421</v>
      </c>
      <c r="B156" s="409">
        <v>46508</v>
      </c>
      <c r="C156" s="409">
        <v>46873</v>
      </c>
      <c r="D156" s="410" t="s">
        <v>23</v>
      </c>
      <c r="E156" s="410" t="s">
        <v>21</v>
      </c>
      <c r="F156" s="410" t="s">
        <v>323</v>
      </c>
      <c r="G156" s="219">
        <v>151.38</v>
      </c>
      <c r="H156" s="220"/>
      <c r="I156" s="410" t="str">
        <f>IF($A156="","",IF(OR($B156="",$C156="",$D156="",$E156="",$F156=""),"Stammdaten fehlen",IF(AND($G156="",$H156=""),"Werte fehlen",IF($G156="","Monatsstunden fehlen",IF($H156="","Monatslohn fehlt","OK")))))</f>
        <v>Monatslohn fehlt</v>
      </c>
      <c r="J156" s="429" t="str">
        <f>IF($G156="","",IF(COUNTIFS($A:$A,$A156,$D:$D,$D156,$G:$G,$G156)&gt;1,"Doppelte Monatsstunden",""))</f>
        <v/>
      </c>
    </row>
    <row r="157" spans="1:10" ht="24" customHeight="1">
      <c r="A157" s="419" t="s">
        <v>421</v>
      </c>
      <c r="B157" s="409">
        <v>46508</v>
      </c>
      <c r="C157" s="409">
        <v>46873</v>
      </c>
      <c r="D157" s="410" t="s">
        <v>23</v>
      </c>
      <c r="E157" s="410" t="s">
        <v>21</v>
      </c>
      <c r="F157" s="410" t="s">
        <v>323</v>
      </c>
      <c r="G157" s="219">
        <v>138.4</v>
      </c>
      <c r="H157" s="220"/>
      <c r="I157" s="410" t="str">
        <f>IF($A157="","",IF(OR($B157="",$C157="",$D157="",$E157="",$F157=""),"Stammdaten fehlen",IF(AND($G157="",$H157=""),"Werte fehlen",IF($G157="","Monatsstunden fehlen",IF($H157="","Monatslohn fehlt","OK")))))</f>
        <v>Monatslohn fehlt</v>
      </c>
      <c r="J157" s="429" t="str">
        <f>IF($G157="","",IF(COUNTIFS($A:$A,$A157,$D:$D,$D157,$G:$G,$G157)&gt;1,"Doppelte Monatsstunden",""))</f>
        <v/>
      </c>
    </row>
    <row r="158" spans="1:10" ht="24" customHeight="1">
      <c r="A158" s="419" t="s">
        <v>421</v>
      </c>
      <c r="B158" s="409">
        <v>46508</v>
      </c>
      <c r="C158" s="409">
        <v>46873</v>
      </c>
      <c r="D158" s="410" t="s">
        <v>23</v>
      </c>
      <c r="E158" s="410" t="s">
        <v>21</v>
      </c>
      <c r="F158" s="410" t="s">
        <v>323</v>
      </c>
      <c r="G158" s="219">
        <v>129.75</v>
      </c>
      <c r="H158" s="220"/>
      <c r="I158" s="410" t="str">
        <f>IF($A158="","",IF(OR($B158="",$C158="",$D158="",$E158="",$F158=""),"Stammdaten fehlen",IF(AND($G158="",$H158=""),"Werte fehlen",IF($G158="","Monatsstunden fehlen",IF($H158="","Monatslohn fehlt","OK")))))</f>
        <v>Monatslohn fehlt</v>
      </c>
      <c r="J158" s="429" t="str">
        <f>IF($G158="","",IF(COUNTIFS($A:$A,$A158,$D:$D,$D158,$G:$G,$G158)&gt;1,"Doppelte Monatsstunden",""))</f>
        <v/>
      </c>
    </row>
    <row r="159" spans="1:10" ht="24" customHeight="1">
      <c r="A159" s="419" t="s">
        <v>421</v>
      </c>
      <c r="B159" s="409">
        <v>46508</v>
      </c>
      <c r="C159" s="409">
        <v>46873</v>
      </c>
      <c r="D159" s="410" t="s">
        <v>23</v>
      </c>
      <c r="E159" s="410" t="s">
        <v>21</v>
      </c>
      <c r="F159" s="410" t="s">
        <v>323</v>
      </c>
      <c r="G159" s="219">
        <v>108.13</v>
      </c>
      <c r="H159" s="220"/>
      <c r="I159" s="410" t="str">
        <f>IF($A159="","",IF(OR($B159="",$C159="",$D159="",$E159="",$F159=""),"Stammdaten fehlen",IF(AND($G159="",$H159=""),"Werte fehlen",IF($G159="","Monatsstunden fehlen",IF($H159="","Monatslohn fehlt","OK")))))</f>
        <v>Monatslohn fehlt</v>
      </c>
      <c r="J159" s="429" t="str">
        <f>IF($G159="","",IF(COUNTIFS($A:$A,$A159,$D:$D,$D159,$G:$G,$G159)&gt;1,"Doppelte Monatsstunden",""))</f>
        <v/>
      </c>
    </row>
    <row r="160" spans="1:10" ht="24" customHeight="1">
      <c r="A160" s="419" t="s">
        <v>421</v>
      </c>
      <c r="B160" s="409">
        <v>46508</v>
      </c>
      <c r="C160" s="409">
        <v>46873</v>
      </c>
      <c r="D160" s="410" t="s">
        <v>23</v>
      </c>
      <c r="E160" s="410" t="s">
        <v>21</v>
      </c>
      <c r="F160" s="410" t="s">
        <v>323</v>
      </c>
      <c r="G160" s="219">
        <v>103.8</v>
      </c>
      <c r="H160" s="220"/>
      <c r="I160" s="410" t="str">
        <f>IF($A160="","",IF(OR($B160="",$C160="",$D160="",$E160="",$F160=""),"Stammdaten fehlen",IF(AND($G160="",$H160=""),"Werte fehlen",IF($G160="","Monatsstunden fehlen",IF($H160="","Monatslohn fehlt","OK")))))</f>
        <v>Monatslohn fehlt</v>
      </c>
      <c r="J160" s="429" t="str">
        <f>IF($G160="","",IF(COUNTIFS($A:$A,$A160,$D:$D,$D160,$G:$G,$G160)&gt;1,"Doppelte Monatsstunden",""))</f>
        <v/>
      </c>
    </row>
    <row r="161" spans="1:10" ht="24" customHeight="1">
      <c r="A161" s="419" t="s">
        <v>421</v>
      </c>
      <c r="B161" s="409">
        <v>46508</v>
      </c>
      <c r="C161" s="409">
        <v>46873</v>
      </c>
      <c r="D161" s="410" t="s">
        <v>23</v>
      </c>
      <c r="E161" s="410" t="s">
        <v>21</v>
      </c>
      <c r="F161" s="410" t="s">
        <v>323</v>
      </c>
      <c r="G161" s="219">
        <v>86.5</v>
      </c>
      <c r="H161" s="220"/>
      <c r="I161" s="410" t="str">
        <f>IF($A161="","",IF(OR($B161="",$C161="",$D161="",$E161="",$F161=""),"Stammdaten fehlen",IF(AND($G161="",$H161=""),"Werte fehlen",IF($G161="","Monatsstunden fehlen",IF($H161="","Monatslohn fehlt","OK")))))</f>
        <v>Monatslohn fehlt</v>
      </c>
      <c r="J161" s="429" t="str">
        <f>IF($G161="","",IF(COUNTIFS($A:$A,$A161,$D:$D,$D161,$G:$G,$G161)&gt;1,"Doppelte Monatsstunden",""))</f>
        <v/>
      </c>
    </row>
    <row r="162" spans="1:10" ht="24" customHeight="1">
      <c r="A162" s="419" t="s">
        <v>421</v>
      </c>
      <c r="B162" s="409">
        <v>46508</v>
      </c>
      <c r="C162" s="409">
        <v>46873</v>
      </c>
      <c r="D162" s="410" t="s">
        <v>23</v>
      </c>
      <c r="E162" s="410" t="s">
        <v>21</v>
      </c>
      <c r="F162" s="410" t="s">
        <v>323</v>
      </c>
      <c r="G162" s="219">
        <v>69.2</v>
      </c>
      <c r="H162" s="220"/>
      <c r="I162" s="410" t="str">
        <f>IF($A162="","",IF(OR($B162="",$C162="",$D162="",$E162="",$F162=""),"Stammdaten fehlen",IF(AND($G162="",$H162=""),"Werte fehlen",IF($G162="","Monatsstunden fehlen",IF($H162="","Monatslohn fehlt","OK")))))</f>
        <v>Monatslohn fehlt</v>
      </c>
      <c r="J162" s="429" t="str">
        <f>IF($G162="","",IF(COUNTIFS($A:$A,$A162,$D:$D,$D162,$G:$G,$G162)&gt;1,"Doppelte Monatsstunden",""))</f>
        <v/>
      </c>
    </row>
    <row r="163" spans="1:10" ht="24" customHeight="1">
      <c r="A163" s="419" t="s">
        <v>421</v>
      </c>
      <c r="B163" s="409">
        <v>46508</v>
      </c>
      <c r="C163" s="409">
        <v>46873</v>
      </c>
      <c r="D163" s="410" t="s">
        <v>23</v>
      </c>
      <c r="E163" s="410" t="s">
        <v>21</v>
      </c>
      <c r="F163" s="410" t="s">
        <v>323</v>
      </c>
      <c r="G163" s="219">
        <v>51.9</v>
      </c>
      <c r="H163" s="220"/>
      <c r="I163" s="410" t="str">
        <f>IF($A163="","",IF(OR($B163="",$C163="",$D163="",$E163="",$F163=""),"Stammdaten fehlen",IF(AND($G163="",$H163=""),"Werte fehlen",IF($G163="","Monatsstunden fehlen",IF($H163="","Monatslohn fehlt","OK")))))</f>
        <v>Monatslohn fehlt</v>
      </c>
      <c r="J163" s="429" t="str">
        <f>IF($G163="","",IF(COUNTIFS($A:$A,$A163,$D:$D,$D163,$G:$G,$G163)&gt;1,"Doppelte Monatsstunden",""))</f>
        <v/>
      </c>
    </row>
    <row r="164" spans="1:10" ht="24" customHeight="1">
      <c r="A164" s="419" t="s">
        <v>421</v>
      </c>
      <c r="B164" s="409">
        <v>46508</v>
      </c>
      <c r="C164" s="409">
        <v>46873</v>
      </c>
      <c r="D164" s="410" t="s">
        <v>23</v>
      </c>
      <c r="E164" s="410" t="s">
        <v>21</v>
      </c>
      <c r="F164" s="410" t="s">
        <v>323</v>
      </c>
      <c r="G164" s="219">
        <v>47.58</v>
      </c>
      <c r="H164" s="220"/>
      <c r="I164" s="410" t="str">
        <f>IF($A164="","",IF(OR($B164="",$C164="",$D164="",$E164="",$F164=""),"Stammdaten fehlen",IF(AND($G164="",$H164=""),"Werte fehlen",IF($G164="","Monatsstunden fehlen",IF($H164="","Monatslohn fehlt","OK")))))</f>
        <v>Monatslohn fehlt</v>
      </c>
      <c r="J164" s="429" t="str">
        <f>IF($G164="","",IF(COUNTIFS($A:$A,$A164,$D:$D,$D164,$G:$G,$G164)&gt;1,"Doppelte Monatsstunden",""))</f>
        <v/>
      </c>
    </row>
    <row r="165" spans="1:10" ht="24" customHeight="1">
      <c r="A165" s="419" t="s">
        <v>421</v>
      </c>
      <c r="B165" s="409">
        <v>46508</v>
      </c>
      <c r="C165" s="409">
        <v>46873</v>
      </c>
      <c r="D165" s="410" t="s">
        <v>23</v>
      </c>
      <c r="E165" s="410" t="s">
        <v>21</v>
      </c>
      <c r="F165" s="410" t="s">
        <v>323</v>
      </c>
      <c r="G165" s="219">
        <v>43.25</v>
      </c>
      <c r="H165" s="220"/>
      <c r="I165" s="410" t="str">
        <f>IF($A165="","",IF(OR($B165="",$C165="",$D165="",$E165="",$F165=""),"Stammdaten fehlen",IF(AND($G165="",$H165=""),"Werte fehlen",IF($G165="","Monatsstunden fehlen",IF($H165="","Monatslohn fehlt","OK")))))</f>
        <v>Monatslohn fehlt</v>
      </c>
      <c r="J165" s="429" t="str">
        <f>IF($G165="","",IF(COUNTIFS($A:$A,$A165,$D:$D,$D165,$G:$G,$G165)&gt;1,"Doppelte Monatsstunden",""))</f>
        <v/>
      </c>
    </row>
    <row r="166" spans="1:10" ht="24" customHeight="1">
      <c r="A166" s="419" t="s">
        <v>421</v>
      </c>
      <c r="B166" s="409">
        <v>46508</v>
      </c>
      <c r="C166" s="409">
        <v>46873</v>
      </c>
      <c r="D166" s="410" t="s">
        <v>23</v>
      </c>
      <c r="E166" s="410" t="s">
        <v>21</v>
      </c>
      <c r="F166" s="410" t="s">
        <v>323</v>
      </c>
      <c r="G166" s="219">
        <v>34.6</v>
      </c>
      <c r="H166" s="220"/>
      <c r="I166" s="410" t="str">
        <f>IF($A166="","",IF(OR($B166="",$C166="",$D166="",$E166="",$F166=""),"Stammdaten fehlen",IF(AND($G166="",$H166=""),"Werte fehlen",IF($G166="","Monatsstunden fehlen",IF($H166="","Monatslohn fehlt","OK")))))</f>
        <v>Monatslohn fehlt</v>
      </c>
      <c r="J166" s="429" t="str">
        <f>IF($G166="","",IF(COUNTIFS($A:$A,$A166,$D:$D,$D166,$G:$G,$G166)&gt;1,"Doppelte Monatsstunden",""))</f>
        <v/>
      </c>
    </row>
    <row r="167" spans="1:10" ht="24" customHeight="1">
      <c r="A167" s="419" t="s">
        <v>421</v>
      </c>
      <c r="B167" s="409">
        <v>46508</v>
      </c>
      <c r="C167" s="409">
        <v>46873</v>
      </c>
      <c r="D167" s="410" t="s">
        <v>23</v>
      </c>
      <c r="E167" s="410" t="s">
        <v>21</v>
      </c>
      <c r="F167" s="410" t="s">
        <v>323</v>
      </c>
      <c r="G167" s="219">
        <v>32.01</v>
      </c>
      <c r="H167" s="220"/>
      <c r="I167" s="410" t="str">
        <f>IF($A167="","",IF(OR($B167="",$C167="",$D167="",$E167="",$F167=""),"Stammdaten fehlen",IF(AND($G167="",$H167=""),"Werte fehlen",IF($G167="","Monatsstunden fehlen",IF($H167="","Monatslohn fehlt","OK")))))</f>
        <v>Monatslohn fehlt</v>
      </c>
      <c r="J167" s="429" t="str">
        <f>IF($G167="","",IF(COUNTIFS($A:$A,$A167,$D:$D,$D167,$G:$G,$G167)&gt;1,"Doppelte Monatsstunden",""))</f>
        <v/>
      </c>
    </row>
    <row r="168" spans="1:10" ht="24" customHeight="1">
      <c r="A168" s="419" t="s">
        <v>421</v>
      </c>
      <c r="B168" s="409">
        <v>46508</v>
      </c>
      <c r="C168" s="409">
        <v>46873</v>
      </c>
      <c r="D168" s="410" t="s">
        <v>23</v>
      </c>
      <c r="E168" s="410" t="s">
        <v>21</v>
      </c>
      <c r="F168" s="410" t="s">
        <v>323</v>
      </c>
      <c r="G168" s="219"/>
      <c r="H168" s="220"/>
      <c r="I168" s="410" t="str">
        <f>IF($A168="","",IF(OR($B168="",$C168="",$D168="",$E168="",$F168=""),"Stammdaten fehlen",IF(AND($G168="",$H168=""),"Werte fehlen",IF($G168="","Monatsstunden fehlen",IF($H168="","Monatslohn fehlt","OK")))))</f>
        <v>Werte fehlen</v>
      </c>
      <c r="J168" s="429" t="str">
        <f>IF($G168="","",IF(COUNTIFS($A:$A,$A168,$D:$D,$D168,$G:$G,$G168)&gt;1,"Doppelte Monatsstunden",""))</f>
        <v/>
      </c>
    </row>
    <row r="169" spans="1:10" ht="24" customHeight="1" thickBot="1">
      <c r="A169" s="419" t="s">
        <v>421</v>
      </c>
      <c r="B169" s="409">
        <v>46508</v>
      </c>
      <c r="C169" s="409">
        <v>46873</v>
      </c>
      <c r="D169" s="410" t="s">
        <v>23</v>
      </c>
      <c r="E169" s="410" t="s">
        <v>21</v>
      </c>
      <c r="F169" s="410" t="s">
        <v>323</v>
      </c>
      <c r="G169" s="219"/>
      <c r="H169" s="220"/>
      <c r="I169" s="410" t="str">
        <f>IF($A169="","",IF(OR($B169="",$C169="",$D169="",$E169="",$F169=""),"Stammdaten fehlen",IF(AND($G169="",$H169=""),"Werte fehlen",IF($G169="","Monatsstunden fehlen",IF($H169="","Monatslohn fehlt","OK")))))</f>
        <v>Werte fehlen</v>
      </c>
      <c r="J169" s="429" t="str">
        <f>IF($G169="","",IF(COUNTIFS($A:$A,$A169,$D:$D,$D169,$G:$G,$G169)&gt;1,"Doppelte Monatsstunden",""))</f>
        <v/>
      </c>
    </row>
    <row r="170" spans="1:10" ht="24" customHeight="1">
      <c r="A170" s="418" t="s">
        <v>421</v>
      </c>
      <c r="B170" s="407">
        <v>46508</v>
      </c>
      <c r="C170" s="407">
        <v>46873</v>
      </c>
      <c r="D170" s="408" t="s">
        <v>24</v>
      </c>
      <c r="E170" s="408" t="s">
        <v>21</v>
      </c>
      <c r="F170" s="408" t="s">
        <v>324</v>
      </c>
      <c r="G170" s="217">
        <v>173</v>
      </c>
      <c r="H170" s="218"/>
      <c r="I170" s="408" t="str">
        <f>IF($A170="","",IF(OR($B170="",$C170="",$D170="",$E170="",$F170=""),"Stammdaten fehlen",IF(AND($G170="",$H170=""),"Werte fehlen",IF($G170="","Monatsstunden fehlen",IF($H170="","Monatslohn fehlt","OK")))))</f>
        <v>Monatslohn fehlt</v>
      </c>
      <c r="J170" s="428" t="str">
        <f>IF($G170="","",IF(COUNTIFS($A:$A,$A170,$D:$D,$D170,$G:$G,$G170)&gt;1,"Doppelte Monatsstunden",""))</f>
        <v/>
      </c>
    </row>
    <row r="171" spans="1:10" ht="24" customHeight="1">
      <c r="A171" s="419" t="s">
        <v>421</v>
      </c>
      <c r="B171" s="409">
        <v>46508</v>
      </c>
      <c r="C171" s="409">
        <v>46873</v>
      </c>
      <c r="D171" s="410" t="s">
        <v>24</v>
      </c>
      <c r="E171" s="410" t="s">
        <v>21</v>
      </c>
      <c r="F171" s="410" t="s">
        <v>324</v>
      </c>
      <c r="G171" s="219">
        <v>151.38</v>
      </c>
      <c r="H171" s="220"/>
      <c r="I171" s="410" t="str">
        <f>IF($A171="","",IF(OR($B171="",$C171="",$D171="",$E171="",$F171=""),"Stammdaten fehlen",IF(AND($G171="",$H171=""),"Werte fehlen",IF($G171="","Monatsstunden fehlen",IF($H171="","Monatslohn fehlt","OK")))))</f>
        <v>Monatslohn fehlt</v>
      </c>
      <c r="J171" s="429" t="str">
        <f>IF($G171="","",IF(COUNTIFS($A:$A,$A171,$D:$D,$D171,$G:$G,$G171)&gt;1,"Doppelte Monatsstunden",""))</f>
        <v/>
      </c>
    </row>
    <row r="172" spans="1:10" ht="24" customHeight="1">
      <c r="A172" s="419" t="s">
        <v>421</v>
      </c>
      <c r="B172" s="409">
        <v>46508</v>
      </c>
      <c r="C172" s="409">
        <v>46873</v>
      </c>
      <c r="D172" s="410" t="s">
        <v>24</v>
      </c>
      <c r="E172" s="410" t="s">
        <v>21</v>
      </c>
      <c r="F172" s="410" t="s">
        <v>324</v>
      </c>
      <c r="G172" s="219">
        <v>138.4</v>
      </c>
      <c r="H172" s="220"/>
      <c r="I172" s="410" t="str">
        <f>IF($A172="","",IF(OR($B172="",$C172="",$D172="",$E172="",$F172=""),"Stammdaten fehlen",IF(AND($G172="",$H172=""),"Werte fehlen",IF($G172="","Monatsstunden fehlen",IF($H172="","Monatslohn fehlt","OK")))))</f>
        <v>Monatslohn fehlt</v>
      </c>
      <c r="J172" s="429" t="str">
        <f>IF($G172="","",IF(COUNTIFS($A:$A,$A172,$D:$D,$D172,$G:$G,$G172)&gt;1,"Doppelte Monatsstunden",""))</f>
        <v/>
      </c>
    </row>
    <row r="173" spans="1:10" ht="24" customHeight="1">
      <c r="A173" s="419" t="s">
        <v>421</v>
      </c>
      <c r="B173" s="409">
        <v>46508</v>
      </c>
      <c r="C173" s="409">
        <v>46873</v>
      </c>
      <c r="D173" s="410" t="s">
        <v>24</v>
      </c>
      <c r="E173" s="410" t="s">
        <v>21</v>
      </c>
      <c r="F173" s="410" t="s">
        <v>324</v>
      </c>
      <c r="G173" s="219">
        <v>129.75</v>
      </c>
      <c r="H173" s="220"/>
      <c r="I173" s="410" t="str">
        <f>IF($A173="","",IF(OR($B173="",$C173="",$D173="",$E173="",$F173=""),"Stammdaten fehlen",IF(AND($G173="",$H173=""),"Werte fehlen",IF($G173="","Monatsstunden fehlen",IF($H173="","Monatslohn fehlt","OK")))))</f>
        <v>Monatslohn fehlt</v>
      </c>
      <c r="J173" s="429" t="str">
        <f>IF($G173="","",IF(COUNTIFS($A:$A,$A173,$D:$D,$D173,$G:$G,$G173)&gt;1,"Doppelte Monatsstunden",""))</f>
        <v/>
      </c>
    </row>
    <row r="174" spans="1:10" ht="24" customHeight="1">
      <c r="A174" s="419" t="s">
        <v>421</v>
      </c>
      <c r="B174" s="409">
        <v>46508</v>
      </c>
      <c r="C174" s="409">
        <v>46873</v>
      </c>
      <c r="D174" s="410" t="s">
        <v>24</v>
      </c>
      <c r="E174" s="410" t="s">
        <v>21</v>
      </c>
      <c r="F174" s="410" t="s">
        <v>324</v>
      </c>
      <c r="G174" s="219">
        <v>108.13</v>
      </c>
      <c r="H174" s="220"/>
      <c r="I174" s="410" t="str">
        <f>IF($A174="","",IF(OR($B174="",$C174="",$D174="",$E174="",$F174=""),"Stammdaten fehlen",IF(AND($G174="",$H174=""),"Werte fehlen",IF($G174="","Monatsstunden fehlen",IF($H174="","Monatslohn fehlt","OK")))))</f>
        <v>Monatslohn fehlt</v>
      </c>
      <c r="J174" s="429" t="str">
        <f>IF($G174="","",IF(COUNTIFS($A:$A,$A174,$D:$D,$D174,$G:$G,$G174)&gt;1,"Doppelte Monatsstunden",""))</f>
        <v/>
      </c>
    </row>
    <row r="175" spans="1:10" ht="24" customHeight="1">
      <c r="A175" s="419" t="s">
        <v>421</v>
      </c>
      <c r="B175" s="409">
        <v>46508</v>
      </c>
      <c r="C175" s="409">
        <v>46873</v>
      </c>
      <c r="D175" s="410" t="s">
        <v>24</v>
      </c>
      <c r="E175" s="410" t="s">
        <v>21</v>
      </c>
      <c r="F175" s="410" t="s">
        <v>324</v>
      </c>
      <c r="G175" s="219">
        <v>103.8</v>
      </c>
      <c r="H175" s="220"/>
      <c r="I175" s="410" t="str">
        <f>IF($A175="","",IF(OR($B175="",$C175="",$D175="",$E175="",$F175=""),"Stammdaten fehlen",IF(AND($G175="",$H175=""),"Werte fehlen",IF($G175="","Monatsstunden fehlen",IF($H175="","Monatslohn fehlt","OK")))))</f>
        <v>Monatslohn fehlt</v>
      </c>
      <c r="J175" s="429" t="str">
        <f>IF($G175="","",IF(COUNTIFS($A:$A,$A175,$D:$D,$D175,$G:$G,$G175)&gt;1,"Doppelte Monatsstunden",""))</f>
        <v/>
      </c>
    </row>
    <row r="176" spans="1:10" ht="24" customHeight="1">
      <c r="A176" s="419" t="s">
        <v>421</v>
      </c>
      <c r="B176" s="409">
        <v>46508</v>
      </c>
      <c r="C176" s="409">
        <v>46873</v>
      </c>
      <c r="D176" s="410" t="s">
        <v>24</v>
      </c>
      <c r="E176" s="410" t="s">
        <v>21</v>
      </c>
      <c r="F176" s="410" t="s">
        <v>324</v>
      </c>
      <c r="G176" s="219">
        <v>86.5</v>
      </c>
      <c r="H176" s="220"/>
      <c r="I176" s="410" t="str">
        <f>IF($A176="","",IF(OR($B176="",$C176="",$D176="",$E176="",$F176=""),"Stammdaten fehlen",IF(AND($G176="",$H176=""),"Werte fehlen",IF($G176="","Monatsstunden fehlen",IF($H176="","Monatslohn fehlt","OK")))))</f>
        <v>Monatslohn fehlt</v>
      </c>
      <c r="J176" s="429" t="str">
        <f>IF($G176="","",IF(COUNTIFS($A:$A,$A176,$D:$D,$D176,$G:$G,$G176)&gt;1,"Doppelte Monatsstunden",""))</f>
        <v/>
      </c>
    </row>
    <row r="177" spans="1:10" ht="24" customHeight="1">
      <c r="A177" s="419" t="s">
        <v>421</v>
      </c>
      <c r="B177" s="409">
        <v>46508</v>
      </c>
      <c r="C177" s="409">
        <v>46873</v>
      </c>
      <c r="D177" s="410" t="s">
        <v>24</v>
      </c>
      <c r="E177" s="410" t="s">
        <v>21</v>
      </c>
      <c r="F177" s="410" t="s">
        <v>324</v>
      </c>
      <c r="G177" s="219">
        <v>69.2</v>
      </c>
      <c r="H177" s="220"/>
      <c r="I177" s="410" t="str">
        <f>IF($A177="","",IF(OR($B177="",$C177="",$D177="",$E177="",$F177=""),"Stammdaten fehlen",IF(AND($G177="",$H177=""),"Werte fehlen",IF($G177="","Monatsstunden fehlen",IF($H177="","Monatslohn fehlt","OK")))))</f>
        <v>Monatslohn fehlt</v>
      </c>
      <c r="J177" s="429" t="str">
        <f>IF($G177="","",IF(COUNTIFS($A:$A,$A177,$D:$D,$D177,$G:$G,$G177)&gt;1,"Doppelte Monatsstunden",""))</f>
        <v/>
      </c>
    </row>
    <row r="178" spans="1:10" ht="24" customHeight="1">
      <c r="A178" s="419" t="s">
        <v>421</v>
      </c>
      <c r="B178" s="409">
        <v>46508</v>
      </c>
      <c r="C178" s="409">
        <v>46873</v>
      </c>
      <c r="D178" s="410" t="s">
        <v>24</v>
      </c>
      <c r="E178" s="410" t="s">
        <v>21</v>
      </c>
      <c r="F178" s="410" t="s">
        <v>324</v>
      </c>
      <c r="G178" s="219">
        <v>51.9</v>
      </c>
      <c r="H178" s="220"/>
      <c r="I178" s="410" t="str">
        <f>IF($A178="","",IF(OR($B178="",$C178="",$D178="",$E178="",$F178=""),"Stammdaten fehlen",IF(AND($G178="",$H178=""),"Werte fehlen",IF($G178="","Monatsstunden fehlen",IF($H178="","Monatslohn fehlt","OK")))))</f>
        <v>Monatslohn fehlt</v>
      </c>
      <c r="J178" s="429" t="str">
        <f>IF($G178="","",IF(COUNTIFS($A:$A,$A178,$D:$D,$D178,$G:$G,$G178)&gt;1,"Doppelte Monatsstunden",""))</f>
        <v/>
      </c>
    </row>
    <row r="179" spans="1:10" ht="24" customHeight="1">
      <c r="A179" s="419" t="s">
        <v>421</v>
      </c>
      <c r="B179" s="409">
        <v>46508</v>
      </c>
      <c r="C179" s="409">
        <v>46873</v>
      </c>
      <c r="D179" s="410" t="s">
        <v>24</v>
      </c>
      <c r="E179" s="410" t="s">
        <v>21</v>
      </c>
      <c r="F179" s="410" t="s">
        <v>324</v>
      </c>
      <c r="G179" s="219">
        <v>47.58</v>
      </c>
      <c r="H179" s="220"/>
      <c r="I179" s="410" t="str">
        <f>IF($A179="","",IF(OR($B179="",$C179="",$D179="",$E179="",$F179=""),"Stammdaten fehlen",IF(AND($G179="",$H179=""),"Werte fehlen",IF($G179="","Monatsstunden fehlen",IF($H179="","Monatslohn fehlt","OK")))))</f>
        <v>Monatslohn fehlt</v>
      </c>
      <c r="J179" s="429" t="str">
        <f>IF($G179="","",IF(COUNTIFS($A:$A,$A179,$D:$D,$D179,$G:$G,$G179)&gt;1,"Doppelte Monatsstunden",""))</f>
        <v/>
      </c>
    </row>
    <row r="180" spans="1:10" ht="24" customHeight="1">
      <c r="A180" s="419" t="s">
        <v>421</v>
      </c>
      <c r="B180" s="409">
        <v>46508</v>
      </c>
      <c r="C180" s="409">
        <v>46873</v>
      </c>
      <c r="D180" s="410" t="s">
        <v>24</v>
      </c>
      <c r="E180" s="410" t="s">
        <v>21</v>
      </c>
      <c r="F180" s="410" t="s">
        <v>324</v>
      </c>
      <c r="G180" s="219">
        <v>43.25</v>
      </c>
      <c r="H180" s="220"/>
      <c r="I180" s="410" t="str">
        <f>IF($A180="","",IF(OR($B180="",$C180="",$D180="",$E180="",$F180=""),"Stammdaten fehlen",IF(AND($G180="",$H180=""),"Werte fehlen",IF($G180="","Monatsstunden fehlen",IF($H180="","Monatslohn fehlt","OK")))))</f>
        <v>Monatslohn fehlt</v>
      </c>
      <c r="J180" s="429" t="str">
        <f>IF($G180="","",IF(COUNTIFS($A:$A,$A180,$D:$D,$D180,$G:$G,$G180)&gt;1,"Doppelte Monatsstunden",""))</f>
        <v/>
      </c>
    </row>
    <row r="181" spans="1:10" ht="24" customHeight="1">
      <c r="A181" s="419" t="s">
        <v>421</v>
      </c>
      <c r="B181" s="409">
        <v>46508</v>
      </c>
      <c r="C181" s="409">
        <v>46873</v>
      </c>
      <c r="D181" s="410" t="s">
        <v>24</v>
      </c>
      <c r="E181" s="410" t="s">
        <v>21</v>
      </c>
      <c r="F181" s="410" t="s">
        <v>324</v>
      </c>
      <c r="G181" s="219">
        <v>34.6</v>
      </c>
      <c r="H181" s="220"/>
      <c r="I181" s="410" t="str">
        <f>IF($A181="","",IF(OR($B181="",$C181="",$D181="",$E181="",$F181=""),"Stammdaten fehlen",IF(AND($G181="",$H181=""),"Werte fehlen",IF($G181="","Monatsstunden fehlen",IF($H181="","Monatslohn fehlt","OK")))))</f>
        <v>Monatslohn fehlt</v>
      </c>
      <c r="J181" s="429" t="str">
        <f>IF($G181="","",IF(COUNTIFS($A:$A,$A181,$D:$D,$D181,$G:$G,$G181)&gt;1,"Doppelte Monatsstunden",""))</f>
        <v/>
      </c>
    </row>
    <row r="182" spans="1:10" ht="24" customHeight="1">
      <c r="A182" s="419" t="s">
        <v>421</v>
      </c>
      <c r="B182" s="409">
        <v>46508</v>
      </c>
      <c r="C182" s="409">
        <v>46873</v>
      </c>
      <c r="D182" s="410" t="s">
        <v>24</v>
      </c>
      <c r="E182" s="410" t="s">
        <v>21</v>
      </c>
      <c r="F182" s="410" t="s">
        <v>324</v>
      </c>
      <c r="G182" s="219">
        <v>32.01</v>
      </c>
      <c r="H182" s="220"/>
      <c r="I182" s="410" t="str">
        <f>IF($A182="","",IF(OR($B182="",$C182="",$D182="",$E182="",$F182=""),"Stammdaten fehlen",IF(AND($G182="",$H182=""),"Werte fehlen",IF($G182="","Monatsstunden fehlen",IF($H182="","Monatslohn fehlt","OK")))))</f>
        <v>Monatslohn fehlt</v>
      </c>
      <c r="J182" s="429" t="str">
        <f>IF($G182="","",IF(COUNTIFS($A:$A,$A182,$D:$D,$D182,$G:$G,$G182)&gt;1,"Doppelte Monatsstunden",""))</f>
        <v/>
      </c>
    </row>
    <row r="183" spans="1:10" ht="24" customHeight="1">
      <c r="A183" s="419" t="s">
        <v>421</v>
      </c>
      <c r="B183" s="409">
        <v>46508</v>
      </c>
      <c r="C183" s="409">
        <v>46873</v>
      </c>
      <c r="D183" s="410" t="s">
        <v>24</v>
      </c>
      <c r="E183" s="410" t="s">
        <v>21</v>
      </c>
      <c r="F183" s="410" t="s">
        <v>324</v>
      </c>
      <c r="G183" s="219"/>
      <c r="H183" s="220"/>
      <c r="I183" s="410" t="str">
        <f>IF($A183="","",IF(OR($B183="",$C183="",$D183="",$E183="",$F183=""),"Stammdaten fehlen",IF(AND($G183="",$H183=""),"Werte fehlen",IF($G183="","Monatsstunden fehlen",IF($H183="","Monatslohn fehlt","OK")))))</f>
        <v>Werte fehlen</v>
      </c>
      <c r="J183" s="429" t="str">
        <f>IF($G183="","",IF(COUNTIFS($A:$A,$A183,$D:$D,$D183,$G:$G,$G183)&gt;1,"Doppelte Monatsstunden",""))</f>
        <v/>
      </c>
    </row>
    <row r="184" spans="1:10" ht="24" customHeight="1">
      <c r="A184" s="420" t="s">
        <v>421</v>
      </c>
      <c r="B184" s="405">
        <v>46508</v>
      </c>
      <c r="C184" s="405">
        <v>46873</v>
      </c>
      <c r="D184" s="406" t="s">
        <v>24</v>
      </c>
      <c r="E184" s="406" t="s">
        <v>21</v>
      </c>
      <c r="F184" s="406" t="s">
        <v>324</v>
      </c>
      <c r="G184" s="221"/>
      <c r="H184" s="222"/>
      <c r="I184" s="406" t="str">
        <f>IF($A184="","",IF(OR($B184="",$C184="",$D184="",$E184="",$F184=""),"Stammdaten fehlen",IF(AND($G184="",$H184=""),"Werte fehlen",IF($G184="","Monatsstunden fehlen",IF($H184="","Monatslohn fehlt","OK")))))</f>
        <v>Werte fehlen</v>
      </c>
      <c r="J184" s="430" t="str">
        <f>IF($G184="","",IF(COUNTIFS($A:$A,$A184,$D:$D,$D184,$G:$G,$G184)&gt;1,"Doppelte Monatsstunden",""))</f>
        <v/>
      </c>
    </row>
    <row r="185" spans="1:10" ht="24" customHeight="1" thickBot="1">
      <c r="A185" s="412" t="s">
        <v>420</v>
      </c>
      <c r="B185" s="391"/>
      <c r="C185" s="391"/>
      <c r="D185" s="392"/>
      <c r="E185" s="392"/>
      <c r="F185" s="392"/>
      <c r="G185" s="393"/>
      <c r="H185" s="394"/>
      <c r="I185" s="392"/>
      <c r="J185" s="422"/>
    </row>
    <row r="186" spans="1:10" ht="24" customHeight="1">
      <c r="A186" s="413" t="s">
        <v>329</v>
      </c>
      <c r="B186" s="395">
        <v>46143</v>
      </c>
      <c r="C186" s="395">
        <v>46507</v>
      </c>
      <c r="D186" s="396" t="s">
        <v>331</v>
      </c>
      <c r="E186" s="396" t="s">
        <v>4</v>
      </c>
      <c r="F186" s="396" t="s">
        <v>321</v>
      </c>
      <c r="G186" s="207">
        <v>173</v>
      </c>
      <c r="H186" s="208"/>
      <c r="I186" s="396" t="str">
        <f>IF($A186="","",IF(OR($B186="",$C186="",$D186="",$E186="",$F186=""),"Stammdaten fehlen",IF(AND($G186="",$H186=""),"Werte fehlen",IF($G186="","Monatsstunden fehlen",IF($H186="","Monatslohn fehlt","OK")))))</f>
        <v>Monatslohn fehlt</v>
      </c>
      <c r="J186" s="423" t="str">
        <f>IF($G186="","",IF(COUNTIFS($A:$A,$A186,$D:$D,$D186,$G:$G,$G186)&gt;1,"Doppelte Monatsstunden",""))</f>
        <v/>
      </c>
    </row>
    <row r="187" spans="1:10" ht="24" customHeight="1">
      <c r="A187" s="414" t="s">
        <v>329</v>
      </c>
      <c r="B187" s="397">
        <v>46143</v>
      </c>
      <c r="C187" s="397">
        <v>46507</v>
      </c>
      <c r="D187" s="398" t="s">
        <v>331</v>
      </c>
      <c r="E187" s="398" t="s">
        <v>4</v>
      </c>
      <c r="F187" s="398" t="s">
        <v>321</v>
      </c>
      <c r="G187" s="209">
        <v>151.38</v>
      </c>
      <c r="H187" s="210"/>
      <c r="I187" s="398" t="str">
        <f>IF($A187="","",IF(OR($B187="",$C187="",$D187="",$E187="",$F187=""),"Stammdaten fehlen",IF(AND($G187="",$H187=""),"Werte fehlen",IF($G187="","Monatsstunden fehlen",IF($H187="","Monatslohn fehlt","OK")))))</f>
        <v>Monatslohn fehlt</v>
      </c>
      <c r="J187" s="424" t="str">
        <f>IF($G187="","",IF(COUNTIFS($A:$A,$A187,$D:$D,$D187,$G:$G,$G187)&gt;1,"Doppelte Monatsstunden",""))</f>
        <v/>
      </c>
    </row>
    <row r="188" spans="1:10" ht="24" customHeight="1">
      <c r="A188" s="414" t="s">
        <v>329</v>
      </c>
      <c r="B188" s="397">
        <v>46143</v>
      </c>
      <c r="C188" s="397">
        <v>46507</v>
      </c>
      <c r="D188" s="398" t="s">
        <v>331</v>
      </c>
      <c r="E188" s="398" t="s">
        <v>4</v>
      </c>
      <c r="F188" s="398" t="s">
        <v>321</v>
      </c>
      <c r="G188" s="209">
        <v>138.4</v>
      </c>
      <c r="H188" s="210"/>
      <c r="I188" s="398" t="str">
        <f>IF($A188="","",IF(OR($B188="",$C188="",$D188="",$E188="",$F188=""),"Stammdaten fehlen",IF(AND($G188="",$H188=""),"Werte fehlen",IF($G188="","Monatsstunden fehlen",IF($H188="","Monatslohn fehlt","OK")))))</f>
        <v>Monatslohn fehlt</v>
      </c>
      <c r="J188" s="424" t="str">
        <f>IF($G188="","",IF(COUNTIFS($A:$A,$A188,$D:$D,$D188,$G:$G,$G188)&gt;1,"Doppelte Monatsstunden",""))</f>
        <v/>
      </c>
    </row>
    <row r="189" spans="1:10" ht="24" customHeight="1">
      <c r="A189" s="414" t="s">
        <v>329</v>
      </c>
      <c r="B189" s="397">
        <v>46143</v>
      </c>
      <c r="C189" s="397">
        <v>46507</v>
      </c>
      <c r="D189" s="398" t="s">
        <v>331</v>
      </c>
      <c r="E189" s="398" t="s">
        <v>4</v>
      </c>
      <c r="F189" s="398" t="s">
        <v>321</v>
      </c>
      <c r="G189" s="209">
        <v>129.75</v>
      </c>
      <c r="H189" s="210"/>
      <c r="I189" s="398" t="str">
        <f>IF($A189="","",IF(OR($B189="",$C189="",$D189="",$E189="",$F189=""),"Stammdaten fehlen",IF(AND($G189="",$H189=""),"Werte fehlen",IF($G189="","Monatsstunden fehlen",IF($H189="","Monatslohn fehlt","OK")))))</f>
        <v>Monatslohn fehlt</v>
      </c>
      <c r="J189" s="424" t="str">
        <f>IF($G189="","",IF(COUNTIFS($A:$A,$A189,$D:$D,$D189,$G:$G,$G189)&gt;1,"Doppelte Monatsstunden",""))</f>
        <v/>
      </c>
    </row>
    <row r="190" spans="1:10" ht="24" customHeight="1">
      <c r="A190" s="414" t="s">
        <v>329</v>
      </c>
      <c r="B190" s="397">
        <v>46143</v>
      </c>
      <c r="C190" s="397">
        <v>46507</v>
      </c>
      <c r="D190" s="398" t="s">
        <v>331</v>
      </c>
      <c r="E190" s="398" t="s">
        <v>4</v>
      </c>
      <c r="F190" s="398" t="s">
        <v>321</v>
      </c>
      <c r="G190" s="209">
        <v>108.13</v>
      </c>
      <c r="H190" s="210"/>
      <c r="I190" s="398" t="str">
        <f>IF($A190="","",IF(OR($B190="",$C190="",$D190="",$E190="",$F190=""),"Stammdaten fehlen",IF(AND($G190="",$H190=""),"Werte fehlen",IF($G190="","Monatsstunden fehlen",IF($H190="","Monatslohn fehlt","OK")))))</f>
        <v>Monatslohn fehlt</v>
      </c>
      <c r="J190" s="424" t="str">
        <f>IF($G190="","",IF(COUNTIFS($A:$A,$A190,$D:$D,$D190,$G:$G,$G190)&gt;1,"Doppelte Monatsstunden",""))</f>
        <v/>
      </c>
    </row>
    <row r="191" spans="1:10" ht="24" customHeight="1">
      <c r="A191" s="414" t="s">
        <v>329</v>
      </c>
      <c r="B191" s="397">
        <v>46143</v>
      </c>
      <c r="C191" s="397">
        <v>46507</v>
      </c>
      <c r="D191" s="398" t="s">
        <v>331</v>
      </c>
      <c r="E191" s="398" t="s">
        <v>4</v>
      </c>
      <c r="F191" s="398" t="s">
        <v>321</v>
      </c>
      <c r="G191" s="209">
        <v>103.8</v>
      </c>
      <c r="H191" s="210"/>
      <c r="I191" s="398" t="str">
        <f>IF($A191="","",IF(OR($B191="",$C191="",$D191="",$E191="",$F191=""),"Stammdaten fehlen",IF(AND($G191="",$H191=""),"Werte fehlen",IF($G191="","Monatsstunden fehlen",IF($H191="","Monatslohn fehlt","OK")))))</f>
        <v>Monatslohn fehlt</v>
      </c>
      <c r="J191" s="424" t="str">
        <f>IF($G191="","",IF(COUNTIFS($A:$A,$A191,$D:$D,$D191,$G:$G,$G191)&gt;1,"Doppelte Monatsstunden",""))</f>
        <v/>
      </c>
    </row>
    <row r="192" spans="1:10" ht="24" customHeight="1">
      <c r="A192" s="414" t="s">
        <v>329</v>
      </c>
      <c r="B192" s="397">
        <v>46143</v>
      </c>
      <c r="C192" s="397">
        <v>46507</v>
      </c>
      <c r="D192" s="398" t="s">
        <v>331</v>
      </c>
      <c r="E192" s="398" t="s">
        <v>4</v>
      </c>
      <c r="F192" s="398" t="s">
        <v>321</v>
      </c>
      <c r="G192" s="209">
        <v>86.5</v>
      </c>
      <c r="H192" s="210"/>
      <c r="I192" s="398" t="str">
        <f>IF($A192="","",IF(OR($B192="",$C192="",$D192="",$E192="",$F192=""),"Stammdaten fehlen",IF(AND($G192="",$H192=""),"Werte fehlen",IF($G192="","Monatsstunden fehlen",IF($H192="","Monatslohn fehlt","OK")))))</f>
        <v>Monatslohn fehlt</v>
      </c>
      <c r="J192" s="424" t="str">
        <f>IF($G192="","",IF(COUNTIFS($A:$A,$A192,$D:$D,$D192,$G:$G,$G192)&gt;1,"Doppelte Monatsstunden",""))</f>
        <v/>
      </c>
    </row>
    <row r="193" spans="1:10" ht="24" customHeight="1">
      <c r="A193" s="414" t="s">
        <v>329</v>
      </c>
      <c r="B193" s="397">
        <v>46143</v>
      </c>
      <c r="C193" s="397">
        <v>46507</v>
      </c>
      <c r="D193" s="398" t="s">
        <v>331</v>
      </c>
      <c r="E193" s="398" t="s">
        <v>4</v>
      </c>
      <c r="F193" s="398" t="s">
        <v>321</v>
      </c>
      <c r="G193" s="209">
        <v>69.2</v>
      </c>
      <c r="H193" s="210"/>
      <c r="I193" s="398" t="str">
        <f>IF($A193="","",IF(OR($B193="",$C193="",$D193="",$E193="",$F193=""),"Stammdaten fehlen",IF(AND($G193="",$H193=""),"Werte fehlen",IF($G193="","Monatsstunden fehlen",IF($H193="","Monatslohn fehlt","OK")))))</f>
        <v>Monatslohn fehlt</v>
      </c>
      <c r="J193" s="424" t="str">
        <f>IF($G193="","",IF(COUNTIFS($A:$A,$A193,$D:$D,$D193,$G:$G,$G193)&gt;1,"Doppelte Monatsstunden",""))</f>
        <v/>
      </c>
    </row>
    <row r="194" spans="1:10" ht="24" customHeight="1">
      <c r="A194" s="414" t="s">
        <v>329</v>
      </c>
      <c r="B194" s="397">
        <v>46143</v>
      </c>
      <c r="C194" s="397">
        <v>46507</v>
      </c>
      <c r="D194" s="398" t="s">
        <v>331</v>
      </c>
      <c r="E194" s="398" t="s">
        <v>4</v>
      </c>
      <c r="F194" s="398" t="s">
        <v>321</v>
      </c>
      <c r="G194" s="209">
        <v>51.9</v>
      </c>
      <c r="H194" s="210"/>
      <c r="I194" s="398" t="str">
        <f>IF($A194="","",IF(OR($B194="",$C194="",$D194="",$E194="",$F194=""),"Stammdaten fehlen",IF(AND($G194="",$H194=""),"Werte fehlen",IF($G194="","Monatsstunden fehlen",IF($H194="","Monatslohn fehlt","OK")))))</f>
        <v>Monatslohn fehlt</v>
      </c>
      <c r="J194" s="424" t="str">
        <f>IF($G194="","",IF(COUNTIFS($A:$A,$A194,$D:$D,$D194,$G:$G,$G194)&gt;1,"Doppelte Monatsstunden",""))</f>
        <v/>
      </c>
    </row>
    <row r="195" spans="1:10" ht="24" customHeight="1">
      <c r="A195" s="414" t="s">
        <v>329</v>
      </c>
      <c r="B195" s="397">
        <v>46143</v>
      </c>
      <c r="C195" s="397">
        <v>46507</v>
      </c>
      <c r="D195" s="398" t="s">
        <v>331</v>
      </c>
      <c r="E195" s="398" t="s">
        <v>4</v>
      </c>
      <c r="F195" s="398" t="s">
        <v>321</v>
      </c>
      <c r="G195" s="209">
        <v>47.58</v>
      </c>
      <c r="H195" s="210"/>
      <c r="I195" s="398" t="str">
        <f>IF($A195="","",IF(OR($B195="",$C195="",$D195="",$E195="",$F195=""),"Stammdaten fehlen",IF(AND($G195="",$H195=""),"Werte fehlen",IF($G195="","Monatsstunden fehlen",IF($H195="","Monatslohn fehlt","OK")))))</f>
        <v>Monatslohn fehlt</v>
      </c>
      <c r="J195" s="424" t="str">
        <f>IF($G195="","",IF(COUNTIFS($A:$A,$A195,$D:$D,$D195,$G:$G,$G195)&gt;1,"Doppelte Monatsstunden",""))</f>
        <v/>
      </c>
    </row>
    <row r="196" spans="1:10" ht="24" customHeight="1">
      <c r="A196" s="414" t="s">
        <v>329</v>
      </c>
      <c r="B196" s="397">
        <v>46143</v>
      </c>
      <c r="C196" s="397">
        <v>46507</v>
      </c>
      <c r="D196" s="398" t="s">
        <v>331</v>
      </c>
      <c r="E196" s="398" t="s">
        <v>4</v>
      </c>
      <c r="F196" s="398" t="s">
        <v>321</v>
      </c>
      <c r="G196" s="209">
        <v>43.25</v>
      </c>
      <c r="H196" s="210"/>
      <c r="I196" s="398" t="str">
        <f>IF($A196="","",IF(OR($B196="",$C196="",$D196="",$E196="",$F196=""),"Stammdaten fehlen",IF(AND($G196="",$H196=""),"Werte fehlen",IF($G196="","Monatsstunden fehlen",IF($H196="","Monatslohn fehlt","OK")))))</f>
        <v>Monatslohn fehlt</v>
      </c>
      <c r="J196" s="424" t="str">
        <f>IF($G196="","",IF(COUNTIFS($A:$A,$A196,$D:$D,$D196,$G:$G,$G196)&gt;1,"Doppelte Monatsstunden",""))</f>
        <v/>
      </c>
    </row>
    <row r="197" spans="1:10" ht="24" customHeight="1">
      <c r="A197" s="414" t="s">
        <v>329</v>
      </c>
      <c r="B197" s="397">
        <v>46143</v>
      </c>
      <c r="C197" s="397">
        <v>46507</v>
      </c>
      <c r="D197" s="398" t="s">
        <v>331</v>
      </c>
      <c r="E197" s="398" t="s">
        <v>4</v>
      </c>
      <c r="F197" s="398" t="s">
        <v>321</v>
      </c>
      <c r="G197" s="209">
        <v>34.6</v>
      </c>
      <c r="H197" s="210"/>
      <c r="I197" s="398" t="str">
        <f>IF($A197="","",IF(OR($B197="",$C197="",$D197="",$E197="",$F197=""),"Stammdaten fehlen",IF(AND($G197="",$H197=""),"Werte fehlen",IF($G197="","Monatsstunden fehlen",IF($H197="","Monatslohn fehlt","OK")))))</f>
        <v>Monatslohn fehlt</v>
      </c>
      <c r="J197" s="424" t="str">
        <f>IF($G197="","",IF(COUNTIFS($A:$A,$A197,$D:$D,$D197,$G:$G,$G197)&gt;1,"Doppelte Monatsstunden",""))</f>
        <v/>
      </c>
    </row>
    <row r="198" spans="1:10" ht="24" customHeight="1">
      <c r="A198" s="414" t="s">
        <v>329</v>
      </c>
      <c r="B198" s="397">
        <v>46143</v>
      </c>
      <c r="C198" s="397">
        <v>46507</v>
      </c>
      <c r="D198" s="398" t="s">
        <v>331</v>
      </c>
      <c r="E198" s="398" t="s">
        <v>4</v>
      </c>
      <c r="F198" s="398" t="s">
        <v>321</v>
      </c>
      <c r="G198" s="209">
        <v>32.01</v>
      </c>
      <c r="H198" s="210"/>
      <c r="I198" s="398" t="str">
        <f>IF($A198="","",IF(OR($B198="",$C198="",$D198="",$E198="",$F198=""),"Stammdaten fehlen",IF(AND($G198="",$H198=""),"Werte fehlen",IF($G198="","Monatsstunden fehlen",IF($H198="","Monatslohn fehlt","OK")))))</f>
        <v>Monatslohn fehlt</v>
      </c>
      <c r="J198" s="424" t="str">
        <f>IF($G198="","",IF(COUNTIFS($A:$A,$A198,$D:$D,$D198,$G:$G,$G198)&gt;1,"Doppelte Monatsstunden",""))</f>
        <v/>
      </c>
    </row>
    <row r="199" spans="1:10" ht="24" customHeight="1" thickBot="1">
      <c r="A199" s="414" t="s">
        <v>329</v>
      </c>
      <c r="B199" s="397">
        <v>46143</v>
      </c>
      <c r="C199" s="397">
        <v>46507</v>
      </c>
      <c r="D199" s="398" t="s">
        <v>331</v>
      </c>
      <c r="E199" s="398" t="s">
        <v>4</v>
      </c>
      <c r="F199" s="398" t="s">
        <v>321</v>
      </c>
      <c r="G199" s="209">
        <v>20</v>
      </c>
      <c r="H199" s="210"/>
      <c r="I199" s="398" t="str">
        <f>IF($A199="","",IF(OR($B199="",$C199="",$D199="",$E199="",$F199=""),"Stammdaten fehlen",IF(AND($G199="",$H199=""),"Werte fehlen",IF($G199="","Monatsstunden fehlen",IF($H199="","Monatslohn fehlt","OK")))))</f>
        <v>Monatslohn fehlt</v>
      </c>
      <c r="J199" s="424" t="str">
        <f>IF($G199="","",IF(COUNTIFS($A:$A,$A199,$D:$D,$D199,$G:$G,$G199)&gt;1,"Doppelte Monatsstunden",""))</f>
        <v/>
      </c>
    </row>
    <row r="200" spans="1:10" ht="24" customHeight="1">
      <c r="A200" s="415" t="s">
        <v>329</v>
      </c>
      <c r="B200" s="399">
        <v>46143</v>
      </c>
      <c r="C200" s="399">
        <v>46507</v>
      </c>
      <c r="D200" s="400" t="s">
        <v>8</v>
      </c>
      <c r="E200" s="400" t="s">
        <v>4</v>
      </c>
      <c r="F200" s="400" t="s">
        <v>322</v>
      </c>
      <c r="G200" s="211">
        <v>173</v>
      </c>
      <c r="H200" s="212"/>
      <c r="I200" s="400" t="str">
        <f>IF($A200="","",IF(OR($B200="",$C200="",$D200="",$E200="",$F200=""),"Stammdaten fehlen",IF(AND($G200="",$H200=""),"Werte fehlen",IF($G200="","Monatsstunden fehlen",IF($H200="","Monatslohn fehlt","OK")))))</f>
        <v>Monatslohn fehlt</v>
      </c>
      <c r="J200" s="425" t="str">
        <f>IF($G200="","",IF(COUNTIFS($A:$A,$A200,$D:$D,$D200,$G:$G,$G200)&gt;1,"Doppelte Monatsstunden",""))</f>
        <v/>
      </c>
    </row>
    <row r="201" spans="1:10" ht="24" customHeight="1">
      <c r="A201" s="414" t="s">
        <v>329</v>
      </c>
      <c r="B201" s="397">
        <v>46143</v>
      </c>
      <c r="C201" s="397">
        <v>46507</v>
      </c>
      <c r="D201" s="398" t="s">
        <v>8</v>
      </c>
      <c r="E201" s="398" t="s">
        <v>4</v>
      </c>
      <c r="F201" s="398" t="s">
        <v>322</v>
      </c>
      <c r="G201" s="209">
        <v>151.38</v>
      </c>
      <c r="H201" s="210"/>
      <c r="I201" s="398" t="str">
        <f>IF($A201="","",IF(OR($B201="",$C201="",$D201="",$E201="",$F201=""),"Stammdaten fehlen",IF(AND($G201="",$H201=""),"Werte fehlen",IF($G201="","Monatsstunden fehlen",IF($H201="","Monatslohn fehlt","OK")))))</f>
        <v>Monatslohn fehlt</v>
      </c>
      <c r="J201" s="424" t="str">
        <f>IF($G201="","",IF(COUNTIFS($A:$A,$A201,$D:$D,$D201,$G:$G,$G201)&gt;1,"Doppelte Monatsstunden",""))</f>
        <v/>
      </c>
    </row>
    <row r="202" spans="1:10" ht="24" customHeight="1">
      <c r="A202" s="414" t="s">
        <v>329</v>
      </c>
      <c r="B202" s="397">
        <v>46143</v>
      </c>
      <c r="C202" s="397">
        <v>46507</v>
      </c>
      <c r="D202" s="398" t="s">
        <v>8</v>
      </c>
      <c r="E202" s="398" t="s">
        <v>4</v>
      </c>
      <c r="F202" s="398" t="s">
        <v>322</v>
      </c>
      <c r="G202" s="209">
        <v>138.4</v>
      </c>
      <c r="H202" s="210"/>
      <c r="I202" s="398" t="str">
        <f>IF($A202="","",IF(OR($B202="",$C202="",$D202="",$E202="",$F202=""),"Stammdaten fehlen",IF(AND($G202="",$H202=""),"Werte fehlen",IF($G202="","Monatsstunden fehlen",IF($H202="","Monatslohn fehlt","OK")))))</f>
        <v>Monatslohn fehlt</v>
      </c>
      <c r="J202" s="424" t="str">
        <f>IF($G202="","",IF(COUNTIFS($A:$A,$A202,$D:$D,$D202,$G:$G,$G202)&gt;1,"Doppelte Monatsstunden",""))</f>
        <v/>
      </c>
    </row>
    <row r="203" spans="1:10" ht="24" customHeight="1">
      <c r="A203" s="414" t="s">
        <v>329</v>
      </c>
      <c r="B203" s="397">
        <v>46143</v>
      </c>
      <c r="C203" s="397">
        <v>46507</v>
      </c>
      <c r="D203" s="398" t="s">
        <v>8</v>
      </c>
      <c r="E203" s="398" t="s">
        <v>4</v>
      </c>
      <c r="F203" s="398" t="s">
        <v>322</v>
      </c>
      <c r="G203" s="209">
        <v>129.75</v>
      </c>
      <c r="H203" s="210"/>
      <c r="I203" s="398" t="str">
        <f>IF($A203="","",IF(OR($B203="",$C203="",$D203="",$E203="",$F203=""),"Stammdaten fehlen",IF(AND($G203="",$H203=""),"Werte fehlen",IF($G203="","Monatsstunden fehlen",IF($H203="","Monatslohn fehlt","OK")))))</f>
        <v>Monatslohn fehlt</v>
      </c>
      <c r="J203" s="424" t="str">
        <f>IF($G203="","",IF(COUNTIFS($A:$A,$A203,$D:$D,$D203,$G:$G,$G203)&gt;1,"Doppelte Monatsstunden",""))</f>
        <v/>
      </c>
    </row>
    <row r="204" spans="1:10" ht="24" customHeight="1">
      <c r="A204" s="414" t="s">
        <v>329</v>
      </c>
      <c r="B204" s="397">
        <v>46143</v>
      </c>
      <c r="C204" s="397">
        <v>46507</v>
      </c>
      <c r="D204" s="398" t="s">
        <v>8</v>
      </c>
      <c r="E204" s="398" t="s">
        <v>4</v>
      </c>
      <c r="F204" s="398" t="s">
        <v>322</v>
      </c>
      <c r="G204" s="209">
        <v>108.13</v>
      </c>
      <c r="H204" s="210"/>
      <c r="I204" s="398" t="str">
        <f>IF($A204="","",IF(OR($B204="",$C204="",$D204="",$E204="",$F204=""),"Stammdaten fehlen",IF(AND($G204="",$H204=""),"Werte fehlen",IF($G204="","Monatsstunden fehlen",IF($H204="","Monatslohn fehlt","OK")))))</f>
        <v>Monatslohn fehlt</v>
      </c>
      <c r="J204" s="424" t="str">
        <f>IF($G204="","",IF(COUNTIFS($A:$A,$A204,$D:$D,$D204,$G:$G,$G204)&gt;1,"Doppelte Monatsstunden",""))</f>
        <v/>
      </c>
    </row>
    <row r="205" spans="1:10" ht="24" customHeight="1">
      <c r="A205" s="414" t="s">
        <v>329</v>
      </c>
      <c r="B205" s="397">
        <v>46143</v>
      </c>
      <c r="C205" s="397">
        <v>46507</v>
      </c>
      <c r="D205" s="398" t="s">
        <v>8</v>
      </c>
      <c r="E205" s="398" t="s">
        <v>4</v>
      </c>
      <c r="F205" s="398" t="s">
        <v>322</v>
      </c>
      <c r="G205" s="209">
        <v>103.8</v>
      </c>
      <c r="H205" s="210"/>
      <c r="I205" s="398" t="str">
        <f>IF($A205="","",IF(OR($B205="",$C205="",$D205="",$E205="",$F205=""),"Stammdaten fehlen",IF(AND($G205="",$H205=""),"Werte fehlen",IF($G205="","Monatsstunden fehlen",IF($H205="","Monatslohn fehlt","OK")))))</f>
        <v>Monatslohn fehlt</v>
      </c>
      <c r="J205" s="424" t="str">
        <f>IF($G205="","",IF(COUNTIFS($A:$A,$A205,$D:$D,$D205,$G:$G,$G205)&gt;1,"Doppelte Monatsstunden",""))</f>
        <v/>
      </c>
    </row>
    <row r="206" spans="1:10" ht="24" customHeight="1">
      <c r="A206" s="414" t="s">
        <v>329</v>
      </c>
      <c r="B206" s="397">
        <v>46143</v>
      </c>
      <c r="C206" s="397">
        <v>46507</v>
      </c>
      <c r="D206" s="398" t="s">
        <v>8</v>
      </c>
      <c r="E206" s="398" t="s">
        <v>4</v>
      </c>
      <c r="F206" s="398" t="s">
        <v>322</v>
      </c>
      <c r="G206" s="209">
        <v>86.5</v>
      </c>
      <c r="H206" s="210"/>
      <c r="I206" s="398" t="str">
        <f>IF($A206="","",IF(OR($B206="",$C206="",$D206="",$E206="",$F206=""),"Stammdaten fehlen",IF(AND($G206="",$H206=""),"Werte fehlen",IF($G206="","Monatsstunden fehlen",IF($H206="","Monatslohn fehlt","OK")))))</f>
        <v>Monatslohn fehlt</v>
      </c>
      <c r="J206" s="424" t="str">
        <f>IF($G206="","",IF(COUNTIFS($A:$A,$A206,$D:$D,$D206,$G:$G,$G206)&gt;1,"Doppelte Monatsstunden",""))</f>
        <v/>
      </c>
    </row>
    <row r="207" spans="1:10" ht="24" customHeight="1">
      <c r="A207" s="414" t="s">
        <v>329</v>
      </c>
      <c r="B207" s="397">
        <v>46143</v>
      </c>
      <c r="C207" s="397">
        <v>46507</v>
      </c>
      <c r="D207" s="398" t="s">
        <v>8</v>
      </c>
      <c r="E207" s="398" t="s">
        <v>4</v>
      </c>
      <c r="F207" s="398" t="s">
        <v>322</v>
      </c>
      <c r="G207" s="209">
        <v>69.2</v>
      </c>
      <c r="H207" s="210"/>
      <c r="I207" s="398" t="str">
        <f>IF($A207="","",IF(OR($B207="",$C207="",$D207="",$E207="",$F207=""),"Stammdaten fehlen",IF(AND($G207="",$H207=""),"Werte fehlen",IF($G207="","Monatsstunden fehlen",IF($H207="","Monatslohn fehlt","OK")))))</f>
        <v>Monatslohn fehlt</v>
      </c>
      <c r="J207" s="424" t="str">
        <f>IF($G207="","",IF(COUNTIFS($A:$A,$A207,$D:$D,$D207,$G:$G,$G207)&gt;1,"Doppelte Monatsstunden",""))</f>
        <v/>
      </c>
    </row>
    <row r="208" spans="1:10" ht="24" customHeight="1">
      <c r="A208" s="414" t="s">
        <v>329</v>
      </c>
      <c r="B208" s="397">
        <v>46143</v>
      </c>
      <c r="C208" s="397">
        <v>46507</v>
      </c>
      <c r="D208" s="398" t="s">
        <v>8</v>
      </c>
      <c r="E208" s="398" t="s">
        <v>4</v>
      </c>
      <c r="F208" s="398" t="s">
        <v>322</v>
      </c>
      <c r="G208" s="209">
        <v>51.9</v>
      </c>
      <c r="H208" s="210"/>
      <c r="I208" s="398" t="str">
        <f>IF($A208="","",IF(OR($B208="",$C208="",$D208="",$E208="",$F208=""),"Stammdaten fehlen",IF(AND($G208="",$H208=""),"Werte fehlen",IF($G208="","Monatsstunden fehlen",IF($H208="","Monatslohn fehlt","OK")))))</f>
        <v>Monatslohn fehlt</v>
      </c>
      <c r="J208" s="424" t="str">
        <f>IF($G208="","",IF(COUNTIFS($A:$A,$A208,$D:$D,$D208,$G:$G,$G208)&gt;1,"Doppelte Monatsstunden",""))</f>
        <v/>
      </c>
    </row>
    <row r="209" spans="1:10" ht="24" customHeight="1">
      <c r="A209" s="414" t="s">
        <v>329</v>
      </c>
      <c r="B209" s="397">
        <v>46143</v>
      </c>
      <c r="C209" s="397">
        <v>46507</v>
      </c>
      <c r="D209" s="398" t="s">
        <v>8</v>
      </c>
      <c r="E209" s="398" t="s">
        <v>4</v>
      </c>
      <c r="F209" s="398" t="s">
        <v>322</v>
      </c>
      <c r="G209" s="209">
        <v>47.58</v>
      </c>
      <c r="H209" s="210"/>
      <c r="I209" s="398" t="str">
        <f>IF($A209="","",IF(OR($B209="",$C209="",$D209="",$E209="",$F209=""),"Stammdaten fehlen",IF(AND($G209="",$H209=""),"Werte fehlen",IF($G209="","Monatsstunden fehlen",IF($H209="","Monatslohn fehlt","OK")))))</f>
        <v>Monatslohn fehlt</v>
      </c>
      <c r="J209" s="424" t="str">
        <f>IF($G209="","",IF(COUNTIFS($A:$A,$A209,$D:$D,$D209,$G:$G,$G209)&gt;1,"Doppelte Monatsstunden",""))</f>
        <v/>
      </c>
    </row>
    <row r="210" spans="1:10" ht="24" customHeight="1">
      <c r="A210" s="414" t="s">
        <v>329</v>
      </c>
      <c r="B210" s="397">
        <v>46143</v>
      </c>
      <c r="C210" s="397">
        <v>46507</v>
      </c>
      <c r="D210" s="398" t="s">
        <v>8</v>
      </c>
      <c r="E210" s="398" t="s">
        <v>4</v>
      </c>
      <c r="F210" s="398" t="s">
        <v>322</v>
      </c>
      <c r="G210" s="209">
        <v>43.25</v>
      </c>
      <c r="H210" s="210"/>
      <c r="I210" s="398" t="str">
        <f>IF($A210="","",IF(OR($B210="",$C210="",$D210="",$E210="",$F210=""),"Stammdaten fehlen",IF(AND($G210="",$H210=""),"Werte fehlen",IF($G210="","Monatsstunden fehlen",IF($H210="","Monatslohn fehlt","OK")))))</f>
        <v>Monatslohn fehlt</v>
      </c>
      <c r="J210" s="424" t="str">
        <f>IF($G210="","",IF(COUNTIFS($A:$A,$A210,$D:$D,$D210,$G:$G,$G210)&gt;1,"Doppelte Monatsstunden",""))</f>
        <v/>
      </c>
    </row>
    <row r="211" spans="1:10" ht="24" customHeight="1">
      <c r="A211" s="414" t="s">
        <v>329</v>
      </c>
      <c r="B211" s="397">
        <v>46143</v>
      </c>
      <c r="C211" s="397">
        <v>46507</v>
      </c>
      <c r="D211" s="398" t="s">
        <v>8</v>
      </c>
      <c r="E211" s="398" t="s">
        <v>4</v>
      </c>
      <c r="F211" s="398" t="s">
        <v>322</v>
      </c>
      <c r="G211" s="209">
        <v>34.6</v>
      </c>
      <c r="H211" s="210"/>
      <c r="I211" s="398" t="str">
        <f>IF($A211="","",IF(OR($B211="",$C211="",$D211="",$E211="",$F211=""),"Stammdaten fehlen",IF(AND($G211="",$H211=""),"Werte fehlen",IF($G211="","Monatsstunden fehlen",IF($H211="","Monatslohn fehlt","OK")))))</f>
        <v>Monatslohn fehlt</v>
      </c>
      <c r="J211" s="424" t="str">
        <f>IF($G211="","",IF(COUNTIFS($A:$A,$A211,$D:$D,$D211,$G:$G,$G211)&gt;1,"Doppelte Monatsstunden",""))</f>
        <v/>
      </c>
    </row>
    <row r="212" spans="1:10" ht="24" customHeight="1">
      <c r="A212" s="414" t="s">
        <v>329</v>
      </c>
      <c r="B212" s="397">
        <v>46143</v>
      </c>
      <c r="C212" s="397">
        <v>46507</v>
      </c>
      <c r="D212" s="398" t="s">
        <v>8</v>
      </c>
      <c r="E212" s="398" t="s">
        <v>4</v>
      </c>
      <c r="F212" s="398" t="s">
        <v>322</v>
      </c>
      <c r="G212" s="209">
        <v>32.01</v>
      </c>
      <c r="H212" s="210"/>
      <c r="I212" s="398" t="str">
        <f>IF($A212="","",IF(OR($B212="",$C212="",$D212="",$E212="",$F212=""),"Stammdaten fehlen",IF(AND($G212="",$H212=""),"Werte fehlen",IF($G212="","Monatsstunden fehlen",IF($H212="","Monatslohn fehlt","OK")))))</f>
        <v>Monatslohn fehlt</v>
      </c>
      <c r="J212" s="424" t="str">
        <f>IF($G212="","",IF(COUNTIFS($A:$A,$A212,$D:$D,$D212,$G:$G,$G212)&gt;1,"Doppelte Monatsstunden",""))</f>
        <v/>
      </c>
    </row>
    <row r="213" spans="1:10" ht="24" customHeight="1" thickBot="1">
      <c r="A213" s="414" t="s">
        <v>329</v>
      </c>
      <c r="B213" s="397">
        <v>46143</v>
      </c>
      <c r="C213" s="397">
        <v>46507</v>
      </c>
      <c r="D213" s="398" t="s">
        <v>8</v>
      </c>
      <c r="E213" s="398" t="s">
        <v>4</v>
      </c>
      <c r="F213" s="398" t="s">
        <v>322</v>
      </c>
      <c r="G213" s="209"/>
      <c r="H213" s="210"/>
      <c r="I213" s="398" t="str">
        <f>IF($A213="","",IF(OR($B213="",$C213="",$D213="",$E213="",$F213=""),"Stammdaten fehlen",IF(AND($G213="",$H213=""),"Werte fehlen",IF($G213="","Monatsstunden fehlen",IF($H213="","Monatslohn fehlt","OK")))))</f>
        <v>Werte fehlen</v>
      </c>
      <c r="J213" s="424" t="str">
        <f>IF($G213="","",IF(COUNTIFS($A:$A,$A213,$D:$D,$D213,$G:$G,$G213)&gt;1,"Doppelte Monatsstunden",""))</f>
        <v/>
      </c>
    </row>
    <row r="214" spans="1:10" ht="24" customHeight="1">
      <c r="A214" s="415" t="s">
        <v>329</v>
      </c>
      <c r="B214" s="399">
        <v>46143</v>
      </c>
      <c r="C214" s="399">
        <v>46507</v>
      </c>
      <c r="D214" s="400" t="s">
        <v>10</v>
      </c>
      <c r="E214" s="400" t="s">
        <v>4</v>
      </c>
      <c r="F214" s="400" t="s">
        <v>323</v>
      </c>
      <c r="G214" s="211">
        <v>173</v>
      </c>
      <c r="H214" s="212"/>
      <c r="I214" s="400" t="str">
        <f>IF($A214="","",IF(OR($B214="",$C214="",$D214="",$E214="",$F214=""),"Stammdaten fehlen",IF(AND($G214="",$H214=""),"Werte fehlen",IF($G214="","Monatsstunden fehlen",IF($H214="","Monatslohn fehlt","OK")))))</f>
        <v>Monatslohn fehlt</v>
      </c>
      <c r="J214" s="425" t="str">
        <f>IF($G214="","",IF(COUNTIFS($A:$A,$A214,$D:$D,$D214,$G:$G,$G214)&gt;1,"Doppelte Monatsstunden",""))</f>
        <v/>
      </c>
    </row>
    <row r="215" spans="1:10" ht="24" customHeight="1">
      <c r="A215" s="414" t="s">
        <v>329</v>
      </c>
      <c r="B215" s="397">
        <v>46143</v>
      </c>
      <c r="C215" s="397">
        <v>46507</v>
      </c>
      <c r="D215" s="398" t="s">
        <v>10</v>
      </c>
      <c r="E215" s="398" t="s">
        <v>4</v>
      </c>
      <c r="F215" s="398" t="s">
        <v>323</v>
      </c>
      <c r="G215" s="209">
        <v>151.38</v>
      </c>
      <c r="H215" s="210"/>
      <c r="I215" s="398" t="str">
        <f>IF($A215="","",IF(OR($B215="",$C215="",$D215="",$E215="",$F215=""),"Stammdaten fehlen",IF(AND($G215="",$H215=""),"Werte fehlen",IF($G215="","Monatsstunden fehlen",IF($H215="","Monatslohn fehlt","OK")))))</f>
        <v>Monatslohn fehlt</v>
      </c>
      <c r="J215" s="424" t="str">
        <f>IF($G215="","",IF(COUNTIFS($A:$A,$A215,$D:$D,$D215,$G:$G,$G215)&gt;1,"Doppelte Monatsstunden",""))</f>
        <v/>
      </c>
    </row>
    <row r="216" spans="1:10" ht="24" customHeight="1">
      <c r="A216" s="414" t="s">
        <v>329</v>
      </c>
      <c r="B216" s="397">
        <v>46143</v>
      </c>
      <c r="C216" s="397">
        <v>46507</v>
      </c>
      <c r="D216" s="398" t="s">
        <v>10</v>
      </c>
      <c r="E216" s="398" t="s">
        <v>4</v>
      </c>
      <c r="F216" s="398" t="s">
        <v>323</v>
      </c>
      <c r="G216" s="209">
        <v>138.4</v>
      </c>
      <c r="H216" s="210"/>
      <c r="I216" s="398" t="str">
        <f>IF($A216="","",IF(OR($B216="",$C216="",$D216="",$E216="",$F216=""),"Stammdaten fehlen",IF(AND($G216="",$H216=""),"Werte fehlen",IF($G216="","Monatsstunden fehlen",IF($H216="","Monatslohn fehlt","OK")))))</f>
        <v>Monatslohn fehlt</v>
      </c>
      <c r="J216" s="424" t="str">
        <f>IF($G216="","",IF(COUNTIFS($A:$A,$A216,$D:$D,$D216,$G:$G,$G216)&gt;1,"Doppelte Monatsstunden",""))</f>
        <v/>
      </c>
    </row>
    <row r="217" spans="1:10" ht="24" customHeight="1">
      <c r="A217" s="414" t="s">
        <v>329</v>
      </c>
      <c r="B217" s="397">
        <v>46143</v>
      </c>
      <c r="C217" s="397">
        <v>46507</v>
      </c>
      <c r="D217" s="398" t="s">
        <v>10</v>
      </c>
      <c r="E217" s="398" t="s">
        <v>4</v>
      </c>
      <c r="F217" s="398" t="s">
        <v>323</v>
      </c>
      <c r="G217" s="209">
        <v>129.75</v>
      </c>
      <c r="H217" s="210"/>
      <c r="I217" s="398" t="str">
        <f>IF($A217="","",IF(OR($B217="",$C217="",$D217="",$E217="",$F217=""),"Stammdaten fehlen",IF(AND($G217="",$H217=""),"Werte fehlen",IF($G217="","Monatsstunden fehlen",IF($H217="","Monatslohn fehlt","OK")))))</f>
        <v>Monatslohn fehlt</v>
      </c>
      <c r="J217" s="424" t="str">
        <f>IF($G217="","",IF(COUNTIFS($A:$A,$A217,$D:$D,$D217,$G:$G,$G217)&gt;1,"Doppelte Monatsstunden",""))</f>
        <v/>
      </c>
    </row>
    <row r="218" spans="1:10" ht="24" customHeight="1">
      <c r="A218" s="414" t="s">
        <v>329</v>
      </c>
      <c r="B218" s="397">
        <v>46143</v>
      </c>
      <c r="C218" s="397">
        <v>46507</v>
      </c>
      <c r="D218" s="398" t="s">
        <v>10</v>
      </c>
      <c r="E218" s="398" t="s">
        <v>4</v>
      </c>
      <c r="F218" s="398" t="s">
        <v>323</v>
      </c>
      <c r="G218" s="209">
        <v>108.13</v>
      </c>
      <c r="H218" s="210"/>
      <c r="I218" s="398" t="str">
        <f>IF($A218="","",IF(OR($B218="",$C218="",$D218="",$E218="",$F218=""),"Stammdaten fehlen",IF(AND($G218="",$H218=""),"Werte fehlen",IF($G218="","Monatsstunden fehlen",IF($H218="","Monatslohn fehlt","OK")))))</f>
        <v>Monatslohn fehlt</v>
      </c>
      <c r="J218" s="424" t="str">
        <f>IF($G218="","",IF(COUNTIFS($A:$A,$A218,$D:$D,$D218,$G:$G,$G218)&gt;1,"Doppelte Monatsstunden",""))</f>
        <v/>
      </c>
    </row>
    <row r="219" spans="1:10" ht="24" customHeight="1">
      <c r="A219" s="414" t="s">
        <v>329</v>
      </c>
      <c r="B219" s="397">
        <v>46143</v>
      </c>
      <c r="C219" s="397">
        <v>46507</v>
      </c>
      <c r="D219" s="398" t="s">
        <v>10</v>
      </c>
      <c r="E219" s="398" t="s">
        <v>4</v>
      </c>
      <c r="F219" s="398" t="s">
        <v>323</v>
      </c>
      <c r="G219" s="209">
        <v>103.8</v>
      </c>
      <c r="H219" s="210"/>
      <c r="I219" s="398" t="str">
        <f>IF($A219="","",IF(OR($B219="",$C219="",$D219="",$E219="",$F219=""),"Stammdaten fehlen",IF(AND($G219="",$H219=""),"Werte fehlen",IF($G219="","Monatsstunden fehlen",IF($H219="","Monatslohn fehlt","OK")))))</f>
        <v>Monatslohn fehlt</v>
      </c>
      <c r="J219" s="424" t="str">
        <f>IF($G219="","",IF(COUNTIFS($A:$A,$A219,$D:$D,$D219,$G:$G,$G219)&gt;1,"Doppelte Monatsstunden",""))</f>
        <v/>
      </c>
    </row>
    <row r="220" spans="1:10" ht="24" customHeight="1">
      <c r="A220" s="414" t="s">
        <v>329</v>
      </c>
      <c r="B220" s="397">
        <v>46143</v>
      </c>
      <c r="C220" s="397">
        <v>46507</v>
      </c>
      <c r="D220" s="398" t="s">
        <v>10</v>
      </c>
      <c r="E220" s="398" t="s">
        <v>4</v>
      </c>
      <c r="F220" s="398" t="s">
        <v>323</v>
      </c>
      <c r="G220" s="209">
        <v>86.5</v>
      </c>
      <c r="H220" s="210"/>
      <c r="I220" s="398" t="str">
        <f>IF($A220="","",IF(OR($B220="",$C220="",$D220="",$E220="",$F220=""),"Stammdaten fehlen",IF(AND($G220="",$H220=""),"Werte fehlen",IF($G220="","Monatsstunden fehlen",IF($H220="","Monatslohn fehlt","OK")))))</f>
        <v>Monatslohn fehlt</v>
      </c>
      <c r="J220" s="424" t="str">
        <f>IF($G220="","",IF(COUNTIFS($A:$A,$A220,$D:$D,$D220,$G:$G,$G220)&gt;1,"Doppelte Monatsstunden",""))</f>
        <v/>
      </c>
    </row>
    <row r="221" spans="1:10" ht="24" customHeight="1">
      <c r="A221" s="414" t="s">
        <v>329</v>
      </c>
      <c r="B221" s="397">
        <v>46143</v>
      </c>
      <c r="C221" s="397">
        <v>46507</v>
      </c>
      <c r="D221" s="398" t="s">
        <v>10</v>
      </c>
      <c r="E221" s="398" t="s">
        <v>4</v>
      </c>
      <c r="F221" s="398" t="s">
        <v>323</v>
      </c>
      <c r="G221" s="209">
        <v>69.2</v>
      </c>
      <c r="H221" s="210"/>
      <c r="I221" s="398" t="str">
        <f>IF($A221="","",IF(OR($B221="",$C221="",$D221="",$E221="",$F221=""),"Stammdaten fehlen",IF(AND($G221="",$H221=""),"Werte fehlen",IF($G221="","Monatsstunden fehlen",IF($H221="","Monatslohn fehlt","OK")))))</f>
        <v>Monatslohn fehlt</v>
      </c>
      <c r="J221" s="424" t="str">
        <f>IF($G221="","",IF(COUNTIFS($A:$A,$A221,$D:$D,$D221,$G:$G,$G221)&gt;1,"Doppelte Monatsstunden",""))</f>
        <v/>
      </c>
    </row>
    <row r="222" spans="1:10" ht="24" customHeight="1">
      <c r="A222" s="414" t="s">
        <v>329</v>
      </c>
      <c r="B222" s="397">
        <v>46143</v>
      </c>
      <c r="C222" s="397">
        <v>46507</v>
      </c>
      <c r="D222" s="398" t="s">
        <v>10</v>
      </c>
      <c r="E222" s="398" t="s">
        <v>4</v>
      </c>
      <c r="F222" s="398" t="s">
        <v>323</v>
      </c>
      <c r="G222" s="209">
        <v>51.9</v>
      </c>
      <c r="H222" s="210"/>
      <c r="I222" s="398" t="str">
        <f>IF($A222="","",IF(OR($B222="",$C222="",$D222="",$E222="",$F222=""),"Stammdaten fehlen",IF(AND($G222="",$H222=""),"Werte fehlen",IF($G222="","Monatsstunden fehlen",IF($H222="","Monatslohn fehlt","OK")))))</f>
        <v>Monatslohn fehlt</v>
      </c>
      <c r="J222" s="424" t="str">
        <f>IF($G222="","",IF(COUNTIFS($A:$A,$A222,$D:$D,$D222,$G:$G,$G222)&gt;1,"Doppelte Monatsstunden",""))</f>
        <v/>
      </c>
    </row>
    <row r="223" spans="1:10" ht="24" customHeight="1">
      <c r="A223" s="414" t="s">
        <v>329</v>
      </c>
      <c r="B223" s="397">
        <v>46143</v>
      </c>
      <c r="C223" s="397">
        <v>46507</v>
      </c>
      <c r="D223" s="398" t="s">
        <v>10</v>
      </c>
      <c r="E223" s="398" t="s">
        <v>4</v>
      </c>
      <c r="F223" s="398" t="s">
        <v>323</v>
      </c>
      <c r="G223" s="209">
        <v>47.58</v>
      </c>
      <c r="H223" s="210"/>
      <c r="I223" s="398" t="str">
        <f>IF($A223="","",IF(OR($B223="",$C223="",$D223="",$E223="",$F223=""),"Stammdaten fehlen",IF(AND($G223="",$H223=""),"Werte fehlen",IF($G223="","Monatsstunden fehlen",IF($H223="","Monatslohn fehlt","OK")))))</f>
        <v>Monatslohn fehlt</v>
      </c>
      <c r="J223" s="424" t="str">
        <f>IF($G223="","",IF(COUNTIFS($A:$A,$A223,$D:$D,$D223,$G:$G,$G223)&gt;1,"Doppelte Monatsstunden",""))</f>
        <v/>
      </c>
    </row>
    <row r="224" spans="1:10" ht="24" customHeight="1">
      <c r="A224" s="414" t="s">
        <v>329</v>
      </c>
      <c r="B224" s="397">
        <v>46143</v>
      </c>
      <c r="C224" s="397">
        <v>46507</v>
      </c>
      <c r="D224" s="398" t="s">
        <v>10</v>
      </c>
      <c r="E224" s="398" t="s">
        <v>4</v>
      </c>
      <c r="F224" s="398" t="s">
        <v>323</v>
      </c>
      <c r="G224" s="209">
        <v>43.25</v>
      </c>
      <c r="H224" s="210"/>
      <c r="I224" s="398" t="str">
        <f>IF($A224="","",IF(OR($B224="",$C224="",$D224="",$E224="",$F224=""),"Stammdaten fehlen",IF(AND($G224="",$H224=""),"Werte fehlen",IF($G224="","Monatsstunden fehlen",IF($H224="","Monatslohn fehlt","OK")))))</f>
        <v>Monatslohn fehlt</v>
      </c>
      <c r="J224" s="424" t="str">
        <f>IF($G224="","",IF(COUNTIFS($A:$A,$A224,$D:$D,$D224,$G:$G,$G224)&gt;1,"Doppelte Monatsstunden",""))</f>
        <v/>
      </c>
    </row>
    <row r="225" spans="1:10" ht="24" customHeight="1">
      <c r="A225" s="414" t="s">
        <v>329</v>
      </c>
      <c r="B225" s="397">
        <v>46143</v>
      </c>
      <c r="C225" s="397">
        <v>46507</v>
      </c>
      <c r="D225" s="398" t="s">
        <v>10</v>
      </c>
      <c r="E225" s="398" t="s">
        <v>4</v>
      </c>
      <c r="F225" s="398" t="s">
        <v>323</v>
      </c>
      <c r="G225" s="209">
        <v>34.6</v>
      </c>
      <c r="H225" s="210"/>
      <c r="I225" s="398" t="str">
        <f>IF($A225="","",IF(OR($B225="",$C225="",$D225="",$E225="",$F225=""),"Stammdaten fehlen",IF(AND($G225="",$H225=""),"Werte fehlen",IF($G225="","Monatsstunden fehlen",IF($H225="","Monatslohn fehlt","OK")))))</f>
        <v>Monatslohn fehlt</v>
      </c>
      <c r="J225" s="424" t="str">
        <f>IF($G225="","",IF(COUNTIFS($A:$A,$A225,$D:$D,$D225,$G:$G,$G225)&gt;1,"Doppelte Monatsstunden",""))</f>
        <v/>
      </c>
    </row>
    <row r="226" spans="1:10" ht="24" customHeight="1">
      <c r="A226" s="414" t="s">
        <v>329</v>
      </c>
      <c r="B226" s="397">
        <v>46143</v>
      </c>
      <c r="C226" s="397">
        <v>46507</v>
      </c>
      <c r="D226" s="398" t="s">
        <v>10</v>
      </c>
      <c r="E226" s="398" t="s">
        <v>4</v>
      </c>
      <c r="F226" s="398" t="s">
        <v>323</v>
      </c>
      <c r="G226" s="209">
        <v>32.01</v>
      </c>
      <c r="H226" s="210"/>
      <c r="I226" s="398" t="str">
        <f>IF($A226="","",IF(OR($B226="",$C226="",$D226="",$E226="",$F226=""),"Stammdaten fehlen",IF(AND($G226="",$H226=""),"Werte fehlen",IF($G226="","Monatsstunden fehlen",IF($H226="","Monatslohn fehlt","OK")))))</f>
        <v>Monatslohn fehlt</v>
      </c>
      <c r="J226" s="424" t="str">
        <f>IF($G226="","",IF(COUNTIFS($A:$A,$A226,$D:$D,$D226,$G:$G,$G226)&gt;1,"Doppelte Monatsstunden",""))</f>
        <v/>
      </c>
    </row>
    <row r="227" spans="1:10" ht="24" customHeight="1" thickBot="1">
      <c r="A227" s="414" t="s">
        <v>329</v>
      </c>
      <c r="B227" s="397">
        <v>46143</v>
      </c>
      <c r="C227" s="397">
        <v>46507</v>
      </c>
      <c r="D227" s="398" t="s">
        <v>10</v>
      </c>
      <c r="E227" s="398" t="s">
        <v>4</v>
      </c>
      <c r="F227" s="398" t="s">
        <v>323</v>
      </c>
      <c r="G227" s="209"/>
      <c r="H227" s="210"/>
      <c r="I227" s="398" t="str">
        <f>IF($A227="","",IF(OR($B227="",$C227="",$D227="",$E227="",$F227=""),"Stammdaten fehlen",IF(AND($G227="",$H227=""),"Werte fehlen",IF($G227="","Monatsstunden fehlen",IF($H227="","Monatslohn fehlt","OK")))))</f>
        <v>Werte fehlen</v>
      </c>
      <c r="J227" s="424" t="str">
        <f>IF($G227="","",IF(COUNTIFS($A:$A,$A227,$D:$D,$D227,$G:$G,$G227)&gt;1,"Doppelte Monatsstunden",""))</f>
        <v/>
      </c>
    </row>
    <row r="228" spans="1:10" ht="24" customHeight="1">
      <c r="A228" s="415" t="s">
        <v>329</v>
      </c>
      <c r="B228" s="399">
        <v>46143</v>
      </c>
      <c r="C228" s="399">
        <v>46507</v>
      </c>
      <c r="D228" s="400" t="s">
        <v>12</v>
      </c>
      <c r="E228" s="400" t="s">
        <v>4</v>
      </c>
      <c r="F228" s="400" t="s">
        <v>324</v>
      </c>
      <c r="G228" s="211">
        <v>173</v>
      </c>
      <c r="H228" s="212"/>
      <c r="I228" s="400" t="str">
        <f>IF($A228="","",IF(OR($B228="",$C228="",$D228="",$E228="",$F228=""),"Stammdaten fehlen",IF(AND($G228="",$H228=""),"Werte fehlen",IF($G228="","Monatsstunden fehlen",IF($H228="","Monatslohn fehlt","OK")))))</f>
        <v>Monatslohn fehlt</v>
      </c>
      <c r="J228" s="425" t="str">
        <f>IF($G228="","",IF(COUNTIFS($A:$A,$A228,$D:$D,$D228,$G:$G,$G228)&gt;1,"Doppelte Monatsstunden",""))</f>
        <v/>
      </c>
    </row>
    <row r="229" spans="1:10" ht="24" customHeight="1">
      <c r="A229" s="414" t="s">
        <v>329</v>
      </c>
      <c r="B229" s="397">
        <v>46143</v>
      </c>
      <c r="C229" s="397">
        <v>46507</v>
      </c>
      <c r="D229" s="398" t="s">
        <v>12</v>
      </c>
      <c r="E229" s="398" t="s">
        <v>4</v>
      </c>
      <c r="F229" s="398" t="s">
        <v>324</v>
      </c>
      <c r="G229" s="209">
        <v>151.38</v>
      </c>
      <c r="H229" s="210"/>
      <c r="I229" s="398" t="str">
        <f>IF($A229="","",IF(OR($B229="",$C229="",$D229="",$E229="",$F229=""),"Stammdaten fehlen",IF(AND($G229="",$H229=""),"Werte fehlen",IF($G229="","Monatsstunden fehlen",IF($H229="","Monatslohn fehlt","OK")))))</f>
        <v>Monatslohn fehlt</v>
      </c>
      <c r="J229" s="424" t="str">
        <f>IF($G229="","",IF(COUNTIFS($A:$A,$A229,$D:$D,$D229,$G:$G,$G229)&gt;1,"Doppelte Monatsstunden",""))</f>
        <v/>
      </c>
    </row>
    <row r="230" spans="1:10" ht="24" customHeight="1">
      <c r="A230" s="414" t="s">
        <v>329</v>
      </c>
      <c r="B230" s="397">
        <v>46143</v>
      </c>
      <c r="C230" s="397">
        <v>46507</v>
      </c>
      <c r="D230" s="398" t="s">
        <v>12</v>
      </c>
      <c r="E230" s="398" t="s">
        <v>4</v>
      </c>
      <c r="F230" s="398" t="s">
        <v>324</v>
      </c>
      <c r="G230" s="209">
        <v>138.4</v>
      </c>
      <c r="H230" s="210"/>
      <c r="I230" s="398" t="str">
        <f>IF($A230="","",IF(OR($B230="",$C230="",$D230="",$E230="",$F230=""),"Stammdaten fehlen",IF(AND($G230="",$H230=""),"Werte fehlen",IF($G230="","Monatsstunden fehlen",IF($H230="","Monatslohn fehlt","OK")))))</f>
        <v>Monatslohn fehlt</v>
      </c>
      <c r="J230" s="424" t="str">
        <f>IF($G230="","",IF(COUNTIFS($A:$A,$A230,$D:$D,$D230,$G:$G,$G230)&gt;1,"Doppelte Monatsstunden",""))</f>
        <v/>
      </c>
    </row>
    <row r="231" spans="1:10" ht="24" customHeight="1">
      <c r="A231" s="414" t="s">
        <v>329</v>
      </c>
      <c r="B231" s="397">
        <v>46143</v>
      </c>
      <c r="C231" s="397">
        <v>46507</v>
      </c>
      <c r="D231" s="398" t="s">
        <v>12</v>
      </c>
      <c r="E231" s="398" t="s">
        <v>4</v>
      </c>
      <c r="F231" s="398" t="s">
        <v>324</v>
      </c>
      <c r="G231" s="209">
        <v>129.75</v>
      </c>
      <c r="H231" s="210"/>
      <c r="I231" s="398" t="str">
        <f>IF($A231="","",IF(OR($B231="",$C231="",$D231="",$E231="",$F231=""),"Stammdaten fehlen",IF(AND($G231="",$H231=""),"Werte fehlen",IF($G231="","Monatsstunden fehlen",IF($H231="","Monatslohn fehlt","OK")))))</f>
        <v>Monatslohn fehlt</v>
      </c>
      <c r="J231" s="424" t="str">
        <f>IF($G231="","",IF(COUNTIFS($A:$A,$A231,$D:$D,$D231,$G:$G,$G231)&gt;1,"Doppelte Monatsstunden",""))</f>
        <v/>
      </c>
    </row>
    <row r="232" spans="1:10" ht="24" customHeight="1">
      <c r="A232" s="414" t="s">
        <v>329</v>
      </c>
      <c r="B232" s="397">
        <v>46143</v>
      </c>
      <c r="C232" s="397">
        <v>46507</v>
      </c>
      <c r="D232" s="398" t="s">
        <v>12</v>
      </c>
      <c r="E232" s="398" t="s">
        <v>4</v>
      </c>
      <c r="F232" s="398" t="s">
        <v>324</v>
      </c>
      <c r="G232" s="209">
        <v>108.13</v>
      </c>
      <c r="H232" s="210"/>
      <c r="I232" s="398" t="str">
        <f>IF($A232="","",IF(OR($B232="",$C232="",$D232="",$E232="",$F232=""),"Stammdaten fehlen",IF(AND($G232="",$H232=""),"Werte fehlen",IF($G232="","Monatsstunden fehlen",IF($H232="","Monatslohn fehlt","OK")))))</f>
        <v>Monatslohn fehlt</v>
      </c>
      <c r="J232" s="424" t="str">
        <f>IF($G232="","",IF(COUNTIFS($A:$A,$A232,$D:$D,$D232,$G:$G,$G232)&gt;1,"Doppelte Monatsstunden",""))</f>
        <v/>
      </c>
    </row>
    <row r="233" spans="1:10" ht="24" customHeight="1">
      <c r="A233" s="414" t="s">
        <v>329</v>
      </c>
      <c r="B233" s="397">
        <v>46143</v>
      </c>
      <c r="C233" s="397">
        <v>46507</v>
      </c>
      <c r="D233" s="398" t="s">
        <v>12</v>
      </c>
      <c r="E233" s="398" t="s">
        <v>4</v>
      </c>
      <c r="F233" s="398" t="s">
        <v>324</v>
      </c>
      <c r="G233" s="209">
        <v>103.8</v>
      </c>
      <c r="H233" s="210"/>
      <c r="I233" s="398" t="str">
        <f>IF($A233="","",IF(OR($B233="",$C233="",$D233="",$E233="",$F233=""),"Stammdaten fehlen",IF(AND($G233="",$H233=""),"Werte fehlen",IF($G233="","Monatsstunden fehlen",IF($H233="","Monatslohn fehlt","OK")))))</f>
        <v>Monatslohn fehlt</v>
      </c>
      <c r="J233" s="424" t="str">
        <f>IF($G233="","",IF(COUNTIFS($A:$A,$A233,$D:$D,$D233,$G:$G,$G233)&gt;1,"Doppelte Monatsstunden",""))</f>
        <v/>
      </c>
    </row>
    <row r="234" spans="1:10" ht="24" customHeight="1">
      <c r="A234" s="414" t="s">
        <v>329</v>
      </c>
      <c r="B234" s="397">
        <v>46143</v>
      </c>
      <c r="C234" s="397">
        <v>46507</v>
      </c>
      <c r="D234" s="398" t="s">
        <v>12</v>
      </c>
      <c r="E234" s="398" t="s">
        <v>4</v>
      </c>
      <c r="F234" s="398" t="s">
        <v>324</v>
      </c>
      <c r="G234" s="209">
        <v>86.5</v>
      </c>
      <c r="H234" s="210"/>
      <c r="I234" s="398" t="str">
        <f>IF($A234="","",IF(OR($B234="",$C234="",$D234="",$E234="",$F234=""),"Stammdaten fehlen",IF(AND($G234="",$H234=""),"Werte fehlen",IF($G234="","Monatsstunden fehlen",IF($H234="","Monatslohn fehlt","OK")))))</f>
        <v>Monatslohn fehlt</v>
      </c>
      <c r="J234" s="424" t="str">
        <f>IF($G234="","",IF(COUNTIFS($A:$A,$A234,$D:$D,$D234,$G:$G,$G234)&gt;1,"Doppelte Monatsstunden",""))</f>
        <v/>
      </c>
    </row>
    <row r="235" spans="1:10" ht="24" customHeight="1">
      <c r="A235" s="414" t="s">
        <v>329</v>
      </c>
      <c r="B235" s="397">
        <v>46143</v>
      </c>
      <c r="C235" s="397">
        <v>46507</v>
      </c>
      <c r="D235" s="398" t="s">
        <v>12</v>
      </c>
      <c r="E235" s="398" t="s">
        <v>4</v>
      </c>
      <c r="F235" s="398" t="s">
        <v>324</v>
      </c>
      <c r="G235" s="209">
        <v>69.2</v>
      </c>
      <c r="H235" s="210"/>
      <c r="I235" s="398" t="str">
        <f>IF($A235="","",IF(OR($B235="",$C235="",$D235="",$E235="",$F235=""),"Stammdaten fehlen",IF(AND($G235="",$H235=""),"Werte fehlen",IF($G235="","Monatsstunden fehlen",IF($H235="","Monatslohn fehlt","OK")))))</f>
        <v>Monatslohn fehlt</v>
      </c>
      <c r="J235" s="424" t="str">
        <f>IF($G235="","",IF(COUNTIFS($A:$A,$A235,$D:$D,$D235,$G:$G,$G235)&gt;1,"Doppelte Monatsstunden",""))</f>
        <v/>
      </c>
    </row>
    <row r="236" spans="1:10" ht="24" customHeight="1">
      <c r="A236" s="414" t="s">
        <v>329</v>
      </c>
      <c r="B236" s="397">
        <v>46143</v>
      </c>
      <c r="C236" s="397">
        <v>46507</v>
      </c>
      <c r="D236" s="398" t="s">
        <v>12</v>
      </c>
      <c r="E236" s="398" t="s">
        <v>4</v>
      </c>
      <c r="F236" s="398" t="s">
        <v>324</v>
      </c>
      <c r="G236" s="209">
        <v>51.9</v>
      </c>
      <c r="H236" s="210"/>
      <c r="I236" s="398" t="str">
        <f>IF($A236="","",IF(OR($B236="",$C236="",$D236="",$E236="",$F236=""),"Stammdaten fehlen",IF(AND($G236="",$H236=""),"Werte fehlen",IF($G236="","Monatsstunden fehlen",IF($H236="","Monatslohn fehlt","OK")))))</f>
        <v>Monatslohn fehlt</v>
      </c>
      <c r="J236" s="424" t="str">
        <f>IF($G236="","",IF(COUNTIFS($A:$A,$A236,$D:$D,$D236,$G:$G,$G236)&gt;1,"Doppelte Monatsstunden",""))</f>
        <v/>
      </c>
    </row>
    <row r="237" spans="1:10" ht="24" customHeight="1">
      <c r="A237" s="414" t="s">
        <v>329</v>
      </c>
      <c r="B237" s="397">
        <v>46143</v>
      </c>
      <c r="C237" s="397">
        <v>46507</v>
      </c>
      <c r="D237" s="398" t="s">
        <v>12</v>
      </c>
      <c r="E237" s="398" t="s">
        <v>4</v>
      </c>
      <c r="F237" s="398" t="s">
        <v>324</v>
      </c>
      <c r="G237" s="209">
        <v>47.58</v>
      </c>
      <c r="H237" s="210"/>
      <c r="I237" s="398" t="str">
        <f>IF($A237="","",IF(OR($B237="",$C237="",$D237="",$E237="",$F237=""),"Stammdaten fehlen",IF(AND($G237="",$H237=""),"Werte fehlen",IF($G237="","Monatsstunden fehlen",IF($H237="","Monatslohn fehlt","OK")))))</f>
        <v>Monatslohn fehlt</v>
      </c>
      <c r="J237" s="424" t="str">
        <f>IF($G237="","",IF(COUNTIFS($A:$A,$A237,$D:$D,$D237,$G:$G,$G237)&gt;1,"Doppelte Monatsstunden",""))</f>
        <v/>
      </c>
    </row>
    <row r="238" spans="1:10" ht="24" customHeight="1">
      <c r="A238" s="414" t="s">
        <v>329</v>
      </c>
      <c r="B238" s="397">
        <v>46143</v>
      </c>
      <c r="C238" s="397">
        <v>46507</v>
      </c>
      <c r="D238" s="398" t="s">
        <v>12</v>
      </c>
      <c r="E238" s="398" t="s">
        <v>4</v>
      </c>
      <c r="F238" s="398" t="s">
        <v>324</v>
      </c>
      <c r="G238" s="209">
        <v>43.25</v>
      </c>
      <c r="H238" s="210"/>
      <c r="I238" s="398" t="str">
        <f>IF($A238="","",IF(OR($B238="",$C238="",$D238="",$E238="",$F238=""),"Stammdaten fehlen",IF(AND($G238="",$H238=""),"Werte fehlen",IF($G238="","Monatsstunden fehlen",IF($H238="","Monatslohn fehlt","OK")))))</f>
        <v>Monatslohn fehlt</v>
      </c>
      <c r="J238" s="424" t="str">
        <f>IF($G238="","",IF(COUNTIFS($A:$A,$A238,$D:$D,$D238,$G:$G,$G238)&gt;1,"Doppelte Monatsstunden",""))</f>
        <v/>
      </c>
    </row>
    <row r="239" spans="1:10" ht="24" customHeight="1">
      <c r="A239" s="414" t="s">
        <v>329</v>
      </c>
      <c r="B239" s="397">
        <v>46143</v>
      </c>
      <c r="C239" s="397">
        <v>46507</v>
      </c>
      <c r="D239" s="398" t="s">
        <v>12</v>
      </c>
      <c r="E239" s="398" t="s">
        <v>4</v>
      </c>
      <c r="F239" s="398" t="s">
        <v>324</v>
      </c>
      <c r="G239" s="209">
        <v>34.6</v>
      </c>
      <c r="H239" s="210"/>
      <c r="I239" s="398" t="str">
        <f>IF($A239="","",IF(OR($B239="",$C239="",$D239="",$E239="",$F239=""),"Stammdaten fehlen",IF(AND($G239="",$H239=""),"Werte fehlen",IF($G239="","Monatsstunden fehlen",IF($H239="","Monatslohn fehlt","OK")))))</f>
        <v>Monatslohn fehlt</v>
      </c>
      <c r="J239" s="424" t="str">
        <f>IF($G239="","",IF(COUNTIFS($A:$A,$A239,$D:$D,$D239,$G:$G,$G239)&gt;1,"Doppelte Monatsstunden",""))</f>
        <v/>
      </c>
    </row>
    <row r="240" spans="1:10" ht="24" customHeight="1">
      <c r="A240" s="414" t="s">
        <v>329</v>
      </c>
      <c r="B240" s="397">
        <v>46143</v>
      </c>
      <c r="C240" s="397">
        <v>46507</v>
      </c>
      <c r="D240" s="398" t="s">
        <v>12</v>
      </c>
      <c r="E240" s="398" t="s">
        <v>4</v>
      </c>
      <c r="F240" s="398" t="s">
        <v>324</v>
      </c>
      <c r="G240" s="209">
        <v>32.01</v>
      </c>
      <c r="H240" s="210"/>
      <c r="I240" s="398" t="str">
        <f>IF($A240="","",IF(OR($B240="",$C240="",$D240="",$E240="",$F240=""),"Stammdaten fehlen",IF(AND($G240="",$H240=""),"Werte fehlen",IF($G240="","Monatsstunden fehlen",IF($H240="","Monatslohn fehlt","OK")))))</f>
        <v>Monatslohn fehlt</v>
      </c>
      <c r="J240" s="424" t="str">
        <f>IF($G240="","",IF(COUNTIFS($A:$A,$A240,$D:$D,$D240,$G:$G,$G240)&gt;1,"Doppelte Monatsstunden",""))</f>
        <v/>
      </c>
    </row>
    <row r="241" spans="1:10" ht="24" customHeight="1" thickBot="1">
      <c r="A241" s="414" t="s">
        <v>329</v>
      </c>
      <c r="B241" s="397">
        <v>46143</v>
      </c>
      <c r="C241" s="397">
        <v>46507</v>
      </c>
      <c r="D241" s="398" t="s">
        <v>12</v>
      </c>
      <c r="E241" s="398" t="s">
        <v>4</v>
      </c>
      <c r="F241" s="398" t="s">
        <v>324</v>
      </c>
      <c r="G241" s="209"/>
      <c r="H241" s="210"/>
      <c r="I241" s="398" t="str">
        <f>IF($A241="","",IF(OR($B241="",$C241="",$D241="",$E241="",$F241=""),"Stammdaten fehlen",IF(AND($G241="",$H241=""),"Werte fehlen",IF($G241="","Monatsstunden fehlen",IF($H241="","Monatslohn fehlt","OK")))))</f>
        <v>Werte fehlen</v>
      </c>
      <c r="J241" s="424" t="str">
        <f>IF($G241="","",IF(COUNTIFS($A:$A,$A241,$D:$D,$D241,$G:$G,$G241)&gt;1,"Doppelte Monatsstunden",""))</f>
        <v/>
      </c>
    </row>
    <row r="242" spans="1:10" ht="24" customHeight="1">
      <c r="A242" s="416" t="s">
        <v>329</v>
      </c>
      <c r="B242" s="401">
        <v>46143</v>
      </c>
      <c r="C242" s="401">
        <v>46507</v>
      </c>
      <c r="D242" s="402" t="s">
        <v>332</v>
      </c>
      <c r="E242" s="402" t="s">
        <v>13</v>
      </c>
      <c r="F242" s="402" t="s">
        <v>321</v>
      </c>
      <c r="G242" s="213">
        <v>173</v>
      </c>
      <c r="H242" s="214"/>
      <c r="I242" s="402" t="str">
        <f>IF($A242="","",IF(OR($B242="",$C242="",$D242="",$E242="",$F242=""),"Stammdaten fehlen",IF(AND($G242="",$H242=""),"Werte fehlen",IF($G242="","Monatsstunden fehlen",IF($H242="","Monatslohn fehlt","OK")))))</f>
        <v>Monatslohn fehlt</v>
      </c>
      <c r="J242" s="426" t="str">
        <f>IF($G242="","",IF(COUNTIFS($A:$A,$A242,$D:$D,$D242,$G:$G,$G242)&gt;1,"Doppelte Monatsstunden",""))</f>
        <v/>
      </c>
    </row>
    <row r="243" spans="1:10" ht="24" customHeight="1">
      <c r="A243" s="417" t="s">
        <v>329</v>
      </c>
      <c r="B243" s="403">
        <v>46143</v>
      </c>
      <c r="C243" s="403">
        <v>46507</v>
      </c>
      <c r="D243" s="404" t="s">
        <v>332</v>
      </c>
      <c r="E243" s="404" t="s">
        <v>13</v>
      </c>
      <c r="F243" s="404" t="s">
        <v>321</v>
      </c>
      <c r="G243" s="215">
        <v>151.38</v>
      </c>
      <c r="H243" s="216"/>
      <c r="I243" s="404" t="str">
        <f>IF($A243="","",IF(OR($B243="",$C243="",$D243="",$E243="",$F243=""),"Stammdaten fehlen",IF(AND($G243="",$H243=""),"Werte fehlen",IF($G243="","Monatsstunden fehlen",IF($H243="","Monatslohn fehlt","OK")))))</f>
        <v>Monatslohn fehlt</v>
      </c>
      <c r="J243" s="427" t="str">
        <f>IF($G243="","",IF(COUNTIFS($A:$A,$A243,$D:$D,$D243,$G:$G,$G243)&gt;1,"Doppelte Monatsstunden",""))</f>
        <v/>
      </c>
    </row>
    <row r="244" spans="1:10" ht="24" customHeight="1">
      <c r="A244" s="417" t="s">
        <v>329</v>
      </c>
      <c r="B244" s="403">
        <v>46143</v>
      </c>
      <c r="C244" s="403">
        <v>46507</v>
      </c>
      <c r="D244" s="404" t="s">
        <v>332</v>
      </c>
      <c r="E244" s="404" t="s">
        <v>13</v>
      </c>
      <c r="F244" s="404" t="s">
        <v>321</v>
      </c>
      <c r="G244" s="215">
        <v>138.4</v>
      </c>
      <c r="H244" s="216"/>
      <c r="I244" s="404" t="str">
        <f>IF($A244="","",IF(OR($B244="",$C244="",$D244="",$E244="",$F244=""),"Stammdaten fehlen",IF(AND($G244="",$H244=""),"Werte fehlen",IF($G244="","Monatsstunden fehlen",IF($H244="","Monatslohn fehlt","OK")))))</f>
        <v>Monatslohn fehlt</v>
      </c>
      <c r="J244" s="427" t="str">
        <f>IF($G244="","",IF(COUNTIFS($A:$A,$A244,$D:$D,$D244,$G:$G,$G244)&gt;1,"Doppelte Monatsstunden",""))</f>
        <v/>
      </c>
    </row>
    <row r="245" spans="1:10" ht="24" customHeight="1">
      <c r="A245" s="417" t="s">
        <v>329</v>
      </c>
      <c r="B245" s="403">
        <v>46143</v>
      </c>
      <c r="C245" s="403">
        <v>46507</v>
      </c>
      <c r="D245" s="404" t="s">
        <v>332</v>
      </c>
      <c r="E245" s="404" t="s">
        <v>13</v>
      </c>
      <c r="F245" s="404" t="s">
        <v>321</v>
      </c>
      <c r="G245" s="215">
        <v>129.75</v>
      </c>
      <c r="H245" s="216"/>
      <c r="I245" s="404" t="str">
        <f>IF($A245="","",IF(OR($B245="",$C245="",$D245="",$E245="",$F245=""),"Stammdaten fehlen",IF(AND($G245="",$H245=""),"Werte fehlen",IF($G245="","Monatsstunden fehlen",IF($H245="","Monatslohn fehlt","OK")))))</f>
        <v>Monatslohn fehlt</v>
      </c>
      <c r="J245" s="427" t="str">
        <f>IF($G245="","",IF(COUNTIFS($A:$A,$A245,$D:$D,$D245,$G:$G,$G245)&gt;1,"Doppelte Monatsstunden",""))</f>
        <v/>
      </c>
    </row>
    <row r="246" spans="1:10" ht="24" customHeight="1">
      <c r="A246" s="417" t="s">
        <v>329</v>
      </c>
      <c r="B246" s="403">
        <v>46143</v>
      </c>
      <c r="C246" s="403">
        <v>46507</v>
      </c>
      <c r="D246" s="404" t="s">
        <v>332</v>
      </c>
      <c r="E246" s="404" t="s">
        <v>13</v>
      </c>
      <c r="F246" s="404" t="s">
        <v>321</v>
      </c>
      <c r="G246" s="215">
        <v>108.13</v>
      </c>
      <c r="H246" s="216"/>
      <c r="I246" s="404" t="str">
        <f>IF($A246="","",IF(OR($B246="",$C246="",$D246="",$E246="",$F246=""),"Stammdaten fehlen",IF(AND($G246="",$H246=""),"Werte fehlen",IF($G246="","Monatsstunden fehlen",IF($H246="","Monatslohn fehlt","OK")))))</f>
        <v>Monatslohn fehlt</v>
      </c>
      <c r="J246" s="427" t="str">
        <f>IF($G246="","",IF(COUNTIFS($A:$A,$A246,$D:$D,$D246,$G:$G,$G246)&gt;1,"Doppelte Monatsstunden",""))</f>
        <v/>
      </c>
    </row>
    <row r="247" spans="1:10" ht="24" customHeight="1">
      <c r="A247" s="417" t="s">
        <v>329</v>
      </c>
      <c r="B247" s="403">
        <v>46143</v>
      </c>
      <c r="C247" s="403">
        <v>46507</v>
      </c>
      <c r="D247" s="404" t="s">
        <v>332</v>
      </c>
      <c r="E247" s="404" t="s">
        <v>13</v>
      </c>
      <c r="F247" s="404" t="s">
        <v>321</v>
      </c>
      <c r="G247" s="215">
        <v>103.8</v>
      </c>
      <c r="H247" s="216"/>
      <c r="I247" s="404" t="str">
        <f>IF($A247="","",IF(OR($B247="",$C247="",$D247="",$E247="",$F247=""),"Stammdaten fehlen",IF(AND($G247="",$H247=""),"Werte fehlen",IF($G247="","Monatsstunden fehlen",IF($H247="","Monatslohn fehlt","OK")))))</f>
        <v>Monatslohn fehlt</v>
      </c>
      <c r="J247" s="427" t="str">
        <f>IF($G247="","",IF(COUNTIFS($A:$A,$A247,$D:$D,$D247,$G:$G,$G247)&gt;1,"Doppelte Monatsstunden",""))</f>
        <v/>
      </c>
    </row>
    <row r="248" spans="1:10" ht="24" customHeight="1">
      <c r="A248" s="417" t="s">
        <v>329</v>
      </c>
      <c r="B248" s="403">
        <v>46143</v>
      </c>
      <c r="C248" s="403">
        <v>46507</v>
      </c>
      <c r="D248" s="404" t="s">
        <v>332</v>
      </c>
      <c r="E248" s="404" t="s">
        <v>13</v>
      </c>
      <c r="F248" s="404" t="s">
        <v>321</v>
      </c>
      <c r="G248" s="215">
        <v>86.5</v>
      </c>
      <c r="H248" s="216"/>
      <c r="I248" s="404" t="str">
        <f>IF($A248="","",IF(OR($B248="",$C248="",$D248="",$E248="",$F248=""),"Stammdaten fehlen",IF(AND($G248="",$H248=""),"Werte fehlen",IF($G248="","Monatsstunden fehlen",IF($H248="","Monatslohn fehlt","OK")))))</f>
        <v>Monatslohn fehlt</v>
      </c>
      <c r="J248" s="427" t="str">
        <f>IF($G248="","",IF(COUNTIFS($A:$A,$A248,$D:$D,$D248,$G:$G,$G248)&gt;1,"Doppelte Monatsstunden",""))</f>
        <v/>
      </c>
    </row>
    <row r="249" spans="1:10" ht="24" customHeight="1">
      <c r="A249" s="417" t="s">
        <v>329</v>
      </c>
      <c r="B249" s="403">
        <v>46143</v>
      </c>
      <c r="C249" s="403">
        <v>46507</v>
      </c>
      <c r="D249" s="404" t="s">
        <v>332</v>
      </c>
      <c r="E249" s="404" t="s">
        <v>13</v>
      </c>
      <c r="F249" s="404" t="s">
        <v>321</v>
      </c>
      <c r="G249" s="215">
        <v>69.2</v>
      </c>
      <c r="H249" s="216"/>
      <c r="I249" s="404" t="str">
        <f>IF($A249="","",IF(OR($B249="",$C249="",$D249="",$E249="",$F249=""),"Stammdaten fehlen",IF(AND($G249="",$H249=""),"Werte fehlen",IF($G249="","Monatsstunden fehlen",IF($H249="","Monatslohn fehlt","OK")))))</f>
        <v>Monatslohn fehlt</v>
      </c>
      <c r="J249" s="427" t="str">
        <f>IF($G249="","",IF(COUNTIFS($A:$A,$A249,$D:$D,$D249,$G:$G,$G249)&gt;1,"Doppelte Monatsstunden",""))</f>
        <v/>
      </c>
    </row>
    <row r="250" spans="1:10" ht="24" customHeight="1">
      <c r="A250" s="417" t="s">
        <v>329</v>
      </c>
      <c r="B250" s="403">
        <v>46143</v>
      </c>
      <c r="C250" s="403">
        <v>46507</v>
      </c>
      <c r="D250" s="404" t="s">
        <v>332</v>
      </c>
      <c r="E250" s="404" t="s">
        <v>13</v>
      </c>
      <c r="F250" s="404" t="s">
        <v>321</v>
      </c>
      <c r="G250" s="215">
        <v>51.9</v>
      </c>
      <c r="H250" s="216"/>
      <c r="I250" s="404" t="str">
        <f>IF($A250="","",IF(OR($B250="",$C250="",$D250="",$E250="",$F250=""),"Stammdaten fehlen",IF(AND($G250="",$H250=""),"Werte fehlen",IF($G250="","Monatsstunden fehlen",IF($H250="","Monatslohn fehlt","OK")))))</f>
        <v>Monatslohn fehlt</v>
      </c>
      <c r="J250" s="427" t="str">
        <f>IF($G250="","",IF(COUNTIFS($A:$A,$A250,$D:$D,$D250,$G:$G,$G250)&gt;1,"Doppelte Monatsstunden",""))</f>
        <v/>
      </c>
    </row>
    <row r="251" spans="1:10" ht="24" customHeight="1">
      <c r="A251" s="417" t="s">
        <v>329</v>
      </c>
      <c r="B251" s="403">
        <v>46143</v>
      </c>
      <c r="C251" s="403">
        <v>46507</v>
      </c>
      <c r="D251" s="404" t="s">
        <v>332</v>
      </c>
      <c r="E251" s="404" t="s">
        <v>13</v>
      </c>
      <c r="F251" s="404" t="s">
        <v>321</v>
      </c>
      <c r="G251" s="215">
        <v>47.58</v>
      </c>
      <c r="H251" s="216"/>
      <c r="I251" s="404" t="str">
        <f>IF($A251="","",IF(OR($B251="",$C251="",$D251="",$E251="",$F251=""),"Stammdaten fehlen",IF(AND($G251="",$H251=""),"Werte fehlen",IF($G251="","Monatsstunden fehlen",IF($H251="","Monatslohn fehlt","OK")))))</f>
        <v>Monatslohn fehlt</v>
      </c>
      <c r="J251" s="427" t="str">
        <f>IF($G251="","",IF(COUNTIFS($A:$A,$A251,$D:$D,$D251,$G:$G,$G251)&gt;1,"Doppelte Monatsstunden",""))</f>
        <v/>
      </c>
    </row>
    <row r="252" spans="1:10" ht="24" customHeight="1">
      <c r="A252" s="417" t="s">
        <v>329</v>
      </c>
      <c r="B252" s="403">
        <v>46143</v>
      </c>
      <c r="C252" s="403">
        <v>46507</v>
      </c>
      <c r="D252" s="404" t="s">
        <v>332</v>
      </c>
      <c r="E252" s="404" t="s">
        <v>13</v>
      </c>
      <c r="F252" s="404" t="s">
        <v>321</v>
      </c>
      <c r="G252" s="215">
        <v>43.25</v>
      </c>
      <c r="H252" s="216"/>
      <c r="I252" s="404" t="str">
        <f>IF($A252="","",IF(OR($B252="",$C252="",$D252="",$E252="",$F252=""),"Stammdaten fehlen",IF(AND($G252="",$H252=""),"Werte fehlen",IF($G252="","Monatsstunden fehlen",IF($H252="","Monatslohn fehlt","OK")))))</f>
        <v>Monatslohn fehlt</v>
      </c>
      <c r="J252" s="427" t="str">
        <f>IF($G252="","",IF(COUNTIFS($A:$A,$A252,$D:$D,$D252,$G:$G,$G252)&gt;1,"Doppelte Monatsstunden",""))</f>
        <v/>
      </c>
    </row>
    <row r="253" spans="1:10" ht="24" customHeight="1">
      <c r="A253" s="417" t="s">
        <v>329</v>
      </c>
      <c r="B253" s="403">
        <v>46143</v>
      </c>
      <c r="C253" s="403">
        <v>46507</v>
      </c>
      <c r="D253" s="404" t="s">
        <v>332</v>
      </c>
      <c r="E253" s="404" t="s">
        <v>13</v>
      </c>
      <c r="F253" s="404" t="s">
        <v>321</v>
      </c>
      <c r="G253" s="215">
        <v>34.6</v>
      </c>
      <c r="H253" s="216"/>
      <c r="I253" s="404" t="str">
        <f>IF($A253="","",IF(OR($B253="",$C253="",$D253="",$E253="",$F253=""),"Stammdaten fehlen",IF(AND($G253="",$H253=""),"Werte fehlen",IF($G253="","Monatsstunden fehlen",IF($H253="","Monatslohn fehlt","OK")))))</f>
        <v>Monatslohn fehlt</v>
      </c>
      <c r="J253" s="427" t="str">
        <f>IF($G253="","",IF(COUNTIFS($A:$A,$A253,$D:$D,$D253,$G:$G,$G253)&gt;1,"Doppelte Monatsstunden",""))</f>
        <v/>
      </c>
    </row>
    <row r="254" spans="1:10" ht="24" customHeight="1">
      <c r="A254" s="417" t="s">
        <v>329</v>
      </c>
      <c r="B254" s="403">
        <v>46143</v>
      </c>
      <c r="C254" s="403">
        <v>46507</v>
      </c>
      <c r="D254" s="404" t="s">
        <v>332</v>
      </c>
      <c r="E254" s="404" t="s">
        <v>13</v>
      </c>
      <c r="F254" s="404" t="s">
        <v>321</v>
      </c>
      <c r="G254" s="215">
        <v>32.01</v>
      </c>
      <c r="H254" s="216"/>
      <c r="I254" s="404" t="str">
        <f>IF($A254="","",IF(OR($B254="",$C254="",$D254="",$E254="",$F254=""),"Stammdaten fehlen",IF(AND($G254="",$H254=""),"Werte fehlen",IF($G254="","Monatsstunden fehlen",IF($H254="","Monatslohn fehlt","OK")))))</f>
        <v>Monatslohn fehlt</v>
      </c>
      <c r="J254" s="427" t="str">
        <f>IF($G254="","",IF(COUNTIFS($A:$A,$A254,$D:$D,$D254,$G:$G,$G254)&gt;1,"Doppelte Monatsstunden",""))</f>
        <v/>
      </c>
    </row>
    <row r="255" spans="1:10" ht="24" customHeight="1" thickBot="1">
      <c r="A255" s="417" t="s">
        <v>329</v>
      </c>
      <c r="B255" s="403">
        <v>46143</v>
      </c>
      <c r="C255" s="403">
        <v>46507</v>
      </c>
      <c r="D255" s="404" t="s">
        <v>332</v>
      </c>
      <c r="E255" s="404" t="s">
        <v>13</v>
      </c>
      <c r="F255" s="404" t="s">
        <v>321</v>
      </c>
      <c r="G255" s="215"/>
      <c r="H255" s="216"/>
      <c r="I255" s="404" t="str">
        <f>IF($A255="","",IF(OR($B255="",$C255="",$D255="",$E255="",$F255=""),"Stammdaten fehlen",IF(AND($G255="",$H255=""),"Werte fehlen",IF($G255="","Monatsstunden fehlen",IF($H255="","Monatslohn fehlt","OK")))))</f>
        <v>Werte fehlen</v>
      </c>
      <c r="J255" s="427" t="str">
        <f>IF($G255="","",IF(COUNTIFS($A:$A,$A255,$D:$D,$D255,$G:$G,$G255)&gt;1,"Doppelte Monatsstunden",""))</f>
        <v/>
      </c>
    </row>
    <row r="256" spans="1:10" ht="24" customHeight="1">
      <c r="A256" s="416" t="s">
        <v>329</v>
      </c>
      <c r="B256" s="401">
        <v>46143</v>
      </c>
      <c r="C256" s="401">
        <v>46507</v>
      </c>
      <c r="D256" s="402" t="s">
        <v>15</v>
      </c>
      <c r="E256" s="402" t="s">
        <v>13</v>
      </c>
      <c r="F256" s="402" t="s">
        <v>322</v>
      </c>
      <c r="G256" s="213">
        <v>173</v>
      </c>
      <c r="H256" s="214"/>
      <c r="I256" s="402" t="str">
        <f>IF($A256="","",IF(OR($B256="",$C256="",$D256="",$E256="",$F256=""),"Stammdaten fehlen",IF(AND($G256="",$H256=""),"Werte fehlen",IF($G256="","Monatsstunden fehlen",IF($H256="","Monatslohn fehlt","OK")))))</f>
        <v>Monatslohn fehlt</v>
      </c>
      <c r="J256" s="426" t="str">
        <f>IF($G256="","",IF(COUNTIFS($A:$A,$A256,$D:$D,$D256,$G:$G,$G256)&gt;1,"Doppelte Monatsstunden",""))</f>
        <v/>
      </c>
    </row>
    <row r="257" spans="1:10" ht="24" customHeight="1">
      <c r="A257" s="417" t="s">
        <v>329</v>
      </c>
      <c r="B257" s="403">
        <v>46143</v>
      </c>
      <c r="C257" s="403">
        <v>46507</v>
      </c>
      <c r="D257" s="404" t="s">
        <v>15</v>
      </c>
      <c r="E257" s="404" t="s">
        <v>13</v>
      </c>
      <c r="F257" s="404" t="s">
        <v>322</v>
      </c>
      <c r="G257" s="215">
        <v>151.38</v>
      </c>
      <c r="H257" s="216"/>
      <c r="I257" s="404" t="str">
        <f>IF($A257="","",IF(OR($B257="",$C257="",$D257="",$E257="",$F257=""),"Stammdaten fehlen",IF(AND($G257="",$H257=""),"Werte fehlen",IF($G257="","Monatsstunden fehlen",IF($H257="","Monatslohn fehlt","OK")))))</f>
        <v>Monatslohn fehlt</v>
      </c>
      <c r="J257" s="427" t="str">
        <f>IF($G257="","",IF(COUNTIFS($A:$A,$A257,$D:$D,$D257,$G:$G,$G257)&gt;1,"Doppelte Monatsstunden",""))</f>
        <v/>
      </c>
    </row>
    <row r="258" spans="1:10" ht="24" customHeight="1">
      <c r="A258" s="417" t="s">
        <v>329</v>
      </c>
      <c r="B258" s="403">
        <v>46143</v>
      </c>
      <c r="C258" s="403">
        <v>46507</v>
      </c>
      <c r="D258" s="404" t="s">
        <v>15</v>
      </c>
      <c r="E258" s="404" t="s">
        <v>13</v>
      </c>
      <c r="F258" s="404" t="s">
        <v>322</v>
      </c>
      <c r="G258" s="215">
        <v>138.4</v>
      </c>
      <c r="H258" s="216"/>
      <c r="I258" s="404" t="str">
        <f>IF($A258="","",IF(OR($B258="",$C258="",$D258="",$E258="",$F258=""),"Stammdaten fehlen",IF(AND($G258="",$H258=""),"Werte fehlen",IF($G258="","Monatsstunden fehlen",IF($H258="","Monatslohn fehlt","OK")))))</f>
        <v>Monatslohn fehlt</v>
      </c>
      <c r="J258" s="427" t="str">
        <f>IF($G258="","",IF(COUNTIFS($A:$A,$A258,$D:$D,$D258,$G:$G,$G258)&gt;1,"Doppelte Monatsstunden",""))</f>
        <v/>
      </c>
    </row>
    <row r="259" spans="1:10" ht="24" customHeight="1">
      <c r="A259" s="417" t="s">
        <v>329</v>
      </c>
      <c r="B259" s="403">
        <v>46143</v>
      </c>
      <c r="C259" s="403">
        <v>46507</v>
      </c>
      <c r="D259" s="404" t="s">
        <v>15</v>
      </c>
      <c r="E259" s="404" t="s">
        <v>13</v>
      </c>
      <c r="F259" s="404" t="s">
        <v>322</v>
      </c>
      <c r="G259" s="215">
        <v>129.75</v>
      </c>
      <c r="H259" s="216"/>
      <c r="I259" s="404" t="str">
        <f>IF($A259="","",IF(OR($B259="",$C259="",$D259="",$E259="",$F259=""),"Stammdaten fehlen",IF(AND($G259="",$H259=""),"Werte fehlen",IF($G259="","Monatsstunden fehlen",IF($H259="","Monatslohn fehlt","OK")))))</f>
        <v>Monatslohn fehlt</v>
      </c>
      <c r="J259" s="427" t="str">
        <f>IF($G259="","",IF(COUNTIFS($A:$A,$A259,$D:$D,$D259,$G:$G,$G259)&gt;1,"Doppelte Monatsstunden",""))</f>
        <v/>
      </c>
    </row>
    <row r="260" spans="1:10" ht="24" customHeight="1">
      <c r="A260" s="417" t="s">
        <v>329</v>
      </c>
      <c r="B260" s="403">
        <v>46143</v>
      </c>
      <c r="C260" s="403">
        <v>46507</v>
      </c>
      <c r="D260" s="404" t="s">
        <v>15</v>
      </c>
      <c r="E260" s="404" t="s">
        <v>13</v>
      </c>
      <c r="F260" s="404" t="s">
        <v>322</v>
      </c>
      <c r="G260" s="215">
        <v>108.13</v>
      </c>
      <c r="H260" s="216"/>
      <c r="I260" s="404" t="str">
        <f>IF($A260="","",IF(OR($B260="",$C260="",$D260="",$E260="",$F260=""),"Stammdaten fehlen",IF(AND($G260="",$H260=""),"Werte fehlen",IF($G260="","Monatsstunden fehlen",IF($H260="","Monatslohn fehlt","OK")))))</f>
        <v>Monatslohn fehlt</v>
      </c>
      <c r="J260" s="427" t="str">
        <f>IF($G260="","",IF(COUNTIFS($A:$A,$A260,$D:$D,$D260,$G:$G,$G260)&gt;1,"Doppelte Monatsstunden",""))</f>
        <v/>
      </c>
    </row>
    <row r="261" spans="1:10" ht="24" customHeight="1">
      <c r="A261" s="417" t="s">
        <v>329</v>
      </c>
      <c r="B261" s="403">
        <v>46143</v>
      </c>
      <c r="C261" s="403">
        <v>46507</v>
      </c>
      <c r="D261" s="404" t="s">
        <v>15</v>
      </c>
      <c r="E261" s="404" t="s">
        <v>13</v>
      </c>
      <c r="F261" s="404" t="s">
        <v>322</v>
      </c>
      <c r="G261" s="215">
        <v>103.8</v>
      </c>
      <c r="H261" s="216"/>
      <c r="I261" s="404" t="str">
        <f>IF($A261="","",IF(OR($B261="",$C261="",$D261="",$E261="",$F261=""),"Stammdaten fehlen",IF(AND($G261="",$H261=""),"Werte fehlen",IF($G261="","Monatsstunden fehlen",IF($H261="","Monatslohn fehlt","OK")))))</f>
        <v>Monatslohn fehlt</v>
      </c>
      <c r="J261" s="427" t="str">
        <f>IF($G261="","",IF(COUNTIFS($A:$A,$A261,$D:$D,$D261,$G:$G,$G261)&gt;1,"Doppelte Monatsstunden",""))</f>
        <v/>
      </c>
    </row>
    <row r="262" spans="1:10" ht="24" customHeight="1">
      <c r="A262" s="417" t="s">
        <v>329</v>
      </c>
      <c r="B262" s="403">
        <v>46143</v>
      </c>
      <c r="C262" s="403">
        <v>46507</v>
      </c>
      <c r="D262" s="404" t="s">
        <v>15</v>
      </c>
      <c r="E262" s="404" t="s">
        <v>13</v>
      </c>
      <c r="F262" s="404" t="s">
        <v>322</v>
      </c>
      <c r="G262" s="215">
        <v>86.5</v>
      </c>
      <c r="H262" s="216"/>
      <c r="I262" s="404" t="str">
        <f>IF($A262="","",IF(OR($B262="",$C262="",$D262="",$E262="",$F262=""),"Stammdaten fehlen",IF(AND($G262="",$H262=""),"Werte fehlen",IF($G262="","Monatsstunden fehlen",IF($H262="","Monatslohn fehlt","OK")))))</f>
        <v>Monatslohn fehlt</v>
      </c>
      <c r="J262" s="427" t="str">
        <f>IF($G262="","",IF(COUNTIFS($A:$A,$A262,$D:$D,$D262,$G:$G,$G262)&gt;1,"Doppelte Monatsstunden",""))</f>
        <v/>
      </c>
    </row>
    <row r="263" spans="1:10" ht="24" customHeight="1">
      <c r="A263" s="417" t="s">
        <v>329</v>
      </c>
      <c r="B263" s="403">
        <v>46143</v>
      </c>
      <c r="C263" s="403">
        <v>46507</v>
      </c>
      <c r="D263" s="404" t="s">
        <v>15</v>
      </c>
      <c r="E263" s="404" t="s">
        <v>13</v>
      </c>
      <c r="F263" s="404" t="s">
        <v>322</v>
      </c>
      <c r="G263" s="215">
        <v>69.2</v>
      </c>
      <c r="H263" s="216"/>
      <c r="I263" s="404" t="str">
        <f>IF($A263="","",IF(OR($B263="",$C263="",$D263="",$E263="",$F263=""),"Stammdaten fehlen",IF(AND($G263="",$H263=""),"Werte fehlen",IF($G263="","Monatsstunden fehlen",IF($H263="","Monatslohn fehlt","OK")))))</f>
        <v>Monatslohn fehlt</v>
      </c>
      <c r="J263" s="427" t="str">
        <f>IF($G263="","",IF(COUNTIFS($A:$A,$A263,$D:$D,$D263,$G:$G,$G263)&gt;1,"Doppelte Monatsstunden",""))</f>
        <v/>
      </c>
    </row>
    <row r="264" spans="1:10" ht="24" customHeight="1">
      <c r="A264" s="417" t="s">
        <v>329</v>
      </c>
      <c r="B264" s="403">
        <v>46143</v>
      </c>
      <c r="C264" s="403">
        <v>46507</v>
      </c>
      <c r="D264" s="404" t="s">
        <v>15</v>
      </c>
      <c r="E264" s="404" t="s">
        <v>13</v>
      </c>
      <c r="F264" s="404" t="s">
        <v>322</v>
      </c>
      <c r="G264" s="215">
        <v>51.9</v>
      </c>
      <c r="H264" s="216"/>
      <c r="I264" s="404" t="str">
        <f>IF($A264="","",IF(OR($B264="",$C264="",$D264="",$E264="",$F264=""),"Stammdaten fehlen",IF(AND($G264="",$H264=""),"Werte fehlen",IF($G264="","Monatsstunden fehlen",IF($H264="","Monatslohn fehlt","OK")))))</f>
        <v>Monatslohn fehlt</v>
      </c>
      <c r="J264" s="427" t="str">
        <f>IF($G264="","",IF(COUNTIFS($A:$A,$A264,$D:$D,$D264,$G:$G,$G264)&gt;1,"Doppelte Monatsstunden",""))</f>
        <v/>
      </c>
    </row>
    <row r="265" spans="1:10" ht="24" customHeight="1">
      <c r="A265" s="417" t="s">
        <v>329</v>
      </c>
      <c r="B265" s="403">
        <v>46143</v>
      </c>
      <c r="C265" s="403">
        <v>46507</v>
      </c>
      <c r="D265" s="404" t="s">
        <v>15</v>
      </c>
      <c r="E265" s="404" t="s">
        <v>13</v>
      </c>
      <c r="F265" s="404" t="s">
        <v>322</v>
      </c>
      <c r="G265" s="215">
        <v>47.58</v>
      </c>
      <c r="H265" s="216"/>
      <c r="I265" s="404" t="str">
        <f>IF($A265="","",IF(OR($B265="",$C265="",$D265="",$E265="",$F265=""),"Stammdaten fehlen",IF(AND($G265="",$H265=""),"Werte fehlen",IF($G265="","Monatsstunden fehlen",IF($H265="","Monatslohn fehlt","OK")))))</f>
        <v>Monatslohn fehlt</v>
      </c>
      <c r="J265" s="427" t="str">
        <f>IF($G265="","",IF(COUNTIFS($A:$A,$A265,$D:$D,$D265,$G:$G,$G265)&gt;1,"Doppelte Monatsstunden",""))</f>
        <v/>
      </c>
    </row>
    <row r="266" spans="1:10" ht="24" customHeight="1">
      <c r="A266" s="417" t="s">
        <v>329</v>
      </c>
      <c r="B266" s="403">
        <v>46143</v>
      </c>
      <c r="C266" s="403">
        <v>46507</v>
      </c>
      <c r="D266" s="404" t="s">
        <v>15</v>
      </c>
      <c r="E266" s="404" t="s">
        <v>13</v>
      </c>
      <c r="F266" s="404" t="s">
        <v>322</v>
      </c>
      <c r="G266" s="215">
        <v>43.25</v>
      </c>
      <c r="H266" s="216"/>
      <c r="I266" s="404" t="str">
        <f>IF($A266="","",IF(OR($B266="",$C266="",$D266="",$E266="",$F266=""),"Stammdaten fehlen",IF(AND($G266="",$H266=""),"Werte fehlen",IF($G266="","Monatsstunden fehlen",IF($H266="","Monatslohn fehlt","OK")))))</f>
        <v>Monatslohn fehlt</v>
      </c>
      <c r="J266" s="427" t="str">
        <f>IF($G266="","",IF(COUNTIFS($A:$A,$A266,$D:$D,$D266,$G:$G,$G266)&gt;1,"Doppelte Monatsstunden",""))</f>
        <v/>
      </c>
    </row>
    <row r="267" spans="1:10" ht="24" customHeight="1">
      <c r="A267" s="417" t="s">
        <v>329</v>
      </c>
      <c r="B267" s="403">
        <v>46143</v>
      </c>
      <c r="C267" s="403">
        <v>46507</v>
      </c>
      <c r="D267" s="404" t="s">
        <v>15</v>
      </c>
      <c r="E267" s="404" t="s">
        <v>13</v>
      </c>
      <c r="F267" s="404" t="s">
        <v>322</v>
      </c>
      <c r="G267" s="215">
        <v>34.6</v>
      </c>
      <c r="H267" s="216"/>
      <c r="I267" s="404" t="str">
        <f>IF($A267="","",IF(OR($B267="",$C267="",$D267="",$E267="",$F267=""),"Stammdaten fehlen",IF(AND($G267="",$H267=""),"Werte fehlen",IF($G267="","Monatsstunden fehlen",IF($H267="","Monatslohn fehlt","OK")))))</f>
        <v>Monatslohn fehlt</v>
      </c>
      <c r="J267" s="427" t="str">
        <f>IF($G267="","",IF(COUNTIFS($A:$A,$A267,$D:$D,$D267,$G:$G,$G267)&gt;1,"Doppelte Monatsstunden",""))</f>
        <v/>
      </c>
    </row>
    <row r="268" spans="1:10" ht="24" customHeight="1">
      <c r="A268" s="417" t="s">
        <v>329</v>
      </c>
      <c r="B268" s="403">
        <v>46143</v>
      </c>
      <c r="C268" s="403">
        <v>46507</v>
      </c>
      <c r="D268" s="404" t="s">
        <v>15</v>
      </c>
      <c r="E268" s="404" t="s">
        <v>13</v>
      </c>
      <c r="F268" s="404" t="s">
        <v>322</v>
      </c>
      <c r="G268" s="215">
        <v>32.01</v>
      </c>
      <c r="H268" s="216"/>
      <c r="I268" s="404" t="str">
        <f>IF($A268="","",IF(OR($B268="",$C268="",$D268="",$E268="",$F268=""),"Stammdaten fehlen",IF(AND($G268="",$H268=""),"Werte fehlen",IF($G268="","Monatsstunden fehlen",IF($H268="","Monatslohn fehlt","OK")))))</f>
        <v>Monatslohn fehlt</v>
      </c>
      <c r="J268" s="427" t="str">
        <f>IF($G268="","",IF(COUNTIFS($A:$A,$A268,$D:$D,$D268,$G:$G,$G268)&gt;1,"Doppelte Monatsstunden",""))</f>
        <v/>
      </c>
    </row>
    <row r="269" spans="1:10" ht="24" customHeight="1" thickBot="1">
      <c r="A269" s="417" t="s">
        <v>329</v>
      </c>
      <c r="B269" s="403">
        <v>46143</v>
      </c>
      <c r="C269" s="403">
        <v>46507</v>
      </c>
      <c r="D269" s="404" t="s">
        <v>15</v>
      </c>
      <c r="E269" s="404" t="s">
        <v>13</v>
      </c>
      <c r="F269" s="404" t="s">
        <v>322</v>
      </c>
      <c r="G269" s="215"/>
      <c r="H269" s="216"/>
      <c r="I269" s="404" t="str">
        <f>IF($A269="","",IF(OR($B269="",$C269="",$D269="",$E269="",$F269=""),"Stammdaten fehlen",IF(AND($G269="",$H269=""),"Werte fehlen",IF($G269="","Monatsstunden fehlen",IF($H269="","Monatslohn fehlt","OK")))))</f>
        <v>Werte fehlen</v>
      </c>
      <c r="J269" s="427" t="str">
        <f>IF($G269="","",IF(COUNTIFS($A:$A,$A269,$D:$D,$D269,$G:$G,$G269)&gt;1,"Doppelte Monatsstunden",""))</f>
        <v/>
      </c>
    </row>
    <row r="270" spans="1:10" ht="24" customHeight="1">
      <c r="A270" s="416" t="s">
        <v>329</v>
      </c>
      <c r="B270" s="401">
        <v>46143</v>
      </c>
      <c r="C270" s="401">
        <v>46507</v>
      </c>
      <c r="D270" s="402" t="s">
        <v>17</v>
      </c>
      <c r="E270" s="402" t="s">
        <v>13</v>
      </c>
      <c r="F270" s="402" t="s">
        <v>323</v>
      </c>
      <c r="G270" s="213">
        <v>173</v>
      </c>
      <c r="H270" s="214"/>
      <c r="I270" s="402" t="str">
        <f>IF($A270="","",IF(OR($B270="",$C270="",$D270="",$E270="",$F270=""),"Stammdaten fehlen",IF(AND($G270="",$H270=""),"Werte fehlen",IF($G270="","Monatsstunden fehlen",IF($H270="","Monatslohn fehlt","OK")))))</f>
        <v>Monatslohn fehlt</v>
      </c>
      <c r="J270" s="426" t="str">
        <f>IF($G270="","",IF(COUNTIFS($A:$A,$A270,$D:$D,$D270,$G:$G,$G270)&gt;1,"Doppelte Monatsstunden",""))</f>
        <v/>
      </c>
    </row>
    <row r="271" spans="1:10" ht="24" customHeight="1">
      <c r="A271" s="417" t="s">
        <v>329</v>
      </c>
      <c r="B271" s="403">
        <v>46143</v>
      </c>
      <c r="C271" s="403">
        <v>46507</v>
      </c>
      <c r="D271" s="404" t="s">
        <v>17</v>
      </c>
      <c r="E271" s="404" t="s">
        <v>13</v>
      </c>
      <c r="F271" s="404" t="s">
        <v>323</v>
      </c>
      <c r="G271" s="215">
        <v>151.38</v>
      </c>
      <c r="H271" s="216"/>
      <c r="I271" s="404" t="str">
        <f>IF($A271="","",IF(OR($B271="",$C271="",$D271="",$E271="",$F271=""),"Stammdaten fehlen",IF(AND($G271="",$H271=""),"Werte fehlen",IF($G271="","Monatsstunden fehlen",IF($H271="","Monatslohn fehlt","OK")))))</f>
        <v>Monatslohn fehlt</v>
      </c>
      <c r="J271" s="427" t="str">
        <f>IF($G271="","",IF(COUNTIFS($A:$A,$A271,$D:$D,$D271,$G:$G,$G271)&gt;1,"Doppelte Monatsstunden",""))</f>
        <v/>
      </c>
    </row>
    <row r="272" spans="1:10" ht="24" customHeight="1">
      <c r="A272" s="417" t="s">
        <v>329</v>
      </c>
      <c r="B272" s="403">
        <v>46143</v>
      </c>
      <c r="C272" s="403">
        <v>46507</v>
      </c>
      <c r="D272" s="404" t="s">
        <v>17</v>
      </c>
      <c r="E272" s="404" t="s">
        <v>13</v>
      </c>
      <c r="F272" s="404" t="s">
        <v>323</v>
      </c>
      <c r="G272" s="215">
        <v>138.4</v>
      </c>
      <c r="H272" s="216"/>
      <c r="I272" s="404" t="str">
        <f>IF($A272="","",IF(OR($B272="",$C272="",$D272="",$E272="",$F272=""),"Stammdaten fehlen",IF(AND($G272="",$H272=""),"Werte fehlen",IF($G272="","Monatsstunden fehlen",IF($H272="","Monatslohn fehlt","OK")))))</f>
        <v>Monatslohn fehlt</v>
      </c>
      <c r="J272" s="427" t="str">
        <f>IF($G272="","",IF(COUNTIFS($A:$A,$A272,$D:$D,$D272,$G:$G,$G272)&gt;1,"Doppelte Monatsstunden",""))</f>
        <v/>
      </c>
    </row>
    <row r="273" spans="1:10" ht="24" customHeight="1">
      <c r="A273" s="417" t="s">
        <v>329</v>
      </c>
      <c r="B273" s="403">
        <v>46143</v>
      </c>
      <c r="C273" s="403">
        <v>46507</v>
      </c>
      <c r="D273" s="404" t="s">
        <v>17</v>
      </c>
      <c r="E273" s="404" t="s">
        <v>13</v>
      </c>
      <c r="F273" s="404" t="s">
        <v>323</v>
      </c>
      <c r="G273" s="215">
        <v>129.75</v>
      </c>
      <c r="H273" s="216"/>
      <c r="I273" s="404" t="str">
        <f>IF($A273="","",IF(OR($B273="",$C273="",$D273="",$E273="",$F273=""),"Stammdaten fehlen",IF(AND($G273="",$H273=""),"Werte fehlen",IF($G273="","Monatsstunden fehlen",IF($H273="","Monatslohn fehlt","OK")))))</f>
        <v>Monatslohn fehlt</v>
      </c>
      <c r="J273" s="427" t="str">
        <f>IF($G273="","",IF(COUNTIFS($A:$A,$A273,$D:$D,$D273,$G:$G,$G273)&gt;1,"Doppelte Monatsstunden",""))</f>
        <v/>
      </c>
    </row>
    <row r="274" spans="1:10" ht="24" customHeight="1">
      <c r="A274" s="417" t="s">
        <v>329</v>
      </c>
      <c r="B274" s="403">
        <v>46143</v>
      </c>
      <c r="C274" s="403">
        <v>46507</v>
      </c>
      <c r="D274" s="404" t="s">
        <v>17</v>
      </c>
      <c r="E274" s="404" t="s">
        <v>13</v>
      </c>
      <c r="F274" s="404" t="s">
        <v>323</v>
      </c>
      <c r="G274" s="215">
        <v>108.13</v>
      </c>
      <c r="H274" s="216"/>
      <c r="I274" s="404" t="str">
        <f>IF($A274="","",IF(OR($B274="",$C274="",$D274="",$E274="",$F274=""),"Stammdaten fehlen",IF(AND($G274="",$H274=""),"Werte fehlen",IF($G274="","Monatsstunden fehlen",IF($H274="","Monatslohn fehlt","OK")))))</f>
        <v>Monatslohn fehlt</v>
      </c>
      <c r="J274" s="427" t="str">
        <f>IF($G274="","",IF(COUNTIFS($A:$A,$A274,$D:$D,$D274,$G:$G,$G274)&gt;1,"Doppelte Monatsstunden",""))</f>
        <v/>
      </c>
    </row>
    <row r="275" spans="1:10" ht="24" customHeight="1">
      <c r="A275" s="417" t="s">
        <v>329</v>
      </c>
      <c r="B275" s="403">
        <v>46143</v>
      </c>
      <c r="C275" s="403">
        <v>46507</v>
      </c>
      <c r="D275" s="404" t="s">
        <v>17</v>
      </c>
      <c r="E275" s="404" t="s">
        <v>13</v>
      </c>
      <c r="F275" s="404" t="s">
        <v>323</v>
      </c>
      <c r="G275" s="215">
        <v>103.8</v>
      </c>
      <c r="H275" s="216"/>
      <c r="I275" s="404" t="str">
        <f>IF($A275="","",IF(OR($B275="",$C275="",$D275="",$E275="",$F275=""),"Stammdaten fehlen",IF(AND($G275="",$H275=""),"Werte fehlen",IF($G275="","Monatsstunden fehlen",IF($H275="","Monatslohn fehlt","OK")))))</f>
        <v>Monatslohn fehlt</v>
      </c>
      <c r="J275" s="427" t="str">
        <f>IF($G275="","",IF(COUNTIFS($A:$A,$A275,$D:$D,$D275,$G:$G,$G275)&gt;1,"Doppelte Monatsstunden",""))</f>
        <v/>
      </c>
    </row>
    <row r="276" spans="1:10" ht="24" customHeight="1">
      <c r="A276" s="417" t="s">
        <v>329</v>
      </c>
      <c r="B276" s="403">
        <v>46143</v>
      </c>
      <c r="C276" s="403">
        <v>46507</v>
      </c>
      <c r="D276" s="404" t="s">
        <v>17</v>
      </c>
      <c r="E276" s="404" t="s">
        <v>13</v>
      </c>
      <c r="F276" s="404" t="s">
        <v>323</v>
      </c>
      <c r="G276" s="215">
        <v>86.5</v>
      </c>
      <c r="H276" s="216"/>
      <c r="I276" s="404" t="str">
        <f>IF($A276="","",IF(OR($B276="",$C276="",$D276="",$E276="",$F276=""),"Stammdaten fehlen",IF(AND($G276="",$H276=""),"Werte fehlen",IF($G276="","Monatsstunden fehlen",IF($H276="","Monatslohn fehlt","OK")))))</f>
        <v>Monatslohn fehlt</v>
      </c>
      <c r="J276" s="427" t="str">
        <f>IF($G276="","",IF(COUNTIFS($A:$A,$A276,$D:$D,$D276,$G:$G,$G276)&gt;1,"Doppelte Monatsstunden",""))</f>
        <v/>
      </c>
    </row>
    <row r="277" spans="1:10" ht="24" customHeight="1">
      <c r="A277" s="417" t="s">
        <v>329</v>
      </c>
      <c r="B277" s="403">
        <v>46143</v>
      </c>
      <c r="C277" s="403">
        <v>46507</v>
      </c>
      <c r="D277" s="404" t="s">
        <v>17</v>
      </c>
      <c r="E277" s="404" t="s">
        <v>13</v>
      </c>
      <c r="F277" s="404" t="s">
        <v>323</v>
      </c>
      <c r="G277" s="215">
        <v>69.2</v>
      </c>
      <c r="H277" s="216"/>
      <c r="I277" s="404" t="str">
        <f>IF($A277="","",IF(OR($B277="",$C277="",$D277="",$E277="",$F277=""),"Stammdaten fehlen",IF(AND($G277="",$H277=""),"Werte fehlen",IF($G277="","Monatsstunden fehlen",IF($H277="","Monatslohn fehlt","OK")))))</f>
        <v>Monatslohn fehlt</v>
      </c>
      <c r="J277" s="427" t="str">
        <f>IF($G277="","",IF(COUNTIFS($A:$A,$A277,$D:$D,$D277,$G:$G,$G277)&gt;1,"Doppelte Monatsstunden",""))</f>
        <v/>
      </c>
    </row>
    <row r="278" spans="1:10" ht="24" customHeight="1">
      <c r="A278" s="417" t="s">
        <v>329</v>
      </c>
      <c r="B278" s="403">
        <v>46143</v>
      </c>
      <c r="C278" s="403">
        <v>46507</v>
      </c>
      <c r="D278" s="404" t="s">
        <v>17</v>
      </c>
      <c r="E278" s="404" t="s">
        <v>13</v>
      </c>
      <c r="F278" s="404" t="s">
        <v>323</v>
      </c>
      <c r="G278" s="215">
        <v>51.9</v>
      </c>
      <c r="H278" s="216"/>
      <c r="I278" s="404" t="str">
        <f>IF($A278="","",IF(OR($B278="",$C278="",$D278="",$E278="",$F278=""),"Stammdaten fehlen",IF(AND($G278="",$H278=""),"Werte fehlen",IF($G278="","Monatsstunden fehlen",IF($H278="","Monatslohn fehlt","OK")))))</f>
        <v>Monatslohn fehlt</v>
      </c>
      <c r="J278" s="427" t="str">
        <f>IF($G278="","",IF(COUNTIFS($A:$A,$A278,$D:$D,$D278,$G:$G,$G278)&gt;1,"Doppelte Monatsstunden",""))</f>
        <v/>
      </c>
    </row>
    <row r="279" spans="1:10" ht="24" customHeight="1">
      <c r="A279" s="417" t="s">
        <v>329</v>
      </c>
      <c r="B279" s="403">
        <v>46143</v>
      </c>
      <c r="C279" s="403">
        <v>46507</v>
      </c>
      <c r="D279" s="404" t="s">
        <v>17</v>
      </c>
      <c r="E279" s="404" t="s">
        <v>13</v>
      </c>
      <c r="F279" s="404" t="s">
        <v>323</v>
      </c>
      <c r="G279" s="215">
        <v>47.58</v>
      </c>
      <c r="H279" s="216"/>
      <c r="I279" s="404" t="str">
        <f>IF($A279="","",IF(OR($B279="",$C279="",$D279="",$E279="",$F279=""),"Stammdaten fehlen",IF(AND($G279="",$H279=""),"Werte fehlen",IF($G279="","Monatsstunden fehlen",IF($H279="","Monatslohn fehlt","OK")))))</f>
        <v>Monatslohn fehlt</v>
      </c>
      <c r="J279" s="427" t="str">
        <f>IF($G279="","",IF(COUNTIFS($A:$A,$A279,$D:$D,$D279,$G:$G,$G279)&gt;1,"Doppelte Monatsstunden",""))</f>
        <v/>
      </c>
    </row>
    <row r="280" spans="1:10" ht="24" customHeight="1">
      <c r="A280" s="417" t="s">
        <v>329</v>
      </c>
      <c r="B280" s="403">
        <v>46143</v>
      </c>
      <c r="C280" s="403">
        <v>46507</v>
      </c>
      <c r="D280" s="404" t="s">
        <v>17</v>
      </c>
      <c r="E280" s="404" t="s">
        <v>13</v>
      </c>
      <c r="F280" s="404" t="s">
        <v>323</v>
      </c>
      <c r="G280" s="215">
        <v>43.25</v>
      </c>
      <c r="H280" s="216"/>
      <c r="I280" s="404" t="str">
        <f>IF($A280="","",IF(OR($B280="",$C280="",$D280="",$E280="",$F280=""),"Stammdaten fehlen",IF(AND($G280="",$H280=""),"Werte fehlen",IF($G280="","Monatsstunden fehlen",IF($H280="","Monatslohn fehlt","OK")))))</f>
        <v>Monatslohn fehlt</v>
      </c>
      <c r="J280" s="427" t="str">
        <f>IF($G280="","",IF(COUNTIFS($A:$A,$A280,$D:$D,$D280,$G:$G,$G280)&gt;1,"Doppelte Monatsstunden",""))</f>
        <v/>
      </c>
    </row>
    <row r="281" spans="1:10" ht="24" customHeight="1">
      <c r="A281" s="417" t="s">
        <v>329</v>
      </c>
      <c r="B281" s="403">
        <v>46143</v>
      </c>
      <c r="C281" s="403">
        <v>46507</v>
      </c>
      <c r="D281" s="404" t="s">
        <v>17</v>
      </c>
      <c r="E281" s="404" t="s">
        <v>13</v>
      </c>
      <c r="F281" s="404" t="s">
        <v>323</v>
      </c>
      <c r="G281" s="215">
        <v>34.6</v>
      </c>
      <c r="H281" s="216"/>
      <c r="I281" s="404" t="str">
        <f>IF($A281="","",IF(OR($B281="",$C281="",$D281="",$E281="",$F281=""),"Stammdaten fehlen",IF(AND($G281="",$H281=""),"Werte fehlen",IF($G281="","Monatsstunden fehlen",IF($H281="","Monatslohn fehlt","OK")))))</f>
        <v>Monatslohn fehlt</v>
      </c>
      <c r="J281" s="427" t="str">
        <f>IF($G281="","",IF(COUNTIFS($A:$A,$A281,$D:$D,$D281,$G:$G,$G281)&gt;1,"Doppelte Monatsstunden",""))</f>
        <v/>
      </c>
    </row>
    <row r="282" spans="1:10" ht="24" customHeight="1">
      <c r="A282" s="417" t="s">
        <v>329</v>
      </c>
      <c r="B282" s="403">
        <v>46143</v>
      </c>
      <c r="C282" s="403">
        <v>46507</v>
      </c>
      <c r="D282" s="404" t="s">
        <v>17</v>
      </c>
      <c r="E282" s="404" t="s">
        <v>13</v>
      </c>
      <c r="F282" s="404" t="s">
        <v>323</v>
      </c>
      <c r="G282" s="215">
        <v>32.01</v>
      </c>
      <c r="H282" s="216"/>
      <c r="I282" s="404" t="str">
        <f>IF($A282="","",IF(OR($B282="",$C282="",$D282="",$E282="",$F282=""),"Stammdaten fehlen",IF(AND($G282="",$H282=""),"Werte fehlen",IF($G282="","Monatsstunden fehlen",IF($H282="","Monatslohn fehlt","OK")))))</f>
        <v>Monatslohn fehlt</v>
      </c>
      <c r="J282" s="427" t="str">
        <f>IF($G282="","",IF(COUNTIFS($A:$A,$A282,$D:$D,$D282,$G:$G,$G282)&gt;1,"Doppelte Monatsstunden",""))</f>
        <v/>
      </c>
    </row>
    <row r="283" spans="1:10" ht="24" customHeight="1" thickBot="1">
      <c r="A283" s="417" t="s">
        <v>329</v>
      </c>
      <c r="B283" s="403">
        <v>46143</v>
      </c>
      <c r="C283" s="403">
        <v>46507</v>
      </c>
      <c r="D283" s="404" t="s">
        <v>17</v>
      </c>
      <c r="E283" s="404" t="s">
        <v>13</v>
      </c>
      <c r="F283" s="404" t="s">
        <v>323</v>
      </c>
      <c r="G283" s="215"/>
      <c r="H283" s="216"/>
      <c r="I283" s="404" t="str">
        <f>IF($A283="","",IF(OR($B283="",$C283="",$D283="",$E283="",$F283=""),"Stammdaten fehlen",IF(AND($G283="",$H283=""),"Werte fehlen",IF($G283="","Monatsstunden fehlen",IF($H283="","Monatslohn fehlt","OK")))))</f>
        <v>Werte fehlen</v>
      </c>
      <c r="J283" s="427" t="str">
        <f>IF($G283="","",IF(COUNTIFS($A:$A,$A283,$D:$D,$D283,$G:$G,$G283)&gt;1,"Doppelte Monatsstunden",""))</f>
        <v/>
      </c>
    </row>
    <row r="284" spans="1:10" ht="24" customHeight="1">
      <c r="A284" s="416" t="s">
        <v>329</v>
      </c>
      <c r="B284" s="401">
        <v>46143</v>
      </c>
      <c r="C284" s="401">
        <v>46507</v>
      </c>
      <c r="D284" s="402" t="s">
        <v>19</v>
      </c>
      <c r="E284" s="402" t="s">
        <v>13</v>
      </c>
      <c r="F284" s="402" t="s">
        <v>324</v>
      </c>
      <c r="G284" s="213">
        <v>173</v>
      </c>
      <c r="H284" s="214"/>
      <c r="I284" s="402" t="str">
        <f>IF($A284="","",IF(OR($B284="",$C284="",$D284="",$E284="",$F284=""),"Stammdaten fehlen",IF(AND($G284="",$H284=""),"Werte fehlen",IF($G284="","Monatsstunden fehlen",IF($H284="","Monatslohn fehlt","OK")))))</f>
        <v>Monatslohn fehlt</v>
      </c>
      <c r="J284" s="426" t="str">
        <f>IF($G284="","",IF(COUNTIFS($A:$A,$A284,$D:$D,$D284,$G:$G,$G284)&gt;1,"Doppelte Monatsstunden",""))</f>
        <v/>
      </c>
    </row>
    <row r="285" spans="1:10" ht="24" customHeight="1">
      <c r="A285" s="417" t="s">
        <v>329</v>
      </c>
      <c r="B285" s="403">
        <v>46143</v>
      </c>
      <c r="C285" s="403">
        <v>46507</v>
      </c>
      <c r="D285" s="404" t="s">
        <v>19</v>
      </c>
      <c r="E285" s="404" t="s">
        <v>13</v>
      </c>
      <c r="F285" s="404" t="s">
        <v>324</v>
      </c>
      <c r="G285" s="215">
        <v>151.38</v>
      </c>
      <c r="H285" s="216"/>
      <c r="I285" s="404" t="str">
        <f>IF($A285="","",IF(OR($B285="",$C285="",$D285="",$E285="",$F285=""),"Stammdaten fehlen",IF(AND($G285="",$H285=""),"Werte fehlen",IF($G285="","Monatsstunden fehlen",IF($H285="","Monatslohn fehlt","OK")))))</f>
        <v>Monatslohn fehlt</v>
      </c>
      <c r="J285" s="427" t="str">
        <f>IF($G285="","",IF(COUNTIFS($A:$A,$A285,$D:$D,$D285,$G:$G,$G285)&gt;1,"Doppelte Monatsstunden",""))</f>
        <v/>
      </c>
    </row>
    <row r="286" spans="1:10" ht="24" customHeight="1">
      <c r="A286" s="417" t="s">
        <v>329</v>
      </c>
      <c r="B286" s="403">
        <v>46143</v>
      </c>
      <c r="C286" s="403">
        <v>46507</v>
      </c>
      <c r="D286" s="404" t="s">
        <v>19</v>
      </c>
      <c r="E286" s="404" t="s">
        <v>13</v>
      </c>
      <c r="F286" s="404" t="s">
        <v>324</v>
      </c>
      <c r="G286" s="215">
        <v>138.4</v>
      </c>
      <c r="H286" s="216"/>
      <c r="I286" s="404" t="str">
        <f>IF($A286="","",IF(OR($B286="",$C286="",$D286="",$E286="",$F286=""),"Stammdaten fehlen",IF(AND($G286="",$H286=""),"Werte fehlen",IF($G286="","Monatsstunden fehlen",IF($H286="","Monatslohn fehlt","OK")))))</f>
        <v>Monatslohn fehlt</v>
      </c>
      <c r="J286" s="427" t="str">
        <f>IF($G286="","",IF(COUNTIFS($A:$A,$A286,$D:$D,$D286,$G:$G,$G286)&gt;1,"Doppelte Monatsstunden",""))</f>
        <v/>
      </c>
    </row>
    <row r="287" spans="1:10" ht="24" customHeight="1">
      <c r="A287" s="417" t="s">
        <v>329</v>
      </c>
      <c r="B287" s="403">
        <v>46143</v>
      </c>
      <c r="C287" s="403">
        <v>46507</v>
      </c>
      <c r="D287" s="404" t="s">
        <v>19</v>
      </c>
      <c r="E287" s="404" t="s">
        <v>13</v>
      </c>
      <c r="F287" s="404" t="s">
        <v>324</v>
      </c>
      <c r="G287" s="215">
        <v>129.75</v>
      </c>
      <c r="H287" s="216"/>
      <c r="I287" s="404" t="str">
        <f>IF($A287="","",IF(OR($B287="",$C287="",$D287="",$E287="",$F287=""),"Stammdaten fehlen",IF(AND($G287="",$H287=""),"Werte fehlen",IF($G287="","Monatsstunden fehlen",IF($H287="","Monatslohn fehlt","OK")))))</f>
        <v>Monatslohn fehlt</v>
      </c>
      <c r="J287" s="427" t="str">
        <f>IF($G287="","",IF(COUNTIFS($A:$A,$A287,$D:$D,$D287,$G:$G,$G287)&gt;1,"Doppelte Monatsstunden",""))</f>
        <v/>
      </c>
    </row>
    <row r="288" spans="1:10" ht="24" customHeight="1">
      <c r="A288" s="417" t="s">
        <v>329</v>
      </c>
      <c r="B288" s="403">
        <v>46143</v>
      </c>
      <c r="C288" s="403">
        <v>46507</v>
      </c>
      <c r="D288" s="404" t="s">
        <v>19</v>
      </c>
      <c r="E288" s="404" t="s">
        <v>13</v>
      </c>
      <c r="F288" s="404" t="s">
        <v>324</v>
      </c>
      <c r="G288" s="215">
        <v>108.13</v>
      </c>
      <c r="H288" s="216"/>
      <c r="I288" s="404" t="str">
        <f>IF($A288="","",IF(OR($B288="",$C288="",$D288="",$E288="",$F288=""),"Stammdaten fehlen",IF(AND($G288="",$H288=""),"Werte fehlen",IF($G288="","Monatsstunden fehlen",IF($H288="","Monatslohn fehlt","OK")))))</f>
        <v>Monatslohn fehlt</v>
      </c>
      <c r="J288" s="427" t="str">
        <f>IF($G288="","",IF(COUNTIFS($A:$A,$A288,$D:$D,$D288,$G:$G,$G288)&gt;1,"Doppelte Monatsstunden",""))</f>
        <v/>
      </c>
    </row>
    <row r="289" spans="1:10" ht="24" customHeight="1">
      <c r="A289" s="417" t="s">
        <v>329</v>
      </c>
      <c r="B289" s="403">
        <v>46143</v>
      </c>
      <c r="C289" s="403">
        <v>46507</v>
      </c>
      <c r="D289" s="404" t="s">
        <v>19</v>
      </c>
      <c r="E289" s="404" t="s">
        <v>13</v>
      </c>
      <c r="F289" s="404" t="s">
        <v>324</v>
      </c>
      <c r="G289" s="215">
        <v>103.8</v>
      </c>
      <c r="H289" s="216"/>
      <c r="I289" s="404" t="str">
        <f>IF($A289="","",IF(OR($B289="",$C289="",$D289="",$E289="",$F289=""),"Stammdaten fehlen",IF(AND($G289="",$H289=""),"Werte fehlen",IF($G289="","Monatsstunden fehlen",IF($H289="","Monatslohn fehlt","OK")))))</f>
        <v>Monatslohn fehlt</v>
      </c>
      <c r="J289" s="427" t="str">
        <f>IF($G289="","",IF(COUNTIFS($A:$A,$A289,$D:$D,$D289,$G:$G,$G289)&gt;1,"Doppelte Monatsstunden",""))</f>
        <v/>
      </c>
    </row>
    <row r="290" spans="1:10" ht="24" customHeight="1">
      <c r="A290" s="417" t="s">
        <v>329</v>
      </c>
      <c r="B290" s="403">
        <v>46143</v>
      </c>
      <c r="C290" s="403">
        <v>46507</v>
      </c>
      <c r="D290" s="404" t="s">
        <v>19</v>
      </c>
      <c r="E290" s="404" t="s">
        <v>13</v>
      </c>
      <c r="F290" s="404" t="s">
        <v>324</v>
      </c>
      <c r="G290" s="215">
        <v>86.5</v>
      </c>
      <c r="H290" s="216"/>
      <c r="I290" s="404" t="str">
        <f>IF($A290="","",IF(OR($B290="",$C290="",$D290="",$E290="",$F290=""),"Stammdaten fehlen",IF(AND($G290="",$H290=""),"Werte fehlen",IF($G290="","Monatsstunden fehlen",IF($H290="","Monatslohn fehlt","OK")))))</f>
        <v>Monatslohn fehlt</v>
      </c>
      <c r="J290" s="427" t="str">
        <f>IF($G290="","",IF(COUNTIFS($A:$A,$A290,$D:$D,$D290,$G:$G,$G290)&gt;1,"Doppelte Monatsstunden",""))</f>
        <v/>
      </c>
    </row>
    <row r="291" spans="1:10" ht="24" customHeight="1">
      <c r="A291" s="417" t="s">
        <v>329</v>
      </c>
      <c r="B291" s="403">
        <v>46143</v>
      </c>
      <c r="C291" s="403">
        <v>46507</v>
      </c>
      <c r="D291" s="404" t="s">
        <v>19</v>
      </c>
      <c r="E291" s="404" t="s">
        <v>13</v>
      </c>
      <c r="F291" s="404" t="s">
        <v>324</v>
      </c>
      <c r="G291" s="215">
        <v>69.2</v>
      </c>
      <c r="H291" s="216"/>
      <c r="I291" s="404" t="str">
        <f>IF($A291="","",IF(OR($B291="",$C291="",$D291="",$E291="",$F291=""),"Stammdaten fehlen",IF(AND($G291="",$H291=""),"Werte fehlen",IF($G291="","Monatsstunden fehlen",IF($H291="","Monatslohn fehlt","OK")))))</f>
        <v>Monatslohn fehlt</v>
      </c>
      <c r="J291" s="427" t="str">
        <f>IF($G291="","",IF(COUNTIFS($A:$A,$A291,$D:$D,$D291,$G:$G,$G291)&gt;1,"Doppelte Monatsstunden",""))</f>
        <v/>
      </c>
    </row>
    <row r="292" spans="1:10" ht="24" customHeight="1">
      <c r="A292" s="417" t="s">
        <v>329</v>
      </c>
      <c r="B292" s="403">
        <v>46143</v>
      </c>
      <c r="C292" s="403">
        <v>46507</v>
      </c>
      <c r="D292" s="404" t="s">
        <v>19</v>
      </c>
      <c r="E292" s="404" t="s">
        <v>13</v>
      </c>
      <c r="F292" s="404" t="s">
        <v>324</v>
      </c>
      <c r="G292" s="215">
        <v>51.9</v>
      </c>
      <c r="H292" s="216"/>
      <c r="I292" s="404" t="str">
        <f>IF($A292="","",IF(OR($B292="",$C292="",$D292="",$E292="",$F292=""),"Stammdaten fehlen",IF(AND($G292="",$H292=""),"Werte fehlen",IF($G292="","Monatsstunden fehlen",IF($H292="","Monatslohn fehlt","OK")))))</f>
        <v>Monatslohn fehlt</v>
      </c>
      <c r="J292" s="427" t="str">
        <f>IF($G292="","",IF(COUNTIFS($A:$A,$A292,$D:$D,$D292,$G:$G,$G292)&gt;1,"Doppelte Monatsstunden",""))</f>
        <v/>
      </c>
    </row>
    <row r="293" spans="1:10" ht="24" customHeight="1">
      <c r="A293" s="417" t="s">
        <v>329</v>
      </c>
      <c r="B293" s="403">
        <v>46143</v>
      </c>
      <c r="C293" s="403">
        <v>46507</v>
      </c>
      <c r="D293" s="404" t="s">
        <v>19</v>
      </c>
      <c r="E293" s="404" t="s">
        <v>13</v>
      </c>
      <c r="F293" s="404" t="s">
        <v>324</v>
      </c>
      <c r="G293" s="215">
        <v>47.58</v>
      </c>
      <c r="H293" s="216"/>
      <c r="I293" s="404" t="str">
        <f>IF($A293="","",IF(OR($B293="",$C293="",$D293="",$E293="",$F293=""),"Stammdaten fehlen",IF(AND($G293="",$H293=""),"Werte fehlen",IF($G293="","Monatsstunden fehlen",IF($H293="","Monatslohn fehlt","OK")))))</f>
        <v>Monatslohn fehlt</v>
      </c>
      <c r="J293" s="427" t="str">
        <f>IF($G293="","",IF(COUNTIFS($A:$A,$A293,$D:$D,$D293,$G:$G,$G293)&gt;1,"Doppelte Monatsstunden",""))</f>
        <v/>
      </c>
    </row>
    <row r="294" spans="1:10" ht="24" customHeight="1">
      <c r="A294" s="417" t="s">
        <v>329</v>
      </c>
      <c r="B294" s="403">
        <v>46143</v>
      </c>
      <c r="C294" s="403">
        <v>46507</v>
      </c>
      <c r="D294" s="404" t="s">
        <v>19</v>
      </c>
      <c r="E294" s="404" t="s">
        <v>13</v>
      </c>
      <c r="F294" s="404" t="s">
        <v>324</v>
      </c>
      <c r="G294" s="215">
        <v>43.25</v>
      </c>
      <c r="H294" s="216"/>
      <c r="I294" s="404" t="str">
        <f>IF($A294="","",IF(OR($B294="",$C294="",$D294="",$E294="",$F294=""),"Stammdaten fehlen",IF(AND($G294="",$H294=""),"Werte fehlen",IF($G294="","Monatsstunden fehlen",IF($H294="","Monatslohn fehlt","OK")))))</f>
        <v>Monatslohn fehlt</v>
      </c>
      <c r="J294" s="427" t="str">
        <f>IF($G294="","",IF(COUNTIFS($A:$A,$A294,$D:$D,$D294,$G:$G,$G294)&gt;1,"Doppelte Monatsstunden",""))</f>
        <v/>
      </c>
    </row>
    <row r="295" spans="1:10" ht="24" customHeight="1">
      <c r="A295" s="417" t="s">
        <v>329</v>
      </c>
      <c r="B295" s="403">
        <v>46143</v>
      </c>
      <c r="C295" s="403">
        <v>46507</v>
      </c>
      <c r="D295" s="404" t="s">
        <v>19</v>
      </c>
      <c r="E295" s="404" t="s">
        <v>13</v>
      </c>
      <c r="F295" s="404" t="s">
        <v>324</v>
      </c>
      <c r="G295" s="215">
        <v>34.6</v>
      </c>
      <c r="H295" s="216"/>
      <c r="I295" s="404" t="str">
        <f>IF($A295="","",IF(OR($B295="",$C295="",$D295="",$E295="",$F295=""),"Stammdaten fehlen",IF(AND($G295="",$H295=""),"Werte fehlen",IF($G295="","Monatsstunden fehlen",IF($H295="","Monatslohn fehlt","OK")))))</f>
        <v>Monatslohn fehlt</v>
      </c>
      <c r="J295" s="427" t="str">
        <f>IF($G295="","",IF(COUNTIFS($A:$A,$A295,$D:$D,$D295,$G:$G,$G295)&gt;1,"Doppelte Monatsstunden",""))</f>
        <v/>
      </c>
    </row>
    <row r="296" spans="1:10" ht="24" customHeight="1">
      <c r="A296" s="417" t="s">
        <v>329</v>
      </c>
      <c r="B296" s="403">
        <v>46143</v>
      </c>
      <c r="C296" s="403">
        <v>46507</v>
      </c>
      <c r="D296" s="404" t="s">
        <v>19</v>
      </c>
      <c r="E296" s="404" t="s">
        <v>13</v>
      </c>
      <c r="F296" s="404" t="s">
        <v>324</v>
      </c>
      <c r="G296" s="215">
        <v>32.01</v>
      </c>
      <c r="H296" s="216"/>
      <c r="I296" s="404" t="str">
        <f>IF($A296="","",IF(OR($B296="",$C296="",$D296="",$E296="",$F296=""),"Stammdaten fehlen",IF(AND($G296="",$H296=""),"Werte fehlen",IF($G296="","Monatsstunden fehlen",IF($H296="","Monatslohn fehlt","OK")))))</f>
        <v>Monatslohn fehlt</v>
      </c>
      <c r="J296" s="427" t="str">
        <f>IF($G296="","",IF(COUNTIFS($A:$A,$A296,$D:$D,$D296,$G:$G,$G296)&gt;1,"Doppelte Monatsstunden",""))</f>
        <v/>
      </c>
    </row>
    <row r="297" spans="1:10" ht="24" customHeight="1" thickBot="1">
      <c r="A297" s="417" t="s">
        <v>329</v>
      </c>
      <c r="B297" s="403">
        <v>46143</v>
      </c>
      <c r="C297" s="403">
        <v>46507</v>
      </c>
      <c r="D297" s="404" t="s">
        <v>19</v>
      </c>
      <c r="E297" s="404" t="s">
        <v>13</v>
      </c>
      <c r="F297" s="404" t="s">
        <v>324</v>
      </c>
      <c r="G297" s="215"/>
      <c r="H297" s="216"/>
      <c r="I297" s="404" t="str">
        <f>IF($A297="","",IF(OR($B297="",$C297="",$D297="",$E297="",$F297=""),"Stammdaten fehlen",IF(AND($G297="",$H297=""),"Werte fehlen",IF($G297="","Monatsstunden fehlen",IF($H297="","Monatslohn fehlt","OK")))))</f>
        <v>Werte fehlen</v>
      </c>
      <c r="J297" s="427" t="str">
        <f>IF($G297="","",IF(COUNTIFS($A:$A,$A297,$D:$D,$D297,$G:$G,$G297)&gt;1,"Doppelte Monatsstunden",""))</f>
        <v/>
      </c>
    </row>
    <row r="298" spans="1:10" ht="24" customHeight="1">
      <c r="A298" s="418" t="s">
        <v>329</v>
      </c>
      <c r="B298" s="407">
        <v>46143</v>
      </c>
      <c r="C298" s="407">
        <v>46507</v>
      </c>
      <c r="D298" s="408" t="s">
        <v>333</v>
      </c>
      <c r="E298" s="408" t="s">
        <v>21</v>
      </c>
      <c r="F298" s="408" t="s">
        <v>321</v>
      </c>
      <c r="G298" s="217">
        <v>173</v>
      </c>
      <c r="H298" s="218"/>
      <c r="I298" s="408" t="str">
        <f>IF($A298="","",IF(OR($B298="",$C298="",$D298="",$E298="",$F298=""),"Stammdaten fehlen",IF(AND($G298="",$H298=""),"Werte fehlen",IF($G298="","Monatsstunden fehlen",IF($H298="","Monatslohn fehlt","OK")))))</f>
        <v>Monatslohn fehlt</v>
      </c>
      <c r="J298" s="428" t="str">
        <f>IF($G298="","",IF(COUNTIFS($A:$A,$A298,$D:$D,$D298,$G:$G,$G298)&gt;1,"Doppelte Monatsstunden",""))</f>
        <v/>
      </c>
    </row>
    <row r="299" spans="1:10" ht="24" customHeight="1">
      <c r="A299" s="419" t="s">
        <v>329</v>
      </c>
      <c r="B299" s="409">
        <v>46143</v>
      </c>
      <c r="C299" s="409">
        <v>46507</v>
      </c>
      <c r="D299" s="410" t="s">
        <v>333</v>
      </c>
      <c r="E299" s="410" t="s">
        <v>21</v>
      </c>
      <c r="F299" s="410" t="s">
        <v>321</v>
      </c>
      <c r="G299" s="219">
        <v>151.38</v>
      </c>
      <c r="H299" s="220"/>
      <c r="I299" s="410" t="str">
        <f>IF($A299="","",IF(OR($B299="",$C299="",$D299="",$E299="",$F299=""),"Stammdaten fehlen",IF(AND($G299="",$H299=""),"Werte fehlen",IF($G299="","Monatsstunden fehlen",IF($H299="","Monatslohn fehlt","OK")))))</f>
        <v>Monatslohn fehlt</v>
      </c>
      <c r="J299" s="429" t="str">
        <f>IF($G299="","",IF(COUNTIFS($A:$A,$A299,$D:$D,$D299,$G:$G,$G299)&gt;1,"Doppelte Monatsstunden",""))</f>
        <v/>
      </c>
    </row>
    <row r="300" spans="1:10" ht="24" customHeight="1">
      <c r="A300" s="419" t="s">
        <v>329</v>
      </c>
      <c r="B300" s="409">
        <v>46143</v>
      </c>
      <c r="C300" s="409">
        <v>46507</v>
      </c>
      <c r="D300" s="410" t="s">
        <v>333</v>
      </c>
      <c r="E300" s="410" t="s">
        <v>21</v>
      </c>
      <c r="F300" s="410" t="s">
        <v>321</v>
      </c>
      <c r="G300" s="219">
        <v>138.4</v>
      </c>
      <c r="H300" s="220"/>
      <c r="I300" s="410" t="str">
        <f>IF($A300="","",IF(OR($B300="",$C300="",$D300="",$E300="",$F300=""),"Stammdaten fehlen",IF(AND($G300="",$H300=""),"Werte fehlen",IF($G300="","Monatsstunden fehlen",IF($H300="","Monatslohn fehlt","OK")))))</f>
        <v>Monatslohn fehlt</v>
      </c>
      <c r="J300" s="429" t="str">
        <f>IF($G300="","",IF(COUNTIFS($A:$A,$A300,$D:$D,$D300,$G:$G,$G300)&gt;1,"Doppelte Monatsstunden",""))</f>
        <v/>
      </c>
    </row>
    <row r="301" spans="1:10" ht="24" customHeight="1">
      <c r="A301" s="419" t="s">
        <v>329</v>
      </c>
      <c r="B301" s="409">
        <v>46143</v>
      </c>
      <c r="C301" s="409">
        <v>46507</v>
      </c>
      <c r="D301" s="410" t="s">
        <v>333</v>
      </c>
      <c r="E301" s="410" t="s">
        <v>21</v>
      </c>
      <c r="F301" s="410" t="s">
        <v>321</v>
      </c>
      <c r="G301" s="219">
        <v>129.75</v>
      </c>
      <c r="H301" s="220"/>
      <c r="I301" s="410" t="str">
        <f>IF($A301="","",IF(OR($B301="",$C301="",$D301="",$E301="",$F301=""),"Stammdaten fehlen",IF(AND($G301="",$H301=""),"Werte fehlen",IF($G301="","Monatsstunden fehlen",IF($H301="","Monatslohn fehlt","OK")))))</f>
        <v>Monatslohn fehlt</v>
      </c>
      <c r="J301" s="429" t="str">
        <f>IF($G301="","",IF(COUNTIFS($A:$A,$A301,$D:$D,$D301,$G:$G,$G301)&gt;1,"Doppelte Monatsstunden",""))</f>
        <v/>
      </c>
    </row>
    <row r="302" spans="1:10" ht="24" customHeight="1">
      <c r="A302" s="419" t="s">
        <v>329</v>
      </c>
      <c r="B302" s="409">
        <v>46143</v>
      </c>
      <c r="C302" s="409">
        <v>46507</v>
      </c>
      <c r="D302" s="410" t="s">
        <v>333</v>
      </c>
      <c r="E302" s="410" t="s">
        <v>21</v>
      </c>
      <c r="F302" s="410" t="s">
        <v>321</v>
      </c>
      <c r="G302" s="219">
        <v>108.13</v>
      </c>
      <c r="H302" s="220"/>
      <c r="I302" s="410" t="str">
        <f>IF($A302="","",IF(OR($B302="",$C302="",$D302="",$E302="",$F302=""),"Stammdaten fehlen",IF(AND($G302="",$H302=""),"Werte fehlen",IF($G302="","Monatsstunden fehlen",IF($H302="","Monatslohn fehlt","OK")))))</f>
        <v>Monatslohn fehlt</v>
      </c>
      <c r="J302" s="429" t="str">
        <f>IF($G302="","",IF(COUNTIFS($A:$A,$A302,$D:$D,$D302,$G:$G,$G302)&gt;1,"Doppelte Monatsstunden",""))</f>
        <v/>
      </c>
    </row>
    <row r="303" spans="1:10" ht="24" customHeight="1">
      <c r="A303" s="419" t="s">
        <v>329</v>
      </c>
      <c r="B303" s="409">
        <v>46143</v>
      </c>
      <c r="C303" s="409">
        <v>46507</v>
      </c>
      <c r="D303" s="410" t="s">
        <v>333</v>
      </c>
      <c r="E303" s="410" t="s">
        <v>21</v>
      </c>
      <c r="F303" s="410" t="s">
        <v>321</v>
      </c>
      <c r="G303" s="219">
        <v>103.8</v>
      </c>
      <c r="H303" s="220"/>
      <c r="I303" s="410" t="str">
        <f>IF($A303="","",IF(OR($B303="",$C303="",$D303="",$E303="",$F303=""),"Stammdaten fehlen",IF(AND($G303="",$H303=""),"Werte fehlen",IF($G303="","Monatsstunden fehlen",IF($H303="","Monatslohn fehlt","OK")))))</f>
        <v>Monatslohn fehlt</v>
      </c>
      <c r="J303" s="429" t="str">
        <f>IF($G303="","",IF(COUNTIFS($A:$A,$A303,$D:$D,$D303,$G:$G,$G303)&gt;1,"Doppelte Monatsstunden",""))</f>
        <v/>
      </c>
    </row>
    <row r="304" spans="1:10" ht="24" customHeight="1">
      <c r="A304" s="419" t="s">
        <v>329</v>
      </c>
      <c r="B304" s="409">
        <v>46143</v>
      </c>
      <c r="C304" s="409">
        <v>46507</v>
      </c>
      <c r="D304" s="410" t="s">
        <v>333</v>
      </c>
      <c r="E304" s="410" t="s">
        <v>21</v>
      </c>
      <c r="F304" s="410" t="s">
        <v>321</v>
      </c>
      <c r="G304" s="219">
        <v>86.5</v>
      </c>
      <c r="H304" s="220"/>
      <c r="I304" s="410" t="str">
        <f>IF($A304="","",IF(OR($B304="",$C304="",$D304="",$E304="",$F304=""),"Stammdaten fehlen",IF(AND($G304="",$H304=""),"Werte fehlen",IF($G304="","Monatsstunden fehlen",IF($H304="","Monatslohn fehlt","OK")))))</f>
        <v>Monatslohn fehlt</v>
      </c>
      <c r="J304" s="429" t="str">
        <f>IF($G304="","",IF(COUNTIFS($A:$A,$A304,$D:$D,$D304,$G:$G,$G304)&gt;1,"Doppelte Monatsstunden",""))</f>
        <v/>
      </c>
    </row>
    <row r="305" spans="1:10" ht="24" customHeight="1">
      <c r="A305" s="419" t="s">
        <v>329</v>
      </c>
      <c r="B305" s="409">
        <v>46143</v>
      </c>
      <c r="C305" s="409">
        <v>46507</v>
      </c>
      <c r="D305" s="410" t="s">
        <v>333</v>
      </c>
      <c r="E305" s="410" t="s">
        <v>21</v>
      </c>
      <c r="F305" s="410" t="s">
        <v>321</v>
      </c>
      <c r="G305" s="219">
        <v>69.2</v>
      </c>
      <c r="H305" s="220"/>
      <c r="I305" s="410" t="str">
        <f>IF($A305="","",IF(OR($B305="",$C305="",$D305="",$E305="",$F305=""),"Stammdaten fehlen",IF(AND($G305="",$H305=""),"Werte fehlen",IF($G305="","Monatsstunden fehlen",IF($H305="","Monatslohn fehlt","OK")))))</f>
        <v>Monatslohn fehlt</v>
      </c>
      <c r="J305" s="429" t="str">
        <f>IF($G305="","",IF(COUNTIFS($A:$A,$A305,$D:$D,$D305,$G:$G,$G305)&gt;1,"Doppelte Monatsstunden",""))</f>
        <v/>
      </c>
    </row>
    <row r="306" spans="1:10" ht="24" customHeight="1">
      <c r="A306" s="419" t="s">
        <v>329</v>
      </c>
      <c r="B306" s="409">
        <v>46143</v>
      </c>
      <c r="C306" s="409">
        <v>46507</v>
      </c>
      <c r="D306" s="410" t="s">
        <v>333</v>
      </c>
      <c r="E306" s="410" t="s">
        <v>21</v>
      </c>
      <c r="F306" s="410" t="s">
        <v>321</v>
      </c>
      <c r="G306" s="219">
        <v>51.9</v>
      </c>
      <c r="H306" s="220"/>
      <c r="I306" s="410" t="str">
        <f>IF($A306="","",IF(OR($B306="",$C306="",$D306="",$E306="",$F306=""),"Stammdaten fehlen",IF(AND($G306="",$H306=""),"Werte fehlen",IF($G306="","Monatsstunden fehlen",IF($H306="","Monatslohn fehlt","OK")))))</f>
        <v>Monatslohn fehlt</v>
      </c>
      <c r="J306" s="429" t="str">
        <f>IF($G306="","",IF(COUNTIFS($A:$A,$A306,$D:$D,$D306,$G:$G,$G306)&gt;1,"Doppelte Monatsstunden",""))</f>
        <v/>
      </c>
    </row>
    <row r="307" spans="1:10" ht="24" customHeight="1">
      <c r="A307" s="419" t="s">
        <v>329</v>
      </c>
      <c r="B307" s="409">
        <v>46143</v>
      </c>
      <c r="C307" s="409">
        <v>46507</v>
      </c>
      <c r="D307" s="410" t="s">
        <v>333</v>
      </c>
      <c r="E307" s="410" t="s">
        <v>21</v>
      </c>
      <c r="F307" s="410" t="s">
        <v>321</v>
      </c>
      <c r="G307" s="219">
        <v>47.58</v>
      </c>
      <c r="H307" s="220"/>
      <c r="I307" s="410" t="str">
        <f>IF($A307="","",IF(OR($B307="",$C307="",$D307="",$E307="",$F307=""),"Stammdaten fehlen",IF(AND($G307="",$H307=""),"Werte fehlen",IF($G307="","Monatsstunden fehlen",IF($H307="","Monatslohn fehlt","OK")))))</f>
        <v>Monatslohn fehlt</v>
      </c>
      <c r="J307" s="429" t="str">
        <f>IF($G307="","",IF(COUNTIFS($A:$A,$A307,$D:$D,$D307,$G:$G,$G307)&gt;1,"Doppelte Monatsstunden",""))</f>
        <v/>
      </c>
    </row>
    <row r="308" spans="1:10" ht="24" customHeight="1">
      <c r="A308" s="419" t="s">
        <v>329</v>
      </c>
      <c r="B308" s="409">
        <v>46143</v>
      </c>
      <c r="C308" s="409">
        <v>46507</v>
      </c>
      <c r="D308" s="410" t="s">
        <v>333</v>
      </c>
      <c r="E308" s="410" t="s">
        <v>21</v>
      </c>
      <c r="F308" s="410" t="s">
        <v>321</v>
      </c>
      <c r="G308" s="219">
        <v>43.25</v>
      </c>
      <c r="H308" s="220"/>
      <c r="I308" s="410" t="str">
        <f>IF($A308="","",IF(OR($B308="",$C308="",$D308="",$E308="",$F308=""),"Stammdaten fehlen",IF(AND($G308="",$H308=""),"Werte fehlen",IF($G308="","Monatsstunden fehlen",IF($H308="","Monatslohn fehlt","OK")))))</f>
        <v>Monatslohn fehlt</v>
      </c>
      <c r="J308" s="429" t="str">
        <f>IF($G308="","",IF(COUNTIFS($A:$A,$A308,$D:$D,$D308,$G:$G,$G308)&gt;1,"Doppelte Monatsstunden",""))</f>
        <v/>
      </c>
    </row>
    <row r="309" spans="1:10" ht="24" customHeight="1">
      <c r="A309" s="419" t="s">
        <v>329</v>
      </c>
      <c r="B309" s="409">
        <v>46143</v>
      </c>
      <c r="C309" s="409">
        <v>46507</v>
      </c>
      <c r="D309" s="410" t="s">
        <v>333</v>
      </c>
      <c r="E309" s="410" t="s">
        <v>21</v>
      </c>
      <c r="F309" s="410" t="s">
        <v>321</v>
      </c>
      <c r="G309" s="219">
        <v>34.6</v>
      </c>
      <c r="H309" s="220"/>
      <c r="I309" s="410" t="str">
        <f>IF($A309="","",IF(OR($B309="",$C309="",$D309="",$E309="",$F309=""),"Stammdaten fehlen",IF(AND($G309="",$H309=""),"Werte fehlen",IF($G309="","Monatsstunden fehlen",IF($H309="","Monatslohn fehlt","OK")))))</f>
        <v>Monatslohn fehlt</v>
      </c>
      <c r="J309" s="429" t="str">
        <f>IF($G309="","",IF(COUNTIFS($A:$A,$A309,$D:$D,$D309,$G:$G,$G309)&gt;1,"Doppelte Monatsstunden",""))</f>
        <v/>
      </c>
    </row>
    <row r="310" spans="1:10" ht="24" customHeight="1">
      <c r="A310" s="419" t="s">
        <v>329</v>
      </c>
      <c r="B310" s="409">
        <v>46143</v>
      </c>
      <c r="C310" s="409">
        <v>46507</v>
      </c>
      <c r="D310" s="410" t="s">
        <v>333</v>
      </c>
      <c r="E310" s="410" t="s">
        <v>21</v>
      </c>
      <c r="F310" s="410" t="s">
        <v>321</v>
      </c>
      <c r="G310" s="219">
        <v>32.01</v>
      </c>
      <c r="H310" s="220"/>
      <c r="I310" s="410" t="str">
        <f>IF($A310="","",IF(OR($B310="",$C310="",$D310="",$E310="",$F310=""),"Stammdaten fehlen",IF(AND($G310="",$H310=""),"Werte fehlen",IF($G310="","Monatsstunden fehlen",IF($H310="","Monatslohn fehlt","OK")))))</f>
        <v>Monatslohn fehlt</v>
      </c>
      <c r="J310" s="429" t="str">
        <f>IF($G310="","",IF(COUNTIFS($A:$A,$A310,$D:$D,$D310,$G:$G,$G310)&gt;1,"Doppelte Monatsstunden",""))</f>
        <v/>
      </c>
    </row>
    <row r="311" spans="1:10" ht="24" customHeight="1" thickBot="1">
      <c r="A311" s="419" t="s">
        <v>329</v>
      </c>
      <c r="B311" s="409">
        <v>46143</v>
      </c>
      <c r="C311" s="409">
        <v>46507</v>
      </c>
      <c r="D311" s="410" t="s">
        <v>333</v>
      </c>
      <c r="E311" s="410" t="s">
        <v>21</v>
      </c>
      <c r="F311" s="410" t="s">
        <v>321</v>
      </c>
      <c r="G311" s="219"/>
      <c r="H311" s="220"/>
      <c r="I311" s="410" t="str">
        <f>IF($A311="","",IF(OR($B311="",$C311="",$D311="",$E311="",$F311=""),"Stammdaten fehlen",IF(AND($G311="",$H311=""),"Werte fehlen",IF($G311="","Monatsstunden fehlen",IF($H311="","Monatslohn fehlt","OK")))))</f>
        <v>Werte fehlen</v>
      </c>
      <c r="J311" s="429" t="str">
        <f>IF($G311="","",IF(COUNTIFS($A:$A,$A311,$D:$D,$D311,$G:$G,$G311)&gt;1,"Doppelte Monatsstunden",""))</f>
        <v/>
      </c>
    </row>
    <row r="312" spans="1:10" ht="24" customHeight="1">
      <c r="A312" s="418" t="s">
        <v>329</v>
      </c>
      <c r="B312" s="407">
        <v>46143</v>
      </c>
      <c r="C312" s="407">
        <v>46507</v>
      </c>
      <c r="D312" s="408" t="s">
        <v>22</v>
      </c>
      <c r="E312" s="408" t="s">
        <v>21</v>
      </c>
      <c r="F312" s="408" t="s">
        <v>322</v>
      </c>
      <c r="G312" s="217">
        <v>173</v>
      </c>
      <c r="H312" s="218"/>
      <c r="I312" s="408" t="str">
        <f>IF($A312="","",IF(OR($B312="",$C312="",$D312="",$E312="",$F312=""),"Stammdaten fehlen",IF(AND($G312="",$H312=""),"Werte fehlen",IF($G312="","Monatsstunden fehlen",IF($H312="","Monatslohn fehlt","OK")))))</f>
        <v>Monatslohn fehlt</v>
      </c>
      <c r="J312" s="428" t="str">
        <f>IF($G312="","",IF(COUNTIFS($A:$A,$A312,$D:$D,$D312,$G:$G,$G312)&gt;1,"Doppelte Monatsstunden",""))</f>
        <v/>
      </c>
    </row>
    <row r="313" spans="1:10" ht="24" customHeight="1">
      <c r="A313" s="419" t="s">
        <v>329</v>
      </c>
      <c r="B313" s="409">
        <v>46143</v>
      </c>
      <c r="C313" s="409">
        <v>46507</v>
      </c>
      <c r="D313" s="410" t="s">
        <v>22</v>
      </c>
      <c r="E313" s="410" t="s">
        <v>21</v>
      </c>
      <c r="F313" s="410" t="s">
        <v>322</v>
      </c>
      <c r="G313" s="219">
        <v>151.38</v>
      </c>
      <c r="H313" s="220"/>
      <c r="I313" s="410" t="str">
        <f>IF($A313="","",IF(OR($B313="",$C313="",$D313="",$E313="",$F313=""),"Stammdaten fehlen",IF(AND($G313="",$H313=""),"Werte fehlen",IF($G313="","Monatsstunden fehlen",IF($H313="","Monatslohn fehlt","OK")))))</f>
        <v>Monatslohn fehlt</v>
      </c>
      <c r="J313" s="429" t="str">
        <f>IF($G313="","",IF(COUNTIFS($A:$A,$A313,$D:$D,$D313,$G:$G,$G313)&gt;1,"Doppelte Monatsstunden",""))</f>
        <v/>
      </c>
    </row>
    <row r="314" spans="1:10" ht="24" customHeight="1">
      <c r="A314" s="419" t="s">
        <v>329</v>
      </c>
      <c r="B314" s="409">
        <v>46143</v>
      </c>
      <c r="C314" s="409">
        <v>46507</v>
      </c>
      <c r="D314" s="410" t="s">
        <v>22</v>
      </c>
      <c r="E314" s="410" t="s">
        <v>21</v>
      </c>
      <c r="F314" s="410" t="s">
        <v>322</v>
      </c>
      <c r="G314" s="219">
        <v>138.4</v>
      </c>
      <c r="H314" s="220"/>
      <c r="I314" s="410" t="str">
        <f>IF($A314="","",IF(OR($B314="",$C314="",$D314="",$E314="",$F314=""),"Stammdaten fehlen",IF(AND($G314="",$H314=""),"Werte fehlen",IF($G314="","Monatsstunden fehlen",IF($H314="","Monatslohn fehlt","OK")))))</f>
        <v>Monatslohn fehlt</v>
      </c>
      <c r="J314" s="429" t="str">
        <f>IF($G314="","",IF(COUNTIFS($A:$A,$A314,$D:$D,$D314,$G:$G,$G314)&gt;1,"Doppelte Monatsstunden",""))</f>
        <v/>
      </c>
    </row>
    <row r="315" spans="1:10" ht="24" customHeight="1">
      <c r="A315" s="419" t="s">
        <v>329</v>
      </c>
      <c r="B315" s="409">
        <v>46143</v>
      </c>
      <c r="C315" s="409">
        <v>46507</v>
      </c>
      <c r="D315" s="410" t="s">
        <v>22</v>
      </c>
      <c r="E315" s="410" t="s">
        <v>21</v>
      </c>
      <c r="F315" s="410" t="s">
        <v>322</v>
      </c>
      <c r="G315" s="219">
        <v>129.75</v>
      </c>
      <c r="H315" s="220"/>
      <c r="I315" s="410" t="str">
        <f>IF($A315="","",IF(OR($B315="",$C315="",$D315="",$E315="",$F315=""),"Stammdaten fehlen",IF(AND($G315="",$H315=""),"Werte fehlen",IF($G315="","Monatsstunden fehlen",IF($H315="","Monatslohn fehlt","OK")))))</f>
        <v>Monatslohn fehlt</v>
      </c>
      <c r="J315" s="429" t="str">
        <f>IF($G315="","",IF(COUNTIFS($A:$A,$A315,$D:$D,$D315,$G:$G,$G315)&gt;1,"Doppelte Monatsstunden",""))</f>
        <v/>
      </c>
    </row>
    <row r="316" spans="1:10" ht="24" customHeight="1">
      <c r="A316" s="419" t="s">
        <v>329</v>
      </c>
      <c r="B316" s="409">
        <v>46143</v>
      </c>
      <c r="C316" s="409">
        <v>46507</v>
      </c>
      <c r="D316" s="410" t="s">
        <v>22</v>
      </c>
      <c r="E316" s="410" t="s">
        <v>21</v>
      </c>
      <c r="F316" s="410" t="s">
        <v>322</v>
      </c>
      <c r="G316" s="219">
        <v>108.13</v>
      </c>
      <c r="H316" s="220"/>
      <c r="I316" s="410" t="str">
        <f>IF($A316="","",IF(OR($B316="",$C316="",$D316="",$E316="",$F316=""),"Stammdaten fehlen",IF(AND($G316="",$H316=""),"Werte fehlen",IF($G316="","Monatsstunden fehlen",IF($H316="","Monatslohn fehlt","OK")))))</f>
        <v>Monatslohn fehlt</v>
      </c>
      <c r="J316" s="429" t="str">
        <f>IF($G316="","",IF(COUNTIFS($A:$A,$A316,$D:$D,$D316,$G:$G,$G316)&gt;1,"Doppelte Monatsstunden",""))</f>
        <v/>
      </c>
    </row>
    <row r="317" spans="1:10" ht="24" customHeight="1">
      <c r="A317" s="419" t="s">
        <v>329</v>
      </c>
      <c r="B317" s="409">
        <v>46143</v>
      </c>
      <c r="C317" s="409">
        <v>46507</v>
      </c>
      <c r="D317" s="410" t="s">
        <v>22</v>
      </c>
      <c r="E317" s="410" t="s">
        <v>21</v>
      </c>
      <c r="F317" s="410" t="s">
        <v>322</v>
      </c>
      <c r="G317" s="219">
        <v>103.8</v>
      </c>
      <c r="H317" s="220"/>
      <c r="I317" s="410" t="str">
        <f>IF($A317="","",IF(OR($B317="",$C317="",$D317="",$E317="",$F317=""),"Stammdaten fehlen",IF(AND($G317="",$H317=""),"Werte fehlen",IF($G317="","Monatsstunden fehlen",IF($H317="","Monatslohn fehlt","OK")))))</f>
        <v>Monatslohn fehlt</v>
      </c>
      <c r="J317" s="429" t="str">
        <f>IF($G317="","",IF(COUNTIFS($A:$A,$A317,$D:$D,$D317,$G:$G,$G317)&gt;1,"Doppelte Monatsstunden",""))</f>
        <v/>
      </c>
    </row>
    <row r="318" spans="1:10" ht="24" customHeight="1">
      <c r="A318" s="419" t="s">
        <v>329</v>
      </c>
      <c r="B318" s="409">
        <v>46143</v>
      </c>
      <c r="C318" s="409">
        <v>46507</v>
      </c>
      <c r="D318" s="410" t="s">
        <v>22</v>
      </c>
      <c r="E318" s="410" t="s">
        <v>21</v>
      </c>
      <c r="F318" s="410" t="s">
        <v>322</v>
      </c>
      <c r="G318" s="219">
        <v>86.5</v>
      </c>
      <c r="H318" s="220"/>
      <c r="I318" s="410" t="str">
        <f>IF($A318="","",IF(OR($B318="",$C318="",$D318="",$E318="",$F318=""),"Stammdaten fehlen",IF(AND($G318="",$H318=""),"Werte fehlen",IF($G318="","Monatsstunden fehlen",IF($H318="","Monatslohn fehlt","OK")))))</f>
        <v>Monatslohn fehlt</v>
      </c>
      <c r="J318" s="429" t="str">
        <f>IF($G318="","",IF(COUNTIFS($A:$A,$A318,$D:$D,$D318,$G:$G,$G318)&gt;1,"Doppelte Monatsstunden",""))</f>
        <v/>
      </c>
    </row>
    <row r="319" spans="1:10" ht="24" customHeight="1">
      <c r="A319" s="419" t="s">
        <v>329</v>
      </c>
      <c r="B319" s="409">
        <v>46143</v>
      </c>
      <c r="C319" s="409">
        <v>46507</v>
      </c>
      <c r="D319" s="410" t="s">
        <v>22</v>
      </c>
      <c r="E319" s="410" t="s">
        <v>21</v>
      </c>
      <c r="F319" s="410" t="s">
        <v>322</v>
      </c>
      <c r="G319" s="219">
        <v>69.2</v>
      </c>
      <c r="H319" s="220"/>
      <c r="I319" s="410" t="str">
        <f>IF($A319="","",IF(OR($B319="",$C319="",$D319="",$E319="",$F319=""),"Stammdaten fehlen",IF(AND($G319="",$H319=""),"Werte fehlen",IF($G319="","Monatsstunden fehlen",IF($H319="","Monatslohn fehlt","OK")))))</f>
        <v>Monatslohn fehlt</v>
      </c>
      <c r="J319" s="429" t="str">
        <f>IF($G319="","",IF(COUNTIFS($A:$A,$A319,$D:$D,$D319,$G:$G,$G319)&gt;1,"Doppelte Monatsstunden",""))</f>
        <v/>
      </c>
    </row>
    <row r="320" spans="1:10" ht="24" customHeight="1">
      <c r="A320" s="419" t="s">
        <v>329</v>
      </c>
      <c r="B320" s="409">
        <v>46143</v>
      </c>
      <c r="C320" s="409">
        <v>46507</v>
      </c>
      <c r="D320" s="410" t="s">
        <v>22</v>
      </c>
      <c r="E320" s="410" t="s">
        <v>21</v>
      </c>
      <c r="F320" s="410" t="s">
        <v>322</v>
      </c>
      <c r="G320" s="219">
        <v>51.9</v>
      </c>
      <c r="H320" s="220"/>
      <c r="I320" s="410" t="str">
        <f>IF($A320="","",IF(OR($B320="",$C320="",$D320="",$E320="",$F320=""),"Stammdaten fehlen",IF(AND($G320="",$H320=""),"Werte fehlen",IF($G320="","Monatsstunden fehlen",IF($H320="","Monatslohn fehlt","OK")))))</f>
        <v>Monatslohn fehlt</v>
      </c>
      <c r="J320" s="429" t="str">
        <f>IF($G320="","",IF(COUNTIFS($A:$A,$A320,$D:$D,$D320,$G:$G,$G320)&gt;1,"Doppelte Monatsstunden",""))</f>
        <v/>
      </c>
    </row>
    <row r="321" spans="1:10" ht="24" customHeight="1">
      <c r="A321" s="419" t="s">
        <v>329</v>
      </c>
      <c r="B321" s="409">
        <v>46143</v>
      </c>
      <c r="C321" s="409">
        <v>46507</v>
      </c>
      <c r="D321" s="410" t="s">
        <v>22</v>
      </c>
      <c r="E321" s="410" t="s">
        <v>21</v>
      </c>
      <c r="F321" s="410" t="s">
        <v>322</v>
      </c>
      <c r="G321" s="219">
        <v>47.58</v>
      </c>
      <c r="H321" s="220"/>
      <c r="I321" s="410" t="str">
        <f>IF($A321="","",IF(OR($B321="",$C321="",$D321="",$E321="",$F321=""),"Stammdaten fehlen",IF(AND($G321="",$H321=""),"Werte fehlen",IF($G321="","Monatsstunden fehlen",IF($H321="","Monatslohn fehlt","OK")))))</f>
        <v>Monatslohn fehlt</v>
      </c>
      <c r="J321" s="429" t="str">
        <f>IF($G321="","",IF(COUNTIFS($A:$A,$A321,$D:$D,$D321,$G:$G,$G321)&gt;1,"Doppelte Monatsstunden",""))</f>
        <v/>
      </c>
    </row>
    <row r="322" spans="1:10" ht="24" customHeight="1">
      <c r="A322" s="419" t="s">
        <v>329</v>
      </c>
      <c r="B322" s="409">
        <v>46143</v>
      </c>
      <c r="C322" s="409">
        <v>46507</v>
      </c>
      <c r="D322" s="410" t="s">
        <v>22</v>
      </c>
      <c r="E322" s="410" t="s">
        <v>21</v>
      </c>
      <c r="F322" s="410" t="s">
        <v>322</v>
      </c>
      <c r="G322" s="219">
        <v>43.25</v>
      </c>
      <c r="H322" s="220"/>
      <c r="I322" s="410" t="str">
        <f>IF($A322="","",IF(OR($B322="",$C322="",$D322="",$E322="",$F322=""),"Stammdaten fehlen",IF(AND($G322="",$H322=""),"Werte fehlen",IF($G322="","Monatsstunden fehlen",IF($H322="","Monatslohn fehlt","OK")))))</f>
        <v>Monatslohn fehlt</v>
      </c>
      <c r="J322" s="429" t="str">
        <f>IF($G322="","",IF(COUNTIFS($A:$A,$A322,$D:$D,$D322,$G:$G,$G322)&gt;1,"Doppelte Monatsstunden",""))</f>
        <v/>
      </c>
    </row>
    <row r="323" spans="1:10" ht="24" customHeight="1">
      <c r="A323" s="419" t="s">
        <v>329</v>
      </c>
      <c r="B323" s="409">
        <v>46143</v>
      </c>
      <c r="C323" s="409">
        <v>46507</v>
      </c>
      <c r="D323" s="410" t="s">
        <v>22</v>
      </c>
      <c r="E323" s="410" t="s">
        <v>21</v>
      </c>
      <c r="F323" s="410" t="s">
        <v>322</v>
      </c>
      <c r="G323" s="219">
        <v>34.6</v>
      </c>
      <c r="H323" s="220"/>
      <c r="I323" s="410" t="str">
        <f>IF($A323="","",IF(OR($B323="",$C323="",$D323="",$E323="",$F323=""),"Stammdaten fehlen",IF(AND($G323="",$H323=""),"Werte fehlen",IF($G323="","Monatsstunden fehlen",IF($H323="","Monatslohn fehlt","OK")))))</f>
        <v>Monatslohn fehlt</v>
      </c>
      <c r="J323" s="429" t="str">
        <f>IF($G323="","",IF(COUNTIFS($A:$A,$A323,$D:$D,$D323,$G:$G,$G323)&gt;1,"Doppelte Monatsstunden",""))</f>
        <v/>
      </c>
    </row>
    <row r="324" spans="1:10" ht="24" customHeight="1">
      <c r="A324" s="419" t="s">
        <v>329</v>
      </c>
      <c r="B324" s="409">
        <v>46143</v>
      </c>
      <c r="C324" s="409">
        <v>46507</v>
      </c>
      <c r="D324" s="410" t="s">
        <v>22</v>
      </c>
      <c r="E324" s="410" t="s">
        <v>21</v>
      </c>
      <c r="F324" s="410" t="s">
        <v>322</v>
      </c>
      <c r="G324" s="219">
        <v>32.01</v>
      </c>
      <c r="H324" s="220"/>
      <c r="I324" s="410" t="str">
        <f>IF($A324="","",IF(OR($B324="",$C324="",$D324="",$E324="",$F324=""),"Stammdaten fehlen",IF(AND($G324="",$H324=""),"Werte fehlen",IF($G324="","Monatsstunden fehlen",IF($H324="","Monatslohn fehlt","OK")))))</f>
        <v>Monatslohn fehlt</v>
      </c>
      <c r="J324" s="429" t="str">
        <f>IF($G324="","",IF(COUNTIFS($A:$A,$A324,$D:$D,$D324,$G:$G,$G324)&gt;1,"Doppelte Monatsstunden",""))</f>
        <v/>
      </c>
    </row>
    <row r="325" spans="1:10" ht="24" customHeight="1" thickBot="1">
      <c r="A325" s="419" t="s">
        <v>329</v>
      </c>
      <c r="B325" s="409">
        <v>46143</v>
      </c>
      <c r="C325" s="409">
        <v>46507</v>
      </c>
      <c r="D325" s="410" t="s">
        <v>22</v>
      </c>
      <c r="E325" s="410" t="s">
        <v>21</v>
      </c>
      <c r="F325" s="410" t="s">
        <v>322</v>
      </c>
      <c r="G325" s="219"/>
      <c r="H325" s="220"/>
      <c r="I325" s="410" t="str">
        <f>IF($A325="","",IF(OR($B325="",$C325="",$D325="",$E325="",$F325=""),"Stammdaten fehlen",IF(AND($G325="",$H325=""),"Werte fehlen",IF($G325="","Monatsstunden fehlen",IF($H325="","Monatslohn fehlt","OK")))))</f>
        <v>Werte fehlen</v>
      </c>
      <c r="J325" s="429" t="str">
        <f>IF($G325="","",IF(COUNTIFS($A:$A,$A325,$D:$D,$D325,$G:$G,$G325)&gt;1,"Doppelte Monatsstunden",""))</f>
        <v/>
      </c>
    </row>
    <row r="326" spans="1:10" ht="24" customHeight="1">
      <c r="A326" s="418" t="s">
        <v>329</v>
      </c>
      <c r="B326" s="407">
        <v>46143</v>
      </c>
      <c r="C326" s="407">
        <v>46507</v>
      </c>
      <c r="D326" s="408" t="s">
        <v>23</v>
      </c>
      <c r="E326" s="408" t="s">
        <v>21</v>
      </c>
      <c r="F326" s="408" t="s">
        <v>323</v>
      </c>
      <c r="G326" s="217">
        <v>173</v>
      </c>
      <c r="H326" s="218"/>
      <c r="I326" s="408" t="str">
        <f>IF($A326="","",IF(OR($B326="",$C326="",$D326="",$E326="",$F326=""),"Stammdaten fehlen",IF(AND($G326="",$H326=""),"Werte fehlen",IF($G326="","Monatsstunden fehlen",IF($H326="","Monatslohn fehlt","OK")))))</f>
        <v>Monatslohn fehlt</v>
      </c>
      <c r="J326" s="428" t="str">
        <f>IF($G326="","",IF(COUNTIFS($A:$A,$A326,$D:$D,$D326,$G:$G,$G326)&gt;1,"Doppelte Monatsstunden",""))</f>
        <v/>
      </c>
    </row>
    <row r="327" spans="1:10" ht="24" customHeight="1">
      <c r="A327" s="419" t="s">
        <v>329</v>
      </c>
      <c r="B327" s="409">
        <v>46143</v>
      </c>
      <c r="C327" s="409">
        <v>46507</v>
      </c>
      <c r="D327" s="410" t="s">
        <v>23</v>
      </c>
      <c r="E327" s="410" t="s">
        <v>21</v>
      </c>
      <c r="F327" s="410" t="s">
        <v>323</v>
      </c>
      <c r="G327" s="219">
        <v>151.38</v>
      </c>
      <c r="H327" s="220"/>
      <c r="I327" s="410" t="str">
        <f>IF($A327="","",IF(OR($B327="",$C327="",$D327="",$E327="",$F327=""),"Stammdaten fehlen",IF(AND($G327="",$H327=""),"Werte fehlen",IF($G327="","Monatsstunden fehlen",IF($H327="","Monatslohn fehlt","OK")))))</f>
        <v>Monatslohn fehlt</v>
      </c>
      <c r="J327" s="429" t="str">
        <f>IF($G327="","",IF(COUNTIFS($A:$A,$A327,$D:$D,$D327,$G:$G,$G327)&gt;1,"Doppelte Monatsstunden",""))</f>
        <v/>
      </c>
    </row>
    <row r="328" spans="1:10" ht="24" customHeight="1">
      <c r="A328" s="419" t="s">
        <v>329</v>
      </c>
      <c r="B328" s="409">
        <v>46143</v>
      </c>
      <c r="C328" s="409">
        <v>46507</v>
      </c>
      <c r="D328" s="410" t="s">
        <v>23</v>
      </c>
      <c r="E328" s="410" t="s">
        <v>21</v>
      </c>
      <c r="F328" s="410" t="s">
        <v>323</v>
      </c>
      <c r="G328" s="219">
        <v>138.4</v>
      </c>
      <c r="H328" s="220"/>
      <c r="I328" s="410" t="str">
        <f>IF($A328="","",IF(OR($B328="",$C328="",$D328="",$E328="",$F328=""),"Stammdaten fehlen",IF(AND($G328="",$H328=""),"Werte fehlen",IF($G328="","Monatsstunden fehlen",IF($H328="","Monatslohn fehlt","OK")))))</f>
        <v>Monatslohn fehlt</v>
      </c>
      <c r="J328" s="429" t="str">
        <f>IF($G328="","",IF(COUNTIFS($A:$A,$A328,$D:$D,$D328,$G:$G,$G328)&gt;1,"Doppelte Monatsstunden",""))</f>
        <v/>
      </c>
    </row>
    <row r="329" spans="1:10" ht="24" customHeight="1">
      <c r="A329" s="419" t="s">
        <v>329</v>
      </c>
      <c r="B329" s="409">
        <v>46143</v>
      </c>
      <c r="C329" s="409">
        <v>46507</v>
      </c>
      <c r="D329" s="410" t="s">
        <v>23</v>
      </c>
      <c r="E329" s="410" t="s">
        <v>21</v>
      </c>
      <c r="F329" s="410" t="s">
        <v>323</v>
      </c>
      <c r="G329" s="219">
        <v>129.75</v>
      </c>
      <c r="H329" s="220"/>
      <c r="I329" s="410" t="str">
        <f>IF($A329="","",IF(OR($B329="",$C329="",$D329="",$E329="",$F329=""),"Stammdaten fehlen",IF(AND($G329="",$H329=""),"Werte fehlen",IF($G329="","Monatsstunden fehlen",IF($H329="","Monatslohn fehlt","OK")))))</f>
        <v>Monatslohn fehlt</v>
      </c>
      <c r="J329" s="429" t="str">
        <f>IF($G329="","",IF(COUNTIFS($A:$A,$A329,$D:$D,$D329,$G:$G,$G329)&gt;1,"Doppelte Monatsstunden",""))</f>
        <v/>
      </c>
    </row>
    <row r="330" spans="1:10" ht="24" customHeight="1">
      <c r="A330" s="419" t="s">
        <v>329</v>
      </c>
      <c r="B330" s="409">
        <v>46143</v>
      </c>
      <c r="C330" s="409">
        <v>46507</v>
      </c>
      <c r="D330" s="410" t="s">
        <v>23</v>
      </c>
      <c r="E330" s="410" t="s">
        <v>21</v>
      </c>
      <c r="F330" s="410" t="s">
        <v>323</v>
      </c>
      <c r="G330" s="219">
        <v>108.13</v>
      </c>
      <c r="H330" s="220"/>
      <c r="I330" s="410" t="str">
        <f>IF($A330="","",IF(OR($B330="",$C330="",$D330="",$E330="",$F330=""),"Stammdaten fehlen",IF(AND($G330="",$H330=""),"Werte fehlen",IF($G330="","Monatsstunden fehlen",IF($H330="","Monatslohn fehlt","OK")))))</f>
        <v>Monatslohn fehlt</v>
      </c>
      <c r="J330" s="429" t="str">
        <f>IF($G330="","",IF(COUNTIFS($A:$A,$A330,$D:$D,$D330,$G:$G,$G330)&gt;1,"Doppelte Monatsstunden",""))</f>
        <v/>
      </c>
    </row>
    <row r="331" spans="1:10" ht="24" customHeight="1">
      <c r="A331" s="419" t="s">
        <v>329</v>
      </c>
      <c r="B331" s="409">
        <v>46143</v>
      </c>
      <c r="C331" s="409">
        <v>46507</v>
      </c>
      <c r="D331" s="410" t="s">
        <v>23</v>
      </c>
      <c r="E331" s="410" t="s">
        <v>21</v>
      </c>
      <c r="F331" s="410" t="s">
        <v>323</v>
      </c>
      <c r="G331" s="219">
        <v>103.8</v>
      </c>
      <c r="H331" s="220"/>
      <c r="I331" s="410" t="str">
        <f>IF($A331="","",IF(OR($B331="",$C331="",$D331="",$E331="",$F331=""),"Stammdaten fehlen",IF(AND($G331="",$H331=""),"Werte fehlen",IF($G331="","Monatsstunden fehlen",IF($H331="","Monatslohn fehlt","OK")))))</f>
        <v>Monatslohn fehlt</v>
      </c>
      <c r="J331" s="429" t="str">
        <f>IF($G331="","",IF(COUNTIFS($A:$A,$A331,$D:$D,$D331,$G:$G,$G331)&gt;1,"Doppelte Monatsstunden",""))</f>
        <v/>
      </c>
    </row>
    <row r="332" spans="1:10" ht="24" customHeight="1">
      <c r="A332" s="419" t="s">
        <v>329</v>
      </c>
      <c r="B332" s="409">
        <v>46143</v>
      </c>
      <c r="C332" s="409">
        <v>46507</v>
      </c>
      <c r="D332" s="410" t="s">
        <v>23</v>
      </c>
      <c r="E332" s="410" t="s">
        <v>21</v>
      </c>
      <c r="F332" s="410" t="s">
        <v>323</v>
      </c>
      <c r="G332" s="219">
        <v>86.5</v>
      </c>
      <c r="H332" s="220"/>
      <c r="I332" s="410" t="str">
        <f>IF($A332="","",IF(OR($B332="",$C332="",$D332="",$E332="",$F332=""),"Stammdaten fehlen",IF(AND($G332="",$H332=""),"Werte fehlen",IF($G332="","Monatsstunden fehlen",IF($H332="","Monatslohn fehlt","OK")))))</f>
        <v>Monatslohn fehlt</v>
      </c>
      <c r="J332" s="429" t="str">
        <f>IF($G332="","",IF(COUNTIFS($A:$A,$A332,$D:$D,$D332,$G:$G,$G332)&gt;1,"Doppelte Monatsstunden",""))</f>
        <v/>
      </c>
    </row>
    <row r="333" spans="1:10" ht="24" customHeight="1">
      <c r="A333" s="419" t="s">
        <v>329</v>
      </c>
      <c r="B333" s="409">
        <v>46143</v>
      </c>
      <c r="C333" s="409">
        <v>46507</v>
      </c>
      <c r="D333" s="410" t="s">
        <v>23</v>
      </c>
      <c r="E333" s="410" t="s">
        <v>21</v>
      </c>
      <c r="F333" s="410" t="s">
        <v>323</v>
      </c>
      <c r="G333" s="219">
        <v>69.2</v>
      </c>
      <c r="H333" s="220"/>
      <c r="I333" s="410" t="str">
        <f>IF($A333="","",IF(OR($B333="",$C333="",$D333="",$E333="",$F333=""),"Stammdaten fehlen",IF(AND($G333="",$H333=""),"Werte fehlen",IF($G333="","Monatsstunden fehlen",IF($H333="","Monatslohn fehlt","OK")))))</f>
        <v>Monatslohn fehlt</v>
      </c>
      <c r="J333" s="429" t="str">
        <f>IF($G333="","",IF(COUNTIFS($A:$A,$A333,$D:$D,$D333,$G:$G,$G333)&gt;1,"Doppelte Monatsstunden",""))</f>
        <v/>
      </c>
    </row>
    <row r="334" spans="1:10" ht="24" customHeight="1">
      <c r="A334" s="419" t="s">
        <v>329</v>
      </c>
      <c r="B334" s="409">
        <v>46143</v>
      </c>
      <c r="C334" s="409">
        <v>46507</v>
      </c>
      <c r="D334" s="410" t="s">
        <v>23</v>
      </c>
      <c r="E334" s="410" t="s">
        <v>21</v>
      </c>
      <c r="F334" s="410" t="s">
        <v>323</v>
      </c>
      <c r="G334" s="219">
        <v>51.9</v>
      </c>
      <c r="H334" s="220"/>
      <c r="I334" s="410" t="str">
        <f>IF($A334="","",IF(OR($B334="",$C334="",$D334="",$E334="",$F334=""),"Stammdaten fehlen",IF(AND($G334="",$H334=""),"Werte fehlen",IF($G334="","Monatsstunden fehlen",IF($H334="","Monatslohn fehlt","OK")))))</f>
        <v>Monatslohn fehlt</v>
      </c>
      <c r="J334" s="429" t="str">
        <f>IF($G334="","",IF(COUNTIFS($A:$A,$A334,$D:$D,$D334,$G:$G,$G334)&gt;1,"Doppelte Monatsstunden",""))</f>
        <v/>
      </c>
    </row>
    <row r="335" spans="1:10" ht="24" customHeight="1">
      <c r="A335" s="419" t="s">
        <v>329</v>
      </c>
      <c r="B335" s="409">
        <v>46143</v>
      </c>
      <c r="C335" s="409">
        <v>46507</v>
      </c>
      <c r="D335" s="410" t="s">
        <v>23</v>
      </c>
      <c r="E335" s="410" t="s">
        <v>21</v>
      </c>
      <c r="F335" s="410" t="s">
        <v>323</v>
      </c>
      <c r="G335" s="219">
        <v>47.58</v>
      </c>
      <c r="H335" s="220"/>
      <c r="I335" s="410" t="str">
        <f>IF($A335="","",IF(OR($B335="",$C335="",$D335="",$E335="",$F335=""),"Stammdaten fehlen",IF(AND($G335="",$H335=""),"Werte fehlen",IF($G335="","Monatsstunden fehlen",IF($H335="","Monatslohn fehlt","OK")))))</f>
        <v>Monatslohn fehlt</v>
      </c>
      <c r="J335" s="429" t="str">
        <f>IF($G335="","",IF(COUNTIFS($A:$A,$A335,$D:$D,$D335,$G:$G,$G335)&gt;1,"Doppelte Monatsstunden",""))</f>
        <v/>
      </c>
    </row>
    <row r="336" spans="1:10" ht="24" customHeight="1">
      <c r="A336" s="419" t="s">
        <v>329</v>
      </c>
      <c r="B336" s="409">
        <v>46143</v>
      </c>
      <c r="C336" s="409">
        <v>46507</v>
      </c>
      <c r="D336" s="410" t="s">
        <v>23</v>
      </c>
      <c r="E336" s="410" t="s">
        <v>21</v>
      </c>
      <c r="F336" s="410" t="s">
        <v>323</v>
      </c>
      <c r="G336" s="219">
        <v>43.25</v>
      </c>
      <c r="H336" s="220"/>
      <c r="I336" s="410" t="str">
        <f>IF($A336="","",IF(OR($B336="",$C336="",$D336="",$E336="",$F336=""),"Stammdaten fehlen",IF(AND($G336="",$H336=""),"Werte fehlen",IF($G336="","Monatsstunden fehlen",IF($H336="","Monatslohn fehlt","OK")))))</f>
        <v>Monatslohn fehlt</v>
      </c>
      <c r="J336" s="429" t="str">
        <f>IF($G336="","",IF(COUNTIFS($A:$A,$A336,$D:$D,$D336,$G:$G,$G336)&gt;1,"Doppelte Monatsstunden",""))</f>
        <v/>
      </c>
    </row>
    <row r="337" spans="1:10" ht="24" customHeight="1">
      <c r="A337" s="419" t="s">
        <v>329</v>
      </c>
      <c r="B337" s="409">
        <v>46143</v>
      </c>
      <c r="C337" s="409">
        <v>46507</v>
      </c>
      <c r="D337" s="410" t="s">
        <v>23</v>
      </c>
      <c r="E337" s="410" t="s">
        <v>21</v>
      </c>
      <c r="F337" s="410" t="s">
        <v>323</v>
      </c>
      <c r="G337" s="219">
        <v>34.6</v>
      </c>
      <c r="H337" s="220"/>
      <c r="I337" s="410" t="str">
        <f>IF($A337="","",IF(OR($B337="",$C337="",$D337="",$E337="",$F337=""),"Stammdaten fehlen",IF(AND($G337="",$H337=""),"Werte fehlen",IF($G337="","Monatsstunden fehlen",IF($H337="","Monatslohn fehlt","OK")))))</f>
        <v>Monatslohn fehlt</v>
      </c>
      <c r="J337" s="429" t="str">
        <f>IF($G337="","",IF(COUNTIFS($A:$A,$A337,$D:$D,$D337,$G:$G,$G337)&gt;1,"Doppelte Monatsstunden",""))</f>
        <v/>
      </c>
    </row>
    <row r="338" spans="1:10" ht="24" customHeight="1">
      <c r="A338" s="419" t="s">
        <v>329</v>
      </c>
      <c r="B338" s="409">
        <v>46143</v>
      </c>
      <c r="C338" s="409">
        <v>46507</v>
      </c>
      <c r="D338" s="410" t="s">
        <v>23</v>
      </c>
      <c r="E338" s="410" t="s">
        <v>21</v>
      </c>
      <c r="F338" s="410" t="s">
        <v>323</v>
      </c>
      <c r="G338" s="219">
        <v>32.01</v>
      </c>
      <c r="H338" s="220"/>
      <c r="I338" s="410" t="str">
        <f>IF($A338="","",IF(OR($B338="",$C338="",$D338="",$E338="",$F338=""),"Stammdaten fehlen",IF(AND($G338="",$H338=""),"Werte fehlen",IF($G338="","Monatsstunden fehlen",IF($H338="","Monatslohn fehlt","OK")))))</f>
        <v>Monatslohn fehlt</v>
      </c>
      <c r="J338" s="429" t="str">
        <f>IF($G338="","",IF(COUNTIFS($A:$A,$A338,$D:$D,$D338,$G:$G,$G338)&gt;1,"Doppelte Monatsstunden",""))</f>
        <v/>
      </c>
    </row>
    <row r="339" spans="1:10" ht="24" customHeight="1" thickBot="1">
      <c r="A339" s="419" t="s">
        <v>329</v>
      </c>
      <c r="B339" s="409">
        <v>46143</v>
      </c>
      <c r="C339" s="409">
        <v>46507</v>
      </c>
      <c r="D339" s="410" t="s">
        <v>23</v>
      </c>
      <c r="E339" s="410" t="s">
        <v>21</v>
      </c>
      <c r="F339" s="410" t="s">
        <v>323</v>
      </c>
      <c r="G339" s="219"/>
      <c r="H339" s="220"/>
      <c r="I339" s="410" t="str">
        <f>IF($A339="","",IF(OR($B339="",$C339="",$D339="",$E339="",$F339=""),"Stammdaten fehlen",IF(AND($G339="",$H339=""),"Werte fehlen",IF($G339="","Monatsstunden fehlen",IF($H339="","Monatslohn fehlt","OK")))))</f>
        <v>Werte fehlen</v>
      </c>
      <c r="J339" s="429" t="str">
        <f>IF($G339="","",IF(COUNTIFS($A:$A,$A339,$D:$D,$D339,$G:$G,$G339)&gt;1,"Doppelte Monatsstunden",""))</f>
        <v/>
      </c>
    </row>
    <row r="340" spans="1:10" ht="24" customHeight="1">
      <c r="A340" s="418" t="s">
        <v>329</v>
      </c>
      <c r="B340" s="407">
        <v>46143</v>
      </c>
      <c r="C340" s="407">
        <v>46507</v>
      </c>
      <c r="D340" s="408" t="s">
        <v>24</v>
      </c>
      <c r="E340" s="408" t="s">
        <v>21</v>
      </c>
      <c r="F340" s="408" t="s">
        <v>324</v>
      </c>
      <c r="G340" s="217">
        <v>173</v>
      </c>
      <c r="H340" s="218"/>
      <c r="I340" s="408" t="str">
        <f>IF($A340="","",IF(OR($B340="",$C340="",$D340="",$E340="",$F340=""),"Stammdaten fehlen",IF(AND($G340="",$H340=""),"Werte fehlen",IF($G340="","Monatsstunden fehlen",IF($H340="","Monatslohn fehlt","OK")))))</f>
        <v>Monatslohn fehlt</v>
      </c>
      <c r="J340" s="428" t="str">
        <f>IF($G340="","",IF(COUNTIFS($A:$A,$A340,$D:$D,$D340,$G:$G,$G340)&gt;1,"Doppelte Monatsstunden",""))</f>
        <v/>
      </c>
    </row>
    <row r="341" spans="1:10" ht="24" customHeight="1">
      <c r="A341" s="419" t="s">
        <v>329</v>
      </c>
      <c r="B341" s="409">
        <v>46143</v>
      </c>
      <c r="C341" s="409">
        <v>46507</v>
      </c>
      <c r="D341" s="410" t="s">
        <v>24</v>
      </c>
      <c r="E341" s="410" t="s">
        <v>21</v>
      </c>
      <c r="F341" s="410" t="s">
        <v>324</v>
      </c>
      <c r="G341" s="219">
        <v>151.38</v>
      </c>
      <c r="H341" s="220"/>
      <c r="I341" s="410" t="str">
        <f>IF($A341="","",IF(OR($B341="",$C341="",$D341="",$E341="",$F341=""),"Stammdaten fehlen",IF(AND($G341="",$H341=""),"Werte fehlen",IF($G341="","Monatsstunden fehlen",IF($H341="","Monatslohn fehlt","OK")))))</f>
        <v>Monatslohn fehlt</v>
      </c>
      <c r="J341" s="429" t="str">
        <f>IF($G341="","",IF(COUNTIFS($A:$A,$A341,$D:$D,$D341,$G:$G,$G341)&gt;1,"Doppelte Monatsstunden",""))</f>
        <v/>
      </c>
    </row>
    <row r="342" spans="1:10" ht="24" customHeight="1">
      <c r="A342" s="419" t="s">
        <v>329</v>
      </c>
      <c r="B342" s="409">
        <v>46143</v>
      </c>
      <c r="C342" s="409">
        <v>46507</v>
      </c>
      <c r="D342" s="410" t="s">
        <v>24</v>
      </c>
      <c r="E342" s="410" t="s">
        <v>21</v>
      </c>
      <c r="F342" s="410" t="s">
        <v>324</v>
      </c>
      <c r="G342" s="219">
        <v>138.4</v>
      </c>
      <c r="H342" s="220"/>
      <c r="I342" s="410" t="str">
        <f>IF($A342="","",IF(OR($B342="",$C342="",$D342="",$E342="",$F342=""),"Stammdaten fehlen",IF(AND($G342="",$H342=""),"Werte fehlen",IF($G342="","Monatsstunden fehlen",IF($H342="","Monatslohn fehlt","OK")))))</f>
        <v>Monatslohn fehlt</v>
      </c>
      <c r="J342" s="429" t="str">
        <f>IF($G342="","",IF(COUNTIFS($A:$A,$A342,$D:$D,$D342,$G:$G,$G342)&gt;1,"Doppelte Monatsstunden",""))</f>
        <v/>
      </c>
    </row>
    <row r="343" spans="1:10" ht="24" customHeight="1">
      <c r="A343" s="419" t="s">
        <v>329</v>
      </c>
      <c r="B343" s="409">
        <v>46143</v>
      </c>
      <c r="C343" s="409">
        <v>46507</v>
      </c>
      <c r="D343" s="410" t="s">
        <v>24</v>
      </c>
      <c r="E343" s="410" t="s">
        <v>21</v>
      </c>
      <c r="F343" s="410" t="s">
        <v>324</v>
      </c>
      <c r="G343" s="219">
        <v>129.75</v>
      </c>
      <c r="H343" s="220"/>
      <c r="I343" s="410" t="str">
        <f>IF($A343="","",IF(OR($B343="",$C343="",$D343="",$E343="",$F343=""),"Stammdaten fehlen",IF(AND($G343="",$H343=""),"Werte fehlen",IF($G343="","Monatsstunden fehlen",IF($H343="","Monatslohn fehlt","OK")))))</f>
        <v>Monatslohn fehlt</v>
      </c>
      <c r="J343" s="429" t="str">
        <f>IF($G343="","",IF(COUNTIFS($A:$A,$A343,$D:$D,$D343,$G:$G,$G343)&gt;1,"Doppelte Monatsstunden",""))</f>
        <v/>
      </c>
    </row>
    <row r="344" spans="1:10" ht="24" customHeight="1">
      <c r="A344" s="419" t="s">
        <v>329</v>
      </c>
      <c r="B344" s="409">
        <v>46143</v>
      </c>
      <c r="C344" s="409">
        <v>46507</v>
      </c>
      <c r="D344" s="410" t="s">
        <v>24</v>
      </c>
      <c r="E344" s="410" t="s">
        <v>21</v>
      </c>
      <c r="F344" s="410" t="s">
        <v>324</v>
      </c>
      <c r="G344" s="219">
        <v>108.13</v>
      </c>
      <c r="H344" s="220"/>
      <c r="I344" s="410" t="str">
        <f>IF($A344="","",IF(OR($B344="",$C344="",$D344="",$E344="",$F344=""),"Stammdaten fehlen",IF(AND($G344="",$H344=""),"Werte fehlen",IF($G344="","Monatsstunden fehlen",IF($H344="","Monatslohn fehlt","OK")))))</f>
        <v>Monatslohn fehlt</v>
      </c>
      <c r="J344" s="429" t="str">
        <f>IF($G344="","",IF(COUNTIFS($A:$A,$A344,$D:$D,$D344,$G:$G,$G344)&gt;1,"Doppelte Monatsstunden",""))</f>
        <v/>
      </c>
    </row>
    <row r="345" spans="1:10" ht="24" customHeight="1">
      <c r="A345" s="419" t="s">
        <v>329</v>
      </c>
      <c r="B345" s="409">
        <v>46143</v>
      </c>
      <c r="C345" s="409">
        <v>46507</v>
      </c>
      <c r="D345" s="410" t="s">
        <v>24</v>
      </c>
      <c r="E345" s="410" t="s">
        <v>21</v>
      </c>
      <c r="F345" s="410" t="s">
        <v>324</v>
      </c>
      <c r="G345" s="219">
        <v>103.8</v>
      </c>
      <c r="H345" s="220"/>
      <c r="I345" s="410" t="str">
        <f>IF($A345="","",IF(OR($B345="",$C345="",$D345="",$E345="",$F345=""),"Stammdaten fehlen",IF(AND($G345="",$H345=""),"Werte fehlen",IF($G345="","Monatsstunden fehlen",IF($H345="","Monatslohn fehlt","OK")))))</f>
        <v>Monatslohn fehlt</v>
      </c>
      <c r="J345" s="429" t="str">
        <f>IF($G345="","",IF(COUNTIFS($A:$A,$A345,$D:$D,$D345,$G:$G,$G345)&gt;1,"Doppelte Monatsstunden",""))</f>
        <v/>
      </c>
    </row>
    <row r="346" spans="1:10" ht="24" customHeight="1">
      <c r="A346" s="419" t="s">
        <v>329</v>
      </c>
      <c r="B346" s="409">
        <v>46143</v>
      </c>
      <c r="C346" s="409">
        <v>46507</v>
      </c>
      <c r="D346" s="410" t="s">
        <v>24</v>
      </c>
      <c r="E346" s="410" t="s">
        <v>21</v>
      </c>
      <c r="F346" s="410" t="s">
        <v>324</v>
      </c>
      <c r="G346" s="219">
        <v>86.5</v>
      </c>
      <c r="H346" s="220"/>
      <c r="I346" s="410" t="str">
        <f>IF($A346="","",IF(OR($B346="",$C346="",$D346="",$E346="",$F346=""),"Stammdaten fehlen",IF(AND($G346="",$H346=""),"Werte fehlen",IF($G346="","Monatsstunden fehlen",IF($H346="","Monatslohn fehlt","OK")))))</f>
        <v>Monatslohn fehlt</v>
      </c>
      <c r="J346" s="429" t="str">
        <f>IF($G346="","",IF(COUNTIFS($A:$A,$A346,$D:$D,$D346,$G:$G,$G346)&gt;1,"Doppelte Monatsstunden",""))</f>
        <v/>
      </c>
    </row>
    <row r="347" spans="1:10" ht="24" customHeight="1">
      <c r="A347" s="419" t="s">
        <v>329</v>
      </c>
      <c r="B347" s="409">
        <v>46143</v>
      </c>
      <c r="C347" s="409">
        <v>46507</v>
      </c>
      <c r="D347" s="410" t="s">
        <v>24</v>
      </c>
      <c r="E347" s="410" t="s">
        <v>21</v>
      </c>
      <c r="F347" s="410" t="s">
        <v>324</v>
      </c>
      <c r="G347" s="219">
        <v>69.2</v>
      </c>
      <c r="H347" s="220"/>
      <c r="I347" s="410" t="str">
        <f>IF($A347="","",IF(OR($B347="",$C347="",$D347="",$E347="",$F347=""),"Stammdaten fehlen",IF(AND($G347="",$H347=""),"Werte fehlen",IF($G347="","Monatsstunden fehlen",IF($H347="","Monatslohn fehlt","OK")))))</f>
        <v>Monatslohn fehlt</v>
      </c>
      <c r="J347" s="429" t="str">
        <f>IF($G347="","",IF(COUNTIFS($A:$A,$A347,$D:$D,$D347,$G:$G,$G347)&gt;1,"Doppelte Monatsstunden",""))</f>
        <v/>
      </c>
    </row>
    <row r="348" spans="1:10" ht="24" customHeight="1">
      <c r="A348" s="419" t="s">
        <v>329</v>
      </c>
      <c r="B348" s="409">
        <v>46143</v>
      </c>
      <c r="C348" s="409">
        <v>46507</v>
      </c>
      <c r="D348" s="410" t="s">
        <v>24</v>
      </c>
      <c r="E348" s="410" t="s">
        <v>21</v>
      </c>
      <c r="F348" s="410" t="s">
        <v>324</v>
      </c>
      <c r="G348" s="219">
        <v>51.9</v>
      </c>
      <c r="H348" s="220"/>
      <c r="I348" s="410" t="str">
        <f>IF($A348="","",IF(OR($B348="",$C348="",$D348="",$E348="",$F348=""),"Stammdaten fehlen",IF(AND($G348="",$H348=""),"Werte fehlen",IF($G348="","Monatsstunden fehlen",IF($H348="","Monatslohn fehlt","OK")))))</f>
        <v>Monatslohn fehlt</v>
      </c>
      <c r="J348" s="429" t="str">
        <f>IF($G348="","",IF(COUNTIFS($A:$A,$A348,$D:$D,$D348,$G:$G,$G348)&gt;1,"Doppelte Monatsstunden",""))</f>
        <v/>
      </c>
    </row>
    <row r="349" spans="1:10" ht="24" customHeight="1">
      <c r="A349" s="419" t="s">
        <v>329</v>
      </c>
      <c r="B349" s="409">
        <v>46143</v>
      </c>
      <c r="C349" s="409">
        <v>46507</v>
      </c>
      <c r="D349" s="410" t="s">
        <v>24</v>
      </c>
      <c r="E349" s="410" t="s">
        <v>21</v>
      </c>
      <c r="F349" s="410" t="s">
        <v>324</v>
      </c>
      <c r="G349" s="219">
        <v>47.58</v>
      </c>
      <c r="H349" s="220"/>
      <c r="I349" s="410" t="str">
        <f>IF($A349="","",IF(OR($B349="",$C349="",$D349="",$E349="",$F349=""),"Stammdaten fehlen",IF(AND($G349="",$H349=""),"Werte fehlen",IF($G349="","Monatsstunden fehlen",IF($H349="","Monatslohn fehlt","OK")))))</f>
        <v>Monatslohn fehlt</v>
      </c>
      <c r="J349" s="429" t="str">
        <f>IF($G349="","",IF(COUNTIFS($A:$A,$A349,$D:$D,$D349,$G:$G,$G349)&gt;1,"Doppelte Monatsstunden",""))</f>
        <v/>
      </c>
    </row>
    <row r="350" spans="1:10" ht="24" customHeight="1">
      <c r="A350" s="419" t="s">
        <v>329</v>
      </c>
      <c r="B350" s="409">
        <v>46143</v>
      </c>
      <c r="C350" s="409">
        <v>46507</v>
      </c>
      <c r="D350" s="410" t="s">
        <v>24</v>
      </c>
      <c r="E350" s="410" t="s">
        <v>21</v>
      </c>
      <c r="F350" s="410" t="s">
        <v>324</v>
      </c>
      <c r="G350" s="219">
        <v>43.25</v>
      </c>
      <c r="H350" s="220"/>
      <c r="I350" s="410" t="str">
        <f>IF($A350="","",IF(OR($B350="",$C350="",$D350="",$E350="",$F350=""),"Stammdaten fehlen",IF(AND($G350="",$H350=""),"Werte fehlen",IF($G350="","Monatsstunden fehlen",IF($H350="","Monatslohn fehlt","OK")))))</f>
        <v>Monatslohn fehlt</v>
      </c>
      <c r="J350" s="429" t="str">
        <f>IF($G350="","",IF(COUNTIFS($A:$A,$A350,$D:$D,$D350,$G:$G,$G350)&gt;1,"Doppelte Monatsstunden",""))</f>
        <v/>
      </c>
    </row>
    <row r="351" spans="1:10" ht="24" customHeight="1">
      <c r="A351" s="419" t="s">
        <v>329</v>
      </c>
      <c r="B351" s="409">
        <v>46143</v>
      </c>
      <c r="C351" s="409">
        <v>46507</v>
      </c>
      <c r="D351" s="410" t="s">
        <v>24</v>
      </c>
      <c r="E351" s="410" t="s">
        <v>21</v>
      </c>
      <c r="F351" s="410" t="s">
        <v>324</v>
      </c>
      <c r="G351" s="219">
        <v>34.6</v>
      </c>
      <c r="H351" s="220"/>
      <c r="I351" s="410" t="str">
        <f>IF($A351="","",IF(OR($B351="",$C351="",$D351="",$E351="",$F351=""),"Stammdaten fehlen",IF(AND($G351="",$H351=""),"Werte fehlen",IF($G351="","Monatsstunden fehlen",IF($H351="","Monatslohn fehlt","OK")))))</f>
        <v>Monatslohn fehlt</v>
      </c>
      <c r="J351" s="429" t="str">
        <f>IF($G351="","",IF(COUNTIFS($A:$A,$A351,$D:$D,$D351,$G:$G,$G351)&gt;1,"Doppelte Monatsstunden",""))</f>
        <v/>
      </c>
    </row>
    <row r="352" spans="1:10" ht="24" customHeight="1">
      <c r="A352" s="419" t="s">
        <v>329</v>
      </c>
      <c r="B352" s="409">
        <v>46143</v>
      </c>
      <c r="C352" s="409">
        <v>46507</v>
      </c>
      <c r="D352" s="410" t="s">
        <v>24</v>
      </c>
      <c r="E352" s="410" t="s">
        <v>21</v>
      </c>
      <c r="F352" s="410" t="s">
        <v>324</v>
      </c>
      <c r="G352" s="219">
        <v>32.01</v>
      </c>
      <c r="H352" s="220"/>
      <c r="I352" s="410" t="str">
        <f>IF($A352="","",IF(OR($B352="",$C352="",$D352="",$E352="",$F352=""),"Stammdaten fehlen",IF(AND($G352="",$H352=""),"Werte fehlen",IF($G352="","Monatsstunden fehlen",IF($H352="","Monatslohn fehlt","OK")))))</f>
        <v>Monatslohn fehlt</v>
      </c>
      <c r="J352" s="429" t="str">
        <f>IF($G352="","",IF(COUNTIFS($A:$A,$A352,$D:$D,$D352,$G:$G,$G352)&gt;1,"Doppelte Monatsstunden",""))</f>
        <v/>
      </c>
    </row>
    <row r="353" spans="1:10" ht="24" customHeight="1">
      <c r="A353" s="420" t="s">
        <v>329</v>
      </c>
      <c r="B353" s="405">
        <v>46143</v>
      </c>
      <c r="C353" s="405">
        <v>46507</v>
      </c>
      <c r="D353" s="406" t="s">
        <v>24</v>
      </c>
      <c r="E353" s="406" t="s">
        <v>21</v>
      </c>
      <c r="F353" s="406" t="s">
        <v>324</v>
      </c>
      <c r="G353" s="221"/>
      <c r="H353" s="222"/>
      <c r="I353" s="406" t="str">
        <f>IF($A353="","",IF(OR($B353="",$C353="",$D353="",$E353="",$F353=""),"Stammdaten fehlen",IF(AND($G353="",$H353=""),"Werte fehlen",IF($G353="","Monatsstunden fehlen",IF($H353="","Monatslohn fehlt","OK")))))</f>
        <v>Werte fehlen</v>
      </c>
      <c r="J353" s="430" t="str">
        <f>IF($G353="","",IF(COUNTIFS($A:$A,$A353,$D:$D,$D353,$G:$G,$G353)&gt;1,"Doppelte Monatsstunden",""))</f>
        <v/>
      </c>
    </row>
    <row r="354" spans="1:10" ht="24" customHeight="1" thickBot="1">
      <c r="A354" s="412" t="s">
        <v>419</v>
      </c>
      <c r="B354" s="391"/>
      <c r="C354" s="391"/>
      <c r="D354" s="392"/>
      <c r="E354" s="392"/>
      <c r="F354" s="392"/>
      <c r="G354" s="393"/>
      <c r="H354" s="394"/>
      <c r="I354" s="392"/>
      <c r="J354" s="422"/>
    </row>
    <row r="355" spans="1:10" ht="24" customHeight="1">
      <c r="A355" s="413" t="s">
        <v>334</v>
      </c>
      <c r="B355" s="395">
        <v>45778</v>
      </c>
      <c r="C355" s="395">
        <v>46142</v>
      </c>
      <c r="D355" s="396" t="s">
        <v>331</v>
      </c>
      <c r="E355" s="396" t="s">
        <v>4</v>
      </c>
      <c r="F355" s="396" t="s">
        <v>321</v>
      </c>
      <c r="G355" s="207">
        <v>173</v>
      </c>
      <c r="H355" s="208">
        <v>2021</v>
      </c>
      <c r="I355" s="396" t="str">
        <f>IF($A355="","",IF(OR($B355="",$C355="",$D355="",$E355="",$F355=""),"Stammdaten fehlen",IF(AND($G355="",$H355=""),"Werte fehlen",IF($G355="","Monatsstunden fehlen",IF($H355="","Monatslohn fehlt","OK")))))</f>
        <v>OK</v>
      </c>
      <c r="J355" s="423" t="str">
        <f>IF($G355="","",IF(COUNTIFS($A:$A,$A355,$D:$D,$D355,$G:$G,$G355)&gt;1,"Doppelte Monatsstunden",""))</f>
        <v/>
      </c>
    </row>
    <row r="356" spans="1:10" ht="24" customHeight="1">
      <c r="A356" s="414" t="s">
        <v>334</v>
      </c>
      <c r="B356" s="397">
        <v>45778</v>
      </c>
      <c r="C356" s="397">
        <v>46142</v>
      </c>
      <c r="D356" s="398" t="s">
        <v>331</v>
      </c>
      <c r="E356" s="398" t="s">
        <v>4</v>
      </c>
      <c r="F356" s="398" t="s">
        <v>321</v>
      </c>
      <c r="G356" s="209">
        <v>151.38</v>
      </c>
      <c r="H356" s="210">
        <v>1768.38</v>
      </c>
      <c r="I356" s="398" t="str">
        <f>IF($A356="","",IF(OR($B356="",$C356="",$D356="",$E356="",$F356=""),"Stammdaten fehlen",IF(AND($G356="",$H356=""),"Werte fehlen",IF($G356="","Monatsstunden fehlen",IF($H356="","Monatslohn fehlt","OK")))))</f>
        <v>OK</v>
      </c>
      <c r="J356" s="424" t="str">
        <f>IF($G356="","",IF(COUNTIFS($A:$A,$A356,$D:$D,$D356,$G:$G,$G356)&gt;1,"Doppelte Monatsstunden",""))</f>
        <v/>
      </c>
    </row>
    <row r="357" spans="1:10" ht="24" customHeight="1">
      <c r="A357" s="414" t="s">
        <v>334</v>
      </c>
      <c r="B357" s="397">
        <v>45778</v>
      </c>
      <c r="C357" s="397">
        <v>46142</v>
      </c>
      <c r="D357" s="398" t="s">
        <v>331</v>
      </c>
      <c r="E357" s="398" t="s">
        <v>4</v>
      </c>
      <c r="F357" s="398" t="s">
        <v>321</v>
      </c>
      <c r="G357" s="209">
        <v>138.4</v>
      </c>
      <c r="H357" s="210">
        <v>1616.8</v>
      </c>
      <c r="I357" s="398" t="str">
        <f>IF($A357="","",IF(OR($B357="",$C357="",$D357="",$E357="",$F357=""),"Stammdaten fehlen",IF(AND($G357="",$H357=""),"Werte fehlen",IF($G357="","Monatsstunden fehlen",IF($H357="","Monatslohn fehlt","OK")))))</f>
        <v>OK</v>
      </c>
      <c r="J357" s="424" t="str">
        <f>IF($G357="","",IF(COUNTIFS($A:$A,$A357,$D:$D,$D357,$G:$G,$G357)&gt;1,"Doppelte Monatsstunden",""))</f>
        <v/>
      </c>
    </row>
    <row r="358" spans="1:10" ht="24" customHeight="1">
      <c r="A358" s="414" t="s">
        <v>334</v>
      </c>
      <c r="B358" s="397">
        <v>45778</v>
      </c>
      <c r="C358" s="397">
        <v>46142</v>
      </c>
      <c r="D358" s="398" t="s">
        <v>331</v>
      </c>
      <c r="E358" s="398" t="s">
        <v>4</v>
      </c>
      <c r="F358" s="398" t="s">
        <v>321</v>
      </c>
      <c r="G358" s="209">
        <v>129.75</v>
      </c>
      <c r="H358" s="210">
        <v>1515.75</v>
      </c>
      <c r="I358" s="398" t="str">
        <f>IF($A358="","",IF(OR($B358="",$C358="",$D358="",$E358="",$F358=""),"Stammdaten fehlen",IF(AND($G358="",$H358=""),"Werte fehlen",IF($G358="","Monatsstunden fehlen",IF($H358="","Monatslohn fehlt","OK")))))</f>
        <v>OK</v>
      </c>
      <c r="J358" s="424" t="str">
        <f>IF($G358="","",IF(COUNTIFS($A:$A,$A358,$D:$D,$D358,$G:$G,$G358)&gt;1,"Doppelte Monatsstunden",""))</f>
        <v/>
      </c>
    </row>
    <row r="359" spans="1:10" ht="24" customHeight="1">
      <c r="A359" s="414" t="s">
        <v>334</v>
      </c>
      <c r="B359" s="397">
        <v>45778</v>
      </c>
      <c r="C359" s="397">
        <v>46142</v>
      </c>
      <c r="D359" s="398" t="s">
        <v>331</v>
      </c>
      <c r="E359" s="398" t="s">
        <v>4</v>
      </c>
      <c r="F359" s="398" t="s">
        <v>321</v>
      </c>
      <c r="G359" s="209">
        <v>108.13</v>
      </c>
      <c r="H359" s="210">
        <v>1263.1300000000001</v>
      </c>
      <c r="I359" s="398" t="str">
        <f>IF($A359="","",IF(OR($B359="",$C359="",$D359="",$E359="",$F359=""),"Stammdaten fehlen",IF(AND($G359="",$H359=""),"Werte fehlen",IF($G359="","Monatsstunden fehlen",IF($H359="","Monatslohn fehlt","OK")))))</f>
        <v>OK</v>
      </c>
      <c r="J359" s="424" t="str">
        <f>IF($G359="","",IF(COUNTIFS($A:$A,$A359,$D:$D,$D359,$G:$G,$G359)&gt;1,"Doppelte Monatsstunden",""))</f>
        <v/>
      </c>
    </row>
    <row r="360" spans="1:10" ht="24" customHeight="1">
      <c r="A360" s="414" t="s">
        <v>334</v>
      </c>
      <c r="B360" s="397">
        <v>45778</v>
      </c>
      <c r="C360" s="397">
        <v>46142</v>
      </c>
      <c r="D360" s="398" t="s">
        <v>331</v>
      </c>
      <c r="E360" s="398" t="s">
        <v>4</v>
      </c>
      <c r="F360" s="398" t="s">
        <v>321</v>
      </c>
      <c r="G360" s="209">
        <v>103.8</v>
      </c>
      <c r="H360" s="210">
        <v>1212.5999999999999</v>
      </c>
      <c r="I360" s="398" t="str">
        <f>IF($A360="","",IF(OR($B360="",$C360="",$D360="",$E360="",$F360=""),"Stammdaten fehlen",IF(AND($G360="",$H360=""),"Werte fehlen",IF($G360="","Monatsstunden fehlen",IF($H360="","Monatslohn fehlt","OK")))))</f>
        <v>OK</v>
      </c>
      <c r="J360" s="424" t="str">
        <f>IF($G360="","",IF(COUNTIFS($A:$A,$A360,$D:$D,$D360,$G:$G,$G360)&gt;1,"Doppelte Monatsstunden",""))</f>
        <v/>
      </c>
    </row>
    <row r="361" spans="1:10" ht="24" customHeight="1">
      <c r="A361" s="414" t="s">
        <v>334</v>
      </c>
      <c r="B361" s="397">
        <v>45778</v>
      </c>
      <c r="C361" s="397">
        <v>46142</v>
      </c>
      <c r="D361" s="398" t="s">
        <v>331</v>
      </c>
      <c r="E361" s="398" t="s">
        <v>4</v>
      </c>
      <c r="F361" s="398" t="s">
        <v>321</v>
      </c>
      <c r="G361" s="209">
        <v>86.5</v>
      </c>
      <c r="H361" s="210">
        <v>1010.5</v>
      </c>
      <c r="I361" s="398" t="str">
        <f>IF($A361="","",IF(OR($B361="",$C361="",$D361="",$E361="",$F361=""),"Stammdaten fehlen",IF(AND($G361="",$H361=""),"Werte fehlen",IF($G361="","Monatsstunden fehlen",IF($H361="","Monatslohn fehlt","OK")))))</f>
        <v>OK</v>
      </c>
      <c r="J361" s="424" t="str">
        <f>IF($G361="","",IF(COUNTIFS($A:$A,$A361,$D:$D,$D361,$G:$G,$G361)&gt;1,"Doppelte Monatsstunden",""))</f>
        <v/>
      </c>
    </row>
    <row r="362" spans="1:10" ht="24" customHeight="1">
      <c r="A362" s="414" t="s">
        <v>334</v>
      </c>
      <c r="B362" s="397">
        <v>45778</v>
      </c>
      <c r="C362" s="397">
        <v>46142</v>
      </c>
      <c r="D362" s="398" t="s">
        <v>331</v>
      </c>
      <c r="E362" s="398" t="s">
        <v>4</v>
      </c>
      <c r="F362" s="398" t="s">
        <v>321</v>
      </c>
      <c r="G362" s="209">
        <v>69.2</v>
      </c>
      <c r="H362" s="210">
        <v>808.4</v>
      </c>
      <c r="I362" s="398" t="str">
        <f>IF($A362="","",IF(OR($B362="",$C362="",$D362="",$E362="",$F362=""),"Stammdaten fehlen",IF(AND($G362="",$H362=""),"Werte fehlen",IF($G362="","Monatsstunden fehlen",IF($H362="","Monatslohn fehlt","OK")))))</f>
        <v>OK</v>
      </c>
      <c r="J362" s="424" t="str">
        <f>IF($G362="","",IF(COUNTIFS($A:$A,$A362,$D:$D,$D362,$G:$G,$G362)&gt;1,"Doppelte Monatsstunden",""))</f>
        <v/>
      </c>
    </row>
    <row r="363" spans="1:10" ht="24" customHeight="1">
      <c r="A363" s="414" t="s">
        <v>334</v>
      </c>
      <c r="B363" s="397">
        <v>45778</v>
      </c>
      <c r="C363" s="397">
        <v>46142</v>
      </c>
      <c r="D363" s="398" t="s">
        <v>331</v>
      </c>
      <c r="E363" s="398" t="s">
        <v>4</v>
      </c>
      <c r="F363" s="398" t="s">
        <v>321</v>
      </c>
      <c r="G363" s="209">
        <v>51.9</v>
      </c>
      <c r="H363" s="210">
        <v>606.29999999999995</v>
      </c>
      <c r="I363" s="398" t="str">
        <f>IF($A363="","",IF(OR($B363="",$C363="",$D363="",$E363="",$F363=""),"Stammdaten fehlen",IF(AND($G363="",$H363=""),"Werte fehlen",IF($G363="","Monatsstunden fehlen",IF($H363="","Monatslohn fehlt","OK")))))</f>
        <v>OK</v>
      </c>
      <c r="J363" s="424" t="str">
        <f>IF($G363="","",IF(COUNTIFS($A:$A,$A363,$D:$D,$D363,$G:$G,$G363)&gt;1,"Doppelte Monatsstunden",""))</f>
        <v/>
      </c>
    </row>
    <row r="364" spans="1:10" ht="24" customHeight="1">
      <c r="A364" s="414" t="s">
        <v>334</v>
      </c>
      <c r="B364" s="397">
        <v>45778</v>
      </c>
      <c r="C364" s="397">
        <v>46142</v>
      </c>
      <c r="D364" s="398" t="s">
        <v>331</v>
      </c>
      <c r="E364" s="398" t="s">
        <v>4</v>
      </c>
      <c r="F364" s="398" t="s">
        <v>321</v>
      </c>
      <c r="G364" s="209">
        <v>47.58</v>
      </c>
      <c r="H364" s="210">
        <v>555.78</v>
      </c>
      <c r="I364" s="398" t="str">
        <f>IF($A364="","",IF(OR($B364="",$C364="",$D364="",$E364="",$F364=""),"Stammdaten fehlen",IF(AND($G364="",$H364=""),"Werte fehlen",IF($G364="","Monatsstunden fehlen",IF($H364="","Monatslohn fehlt","OK")))))</f>
        <v>OK</v>
      </c>
      <c r="J364" s="424" t="str">
        <f>IF($G364="","",IF(COUNTIFS($A:$A,$A364,$D:$D,$D364,$G:$G,$G364)&gt;1,"Doppelte Monatsstunden",""))</f>
        <v/>
      </c>
    </row>
    <row r="365" spans="1:10" ht="24" customHeight="1">
      <c r="A365" s="414" t="s">
        <v>334</v>
      </c>
      <c r="B365" s="397">
        <v>45778</v>
      </c>
      <c r="C365" s="397">
        <v>46142</v>
      </c>
      <c r="D365" s="398" t="s">
        <v>331</v>
      </c>
      <c r="E365" s="398" t="s">
        <v>4</v>
      </c>
      <c r="F365" s="398" t="s">
        <v>321</v>
      </c>
      <c r="G365" s="209">
        <v>43.25</v>
      </c>
      <c r="H365" s="210">
        <v>505.25</v>
      </c>
      <c r="I365" s="398" t="str">
        <f>IF($A365="","",IF(OR($B365="",$C365="",$D365="",$E365="",$F365=""),"Stammdaten fehlen",IF(AND($G365="",$H365=""),"Werte fehlen",IF($G365="","Monatsstunden fehlen",IF($H365="","Monatslohn fehlt","OK")))))</f>
        <v>OK</v>
      </c>
      <c r="J365" s="424" t="str">
        <f>IF($G365="","",IF(COUNTIFS($A:$A,$A365,$D:$D,$D365,$G:$G,$G365)&gt;1,"Doppelte Monatsstunden",""))</f>
        <v/>
      </c>
    </row>
    <row r="366" spans="1:10" ht="24" customHeight="1">
      <c r="A366" s="414" t="s">
        <v>334</v>
      </c>
      <c r="B366" s="397">
        <v>45778</v>
      </c>
      <c r="C366" s="397">
        <v>46142</v>
      </c>
      <c r="D366" s="398" t="s">
        <v>331</v>
      </c>
      <c r="E366" s="398" t="s">
        <v>4</v>
      </c>
      <c r="F366" s="398" t="s">
        <v>321</v>
      </c>
      <c r="G366" s="209">
        <v>34.6</v>
      </c>
      <c r="H366" s="210">
        <v>404.2</v>
      </c>
      <c r="I366" s="398" t="str">
        <f>IF($A366="","",IF(OR($B366="",$C366="",$D366="",$E366="",$F366=""),"Stammdaten fehlen",IF(AND($G366="",$H366=""),"Werte fehlen",IF($G366="","Monatsstunden fehlen",IF($H366="","Monatslohn fehlt","OK")))))</f>
        <v>OK</v>
      </c>
      <c r="J366" s="424" t="str">
        <f>IF($G366="","",IF(COUNTIFS($A:$A,$A366,$D:$D,$D366,$G:$G,$G366)&gt;1,"Doppelte Monatsstunden",""))</f>
        <v/>
      </c>
    </row>
    <row r="367" spans="1:10" ht="24" customHeight="1" thickBot="1">
      <c r="A367" s="414" t="s">
        <v>334</v>
      </c>
      <c r="B367" s="397">
        <v>45778</v>
      </c>
      <c r="C367" s="397">
        <v>46142</v>
      </c>
      <c r="D367" s="398" t="s">
        <v>331</v>
      </c>
      <c r="E367" s="398" t="s">
        <v>4</v>
      </c>
      <c r="F367" s="398" t="s">
        <v>321</v>
      </c>
      <c r="G367" s="209">
        <v>32.01</v>
      </c>
      <c r="H367" s="210">
        <v>373.89</v>
      </c>
      <c r="I367" s="398" t="str">
        <f>IF($A367="","",IF(OR($B367="",$C367="",$D367="",$E367="",$F367=""),"Stammdaten fehlen",IF(AND($G367="",$H367=""),"Werte fehlen",IF($G367="","Monatsstunden fehlen",IF($H367="","Monatslohn fehlt","OK")))))</f>
        <v>OK</v>
      </c>
      <c r="J367" s="424" t="str">
        <f>IF($G367="","",IF(COUNTIFS($A:$A,$A367,$D:$D,$D367,$G:$G,$G367)&gt;1,"Doppelte Monatsstunden",""))</f>
        <v/>
      </c>
    </row>
    <row r="368" spans="1:10" ht="24" customHeight="1">
      <c r="A368" s="415" t="s">
        <v>334</v>
      </c>
      <c r="B368" s="399">
        <v>45778</v>
      </c>
      <c r="C368" s="399">
        <v>46142</v>
      </c>
      <c r="D368" s="400" t="s">
        <v>8</v>
      </c>
      <c r="E368" s="400" t="s">
        <v>4</v>
      </c>
      <c r="F368" s="400" t="s">
        <v>322</v>
      </c>
      <c r="G368" s="211">
        <v>173</v>
      </c>
      <c r="H368" s="212">
        <v>2082</v>
      </c>
      <c r="I368" s="400" t="str">
        <f>IF($A368="","",IF(OR($B368="",$C368="",$D368="",$E368="",$F368=""),"Stammdaten fehlen",IF(AND($G368="",$H368=""),"Werte fehlen",IF($G368="","Monatsstunden fehlen",IF($H368="","Monatslohn fehlt","OK")))))</f>
        <v>OK</v>
      </c>
      <c r="J368" s="425" t="str">
        <f>IF($G368="","",IF(COUNTIFS($A:$A,$A368,$D:$D,$D368,$G:$G,$G368)&gt;1,"Doppelte Monatsstunden",""))</f>
        <v/>
      </c>
    </row>
    <row r="369" spans="1:10" ht="24" customHeight="1">
      <c r="A369" s="414" t="s">
        <v>334</v>
      </c>
      <c r="B369" s="397">
        <v>45778</v>
      </c>
      <c r="C369" s="397">
        <v>46142</v>
      </c>
      <c r="D369" s="398" t="s">
        <v>8</v>
      </c>
      <c r="E369" s="398" t="s">
        <v>4</v>
      </c>
      <c r="F369" s="398" t="s">
        <v>322</v>
      </c>
      <c r="G369" s="209">
        <v>151.38</v>
      </c>
      <c r="H369" s="210">
        <v>1821.75</v>
      </c>
      <c r="I369" s="398" t="str">
        <f>IF($A369="","",IF(OR($B369="",$C369="",$D369="",$E369="",$F369=""),"Stammdaten fehlen",IF(AND($G369="",$H369=""),"Werte fehlen",IF($G369="","Monatsstunden fehlen",IF($H369="","Monatslohn fehlt","OK")))))</f>
        <v>OK</v>
      </c>
      <c r="J369" s="424" t="str">
        <f>IF($G369="","",IF(COUNTIFS($A:$A,$A369,$D:$D,$D369,$G:$G,$G369)&gt;1,"Doppelte Monatsstunden",""))</f>
        <v/>
      </c>
    </row>
    <row r="370" spans="1:10" ht="24" customHeight="1">
      <c r="A370" s="414" t="s">
        <v>334</v>
      </c>
      <c r="B370" s="397">
        <v>45778</v>
      </c>
      <c r="C370" s="397">
        <v>46142</v>
      </c>
      <c r="D370" s="398" t="s">
        <v>8</v>
      </c>
      <c r="E370" s="398" t="s">
        <v>4</v>
      </c>
      <c r="F370" s="398" t="s">
        <v>322</v>
      </c>
      <c r="G370" s="209">
        <v>138.4</v>
      </c>
      <c r="H370" s="210">
        <v>1665.6</v>
      </c>
      <c r="I370" s="398" t="str">
        <f>IF($A370="","",IF(OR($B370="",$C370="",$D370="",$E370="",$F370=""),"Stammdaten fehlen",IF(AND($G370="",$H370=""),"Werte fehlen",IF($G370="","Monatsstunden fehlen",IF($H370="","Monatslohn fehlt","OK")))))</f>
        <v>OK</v>
      </c>
      <c r="J370" s="424" t="str">
        <f>IF($G370="","",IF(COUNTIFS($A:$A,$A370,$D:$D,$D370,$G:$G,$G370)&gt;1,"Doppelte Monatsstunden",""))</f>
        <v/>
      </c>
    </row>
    <row r="371" spans="1:10" ht="24" customHeight="1">
      <c r="A371" s="414" t="s">
        <v>334</v>
      </c>
      <c r="B371" s="397">
        <v>45778</v>
      </c>
      <c r="C371" s="397">
        <v>46142</v>
      </c>
      <c r="D371" s="398" t="s">
        <v>8</v>
      </c>
      <c r="E371" s="398" t="s">
        <v>4</v>
      </c>
      <c r="F371" s="398" t="s">
        <v>322</v>
      </c>
      <c r="G371" s="209">
        <v>129.75</v>
      </c>
      <c r="H371" s="210">
        <v>1561.5</v>
      </c>
      <c r="I371" s="398" t="str">
        <f>IF($A371="","",IF(OR($B371="",$C371="",$D371="",$E371="",$F371=""),"Stammdaten fehlen",IF(AND($G371="",$H371=""),"Werte fehlen",IF($G371="","Monatsstunden fehlen",IF($H371="","Monatslohn fehlt","OK")))))</f>
        <v>OK</v>
      </c>
      <c r="J371" s="424" t="str">
        <f>IF($G371="","",IF(COUNTIFS($A:$A,$A371,$D:$D,$D371,$G:$G,$G371)&gt;1,"Doppelte Monatsstunden",""))</f>
        <v/>
      </c>
    </row>
    <row r="372" spans="1:10" ht="24" customHeight="1">
      <c r="A372" s="414" t="s">
        <v>334</v>
      </c>
      <c r="B372" s="397">
        <v>45778</v>
      </c>
      <c r="C372" s="397">
        <v>46142</v>
      </c>
      <c r="D372" s="398" t="s">
        <v>8</v>
      </c>
      <c r="E372" s="398" t="s">
        <v>4</v>
      </c>
      <c r="F372" s="398" t="s">
        <v>322</v>
      </c>
      <c r="G372" s="209">
        <v>108.13</v>
      </c>
      <c r="H372" s="210">
        <v>1301.25</v>
      </c>
      <c r="I372" s="398" t="str">
        <f>IF($A372="","",IF(OR($B372="",$C372="",$D372="",$E372="",$F372=""),"Stammdaten fehlen",IF(AND($G372="",$H372=""),"Werte fehlen",IF($G372="","Monatsstunden fehlen",IF($H372="","Monatslohn fehlt","OK")))))</f>
        <v>OK</v>
      </c>
      <c r="J372" s="424" t="str">
        <f>IF($G372="","",IF(COUNTIFS($A:$A,$A372,$D:$D,$D372,$G:$G,$G372)&gt;1,"Doppelte Monatsstunden",""))</f>
        <v/>
      </c>
    </row>
    <row r="373" spans="1:10" ht="24" customHeight="1">
      <c r="A373" s="414" t="s">
        <v>334</v>
      </c>
      <c r="B373" s="397">
        <v>45778</v>
      </c>
      <c r="C373" s="397">
        <v>46142</v>
      </c>
      <c r="D373" s="398" t="s">
        <v>8</v>
      </c>
      <c r="E373" s="398" t="s">
        <v>4</v>
      </c>
      <c r="F373" s="398" t="s">
        <v>322</v>
      </c>
      <c r="G373" s="209">
        <v>103.8</v>
      </c>
      <c r="H373" s="210">
        <v>1249.2</v>
      </c>
      <c r="I373" s="398" t="str">
        <f>IF($A373="","",IF(OR($B373="",$C373="",$D373="",$E373="",$F373=""),"Stammdaten fehlen",IF(AND($G373="",$H373=""),"Werte fehlen",IF($G373="","Monatsstunden fehlen",IF($H373="","Monatslohn fehlt","OK")))))</f>
        <v>OK</v>
      </c>
      <c r="J373" s="424" t="str">
        <f>IF($G373="","",IF(COUNTIFS($A:$A,$A373,$D:$D,$D373,$G:$G,$G373)&gt;1,"Doppelte Monatsstunden",""))</f>
        <v/>
      </c>
    </row>
    <row r="374" spans="1:10" ht="24" customHeight="1">
      <c r="A374" s="414" t="s">
        <v>334</v>
      </c>
      <c r="B374" s="397">
        <v>45778</v>
      </c>
      <c r="C374" s="397">
        <v>46142</v>
      </c>
      <c r="D374" s="398" t="s">
        <v>8</v>
      </c>
      <c r="E374" s="398" t="s">
        <v>4</v>
      </c>
      <c r="F374" s="398" t="s">
        <v>322</v>
      </c>
      <c r="G374" s="209">
        <v>86.5</v>
      </c>
      <c r="H374" s="210">
        <v>1041.2</v>
      </c>
      <c r="I374" s="398" t="str">
        <f>IF($A374="","",IF(OR($B374="",$C374="",$D374="",$E374="",$F374=""),"Stammdaten fehlen",IF(AND($G374="",$H374=""),"Werte fehlen",IF($G374="","Monatsstunden fehlen",IF($H374="","Monatslohn fehlt","OK")))))</f>
        <v>OK</v>
      </c>
      <c r="J374" s="424" t="str">
        <f>IF($G374="","",IF(COUNTIFS($A:$A,$A374,$D:$D,$D374,$G:$G,$G374)&gt;1,"Doppelte Monatsstunden",""))</f>
        <v/>
      </c>
    </row>
    <row r="375" spans="1:10" ht="24" customHeight="1">
      <c r="A375" s="414" t="s">
        <v>334</v>
      </c>
      <c r="B375" s="397">
        <v>45778</v>
      </c>
      <c r="C375" s="397">
        <v>46142</v>
      </c>
      <c r="D375" s="398" t="s">
        <v>8</v>
      </c>
      <c r="E375" s="398" t="s">
        <v>4</v>
      </c>
      <c r="F375" s="398" t="s">
        <v>322</v>
      </c>
      <c r="G375" s="209">
        <v>69.2</v>
      </c>
      <c r="H375" s="210">
        <v>832.8</v>
      </c>
      <c r="I375" s="398" t="str">
        <f>IF($A375="","",IF(OR($B375="",$C375="",$D375="",$E375="",$F375=""),"Stammdaten fehlen",IF(AND($G375="",$H375=""),"Werte fehlen",IF($G375="","Monatsstunden fehlen",IF($H375="","Monatslohn fehlt","OK")))))</f>
        <v>OK</v>
      </c>
      <c r="J375" s="424" t="str">
        <f>IF($G375="","",IF(COUNTIFS($A:$A,$A375,$D:$D,$D375,$G:$G,$G375)&gt;1,"Doppelte Monatsstunden",""))</f>
        <v/>
      </c>
    </row>
    <row r="376" spans="1:10" ht="24" customHeight="1">
      <c r="A376" s="414" t="s">
        <v>334</v>
      </c>
      <c r="B376" s="397">
        <v>45778</v>
      </c>
      <c r="C376" s="397">
        <v>46142</v>
      </c>
      <c r="D376" s="398" t="s">
        <v>8</v>
      </c>
      <c r="E376" s="398" t="s">
        <v>4</v>
      </c>
      <c r="F376" s="398" t="s">
        <v>322</v>
      </c>
      <c r="G376" s="209">
        <v>51.9</v>
      </c>
      <c r="H376" s="210">
        <v>624.6</v>
      </c>
      <c r="I376" s="398" t="str">
        <f>IF($A376="","",IF(OR($B376="",$C376="",$D376="",$E376="",$F376=""),"Stammdaten fehlen",IF(AND($G376="",$H376=""),"Werte fehlen",IF($G376="","Monatsstunden fehlen",IF($H376="","Monatslohn fehlt","OK")))))</f>
        <v>OK</v>
      </c>
      <c r="J376" s="424" t="str">
        <f>IF($G376="","",IF(COUNTIFS($A:$A,$A376,$D:$D,$D376,$G:$G,$G376)&gt;1,"Doppelte Monatsstunden",""))</f>
        <v/>
      </c>
    </row>
    <row r="377" spans="1:10" ht="24" customHeight="1">
      <c r="A377" s="414" t="s">
        <v>334</v>
      </c>
      <c r="B377" s="397">
        <v>45778</v>
      </c>
      <c r="C377" s="397">
        <v>46142</v>
      </c>
      <c r="D377" s="398" t="s">
        <v>8</v>
      </c>
      <c r="E377" s="398" t="s">
        <v>4</v>
      </c>
      <c r="F377" s="398" t="s">
        <v>322</v>
      </c>
      <c r="G377" s="209">
        <v>47.58</v>
      </c>
      <c r="H377" s="210">
        <v>575.54999999999995</v>
      </c>
      <c r="I377" s="398" t="str">
        <f>IF($A377="","",IF(OR($B377="",$C377="",$D377="",$E377="",$F377=""),"Stammdaten fehlen",IF(AND($G377="",$H377=""),"Werte fehlen",IF($G377="","Monatsstunden fehlen",IF($H377="","Monatslohn fehlt","OK")))))</f>
        <v>OK</v>
      </c>
      <c r="J377" s="424" t="str">
        <f>IF($G377="","",IF(COUNTIFS($A:$A,$A377,$D:$D,$D377,$G:$G,$G377)&gt;1,"Doppelte Monatsstunden",""))</f>
        <v/>
      </c>
    </row>
    <row r="378" spans="1:10" ht="24" customHeight="1">
      <c r="A378" s="414" t="s">
        <v>334</v>
      </c>
      <c r="B378" s="397">
        <v>45778</v>
      </c>
      <c r="C378" s="397">
        <v>46142</v>
      </c>
      <c r="D378" s="398" t="s">
        <v>8</v>
      </c>
      <c r="E378" s="398" t="s">
        <v>4</v>
      </c>
      <c r="F378" s="398" t="s">
        <v>322</v>
      </c>
      <c r="G378" s="209">
        <v>43.25</v>
      </c>
      <c r="H378" s="210">
        <v>520.5</v>
      </c>
      <c r="I378" s="398" t="str">
        <f>IF($A378="","",IF(OR($B378="",$C378="",$D378="",$E378="",$F378=""),"Stammdaten fehlen",IF(AND($G378="",$H378=""),"Werte fehlen",IF($G378="","Monatsstunden fehlen",IF($H378="","Monatslohn fehlt","OK")))))</f>
        <v>OK</v>
      </c>
      <c r="J378" s="424" t="str">
        <f>IF($G378="","",IF(COUNTIFS($A:$A,$A378,$D:$D,$D378,$G:$G,$G378)&gt;1,"Doppelte Monatsstunden",""))</f>
        <v/>
      </c>
    </row>
    <row r="379" spans="1:10" ht="24" customHeight="1">
      <c r="A379" s="414" t="s">
        <v>334</v>
      </c>
      <c r="B379" s="397">
        <v>45778</v>
      </c>
      <c r="C379" s="397">
        <v>46142</v>
      </c>
      <c r="D379" s="398" t="s">
        <v>8</v>
      </c>
      <c r="E379" s="398" t="s">
        <v>4</v>
      </c>
      <c r="F379" s="398" t="s">
        <v>322</v>
      </c>
      <c r="G379" s="209">
        <v>34.6</v>
      </c>
      <c r="H379" s="210">
        <v>416.4</v>
      </c>
      <c r="I379" s="398" t="str">
        <f>IF($A379="","",IF(OR($B379="",$C379="",$D379="",$E379="",$F379=""),"Stammdaten fehlen",IF(AND($G379="",$H379=""),"Werte fehlen",IF($G379="","Monatsstunden fehlen",IF($H379="","Monatslohn fehlt","OK")))))</f>
        <v>OK</v>
      </c>
      <c r="J379" s="424" t="str">
        <f>IF($G379="","",IF(COUNTIFS($A:$A,$A379,$D:$D,$D379,$G:$G,$G379)&gt;1,"Doppelte Monatsstunden",""))</f>
        <v/>
      </c>
    </row>
    <row r="380" spans="1:10" ht="24" customHeight="1" thickBot="1">
      <c r="A380" s="414" t="s">
        <v>334</v>
      </c>
      <c r="B380" s="397">
        <v>45778</v>
      </c>
      <c r="C380" s="397">
        <v>46142</v>
      </c>
      <c r="D380" s="398" t="s">
        <v>8</v>
      </c>
      <c r="E380" s="398" t="s">
        <v>4</v>
      </c>
      <c r="F380" s="398" t="s">
        <v>322</v>
      </c>
      <c r="G380" s="209">
        <v>32.01</v>
      </c>
      <c r="H380" s="210">
        <v>385.17</v>
      </c>
      <c r="I380" s="398" t="str">
        <f>IF($A380="","",IF(OR($B380="",$C380="",$D380="",$E380="",$F380=""),"Stammdaten fehlen",IF(AND($G380="",$H380=""),"Werte fehlen",IF($G380="","Monatsstunden fehlen",IF($H380="","Monatslohn fehlt","OK")))))</f>
        <v>OK</v>
      </c>
      <c r="J380" s="424" t="str">
        <f>IF($G380="","",IF(COUNTIFS($A:$A,$A380,$D:$D,$D380,$G:$G,$G380)&gt;1,"Doppelte Monatsstunden",""))</f>
        <v/>
      </c>
    </row>
    <row r="381" spans="1:10" ht="24" customHeight="1">
      <c r="A381" s="415" t="s">
        <v>334</v>
      </c>
      <c r="B381" s="399">
        <v>45778</v>
      </c>
      <c r="C381" s="399">
        <v>46142</v>
      </c>
      <c r="D381" s="400" t="s">
        <v>10</v>
      </c>
      <c r="E381" s="400" t="s">
        <v>4</v>
      </c>
      <c r="F381" s="400" t="s">
        <v>323</v>
      </c>
      <c r="G381" s="211">
        <v>173</v>
      </c>
      <c r="H381" s="212">
        <v>2123</v>
      </c>
      <c r="I381" s="400" t="str">
        <f>IF($A381="","",IF(OR($B381="",$C381="",$D381="",$E381="",$F381=""),"Stammdaten fehlen",IF(AND($G381="",$H381=""),"Werte fehlen",IF($G381="","Monatsstunden fehlen",IF($H381="","Monatslohn fehlt","OK")))))</f>
        <v>OK</v>
      </c>
      <c r="J381" s="425" t="str">
        <f>IF($G381="","",IF(COUNTIFS($A:$A,$A381,$D:$D,$D381,$G:$G,$G381)&gt;1,"Doppelte Monatsstunden",""))</f>
        <v/>
      </c>
    </row>
    <row r="382" spans="1:10" ht="24" customHeight="1">
      <c r="A382" s="414" t="s">
        <v>334</v>
      </c>
      <c r="B382" s="397">
        <v>45778</v>
      </c>
      <c r="C382" s="397">
        <v>46142</v>
      </c>
      <c r="D382" s="398" t="s">
        <v>10</v>
      </c>
      <c r="E382" s="398" t="s">
        <v>4</v>
      </c>
      <c r="F382" s="398" t="s">
        <v>323</v>
      </c>
      <c r="G382" s="209">
        <v>151.38</v>
      </c>
      <c r="H382" s="210">
        <v>1857.63</v>
      </c>
      <c r="I382" s="398" t="str">
        <f>IF($A382="","",IF(OR($B382="",$C382="",$D382="",$E382="",$F382=""),"Stammdaten fehlen",IF(AND($G382="",$H382=""),"Werte fehlen",IF($G382="","Monatsstunden fehlen",IF($H382="","Monatslohn fehlt","OK")))))</f>
        <v>OK</v>
      </c>
      <c r="J382" s="424" t="str">
        <f>IF($G382="","",IF(COUNTIFS($A:$A,$A382,$D:$D,$D382,$G:$G,$G382)&gt;1,"Doppelte Monatsstunden",""))</f>
        <v/>
      </c>
    </row>
    <row r="383" spans="1:10" ht="24" customHeight="1">
      <c r="A383" s="414" t="s">
        <v>334</v>
      </c>
      <c r="B383" s="397">
        <v>45778</v>
      </c>
      <c r="C383" s="397">
        <v>46142</v>
      </c>
      <c r="D383" s="398" t="s">
        <v>10</v>
      </c>
      <c r="E383" s="398" t="s">
        <v>4</v>
      </c>
      <c r="F383" s="398" t="s">
        <v>323</v>
      </c>
      <c r="G383" s="209">
        <v>138.4</v>
      </c>
      <c r="H383" s="210">
        <v>1698.4</v>
      </c>
      <c r="I383" s="398" t="str">
        <f>IF($A383="","",IF(OR($B383="",$C383="",$D383="",$E383="",$F383=""),"Stammdaten fehlen",IF(AND($G383="",$H383=""),"Werte fehlen",IF($G383="","Monatsstunden fehlen",IF($H383="","Monatslohn fehlt","OK")))))</f>
        <v>OK</v>
      </c>
      <c r="J383" s="424" t="str">
        <f>IF($G383="","",IF(COUNTIFS($A:$A,$A383,$D:$D,$D383,$G:$G,$G383)&gt;1,"Doppelte Monatsstunden",""))</f>
        <v/>
      </c>
    </row>
    <row r="384" spans="1:10" ht="24" customHeight="1">
      <c r="A384" s="414" t="s">
        <v>334</v>
      </c>
      <c r="B384" s="397">
        <v>45778</v>
      </c>
      <c r="C384" s="397">
        <v>46142</v>
      </c>
      <c r="D384" s="398" t="s">
        <v>10</v>
      </c>
      <c r="E384" s="398" t="s">
        <v>4</v>
      </c>
      <c r="F384" s="398" t="s">
        <v>323</v>
      </c>
      <c r="G384" s="209">
        <v>129.75</v>
      </c>
      <c r="H384" s="210">
        <v>1592.25</v>
      </c>
      <c r="I384" s="398" t="str">
        <f>IF($A384="","",IF(OR($B384="",$C384="",$D384="",$E384="",$F384=""),"Stammdaten fehlen",IF(AND($G384="",$H384=""),"Werte fehlen",IF($G384="","Monatsstunden fehlen",IF($H384="","Monatslohn fehlt","OK")))))</f>
        <v>OK</v>
      </c>
      <c r="J384" s="424" t="str">
        <f>IF($G384="","",IF(COUNTIFS($A:$A,$A384,$D:$D,$D384,$G:$G,$G384)&gt;1,"Doppelte Monatsstunden",""))</f>
        <v/>
      </c>
    </row>
    <row r="385" spans="1:10" ht="24" customHeight="1">
      <c r="A385" s="414" t="s">
        <v>334</v>
      </c>
      <c r="B385" s="397">
        <v>45778</v>
      </c>
      <c r="C385" s="397">
        <v>46142</v>
      </c>
      <c r="D385" s="398" t="s">
        <v>10</v>
      </c>
      <c r="E385" s="398" t="s">
        <v>4</v>
      </c>
      <c r="F385" s="398" t="s">
        <v>323</v>
      </c>
      <c r="G385" s="209">
        <v>108.13</v>
      </c>
      <c r="H385" s="210">
        <v>1326.88</v>
      </c>
      <c r="I385" s="398" t="str">
        <f>IF($A385="","",IF(OR($B385="",$C385="",$D385="",$E385="",$F385=""),"Stammdaten fehlen",IF(AND($G385="",$H385=""),"Werte fehlen",IF($G385="","Monatsstunden fehlen",IF($H385="","Monatslohn fehlt","OK")))))</f>
        <v>OK</v>
      </c>
      <c r="J385" s="424" t="str">
        <f>IF($G385="","",IF(COUNTIFS($A:$A,$A385,$D:$D,$D385,$G:$G,$G385)&gt;1,"Doppelte Monatsstunden",""))</f>
        <v/>
      </c>
    </row>
    <row r="386" spans="1:10" ht="24" customHeight="1">
      <c r="A386" s="414" t="s">
        <v>334</v>
      </c>
      <c r="B386" s="397">
        <v>45778</v>
      </c>
      <c r="C386" s="397">
        <v>46142</v>
      </c>
      <c r="D386" s="398" t="s">
        <v>10</v>
      </c>
      <c r="E386" s="398" t="s">
        <v>4</v>
      </c>
      <c r="F386" s="398" t="s">
        <v>323</v>
      </c>
      <c r="G386" s="209">
        <v>103.8</v>
      </c>
      <c r="H386" s="210">
        <v>1273.8</v>
      </c>
      <c r="I386" s="398" t="str">
        <f>IF($A386="","",IF(OR($B386="",$C386="",$D386="",$E386="",$F386=""),"Stammdaten fehlen",IF(AND($G386="",$H386=""),"Werte fehlen",IF($G386="","Monatsstunden fehlen",IF($H386="","Monatslohn fehlt","OK")))))</f>
        <v>OK</v>
      </c>
      <c r="J386" s="424" t="str">
        <f>IF($G386="","",IF(COUNTIFS($A:$A,$A386,$D:$D,$D386,$G:$G,$G386)&gt;1,"Doppelte Monatsstunden",""))</f>
        <v/>
      </c>
    </row>
    <row r="387" spans="1:10" ht="24" customHeight="1">
      <c r="A387" s="414" t="s">
        <v>334</v>
      </c>
      <c r="B387" s="397">
        <v>45778</v>
      </c>
      <c r="C387" s="397">
        <v>46142</v>
      </c>
      <c r="D387" s="398" t="s">
        <v>10</v>
      </c>
      <c r="E387" s="398" t="s">
        <v>4</v>
      </c>
      <c r="F387" s="398" t="s">
        <v>323</v>
      </c>
      <c r="G387" s="209">
        <v>86.5</v>
      </c>
      <c r="H387" s="210">
        <v>1061.5</v>
      </c>
      <c r="I387" s="398" t="str">
        <f>IF($A387="","",IF(OR($B387="",$C387="",$D387="",$E387="",$F387=""),"Stammdaten fehlen",IF(AND($G387="",$H387=""),"Werte fehlen",IF($G387="","Monatsstunden fehlen",IF($H387="","Monatslohn fehlt","OK")))))</f>
        <v>OK</v>
      </c>
      <c r="J387" s="424" t="str">
        <f>IF($G387="","",IF(COUNTIFS($A:$A,$A387,$D:$D,$D387,$G:$G,$G387)&gt;1,"Doppelte Monatsstunden",""))</f>
        <v/>
      </c>
    </row>
    <row r="388" spans="1:10" ht="24" customHeight="1">
      <c r="A388" s="414" t="s">
        <v>334</v>
      </c>
      <c r="B388" s="397">
        <v>45778</v>
      </c>
      <c r="C388" s="397">
        <v>46142</v>
      </c>
      <c r="D388" s="398" t="s">
        <v>10</v>
      </c>
      <c r="E388" s="398" t="s">
        <v>4</v>
      </c>
      <c r="F388" s="398" t="s">
        <v>323</v>
      </c>
      <c r="G388" s="209">
        <v>69.2</v>
      </c>
      <c r="H388" s="210">
        <v>849.2</v>
      </c>
      <c r="I388" s="398" t="str">
        <f>IF($A388="","",IF(OR($B388="",$C388="",$D388="",$E388="",$F388=""),"Stammdaten fehlen",IF(AND($G388="",$H388=""),"Werte fehlen",IF($G388="","Monatsstunden fehlen",IF($H388="","Monatslohn fehlt","OK")))))</f>
        <v>OK</v>
      </c>
      <c r="J388" s="424" t="str">
        <f>IF($G388="","",IF(COUNTIFS($A:$A,$A388,$D:$D,$D388,$G:$G,$G388)&gt;1,"Doppelte Monatsstunden",""))</f>
        <v/>
      </c>
    </row>
    <row r="389" spans="1:10" ht="24" customHeight="1">
      <c r="A389" s="414" t="s">
        <v>334</v>
      </c>
      <c r="B389" s="397">
        <v>45778</v>
      </c>
      <c r="C389" s="397">
        <v>46142</v>
      </c>
      <c r="D389" s="398" t="s">
        <v>10</v>
      </c>
      <c r="E389" s="398" t="s">
        <v>4</v>
      </c>
      <c r="F389" s="398" t="s">
        <v>323</v>
      </c>
      <c r="G389" s="209">
        <v>51.9</v>
      </c>
      <c r="H389" s="210">
        <v>636.9</v>
      </c>
      <c r="I389" s="398" t="str">
        <f>IF($A389="","",IF(OR($B389="",$C389="",$D389="",$E389="",$F389=""),"Stammdaten fehlen",IF(AND($G389="",$H389=""),"Werte fehlen",IF($G389="","Monatsstunden fehlen",IF($H389="","Monatslohn fehlt","OK")))))</f>
        <v>OK</v>
      </c>
      <c r="J389" s="424" t="str">
        <f>IF($G389="","",IF(COUNTIFS($A:$A,$A389,$D:$D,$D389,$G:$G,$G389)&gt;1,"Doppelte Monatsstunden",""))</f>
        <v/>
      </c>
    </row>
    <row r="390" spans="1:10" ht="24" customHeight="1">
      <c r="A390" s="414" t="s">
        <v>334</v>
      </c>
      <c r="B390" s="397">
        <v>45778</v>
      </c>
      <c r="C390" s="397">
        <v>46142</v>
      </c>
      <c r="D390" s="398" t="s">
        <v>10</v>
      </c>
      <c r="E390" s="398" t="s">
        <v>4</v>
      </c>
      <c r="F390" s="398" t="s">
        <v>323</v>
      </c>
      <c r="G390" s="209">
        <v>47.58</v>
      </c>
      <c r="H390" s="210">
        <v>583.83000000000004</v>
      </c>
      <c r="I390" s="398" t="str">
        <f>IF($A390="","",IF(OR($B390="",$C390="",$D390="",$E390="",$F390=""),"Stammdaten fehlen",IF(AND($G390="",$H390=""),"Werte fehlen",IF($G390="","Monatsstunden fehlen",IF($H390="","Monatslohn fehlt","OK")))))</f>
        <v>OK</v>
      </c>
      <c r="J390" s="424" t="str">
        <f>IF($G390="","",IF(COUNTIFS($A:$A,$A390,$D:$D,$D390,$G:$G,$G390)&gt;1,"Doppelte Monatsstunden",""))</f>
        <v/>
      </c>
    </row>
    <row r="391" spans="1:10" ht="24" customHeight="1">
      <c r="A391" s="414" t="s">
        <v>334</v>
      </c>
      <c r="B391" s="397">
        <v>45778</v>
      </c>
      <c r="C391" s="397">
        <v>46142</v>
      </c>
      <c r="D391" s="398" t="s">
        <v>10</v>
      </c>
      <c r="E391" s="398" t="s">
        <v>4</v>
      </c>
      <c r="F391" s="398" t="s">
        <v>323</v>
      </c>
      <c r="G391" s="209">
        <v>43.25</v>
      </c>
      <c r="H391" s="210">
        <v>530.75</v>
      </c>
      <c r="I391" s="398" t="str">
        <f>IF($A391="","",IF(OR($B391="",$C391="",$D391="",$E391="",$F391=""),"Stammdaten fehlen",IF(AND($G391="",$H391=""),"Werte fehlen",IF($G391="","Monatsstunden fehlen",IF($H391="","Monatslohn fehlt","OK")))))</f>
        <v>OK</v>
      </c>
      <c r="J391" s="424" t="str">
        <f>IF($G391="","",IF(COUNTIFS($A:$A,$A391,$D:$D,$D391,$G:$G,$G391)&gt;1,"Doppelte Monatsstunden",""))</f>
        <v/>
      </c>
    </row>
    <row r="392" spans="1:10" ht="24" customHeight="1">
      <c r="A392" s="414" t="s">
        <v>334</v>
      </c>
      <c r="B392" s="397">
        <v>45778</v>
      </c>
      <c r="C392" s="397">
        <v>46142</v>
      </c>
      <c r="D392" s="398" t="s">
        <v>10</v>
      </c>
      <c r="E392" s="398" t="s">
        <v>4</v>
      </c>
      <c r="F392" s="398" t="s">
        <v>323</v>
      </c>
      <c r="G392" s="209">
        <v>34.6</v>
      </c>
      <c r="H392" s="210">
        <v>424.6</v>
      </c>
      <c r="I392" s="398" t="str">
        <f>IF($A392="","",IF(OR($B392="",$C392="",$D392="",$E392="",$F392=""),"Stammdaten fehlen",IF(AND($G392="",$H392=""),"Werte fehlen",IF($G392="","Monatsstunden fehlen",IF($H392="","Monatslohn fehlt","OK")))))</f>
        <v>OK</v>
      </c>
      <c r="J392" s="424" t="str">
        <f>IF($G392="","",IF(COUNTIFS($A:$A,$A392,$D:$D,$D392,$G:$G,$G392)&gt;1,"Doppelte Monatsstunden",""))</f>
        <v/>
      </c>
    </row>
    <row r="393" spans="1:10" ht="24" customHeight="1" thickBot="1">
      <c r="A393" s="414" t="s">
        <v>334</v>
      </c>
      <c r="B393" s="397">
        <v>45778</v>
      </c>
      <c r="C393" s="397">
        <v>46142</v>
      </c>
      <c r="D393" s="398" t="s">
        <v>10</v>
      </c>
      <c r="E393" s="398" t="s">
        <v>4</v>
      </c>
      <c r="F393" s="398" t="s">
        <v>323</v>
      </c>
      <c r="G393" s="209">
        <v>32.01</v>
      </c>
      <c r="H393" s="210">
        <v>392.76</v>
      </c>
      <c r="I393" s="398" t="str">
        <f>IF($A393="","",IF(OR($B393="",$C393="",$D393="",$E393="",$F393=""),"Stammdaten fehlen",IF(AND($G393="",$H393=""),"Werte fehlen",IF($G393="","Monatsstunden fehlen",IF($H393="","Monatslohn fehlt","OK")))))</f>
        <v>OK</v>
      </c>
      <c r="J393" s="424" t="str">
        <f>IF($G393="","",IF(COUNTIFS($A:$A,$A393,$D:$D,$D393,$G:$G,$G393)&gt;1,"Doppelte Monatsstunden",""))</f>
        <v/>
      </c>
    </row>
    <row r="394" spans="1:10" ht="24" customHeight="1">
      <c r="A394" s="415" t="s">
        <v>334</v>
      </c>
      <c r="B394" s="399">
        <v>45778</v>
      </c>
      <c r="C394" s="399">
        <v>46142</v>
      </c>
      <c r="D394" s="400" t="s">
        <v>12</v>
      </c>
      <c r="E394" s="400" t="s">
        <v>4</v>
      </c>
      <c r="F394" s="400" t="s">
        <v>324</v>
      </c>
      <c r="G394" s="211">
        <v>173</v>
      </c>
      <c r="H394" s="212">
        <v>2183</v>
      </c>
      <c r="I394" s="400" t="str">
        <f>IF($A394="","",IF(OR($B394="",$C394="",$D394="",$E394="",$F394=""),"Stammdaten fehlen",IF(AND($G394="",$H394=""),"Werte fehlen",IF($G394="","Monatsstunden fehlen",IF($H394="","Monatslohn fehlt","OK")))))</f>
        <v>OK</v>
      </c>
      <c r="J394" s="425" t="str">
        <f>IF($G394="","",IF(COUNTIFS($A:$A,$A394,$D:$D,$D394,$G:$G,$G394)&gt;1,"Doppelte Monatsstunden",""))</f>
        <v/>
      </c>
    </row>
    <row r="395" spans="1:10" ht="24" customHeight="1">
      <c r="A395" s="414" t="s">
        <v>334</v>
      </c>
      <c r="B395" s="397">
        <v>45778</v>
      </c>
      <c r="C395" s="397">
        <v>46142</v>
      </c>
      <c r="D395" s="398" t="s">
        <v>12</v>
      </c>
      <c r="E395" s="398" t="s">
        <v>4</v>
      </c>
      <c r="F395" s="398" t="s">
        <v>324</v>
      </c>
      <c r="G395" s="209">
        <v>151.38</v>
      </c>
      <c r="H395" s="210">
        <v>1910.13</v>
      </c>
      <c r="I395" s="398" t="str">
        <f>IF($A395="","",IF(OR($B395="",$C395="",$D395="",$E395="",$F395=""),"Stammdaten fehlen",IF(AND($G395="",$H395=""),"Werte fehlen",IF($G395="","Monatsstunden fehlen",IF($H395="","Monatslohn fehlt","OK")))))</f>
        <v>OK</v>
      </c>
      <c r="J395" s="424" t="str">
        <f>IF($G395="","",IF(COUNTIFS($A:$A,$A395,$D:$D,$D395,$G:$G,$G395)&gt;1,"Doppelte Monatsstunden",""))</f>
        <v/>
      </c>
    </row>
    <row r="396" spans="1:10" ht="24" customHeight="1">
      <c r="A396" s="414" t="s">
        <v>334</v>
      </c>
      <c r="B396" s="397">
        <v>45778</v>
      </c>
      <c r="C396" s="397">
        <v>46142</v>
      </c>
      <c r="D396" s="398" t="s">
        <v>12</v>
      </c>
      <c r="E396" s="398" t="s">
        <v>4</v>
      </c>
      <c r="F396" s="398" t="s">
        <v>324</v>
      </c>
      <c r="G396" s="209">
        <v>138.4</v>
      </c>
      <c r="H396" s="210">
        <v>1746.4</v>
      </c>
      <c r="I396" s="398" t="str">
        <f>IF($A396="","",IF(OR($B396="",$C396="",$D396="",$E396="",$F396=""),"Stammdaten fehlen",IF(AND($G396="",$H396=""),"Werte fehlen",IF($G396="","Monatsstunden fehlen",IF($H396="","Monatslohn fehlt","OK")))))</f>
        <v>OK</v>
      </c>
      <c r="J396" s="424" t="str">
        <f>IF($G396="","",IF(COUNTIFS($A:$A,$A396,$D:$D,$D396,$G:$G,$G396)&gt;1,"Doppelte Monatsstunden",""))</f>
        <v/>
      </c>
    </row>
    <row r="397" spans="1:10" ht="24" customHeight="1">
      <c r="A397" s="414" t="s">
        <v>334</v>
      </c>
      <c r="B397" s="397">
        <v>45778</v>
      </c>
      <c r="C397" s="397">
        <v>46142</v>
      </c>
      <c r="D397" s="398" t="s">
        <v>12</v>
      </c>
      <c r="E397" s="398" t="s">
        <v>4</v>
      </c>
      <c r="F397" s="398" t="s">
        <v>324</v>
      </c>
      <c r="G397" s="209">
        <v>129.75</v>
      </c>
      <c r="H397" s="210">
        <v>1637.25</v>
      </c>
      <c r="I397" s="398" t="str">
        <f>IF($A397="","",IF(OR($B397="",$C397="",$D397="",$E397="",$F397=""),"Stammdaten fehlen",IF(AND($G397="",$H397=""),"Werte fehlen",IF($G397="","Monatsstunden fehlen",IF($H397="","Monatslohn fehlt","OK")))))</f>
        <v>OK</v>
      </c>
      <c r="J397" s="424" t="str">
        <f>IF($G397="","",IF(COUNTIFS($A:$A,$A397,$D:$D,$D397,$G:$G,$G397)&gt;1,"Doppelte Monatsstunden",""))</f>
        <v/>
      </c>
    </row>
    <row r="398" spans="1:10" ht="24" customHeight="1">
      <c r="A398" s="414" t="s">
        <v>334</v>
      </c>
      <c r="B398" s="397">
        <v>45778</v>
      </c>
      <c r="C398" s="397">
        <v>46142</v>
      </c>
      <c r="D398" s="398" t="s">
        <v>12</v>
      </c>
      <c r="E398" s="398" t="s">
        <v>4</v>
      </c>
      <c r="F398" s="398" t="s">
        <v>324</v>
      </c>
      <c r="G398" s="209">
        <v>108.13</v>
      </c>
      <c r="H398" s="210">
        <v>1364.38</v>
      </c>
      <c r="I398" s="398" t="str">
        <f>IF($A398="","",IF(OR($B398="",$C398="",$D398="",$E398="",$F398=""),"Stammdaten fehlen",IF(AND($G398="",$H398=""),"Werte fehlen",IF($G398="","Monatsstunden fehlen",IF($H398="","Monatslohn fehlt","OK")))))</f>
        <v>OK</v>
      </c>
      <c r="J398" s="424" t="str">
        <f>IF($G398="","",IF(COUNTIFS($A:$A,$A398,$D:$D,$D398,$G:$G,$G398)&gt;1,"Doppelte Monatsstunden",""))</f>
        <v/>
      </c>
    </row>
    <row r="399" spans="1:10" ht="24" customHeight="1">
      <c r="A399" s="414" t="s">
        <v>334</v>
      </c>
      <c r="B399" s="397">
        <v>45778</v>
      </c>
      <c r="C399" s="397">
        <v>46142</v>
      </c>
      <c r="D399" s="398" t="s">
        <v>12</v>
      </c>
      <c r="E399" s="398" t="s">
        <v>4</v>
      </c>
      <c r="F399" s="398" t="s">
        <v>324</v>
      </c>
      <c r="G399" s="209">
        <v>103.8</v>
      </c>
      <c r="H399" s="210">
        <v>1309.8</v>
      </c>
      <c r="I399" s="398" t="str">
        <f>IF($A399="","",IF(OR($B399="",$C399="",$D399="",$E399="",$F399=""),"Stammdaten fehlen",IF(AND($G399="",$H399=""),"Werte fehlen",IF($G399="","Monatsstunden fehlen",IF($H399="","Monatslohn fehlt","OK")))))</f>
        <v>OK</v>
      </c>
      <c r="J399" s="424" t="str">
        <f>IF($G399="","",IF(COUNTIFS($A:$A,$A399,$D:$D,$D399,$G:$G,$G399)&gt;1,"Doppelte Monatsstunden",""))</f>
        <v/>
      </c>
    </row>
    <row r="400" spans="1:10" ht="24" customHeight="1">
      <c r="A400" s="414" t="s">
        <v>334</v>
      </c>
      <c r="B400" s="397">
        <v>45778</v>
      </c>
      <c r="C400" s="397">
        <v>46142</v>
      </c>
      <c r="D400" s="398" t="s">
        <v>12</v>
      </c>
      <c r="E400" s="398" t="s">
        <v>4</v>
      </c>
      <c r="F400" s="398" t="s">
        <v>324</v>
      </c>
      <c r="G400" s="209">
        <v>86.5</v>
      </c>
      <c r="H400" s="210">
        <v>1091.5</v>
      </c>
      <c r="I400" s="398" t="str">
        <f>IF($A400="","",IF(OR($B400="",$C400="",$D400="",$E400="",$F400=""),"Stammdaten fehlen",IF(AND($G400="",$H400=""),"Werte fehlen",IF($G400="","Monatsstunden fehlen",IF($H400="","Monatslohn fehlt","OK")))))</f>
        <v>OK</v>
      </c>
      <c r="J400" s="424" t="str">
        <f>IF($G400="","",IF(COUNTIFS($A:$A,$A400,$D:$D,$D400,$G:$G,$G400)&gt;1,"Doppelte Monatsstunden",""))</f>
        <v/>
      </c>
    </row>
    <row r="401" spans="1:10" ht="24" customHeight="1">
      <c r="A401" s="414" t="s">
        <v>334</v>
      </c>
      <c r="B401" s="397">
        <v>45778</v>
      </c>
      <c r="C401" s="397">
        <v>46142</v>
      </c>
      <c r="D401" s="398" t="s">
        <v>12</v>
      </c>
      <c r="E401" s="398" t="s">
        <v>4</v>
      </c>
      <c r="F401" s="398" t="s">
        <v>324</v>
      </c>
      <c r="G401" s="209">
        <v>69.2</v>
      </c>
      <c r="H401" s="210">
        <v>873.2</v>
      </c>
      <c r="I401" s="398" t="str">
        <f>IF($A401="","",IF(OR($B401="",$C401="",$D401="",$E401="",$F401=""),"Stammdaten fehlen",IF(AND($G401="",$H401=""),"Werte fehlen",IF($G401="","Monatsstunden fehlen",IF($H401="","Monatslohn fehlt","OK")))))</f>
        <v>OK</v>
      </c>
      <c r="J401" s="424" t="str">
        <f>IF($G401="","",IF(COUNTIFS($A:$A,$A401,$D:$D,$D401,$G:$G,$G401)&gt;1,"Doppelte Monatsstunden",""))</f>
        <v/>
      </c>
    </row>
    <row r="402" spans="1:10" ht="24" customHeight="1">
      <c r="A402" s="414" t="s">
        <v>334</v>
      </c>
      <c r="B402" s="397">
        <v>45778</v>
      </c>
      <c r="C402" s="397">
        <v>46142</v>
      </c>
      <c r="D402" s="398" t="s">
        <v>12</v>
      </c>
      <c r="E402" s="398" t="s">
        <v>4</v>
      </c>
      <c r="F402" s="398" t="s">
        <v>324</v>
      </c>
      <c r="G402" s="209">
        <v>51.9</v>
      </c>
      <c r="H402" s="210">
        <v>654.9</v>
      </c>
      <c r="I402" s="398" t="str">
        <f>IF($A402="","",IF(OR($B402="",$C402="",$D402="",$E402="",$F402=""),"Stammdaten fehlen",IF(AND($G402="",$H402=""),"Werte fehlen",IF($G402="","Monatsstunden fehlen",IF($H402="","Monatslohn fehlt","OK")))))</f>
        <v>OK</v>
      </c>
      <c r="J402" s="424" t="str">
        <f>IF($G402="","",IF(COUNTIFS($A:$A,$A402,$D:$D,$D402,$G:$G,$G402)&gt;1,"Doppelte Monatsstunden",""))</f>
        <v/>
      </c>
    </row>
    <row r="403" spans="1:10" ht="24" customHeight="1">
      <c r="A403" s="414" t="s">
        <v>334</v>
      </c>
      <c r="B403" s="397">
        <v>45778</v>
      </c>
      <c r="C403" s="397">
        <v>46142</v>
      </c>
      <c r="D403" s="398" t="s">
        <v>12</v>
      </c>
      <c r="E403" s="398" t="s">
        <v>4</v>
      </c>
      <c r="F403" s="398" t="s">
        <v>324</v>
      </c>
      <c r="G403" s="209">
        <v>47.58</v>
      </c>
      <c r="H403" s="210">
        <v>600.33000000000004</v>
      </c>
      <c r="I403" s="398" t="str">
        <f>IF($A403="","",IF(OR($B403="",$C403="",$D403="",$E403="",$F403=""),"Stammdaten fehlen",IF(AND($G403="",$H403=""),"Werte fehlen",IF($G403="","Monatsstunden fehlen",IF($H403="","Monatslohn fehlt","OK")))))</f>
        <v>OK</v>
      </c>
      <c r="J403" s="424" t="str">
        <f>IF($G403="","",IF(COUNTIFS($A:$A,$A403,$D:$D,$D403,$G:$G,$G403)&gt;1,"Doppelte Monatsstunden",""))</f>
        <v/>
      </c>
    </row>
    <row r="404" spans="1:10" ht="24" customHeight="1">
      <c r="A404" s="414" t="s">
        <v>334</v>
      </c>
      <c r="B404" s="397">
        <v>45778</v>
      </c>
      <c r="C404" s="397">
        <v>46142</v>
      </c>
      <c r="D404" s="398" t="s">
        <v>12</v>
      </c>
      <c r="E404" s="398" t="s">
        <v>4</v>
      </c>
      <c r="F404" s="398" t="s">
        <v>324</v>
      </c>
      <c r="G404" s="209">
        <v>43.25</v>
      </c>
      <c r="H404" s="210">
        <v>545.75</v>
      </c>
      <c r="I404" s="398" t="str">
        <f>IF($A404="","",IF(OR($B404="",$C404="",$D404="",$E404="",$F404=""),"Stammdaten fehlen",IF(AND($G404="",$H404=""),"Werte fehlen",IF($G404="","Monatsstunden fehlen",IF($H404="","Monatslohn fehlt","OK")))))</f>
        <v>OK</v>
      </c>
      <c r="J404" s="424" t="str">
        <f>IF($G404="","",IF(COUNTIFS($A:$A,$A404,$D:$D,$D404,$G:$G,$G404)&gt;1,"Doppelte Monatsstunden",""))</f>
        <v/>
      </c>
    </row>
    <row r="405" spans="1:10" ht="24" customHeight="1">
      <c r="A405" s="414" t="s">
        <v>334</v>
      </c>
      <c r="B405" s="397">
        <v>45778</v>
      </c>
      <c r="C405" s="397">
        <v>46142</v>
      </c>
      <c r="D405" s="398" t="s">
        <v>12</v>
      </c>
      <c r="E405" s="398" t="s">
        <v>4</v>
      </c>
      <c r="F405" s="398" t="s">
        <v>324</v>
      </c>
      <c r="G405" s="209">
        <v>34.6</v>
      </c>
      <c r="H405" s="210">
        <v>436.6</v>
      </c>
      <c r="I405" s="398" t="str">
        <f>IF($A405="","",IF(OR($B405="",$C405="",$D405="",$E405="",$F405=""),"Stammdaten fehlen",IF(AND($G405="",$H405=""),"Werte fehlen",IF($G405="","Monatsstunden fehlen",IF($H405="","Monatslohn fehlt","OK")))))</f>
        <v>OK</v>
      </c>
      <c r="J405" s="424" t="str">
        <f>IF($G405="","",IF(COUNTIFS($A:$A,$A405,$D:$D,$D405,$G:$G,$G405)&gt;1,"Doppelte Monatsstunden",""))</f>
        <v/>
      </c>
    </row>
    <row r="406" spans="1:10" ht="24" customHeight="1" thickBot="1">
      <c r="A406" s="414" t="s">
        <v>334</v>
      </c>
      <c r="B406" s="397">
        <v>45778</v>
      </c>
      <c r="C406" s="397">
        <v>46142</v>
      </c>
      <c r="D406" s="398" t="s">
        <v>12</v>
      </c>
      <c r="E406" s="398" t="s">
        <v>4</v>
      </c>
      <c r="F406" s="398" t="s">
        <v>324</v>
      </c>
      <c r="G406" s="209">
        <v>32.01</v>
      </c>
      <c r="H406" s="210">
        <v>403.86</v>
      </c>
      <c r="I406" s="398" t="str">
        <f>IF($A406="","",IF(OR($B406="",$C406="",$D406="",$E406="",$F406=""),"Stammdaten fehlen",IF(AND($G406="",$H406=""),"Werte fehlen",IF($G406="","Monatsstunden fehlen",IF($H406="","Monatslohn fehlt","OK")))))</f>
        <v>OK</v>
      </c>
      <c r="J406" s="424" t="str">
        <f>IF($G406="","",IF(COUNTIFS($A:$A,$A406,$D:$D,$D406,$G:$G,$G406)&gt;1,"Doppelte Monatsstunden",""))</f>
        <v/>
      </c>
    </row>
    <row r="407" spans="1:10" ht="24" customHeight="1">
      <c r="A407" s="416" t="s">
        <v>334</v>
      </c>
      <c r="B407" s="401">
        <v>45778</v>
      </c>
      <c r="C407" s="401">
        <v>46142</v>
      </c>
      <c r="D407" s="402" t="s">
        <v>332</v>
      </c>
      <c r="E407" s="402" t="s">
        <v>13</v>
      </c>
      <c r="F407" s="402" t="s">
        <v>321</v>
      </c>
      <c r="G407" s="213">
        <v>173</v>
      </c>
      <c r="H407" s="214">
        <v>2160</v>
      </c>
      <c r="I407" s="402" t="str">
        <f>IF($A407="","",IF(OR($B407="",$C407="",$D407="",$E407="",$F407=""),"Stammdaten fehlen",IF(AND($G407="",$H407=""),"Werte fehlen",IF($G407="","Monatsstunden fehlen",IF($H407="","Monatslohn fehlt","OK")))))</f>
        <v>OK</v>
      </c>
      <c r="J407" s="426" t="str">
        <f>IF($G407="","",IF(COUNTIFS($A:$A,$A407,$D:$D,$D407,$G:$G,$G407)&gt;1,"Doppelte Monatsstunden",""))</f>
        <v/>
      </c>
    </row>
    <row r="408" spans="1:10" ht="24" customHeight="1">
      <c r="A408" s="417" t="s">
        <v>334</v>
      </c>
      <c r="B408" s="403">
        <v>45778</v>
      </c>
      <c r="C408" s="403">
        <v>46142</v>
      </c>
      <c r="D408" s="404" t="s">
        <v>332</v>
      </c>
      <c r="E408" s="404" t="s">
        <v>13</v>
      </c>
      <c r="F408" s="404" t="s">
        <v>321</v>
      </c>
      <c r="G408" s="215">
        <v>151.38</v>
      </c>
      <c r="H408" s="216">
        <v>1890</v>
      </c>
      <c r="I408" s="404" t="str">
        <f>IF($A408="","",IF(OR($B408="",$C408="",$D408="",$E408="",$F408=""),"Stammdaten fehlen",IF(AND($G408="",$H408=""),"Werte fehlen",IF($G408="","Monatsstunden fehlen",IF($H408="","Monatslohn fehlt","OK")))))</f>
        <v>OK</v>
      </c>
      <c r="J408" s="427" t="str">
        <f>IF($G408="","",IF(COUNTIFS($A:$A,$A408,$D:$D,$D408,$G:$G,$G408)&gt;1,"Doppelte Monatsstunden",""))</f>
        <v/>
      </c>
    </row>
    <row r="409" spans="1:10" ht="24" customHeight="1">
      <c r="A409" s="417" t="s">
        <v>334</v>
      </c>
      <c r="B409" s="403">
        <v>45778</v>
      </c>
      <c r="C409" s="403">
        <v>46142</v>
      </c>
      <c r="D409" s="404" t="s">
        <v>332</v>
      </c>
      <c r="E409" s="404" t="s">
        <v>13</v>
      </c>
      <c r="F409" s="404" t="s">
        <v>321</v>
      </c>
      <c r="G409" s="215">
        <v>138.4</v>
      </c>
      <c r="H409" s="216">
        <v>1728</v>
      </c>
      <c r="I409" s="404" t="str">
        <f>IF($A409="","",IF(OR($B409="",$C409="",$D409="",$E409="",$F409=""),"Stammdaten fehlen",IF(AND($G409="",$H409=""),"Werte fehlen",IF($G409="","Monatsstunden fehlen",IF($H409="","Monatslohn fehlt","OK")))))</f>
        <v>OK</v>
      </c>
      <c r="J409" s="427" t="str">
        <f>IF($G409="","",IF(COUNTIFS($A:$A,$A409,$D:$D,$D409,$G:$G,$G409)&gt;1,"Doppelte Monatsstunden",""))</f>
        <v/>
      </c>
    </row>
    <row r="410" spans="1:10" ht="24" customHeight="1">
      <c r="A410" s="417" t="s">
        <v>334</v>
      </c>
      <c r="B410" s="403">
        <v>45778</v>
      </c>
      <c r="C410" s="403">
        <v>46142</v>
      </c>
      <c r="D410" s="404" t="s">
        <v>332</v>
      </c>
      <c r="E410" s="404" t="s">
        <v>13</v>
      </c>
      <c r="F410" s="404" t="s">
        <v>321</v>
      </c>
      <c r="G410" s="215">
        <v>129.75</v>
      </c>
      <c r="H410" s="216">
        <v>1620</v>
      </c>
      <c r="I410" s="404" t="str">
        <f>IF($A410="","",IF(OR($B410="",$C410="",$D410="",$E410="",$F410=""),"Stammdaten fehlen",IF(AND($G410="",$H410=""),"Werte fehlen",IF($G410="","Monatsstunden fehlen",IF($H410="","Monatslohn fehlt","OK")))))</f>
        <v>OK</v>
      </c>
      <c r="J410" s="427" t="str">
        <f>IF($G410="","",IF(COUNTIFS($A:$A,$A410,$D:$D,$D410,$G:$G,$G410)&gt;1,"Doppelte Monatsstunden",""))</f>
        <v/>
      </c>
    </row>
    <row r="411" spans="1:10" ht="24" customHeight="1">
      <c r="A411" s="417" t="s">
        <v>334</v>
      </c>
      <c r="B411" s="403">
        <v>45778</v>
      </c>
      <c r="C411" s="403">
        <v>46142</v>
      </c>
      <c r="D411" s="404" t="s">
        <v>332</v>
      </c>
      <c r="E411" s="404" t="s">
        <v>13</v>
      </c>
      <c r="F411" s="404" t="s">
        <v>321</v>
      </c>
      <c r="G411" s="215">
        <v>108.13</v>
      </c>
      <c r="H411" s="216">
        <v>1350</v>
      </c>
      <c r="I411" s="404" t="str">
        <f>IF($A411="","",IF(OR($B411="",$C411="",$D411="",$E411="",$F411=""),"Stammdaten fehlen",IF(AND($G411="",$H411=""),"Werte fehlen",IF($G411="","Monatsstunden fehlen",IF($H411="","Monatslohn fehlt","OK")))))</f>
        <v>OK</v>
      </c>
      <c r="J411" s="427" t="str">
        <f>IF($G411="","",IF(COUNTIFS($A:$A,$A411,$D:$D,$D411,$G:$G,$G411)&gt;1,"Doppelte Monatsstunden",""))</f>
        <v/>
      </c>
    </row>
    <row r="412" spans="1:10" ht="24" customHeight="1">
      <c r="A412" s="417" t="s">
        <v>334</v>
      </c>
      <c r="B412" s="403">
        <v>45778</v>
      </c>
      <c r="C412" s="403">
        <v>46142</v>
      </c>
      <c r="D412" s="404" t="s">
        <v>332</v>
      </c>
      <c r="E412" s="404" t="s">
        <v>13</v>
      </c>
      <c r="F412" s="404" t="s">
        <v>321</v>
      </c>
      <c r="G412" s="215">
        <v>103.8</v>
      </c>
      <c r="H412" s="216">
        <v>1296</v>
      </c>
      <c r="I412" s="404" t="str">
        <f>IF($A412="","",IF(OR($B412="",$C412="",$D412="",$E412="",$F412=""),"Stammdaten fehlen",IF(AND($G412="",$H412=""),"Werte fehlen",IF($G412="","Monatsstunden fehlen",IF($H412="","Monatslohn fehlt","OK")))))</f>
        <v>OK</v>
      </c>
      <c r="J412" s="427" t="str">
        <f>IF($G412="","",IF(COUNTIFS($A:$A,$A412,$D:$D,$D412,$G:$G,$G412)&gt;1,"Doppelte Monatsstunden",""))</f>
        <v/>
      </c>
    </row>
    <row r="413" spans="1:10" ht="24" customHeight="1">
      <c r="A413" s="417" t="s">
        <v>334</v>
      </c>
      <c r="B413" s="403">
        <v>45778</v>
      </c>
      <c r="C413" s="403">
        <v>46142</v>
      </c>
      <c r="D413" s="404" t="s">
        <v>332</v>
      </c>
      <c r="E413" s="404" t="s">
        <v>13</v>
      </c>
      <c r="F413" s="404" t="s">
        <v>321</v>
      </c>
      <c r="G413" s="215">
        <v>86.5</v>
      </c>
      <c r="H413" s="216">
        <v>1080</v>
      </c>
      <c r="I413" s="404" t="str">
        <f>IF($A413="","",IF(OR($B413="",$C413="",$D413="",$E413="",$F413=""),"Stammdaten fehlen",IF(AND($G413="",$H413=""),"Werte fehlen",IF($G413="","Monatsstunden fehlen",IF($H413="","Monatslohn fehlt","OK")))))</f>
        <v>OK</v>
      </c>
      <c r="J413" s="427" t="str">
        <f>IF($G413="","",IF(COUNTIFS($A:$A,$A413,$D:$D,$D413,$G:$G,$G413)&gt;1,"Doppelte Monatsstunden",""))</f>
        <v/>
      </c>
    </row>
    <row r="414" spans="1:10" ht="24" customHeight="1">
      <c r="A414" s="417" t="s">
        <v>334</v>
      </c>
      <c r="B414" s="403">
        <v>45778</v>
      </c>
      <c r="C414" s="403">
        <v>46142</v>
      </c>
      <c r="D414" s="404" t="s">
        <v>332</v>
      </c>
      <c r="E414" s="404" t="s">
        <v>13</v>
      </c>
      <c r="F414" s="404" t="s">
        <v>321</v>
      </c>
      <c r="G414" s="215">
        <v>69.2</v>
      </c>
      <c r="H414" s="216">
        <v>864</v>
      </c>
      <c r="I414" s="404" t="str">
        <f>IF($A414="","",IF(OR($B414="",$C414="",$D414="",$E414="",$F414=""),"Stammdaten fehlen",IF(AND($G414="",$H414=""),"Werte fehlen",IF($G414="","Monatsstunden fehlen",IF($H414="","Monatslohn fehlt","OK")))))</f>
        <v>OK</v>
      </c>
      <c r="J414" s="427" t="str">
        <f>IF($G414="","",IF(COUNTIFS($A:$A,$A414,$D:$D,$D414,$G:$G,$G414)&gt;1,"Doppelte Monatsstunden",""))</f>
        <v/>
      </c>
    </row>
    <row r="415" spans="1:10" ht="24" customHeight="1">
      <c r="A415" s="417" t="s">
        <v>334</v>
      </c>
      <c r="B415" s="403">
        <v>45778</v>
      </c>
      <c r="C415" s="403">
        <v>46142</v>
      </c>
      <c r="D415" s="404" t="s">
        <v>332</v>
      </c>
      <c r="E415" s="404" t="s">
        <v>13</v>
      </c>
      <c r="F415" s="404" t="s">
        <v>321</v>
      </c>
      <c r="G415" s="215">
        <v>51.9</v>
      </c>
      <c r="H415" s="216">
        <v>648</v>
      </c>
      <c r="I415" s="404" t="str">
        <f>IF($A415="","",IF(OR($B415="",$C415="",$D415="",$E415="",$F415=""),"Stammdaten fehlen",IF(AND($G415="",$H415=""),"Werte fehlen",IF($G415="","Monatsstunden fehlen",IF($H415="","Monatslohn fehlt","OK")))))</f>
        <v>OK</v>
      </c>
      <c r="J415" s="427" t="str">
        <f>IF($G415="","",IF(COUNTIFS($A:$A,$A415,$D:$D,$D415,$G:$G,$G415)&gt;1,"Doppelte Monatsstunden",""))</f>
        <v/>
      </c>
    </row>
    <row r="416" spans="1:10" ht="24" customHeight="1">
      <c r="A416" s="417" t="s">
        <v>334</v>
      </c>
      <c r="B416" s="403">
        <v>45778</v>
      </c>
      <c r="C416" s="403">
        <v>46142</v>
      </c>
      <c r="D416" s="404" t="s">
        <v>332</v>
      </c>
      <c r="E416" s="404" t="s">
        <v>13</v>
      </c>
      <c r="F416" s="404" t="s">
        <v>321</v>
      </c>
      <c r="G416" s="215">
        <v>47.58</v>
      </c>
      <c r="H416" s="216">
        <v>594</v>
      </c>
      <c r="I416" s="404" t="str">
        <f>IF($A416="","",IF(OR($B416="",$C416="",$D416="",$E416="",$F416=""),"Stammdaten fehlen",IF(AND($G416="",$H416=""),"Werte fehlen",IF($G416="","Monatsstunden fehlen",IF($H416="","Monatslohn fehlt","OK")))))</f>
        <v>OK</v>
      </c>
      <c r="J416" s="427" t="str">
        <f>IF($G416="","",IF(COUNTIFS($A:$A,$A416,$D:$D,$D416,$G:$G,$G416)&gt;1,"Doppelte Monatsstunden",""))</f>
        <v/>
      </c>
    </row>
    <row r="417" spans="1:10" ht="24" customHeight="1">
      <c r="A417" s="417" t="s">
        <v>334</v>
      </c>
      <c r="B417" s="403">
        <v>45778</v>
      </c>
      <c r="C417" s="403">
        <v>46142</v>
      </c>
      <c r="D417" s="404" t="s">
        <v>332</v>
      </c>
      <c r="E417" s="404" t="s">
        <v>13</v>
      </c>
      <c r="F417" s="404" t="s">
        <v>321</v>
      </c>
      <c r="G417" s="215">
        <v>43.25</v>
      </c>
      <c r="H417" s="216">
        <v>540</v>
      </c>
      <c r="I417" s="404" t="str">
        <f>IF($A417="","",IF(OR($B417="",$C417="",$D417="",$E417="",$F417=""),"Stammdaten fehlen",IF(AND($G417="",$H417=""),"Werte fehlen",IF($G417="","Monatsstunden fehlen",IF($H417="","Monatslohn fehlt","OK")))))</f>
        <v>OK</v>
      </c>
      <c r="J417" s="427" t="str">
        <f>IF($G417="","",IF(COUNTIFS($A:$A,$A417,$D:$D,$D417,$G:$G,$G417)&gt;1,"Doppelte Monatsstunden",""))</f>
        <v/>
      </c>
    </row>
    <row r="418" spans="1:10" ht="24" customHeight="1">
      <c r="A418" s="417" t="s">
        <v>334</v>
      </c>
      <c r="B418" s="403">
        <v>45778</v>
      </c>
      <c r="C418" s="403">
        <v>46142</v>
      </c>
      <c r="D418" s="404" t="s">
        <v>332</v>
      </c>
      <c r="E418" s="404" t="s">
        <v>13</v>
      </c>
      <c r="F418" s="404" t="s">
        <v>321</v>
      </c>
      <c r="G418" s="215">
        <v>34.6</v>
      </c>
      <c r="H418" s="216">
        <v>432</v>
      </c>
      <c r="I418" s="404" t="str">
        <f>IF($A418="","",IF(OR($B418="",$C418="",$D418="",$E418="",$F418=""),"Stammdaten fehlen",IF(AND($G418="",$H418=""),"Werte fehlen",IF($G418="","Monatsstunden fehlen",IF($H418="","Monatslohn fehlt","OK")))))</f>
        <v>OK</v>
      </c>
      <c r="J418" s="427" t="str">
        <f>IF($G418="","",IF(COUNTIFS($A:$A,$A418,$D:$D,$D418,$G:$G,$G418)&gt;1,"Doppelte Monatsstunden",""))</f>
        <v/>
      </c>
    </row>
    <row r="419" spans="1:10" ht="24" customHeight="1" thickBot="1">
      <c r="A419" s="417" t="s">
        <v>334</v>
      </c>
      <c r="B419" s="403">
        <v>45778</v>
      </c>
      <c r="C419" s="403">
        <v>46142</v>
      </c>
      <c r="D419" s="404" t="s">
        <v>332</v>
      </c>
      <c r="E419" s="404" t="s">
        <v>13</v>
      </c>
      <c r="F419" s="404" t="s">
        <v>321</v>
      </c>
      <c r="G419" s="215">
        <v>32.01</v>
      </c>
      <c r="H419" s="216">
        <v>399.6</v>
      </c>
      <c r="I419" s="404" t="str">
        <f>IF($A419="","",IF(OR($B419="",$C419="",$D419="",$E419="",$F419=""),"Stammdaten fehlen",IF(AND($G419="",$H419=""),"Werte fehlen",IF($G419="","Monatsstunden fehlen",IF($H419="","Monatslohn fehlt","OK")))))</f>
        <v>OK</v>
      </c>
      <c r="J419" s="427" t="str">
        <f>IF($G419="","",IF(COUNTIFS($A:$A,$A419,$D:$D,$D419,$G:$G,$G419)&gt;1,"Doppelte Monatsstunden",""))</f>
        <v/>
      </c>
    </row>
    <row r="420" spans="1:10" ht="24" customHeight="1">
      <c r="A420" s="416" t="s">
        <v>334</v>
      </c>
      <c r="B420" s="401">
        <v>45778</v>
      </c>
      <c r="C420" s="401">
        <v>46142</v>
      </c>
      <c r="D420" s="402" t="s">
        <v>15</v>
      </c>
      <c r="E420" s="402" t="s">
        <v>13</v>
      </c>
      <c r="F420" s="402" t="s">
        <v>322</v>
      </c>
      <c r="G420" s="213">
        <v>173</v>
      </c>
      <c r="H420" s="214">
        <v>2160</v>
      </c>
      <c r="I420" s="402" t="str">
        <f>IF($A420="","",IF(OR($B420="",$C420="",$D420="",$E420="",$F420=""),"Stammdaten fehlen",IF(AND($G420="",$H420=""),"Werte fehlen",IF($G420="","Monatsstunden fehlen",IF($H420="","Monatslohn fehlt","OK")))))</f>
        <v>OK</v>
      </c>
      <c r="J420" s="426" t="str">
        <f>IF($G420="","",IF(COUNTIFS($A:$A,$A420,$D:$D,$D420,$G:$G,$G420)&gt;1,"Doppelte Monatsstunden",""))</f>
        <v/>
      </c>
    </row>
    <row r="421" spans="1:10" ht="24" customHeight="1">
      <c r="A421" s="417" t="s">
        <v>334</v>
      </c>
      <c r="B421" s="403">
        <v>45778</v>
      </c>
      <c r="C421" s="403">
        <v>46142</v>
      </c>
      <c r="D421" s="404" t="s">
        <v>15</v>
      </c>
      <c r="E421" s="404" t="s">
        <v>13</v>
      </c>
      <c r="F421" s="404" t="s">
        <v>322</v>
      </c>
      <c r="G421" s="215">
        <v>151.38</v>
      </c>
      <c r="H421" s="216">
        <v>1890</v>
      </c>
      <c r="I421" s="404" t="str">
        <f>IF($A421="","",IF(OR($B421="",$C421="",$D421="",$E421="",$F421=""),"Stammdaten fehlen",IF(AND($G421="",$H421=""),"Werte fehlen",IF($G421="","Monatsstunden fehlen",IF($H421="","Monatslohn fehlt","OK")))))</f>
        <v>OK</v>
      </c>
      <c r="J421" s="427" t="str">
        <f>IF($G421="","",IF(COUNTIFS($A:$A,$A421,$D:$D,$D421,$G:$G,$G421)&gt;1,"Doppelte Monatsstunden",""))</f>
        <v/>
      </c>
    </row>
    <row r="422" spans="1:10" ht="24" customHeight="1">
      <c r="A422" s="417" t="s">
        <v>334</v>
      </c>
      <c r="B422" s="403">
        <v>45778</v>
      </c>
      <c r="C422" s="403">
        <v>46142</v>
      </c>
      <c r="D422" s="404" t="s">
        <v>15</v>
      </c>
      <c r="E422" s="404" t="s">
        <v>13</v>
      </c>
      <c r="F422" s="404" t="s">
        <v>322</v>
      </c>
      <c r="G422" s="215">
        <v>138.4</v>
      </c>
      <c r="H422" s="216">
        <v>1728</v>
      </c>
      <c r="I422" s="404" t="str">
        <f>IF($A422="","",IF(OR($B422="",$C422="",$D422="",$E422="",$F422=""),"Stammdaten fehlen",IF(AND($G422="",$H422=""),"Werte fehlen",IF($G422="","Monatsstunden fehlen",IF($H422="","Monatslohn fehlt","OK")))))</f>
        <v>OK</v>
      </c>
      <c r="J422" s="427" t="str">
        <f>IF($G422="","",IF(COUNTIFS($A:$A,$A422,$D:$D,$D422,$G:$G,$G422)&gt;1,"Doppelte Monatsstunden",""))</f>
        <v/>
      </c>
    </row>
    <row r="423" spans="1:10" ht="24" customHeight="1">
      <c r="A423" s="417" t="s">
        <v>334</v>
      </c>
      <c r="B423" s="403">
        <v>45778</v>
      </c>
      <c r="C423" s="403">
        <v>46142</v>
      </c>
      <c r="D423" s="404" t="s">
        <v>15</v>
      </c>
      <c r="E423" s="404" t="s">
        <v>13</v>
      </c>
      <c r="F423" s="404" t="s">
        <v>322</v>
      </c>
      <c r="G423" s="215">
        <v>129.75</v>
      </c>
      <c r="H423" s="216">
        <v>1620</v>
      </c>
      <c r="I423" s="404" t="str">
        <f>IF($A423="","",IF(OR($B423="",$C423="",$D423="",$E423="",$F423=""),"Stammdaten fehlen",IF(AND($G423="",$H423=""),"Werte fehlen",IF($G423="","Monatsstunden fehlen",IF($H423="","Monatslohn fehlt","OK")))))</f>
        <v>OK</v>
      </c>
      <c r="J423" s="427" t="str">
        <f>IF($G423="","",IF(COUNTIFS($A:$A,$A423,$D:$D,$D423,$G:$G,$G423)&gt;1,"Doppelte Monatsstunden",""))</f>
        <v/>
      </c>
    </row>
    <row r="424" spans="1:10" ht="24" customHeight="1">
      <c r="A424" s="417" t="s">
        <v>334</v>
      </c>
      <c r="B424" s="403">
        <v>45778</v>
      </c>
      <c r="C424" s="403">
        <v>46142</v>
      </c>
      <c r="D424" s="404" t="s">
        <v>15</v>
      </c>
      <c r="E424" s="404" t="s">
        <v>13</v>
      </c>
      <c r="F424" s="404" t="s">
        <v>322</v>
      </c>
      <c r="G424" s="215">
        <v>108.13</v>
      </c>
      <c r="H424" s="216">
        <v>1350</v>
      </c>
      <c r="I424" s="404" t="str">
        <f>IF($A424="","",IF(OR($B424="",$C424="",$D424="",$E424="",$F424=""),"Stammdaten fehlen",IF(AND($G424="",$H424=""),"Werte fehlen",IF($G424="","Monatsstunden fehlen",IF($H424="","Monatslohn fehlt","OK")))))</f>
        <v>OK</v>
      </c>
      <c r="J424" s="427" t="str">
        <f>IF($G424="","",IF(COUNTIFS($A:$A,$A424,$D:$D,$D424,$G:$G,$G424)&gt;1,"Doppelte Monatsstunden",""))</f>
        <v/>
      </c>
    </row>
    <row r="425" spans="1:10" ht="24" customHeight="1">
      <c r="A425" s="417" t="s">
        <v>334</v>
      </c>
      <c r="B425" s="403">
        <v>45778</v>
      </c>
      <c r="C425" s="403">
        <v>46142</v>
      </c>
      <c r="D425" s="404" t="s">
        <v>15</v>
      </c>
      <c r="E425" s="404" t="s">
        <v>13</v>
      </c>
      <c r="F425" s="404" t="s">
        <v>322</v>
      </c>
      <c r="G425" s="215">
        <v>103.8</v>
      </c>
      <c r="H425" s="216">
        <v>1296</v>
      </c>
      <c r="I425" s="404" t="str">
        <f>IF($A425="","",IF(OR($B425="",$C425="",$D425="",$E425="",$F425=""),"Stammdaten fehlen",IF(AND($G425="",$H425=""),"Werte fehlen",IF($G425="","Monatsstunden fehlen",IF($H425="","Monatslohn fehlt","OK")))))</f>
        <v>OK</v>
      </c>
      <c r="J425" s="427" t="str">
        <f>IF($G425="","",IF(COUNTIFS($A:$A,$A425,$D:$D,$D425,$G:$G,$G425)&gt;1,"Doppelte Monatsstunden",""))</f>
        <v/>
      </c>
    </row>
    <row r="426" spans="1:10" ht="24" customHeight="1">
      <c r="A426" s="417" t="s">
        <v>334</v>
      </c>
      <c r="B426" s="403">
        <v>45778</v>
      </c>
      <c r="C426" s="403">
        <v>46142</v>
      </c>
      <c r="D426" s="404" t="s">
        <v>15</v>
      </c>
      <c r="E426" s="404" t="s">
        <v>13</v>
      </c>
      <c r="F426" s="404" t="s">
        <v>322</v>
      </c>
      <c r="G426" s="215">
        <v>86.5</v>
      </c>
      <c r="H426" s="216">
        <v>1080</v>
      </c>
      <c r="I426" s="404" t="str">
        <f>IF($A426="","",IF(OR($B426="",$C426="",$D426="",$E426="",$F426=""),"Stammdaten fehlen",IF(AND($G426="",$H426=""),"Werte fehlen",IF($G426="","Monatsstunden fehlen",IF($H426="","Monatslohn fehlt","OK")))))</f>
        <v>OK</v>
      </c>
      <c r="J426" s="427" t="str">
        <f>IF($G426="","",IF(COUNTIFS($A:$A,$A426,$D:$D,$D426,$G:$G,$G426)&gt;1,"Doppelte Monatsstunden",""))</f>
        <v/>
      </c>
    </row>
    <row r="427" spans="1:10" ht="24" customHeight="1">
      <c r="A427" s="417" t="s">
        <v>334</v>
      </c>
      <c r="B427" s="403">
        <v>45778</v>
      </c>
      <c r="C427" s="403">
        <v>46142</v>
      </c>
      <c r="D427" s="404" t="s">
        <v>15</v>
      </c>
      <c r="E427" s="404" t="s">
        <v>13</v>
      </c>
      <c r="F427" s="404" t="s">
        <v>322</v>
      </c>
      <c r="G427" s="215">
        <v>69.2</v>
      </c>
      <c r="H427" s="216">
        <v>864</v>
      </c>
      <c r="I427" s="404" t="str">
        <f>IF($A427="","",IF(OR($B427="",$C427="",$D427="",$E427="",$F427=""),"Stammdaten fehlen",IF(AND($G427="",$H427=""),"Werte fehlen",IF($G427="","Monatsstunden fehlen",IF($H427="","Monatslohn fehlt","OK")))))</f>
        <v>OK</v>
      </c>
      <c r="J427" s="427" t="str">
        <f>IF($G427="","",IF(COUNTIFS($A:$A,$A427,$D:$D,$D427,$G:$G,$G427)&gt;1,"Doppelte Monatsstunden",""))</f>
        <v/>
      </c>
    </row>
    <row r="428" spans="1:10" ht="24" customHeight="1">
      <c r="A428" s="417" t="s">
        <v>334</v>
      </c>
      <c r="B428" s="403">
        <v>45778</v>
      </c>
      <c r="C428" s="403">
        <v>46142</v>
      </c>
      <c r="D428" s="404" t="s">
        <v>15</v>
      </c>
      <c r="E428" s="404" t="s">
        <v>13</v>
      </c>
      <c r="F428" s="404" t="s">
        <v>322</v>
      </c>
      <c r="G428" s="215">
        <v>51.9</v>
      </c>
      <c r="H428" s="216">
        <v>648</v>
      </c>
      <c r="I428" s="404" t="str">
        <f>IF($A428="","",IF(OR($B428="",$C428="",$D428="",$E428="",$F428=""),"Stammdaten fehlen",IF(AND($G428="",$H428=""),"Werte fehlen",IF($G428="","Monatsstunden fehlen",IF($H428="","Monatslohn fehlt","OK")))))</f>
        <v>OK</v>
      </c>
      <c r="J428" s="427" t="str">
        <f>IF($G428="","",IF(COUNTIFS($A:$A,$A428,$D:$D,$D428,$G:$G,$G428)&gt;1,"Doppelte Monatsstunden",""))</f>
        <v/>
      </c>
    </row>
    <row r="429" spans="1:10" ht="24" customHeight="1">
      <c r="A429" s="417" t="s">
        <v>334</v>
      </c>
      <c r="B429" s="403">
        <v>45778</v>
      </c>
      <c r="C429" s="403">
        <v>46142</v>
      </c>
      <c r="D429" s="404" t="s">
        <v>15</v>
      </c>
      <c r="E429" s="404" t="s">
        <v>13</v>
      </c>
      <c r="F429" s="404" t="s">
        <v>322</v>
      </c>
      <c r="G429" s="215">
        <v>47.58</v>
      </c>
      <c r="H429" s="216">
        <v>594</v>
      </c>
      <c r="I429" s="404" t="str">
        <f>IF($A429="","",IF(OR($B429="",$C429="",$D429="",$E429="",$F429=""),"Stammdaten fehlen",IF(AND($G429="",$H429=""),"Werte fehlen",IF($G429="","Monatsstunden fehlen",IF($H429="","Monatslohn fehlt","OK")))))</f>
        <v>OK</v>
      </c>
      <c r="J429" s="427" t="str">
        <f>IF($G429="","",IF(COUNTIFS($A:$A,$A429,$D:$D,$D429,$G:$G,$G429)&gt;1,"Doppelte Monatsstunden",""))</f>
        <v/>
      </c>
    </row>
    <row r="430" spans="1:10" ht="24" customHeight="1">
      <c r="A430" s="417" t="s">
        <v>334</v>
      </c>
      <c r="B430" s="403">
        <v>45778</v>
      </c>
      <c r="C430" s="403">
        <v>46142</v>
      </c>
      <c r="D430" s="404" t="s">
        <v>15</v>
      </c>
      <c r="E430" s="404" t="s">
        <v>13</v>
      </c>
      <c r="F430" s="404" t="s">
        <v>322</v>
      </c>
      <c r="G430" s="215">
        <v>43.25</v>
      </c>
      <c r="H430" s="216">
        <v>540</v>
      </c>
      <c r="I430" s="404" t="str">
        <f>IF($A430="","",IF(OR($B430="",$C430="",$D430="",$E430="",$F430=""),"Stammdaten fehlen",IF(AND($G430="",$H430=""),"Werte fehlen",IF($G430="","Monatsstunden fehlen",IF($H430="","Monatslohn fehlt","OK")))))</f>
        <v>OK</v>
      </c>
      <c r="J430" s="427" t="str">
        <f>IF($G430="","",IF(COUNTIFS($A:$A,$A430,$D:$D,$D430,$G:$G,$G430)&gt;1,"Doppelte Monatsstunden",""))</f>
        <v/>
      </c>
    </row>
    <row r="431" spans="1:10" ht="24" customHeight="1">
      <c r="A431" s="417" t="s">
        <v>334</v>
      </c>
      <c r="B431" s="403">
        <v>45778</v>
      </c>
      <c r="C431" s="403">
        <v>46142</v>
      </c>
      <c r="D431" s="404" t="s">
        <v>15</v>
      </c>
      <c r="E431" s="404" t="s">
        <v>13</v>
      </c>
      <c r="F431" s="404" t="s">
        <v>322</v>
      </c>
      <c r="G431" s="215">
        <v>34.6</v>
      </c>
      <c r="H431" s="216">
        <v>432</v>
      </c>
      <c r="I431" s="404" t="str">
        <f>IF($A431="","",IF(OR($B431="",$C431="",$D431="",$E431="",$F431=""),"Stammdaten fehlen",IF(AND($G431="",$H431=""),"Werte fehlen",IF($G431="","Monatsstunden fehlen",IF($H431="","Monatslohn fehlt","OK")))))</f>
        <v>OK</v>
      </c>
      <c r="J431" s="427" t="str">
        <f>IF($G431="","",IF(COUNTIFS($A:$A,$A431,$D:$D,$D431,$G:$G,$G431)&gt;1,"Doppelte Monatsstunden",""))</f>
        <v/>
      </c>
    </row>
    <row r="432" spans="1:10" ht="24" customHeight="1" thickBot="1">
      <c r="A432" s="417" t="s">
        <v>334</v>
      </c>
      <c r="B432" s="403">
        <v>45778</v>
      </c>
      <c r="C432" s="403">
        <v>46142</v>
      </c>
      <c r="D432" s="404" t="s">
        <v>15</v>
      </c>
      <c r="E432" s="404" t="s">
        <v>13</v>
      </c>
      <c r="F432" s="404" t="s">
        <v>322</v>
      </c>
      <c r="G432" s="215">
        <v>32.01</v>
      </c>
      <c r="H432" s="216">
        <v>399.6</v>
      </c>
      <c r="I432" s="404" t="str">
        <f>IF($A432="","",IF(OR($B432="",$C432="",$D432="",$E432="",$F432=""),"Stammdaten fehlen",IF(AND($G432="",$H432=""),"Werte fehlen",IF($G432="","Monatsstunden fehlen",IF($H432="","Monatslohn fehlt","OK")))))</f>
        <v>OK</v>
      </c>
      <c r="J432" s="427" t="str">
        <f>IF($G432="","",IF(COUNTIFS($A:$A,$A432,$D:$D,$D432,$G:$G,$G432)&gt;1,"Doppelte Monatsstunden",""))</f>
        <v/>
      </c>
    </row>
    <row r="433" spans="1:10" ht="24" customHeight="1">
      <c r="A433" s="416" t="s">
        <v>334</v>
      </c>
      <c r="B433" s="401">
        <v>45778</v>
      </c>
      <c r="C433" s="401">
        <v>46142</v>
      </c>
      <c r="D433" s="402" t="s">
        <v>17</v>
      </c>
      <c r="E433" s="402" t="s">
        <v>13</v>
      </c>
      <c r="F433" s="402" t="s">
        <v>323</v>
      </c>
      <c r="G433" s="213">
        <v>173</v>
      </c>
      <c r="H433" s="214">
        <v>2163</v>
      </c>
      <c r="I433" s="402" t="str">
        <f>IF($A433="","",IF(OR($B433="",$C433="",$D433="",$E433="",$F433=""),"Stammdaten fehlen",IF(AND($G433="",$H433=""),"Werte fehlen",IF($G433="","Monatsstunden fehlen",IF($H433="","Monatslohn fehlt","OK")))))</f>
        <v>OK</v>
      </c>
      <c r="J433" s="426" t="str">
        <f>IF($G433="","",IF(COUNTIFS($A:$A,$A433,$D:$D,$D433,$G:$G,$G433)&gt;1,"Doppelte Monatsstunden",""))</f>
        <v/>
      </c>
    </row>
    <row r="434" spans="1:10" ht="24" customHeight="1">
      <c r="A434" s="417" t="s">
        <v>334</v>
      </c>
      <c r="B434" s="403">
        <v>45778</v>
      </c>
      <c r="C434" s="403">
        <v>46142</v>
      </c>
      <c r="D434" s="404" t="s">
        <v>17</v>
      </c>
      <c r="E434" s="404" t="s">
        <v>13</v>
      </c>
      <c r="F434" s="404" t="s">
        <v>323</v>
      </c>
      <c r="G434" s="215">
        <v>151.38</v>
      </c>
      <c r="H434" s="216">
        <v>1892.63</v>
      </c>
      <c r="I434" s="404" t="str">
        <f>IF($A434="","",IF(OR($B434="",$C434="",$D434="",$E434="",$F434=""),"Stammdaten fehlen",IF(AND($G434="",$H434=""),"Werte fehlen",IF($G434="","Monatsstunden fehlen",IF($H434="","Monatslohn fehlt","OK")))))</f>
        <v>OK</v>
      </c>
      <c r="J434" s="427" t="str">
        <f>IF($G434="","",IF(COUNTIFS($A:$A,$A434,$D:$D,$D434,$G:$G,$G434)&gt;1,"Doppelte Monatsstunden",""))</f>
        <v/>
      </c>
    </row>
    <row r="435" spans="1:10" ht="24" customHeight="1">
      <c r="A435" s="417" t="s">
        <v>334</v>
      </c>
      <c r="B435" s="403">
        <v>45778</v>
      </c>
      <c r="C435" s="403">
        <v>46142</v>
      </c>
      <c r="D435" s="404" t="s">
        <v>17</v>
      </c>
      <c r="E435" s="404" t="s">
        <v>13</v>
      </c>
      <c r="F435" s="404" t="s">
        <v>323</v>
      </c>
      <c r="G435" s="215">
        <v>138.4</v>
      </c>
      <c r="H435" s="216">
        <v>1730.4</v>
      </c>
      <c r="I435" s="404" t="str">
        <f>IF($A435="","",IF(OR($B435="",$C435="",$D435="",$E435="",$F435=""),"Stammdaten fehlen",IF(AND($G435="",$H435=""),"Werte fehlen",IF($G435="","Monatsstunden fehlen",IF($H435="","Monatslohn fehlt","OK")))))</f>
        <v>OK</v>
      </c>
      <c r="J435" s="427" t="str">
        <f>IF($G435="","",IF(COUNTIFS($A:$A,$A435,$D:$D,$D435,$G:$G,$G435)&gt;1,"Doppelte Monatsstunden",""))</f>
        <v/>
      </c>
    </row>
    <row r="436" spans="1:10" ht="24" customHeight="1">
      <c r="A436" s="417" t="s">
        <v>334</v>
      </c>
      <c r="B436" s="403">
        <v>45778</v>
      </c>
      <c r="C436" s="403">
        <v>46142</v>
      </c>
      <c r="D436" s="404" t="s">
        <v>17</v>
      </c>
      <c r="E436" s="404" t="s">
        <v>13</v>
      </c>
      <c r="F436" s="404" t="s">
        <v>323</v>
      </c>
      <c r="G436" s="215">
        <v>129.75</v>
      </c>
      <c r="H436" s="216">
        <v>1622.25</v>
      </c>
      <c r="I436" s="404" t="str">
        <f>IF($A436="","",IF(OR($B436="",$C436="",$D436="",$E436="",$F436=""),"Stammdaten fehlen",IF(AND($G436="",$H436=""),"Werte fehlen",IF($G436="","Monatsstunden fehlen",IF($H436="","Monatslohn fehlt","OK")))))</f>
        <v>OK</v>
      </c>
      <c r="J436" s="427" t="str">
        <f>IF($G436="","",IF(COUNTIFS($A:$A,$A436,$D:$D,$D436,$G:$G,$G436)&gt;1,"Doppelte Monatsstunden",""))</f>
        <v/>
      </c>
    </row>
    <row r="437" spans="1:10" ht="24" customHeight="1">
      <c r="A437" s="417" t="s">
        <v>334</v>
      </c>
      <c r="B437" s="403">
        <v>45778</v>
      </c>
      <c r="C437" s="403">
        <v>46142</v>
      </c>
      <c r="D437" s="404" t="s">
        <v>17</v>
      </c>
      <c r="E437" s="404" t="s">
        <v>13</v>
      </c>
      <c r="F437" s="404" t="s">
        <v>323</v>
      </c>
      <c r="G437" s="215">
        <v>108.13</v>
      </c>
      <c r="H437" s="216">
        <v>1351.88</v>
      </c>
      <c r="I437" s="404" t="str">
        <f>IF($A437="","",IF(OR($B437="",$C437="",$D437="",$E437="",$F437=""),"Stammdaten fehlen",IF(AND($G437="",$H437=""),"Werte fehlen",IF($G437="","Monatsstunden fehlen",IF($H437="","Monatslohn fehlt","OK")))))</f>
        <v>OK</v>
      </c>
      <c r="J437" s="427" t="str">
        <f>IF($G437="","",IF(COUNTIFS($A:$A,$A437,$D:$D,$D437,$G:$G,$G437)&gt;1,"Doppelte Monatsstunden",""))</f>
        <v/>
      </c>
    </row>
    <row r="438" spans="1:10" ht="24" customHeight="1">
      <c r="A438" s="417" t="s">
        <v>334</v>
      </c>
      <c r="B438" s="403">
        <v>45778</v>
      </c>
      <c r="C438" s="403">
        <v>46142</v>
      </c>
      <c r="D438" s="404" t="s">
        <v>17</v>
      </c>
      <c r="E438" s="404" t="s">
        <v>13</v>
      </c>
      <c r="F438" s="404" t="s">
        <v>323</v>
      </c>
      <c r="G438" s="215">
        <v>103.8</v>
      </c>
      <c r="H438" s="216">
        <v>1297.8</v>
      </c>
      <c r="I438" s="404" t="str">
        <f>IF($A438="","",IF(OR($B438="",$C438="",$D438="",$E438="",$F438=""),"Stammdaten fehlen",IF(AND($G438="",$H438=""),"Werte fehlen",IF($G438="","Monatsstunden fehlen",IF($H438="","Monatslohn fehlt","OK")))))</f>
        <v>OK</v>
      </c>
      <c r="J438" s="427" t="str">
        <f>IF($G438="","",IF(COUNTIFS($A:$A,$A438,$D:$D,$D438,$G:$G,$G438)&gt;1,"Doppelte Monatsstunden",""))</f>
        <v/>
      </c>
    </row>
    <row r="439" spans="1:10" ht="24" customHeight="1">
      <c r="A439" s="417" t="s">
        <v>334</v>
      </c>
      <c r="B439" s="403">
        <v>45778</v>
      </c>
      <c r="C439" s="403">
        <v>46142</v>
      </c>
      <c r="D439" s="404" t="s">
        <v>17</v>
      </c>
      <c r="E439" s="404" t="s">
        <v>13</v>
      </c>
      <c r="F439" s="404" t="s">
        <v>323</v>
      </c>
      <c r="G439" s="215">
        <v>86.5</v>
      </c>
      <c r="H439" s="216">
        <v>1081.5</v>
      </c>
      <c r="I439" s="404" t="str">
        <f>IF($A439="","",IF(OR($B439="",$C439="",$D439="",$E439="",$F439=""),"Stammdaten fehlen",IF(AND($G439="",$H439=""),"Werte fehlen",IF($G439="","Monatsstunden fehlen",IF($H439="","Monatslohn fehlt","OK")))))</f>
        <v>OK</v>
      </c>
      <c r="J439" s="427" t="str">
        <f>IF($G439="","",IF(COUNTIFS($A:$A,$A439,$D:$D,$D439,$G:$G,$G439)&gt;1,"Doppelte Monatsstunden",""))</f>
        <v/>
      </c>
    </row>
    <row r="440" spans="1:10" ht="24" customHeight="1">
      <c r="A440" s="417" t="s">
        <v>334</v>
      </c>
      <c r="B440" s="403">
        <v>45778</v>
      </c>
      <c r="C440" s="403">
        <v>46142</v>
      </c>
      <c r="D440" s="404" t="s">
        <v>17</v>
      </c>
      <c r="E440" s="404" t="s">
        <v>13</v>
      </c>
      <c r="F440" s="404" t="s">
        <v>323</v>
      </c>
      <c r="G440" s="215">
        <v>69.2</v>
      </c>
      <c r="H440" s="216">
        <v>865.2</v>
      </c>
      <c r="I440" s="404" t="str">
        <f>IF($A440="","",IF(OR($B440="",$C440="",$D440="",$E440="",$F440=""),"Stammdaten fehlen",IF(AND($G440="",$H440=""),"Werte fehlen",IF($G440="","Monatsstunden fehlen",IF($H440="","Monatslohn fehlt","OK")))))</f>
        <v>OK</v>
      </c>
      <c r="J440" s="427" t="str">
        <f>IF($G440="","",IF(COUNTIFS($A:$A,$A440,$D:$D,$D440,$G:$G,$G440)&gt;1,"Doppelte Monatsstunden",""))</f>
        <v/>
      </c>
    </row>
    <row r="441" spans="1:10" ht="24" customHeight="1">
      <c r="A441" s="417" t="s">
        <v>334</v>
      </c>
      <c r="B441" s="403">
        <v>45778</v>
      </c>
      <c r="C441" s="403">
        <v>46142</v>
      </c>
      <c r="D441" s="404" t="s">
        <v>17</v>
      </c>
      <c r="E441" s="404" t="s">
        <v>13</v>
      </c>
      <c r="F441" s="404" t="s">
        <v>323</v>
      </c>
      <c r="G441" s="215">
        <v>51.9</v>
      </c>
      <c r="H441" s="216">
        <v>648.9</v>
      </c>
      <c r="I441" s="404" t="str">
        <f>IF($A441="","",IF(OR($B441="",$C441="",$D441="",$E441="",$F441=""),"Stammdaten fehlen",IF(AND($G441="",$H441=""),"Werte fehlen",IF($G441="","Monatsstunden fehlen",IF($H441="","Monatslohn fehlt","OK")))))</f>
        <v>OK</v>
      </c>
      <c r="J441" s="427" t="str">
        <f>IF($G441="","",IF(COUNTIFS($A:$A,$A441,$D:$D,$D441,$G:$G,$G441)&gt;1,"Doppelte Monatsstunden",""))</f>
        <v/>
      </c>
    </row>
    <row r="442" spans="1:10" ht="24" customHeight="1">
      <c r="A442" s="417" t="s">
        <v>334</v>
      </c>
      <c r="B442" s="403">
        <v>45778</v>
      </c>
      <c r="C442" s="403">
        <v>46142</v>
      </c>
      <c r="D442" s="404" t="s">
        <v>17</v>
      </c>
      <c r="E442" s="404" t="s">
        <v>13</v>
      </c>
      <c r="F442" s="404" t="s">
        <v>323</v>
      </c>
      <c r="G442" s="215">
        <v>47.58</v>
      </c>
      <c r="H442" s="216">
        <v>594.83000000000004</v>
      </c>
      <c r="I442" s="404" t="str">
        <f>IF($A442="","",IF(OR($B442="",$C442="",$D442="",$E442="",$F442=""),"Stammdaten fehlen",IF(AND($G442="",$H442=""),"Werte fehlen",IF($G442="","Monatsstunden fehlen",IF($H442="","Monatslohn fehlt","OK")))))</f>
        <v>OK</v>
      </c>
      <c r="J442" s="427" t="str">
        <f>IF($G442="","",IF(COUNTIFS($A:$A,$A442,$D:$D,$D442,$G:$G,$G442)&gt;1,"Doppelte Monatsstunden",""))</f>
        <v/>
      </c>
    </row>
    <row r="443" spans="1:10" ht="24" customHeight="1">
      <c r="A443" s="417" t="s">
        <v>334</v>
      </c>
      <c r="B443" s="403">
        <v>45778</v>
      </c>
      <c r="C443" s="403">
        <v>46142</v>
      </c>
      <c r="D443" s="404" t="s">
        <v>17</v>
      </c>
      <c r="E443" s="404" t="s">
        <v>13</v>
      </c>
      <c r="F443" s="404" t="s">
        <v>323</v>
      </c>
      <c r="G443" s="215">
        <v>43.25</v>
      </c>
      <c r="H443" s="216">
        <v>540.75</v>
      </c>
      <c r="I443" s="404" t="str">
        <f>IF($A443="","",IF(OR($B443="",$C443="",$D443="",$E443="",$F443=""),"Stammdaten fehlen",IF(AND($G443="",$H443=""),"Werte fehlen",IF($G443="","Monatsstunden fehlen",IF($H443="","Monatslohn fehlt","OK")))))</f>
        <v>OK</v>
      </c>
      <c r="J443" s="427" t="str">
        <f>IF($G443="","",IF(COUNTIFS($A:$A,$A443,$D:$D,$D443,$G:$G,$G443)&gt;1,"Doppelte Monatsstunden",""))</f>
        <v/>
      </c>
    </row>
    <row r="444" spans="1:10" ht="24" customHeight="1">
      <c r="A444" s="417" t="s">
        <v>334</v>
      </c>
      <c r="B444" s="403">
        <v>45778</v>
      </c>
      <c r="C444" s="403">
        <v>46142</v>
      </c>
      <c r="D444" s="404" t="s">
        <v>17</v>
      </c>
      <c r="E444" s="404" t="s">
        <v>13</v>
      </c>
      <c r="F444" s="404" t="s">
        <v>323</v>
      </c>
      <c r="G444" s="215">
        <v>34.6</v>
      </c>
      <c r="H444" s="216">
        <v>432.6</v>
      </c>
      <c r="I444" s="404" t="str">
        <f>IF($A444="","",IF(OR($B444="",$C444="",$D444="",$E444="",$F444=""),"Stammdaten fehlen",IF(AND($G444="",$H444=""),"Werte fehlen",IF($G444="","Monatsstunden fehlen",IF($H444="","Monatslohn fehlt","OK")))))</f>
        <v>OK</v>
      </c>
      <c r="J444" s="427" t="str">
        <f>IF($G444="","",IF(COUNTIFS($A:$A,$A444,$D:$D,$D444,$G:$G,$G444)&gt;1,"Doppelte Monatsstunden",""))</f>
        <v/>
      </c>
    </row>
    <row r="445" spans="1:10" ht="24" customHeight="1" thickBot="1">
      <c r="A445" s="417" t="s">
        <v>334</v>
      </c>
      <c r="B445" s="403">
        <v>45778</v>
      </c>
      <c r="C445" s="403">
        <v>46142</v>
      </c>
      <c r="D445" s="404" t="s">
        <v>17</v>
      </c>
      <c r="E445" s="404" t="s">
        <v>13</v>
      </c>
      <c r="F445" s="404" t="s">
        <v>323</v>
      </c>
      <c r="G445" s="215">
        <v>32.01</v>
      </c>
      <c r="H445" s="216">
        <v>400.16</v>
      </c>
      <c r="I445" s="404" t="str">
        <f>IF($A445="","",IF(OR($B445="",$C445="",$D445="",$E445="",$F445=""),"Stammdaten fehlen",IF(AND($G445="",$H445=""),"Werte fehlen",IF($G445="","Monatsstunden fehlen",IF($H445="","Monatslohn fehlt","OK")))))</f>
        <v>OK</v>
      </c>
      <c r="J445" s="427" t="str">
        <f>IF($G445="","",IF(COUNTIFS($A:$A,$A445,$D:$D,$D445,$G:$G,$G445)&gt;1,"Doppelte Monatsstunden",""))</f>
        <v/>
      </c>
    </row>
    <row r="446" spans="1:10" ht="24" customHeight="1">
      <c r="A446" s="416" t="s">
        <v>334</v>
      </c>
      <c r="B446" s="401">
        <v>45778</v>
      </c>
      <c r="C446" s="401">
        <v>46142</v>
      </c>
      <c r="D446" s="402" t="s">
        <v>19</v>
      </c>
      <c r="E446" s="402" t="s">
        <v>13</v>
      </c>
      <c r="F446" s="402" t="s">
        <v>324</v>
      </c>
      <c r="G446" s="213">
        <v>173</v>
      </c>
      <c r="H446" s="214">
        <v>2225</v>
      </c>
      <c r="I446" s="402" t="str">
        <f>IF($A446="","",IF(OR($B446="",$C446="",$D446="",$E446="",$F446=""),"Stammdaten fehlen",IF(AND($G446="",$H446=""),"Werte fehlen",IF($G446="","Monatsstunden fehlen",IF($H446="","Monatslohn fehlt","OK")))))</f>
        <v>OK</v>
      </c>
      <c r="J446" s="426" t="str">
        <f>IF($G446="","",IF(COUNTIFS($A:$A,$A446,$D:$D,$D446,$G:$G,$G446)&gt;1,"Doppelte Monatsstunden",""))</f>
        <v/>
      </c>
    </row>
    <row r="447" spans="1:10" ht="24" customHeight="1">
      <c r="A447" s="417" t="s">
        <v>334</v>
      </c>
      <c r="B447" s="403">
        <v>45778</v>
      </c>
      <c r="C447" s="403">
        <v>46142</v>
      </c>
      <c r="D447" s="404" t="s">
        <v>19</v>
      </c>
      <c r="E447" s="404" t="s">
        <v>13</v>
      </c>
      <c r="F447" s="404" t="s">
        <v>324</v>
      </c>
      <c r="G447" s="215">
        <v>151.38</v>
      </c>
      <c r="H447" s="216">
        <v>1946.88</v>
      </c>
      <c r="I447" s="404" t="str">
        <f>IF($A447="","",IF(OR($B447="",$C447="",$D447="",$E447="",$F447=""),"Stammdaten fehlen",IF(AND($G447="",$H447=""),"Werte fehlen",IF($G447="","Monatsstunden fehlen",IF($H447="","Monatslohn fehlt","OK")))))</f>
        <v>OK</v>
      </c>
      <c r="J447" s="427" t="str">
        <f>IF($G447="","",IF(COUNTIFS($A:$A,$A447,$D:$D,$D447,$G:$G,$G447)&gt;1,"Doppelte Monatsstunden",""))</f>
        <v/>
      </c>
    </row>
    <row r="448" spans="1:10" ht="24" customHeight="1">
      <c r="A448" s="417" t="s">
        <v>334</v>
      </c>
      <c r="B448" s="403">
        <v>45778</v>
      </c>
      <c r="C448" s="403">
        <v>46142</v>
      </c>
      <c r="D448" s="404" t="s">
        <v>19</v>
      </c>
      <c r="E448" s="404" t="s">
        <v>13</v>
      </c>
      <c r="F448" s="404" t="s">
        <v>324</v>
      </c>
      <c r="G448" s="215">
        <v>138.4</v>
      </c>
      <c r="H448" s="216">
        <v>1780</v>
      </c>
      <c r="I448" s="404" t="str">
        <f>IF($A448="","",IF(OR($B448="",$C448="",$D448="",$E448="",$F448=""),"Stammdaten fehlen",IF(AND($G448="",$H448=""),"Werte fehlen",IF($G448="","Monatsstunden fehlen",IF($H448="","Monatslohn fehlt","OK")))))</f>
        <v>OK</v>
      </c>
      <c r="J448" s="427" t="str">
        <f>IF($G448="","",IF(COUNTIFS($A:$A,$A448,$D:$D,$D448,$G:$G,$G448)&gt;1,"Doppelte Monatsstunden",""))</f>
        <v/>
      </c>
    </row>
    <row r="449" spans="1:10" ht="24" customHeight="1">
      <c r="A449" s="417" t="s">
        <v>334</v>
      </c>
      <c r="B449" s="403">
        <v>45778</v>
      </c>
      <c r="C449" s="403">
        <v>46142</v>
      </c>
      <c r="D449" s="404" t="s">
        <v>19</v>
      </c>
      <c r="E449" s="404" t="s">
        <v>13</v>
      </c>
      <c r="F449" s="404" t="s">
        <v>324</v>
      </c>
      <c r="G449" s="215">
        <v>129.75</v>
      </c>
      <c r="H449" s="216">
        <v>1668.75</v>
      </c>
      <c r="I449" s="404" t="str">
        <f>IF($A449="","",IF(OR($B449="",$C449="",$D449="",$E449="",$F449=""),"Stammdaten fehlen",IF(AND($G449="",$H449=""),"Werte fehlen",IF($G449="","Monatsstunden fehlen",IF($H449="","Monatslohn fehlt","OK")))))</f>
        <v>OK</v>
      </c>
      <c r="J449" s="427" t="str">
        <f>IF($G449="","",IF(COUNTIFS($A:$A,$A449,$D:$D,$D449,$G:$G,$G449)&gt;1,"Doppelte Monatsstunden",""))</f>
        <v/>
      </c>
    </row>
    <row r="450" spans="1:10" ht="24" customHeight="1">
      <c r="A450" s="417" t="s">
        <v>334</v>
      </c>
      <c r="B450" s="403">
        <v>45778</v>
      </c>
      <c r="C450" s="403">
        <v>46142</v>
      </c>
      <c r="D450" s="404" t="s">
        <v>19</v>
      </c>
      <c r="E450" s="404" t="s">
        <v>13</v>
      </c>
      <c r="F450" s="404" t="s">
        <v>324</v>
      </c>
      <c r="G450" s="215">
        <v>108.13</v>
      </c>
      <c r="H450" s="216">
        <v>1390.63</v>
      </c>
      <c r="I450" s="404" t="str">
        <f>IF($A450="","",IF(OR($B450="",$C450="",$D450="",$E450="",$F450=""),"Stammdaten fehlen",IF(AND($G450="",$H450=""),"Werte fehlen",IF($G450="","Monatsstunden fehlen",IF($H450="","Monatslohn fehlt","OK")))))</f>
        <v>OK</v>
      </c>
      <c r="J450" s="427" t="str">
        <f>IF($G450="","",IF(COUNTIFS($A:$A,$A450,$D:$D,$D450,$G:$G,$G450)&gt;1,"Doppelte Monatsstunden",""))</f>
        <v/>
      </c>
    </row>
    <row r="451" spans="1:10" ht="24" customHeight="1">
      <c r="A451" s="417" t="s">
        <v>334</v>
      </c>
      <c r="B451" s="403">
        <v>45778</v>
      </c>
      <c r="C451" s="403">
        <v>46142</v>
      </c>
      <c r="D451" s="404" t="s">
        <v>19</v>
      </c>
      <c r="E451" s="404" t="s">
        <v>13</v>
      </c>
      <c r="F451" s="404" t="s">
        <v>324</v>
      </c>
      <c r="G451" s="215">
        <v>103.8</v>
      </c>
      <c r="H451" s="216">
        <v>1335</v>
      </c>
      <c r="I451" s="404" t="str">
        <f>IF($A451="","",IF(OR($B451="",$C451="",$D451="",$E451="",$F451=""),"Stammdaten fehlen",IF(AND($G451="",$H451=""),"Werte fehlen",IF($G451="","Monatsstunden fehlen",IF($H451="","Monatslohn fehlt","OK")))))</f>
        <v>OK</v>
      </c>
      <c r="J451" s="427" t="str">
        <f>IF($G451="","",IF(COUNTIFS($A:$A,$A451,$D:$D,$D451,$G:$G,$G451)&gt;1,"Doppelte Monatsstunden",""))</f>
        <v/>
      </c>
    </row>
    <row r="452" spans="1:10" ht="24" customHeight="1">
      <c r="A452" s="417" t="s">
        <v>334</v>
      </c>
      <c r="B452" s="403">
        <v>45778</v>
      </c>
      <c r="C452" s="403">
        <v>46142</v>
      </c>
      <c r="D452" s="404" t="s">
        <v>19</v>
      </c>
      <c r="E452" s="404" t="s">
        <v>13</v>
      </c>
      <c r="F452" s="404" t="s">
        <v>324</v>
      </c>
      <c r="G452" s="215">
        <v>86.5</v>
      </c>
      <c r="H452" s="216">
        <v>1112.5</v>
      </c>
      <c r="I452" s="404" t="str">
        <f>IF($A452="","",IF(OR($B452="",$C452="",$D452="",$E452="",$F452=""),"Stammdaten fehlen",IF(AND($G452="",$H452=""),"Werte fehlen",IF($G452="","Monatsstunden fehlen",IF($H452="","Monatslohn fehlt","OK")))))</f>
        <v>OK</v>
      </c>
      <c r="J452" s="427" t="str">
        <f>IF($G452="","",IF(COUNTIFS($A:$A,$A452,$D:$D,$D452,$G:$G,$G452)&gt;1,"Doppelte Monatsstunden",""))</f>
        <v/>
      </c>
    </row>
    <row r="453" spans="1:10" ht="24" customHeight="1">
      <c r="A453" s="417" t="s">
        <v>334</v>
      </c>
      <c r="B453" s="403">
        <v>45778</v>
      </c>
      <c r="C453" s="403">
        <v>46142</v>
      </c>
      <c r="D453" s="404" t="s">
        <v>19</v>
      </c>
      <c r="E453" s="404" t="s">
        <v>13</v>
      </c>
      <c r="F453" s="404" t="s">
        <v>324</v>
      </c>
      <c r="G453" s="215">
        <v>69.2</v>
      </c>
      <c r="H453" s="216">
        <v>890</v>
      </c>
      <c r="I453" s="404" t="str">
        <f>IF($A453="","",IF(OR($B453="",$C453="",$D453="",$E453="",$F453=""),"Stammdaten fehlen",IF(AND($G453="",$H453=""),"Werte fehlen",IF($G453="","Monatsstunden fehlen",IF($H453="","Monatslohn fehlt","OK")))))</f>
        <v>OK</v>
      </c>
      <c r="J453" s="427" t="str">
        <f>IF($G453="","",IF(COUNTIFS($A:$A,$A453,$D:$D,$D453,$G:$G,$G453)&gt;1,"Doppelte Monatsstunden",""))</f>
        <v/>
      </c>
    </row>
    <row r="454" spans="1:10" ht="24" customHeight="1">
      <c r="A454" s="417" t="s">
        <v>334</v>
      </c>
      <c r="B454" s="403">
        <v>45778</v>
      </c>
      <c r="C454" s="403">
        <v>46142</v>
      </c>
      <c r="D454" s="404" t="s">
        <v>19</v>
      </c>
      <c r="E454" s="404" t="s">
        <v>13</v>
      </c>
      <c r="F454" s="404" t="s">
        <v>324</v>
      </c>
      <c r="G454" s="215">
        <v>51.9</v>
      </c>
      <c r="H454" s="216">
        <v>667.5</v>
      </c>
      <c r="I454" s="404" t="str">
        <f>IF($A454="","",IF(OR($B454="",$C454="",$D454="",$E454="",$F454=""),"Stammdaten fehlen",IF(AND($G454="",$H454=""),"Werte fehlen",IF($G454="","Monatsstunden fehlen",IF($H454="","Monatslohn fehlt","OK")))))</f>
        <v>OK</v>
      </c>
      <c r="J454" s="427" t="str">
        <f>IF($G454="","",IF(COUNTIFS($A:$A,$A454,$D:$D,$D454,$G:$G,$G454)&gt;1,"Doppelte Monatsstunden",""))</f>
        <v/>
      </c>
    </row>
    <row r="455" spans="1:10" ht="24" customHeight="1">
      <c r="A455" s="417" t="s">
        <v>334</v>
      </c>
      <c r="B455" s="403">
        <v>45778</v>
      </c>
      <c r="C455" s="403">
        <v>46142</v>
      </c>
      <c r="D455" s="404" t="s">
        <v>19</v>
      </c>
      <c r="E455" s="404" t="s">
        <v>13</v>
      </c>
      <c r="F455" s="404" t="s">
        <v>324</v>
      </c>
      <c r="G455" s="215">
        <v>47.58</v>
      </c>
      <c r="H455" s="216">
        <v>611.88</v>
      </c>
      <c r="I455" s="404" t="str">
        <f>IF($A455="","",IF(OR($B455="",$C455="",$D455="",$E455="",$F455=""),"Stammdaten fehlen",IF(AND($G455="",$H455=""),"Werte fehlen",IF($G455="","Monatsstunden fehlen",IF($H455="","Monatslohn fehlt","OK")))))</f>
        <v>OK</v>
      </c>
      <c r="J455" s="427" t="str">
        <f>IF($G455="","",IF(COUNTIFS($A:$A,$A455,$D:$D,$D455,$G:$G,$G455)&gt;1,"Doppelte Monatsstunden",""))</f>
        <v/>
      </c>
    </row>
    <row r="456" spans="1:10" ht="24" customHeight="1">
      <c r="A456" s="417" t="s">
        <v>334</v>
      </c>
      <c r="B456" s="403">
        <v>45778</v>
      </c>
      <c r="C456" s="403">
        <v>46142</v>
      </c>
      <c r="D456" s="404" t="s">
        <v>19</v>
      </c>
      <c r="E456" s="404" t="s">
        <v>13</v>
      </c>
      <c r="F456" s="404" t="s">
        <v>324</v>
      </c>
      <c r="G456" s="215">
        <v>43.25</v>
      </c>
      <c r="H456" s="216">
        <v>556.25</v>
      </c>
      <c r="I456" s="404" t="str">
        <f>IF($A456="","",IF(OR($B456="",$C456="",$D456="",$E456="",$F456=""),"Stammdaten fehlen",IF(AND($G456="",$H456=""),"Werte fehlen",IF($G456="","Monatsstunden fehlen",IF($H456="","Monatslohn fehlt","OK")))))</f>
        <v>OK</v>
      </c>
      <c r="J456" s="427" t="str">
        <f>IF($G456="","",IF(COUNTIFS($A:$A,$A456,$D:$D,$D456,$G:$G,$G456)&gt;1,"Doppelte Monatsstunden",""))</f>
        <v/>
      </c>
    </row>
    <row r="457" spans="1:10" ht="24" customHeight="1">
      <c r="A457" s="417" t="s">
        <v>334</v>
      </c>
      <c r="B457" s="403">
        <v>45778</v>
      </c>
      <c r="C457" s="403">
        <v>46142</v>
      </c>
      <c r="D457" s="404" t="s">
        <v>19</v>
      </c>
      <c r="E457" s="404" t="s">
        <v>13</v>
      </c>
      <c r="F457" s="404" t="s">
        <v>324</v>
      </c>
      <c r="G457" s="215">
        <v>34.6</v>
      </c>
      <c r="H457" s="216">
        <v>445</v>
      </c>
      <c r="I457" s="404" t="str">
        <f>IF($A457="","",IF(OR($B457="",$C457="",$D457="",$E457="",$F457=""),"Stammdaten fehlen",IF(AND($G457="",$H457=""),"Werte fehlen",IF($G457="","Monatsstunden fehlen",IF($H457="","Monatslohn fehlt","OK")))))</f>
        <v>OK</v>
      </c>
      <c r="J457" s="427" t="str">
        <f>IF($G457="","",IF(COUNTIFS($A:$A,$A457,$D:$D,$D457,$G:$G,$G457)&gt;1,"Doppelte Monatsstunden",""))</f>
        <v/>
      </c>
    </row>
    <row r="458" spans="1:10" ht="24" customHeight="1" thickBot="1">
      <c r="A458" s="417" t="s">
        <v>334</v>
      </c>
      <c r="B458" s="403">
        <v>45778</v>
      </c>
      <c r="C458" s="403">
        <v>46142</v>
      </c>
      <c r="D458" s="404" t="s">
        <v>19</v>
      </c>
      <c r="E458" s="404" t="s">
        <v>13</v>
      </c>
      <c r="F458" s="404" t="s">
        <v>324</v>
      </c>
      <c r="G458" s="215">
        <v>32.01</v>
      </c>
      <c r="H458" s="216">
        <v>411.63</v>
      </c>
      <c r="I458" s="404" t="str">
        <f>IF($A458="","",IF(OR($B458="",$C458="",$D458="",$E458="",$F458=""),"Stammdaten fehlen",IF(AND($G458="",$H458=""),"Werte fehlen",IF($G458="","Monatsstunden fehlen",IF($H458="","Monatslohn fehlt","OK")))))</f>
        <v>OK</v>
      </c>
      <c r="J458" s="427" t="str">
        <f>IF($G458="","",IF(COUNTIFS($A:$A,$A458,$D:$D,$D458,$G:$G,$G458)&gt;1,"Doppelte Monatsstunden",""))</f>
        <v/>
      </c>
    </row>
    <row r="459" spans="1:10" ht="24" customHeight="1">
      <c r="A459" s="418" t="s">
        <v>334</v>
      </c>
      <c r="B459" s="407">
        <v>45778</v>
      </c>
      <c r="C459" s="407">
        <v>46142</v>
      </c>
      <c r="D459" s="408" t="s">
        <v>333</v>
      </c>
      <c r="E459" s="408" t="s">
        <v>21</v>
      </c>
      <c r="F459" s="408" t="s">
        <v>321</v>
      </c>
      <c r="G459" s="217">
        <v>173</v>
      </c>
      <c r="H459" s="218">
        <v>2300</v>
      </c>
      <c r="I459" s="408" t="str">
        <f>IF($A459="","",IF(OR($B459="",$C459="",$D459="",$E459="",$F459=""),"Stammdaten fehlen",IF(AND($G459="",$H459=""),"Werte fehlen",IF($G459="","Monatsstunden fehlen",IF($H459="","Monatslohn fehlt","OK")))))</f>
        <v>OK</v>
      </c>
      <c r="J459" s="428" t="str">
        <f>IF($G459="","",IF(COUNTIFS($A:$A,$A459,$D:$D,$D459,$G:$G,$G459)&gt;1,"Doppelte Monatsstunden",""))</f>
        <v/>
      </c>
    </row>
    <row r="460" spans="1:10" ht="24" customHeight="1">
      <c r="A460" s="419" t="s">
        <v>334</v>
      </c>
      <c r="B460" s="409">
        <v>45778</v>
      </c>
      <c r="C460" s="409">
        <v>46142</v>
      </c>
      <c r="D460" s="410" t="s">
        <v>333</v>
      </c>
      <c r="E460" s="410" t="s">
        <v>21</v>
      </c>
      <c r="F460" s="410" t="s">
        <v>321</v>
      </c>
      <c r="G460" s="219">
        <v>151.38</v>
      </c>
      <c r="H460" s="220">
        <v>2012.5</v>
      </c>
      <c r="I460" s="410" t="str">
        <f>IF($A460="","",IF(OR($B460="",$C460="",$D460="",$E460="",$F460=""),"Stammdaten fehlen",IF(AND($G460="",$H460=""),"Werte fehlen",IF($G460="","Monatsstunden fehlen",IF($H460="","Monatslohn fehlt","OK")))))</f>
        <v>OK</v>
      </c>
      <c r="J460" s="429" t="str">
        <f>IF($G460="","",IF(COUNTIFS($A:$A,$A460,$D:$D,$D460,$G:$G,$G460)&gt;1,"Doppelte Monatsstunden",""))</f>
        <v/>
      </c>
    </row>
    <row r="461" spans="1:10" ht="24" customHeight="1">
      <c r="A461" s="419" t="s">
        <v>334</v>
      </c>
      <c r="B461" s="409">
        <v>45778</v>
      </c>
      <c r="C461" s="409">
        <v>46142</v>
      </c>
      <c r="D461" s="410" t="s">
        <v>333</v>
      </c>
      <c r="E461" s="410" t="s">
        <v>21</v>
      </c>
      <c r="F461" s="410" t="s">
        <v>321</v>
      </c>
      <c r="G461" s="219">
        <v>138.4</v>
      </c>
      <c r="H461" s="220">
        <v>1840</v>
      </c>
      <c r="I461" s="410" t="str">
        <f>IF($A461="","",IF(OR($B461="",$C461="",$D461="",$E461="",$F461=""),"Stammdaten fehlen",IF(AND($G461="",$H461=""),"Werte fehlen",IF($G461="","Monatsstunden fehlen",IF($H461="","Monatslohn fehlt","OK")))))</f>
        <v>OK</v>
      </c>
      <c r="J461" s="429" t="str">
        <f>IF($G461="","",IF(COUNTIFS($A:$A,$A461,$D:$D,$D461,$G:$G,$G461)&gt;1,"Doppelte Monatsstunden",""))</f>
        <v/>
      </c>
    </row>
    <row r="462" spans="1:10" ht="24" customHeight="1">
      <c r="A462" s="419" t="s">
        <v>334</v>
      </c>
      <c r="B462" s="409">
        <v>45778</v>
      </c>
      <c r="C462" s="409">
        <v>46142</v>
      </c>
      <c r="D462" s="410" t="s">
        <v>333</v>
      </c>
      <c r="E462" s="410" t="s">
        <v>21</v>
      </c>
      <c r="F462" s="410" t="s">
        <v>321</v>
      </c>
      <c r="G462" s="219">
        <v>129.75</v>
      </c>
      <c r="H462" s="220">
        <v>1725</v>
      </c>
      <c r="I462" s="410" t="str">
        <f>IF($A462="","",IF(OR($B462="",$C462="",$D462="",$E462="",$F462=""),"Stammdaten fehlen",IF(AND($G462="",$H462=""),"Werte fehlen",IF($G462="","Monatsstunden fehlen",IF($H462="","Monatslohn fehlt","OK")))))</f>
        <v>OK</v>
      </c>
      <c r="J462" s="429" t="str">
        <f>IF($G462="","",IF(COUNTIFS($A:$A,$A462,$D:$D,$D462,$G:$G,$G462)&gt;1,"Doppelte Monatsstunden",""))</f>
        <v/>
      </c>
    </row>
    <row r="463" spans="1:10" ht="24" customHeight="1">
      <c r="A463" s="419" t="s">
        <v>334</v>
      </c>
      <c r="B463" s="409">
        <v>45778</v>
      </c>
      <c r="C463" s="409">
        <v>46142</v>
      </c>
      <c r="D463" s="410" t="s">
        <v>333</v>
      </c>
      <c r="E463" s="410" t="s">
        <v>21</v>
      </c>
      <c r="F463" s="410" t="s">
        <v>321</v>
      </c>
      <c r="G463" s="219">
        <v>108.13</v>
      </c>
      <c r="H463" s="220">
        <v>1437.5</v>
      </c>
      <c r="I463" s="410" t="str">
        <f>IF($A463="","",IF(OR($B463="",$C463="",$D463="",$E463="",$F463=""),"Stammdaten fehlen",IF(AND($G463="",$H463=""),"Werte fehlen",IF($G463="","Monatsstunden fehlen",IF($H463="","Monatslohn fehlt","OK")))))</f>
        <v>OK</v>
      </c>
      <c r="J463" s="429" t="str">
        <f>IF($G463="","",IF(COUNTIFS($A:$A,$A463,$D:$D,$D463,$G:$G,$G463)&gt;1,"Doppelte Monatsstunden",""))</f>
        <v/>
      </c>
    </row>
    <row r="464" spans="1:10" ht="24" customHeight="1">
      <c r="A464" s="419" t="s">
        <v>334</v>
      </c>
      <c r="B464" s="409">
        <v>45778</v>
      </c>
      <c r="C464" s="409">
        <v>46142</v>
      </c>
      <c r="D464" s="410" t="s">
        <v>333</v>
      </c>
      <c r="E464" s="410" t="s">
        <v>21</v>
      </c>
      <c r="F464" s="410" t="s">
        <v>321</v>
      </c>
      <c r="G464" s="219">
        <v>103.8</v>
      </c>
      <c r="H464" s="220">
        <v>1380</v>
      </c>
      <c r="I464" s="410" t="str">
        <f>IF($A464="","",IF(OR($B464="",$C464="",$D464="",$E464="",$F464=""),"Stammdaten fehlen",IF(AND($G464="",$H464=""),"Werte fehlen",IF($G464="","Monatsstunden fehlen",IF($H464="","Monatslohn fehlt","OK")))))</f>
        <v>OK</v>
      </c>
      <c r="J464" s="429" t="str">
        <f>IF($G464="","",IF(COUNTIFS($A:$A,$A464,$D:$D,$D464,$G:$G,$G464)&gt;1,"Doppelte Monatsstunden",""))</f>
        <v/>
      </c>
    </row>
    <row r="465" spans="1:10" ht="24" customHeight="1">
      <c r="A465" s="419" t="s">
        <v>334</v>
      </c>
      <c r="B465" s="409">
        <v>45778</v>
      </c>
      <c r="C465" s="409">
        <v>46142</v>
      </c>
      <c r="D465" s="410" t="s">
        <v>333</v>
      </c>
      <c r="E465" s="410" t="s">
        <v>21</v>
      </c>
      <c r="F465" s="410" t="s">
        <v>321</v>
      </c>
      <c r="G465" s="219">
        <v>86.5</v>
      </c>
      <c r="H465" s="220">
        <v>1150</v>
      </c>
      <c r="I465" s="410" t="str">
        <f>IF($A465="","",IF(OR($B465="",$C465="",$D465="",$E465="",$F465=""),"Stammdaten fehlen",IF(AND($G465="",$H465=""),"Werte fehlen",IF($G465="","Monatsstunden fehlen",IF($H465="","Monatslohn fehlt","OK")))))</f>
        <v>OK</v>
      </c>
      <c r="J465" s="429" t="str">
        <f>IF($G465="","",IF(COUNTIFS($A:$A,$A465,$D:$D,$D465,$G:$G,$G465)&gt;1,"Doppelte Monatsstunden",""))</f>
        <v/>
      </c>
    </row>
    <row r="466" spans="1:10" ht="24" customHeight="1">
      <c r="A466" s="419" t="s">
        <v>334</v>
      </c>
      <c r="B466" s="409">
        <v>45778</v>
      </c>
      <c r="C466" s="409">
        <v>46142</v>
      </c>
      <c r="D466" s="410" t="s">
        <v>333</v>
      </c>
      <c r="E466" s="410" t="s">
        <v>21</v>
      </c>
      <c r="F466" s="410" t="s">
        <v>321</v>
      </c>
      <c r="G466" s="219">
        <v>69.2</v>
      </c>
      <c r="H466" s="220">
        <v>920</v>
      </c>
      <c r="I466" s="410" t="str">
        <f>IF($A466="","",IF(OR($B466="",$C466="",$D466="",$E466="",$F466=""),"Stammdaten fehlen",IF(AND($G466="",$H466=""),"Werte fehlen",IF($G466="","Monatsstunden fehlen",IF($H466="","Monatslohn fehlt","OK")))))</f>
        <v>OK</v>
      </c>
      <c r="J466" s="429" t="str">
        <f>IF($G466="","",IF(COUNTIFS($A:$A,$A466,$D:$D,$D466,$G:$G,$G466)&gt;1,"Doppelte Monatsstunden",""))</f>
        <v/>
      </c>
    </row>
    <row r="467" spans="1:10" ht="24" customHeight="1">
      <c r="A467" s="419" t="s">
        <v>334</v>
      </c>
      <c r="B467" s="409">
        <v>45778</v>
      </c>
      <c r="C467" s="409">
        <v>46142</v>
      </c>
      <c r="D467" s="410" t="s">
        <v>333</v>
      </c>
      <c r="E467" s="410" t="s">
        <v>21</v>
      </c>
      <c r="F467" s="410" t="s">
        <v>321</v>
      </c>
      <c r="G467" s="219">
        <v>51.9</v>
      </c>
      <c r="H467" s="220">
        <v>690</v>
      </c>
      <c r="I467" s="410" t="str">
        <f>IF($A467="","",IF(OR($B467="",$C467="",$D467="",$E467="",$F467=""),"Stammdaten fehlen",IF(AND($G467="",$H467=""),"Werte fehlen",IF($G467="","Monatsstunden fehlen",IF($H467="","Monatslohn fehlt","OK")))))</f>
        <v>OK</v>
      </c>
      <c r="J467" s="429" t="str">
        <f>IF($G467="","",IF(COUNTIFS($A:$A,$A467,$D:$D,$D467,$G:$G,$G467)&gt;1,"Doppelte Monatsstunden",""))</f>
        <v/>
      </c>
    </row>
    <row r="468" spans="1:10" ht="24" customHeight="1">
      <c r="A468" s="419" t="s">
        <v>334</v>
      </c>
      <c r="B468" s="409">
        <v>45778</v>
      </c>
      <c r="C468" s="409">
        <v>46142</v>
      </c>
      <c r="D468" s="410" t="s">
        <v>333</v>
      </c>
      <c r="E468" s="410" t="s">
        <v>21</v>
      </c>
      <c r="F468" s="410" t="s">
        <v>321</v>
      </c>
      <c r="G468" s="219">
        <v>47.58</v>
      </c>
      <c r="H468" s="220">
        <v>632.5</v>
      </c>
      <c r="I468" s="410" t="str">
        <f>IF($A468="","",IF(OR($B468="",$C468="",$D468="",$E468="",$F468=""),"Stammdaten fehlen",IF(AND($G468="",$H468=""),"Werte fehlen",IF($G468="","Monatsstunden fehlen",IF($H468="","Monatslohn fehlt","OK")))))</f>
        <v>OK</v>
      </c>
      <c r="J468" s="429" t="str">
        <f>IF($G468="","",IF(COUNTIFS($A:$A,$A468,$D:$D,$D468,$G:$G,$G468)&gt;1,"Doppelte Monatsstunden",""))</f>
        <v/>
      </c>
    </row>
    <row r="469" spans="1:10" ht="24" customHeight="1">
      <c r="A469" s="419" t="s">
        <v>334</v>
      </c>
      <c r="B469" s="409">
        <v>45778</v>
      </c>
      <c r="C469" s="409">
        <v>46142</v>
      </c>
      <c r="D469" s="410" t="s">
        <v>333</v>
      </c>
      <c r="E469" s="410" t="s">
        <v>21</v>
      </c>
      <c r="F469" s="410" t="s">
        <v>321</v>
      </c>
      <c r="G469" s="219">
        <v>43.25</v>
      </c>
      <c r="H469" s="220">
        <v>575</v>
      </c>
      <c r="I469" s="410" t="str">
        <f>IF($A469="","",IF(OR($B469="",$C469="",$D469="",$E469="",$F469=""),"Stammdaten fehlen",IF(AND($G469="",$H469=""),"Werte fehlen",IF($G469="","Monatsstunden fehlen",IF($H469="","Monatslohn fehlt","OK")))))</f>
        <v>OK</v>
      </c>
      <c r="J469" s="429" t="str">
        <f>IF($G469="","",IF(COUNTIFS($A:$A,$A469,$D:$D,$D469,$G:$G,$G469)&gt;1,"Doppelte Monatsstunden",""))</f>
        <v/>
      </c>
    </row>
    <row r="470" spans="1:10" ht="24" customHeight="1">
      <c r="A470" s="419" t="s">
        <v>334</v>
      </c>
      <c r="B470" s="409">
        <v>45778</v>
      </c>
      <c r="C470" s="409">
        <v>46142</v>
      </c>
      <c r="D470" s="410" t="s">
        <v>333</v>
      </c>
      <c r="E470" s="410" t="s">
        <v>21</v>
      </c>
      <c r="F470" s="410" t="s">
        <v>321</v>
      </c>
      <c r="G470" s="219">
        <v>34.6</v>
      </c>
      <c r="H470" s="220">
        <v>460</v>
      </c>
      <c r="I470" s="410" t="str">
        <f>IF($A470="","",IF(OR($B470="",$C470="",$D470="",$E470="",$F470=""),"Stammdaten fehlen",IF(AND($G470="",$H470=""),"Werte fehlen",IF($G470="","Monatsstunden fehlen",IF($H470="","Monatslohn fehlt","OK")))))</f>
        <v>OK</v>
      </c>
      <c r="J470" s="429" t="str">
        <f>IF($G470="","",IF(COUNTIFS($A:$A,$A470,$D:$D,$D470,$G:$G,$G470)&gt;1,"Doppelte Monatsstunden",""))</f>
        <v/>
      </c>
    </row>
    <row r="471" spans="1:10" ht="24" customHeight="1" thickBot="1">
      <c r="A471" s="419" t="s">
        <v>334</v>
      </c>
      <c r="B471" s="409">
        <v>45778</v>
      </c>
      <c r="C471" s="409">
        <v>46142</v>
      </c>
      <c r="D471" s="410" t="s">
        <v>333</v>
      </c>
      <c r="E471" s="410" t="s">
        <v>21</v>
      </c>
      <c r="F471" s="410" t="s">
        <v>321</v>
      </c>
      <c r="G471" s="219">
        <v>32.01</v>
      </c>
      <c r="H471" s="220">
        <v>425.5</v>
      </c>
      <c r="I471" s="410" t="str">
        <f>IF($A471="","",IF(OR($B471="",$C471="",$D471="",$E471="",$F471=""),"Stammdaten fehlen",IF(AND($G471="",$H471=""),"Werte fehlen",IF($G471="","Monatsstunden fehlen",IF($H471="","Monatslohn fehlt","OK")))))</f>
        <v>OK</v>
      </c>
      <c r="J471" s="429" t="str">
        <f>IF($G471="","",IF(COUNTIFS($A:$A,$A471,$D:$D,$D471,$G:$G,$G471)&gt;1,"Doppelte Monatsstunden",""))</f>
        <v/>
      </c>
    </row>
    <row r="472" spans="1:10" ht="24" customHeight="1">
      <c r="A472" s="418" t="s">
        <v>334</v>
      </c>
      <c r="B472" s="407">
        <v>45778</v>
      </c>
      <c r="C472" s="407">
        <v>46142</v>
      </c>
      <c r="D472" s="408" t="s">
        <v>22</v>
      </c>
      <c r="E472" s="408" t="s">
        <v>21</v>
      </c>
      <c r="F472" s="408" t="s">
        <v>322</v>
      </c>
      <c r="G472" s="217">
        <v>173</v>
      </c>
      <c r="H472" s="218">
        <v>2300</v>
      </c>
      <c r="I472" s="408" t="str">
        <f>IF($A472="","",IF(OR($B472="",$C472="",$D472="",$E472="",$F472=""),"Stammdaten fehlen",IF(AND($G472="",$H472=""),"Werte fehlen",IF($G472="","Monatsstunden fehlen",IF($H472="","Monatslohn fehlt","OK")))))</f>
        <v>OK</v>
      </c>
      <c r="J472" s="428" t="str">
        <f>IF($G472="","",IF(COUNTIFS($A:$A,$A472,$D:$D,$D472,$G:$G,$G472)&gt;1,"Doppelte Monatsstunden",""))</f>
        <v/>
      </c>
    </row>
    <row r="473" spans="1:10" ht="24" customHeight="1">
      <c r="A473" s="419" t="s">
        <v>334</v>
      </c>
      <c r="B473" s="409">
        <v>45778</v>
      </c>
      <c r="C473" s="409">
        <v>46142</v>
      </c>
      <c r="D473" s="410" t="s">
        <v>22</v>
      </c>
      <c r="E473" s="410" t="s">
        <v>21</v>
      </c>
      <c r="F473" s="410" t="s">
        <v>322</v>
      </c>
      <c r="G473" s="219">
        <v>151.38</v>
      </c>
      <c r="H473" s="220">
        <v>2012.5</v>
      </c>
      <c r="I473" s="410" t="str">
        <f>IF($A473="","",IF(OR($B473="",$C473="",$D473="",$E473="",$F473=""),"Stammdaten fehlen",IF(AND($G473="",$H473=""),"Werte fehlen",IF($G473="","Monatsstunden fehlen",IF($H473="","Monatslohn fehlt","OK")))))</f>
        <v>OK</v>
      </c>
      <c r="J473" s="429" t="str">
        <f>IF($G473="","",IF(COUNTIFS($A:$A,$A473,$D:$D,$D473,$G:$G,$G473)&gt;1,"Doppelte Monatsstunden",""))</f>
        <v/>
      </c>
    </row>
    <row r="474" spans="1:10" ht="24" customHeight="1">
      <c r="A474" s="419" t="s">
        <v>334</v>
      </c>
      <c r="B474" s="409">
        <v>45778</v>
      </c>
      <c r="C474" s="409">
        <v>46142</v>
      </c>
      <c r="D474" s="410" t="s">
        <v>22</v>
      </c>
      <c r="E474" s="410" t="s">
        <v>21</v>
      </c>
      <c r="F474" s="410" t="s">
        <v>322</v>
      </c>
      <c r="G474" s="219">
        <v>138.4</v>
      </c>
      <c r="H474" s="220">
        <v>1840</v>
      </c>
      <c r="I474" s="410" t="str">
        <f>IF($A474="","",IF(OR($B474="",$C474="",$D474="",$E474="",$F474=""),"Stammdaten fehlen",IF(AND($G474="",$H474=""),"Werte fehlen",IF($G474="","Monatsstunden fehlen",IF($H474="","Monatslohn fehlt","OK")))))</f>
        <v>OK</v>
      </c>
      <c r="J474" s="429" t="str">
        <f>IF($G474="","",IF(COUNTIFS($A:$A,$A474,$D:$D,$D474,$G:$G,$G474)&gt;1,"Doppelte Monatsstunden",""))</f>
        <v/>
      </c>
    </row>
    <row r="475" spans="1:10" ht="24" customHeight="1">
      <c r="A475" s="419" t="s">
        <v>334</v>
      </c>
      <c r="B475" s="409">
        <v>45778</v>
      </c>
      <c r="C475" s="409">
        <v>46142</v>
      </c>
      <c r="D475" s="410" t="s">
        <v>22</v>
      </c>
      <c r="E475" s="410" t="s">
        <v>21</v>
      </c>
      <c r="F475" s="410" t="s">
        <v>322</v>
      </c>
      <c r="G475" s="219">
        <v>129.75</v>
      </c>
      <c r="H475" s="220">
        <v>1725</v>
      </c>
      <c r="I475" s="410" t="str">
        <f>IF($A475="","",IF(OR($B475="",$C475="",$D475="",$E475="",$F475=""),"Stammdaten fehlen",IF(AND($G475="",$H475=""),"Werte fehlen",IF($G475="","Monatsstunden fehlen",IF($H475="","Monatslohn fehlt","OK")))))</f>
        <v>OK</v>
      </c>
      <c r="J475" s="429" t="str">
        <f>IF($G475="","",IF(COUNTIFS($A:$A,$A475,$D:$D,$D475,$G:$G,$G475)&gt;1,"Doppelte Monatsstunden",""))</f>
        <v/>
      </c>
    </row>
    <row r="476" spans="1:10" ht="24" customHeight="1">
      <c r="A476" s="419" t="s">
        <v>334</v>
      </c>
      <c r="B476" s="409">
        <v>45778</v>
      </c>
      <c r="C476" s="409">
        <v>46142</v>
      </c>
      <c r="D476" s="410" t="s">
        <v>22</v>
      </c>
      <c r="E476" s="410" t="s">
        <v>21</v>
      </c>
      <c r="F476" s="410" t="s">
        <v>322</v>
      </c>
      <c r="G476" s="219">
        <v>108.13</v>
      </c>
      <c r="H476" s="220">
        <v>1437.5</v>
      </c>
      <c r="I476" s="410" t="str">
        <f>IF($A476="","",IF(OR($B476="",$C476="",$D476="",$E476="",$F476=""),"Stammdaten fehlen",IF(AND($G476="",$H476=""),"Werte fehlen",IF($G476="","Monatsstunden fehlen",IF($H476="","Monatslohn fehlt","OK")))))</f>
        <v>OK</v>
      </c>
      <c r="J476" s="429" t="str">
        <f>IF($G476="","",IF(COUNTIFS($A:$A,$A476,$D:$D,$D476,$G:$G,$G476)&gt;1,"Doppelte Monatsstunden",""))</f>
        <v/>
      </c>
    </row>
    <row r="477" spans="1:10" ht="24" customHeight="1">
      <c r="A477" s="419" t="s">
        <v>334</v>
      </c>
      <c r="B477" s="409">
        <v>45778</v>
      </c>
      <c r="C477" s="409">
        <v>46142</v>
      </c>
      <c r="D477" s="410" t="s">
        <v>22</v>
      </c>
      <c r="E477" s="410" t="s">
        <v>21</v>
      </c>
      <c r="F477" s="410" t="s">
        <v>322</v>
      </c>
      <c r="G477" s="219">
        <v>103.8</v>
      </c>
      <c r="H477" s="220">
        <v>1380</v>
      </c>
      <c r="I477" s="410" t="str">
        <f>IF($A477="","",IF(OR($B477="",$C477="",$D477="",$E477="",$F477=""),"Stammdaten fehlen",IF(AND($G477="",$H477=""),"Werte fehlen",IF($G477="","Monatsstunden fehlen",IF($H477="","Monatslohn fehlt","OK")))))</f>
        <v>OK</v>
      </c>
      <c r="J477" s="429" t="str">
        <f>IF($G477="","",IF(COUNTIFS($A:$A,$A477,$D:$D,$D477,$G:$G,$G477)&gt;1,"Doppelte Monatsstunden",""))</f>
        <v/>
      </c>
    </row>
    <row r="478" spans="1:10" ht="24" customHeight="1">
      <c r="A478" s="419" t="s">
        <v>334</v>
      </c>
      <c r="B478" s="409">
        <v>45778</v>
      </c>
      <c r="C478" s="409">
        <v>46142</v>
      </c>
      <c r="D478" s="410" t="s">
        <v>22</v>
      </c>
      <c r="E478" s="410" t="s">
        <v>21</v>
      </c>
      <c r="F478" s="410" t="s">
        <v>322</v>
      </c>
      <c r="G478" s="219">
        <v>86.5</v>
      </c>
      <c r="H478" s="220">
        <v>1150</v>
      </c>
      <c r="I478" s="410" t="str">
        <f>IF($A478="","",IF(OR($B478="",$C478="",$D478="",$E478="",$F478=""),"Stammdaten fehlen",IF(AND($G478="",$H478=""),"Werte fehlen",IF($G478="","Monatsstunden fehlen",IF($H478="","Monatslohn fehlt","OK")))))</f>
        <v>OK</v>
      </c>
      <c r="J478" s="429" t="str">
        <f>IF($G478="","",IF(COUNTIFS($A:$A,$A478,$D:$D,$D478,$G:$G,$G478)&gt;1,"Doppelte Monatsstunden",""))</f>
        <v/>
      </c>
    </row>
    <row r="479" spans="1:10" ht="24" customHeight="1">
      <c r="A479" s="419" t="s">
        <v>334</v>
      </c>
      <c r="B479" s="409">
        <v>45778</v>
      </c>
      <c r="C479" s="409">
        <v>46142</v>
      </c>
      <c r="D479" s="410" t="s">
        <v>22</v>
      </c>
      <c r="E479" s="410" t="s">
        <v>21</v>
      </c>
      <c r="F479" s="410" t="s">
        <v>322</v>
      </c>
      <c r="G479" s="219">
        <v>69.2</v>
      </c>
      <c r="H479" s="220">
        <v>920</v>
      </c>
      <c r="I479" s="410" t="str">
        <f>IF($A479="","",IF(OR($B479="",$C479="",$D479="",$E479="",$F479=""),"Stammdaten fehlen",IF(AND($G479="",$H479=""),"Werte fehlen",IF($G479="","Monatsstunden fehlen",IF($H479="","Monatslohn fehlt","OK")))))</f>
        <v>OK</v>
      </c>
      <c r="J479" s="429" t="str">
        <f>IF($G479="","",IF(COUNTIFS($A:$A,$A479,$D:$D,$D479,$G:$G,$G479)&gt;1,"Doppelte Monatsstunden",""))</f>
        <v/>
      </c>
    </row>
    <row r="480" spans="1:10" ht="24" customHeight="1">
      <c r="A480" s="419" t="s">
        <v>334</v>
      </c>
      <c r="B480" s="409">
        <v>45778</v>
      </c>
      <c r="C480" s="409">
        <v>46142</v>
      </c>
      <c r="D480" s="410" t="s">
        <v>22</v>
      </c>
      <c r="E480" s="410" t="s">
        <v>21</v>
      </c>
      <c r="F480" s="410" t="s">
        <v>322</v>
      </c>
      <c r="G480" s="219">
        <v>51.9</v>
      </c>
      <c r="H480" s="220">
        <v>690</v>
      </c>
      <c r="I480" s="410" t="str">
        <f>IF($A480="","",IF(OR($B480="",$C480="",$D480="",$E480="",$F480=""),"Stammdaten fehlen",IF(AND($G480="",$H480=""),"Werte fehlen",IF($G480="","Monatsstunden fehlen",IF($H480="","Monatslohn fehlt","OK")))))</f>
        <v>OK</v>
      </c>
      <c r="J480" s="429" t="str">
        <f>IF($G480="","",IF(COUNTIFS($A:$A,$A480,$D:$D,$D480,$G:$G,$G480)&gt;1,"Doppelte Monatsstunden",""))</f>
        <v/>
      </c>
    </row>
    <row r="481" spans="1:10" ht="24" customHeight="1">
      <c r="A481" s="419" t="s">
        <v>334</v>
      </c>
      <c r="B481" s="409">
        <v>45778</v>
      </c>
      <c r="C481" s="409">
        <v>46142</v>
      </c>
      <c r="D481" s="410" t="s">
        <v>22</v>
      </c>
      <c r="E481" s="410" t="s">
        <v>21</v>
      </c>
      <c r="F481" s="410" t="s">
        <v>322</v>
      </c>
      <c r="G481" s="219">
        <v>47.58</v>
      </c>
      <c r="H481" s="220">
        <v>632.5</v>
      </c>
      <c r="I481" s="410" t="str">
        <f>IF($A481="","",IF(OR($B481="",$C481="",$D481="",$E481="",$F481=""),"Stammdaten fehlen",IF(AND($G481="",$H481=""),"Werte fehlen",IF($G481="","Monatsstunden fehlen",IF($H481="","Monatslohn fehlt","OK")))))</f>
        <v>OK</v>
      </c>
      <c r="J481" s="429" t="str">
        <f>IF($G481="","",IF(COUNTIFS($A:$A,$A481,$D:$D,$D481,$G:$G,$G481)&gt;1,"Doppelte Monatsstunden",""))</f>
        <v/>
      </c>
    </row>
    <row r="482" spans="1:10" ht="24" customHeight="1">
      <c r="A482" s="419" t="s">
        <v>334</v>
      </c>
      <c r="B482" s="409">
        <v>45778</v>
      </c>
      <c r="C482" s="409">
        <v>46142</v>
      </c>
      <c r="D482" s="410" t="s">
        <v>22</v>
      </c>
      <c r="E482" s="410" t="s">
        <v>21</v>
      </c>
      <c r="F482" s="410" t="s">
        <v>322</v>
      </c>
      <c r="G482" s="219">
        <v>43.25</v>
      </c>
      <c r="H482" s="220">
        <v>575</v>
      </c>
      <c r="I482" s="410" t="str">
        <f>IF($A482="","",IF(OR($B482="",$C482="",$D482="",$E482="",$F482=""),"Stammdaten fehlen",IF(AND($G482="",$H482=""),"Werte fehlen",IF($G482="","Monatsstunden fehlen",IF($H482="","Monatslohn fehlt","OK")))))</f>
        <v>OK</v>
      </c>
      <c r="J482" s="429" t="str">
        <f>IF($G482="","",IF(COUNTIFS($A:$A,$A482,$D:$D,$D482,$G:$G,$G482)&gt;1,"Doppelte Monatsstunden",""))</f>
        <v/>
      </c>
    </row>
    <row r="483" spans="1:10" ht="24" customHeight="1">
      <c r="A483" s="419" t="s">
        <v>334</v>
      </c>
      <c r="B483" s="409">
        <v>45778</v>
      </c>
      <c r="C483" s="409">
        <v>46142</v>
      </c>
      <c r="D483" s="410" t="s">
        <v>22</v>
      </c>
      <c r="E483" s="410" t="s">
        <v>21</v>
      </c>
      <c r="F483" s="410" t="s">
        <v>322</v>
      </c>
      <c r="G483" s="219">
        <v>34.6</v>
      </c>
      <c r="H483" s="220">
        <v>460</v>
      </c>
      <c r="I483" s="410" t="str">
        <f>IF($A483="","",IF(OR($B483="",$C483="",$D483="",$E483="",$F483=""),"Stammdaten fehlen",IF(AND($G483="",$H483=""),"Werte fehlen",IF($G483="","Monatsstunden fehlen",IF($H483="","Monatslohn fehlt","OK")))))</f>
        <v>OK</v>
      </c>
      <c r="J483" s="429" t="str">
        <f>IF($G483="","",IF(COUNTIFS($A:$A,$A483,$D:$D,$D483,$G:$G,$G483)&gt;1,"Doppelte Monatsstunden",""))</f>
        <v/>
      </c>
    </row>
    <row r="484" spans="1:10" ht="24" customHeight="1" thickBot="1">
      <c r="A484" s="419" t="s">
        <v>334</v>
      </c>
      <c r="B484" s="409">
        <v>45778</v>
      </c>
      <c r="C484" s="409">
        <v>46142</v>
      </c>
      <c r="D484" s="410" t="s">
        <v>22</v>
      </c>
      <c r="E484" s="410" t="s">
        <v>21</v>
      </c>
      <c r="F484" s="410" t="s">
        <v>322</v>
      </c>
      <c r="G484" s="219">
        <v>32.01</v>
      </c>
      <c r="H484" s="220">
        <v>425.5</v>
      </c>
      <c r="I484" s="410" t="str">
        <f>IF($A484="","",IF(OR($B484="",$C484="",$D484="",$E484="",$F484=""),"Stammdaten fehlen",IF(AND($G484="",$H484=""),"Werte fehlen",IF($G484="","Monatsstunden fehlen",IF($H484="","Monatslohn fehlt","OK")))))</f>
        <v>OK</v>
      </c>
      <c r="J484" s="429" t="str">
        <f>IF($G484="","",IF(COUNTIFS($A:$A,$A484,$D:$D,$D484,$G:$G,$G484)&gt;1,"Doppelte Monatsstunden",""))</f>
        <v/>
      </c>
    </row>
    <row r="485" spans="1:10" ht="24" customHeight="1">
      <c r="A485" s="418" t="s">
        <v>334</v>
      </c>
      <c r="B485" s="407">
        <v>45778</v>
      </c>
      <c r="C485" s="407">
        <v>46142</v>
      </c>
      <c r="D485" s="408" t="s">
        <v>23</v>
      </c>
      <c r="E485" s="408" t="s">
        <v>21</v>
      </c>
      <c r="F485" s="408" t="s">
        <v>323</v>
      </c>
      <c r="G485" s="217">
        <v>173</v>
      </c>
      <c r="H485" s="218">
        <v>2300</v>
      </c>
      <c r="I485" s="408" t="str">
        <f>IF($A485="","",IF(OR($B485="",$C485="",$D485="",$E485="",$F485=""),"Stammdaten fehlen",IF(AND($G485="",$H485=""),"Werte fehlen",IF($G485="","Monatsstunden fehlen",IF($H485="","Monatslohn fehlt","OK")))))</f>
        <v>OK</v>
      </c>
      <c r="J485" s="428" t="str">
        <f>IF($G485="","",IF(COUNTIFS($A:$A,$A485,$D:$D,$D485,$G:$G,$G485)&gt;1,"Doppelte Monatsstunden",""))</f>
        <v/>
      </c>
    </row>
    <row r="486" spans="1:10" ht="24" customHeight="1">
      <c r="A486" s="419" t="s">
        <v>334</v>
      </c>
      <c r="B486" s="409">
        <v>45778</v>
      </c>
      <c r="C486" s="409">
        <v>46142</v>
      </c>
      <c r="D486" s="410" t="s">
        <v>23</v>
      </c>
      <c r="E486" s="410" t="s">
        <v>21</v>
      </c>
      <c r="F486" s="410" t="s">
        <v>323</v>
      </c>
      <c r="G486" s="219">
        <v>151.38</v>
      </c>
      <c r="H486" s="220">
        <v>2012.5</v>
      </c>
      <c r="I486" s="410" t="str">
        <f>IF($A486="","",IF(OR($B486="",$C486="",$D486="",$E486="",$F486=""),"Stammdaten fehlen",IF(AND($G486="",$H486=""),"Werte fehlen",IF($G486="","Monatsstunden fehlen",IF($H486="","Monatslohn fehlt","OK")))))</f>
        <v>OK</v>
      </c>
      <c r="J486" s="429" t="str">
        <f>IF($G486="","",IF(COUNTIFS($A:$A,$A486,$D:$D,$D486,$G:$G,$G486)&gt;1,"Doppelte Monatsstunden",""))</f>
        <v/>
      </c>
    </row>
    <row r="487" spans="1:10" ht="24" customHeight="1">
      <c r="A487" s="419" t="s">
        <v>334</v>
      </c>
      <c r="B487" s="409">
        <v>45778</v>
      </c>
      <c r="C487" s="409">
        <v>46142</v>
      </c>
      <c r="D487" s="410" t="s">
        <v>23</v>
      </c>
      <c r="E487" s="410" t="s">
        <v>21</v>
      </c>
      <c r="F487" s="410" t="s">
        <v>323</v>
      </c>
      <c r="G487" s="219">
        <v>138.4</v>
      </c>
      <c r="H487" s="220">
        <v>1840</v>
      </c>
      <c r="I487" s="410" t="str">
        <f>IF($A487="","",IF(OR($B487="",$C487="",$D487="",$E487="",$F487=""),"Stammdaten fehlen",IF(AND($G487="",$H487=""),"Werte fehlen",IF($G487="","Monatsstunden fehlen",IF($H487="","Monatslohn fehlt","OK")))))</f>
        <v>OK</v>
      </c>
      <c r="J487" s="429" t="str">
        <f>IF($G487="","",IF(COUNTIFS($A:$A,$A487,$D:$D,$D487,$G:$G,$G487)&gt;1,"Doppelte Monatsstunden",""))</f>
        <v/>
      </c>
    </row>
    <row r="488" spans="1:10" ht="24" customHeight="1">
      <c r="A488" s="419" t="s">
        <v>334</v>
      </c>
      <c r="B488" s="409">
        <v>45778</v>
      </c>
      <c r="C488" s="409">
        <v>46142</v>
      </c>
      <c r="D488" s="410" t="s">
        <v>23</v>
      </c>
      <c r="E488" s="410" t="s">
        <v>21</v>
      </c>
      <c r="F488" s="410" t="s">
        <v>323</v>
      </c>
      <c r="G488" s="219">
        <v>129.75</v>
      </c>
      <c r="H488" s="220">
        <v>1725</v>
      </c>
      <c r="I488" s="410" t="str">
        <f>IF($A488="","",IF(OR($B488="",$C488="",$D488="",$E488="",$F488=""),"Stammdaten fehlen",IF(AND($G488="",$H488=""),"Werte fehlen",IF($G488="","Monatsstunden fehlen",IF($H488="","Monatslohn fehlt","OK")))))</f>
        <v>OK</v>
      </c>
      <c r="J488" s="429" t="str">
        <f>IF($G488="","",IF(COUNTIFS($A:$A,$A488,$D:$D,$D488,$G:$G,$G488)&gt;1,"Doppelte Monatsstunden",""))</f>
        <v/>
      </c>
    </row>
    <row r="489" spans="1:10" ht="24" customHeight="1">
      <c r="A489" s="419" t="s">
        <v>334</v>
      </c>
      <c r="B489" s="409">
        <v>45778</v>
      </c>
      <c r="C489" s="409">
        <v>46142</v>
      </c>
      <c r="D489" s="410" t="s">
        <v>23</v>
      </c>
      <c r="E489" s="410" t="s">
        <v>21</v>
      </c>
      <c r="F489" s="410" t="s">
        <v>323</v>
      </c>
      <c r="G489" s="219">
        <v>108.13</v>
      </c>
      <c r="H489" s="220">
        <v>1437.5</v>
      </c>
      <c r="I489" s="410" t="str">
        <f>IF($A489="","",IF(OR($B489="",$C489="",$D489="",$E489="",$F489=""),"Stammdaten fehlen",IF(AND($G489="",$H489=""),"Werte fehlen",IF($G489="","Monatsstunden fehlen",IF($H489="","Monatslohn fehlt","OK")))))</f>
        <v>OK</v>
      </c>
      <c r="J489" s="429" t="str">
        <f>IF($G489="","",IF(COUNTIFS($A:$A,$A489,$D:$D,$D489,$G:$G,$G489)&gt;1,"Doppelte Monatsstunden",""))</f>
        <v/>
      </c>
    </row>
    <row r="490" spans="1:10" ht="24" customHeight="1">
      <c r="A490" s="419" t="s">
        <v>334</v>
      </c>
      <c r="B490" s="409">
        <v>45778</v>
      </c>
      <c r="C490" s="409">
        <v>46142</v>
      </c>
      <c r="D490" s="410" t="s">
        <v>23</v>
      </c>
      <c r="E490" s="410" t="s">
        <v>21</v>
      </c>
      <c r="F490" s="410" t="s">
        <v>323</v>
      </c>
      <c r="G490" s="219">
        <v>103.8</v>
      </c>
      <c r="H490" s="220">
        <v>1380</v>
      </c>
      <c r="I490" s="410" t="str">
        <f>IF($A490="","",IF(OR($B490="",$C490="",$D490="",$E490="",$F490=""),"Stammdaten fehlen",IF(AND($G490="",$H490=""),"Werte fehlen",IF($G490="","Monatsstunden fehlen",IF($H490="","Monatslohn fehlt","OK")))))</f>
        <v>OK</v>
      </c>
      <c r="J490" s="429" t="str">
        <f>IF($G490="","",IF(COUNTIFS($A:$A,$A490,$D:$D,$D490,$G:$G,$G490)&gt;1,"Doppelte Monatsstunden",""))</f>
        <v/>
      </c>
    </row>
    <row r="491" spans="1:10" ht="24" customHeight="1">
      <c r="A491" s="419" t="s">
        <v>334</v>
      </c>
      <c r="B491" s="409">
        <v>45778</v>
      </c>
      <c r="C491" s="409">
        <v>46142</v>
      </c>
      <c r="D491" s="410" t="s">
        <v>23</v>
      </c>
      <c r="E491" s="410" t="s">
        <v>21</v>
      </c>
      <c r="F491" s="410" t="s">
        <v>323</v>
      </c>
      <c r="G491" s="219">
        <v>86.5</v>
      </c>
      <c r="H491" s="220">
        <v>1150</v>
      </c>
      <c r="I491" s="410" t="str">
        <f>IF($A491="","",IF(OR($B491="",$C491="",$D491="",$E491="",$F491=""),"Stammdaten fehlen",IF(AND($G491="",$H491=""),"Werte fehlen",IF($G491="","Monatsstunden fehlen",IF($H491="","Monatslohn fehlt","OK")))))</f>
        <v>OK</v>
      </c>
      <c r="J491" s="429" t="str">
        <f>IF($G491="","",IF(COUNTIFS($A:$A,$A491,$D:$D,$D491,$G:$G,$G491)&gt;1,"Doppelte Monatsstunden",""))</f>
        <v/>
      </c>
    </row>
    <row r="492" spans="1:10" ht="24" customHeight="1">
      <c r="A492" s="419" t="s">
        <v>334</v>
      </c>
      <c r="B492" s="409">
        <v>45778</v>
      </c>
      <c r="C492" s="409">
        <v>46142</v>
      </c>
      <c r="D492" s="410" t="s">
        <v>23</v>
      </c>
      <c r="E492" s="410" t="s">
        <v>21</v>
      </c>
      <c r="F492" s="410" t="s">
        <v>323</v>
      </c>
      <c r="G492" s="219">
        <v>69.2</v>
      </c>
      <c r="H492" s="220">
        <v>920</v>
      </c>
      <c r="I492" s="410" t="str">
        <f>IF($A492="","",IF(OR($B492="",$C492="",$D492="",$E492="",$F492=""),"Stammdaten fehlen",IF(AND($G492="",$H492=""),"Werte fehlen",IF($G492="","Monatsstunden fehlen",IF($H492="","Monatslohn fehlt","OK")))))</f>
        <v>OK</v>
      </c>
      <c r="J492" s="429" t="str">
        <f>IF($G492="","",IF(COUNTIFS($A:$A,$A492,$D:$D,$D492,$G:$G,$G492)&gt;1,"Doppelte Monatsstunden",""))</f>
        <v/>
      </c>
    </row>
    <row r="493" spans="1:10" ht="24" customHeight="1">
      <c r="A493" s="419" t="s">
        <v>334</v>
      </c>
      <c r="B493" s="409">
        <v>45778</v>
      </c>
      <c r="C493" s="409">
        <v>46142</v>
      </c>
      <c r="D493" s="410" t="s">
        <v>23</v>
      </c>
      <c r="E493" s="410" t="s">
        <v>21</v>
      </c>
      <c r="F493" s="410" t="s">
        <v>323</v>
      </c>
      <c r="G493" s="219">
        <v>51.9</v>
      </c>
      <c r="H493" s="220">
        <v>690</v>
      </c>
      <c r="I493" s="410" t="str">
        <f>IF($A493="","",IF(OR($B493="",$C493="",$D493="",$E493="",$F493=""),"Stammdaten fehlen",IF(AND($G493="",$H493=""),"Werte fehlen",IF($G493="","Monatsstunden fehlen",IF($H493="","Monatslohn fehlt","OK")))))</f>
        <v>OK</v>
      </c>
      <c r="J493" s="429" t="str">
        <f>IF($G493="","",IF(COUNTIFS($A:$A,$A493,$D:$D,$D493,$G:$G,$G493)&gt;1,"Doppelte Monatsstunden",""))</f>
        <v/>
      </c>
    </row>
    <row r="494" spans="1:10" ht="24" customHeight="1">
      <c r="A494" s="419" t="s">
        <v>334</v>
      </c>
      <c r="B494" s="409">
        <v>45778</v>
      </c>
      <c r="C494" s="409">
        <v>46142</v>
      </c>
      <c r="D494" s="410" t="s">
        <v>23</v>
      </c>
      <c r="E494" s="410" t="s">
        <v>21</v>
      </c>
      <c r="F494" s="410" t="s">
        <v>323</v>
      </c>
      <c r="G494" s="219">
        <v>47.58</v>
      </c>
      <c r="H494" s="220">
        <v>632.5</v>
      </c>
      <c r="I494" s="410" t="str">
        <f>IF($A494="","",IF(OR($B494="",$C494="",$D494="",$E494="",$F494=""),"Stammdaten fehlen",IF(AND($G494="",$H494=""),"Werte fehlen",IF($G494="","Monatsstunden fehlen",IF($H494="","Monatslohn fehlt","OK")))))</f>
        <v>OK</v>
      </c>
      <c r="J494" s="429" t="str">
        <f>IF($G494="","",IF(COUNTIFS($A:$A,$A494,$D:$D,$D494,$G:$G,$G494)&gt;1,"Doppelte Monatsstunden",""))</f>
        <v/>
      </c>
    </row>
    <row r="495" spans="1:10" ht="24" customHeight="1">
      <c r="A495" s="419" t="s">
        <v>334</v>
      </c>
      <c r="B495" s="409">
        <v>45778</v>
      </c>
      <c r="C495" s="409">
        <v>46142</v>
      </c>
      <c r="D495" s="410" t="s">
        <v>23</v>
      </c>
      <c r="E495" s="410" t="s">
        <v>21</v>
      </c>
      <c r="F495" s="410" t="s">
        <v>323</v>
      </c>
      <c r="G495" s="219">
        <v>43.25</v>
      </c>
      <c r="H495" s="220">
        <v>575</v>
      </c>
      <c r="I495" s="410" t="str">
        <f>IF($A495="","",IF(OR($B495="",$C495="",$D495="",$E495="",$F495=""),"Stammdaten fehlen",IF(AND($G495="",$H495=""),"Werte fehlen",IF($G495="","Monatsstunden fehlen",IF($H495="","Monatslohn fehlt","OK")))))</f>
        <v>OK</v>
      </c>
      <c r="J495" s="429" t="str">
        <f>IF($G495="","",IF(COUNTIFS($A:$A,$A495,$D:$D,$D495,$G:$G,$G495)&gt;1,"Doppelte Monatsstunden",""))</f>
        <v/>
      </c>
    </row>
    <row r="496" spans="1:10" ht="24" customHeight="1">
      <c r="A496" s="419" t="s">
        <v>334</v>
      </c>
      <c r="B496" s="409">
        <v>45778</v>
      </c>
      <c r="C496" s="409">
        <v>46142</v>
      </c>
      <c r="D496" s="410" t="s">
        <v>23</v>
      </c>
      <c r="E496" s="410" t="s">
        <v>21</v>
      </c>
      <c r="F496" s="410" t="s">
        <v>323</v>
      </c>
      <c r="G496" s="219">
        <v>34.6</v>
      </c>
      <c r="H496" s="220">
        <v>460</v>
      </c>
      <c r="I496" s="410" t="str">
        <f>IF($A496="","",IF(OR($B496="",$C496="",$D496="",$E496="",$F496=""),"Stammdaten fehlen",IF(AND($G496="",$H496=""),"Werte fehlen",IF($G496="","Monatsstunden fehlen",IF($H496="","Monatslohn fehlt","OK")))))</f>
        <v>OK</v>
      </c>
      <c r="J496" s="429" t="str">
        <f>IF($G496="","",IF(COUNTIFS($A:$A,$A496,$D:$D,$D496,$G:$G,$G496)&gt;1,"Doppelte Monatsstunden",""))</f>
        <v/>
      </c>
    </row>
    <row r="497" spans="1:10" ht="24" customHeight="1" thickBot="1">
      <c r="A497" s="419" t="s">
        <v>334</v>
      </c>
      <c r="B497" s="409">
        <v>45778</v>
      </c>
      <c r="C497" s="409">
        <v>46142</v>
      </c>
      <c r="D497" s="410" t="s">
        <v>23</v>
      </c>
      <c r="E497" s="410" t="s">
        <v>21</v>
      </c>
      <c r="F497" s="410" t="s">
        <v>323</v>
      </c>
      <c r="G497" s="219">
        <v>32.01</v>
      </c>
      <c r="H497" s="220">
        <v>425.5</v>
      </c>
      <c r="I497" s="410" t="str">
        <f>IF($A497="","",IF(OR($B497="",$C497="",$D497="",$E497="",$F497=""),"Stammdaten fehlen",IF(AND($G497="",$H497=""),"Werte fehlen",IF($G497="","Monatsstunden fehlen",IF($H497="","Monatslohn fehlt","OK")))))</f>
        <v>OK</v>
      </c>
      <c r="J497" s="429" t="str">
        <f>IF($G497="","",IF(COUNTIFS($A:$A,$A497,$D:$D,$D497,$G:$G,$G497)&gt;1,"Doppelte Monatsstunden",""))</f>
        <v/>
      </c>
    </row>
    <row r="498" spans="1:10" ht="24" customHeight="1">
      <c r="A498" s="418" t="s">
        <v>334</v>
      </c>
      <c r="B498" s="407">
        <v>45778</v>
      </c>
      <c r="C498" s="407">
        <v>46142</v>
      </c>
      <c r="D498" s="408" t="s">
        <v>24</v>
      </c>
      <c r="E498" s="408" t="s">
        <v>21</v>
      </c>
      <c r="F498" s="408" t="s">
        <v>324</v>
      </c>
      <c r="G498" s="217">
        <v>173</v>
      </c>
      <c r="H498" s="218">
        <v>2328</v>
      </c>
      <c r="I498" s="408" t="str">
        <f>IF($A498="","",IF(OR($B498="",$C498="",$D498="",$E498="",$F498=""),"Stammdaten fehlen",IF(AND($G498="",$H498=""),"Werte fehlen",IF($G498="","Monatsstunden fehlen",IF($H498="","Monatslohn fehlt","OK")))))</f>
        <v>OK</v>
      </c>
      <c r="J498" s="428" t="str">
        <f>IF($G498="","",IF(COUNTIFS($A:$A,$A498,$D:$D,$D498,$G:$G,$G498)&gt;1,"Doppelte Monatsstunden",""))</f>
        <v/>
      </c>
    </row>
    <row r="499" spans="1:10" ht="24" customHeight="1">
      <c r="A499" s="419" t="s">
        <v>334</v>
      </c>
      <c r="B499" s="409">
        <v>45778</v>
      </c>
      <c r="C499" s="409">
        <v>46142</v>
      </c>
      <c r="D499" s="410" t="s">
        <v>24</v>
      </c>
      <c r="E499" s="410" t="s">
        <v>21</v>
      </c>
      <c r="F499" s="410" t="s">
        <v>324</v>
      </c>
      <c r="G499" s="219">
        <v>151.38</v>
      </c>
      <c r="H499" s="220">
        <v>2037</v>
      </c>
      <c r="I499" s="410" t="str">
        <f>IF($A499="","",IF(OR($B499="",$C499="",$D499="",$E499="",$F499=""),"Stammdaten fehlen",IF(AND($G499="",$H499=""),"Werte fehlen",IF($G499="","Monatsstunden fehlen",IF($H499="","Monatslohn fehlt","OK")))))</f>
        <v>OK</v>
      </c>
      <c r="J499" s="429" t="str">
        <f>IF($G499="","",IF(COUNTIFS($A:$A,$A499,$D:$D,$D499,$G:$G,$G499)&gt;1,"Doppelte Monatsstunden",""))</f>
        <v/>
      </c>
    </row>
    <row r="500" spans="1:10" ht="24" customHeight="1">
      <c r="A500" s="419" t="s">
        <v>334</v>
      </c>
      <c r="B500" s="409">
        <v>45778</v>
      </c>
      <c r="C500" s="409">
        <v>46142</v>
      </c>
      <c r="D500" s="410" t="s">
        <v>24</v>
      </c>
      <c r="E500" s="410" t="s">
        <v>21</v>
      </c>
      <c r="F500" s="410" t="s">
        <v>324</v>
      </c>
      <c r="G500" s="219">
        <v>138.4</v>
      </c>
      <c r="H500" s="220">
        <v>1862.4</v>
      </c>
      <c r="I500" s="410" t="str">
        <f>IF($A500="","",IF(OR($B500="",$C500="",$D500="",$E500="",$F500=""),"Stammdaten fehlen",IF(AND($G500="",$H500=""),"Werte fehlen",IF($G500="","Monatsstunden fehlen",IF($H500="","Monatslohn fehlt","OK")))))</f>
        <v>OK</v>
      </c>
      <c r="J500" s="429" t="str">
        <f>IF($G500="","",IF(COUNTIFS($A:$A,$A500,$D:$D,$D500,$G:$G,$G500)&gt;1,"Doppelte Monatsstunden",""))</f>
        <v/>
      </c>
    </row>
    <row r="501" spans="1:10" ht="24" customHeight="1">
      <c r="A501" s="419" t="s">
        <v>334</v>
      </c>
      <c r="B501" s="409">
        <v>45778</v>
      </c>
      <c r="C501" s="409">
        <v>46142</v>
      </c>
      <c r="D501" s="410" t="s">
        <v>24</v>
      </c>
      <c r="E501" s="410" t="s">
        <v>21</v>
      </c>
      <c r="F501" s="410" t="s">
        <v>324</v>
      </c>
      <c r="G501" s="219">
        <v>129.75</v>
      </c>
      <c r="H501" s="220">
        <v>1476</v>
      </c>
      <c r="I501" s="410" t="str">
        <f>IF($A501="","",IF(OR($B501="",$C501="",$D501="",$E501="",$F501=""),"Stammdaten fehlen",IF(AND($G501="",$H501=""),"Werte fehlen",IF($G501="","Monatsstunden fehlen",IF($H501="","Monatslohn fehlt","OK")))))</f>
        <v>OK</v>
      </c>
      <c r="J501" s="429" t="str">
        <f>IF($G501="","",IF(COUNTIFS($A:$A,$A501,$D:$D,$D501,$G:$G,$G501)&gt;1,"Doppelte Monatsstunden",""))</f>
        <v/>
      </c>
    </row>
    <row r="502" spans="1:10" ht="24" customHeight="1">
      <c r="A502" s="419" t="s">
        <v>334</v>
      </c>
      <c r="B502" s="409">
        <v>45778</v>
      </c>
      <c r="C502" s="409">
        <v>46142</v>
      </c>
      <c r="D502" s="410" t="s">
        <v>24</v>
      </c>
      <c r="E502" s="410" t="s">
        <v>21</v>
      </c>
      <c r="F502" s="410" t="s">
        <v>324</v>
      </c>
      <c r="G502" s="219">
        <v>108.13</v>
      </c>
      <c r="H502" s="220">
        <v>1455</v>
      </c>
      <c r="I502" s="410" t="str">
        <f>IF($A502="","",IF(OR($B502="",$C502="",$D502="",$E502="",$F502=""),"Stammdaten fehlen",IF(AND($G502="",$H502=""),"Werte fehlen",IF($G502="","Monatsstunden fehlen",IF($H502="","Monatslohn fehlt","OK")))))</f>
        <v>OK</v>
      </c>
      <c r="J502" s="429" t="str">
        <f>IF($G502="","",IF(COUNTIFS($A:$A,$A502,$D:$D,$D502,$G:$G,$G502)&gt;1,"Doppelte Monatsstunden",""))</f>
        <v/>
      </c>
    </row>
    <row r="503" spans="1:10" ht="24" customHeight="1">
      <c r="A503" s="419" t="s">
        <v>334</v>
      </c>
      <c r="B503" s="409">
        <v>45778</v>
      </c>
      <c r="C503" s="409">
        <v>46142</v>
      </c>
      <c r="D503" s="410" t="s">
        <v>24</v>
      </c>
      <c r="E503" s="410" t="s">
        <v>21</v>
      </c>
      <c r="F503" s="410" t="s">
        <v>324</v>
      </c>
      <c r="G503" s="219">
        <v>103.8</v>
      </c>
      <c r="H503" s="220">
        <v>1396.8</v>
      </c>
      <c r="I503" s="410" t="str">
        <f>IF($A503="","",IF(OR($B503="",$C503="",$D503="",$E503="",$F503=""),"Stammdaten fehlen",IF(AND($G503="",$H503=""),"Werte fehlen",IF($G503="","Monatsstunden fehlen",IF($H503="","Monatslohn fehlt","OK")))))</f>
        <v>OK</v>
      </c>
      <c r="J503" s="429" t="str">
        <f>IF($G503="","",IF(COUNTIFS($A:$A,$A503,$D:$D,$D503,$G:$G,$G503)&gt;1,"Doppelte Monatsstunden",""))</f>
        <v/>
      </c>
    </row>
    <row r="504" spans="1:10" ht="24" customHeight="1">
      <c r="A504" s="419" t="s">
        <v>334</v>
      </c>
      <c r="B504" s="409">
        <v>45778</v>
      </c>
      <c r="C504" s="409">
        <v>46142</v>
      </c>
      <c r="D504" s="410" t="s">
        <v>24</v>
      </c>
      <c r="E504" s="410" t="s">
        <v>21</v>
      </c>
      <c r="F504" s="410" t="s">
        <v>324</v>
      </c>
      <c r="G504" s="219">
        <v>86.5</v>
      </c>
      <c r="H504" s="220">
        <v>1164</v>
      </c>
      <c r="I504" s="410" t="str">
        <f>IF($A504="","",IF(OR($B504="",$C504="",$D504="",$E504="",$F504=""),"Stammdaten fehlen",IF(AND($G504="",$H504=""),"Werte fehlen",IF($G504="","Monatsstunden fehlen",IF($H504="","Monatslohn fehlt","OK")))))</f>
        <v>OK</v>
      </c>
      <c r="J504" s="429" t="str">
        <f>IF($G504="","",IF(COUNTIFS($A:$A,$A504,$D:$D,$D504,$G:$G,$G504)&gt;1,"Doppelte Monatsstunden",""))</f>
        <v/>
      </c>
    </row>
    <row r="505" spans="1:10" ht="24" customHeight="1">
      <c r="A505" s="419" t="s">
        <v>334</v>
      </c>
      <c r="B505" s="409">
        <v>45778</v>
      </c>
      <c r="C505" s="409">
        <v>46142</v>
      </c>
      <c r="D505" s="410" t="s">
        <v>24</v>
      </c>
      <c r="E505" s="410" t="s">
        <v>21</v>
      </c>
      <c r="F505" s="410" t="s">
        <v>324</v>
      </c>
      <c r="G505" s="219">
        <v>69.2</v>
      </c>
      <c r="H505" s="220">
        <v>931.2</v>
      </c>
      <c r="I505" s="410" t="str">
        <f>IF($A505="","",IF(OR($B505="",$C505="",$D505="",$E505="",$F505=""),"Stammdaten fehlen",IF(AND($G505="",$H505=""),"Werte fehlen",IF($G505="","Monatsstunden fehlen",IF($H505="","Monatslohn fehlt","OK")))))</f>
        <v>OK</v>
      </c>
      <c r="J505" s="429" t="str">
        <f>IF($G505="","",IF(COUNTIFS($A:$A,$A505,$D:$D,$D505,$G:$G,$G505)&gt;1,"Doppelte Monatsstunden",""))</f>
        <v/>
      </c>
    </row>
    <row r="506" spans="1:10" ht="24" customHeight="1">
      <c r="A506" s="419" t="s">
        <v>334</v>
      </c>
      <c r="B506" s="409">
        <v>45778</v>
      </c>
      <c r="C506" s="409">
        <v>46142</v>
      </c>
      <c r="D506" s="410" t="s">
        <v>24</v>
      </c>
      <c r="E506" s="410" t="s">
        <v>21</v>
      </c>
      <c r="F506" s="410" t="s">
        <v>324</v>
      </c>
      <c r="G506" s="219">
        <v>51.9</v>
      </c>
      <c r="H506" s="220">
        <v>698.4</v>
      </c>
      <c r="I506" s="410" t="str">
        <f>IF($A506="","",IF(OR($B506="",$C506="",$D506="",$E506="",$F506=""),"Stammdaten fehlen",IF(AND($G506="",$H506=""),"Werte fehlen",IF($G506="","Monatsstunden fehlen",IF($H506="","Monatslohn fehlt","OK")))))</f>
        <v>OK</v>
      </c>
      <c r="J506" s="429" t="str">
        <f>IF($G506="","",IF(COUNTIFS($A:$A,$A506,$D:$D,$D506,$G:$G,$G506)&gt;1,"Doppelte Monatsstunden",""))</f>
        <v/>
      </c>
    </row>
    <row r="507" spans="1:10" ht="24" customHeight="1">
      <c r="A507" s="419" t="s">
        <v>334</v>
      </c>
      <c r="B507" s="409">
        <v>45778</v>
      </c>
      <c r="C507" s="409">
        <v>46142</v>
      </c>
      <c r="D507" s="410" t="s">
        <v>24</v>
      </c>
      <c r="E507" s="410" t="s">
        <v>21</v>
      </c>
      <c r="F507" s="410" t="s">
        <v>324</v>
      </c>
      <c r="G507" s="219">
        <v>47.58</v>
      </c>
      <c r="H507" s="220">
        <v>640</v>
      </c>
      <c r="I507" s="410" t="str">
        <f>IF($A507="","",IF(OR($B507="",$C507="",$D507="",$E507="",$F507=""),"Stammdaten fehlen",IF(AND($G507="",$H507=""),"Werte fehlen",IF($G507="","Monatsstunden fehlen",IF($H507="","Monatslohn fehlt","OK")))))</f>
        <v>OK</v>
      </c>
      <c r="J507" s="429" t="str">
        <f>IF($G507="","",IF(COUNTIFS($A:$A,$A507,$D:$D,$D507,$G:$G,$G507)&gt;1,"Doppelte Monatsstunden",""))</f>
        <v/>
      </c>
    </row>
    <row r="508" spans="1:10" ht="24" customHeight="1">
      <c r="A508" s="419" t="s">
        <v>334</v>
      </c>
      <c r="B508" s="409">
        <v>45778</v>
      </c>
      <c r="C508" s="409">
        <v>46142</v>
      </c>
      <c r="D508" s="410" t="s">
        <v>24</v>
      </c>
      <c r="E508" s="410" t="s">
        <v>21</v>
      </c>
      <c r="F508" s="410" t="s">
        <v>324</v>
      </c>
      <c r="G508" s="219">
        <v>43.25</v>
      </c>
      <c r="H508" s="220">
        <v>582</v>
      </c>
      <c r="I508" s="410" t="str">
        <f>IF($A508="","",IF(OR($B508="",$C508="",$D508="",$E508="",$F508=""),"Stammdaten fehlen",IF(AND($G508="",$H508=""),"Werte fehlen",IF($G508="","Monatsstunden fehlen",IF($H508="","Monatslohn fehlt","OK")))))</f>
        <v>OK</v>
      </c>
      <c r="J508" s="429" t="str">
        <f>IF($G508="","",IF(COUNTIFS($A:$A,$A508,$D:$D,$D508,$G:$G,$G508)&gt;1,"Doppelte Monatsstunden",""))</f>
        <v/>
      </c>
    </row>
    <row r="509" spans="1:10" ht="24" customHeight="1">
      <c r="A509" s="419" t="s">
        <v>334</v>
      </c>
      <c r="B509" s="409">
        <v>45778</v>
      </c>
      <c r="C509" s="409">
        <v>46142</v>
      </c>
      <c r="D509" s="410" t="s">
        <v>24</v>
      </c>
      <c r="E509" s="410" t="s">
        <v>21</v>
      </c>
      <c r="F509" s="410" t="s">
        <v>324</v>
      </c>
      <c r="G509" s="219">
        <v>34.6</v>
      </c>
      <c r="H509" s="220">
        <v>465.6</v>
      </c>
      <c r="I509" s="410" t="str">
        <f>IF($A509="","",IF(OR($B509="",$C509="",$D509="",$E509="",$F509=""),"Stammdaten fehlen",IF(AND($G509="",$H509=""),"Werte fehlen",IF($G509="","Monatsstunden fehlen",IF($H509="","Monatslohn fehlt","OK")))))</f>
        <v>OK</v>
      </c>
      <c r="J509" s="429" t="str">
        <f>IF($G509="","",IF(COUNTIFS($A:$A,$A509,$D:$D,$D509,$G:$G,$G509)&gt;1,"Doppelte Monatsstunden",""))</f>
        <v/>
      </c>
    </row>
    <row r="510" spans="1:10" ht="24" customHeight="1" thickBot="1">
      <c r="A510" s="431" t="s">
        <v>334</v>
      </c>
      <c r="B510" s="432">
        <v>45778</v>
      </c>
      <c r="C510" s="432">
        <v>46142</v>
      </c>
      <c r="D510" s="433" t="s">
        <v>24</v>
      </c>
      <c r="E510" s="433" t="s">
        <v>21</v>
      </c>
      <c r="F510" s="433" t="s">
        <v>324</v>
      </c>
      <c r="G510" s="223">
        <v>32.01</v>
      </c>
      <c r="H510" s="224">
        <v>430.68</v>
      </c>
      <c r="I510" s="433" t="str">
        <f>IF($A510="","",IF(OR($B510="",$C510="",$D510="",$E510="",$F510=""),"Stammdaten fehlen",IF(AND($G510="",$H510=""),"Werte fehlen",IF($G510="","Monatsstunden fehlen",IF($H510="","Monatslohn fehlt","OK")))))</f>
        <v>OK</v>
      </c>
      <c r="J510" s="434" t="str">
        <f>IF($G510="","",IF(COUNTIFS($A:$A,$A510,$D:$D,$D510,$G:$G,$G510)&gt;1,"Doppelte Monatsstunden",""))</f>
        <v/>
      </c>
    </row>
  </sheetData>
  <sheetProtection algorithmName="SHA-512" hashValue="5Tnb6L8kgptF4ZgPIPJmyPryTkYlAhTWJv32tpiPHJ/EgJ3MzdIyR5VlaJyLohPvCyGbDzU8Z4fE2fNS6/0u3g==" saltValue="Vgrw4LOKPnUYR+DOGA0umw==" spinCount="100000" sheet="1" objects="1" scenarios="1" sort="0" autoFilter="0"/>
  <mergeCells count="5">
    <mergeCell ref="A1:J1"/>
    <mergeCell ref="A2:J2"/>
    <mergeCell ref="A354:J354"/>
    <mergeCell ref="A185:J185"/>
    <mergeCell ref="A4:J4"/>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453125" defaultRowHeight="14.5"/>
  <cols>
    <col min="1" max="1" width="4" customWidth="1"/>
    <col min="2" max="2" width="12.453125"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15" ht="15" customHeight="1">
      <c r="B1" s="317" t="s">
        <v>25</v>
      </c>
      <c r="C1" s="317"/>
      <c r="D1" s="317"/>
      <c r="E1" s="317"/>
      <c r="F1" s="317"/>
      <c r="G1" s="317"/>
      <c r="H1" s="317"/>
      <c r="I1" s="317"/>
      <c r="J1" s="317"/>
      <c r="K1" s="317"/>
      <c r="L1" s="317"/>
      <c r="M1" s="317"/>
      <c r="N1" s="317"/>
      <c r="O1" s="317"/>
    </row>
    <row r="2" spans="2:15" ht="17.25" customHeight="1">
      <c r="B2" s="317"/>
      <c r="C2" s="317"/>
      <c r="D2" s="317"/>
      <c r="E2" s="317"/>
      <c r="F2" s="317"/>
      <c r="G2" s="317"/>
      <c r="H2" s="317"/>
      <c r="I2" s="317"/>
      <c r="J2" s="317"/>
      <c r="K2" s="317"/>
      <c r="L2" s="317"/>
      <c r="M2" s="317"/>
      <c r="N2" s="317"/>
      <c r="O2" s="317"/>
    </row>
    <row r="3" spans="2:15" ht="18" customHeight="1">
      <c r="B3" s="322" t="s">
        <v>26</v>
      </c>
      <c r="C3" s="322"/>
      <c r="D3" s="322"/>
      <c r="E3" s="322"/>
      <c r="F3" s="322"/>
      <c r="H3" s="319" t="s">
        <v>27</v>
      </c>
      <c r="I3" s="319"/>
      <c r="K3" s="321" t="s">
        <v>28</v>
      </c>
      <c r="L3" s="321"/>
      <c r="N3" s="319" t="s">
        <v>29</v>
      </c>
      <c r="O3" s="319"/>
    </row>
    <row r="4" spans="2:15" ht="15" customHeight="1">
      <c r="B4" s="322"/>
      <c r="C4" s="322"/>
      <c r="D4" s="322"/>
      <c r="E4" s="322"/>
      <c r="F4" s="322"/>
      <c r="H4" s="319"/>
      <c r="I4" s="319"/>
      <c r="K4" s="321"/>
      <c r="L4" s="321"/>
      <c r="N4" s="319"/>
      <c r="O4" s="319"/>
    </row>
    <row r="5" spans="2:15">
      <c r="B5" s="56"/>
      <c r="C5" s="56" t="s">
        <v>30</v>
      </c>
      <c r="D5" s="56" t="s">
        <v>31</v>
      </c>
      <c r="E5" s="56" t="s">
        <v>32</v>
      </c>
      <c r="F5" s="56" t="s">
        <v>33</v>
      </c>
      <c r="H5" s="320" t="s">
        <v>34</v>
      </c>
      <c r="I5" s="320"/>
      <c r="K5" s="320" t="s">
        <v>34</v>
      </c>
      <c r="L5" s="320"/>
      <c r="N5" s="320" t="s">
        <v>35</v>
      </c>
      <c r="O5" s="320"/>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18" t="s">
        <v>49</v>
      </c>
      <c r="C19" s="318"/>
      <c r="D19" s="318"/>
      <c r="E19" s="318"/>
      <c r="F19" s="318"/>
      <c r="H19" s="319" t="s">
        <v>50</v>
      </c>
      <c r="I19" s="319"/>
      <c r="K19" s="321" t="s">
        <v>51</v>
      </c>
      <c r="L19" s="321"/>
      <c r="N19" s="323" t="s">
        <v>203</v>
      </c>
      <c r="O19" s="323"/>
      <c r="P19" s="323"/>
      <c r="Q19" s="323"/>
      <c r="R19" s="323"/>
      <c r="S19" s="323"/>
      <c r="T19" s="323"/>
      <c r="U19" s="323"/>
    </row>
    <row r="20" spans="2:21">
      <c r="B20" s="318"/>
      <c r="C20" s="318"/>
      <c r="D20" s="318"/>
      <c r="E20" s="318"/>
      <c r="F20" s="318"/>
      <c r="H20" s="319"/>
      <c r="I20" s="319"/>
      <c r="K20" s="321"/>
      <c r="L20" s="321"/>
      <c r="N20" s="323"/>
      <c r="O20" s="323"/>
      <c r="P20" s="323"/>
      <c r="Q20" s="323"/>
      <c r="R20" s="323"/>
      <c r="S20" s="323"/>
      <c r="T20" s="323"/>
      <c r="U20" s="323"/>
    </row>
    <row r="21" spans="2:21">
      <c r="B21" s="56"/>
      <c r="C21" s="56" t="s">
        <v>30</v>
      </c>
      <c r="D21" s="56" t="s">
        <v>31</v>
      </c>
      <c r="E21" s="56" t="s">
        <v>32</v>
      </c>
      <c r="F21" s="56" t="s">
        <v>33</v>
      </c>
      <c r="H21" s="320" t="s">
        <v>34</v>
      </c>
      <c r="I21" s="320"/>
      <c r="K21" s="320" t="s">
        <v>34</v>
      </c>
      <c r="L21" s="320"/>
      <c r="N21" s="323"/>
      <c r="O21" s="323"/>
      <c r="P21" s="323"/>
      <c r="Q21" s="323"/>
      <c r="R21" s="323"/>
      <c r="S21" s="323"/>
      <c r="T21" s="323"/>
      <c r="U21" s="323"/>
    </row>
    <row r="22" spans="2:21">
      <c r="B22" s="57" t="s">
        <v>36</v>
      </c>
      <c r="C22" s="3">
        <v>1</v>
      </c>
      <c r="D22" s="87">
        <f>UBERSICHT!G7</f>
        <v>95107.828800000003</v>
      </c>
      <c r="E22" s="58">
        <f>Januar!$S$37</f>
        <v>95107.828800000003</v>
      </c>
      <c r="F22" s="50">
        <v>1</v>
      </c>
      <c r="H22" s="59" t="s">
        <v>36</v>
      </c>
      <c r="I22" s="51">
        <v>1</v>
      </c>
      <c r="K22" s="59" t="s">
        <v>36</v>
      </c>
      <c r="L22" s="51">
        <v>1</v>
      </c>
      <c r="N22" s="323"/>
      <c r="O22" s="323"/>
      <c r="P22" s="323"/>
      <c r="Q22" s="323"/>
      <c r="R22" s="323"/>
      <c r="S22" s="323"/>
      <c r="T22" s="323"/>
      <c r="U22" s="323"/>
    </row>
    <row r="23" spans="2:21">
      <c r="B23" s="57" t="s">
        <v>37</v>
      </c>
      <c r="C23" s="3">
        <v>2</v>
      </c>
      <c r="D23" s="87">
        <f>UBERSICHT!G8</f>
        <v>107916.7129</v>
      </c>
      <c r="E23" s="58">
        <f>Februar!$S$37</f>
        <v>53958.356449999999</v>
      </c>
      <c r="F23" s="50">
        <v>2</v>
      </c>
      <c r="H23" s="59" t="s">
        <v>38</v>
      </c>
      <c r="I23" s="51">
        <v>2</v>
      </c>
      <c r="K23" s="59" t="s">
        <v>38</v>
      </c>
      <c r="L23" s="51">
        <v>2</v>
      </c>
      <c r="N23" s="323"/>
      <c r="O23" s="323"/>
      <c r="P23" s="323"/>
      <c r="Q23" s="323"/>
      <c r="R23" s="323"/>
      <c r="S23" s="323"/>
      <c r="T23" s="323"/>
      <c r="U23" s="323"/>
    </row>
    <row r="24" spans="2:21">
      <c r="B24" s="57" t="s">
        <v>39</v>
      </c>
      <c r="C24" s="3">
        <v>3</v>
      </c>
      <c r="D24" s="87">
        <f>UBERSICHT!G9</f>
        <v>111572.62579999999</v>
      </c>
      <c r="E24" s="58">
        <f>Marz!$S$37</f>
        <v>37190.875266666662</v>
      </c>
      <c r="F24" s="50">
        <v>3</v>
      </c>
      <c r="H24" s="59" t="s">
        <v>39</v>
      </c>
      <c r="I24" s="51">
        <v>3</v>
      </c>
      <c r="K24" s="59" t="s">
        <v>39</v>
      </c>
      <c r="L24" s="51">
        <v>3</v>
      </c>
      <c r="N24" s="323"/>
      <c r="O24" s="323"/>
      <c r="P24" s="323"/>
      <c r="Q24" s="323"/>
      <c r="R24" s="323"/>
      <c r="S24" s="323"/>
      <c r="T24" s="323"/>
      <c r="U24" s="323"/>
    </row>
    <row r="25" spans="2:21">
      <c r="B25" s="57" t="s">
        <v>40</v>
      </c>
      <c r="C25" s="3">
        <v>4</v>
      </c>
      <c r="D25" s="87">
        <f>UBERSICHT!G11</f>
        <v>112238.6</v>
      </c>
      <c r="E25" s="58">
        <f>April!$S$37</f>
        <v>28059.65</v>
      </c>
      <c r="F25" s="50">
        <v>4</v>
      </c>
      <c r="H25" s="59" t="s">
        <v>40</v>
      </c>
      <c r="I25" s="51">
        <v>4</v>
      </c>
      <c r="K25" s="59" t="s">
        <v>40</v>
      </c>
      <c r="L25" s="51">
        <v>4</v>
      </c>
      <c r="N25" s="323"/>
      <c r="O25" s="323"/>
      <c r="P25" s="323"/>
      <c r="Q25" s="323"/>
      <c r="R25" s="323"/>
      <c r="S25" s="323"/>
      <c r="T25" s="323"/>
      <c r="U25" s="323"/>
    </row>
    <row r="26" spans="2:21">
      <c r="B26" s="57" t="s">
        <v>41</v>
      </c>
      <c r="C26" s="3">
        <v>5</v>
      </c>
      <c r="D26" s="87">
        <f>UBERSICHT!G12</f>
        <v>116627.12579999999</v>
      </c>
      <c r="E26" s="58">
        <f>Mai!$S$37</f>
        <v>23325.425159999999</v>
      </c>
      <c r="F26" s="50">
        <v>5</v>
      </c>
      <c r="H26" s="59" t="s">
        <v>41</v>
      </c>
      <c r="I26" s="51">
        <v>5</v>
      </c>
      <c r="K26" s="59" t="s">
        <v>41</v>
      </c>
      <c r="L26" s="51">
        <v>5</v>
      </c>
      <c r="M26" s="77"/>
      <c r="N26" s="323"/>
      <c r="O26" s="323"/>
      <c r="P26" s="323"/>
      <c r="Q26" s="323"/>
      <c r="R26" s="323"/>
      <c r="S26" s="323"/>
      <c r="T26" s="323"/>
      <c r="U26" s="323"/>
    </row>
    <row r="27" spans="2:21">
      <c r="B27" s="57" t="s">
        <v>42</v>
      </c>
      <c r="C27" s="3">
        <v>6</v>
      </c>
      <c r="D27" s="87">
        <f>UBERSICHT!G13</f>
        <v>116888.9</v>
      </c>
      <c r="E27" s="58">
        <f>Juni!$S$37</f>
        <v>19481.483333333334</v>
      </c>
      <c r="F27" s="50">
        <v>6</v>
      </c>
      <c r="H27" s="59" t="s">
        <v>42</v>
      </c>
      <c r="I27" s="51">
        <v>6</v>
      </c>
      <c r="K27" s="59" t="s">
        <v>42</v>
      </c>
      <c r="L27" s="51">
        <v>6</v>
      </c>
      <c r="M27" s="77"/>
      <c r="N27" s="323"/>
      <c r="O27" s="323"/>
      <c r="P27" s="323"/>
      <c r="Q27" s="323"/>
      <c r="R27" s="323"/>
      <c r="S27" s="323"/>
      <c r="T27" s="323"/>
      <c r="U27" s="323"/>
    </row>
    <row r="28" spans="2:21">
      <c r="B28" s="57" t="s">
        <v>43</v>
      </c>
      <c r="C28" s="3">
        <v>7</v>
      </c>
      <c r="D28" s="87">
        <f>UBERSICHT!G15</f>
        <v>116889.9</v>
      </c>
      <c r="E28" s="58">
        <f>Juli!$S$37</f>
        <v>16698.557142857142</v>
      </c>
      <c r="F28" s="50">
        <v>7</v>
      </c>
      <c r="H28" s="59" t="s">
        <v>43</v>
      </c>
      <c r="I28" s="51">
        <v>7</v>
      </c>
      <c r="K28" s="59" t="s">
        <v>43</v>
      </c>
      <c r="L28" s="51">
        <v>7</v>
      </c>
      <c r="M28" s="77"/>
      <c r="N28" s="323"/>
      <c r="O28" s="323"/>
      <c r="P28" s="323"/>
      <c r="Q28" s="323"/>
      <c r="R28" s="323"/>
      <c r="S28" s="323"/>
      <c r="T28" s="323"/>
      <c r="U28" s="323"/>
    </row>
    <row r="29" spans="2:21">
      <c r="B29" s="57" t="s">
        <v>44</v>
      </c>
      <c r="C29" s="3">
        <v>8</v>
      </c>
      <c r="D29" s="87">
        <f>UBERSICHT!G16</f>
        <v>115864.10159999999</v>
      </c>
      <c r="E29" s="58">
        <f>August!$S$37</f>
        <v>14483.012699999999</v>
      </c>
      <c r="F29" s="50">
        <v>8</v>
      </c>
      <c r="H29" s="59" t="s">
        <v>44</v>
      </c>
      <c r="I29" s="51">
        <v>8</v>
      </c>
      <c r="K29" s="59" t="s">
        <v>44</v>
      </c>
      <c r="L29" s="51">
        <v>8</v>
      </c>
      <c r="M29" s="77"/>
      <c r="N29" s="323"/>
      <c r="O29" s="323"/>
      <c r="P29" s="323"/>
      <c r="Q29" s="323"/>
      <c r="R29" s="323"/>
      <c r="S29" s="323"/>
      <c r="T29" s="323"/>
      <c r="U29" s="323"/>
    </row>
    <row r="30" spans="2:21">
      <c r="B30" s="57" t="s">
        <v>45</v>
      </c>
      <c r="C30" s="3">
        <v>9</v>
      </c>
      <c r="D30" s="87">
        <f>UBERSICHT!G17</f>
        <v>115376.15</v>
      </c>
      <c r="E30" s="58">
        <f>September!$S$37</f>
        <v>12819.572222222221</v>
      </c>
      <c r="F30" s="50">
        <v>9</v>
      </c>
      <c r="H30" s="59" t="s">
        <v>45</v>
      </c>
      <c r="I30" s="51">
        <v>9</v>
      </c>
      <c r="K30" s="59" t="s">
        <v>45</v>
      </c>
      <c r="L30" s="51">
        <v>9</v>
      </c>
      <c r="N30" s="323"/>
      <c r="O30" s="323"/>
      <c r="P30" s="323"/>
      <c r="Q30" s="323"/>
      <c r="R30" s="323"/>
      <c r="S30" s="323"/>
      <c r="T30" s="323"/>
      <c r="U30" s="323"/>
    </row>
    <row r="31" spans="2:21">
      <c r="B31" s="57" t="s">
        <v>46</v>
      </c>
      <c r="C31" s="3">
        <v>10</v>
      </c>
      <c r="D31" s="87">
        <f>UBERSICHT!G19</f>
        <v>115377.15</v>
      </c>
      <c r="E31" s="58">
        <f>Oktober!$S$37</f>
        <v>11537.715</v>
      </c>
      <c r="F31" s="50">
        <v>10</v>
      </c>
      <c r="H31" s="59" t="s">
        <v>46</v>
      </c>
      <c r="I31" s="51">
        <v>10</v>
      </c>
      <c r="K31" s="59" t="s">
        <v>46</v>
      </c>
      <c r="L31" s="51">
        <v>10</v>
      </c>
      <c r="N31" s="323"/>
      <c r="O31" s="323"/>
      <c r="P31" s="323"/>
      <c r="Q31" s="323"/>
      <c r="R31" s="323"/>
      <c r="S31" s="323"/>
      <c r="T31" s="323"/>
      <c r="U31" s="323"/>
    </row>
    <row r="32" spans="2:21">
      <c r="B32" s="57" t="s">
        <v>47</v>
      </c>
      <c r="C32" s="3">
        <v>11</v>
      </c>
      <c r="D32" s="87">
        <f>UBERSICHT!G20</f>
        <v>115630.78</v>
      </c>
      <c r="E32" s="58">
        <f>November!$S$37</f>
        <v>10511.889090909091</v>
      </c>
      <c r="F32" s="50">
        <v>11</v>
      </c>
      <c r="H32" s="59" t="s">
        <v>47</v>
      </c>
      <c r="I32" s="51">
        <v>11</v>
      </c>
      <c r="K32" s="59" t="s">
        <v>47</v>
      </c>
      <c r="L32" s="51">
        <v>11</v>
      </c>
      <c r="N32" s="323"/>
      <c r="O32" s="323"/>
      <c r="P32" s="323"/>
      <c r="Q32" s="323"/>
      <c r="R32" s="323"/>
      <c r="S32" s="323"/>
      <c r="T32" s="323"/>
      <c r="U32" s="323"/>
    </row>
    <row r="33" spans="2:21">
      <c r="B33" s="57" t="s">
        <v>48</v>
      </c>
      <c r="C33" s="3">
        <v>12</v>
      </c>
      <c r="D33" s="87">
        <f>UBERSICHT!G21</f>
        <v>115631.78</v>
      </c>
      <c r="E33" s="58">
        <f>Dezember!$S$37</f>
        <v>9635.9816666666666</v>
      </c>
      <c r="F33" s="50">
        <v>12</v>
      </c>
      <c r="H33" s="59" t="s">
        <v>48</v>
      </c>
      <c r="I33" s="51">
        <v>12</v>
      </c>
      <c r="K33" s="59" t="s">
        <v>48</v>
      </c>
      <c r="L33" s="51">
        <v>12</v>
      </c>
      <c r="N33" s="323"/>
      <c r="O33" s="323"/>
      <c r="P33" s="323"/>
      <c r="Q33" s="323"/>
      <c r="R33" s="323"/>
      <c r="S33" s="323"/>
      <c r="T33" s="323"/>
      <c r="U33" s="323"/>
    </row>
    <row r="34" spans="2:21">
      <c r="N34" s="323"/>
      <c r="O34" s="323"/>
      <c r="P34" s="323"/>
      <c r="Q34" s="323"/>
      <c r="R34" s="323"/>
      <c r="S34" s="323"/>
      <c r="T34" s="323"/>
      <c r="U34" s="323"/>
    </row>
    <row r="35" spans="2:21" ht="14.5" customHeight="1">
      <c r="B35" s="313" t="s">
        <v>204</v>
      </c>
      <c r="C35" s="313"/>
      <c r="D35" s="313"/>
      <c r="E35" s="126"/>
      <c r="N35" s="323"/>
      <c r="O35" s="323"/>
      <c r="P35" s="323"/>
      <c r="Q35" s="323"/>
      <c r="R35" s="323"/>
      <c r="S35" s="323"/>
      <c r="T35" s="323"/>
      <c r="U35" s="323"/>
    </row>
    <row r="36" spans="2:21">
      <c r="B36" s="313"/>
      <c r="C36" s="313"/>
      <c r="D36" s="313"/>
      <c r="N36" s="323"/>
      <c r="O36" s="323"/>
      <c r="P36" s="323"/>
      <c r="Q36" s="323"/>
      <c r="R36" s="323"/>
      <c r="S36" s="323"/>
      <c r="T36" s="323"/>
      <c r="U36" s="323"/>
    </row>
    <row r="37" spans="2:21">
      <c r="N37" s="323"/>
      <c r="O37" s="323"/>
      <c r="P37" s="323"/>
      <c r="Q37" s="323"/>
      <c r="R37" s="323"/>
      <c r="S37" s="323"/>
      <c r="T37" s="323"/>
      <c r="U37" s="323"/>
    </row>
    <row r="38" spans="2:21">
      <c r="N38" s="323"/>
      <c r="O38" s="323"/>
      <c r="P38" s="323"/>
      <c r="Q38" s="323"/>
      <c r="R38" s="323"/>
      <c r="S38" s="323"/>
      <c r="T38" s="323"/>
      <c r="U38" s="323"/>
    </row>
    <row r="39" spans="2:21">
      <c r="N39" s="323"/>
      <c r="O39" s="323"/>
      <c r="P39" s="323"/>
      <c r="Q39" s="323"/>
      <c r="R39" s="323"/>
      <c r="S39" s="323"/>
      <c r="T39" s="323"/>
      <c r="U39" s="323"/>
    </row>
    <row r="40" spans="2:21">
      <c r="N40" s="323"/>
      <c r="O40" s="323"/>
      <c r="P40" s="323"/>
      <c r="Q40" s="323"/>
      <c r="R40" s="323"/>
      <c r="S40" s="323"/>
      <c r="T40" s="323"/>
      <c r="U40" s="323"/>
    </row>
    <row r="41" spans="2:21">
      <c r="N41" s="323"/>
      <c r="O41" s="323"/>
      <c r="P41" s="323"/>
      <c r="Q41" s="323"/>
      <c r="R41" s="323"/>
      <c r="S41" s="323"/>
      <c r="T41" s="323"/>
      <c r="U41" s="323"/>
    </row>
    <row r="42" spans="2:21">
      <c r="N42" s="323"/>
      <c r="O42" s="323"/>
      <c r="P42" s="323"/>
      <c r="Q42" s="323"/>
      <c r="R42" s="323"/>
      <c r="S42" s="323"/>
      <c r="T42" s="323"/>
      <c r="U42" s="323"/>
    </row>
  </sheetData>
  <sheetProtection algorithmName="SHA-512" hashValue="zuVIjCqMjsIyx5I/+KkUC4enJe3GVh3sEAsV8kLSz32yc8aEHcLyGYg+2RE3EtOIWe/DWI7vs0ff1jWQhzGTQQ==" saltValue="5rjEAxlrrQMjw0B4azHUn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1</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46023</v>
      </c>
    </row>
    <row r="2" spans="1:28" ht="16" customHeight="1" thickBot="1">
      <c r="A2" s="129"/>
      <c r="B2" s="225"/>
      <c r="C2" s="233"/>
      <c r="D2" s="235"/>
      <c r="E2" s="235"/>
      <c r="F2" s="235"/>
      <c r="G2" s="237"/>
      <c r="H2" s="231"/>
      <c r="I2" s="248"/>
      <c r="J2" s="250"/>
      <c r="K2" s="252"/>
      <c r="L2" s="254"/>
      <c r="M2" s="256"/>
      <c r="N2" s="226"/>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7" t="s">
        <v>61</v>
      </c>
      <c r="P3" s="257" t="s">
        <v>62</v>
      </c>
      <c r="Q3" s="238" t="s">
        <v>63</v>
      </c>
      <c r="R3" s="240"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8"/>
      <c r="P4" s="258"/>
      <c r="Q4" s="239"/>
      <c r="R4" s="241"/>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7494.8</v>
      </c>
      <c r="R8" s="22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EINSTELLUNG!L22</f>
        <v>1</v>
      </c>
      <c r="R9" s="22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8" t="s">
        <v>74</v>
      </c>
      <c r="P10" s="229"/>
      <c r="Q10" s="227">
        <f>EINSTELLUNG!I22</f>
        <v>1</v>
      </c>
      <c r="R10" s="22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1</v>
      </c>
      <c r="R11" s="22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c r="R12" s="338"/>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28" t="s">
        <v>80</v>
      </c>
      <c r="P13" s="229"/>
      <c r="Q13" s="227">
        <f>Q8-Q9-Q10-Q11-Q12</f>
        <v>7491.8</v>
      </c>
      <c r="R13" s="22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28" t="s">
        <v>82</v>
      </c>
      <c r="P14" s="229"/>
      <c r="Q14" s="227">
        <f>EINSTELLUNG!L6</f>
        <v>1</v>
      </c>
      <c r="R14" s="22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28" t="s">
        <v>84</v>
      </c>
      <c r="P15" s="229"/>
      <c r="Q15" s="227">
        <f>Q13-Q14</f>
        <v>7490.8</v>
      </c>
      <c r="R15" s="22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90106.82881720431</v>
      </c>
      <c r="R17" s="268"/>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300"/>
      <c r="P18" s="301"/>
      <c r="Q18" s="264"/>
      <c r="R18" s="264"/>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0"/>
      <c r="P19" s="301"/>
      <c r="Q19" s="264"/>
      <c r="R19" s="264"/>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00"/>
      <c r="P20" s="301"/>
      <c r="Q20" s="264"/>
      <c r="R20" s="264"/>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300" t="s">
        <v>357</v>
      </c>
      <c r="P21" s="301"/>
      <c r="Q21" s="264">
        <v>5000</v>
      </c>
      <c r="R21" s="264"/>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300"/>
      <c r="P22" s="301"/>
      <c r="Q22" s="264"/>
      <c r="R22" s="264"/>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00"/>
      <c r="P23" s="301"/>
      <c r="Q23" s="264"/>
      <c r="R23" s="264"/>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300"/>
      <c r="P24" s="301"/>
      <c r="Q24" s="264"/>
      <c r="R24" s="264"/>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8"/>
      <c r="P25" s="329"/>
      <c r="Q25" s="279"/>
      <c r="R25" s="279"/>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300"/>
      <c r="P27" s="301"/>
      <c r="Q27" s="264"/>
      <c r="R27" s="284"/>
      <c r="S27" s="295" t="s">
        <v>99</v>
      </c>
      <c r="T27" s="296"/>
      <c r="U27" s="296"/>
      <c r="V27" s="296"/>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7" t="s">
        <v>102</v>
      </c>
      <c r="P29" s="288"/>
      <c r="Q29" s="289">
        <f>EINSTELLUNG!O6</f>
        <v>1</v>
      </c>
      <c r="R29" s="290"/>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1.9607843137254902E-2</v>
      </c>
      <c r="R31" s="272"/>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330" t="s">
        <v>108</v>
      </c>
      <c r="R33" s="331"/>
      <c r="S33" s="334" t="s">
        <v>109</v>
      </c>
      <c r="T33" s="335"/>
      <c r="U33" s="334" t="s">
        <v>110</v>
      </c>
      <c r="V33" s="335"/>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332"/>
      <c r="R34" s="333"/>
      <c r="S34" s="336"/>
      <c r="T34" s="337"/>
      <c r="U34" s="336"/>
      <c r="V34" s="337"/>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45" t="s">
        <v>113</v>
      </c>
      <c r="P35" s="246"/>
      <c r="Q35" s="293">
        <f>EINSTELLUNG!C6</f>
        <v>1</v>
      </c>
      <c r="R35" s="293"/>
      <c r="S35" s="293">
        <f>EINSTELLUNG!C22</f>
        <v>1</v>
      </c>
      <c r="T35" s="293"/>
      <c r="U35" s="294">
        <f>S35-Q35</f>
        <v>0</v>
      </c>
      <c r="V35" s="294"/>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EINSTELLUNG!D6</f>
        <v>1</v>
      </c>
      <c r="R36" s="293"/>
      <c r="S36" s="293" cm="1">
        <f t="array" ref="S36">SumMergedCells(Q17:R29)</f>
        <v>95107.828800000003</v>
      </c>
      <c r="T36" s="293"/>
      <c r="U36" s="294">
        <f t="shared" ref="U36:U41" si="2">S36-Q36</f>
        <v>95106.828800000003</v>
      </c>
      <c r="V36" s="294"/>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95107.828800000003</v>
      </c>
      <c r="T37" s="297"/>
      <c r="U37" s="298">
        <f t="shared" si="2"/>
        <v>95106.828800000003</v>
      </c>
      <c r="V37" s="298"/>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EINSTELLUNG!F6</f>
        <v>1</v>
      </c>
      <c r="R38" s="291"/>
      <c r="S38" s="291">
        <f>EINSTELLUNG!F22</f>
        <v>1</v>
      </c>
      <c r="T38" s="291"/>
      <c r="U38" s="292">
        <f t="shared" si="2"/>
        <v>0</v>
      </c>
      <c r="V38" s="292"/>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2"/>
        <v>0</v>
      </c>
      <c r="V39" s="294"/>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1.3347927066926506E-4</v>
      </c>
      <c r="R40" s="293"/>
      <c r="S40" s="293">
        <f>IF(Q13=0, 0, S35/Q13)</f>
        <v>1.3347927066926506E-4</v>
      </c>
      <c r="T40" s="293"/>
      <c r="U40" s="294">
        <f t="shared" si="2"/>
        <v>0</v>
      </c>
      <c r="V40" s="294"/>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1.3347927066926506E-4</v>
      </c>
      <c r="R41" s="291"/>
      <c r="S41" s="291">
        <f>IF(Q13=0, 0, S38/Q13)</f>
        <v>1.3347927066926506E-4</v>
      </c>
      <c r="T41" s="291"/>
      <c r="U41" s="292">
        <f t="shared" si="2"/>
        <v>0</v>
      </c>
      <c r="V41" s="292"/>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12.022579497412114</v>
      </c>
      <c r="R42" s="303"/>
      <c r="S42" s="303"/>
      <c r="T42" s="303"/>
      <c r="U42" s="303"/>
      <c r="V42" s="304"/>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24"/>
      <c r="L114" s="324"/>
      <c r="M114" s="324"/>
      <c r="N114" s="127"/>
    </row>
    <row r="115" spans="11:14" ht="16" customHeight="1">
      <c r="K115" s="324"/>
      <c r="L115" s="324"/>
      <c r="M115" s="324"/>
      <c r="N115" s="127"/>
    </row>
    <row r="116" spans="11:14" ht="16" customHeight="1">
      <c r="K116" s="325"/>
      <c r="L116" s="325"/>
      <c r="M116" s="78"/>
      <c r="N116" s="78"/>
    </row>
    <row r="117" spans="11:14" ht="16" customHeight="1">
      <c r="K117" s="325"/>
      <c r="L117" s="325"/>
      <c r="M117" s="78"/>
      <c r="N117" s="78"/>
    </row>
    <row r="118" spans="11:14" ht="16" customHeight="1">
      <c r="K118" s="326"/>
      <c r="L118" s="326"/>
      <c r="M118" s="79"/>
      <c r="N118" s="79"/>
    </row>
    <row r="119" spans="11:14" ht="16" customHeight="1">
      <c r="K119" s="327"/>
      <c r="L119" s="327"/>
      <c r="M119" s="80"/>
      <c r="N119" s="80"/>
    </row>
    <row r="120" spans="11:14" ht="16" customHeight="1">
      <c r="K120" s="325"/>
      <c r="L120" s="325"/>
      <c r="M120" s="78"/>
      <c r="N120" s="78"/>
    </row>
    <row r="121" spans="11:14" ht="16" customHeight="1">
      <c r="K121" s="325"/>
      <c r="L121" s="325"/>
      <c r="M121" s="78"/>
      <c r="N121" s="78"/>
    </row>
    <row r="122" spans="11:14" ht="16" customHeight="1">
      <c r="K122" s="327"/>
      <c r="L122" s="327"/>
      <c r="M122" s="80"/>
      <c r="N122" s="80"/>
    </row>
    <row r="123" spans="11:14" ht="16" customHeight="1">
      <c r="K123" s="81"/>
      <c r="L123" s="81"/>
      <c r="M123" s="81"/>
      <c r="N123" s="81"/>
    </row>
  </sheetData>
  <sheetProtection algorithmName="SHA-512" hashValue="cxmOjjMrKJqJZGxkICCOLhoKD2WJ5PXVwnmKrwoY/U1ZffIjekWngr42X6H0+N0xAlRmpej76kyUKPJT/F30DA==" saltValue="f7SjS0CGPUt7P/UdSZtAbA=="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vNSRYPkRcOkv0zsZ/rpJkWWJ/s8j042NtuTV6J4XdRt+9onZCF8UerzuqbjRfsLLfnrvlIMmQS7EyW0IyxVDMg==" saltValue="yd5Oh3ALWxRmbb8dC66Hg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2</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46054</v>
      </c>
    </row>
    <row r="2" spans="1:28" ht="16" customHeight="1" thickBot="1">
      <c r="A2" s="129"/>
      <c r="B2" s="225"/>
      <c r="C2" s="233"/>
      <c r="D2" s="235"/>
      <c r="E2" s="235"/>
      <c r="F2" s="235"/>
      <c r="G2" s="237"/>
      <c r="H2" s="231"/>
      <c r="I2" s="248"/>
      <c r="J2" s="250"/>
      <c r="K2" s="252"/>
      <c r="L2" s="254"/>
      <c r="M2" s="256"/>
      <c r="N2" s="226"/>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7" t="s">
        <v>61</v>
      </c>
      <c r="P3" s="257" t="s">
        <v>62</v>
      </c>
      <c r="Q3" s="238" t="s">
        <v>63</v>
      </c>
      <c r="R3" s="240"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8"/>
      <c r="P4" s="258"/>
      <c r="Q4" s="239"/>
      <c r="R4" s="241"/>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842.66960625479021</v>
      </c>
      <c r="P5" s="49">
        <f>EINSTELLUNG!I7</f>
        <v>2</v>
      </c>
      <c r="Q5" s="48">
        <f>P5-O5</f>
        <v>-840.66960625479021</v>
      </c>
      <c r="R5" s="52">
        <f>IFERROR(Q5*Q42, 0)</f>
        <v>-10069.9718836678</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49" t="str">
        <f>IF(Q5&lt;0, "Schlecht! Zu wenig Urlaub abgebaut.", IF(Q5&gt;0, "Gut! Mehr Urlaub abgebaut als aufgebaut.", ""))</f>
        <v>Schlecht! Zu wenig Urlaub abgebaut.</v>
      </c>
      <c r="P6" s="349"/>
      <c r="Q6" s="349"/>
      <c r="R6" s="349"/>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45" t="s">
        <v>70</v>
      </c>
      <c r="P8" s="228"/>
      <c r="Q8" s="346">
        <f>SUM(H3:H82)</f>
        <v>8591.6099999999988</v>
      </c>
      <c r="R8" s="347"/>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45" t="s">
        <v>72</v>
      </c>
      <c r="P9" s="228"/>
      <c r="Q9" s="346">
        <f>EINSTELLUNG!L23</f>
        <v>2</v>
      </c>
      <c r="R9" s="347"/>
      <c r="S9" s="53">
        <f>IFERROR(Q9/Q8, 0)</f>
        <v>2.3278524048461234E-4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45" t="s">
        <v>74</v>
      </c>
      <c r="P10" s="228"/>
      <c r="Q10" s="346">
        <f>EINSTELLUNG!I23</f>
        <v>2</v>
      </c>
      <c r="R10" s="347"/>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45" t="s">
        <v>76</v>
      </c>
      <c r="P11" s="228"/>
      <c r="Q11" s="346">
        <f>P5</f>
        <v>2</v>
      </c>
      <c r="R11" s="34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45" t="s">
        <v>80</v>
      </c>
      <c r="P12" s="228"/>
      <c r="Q12" s="346">
        <f>Q8-Q9-Q10-Q11</f>
        <v>8585.6099999999988</v>
      </c>
      <c r="R12" s="347"/>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45" t="s">
        <v>82</v>
      </c>
      <c r="P13" s="228"/>
      <c r="Q13" s="346">
        <f>EINSTELLUNG!L7</f>
        <v>2</v>
      </c>
      <c r="R13" s="347"/>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45" t="s">
        <v>84</v>
      </c>
      <c r="P14" s="228"/>
      <c r="Q14" s="346">
        <f>Q12-Q13</f>
        <v>8583.6099999999988</v>
      </c>
      <c r="R14" s="34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48" t="str">
        <f>IF(Q14&lt;0, "Schlecht! Zu wenig Stunden für Dienstplan.", IF(Q14&gt;0, "Du hast mehr als genug Stunden für Dienstplan.", ""))</f>
        <v>Du hast mehr als genug Stunden für Dienstplan.</v>
      </c>
      <c r="P15" s="348"/>
      <c r="Q15" s="348"/>
      <c r="R15" s="348"/>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66"/>
      <c r="Q17" s="357">
        <f>SUM(L3:L82)</f>
        <v>102914.71285714286</v>
      </c>
      <c r="R17" s="358"/>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9"/>
      <c r="P18" s="259"/>
      <c r="Q18" s="360"/>
      <c r="R18" s="361"/>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9"/>
      <c r="P19" s="259"/>
      <c r="Q19" s="360"/>
      <c r="R19" s="361"/>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9"/>
      <c r="P20" s="259"/>
      <c r="Q20" s="360"/>
      <c r="R20" s="361"/>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9" t="s">
        <v>357</v>
      </c>
      <c r="P21" s="259"/>
      <c r="Q21" s="360">
        <v>5000</v>
      </c>
      <c r="R21" s="361"/>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9"/>
      <c r="P22" s="259"/>
      <c r="Q22" s="360"/>
      <c r="R22" s="361"/>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9"/>
      <c r="P23" s="259"/>
      <c r="Q23" s="360"/>
      <c r="R23" s="361"/>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9"/>
      <c r="P24" s="259"/>
      <c r="Q24" s="360"/>
      <c r="R24" s="361"/>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0"/>
      <c r="P25" s="276"/>
      <c r="Q25" s="351"/>
      <c r="R25" s="35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80"/>
      <c r="Q26" s="354"/>
      <c r="R26" s="355"/>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9"/>
      <c r="P27" s="300"/>
      <c r="Q27" s="370"/>
      <c r="R27" s="371"/>
      <c r="S27" s="295" t="s">
        <v>99</v>
      </c>
      <c r="T27" s="296"/>
      <c r="U27" s="296"/>
      <c r="V27" s="296"/>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72"/>
      <c r="P28" s="261"/>
      <c r="Q28" s="373"/>
      <c r="R28" s="374"/>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75" t="s">
        <v>102</v>
      </c>
      <c r="P29" s="287"/>
      <c r="Q29" s="376">
        <f>EINSTELLUNG!O7</f>
        <v>2</v>
      </c>
      <c r="R29" s="377"/>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62">
        <v>0</v>
      </c>
      <c r="P31" s="363"/>
      <c r="Q31" s="364">
        <v>1.7241379310344827E-2</v>
      </c>
      <c r="R31" s="269"/>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5"/>
      <c r="P33" s="366"/>
      <c r="Q33" s="330" t="s">
        <v>108</v>
      </c>
      <c r="R33" s="331"/>
      <c r="S33" s="334" t="s">
        <v>109</v>
      </c>
      <c r="T33" s="335"/>
      <c r="U33" s="334" t="s">
        <v>110</v>
      </c>
      <c r="V33" s="335"/>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7"/>
      <c r="P34" s="368"/>
      <c r="Q34" s="332"/>
      <c r="R34" s="333"/>
      <c r="S34" s="336"/>
      <c r="T34" s="337"/>
      <c r="U34" s="336"/>
      <c r="V34" s="337"/>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40" t="s">
        <v>113</v>
      </c>
      <c r="P35" s="245"/>
      <c r="Q35" s="302">
        <f>EINSTELLUNG!C7</f>
        <v>2</v>
      </c>
      <c r="R35" s="304"/>
      <c r="S35" s="302">
        <f>EINSTELLUNG!C23</f>
        <v>2</v>
      </c>
      <c r="T35" s="304"/>
      <c r="U35" s="294">
        <f>S35-Q35</f>
        <v>0</v>
      </c>
      <c r="V35" s="29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40" t="s">
        <v>115</v>
      </c>
      <c r="P36" s="245"/>
      <c r="Q36" s="302">
        <f>EINSTELLUNG!D7</f>
        <v>2</v>
      </c>
      <c r="R36" s="304"/>
      <c r="S36" s="293" cm="1">
        <f t="array" ref="S36">SumMergedCells(Q17:R29)</f>
        <v>107916.7129</v>
      </c>
      <c r="T36" s="293"/>
      <c r="U36" s="294">
        <f t="shared" ref="U36:U41" si="2">S36-Q36</f>
        <v>107914.7129</v>
      </c>
      <c r="V36" s="29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40" t="s">
        <v>117</v>
      </c>
      <c r="P37" s="245"/>
      <c r="Q37" s="341">
        <f>IF(ISERROR(Q36/Q35), 0, Q36/Q35)</f>
        <v>1</v>
      </c>
      <c r="R37" s="342"/>
      <c r="S37" s="341">
        <f>IF(ISERROR(S36/S35), 0, S36/S35)</f>
        <v>53958.356449999999</v>
      </c>
      <c r="T37" s="342"/>
      <c r="U37" s="298">
        <f t="shared" si="2"/>
        <v>53957.356449999999</v>
      </c>
      <c r="V37" s="298"/>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40" t="s">
        <v>119</v>
      </c>
      <c r="P38" s="245"/>
      <c r="Q38" s="343">
        <f>EINSTELLUNG!F7</f>
        <v>2</v>
      </c>
      <c r="R38" s="344"/>
      <c r="S38" s="343">
        <f>EINSTELLUNG!F23</f>
        <v>2</v>
      </c>
      <c r="T38" s="344"/>
      <c r="U38" s="292">
        <f t="shared" si="2"/>
        <v>0</v>
      </c>
      <c r="V38" s="292"/>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40" t="s">
        <v>121</v>
      </c>
      <c r="P39" s="245"/>
      <c r="Q39" s="302">
        <f>IF(Q38=0, 0, Q35/Q38)</f>
        <v>1</v>
      </c>
      <c r="R39" s="304"/>
      <c r="S39" s="302">
        <f>IF(S38=0, 0, S35/S38)</f>
        <v>1</v>
      </c>
      <c r="T39" s="304"/>
      <c r="U39" s="294">
        <f t="shared" si="2"/>
        <v>0</v>
      </c>
      <c r="V39" s="29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IF(Q12=0, 0, Q35/Q12)</f>
        <v>2.329479209980421E-4</v>
      </c>
      <c r="R40" s="293"/>
      <c r="S40" s="293">
        <f>IF(Q12=0, 0, S35/Q12)</f>
        <v>2.329479209980421E-4</v>
      </c>
      <c r="T40" s="293"/>
      <c r="U40" s="294">
        <f t="shared" si="2"/>
        <v>0</v>
      </c>
      <c r="V40" s="29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IF(Q12=0, 0, Q38/Q12)</f>
        <v>2.329479209980421E-4</v>
      </c>
      <c r="R41" s="291"/>
      <c r="S41" s="291">
        <f>IF(Q12=0, 0, S38/Q12)</f>
        <v>2.329479209980421E-4</v>
      </c>
      <c r="T41" s="291"/>
      <c r="U41" s="292">
        <f t="shared" si="2"/>
        <v>0</v>
      </c>
      <c r="V41" s="292"/>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11.978513090927414</v>
      </c>
      <c r="R42" s="303"/>
      <c r="S42" s="303"/>
      <c r="T42" s="303"/>
      <c r="U42" s="303"/>
      <c r="V42" s="304"/>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367</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368</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369</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370</v>
      </c>
      <c r="D57" s="193">
        <v>46054</v>
      </c>
      <c r="E57" s="134" t="s">
        <v>8</v>
      </c>
      <c r="F57" s="136">
        <v>138.4</v>
      </c>
      <c r="G57" s="185">
        <v>1665.6</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1665.6</v>
      </c>
      <c r="M57" s="164"/>
      <c r="N57" s="147"/>
    </row>
    <row r="58" spans="1:14" ht="16" customHeight="1">
      <c r="A58" s="130" t="s">
        <v>144</v>
      </c>
      <c r="B58" s="170">
        <v>505000</v>
      </c>
      <c r="C58" s="137" t="s">
        <v>371</v>
      </c>
      <c r="D58" s="193">
        <v>46054</v>
      </c>
      <c r="E58" s="134" t="s">
        <v>4</v>
      </c>
      <c r="F58" s="136">
        <v>138.4</v>
      </c>
      <c r="G58" s="185">
        <v>1616.8</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v>500600</v>
      </c>
      <c r="C59" s="137" t="s">
        <v>372</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373</v>
      </c>
      <c r="D60" s="193">
        <v>46054</v>
      </c>
      <c r="E60" s="134" t="s">
        <v>4</v>
      </c>
      <c r="F60" s="136">
        <v>151.38</v>
      </c>
      <c r="G60" s="185">
        <v>1768.38</v>
      </c>
      <c r="H60" s="158">
        <f>IF(AND(ISNUMBER(D60), ISNUMBER(F60)),
    ROUNDDOWN(
        MIN(
            IF(OR(ISBLANK(I60), I60=""),
                EOMONTH(DATE(LOHNTABELLE!$G$3, $A$1, 1), 0), I60)
            - MAX(D60, DATE(LOHNTABELLE!$G$3, $A$1, 1)) + 1)
        / DAY(EOMONTH(DATE(LOHNTABELLE!$G$3, $A$1, 1), 0)) * F60,
        2
    ),
    ""
)</f>
        <v>10.81</v>
      </c>
      <c r="I60" s="196">
        <v>46055</v>
      </c>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126.31285714285715</v>
      </c>
      <c r="M60" s="164"/>
      <c r="N60" s="147"/>
    </row>
    <row r="61" spans="1:14" ht="16" customHeight="1">
      <c r="A61" s="131" t="s">
        <v>147</v>
      </c>
      <c r="B61" s="170">
        <v>700000</v>
      </c>
      <c r="C61" s="137" t="s">
        <v>423</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4h5SNYua1I1o6/eKk+EfoTmnDnWBs/rKfZ2A6iAqtD/sdWCT7OQxcE6eaad2Hwu33L4mLDO+XpX1lcooOBRIow==" saltValue="AK9hUOftkocPzSGXaWlu7A=="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1">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8" activePane="bottomLeft" state="frozen"/>
      <selection activeCell="T24" sqref="T24"/>
      <selection pane="bottomLeft" activeCell="C62" sqref="C6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3</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46082</v>
      </c>
    </row>
    <row r="2" spans="1:28" ht="16" customHeight="1" thickBot="1">
      <c r="A2" s="129"/>
      <c r="B2" s="225"/>
      <c r="C2" s="233"/>
      <c r="D2" s="235"/>
      <c r="E2" s="235"/>
      <c r="F2" s="235"/>
      <c r="G2" s="237"/>
      <c r="H2" s="231"/>
      <c r="I2" s="248"/>
      <c r="J2" s="250"/>
      <c r="K2" s="252"/>
      <c r="L2" s="254"/>
      <c r="M2" s="256"/>
      <c r="N2" s="226"/>
      <c r="AB2" s="41">
        <f>EOMONTH(DATE(LOHNTABELLE!$G$3, $A$1, 1), 0)</f>
        <v>46112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861.45075354782682</v>
      </c>
      <c r="P5" s="49">
        <f>EINSTELLUNG!I8</f>
        <v>3</v>
      </c>
      <c r="Q5" s="48">
        <f>P5-O5</f>
        <v>-858.45075354782682</v>
      </c>
      <c r="R5" s="52">
        <f>IFERROR(Q5*Q42, 0)</f>
        <v>-10299.845823236303</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8882.15</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EINSTELLUNG!L24</f>
        <v>3</v>
      </c>
      <c r="R9" s="227"/>
      <c r="S9" s="53">
        <f>IFERROR(Q9/Q8, 0)</f>
        <v>3.3775606131398366E-4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EINSTELLUNG!I24</f>
        <v>3</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3</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-445</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9318.15</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EINSTELLUNG!L8</f>
        <v>3</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9315.15</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106569.62580645162</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EINSTELLUNG!O8</f>
        <v>3</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1.6666666666666666E-2</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EINSTELLUNG!C8</f>
        <v>3</v>
      </c>
      <c r="R35" s="293"/>
      <c r="S35" s="293">
        <f>EINSTELLUNG!C24</f>
        <v>3</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EINSTELLUNG!D8</f>
        <v>3</v>
      </c>
      <c r="R36" s="293"/>
      <c r="S36" s="293" cm="1">
        <f t="array" ref="S36">SumMergedCells(Q17:R29)</f>
        <v>111572.62579999999</v>
      </c>
      <c r="T36" s="293"/>
      <c r="U36" s="294">
        <f t="shared" ref="U36:U41" si="0">S36-Q36</f>
        <v>111569.62579999999</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37190.875266666662</v>
      </c>
      <c r="T37" s="297"/>
      <c r="U37" s="298">
        <f t="shared" si="0"/>
        <v>37189.875266666662</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EINSTELLUNG!F8</f>
        <v>3</v>
      </c>
      <c r="R38" s="291"/>
      <c r="S38" s="291">
        <f>EINSTELLUNG!F24</f>
        <v>3</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3.219523188615766E-4</v>
      </c>
      <c r="R40" s="293"/>
      <c r="S40" s="293">
        <f>IF(Q13=0, 0, S35/Q13)</f>
        <v>3.219523188615766E-4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3.219523188615766E-4</v>
      </c>
      <c r="R41" s="291"/>
      <c r="S41" s="291">
        <f>IF(Q13=0, 0, S38/Q13)</f>
        <v>3.219523188615766E-4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11.998179022697389</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356</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9"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423</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427</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2020.9999999999998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puqFQhGGXlCk+epD/Q/3S4di1yARgyYc19ty2sUEJIT9dU8acwlBYfH2+DXd8pw3+GbqtEyvbeOonohmAmYIQ==" saltValue="2WsmZZRbBGtdCqZDg+IaV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3">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 type="list" allowBlank="1" showInputMessage="1" showErrorMessage="1" sqref="F63" xr:uid="{A88436B0-AADA-4F69-A728-2B365E151102}">
      <formula1>KV_DD_MARZ_63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4</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46113</v>
      </c>
    </row>
    <row r="2" spans="1:28" ht="16" customHeight="1" thickBot="1">
      <c r="A2" s="129"/>
      <c r="B2" s="225"/>
      <c r="C2" s="233"/>
      <c r="D2" s="235"/>
      <c r="E2" s="235"/>
      <c r="F2" s="235"/>
      <c r="G2" s="237"/>
      <c r="H2" s="231"/>
      <c r="I2" s="248"/>
      <c r="J2" s="250"/>
      <c r="K2" s="252"/>
      <c r="L2" s="254"/>
      <c r="M2" s="256"/>
      <c r="N2" s="226"/>
      <c r="AB2" s="41">
        <f>EOMONTH(DATE(LOHNTABELLE!$G$3, $A$1, 1), 0)</f>
        <v>46142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869.79814457057716</v>
      </c>
      <c r="P5" s="49">
        <f>EINSTELLUNG!I9</f>
        <v>4</v>
      </c>
      <c r="Q5" s="48">
        <f>P5-O5</f>
        <v>-865.79814457057716</v>
      </c>
      <c r="R5" s="52">
        <f>IFERROR(Q5*Q42, 0)</f>
        <v>-10360.380935319037</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8961.4</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EINSTELLUNG!L25</f>
        <v>4</v>
      </c>
      <c r="R9" s="227"/>
      <c r="S9" s="53">
        <f>IFERROR(Q9/Q8, 0)</f>
        <v>4.4635882786171803E-4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EINSTELLUNG!I25</f>
        <v>4</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4</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-255</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9204.4</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EINSTELLUNG!L9</f>
        <v>4</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9200.4</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107234.6</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EINSTELLUNG!O9</f>
        <v>4</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EINSTELLUNG!C9</f>
        <v>4</v>
      </c>
      <c r="R35" s="293"/>
      <c r="S35" s="293">
        <f>EINSTELLUNG!C25</f>
        <v>4</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EINSTELLUNG!D9</f>
        <v>4</v>
      </c>
      <c r="R36" s="293"/>
      <c r="S36" s="293" cm="1">
        <f t="array" ref="S36">SumMergedCells(Q17:R29)</f>
        <v>112238.6</v>
      </c>
      <c r="T36" s="293"/>
      <c r="U36" s="294">
        <f t="shared" ref="U36:U41" si="0">S36-Q36</f>
        <v>112234.6</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28059.65</v>
      </c>
      <c r="T37" s="297"/>
      <c r="U37" s="298">
        <f t="shared" si="0"/>
        <v>28058.65</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EINSTELLUNG!F9</f>
        <v>4</v>
      </c>
      <c r="R38" s="291"/>
      <c r="S38" s="291">
        <f>EINSTELLUNG!F25</f>
        <v>4</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4.3457476858893573E-4</v>
      </c>
      <c r="R40" s="293"/>
      <c r="S40" s="293">
        <f>IF(Q13=0, 0, S35/Q13)</f>
        <v>4.3457476858893573E-4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4.3457476858893573E-4</v>
      </c>
      <c r="R41" s="291"/>
      <c r="S41" s="291">
        <f>IF(Q13=0, 0, S38/Q13)</f>
        <v>4.3457476858893573E-4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11.966277590555048</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423</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427</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a1MsFu7ZN/5XPIuMkY/uIi/hbC8Uzq33Ki7fdIkDY9omX3+7CRZU4c0cZdv+N/g87LD57ZnEf39iwFf2DOBPMg==" saltValue="XAP+vqQal9BcU4BpipaU7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1">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5</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46143</v>
      </c>
    </row>
    <row r="2" spans="1:28" ht="16" customHeight="1" thickBot="1">
      <c r="A2" s="129"/>
      <c r="B2" s="225"/>
      <c r="C2" s="233"/>
      <c r="D2" s="235"/>
      <c r="E2" s="235"/>
      <c r="F2" s="235"/>
      <c r="G2" s="237"/>
      <c r="H2" s="231"/>
      <c r="I2" s="248"/>
      <c r="J2" s="250"/>
      <c r="K2" s="252"/>
      <c r="L2" s="254"/>
      <c r="M2" s="256"/>
      <c r="N2" s="226"/>
      <c r="AB2" s="41">
        <f>EOMONTH(DATE(LOHNTABELLE!$G$3, $A$1, 1), 0)</f>
        <v>46173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EINSTELLUNG!I10</f>
        <v>5</v>
      </c>
      <c r="Q5" s="48">
        <f>P5-O5</f>
        <v>-898.18770866157831</v>
      </c>
      <c r="R5" s="52">
        <f>IFERROR(Q5*Q42, 0)</f>
        <v>-10737.704138926354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9336.9699999999993</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EINSTELLUNG!L26</f>
        <v>5</v>
      </c>
      <c r="R9" s="227"/>
      <c r="S9" s="53">
        <f>IFERROR(Q9/Q8, 0)</f>
        <v>5.3550562977068583E-4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EINSTELLUNG!I26</f>
        <v>5</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5</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80</v>
      </c>
      <c r="P12" s="229"/>
      <c r="Q12" s="227">
        <f>Q8-Q9-Q10-Q11</f>
        <v>9321.9699999999993</v>
      </c>
      <c r="R12" s="22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82</v>
      </c>
      <c r="P13" s="229"/>
      <c r="Q13" s="227">
        <f>EINSTELLUNG!L10</f>
        <v>5</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84</v>
      </c>
      <c r="P14" s="229"/>
      <c r="Q14" s="227">
        <f>Q12-Q13</f>
        <v>9316.9699999999993</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tr">
        <f>IF(Q14&lt;0, "Schlecht! Zu wenig Stunden für Dienstplan.", IF(Q14&gt;0, "Du hast mehr als genug Stunden für Dienstplan.", ""))</f>
        <v>Du hast mehr als genug Stunden für Dienstplan.</v>
      </c>
      <c r="P15" s="265"/>
      <c r="Q15" s="265"/>
      <c r="R15" s="265"/>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111622.12580645162</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EINSTELLUNG!O10</f>
        <v>5</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EINSTELLUNG!C10</f>
        <v>5</v>
      </c>
      <c r="R35" s="293"/>
      <c r="S35" s="293">
        <f>EINSTELLUNG!C26</f>
        <v>5</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EINSTELLUNG!D10</f>
        <v>5</v>
      </c>
      <c r="R36" s="293"/>
      <c r="S36" s="293" cm="1">
        <f t="array" ref="S36">SumMergedCells(Q17:R29)</f>
        <v>116627.12579999999</v>
      </c>
      <c r="T36" s="293"/>
      <c r="U36" s="294">
        <f t="shared" ref="U36:U41" si="0">S36-Q36</f>
        <v>116622.12579999999</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23325.425159999999</v>
      </c>
      <c r="T37" s="297"/>
      <c r="U37" s="298">
        <f t="shared" si="0"/>
        <v>23324.425159999999</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EINSTELLUNG!F10</f>
        <v>5</v>
      </c>
      <c r="R38" s="291"/>
      <c r="S38" s="291">
        <f>EINSTELLUNG!F26</f>
        <v>5</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IF(Q12=0, 0, Q35/Q12)</f>
        <v>5.3636731291776315E-4</v>
      </c>
      <c r="R40" s="293"/>
      <c r="S40" s="293">
        <f>IF(Q12=0, 0, S35/Q12)</f>
        <v>5.3636731291776315E-4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IF(Q12=0, 0, Q38/Q12)</f>
        <v>5.3636731291776315E-4</v>
      </c>
      <c r="R41" s="291"/>
      <c r="S41" s="291">
        <f>IF(Q12=0, 0, S38/Q12)</f>
        <v>5.3636731291776315E-4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11.954855355265318</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150.66999999999999</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1760.2258064516127</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423</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427</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DZXh99gOiALwaFtCc8Joa1DvV9bq6sMZ0KZFGi9ZG1LAdj/FkZaGEvtlGkEZgKlRQ2kBmf7X+Q3tUB39ORXrbw==" saltValue="fNM3KHrJnOFym20ipAY9e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6</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46174</v>
      </c>
    </row>
    <row r="2" spans="1:28" ht="16" customHeight="1" thickBot="1">
      <c r="A2" s="129"/>
      <c r="B2" s="225"/>
      <c r="C2" s="233"/>
      <c r="D2" s="235"/>
      <c r="E2" s="235"/>
      <c r="F2" s="235"/>
      <c r="G2" s="237"/>
      <c r="H2" s="231"/>
      <c r="I2" s="248"/>
      <c r="J2" s="250"/>
      <c r="K2" s="252"/>
      <c r="L2" s="254"/>
      <c r="M2" s="256"/>
      <c r="N2" s="226"/>
      <c r="AB2" s="41">
        <f>EOMONTH(DATE(LOHNTABELLE!$G$3, $A$1, 1), 0)</f>
        <v>46203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EINSTELLUNG!I11</f>
        <v>6</v>
      </c>
      <c r="Q5" s="48">
        <f>P5-O5</f>
        <v>-897.18770866157831</v>
      </c>
      <c r="R5" s="52">
        <f>IFERROR(Q5*Q42, 0)</f>
        <v>-10725.157083266111</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9359.2999999999993</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EINSTELLUNG!L27</f>
        <v>6</v>
      </c>
      <c r="R9" s="227"/>
      <c r="S9" s="53">
        <f>IFERROR(Q9/Q8, 0)</f>
        <v>6.410735845629481E-4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EINSTELLUNG!I27</f>
        <v>6</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6</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442</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8899.2999999999993</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EINSTELLUNG!L11</f>
        <v>6</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8893.2999999999993</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111882.90000000001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EINSTELLUNG!O11</f>
        <v>6</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1.6666666666666666E-2</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EINSTELLUNG!C11</f>
        <v>6</v>
      </c>
      <c r="R35" s="293"/>
      <c r="S35" s="293">
        <f>EINSTELLUNG!C27</f>
        <v>6</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EINSTELLUNG!D11</f>
        <v>6</v>
      </c>
      <c r="R36" s="293"/>
      <c r="S36" s="293" cm="1">
        <f t="array" ref="S36">SumMergedCells(Q17:R29)</f>
        <v>116888.9</v>
      </c>
      <c r="T36" s="293"/>
      <c r="U36" s="294">
        <f t="shared" ref="U36:U41" si="0">S36-Q36</f>
        <v>116882.9</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19481.483333333334</v>
      </c>
      <c r="T37" s="297"/>
      <c r="U37" s="298">
        <f t="shared" si="0"/>
        <v>19480.483333333334</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EINSTELLUNG!F11</f>
        <v>6</v>
      </c>
      <c r="R38" s="291"/>
      <c r="S38" s="291">
        <f>EINSTELLUNG!F27</f>
        <v>6</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IF(Q12=0, 0, Q35/Q12)</f>
        <v>1.3574660633484163E-2</v>
      </c>
      <c r="R40" s="293"/>
      <c r="S40" s="293">
        <f>IF(Q12=0, 0, S35/Q12)</f>
        <v>1.3574660633484163E-2</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IF(Q12=0, 0, Q38/Q12)</f>
        <v>1.3574660633484163E-2</v>
      </c>
      <c r="R41" s="291"/>
      <c r="S41" s="291">
        <f>IF(Q12=0, 0, S38/Q12)</f>
        <v>1.3574660633484163E-2</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11.954195292382979</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423</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427</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9PE8rZEE1loQO1o4cF4qnpfybu+0MnTJeOtJGNH5ZjOfOOzqbeOn5GwiI5BL1UJMQ8PFDwOw4Ufq+kPX0A4Cw==" saltValue="ACx9VFar/j6s0Q4Ltfj87g=="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3">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7</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46204</v>
      </c>
    </row>
    <row r="2" spans="1:28" ht="16" customHeight="1" thickBot="1">
      <c r="A2" s="129"/>
      <c r="B2" s="225"/>
      <c r="C2" s="233"/>
      <c r="D2" s="235"/>
      <c r="E2" s="235"/>
      <c r="F2" s="235"/>
      <c r="G2" s="237"/>
      <c r="H2" s="231"/>
      <c r="I2" s="248"/>
      <c r="J2" s="250"/>
      <c r="K2" s="252"/>
      <c r="L2" s="254"/>
      <c r="M2" s="256"/>
      <c r="N2" s="226"/>
      <c r="AB2" s="41">
        <f>EOMONTH(DATE(LOHNTABELLE!$G$3, $A$1, 1), 0)</f>
        <v>46234</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EINSTELLUNG!I12</f>
        <v>7</v>
      </c>
      <c r="Q5" s="48">
        <f>P5-O5</f>
        <v>-896.18770866157831</v>
      </c>
      <c r="R5" s="52">
        <f>IFERROR(Q5*Q42, 0)</f>
        <v>-10713.202887973728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9359.2999999999993</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EINSTELLUNG!L28</f>
        <v>7</v>
      </c>
      <c r="R9" s="227"/>
      <c r="S9" s="53">
        <f>IFERROR(Q9/Q8, 0)</f>
        <v>7.4791918199010614E-4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EINSTELLUNG!I28</f>
        <v>7</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7</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39</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9299.2999999999993</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EINSTELLUNG!L12</f>
        <v>7</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9292.2999999999993</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111882.90000000001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80"/>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EINSTELLUNG!O12</f>
        <v>7</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EINSTELLUNG!C12</f>
        <v>7</v>
      </c>
      <c r="R35" s="293"/>
      <c r="S35" s="293">
        <f>EINSTELLUNG!C28</f>
        <v>7</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EINSTELLUNG!D12</f>
        <v>7</v>
      </c>
      <c r="R36" s="293"/>
      <c r="S36" s="302" cm="1">
        <f t="array" ref="S36">SumMergedCells(Q17:R29)</f>
        <v>116889.9</v>
      </c>
      <c r="T36" s="304"/>
      <c r="U36" s="294">
        <f t="shared" ref="U36:U41" si="0">S36-Q36</f>
        <v>116882.9</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16698.557142857142</v>
      </c>
      <c r="T37" s="297"/>
      <c r="U37" s="298">
        <f t="shared" si="0"/>
        <v>16697.557142857142</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EINSTELLUNG!F12</f>
        <v>7</v>
      </c>
      <c r="R38" s="291"/>
      <c r="S38" s="291">
        <f>EINSTELLUNG!F28</f>
        <v>7</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7.5274483025604085E-4</v>
      </c>
      <c r="R40" s="293"/>
      <c r="S40" s="293">
        <f>IF(Q13=0, 0, S35/Q13)</f>
        <v>7.5274483025604085E-4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7.5274483025604085E-4</v>
      </c>
      <c r="R41" s="291"/>
      <c r="S41" s="291">
        <f>IF(Q13=0, 0, S38/Q13)</f>
        <v>7.5274483025604085E-4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11.954195292382979</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423</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427</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VyxozMn86Fm3mqMJErZ0Q3UA4BsVWUxLAn9nfdPgtZ9m0WxyoK8BHQXgTjsz5CUwn7gPjN6Cjthh5EganC4Bw==" saltValue="+2GQACwtT/vDKEXFcRWns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8</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46235</v>
      </c>
    </row>
    <row r="2" spans="1:28" ht="16" customHeight="1" thickBot="1">
      <c r="A2" s="129"/>
      <c r="B2" s="225"/>
      <c r="C2" s="233"/>
      <c r="D2" s="235"/>
      <c r="E2" s="235"/>
      <c r="F2" s="235"/>
      <c r="G2" s="237"/>
      <c r="H2" s="231"/>
      <c r="I2" s="248"/>
      <c r="J2" s="250"/>
      <c r="K2" s="252"/>
      <c r="L2" s="254"/>
      <c r="M2" s="256"/>
      <c r="N2" s="226"/>
      <c r="AB2" s="41">
        <f>EOMONTH(DATE(LOHNTABELLE!$G$3, $A$1, 1), 0)</f>
        <v>46265</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899.01401315020314</v>
      </c>
      <c r="P5" s="49">
        <f>EINSTELLUNG!I13</f>
        <v>8</v>
      </c>
      <c r="Q5" s="48">
        <f>P5-O5</f>
        <v>-891.01401315020314</v>
      </c>
      <c r="R5" s="52">
        <f>IFERROR(Q5*Q42, 0)</f>
        <v>-10653.65963935324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9271.4</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EINSTELLUNG!L29</f>
        <v>8</v>
      </c>
      <c r="R9" s="227"/>
      <c r="S9" s="53">
        <f>IFERROR(Q9/Q8, 0)</f>
        <v>8.6286860668291737E-4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EINSTELLUNG!I29</f>
        <v>8</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8</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80</v>
      </c>
      <c r="P12" s="229"/>
      <c r="Q12" s="227">
        <f>Q8-Q9-Q10-Q11</f>
        <v>9247.4</v>
      </c>
      <c r="R12" s="22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82</v>
      </c>
      <c r="P13" s="229"/>
      <c r="Q13" s="227">
        <f>EINSTELLUNG!L13</f>
        <v>8</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84</v>
      </c>
      <c r="P14" s="229"/>
      <c r="Q14" s="227">
        <f>Q12-Q13</f>
        <v>9239.4</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tr">
        <f>IF(Q14&lt;0, "Schlecht! Zu wenig Stunden für Dienstplan.", IF(Q14&gt;0, "Du hast mehr als genug Stunden für Dienstplan.", ""))</f>
        <v>Du hast mehr als genug Stunden für Dienstplan.</v>
      </c>
      <c r="P15" s="265"/>
      <c r="Q15" s="265"/>
      <c r="R15" s="265"/>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110856.10161290324</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EINSTELLUNG!O13</f>
        <v>8</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1.8518518518518517E-2</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EINSTELLUNG!C13</f>
        <v>8</v>
      </c>
      <c r="R35" s="293"/>
      <c r="S35" s="293">
        <f>EINSTELLUNG!C29</f>
        <v>8</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EINSTELLUNG!D13</f>
        <v>8</v>
      </c>
      <c r="R36" s="293"/>
      <c r="S36" s="302" cm="1">
        <f t="array" ref="S36">SumMergedCells(Q17:R29)</f>
        <v>115864.10159999999</v>
      </c>
      <c r="T36" s="304"/>
      <c r="U36" s="294">
        <f t="shared" ref="U36:U41" si="0">S36-Q36</f>
        <v>115856.10159999999</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341">
        <f>IF(ISERROR(S36/S35), 0, S36/S35)</f>
        <v>14483.012699999999</v>
      </c>
      <c r="T37" s="342"/>
      <c r="U37" s="298">
        <f t="shared" si="0"/>
        <v>14482.012699999999</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EINSTELLUNG!F13</f>
        <v>8</v>
      </c>
      <c r="R38" s="291"/>
      <c r="S38" s="291">
        <f>EINSTELLUNG!F29</f>
        <v>8</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IF(Q12=0, 0, Q35/Q12)</f>
        <v>8.6510803036529194E-4</v>
      </c>
      <c r="R40" s="293"/>
      <c r="S40" s="293">
        <f>IF(Q12=0, 0, S35/Q12)</f>
        <v>8.6510803036529194E-4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IF(Q12=0, 0, Q38/Q12)</f>
        <v>8.6510803036529194E-4</v>
      </c>
      <c r="R41" s="291"/>
      <c r="S41" s="291">
        <f>IF(Q12=0, 0, S38/Q12)</f>
        <v>8.6510803036529194E-4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11.956781242628216</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423</v>
      </c>
      <c r="D63" s="193">
        <v>46054</v>
      </c>
      <c r="E63" s="134" t="s">
        <v>4</v>
      </c>
      <c r="F63" s="136">
        <v>129.75</v>
      </c>
      <c r="G63" s="185">
        <v>1515.75</v>
      </c>
      <c r="H63" s="158">
        <f>IF(AND(ISNUMBER(D63), ISNUMBER(F63)),
    ROUNDDOWN(
        MIN(
            IF(OR(ISBLANK(I63), I63=""),
                EOMONTH(DATE(LOHNTABELLE!$G$3, $A$1, 1), 0), I63)
            - MAX(D63, DATE(LOHNTABELLE!$G$3, $A$1, 1)) + 1)
        / DAY(EOMONTH(DATE(LOHNTABELLE!$G$3, $A$1, 1), 0)) * F63,
        2
    ),
    ""
)</f>
        <v>129.75</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1515.75</v>
      </c>
      <c r="M63" s="164"/>
      <c r="N63" s="147"/>
    </row>
    <row r="64" spans="1:14" ht="16" customHeight="1">
      <c r="A64" s="130" t="s">
        <v>150</v>
      </c>
      <c r="B64" s="170">
        <v>800000</v>
      </c>
      <c r="C64" s="137" t="s">
        <v>427</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WAKUe4zuv3tPfcfUTXV0xOCKNI7cYdNbWeEgEteH5G6/9g96jXfYiiTU2QLtgObxUFNGQVjTpGqCPbxJm+JQ==" saltValue="4dxUs6GLbxCfLgrjKcrgW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3">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9</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46266</v>
      </c>
    </row>
    <row r="2" spans="1:28" ht="16" customHeight="1" thickBot="1">
      <c r="A2" s="129"/>
      <c r="B2" s="225"/>
      <c r="C2" s="233"/>
      <c r="D2" s="235"/>
      <c r="E2" s="235"/>
      <c r="F2" s="235"/>
      <c r="G2" s="237"/>
      <c r="H2" s="231"/>
      <c r="I2" s="248"/>
      <c r="J2" s="250"/>
      <c r="K2" s="252"/>
      <c r="L2" s="254"/>
      <c r="M2" s="256"/>
      <c r="N2" s="226"/>
      <c r="AB2" s="41">
        <f>EOMONTH(DATE(LOHNTABELLE!$G$3, $A$1, 1), 0)</f>
        <v>46295</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EINSTELLUNG!I14</f>
        <v>9</v>
      </c>
      <c r="Q5" s="48">
        <f>P5-O5</f>
        <v>-881.66662212745291</v>
      </c>
      <c r="R5" s="52">
        <f>IFERROR(Q5*Q42, 0)</f>
        <v>-10542.987722514525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9229.5499999999993</v>
      </c>
      <c r="R8" s="22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EINSTELLUNG!L30</f>
        <v>9</v>
      </c>
      <c r="R9" s="227"/>
      <c r="S9" s="53">
        <f>IFERROR(Q9/Q8, 0)</f>
        <v>9.751287982621039E-4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EINSTELLUNG!I30</f>
        <v>9</v>
      </c>
      <c r="R10" s="22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9</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167</v>
      </c>
      <c r="R12" s="338"/>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9035.5499999999993</v>
      </c>
      <c r="R13" s="22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EINSTELLUNG!L14</f>
        <v>9</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9026.5499999999993</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110367.15000000001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68"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EINSTELLUNG!O14</f>
        <v>9</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EINSTELLUNG!C14</f>
        <v>9</v>
      </c>
      <c r="R35" s="293"/>
      <c r="S35" s="293">
        <f>EINSTELLUNG!C30</f>
        <v>9</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EINSTELLUNG!D14</f>
        <v>9</v>
      </c>
      <c r="R36" s="293"/>
      <c r="S36" s="302" cm="1">
        <f t="array" ref="S36">SumMergedCells(Q17:R29)</f>
        <v>115376.15</v>
      </c>
      <c r="T36" s="304"/>
      <c r="U36" s="294">
        <f t="shared" ref="U36:U41" si="0">S36-Q36</f>
        <v>115367.15</v>
      </c>
      <c r="V36" s="29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12819.572222222221</v>
      </c>
      <c r="T37" s="297"/>
      <c r="U37" s="298">
        <f t="shared" si="0"/>
        <v>12818.572222222221</v>
      </c>
      <c r="V37" s="298"/>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EINSTELLUNG!F14</f>
        <v>9</v>
      </c>
      <c r="R38" s="291"/>
      <c r="S38" s="291">
        <f>EINSTELLUNG!F30</f>
        <v>9</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9.9606554111260522E-4</v>
      </c>
      <c r="R40" s="293"/>
      <c r="S40" s="293">
        <f>IF(Q13=0, 0, S35/Q13)</f>
        <v>9.9606554111260522E-4</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9.9606554111260522E-4</v>
      </c>
      <c r="R41" s="291"/>
      <c r="S41" s="291">
        <f>IF(Q13=0, 0, S38/Q13)</f>
        <v>9.9606554111260522E-4</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11.958020705234818</v>
      </c>
      <c r="R42" s="303"/>
      <c r="S42" s="303"/>
      <c r="T42" s="303"/>
      <c r="U42" s="303"/>
      <c r="V42" s="304"/>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423</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427</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dbF1kXMkJIWNWs712NFcUVc/jHK5N98RuxD7JegVQCCvn7DJEjbJ/UMhr8vYOENDH43pbY8PfVDQF7DI9lvhQ==" saltValue="MYSt5DD4AnnrGjy5l1XQk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10</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46296</v>
      </c>
    </row>
    <row r="2" spans="1:28" ht="16" customHeight="1" thickBot="1">
      <c r="A2" s="129"/>
      <c r="B2" s="225"/>
      <c r="C2" s="233"/>
      <c r="D2" s="235"/>
      <c r="E2" s="235"/>
      <c r="F2" s="235"/>
      <c r="G2" s="237"/>
      <c r="H2" s="231"/>
      <c r="I2" s="248"/>
      <c r="J2" s="250"/>
      <c r="K2" s="252"/>
      <c r="L2" s="254"/>
      <c r="M2" s="256"/>
      <c r="N2" s="226"/>
      <c r="AB2" s="41">
        <f>EOMONTH(DATE(LOHNTABELLE!$G$3, $A$1, 1), 0)</f>
        <v>46326</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EINSTELLUNG!I15</f>
        <v>10</v>
      </c>
      <c r="Q5" s="48">
        <f>P5-O5</f>
        <v>-880.66662212745291</v>
      </c>
      <c r="R5" s="52">
        <f>IFERROR(Q5*Q42, 0)</f>
        <v>-10531.02970180929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9229.5499999999993</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EINSTELLUNG!L31</f>
        <v>10</v>
      </c>
      <c r="R9" s="227"/>
      <c r="S9" s="53">
        <f>IFERROR(Q9/Q8, 0)</f>
        <v>1.0834764425134487E-3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EINSTELLUNG!I31</f>
        <v>10</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10</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-121</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9320.5499999999993</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EINSTELLUNG!L15</f>
        <v>10</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9310.5499999999993</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110367.15000000001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EINSTELLUNG!O15</f>
        <v>10</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EINSTELLUNG!C15</f>
        <v>10</v>
      </c>
      <c r="R35" s="293"/>
      <c r="S35" s="293">
        <f>EINSTELLUNG!C31</f>
        <v>10</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EINSTELLUNG!D15</f>
        <v>10</v>
      </c>
      <c r="R36" s="293"/>
      <c r="S36" s="302" cm="1">
        <f t="array" ref="S36">SumMergedCells(Q17:R29)</f>
        <v>115377.15</v>
      </c>
      <c r="T36" s="304"/>
      <c r="U36" s="294">
        <f t="shared" ref="U36:U41" si="0">S36-Q36</f>
        <v>115367.15</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11537.715</v>
      </c>
      <c r="T37" s="297"/>
      <c r="U37" s="298">
        <f t="shared" si="0"/>
        <v>11536.715</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EINSTELLUNG!F15</f>
        <v>10</v>
      </c>
      <c r="R38" s="291"/>
      <c r="S38" s="291">
        <f>EINSTELLUNG!F31</f>
        <v>10</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1.0728980585909631E-3</v>
      </c>
      <c r="R40" s="293"/>
      <c r="S40" s="293">
        <f>IF(Q13=0, 0, S35/Q13)</f>
        <v>1.0728980585909631E-3</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1.0728980585909631E-3</v>
      </c>
      <c r="R41" s="291"/>
      <c r="S41" s="291">
        <f>IF(Q13=0, 0, S38/Q13)</f>
        <v>1.0728980585909631E-3</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11.958020705234818</v>
      </c>
      <c r="R42" s="303"/>
      <c r="S42" s="303"/>
      <c r="T42" s="303"/>
      <c r="U42" s="303"/>
      <c r="V42" s="304"/>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423</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427</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kRy8DmtioXdF2t2Z5/ILlAytb/ornU80NLScJvMdwvzYo2atR7+ErLk4plz9Qe+VINdQYX5uvWaeFXE4xTdCtQ==" saltValue="n09JGT89M5uVZSJk9T8Q8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11</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46327</v>
      </c>
    </row>
    <row r="2" spans="1:28" ht="16" customHeight="1" thickBot="1">
      <c r="A2" s="129"/>
      <c r="B2" s="225"/>
      <c r="C2" s="233"/>
      <c r="D2" s="235"/>
      <c r="E2" s="235"/>
      <c r="F2" s="235"/>
      <c r="G2" s="237"/>
      <c r="H2" s="231"/>
      <c r="I2" s="248"/>
      <c r="J2" s="250"/>
      <c r="K2" s="252"/>
      <c r="L2" s="254"/>
      <c r="M2" s="256"/>
      <c r="N2" s="226"/>
      <c r="AB2" s="41">
        <f>EOMONTH(DATE(LOHNTABELLE!$G$3, $A$1, 1), 0)</f>
        <v>46356</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892.75395239129205</v>
      </c>
      <c r="P5" s="49">
        <f>EINSTELLUNG!I16</f>
        <v>11</v>
      </c>
      <c r="Q5" s="48">
        <f>P5-O5</f>
        <v>-881.75395239129205</v>
      </c>
      <c r="R5" s="52">
        <f>IFERROR(Q5*Q42, 0)</f>
        <v>-10543.458048341425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9251.1799999999985</v>
      </c>
      <c r="R8" s="22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EINSTELLUNG!L32</f>
        <v>11</v>
      </c>
      <c r="R9" s="227"/>
      <c r="S9" s="53">
        <f>IFERROR(Q9/Q8, 0)</f>
        <v>1.18903750656673E-3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EINSTELLUNG!I32</f>
        <v>11</v>
      </c>
      <c r="R10" s="22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11</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80</v>
      </c>
      <c r="P12" s="229"/>
      <c r="Q12" s="227">
        <f>Q8-Q9-Q10-Q11</f>
        <v>9218.1799999999985</v>
      </c>
      <c r="R12" s="227"/>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82</v>
      </c>
      <c r="P13" s="229"/>
      <c r="Q13" s="227">
        <f>EINSTELLUNG!L16</f>
        <v>11</v>
      </c>
      <c r="R13" s="22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84</v>
      </c>
      <c r="P14" s="229"/>
      <c r="Q14" s="227">
        <f>Q12-Q13</f>
        <v>9207.1799999999985</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tr">
        <f>IF(Q14&lt;0, "Schlecht! Zu wenig Stunden für Dienstplan.", IF(Q14&gt;0, "Du hast mehr als genug Stunden für Dienstplan.", ""))</f>
        <v>Du hast mehr als genug Stunden für Dienstplan.</v>
      </c>
      <c r="P15" s="265"/>
      <c r="Q15" s="265"/>
      <c r="R15" s="265"/>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110619.78000000001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c r="S27" s="295" t="s">
        <v>99</v>
      </c>
      <c r="T27" s="296"/>
      <c r="U27" s="296"/>
      <c r="V27" s="296"/>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85"/>
      <c r="R28" s="286"/>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288"/>
      <c r="Q29" s="289">
        <f>EINSTELLUNG!O16</f>
        <v>11</v>
      </c>
      <c r="R29" s="290"/>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EINSTELLUNG!C16</f>
        <v>11</v>
      </c>
      <c r="R35" s="293"/>
      <c r="S35" s="293">
        <f>EINSTELLUNG!C32</f>
        <v>11</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EINSTELLUNG!D16</f>
        <v>11</v>
      </c>
      <c r="R36" s="293"/>
      <c r="S36" s="302" cm="1">
        <f t="array" ref="S36">SumMergedCells(Q17:R29)</f>
        <v>115630.78</v>
      </c>
      <c r="T36" s="304"/>
      <c r="U36" s="294">
        <f t="shared" ref="U36:U41" si="0">S36-Q36</f>
        <v>115619.78</v>
      </c>
      <c r="V36" s="29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10511.889090909091</v>
      </c>
      <c r="T37" s="297"/>
      <c r="U37" s="298">
        <f t="shared" si="0"/>
        <v>10510.889090909091</v>
      </c>
      <c r="V37" s="298"/>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EINSTELLUNG!F16</f>
        <v>11</v>
      </c>
      <c r="R38" s="291"/>
      <c r="S38" s="291">
        <f>EINSTELLUNG!F32</f>
        <v>11</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IF(Q12=0, 0, Q35/Q12)</f>
        <v>1.1932941209653102E-3</v>
      </c>
      <c r="R40" s="293"/>
      <c r="S40" s="293">
        <f>IF(Q12=0, 0, S35/Q12)</f>
        <v>1.1932941209653102E-3</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IF(Q12=0, 0, Q38/Q12)</f>
        <v>1.1932941209653102E-3</v>
      </c>
      <c r="R41" s="291"/>
      <c r="S41" s="291">
        <f>IF(Q12=0, 0, S38/Q12)</f>
        <v>1.1932941209653102E-3</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11.957369762560022</v>
      </c>
      <c r="R42" s="303"/>
      <c r="S42" s="303"/>
      <c r="T42" s="303"/>
      <c r="U42" s="303"/>
      <c r="V42" s="304"/>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423</v>
      </c>
      <c r="D62" s="193">
        <v>46054</v>
      </c>
      <c r="E62" s="134" t="s">
        <v>4</v>
      </c>
      <c r="F62" s="136">
        <v>151.38</v>
      </c>
      <c r="G62" s="185">
        <v>1768.38</v>
      </c>
      <c r="H62" s="158">
        <f>IF(AND(ISNUMBER(D62), ISNUMBER(F62)),
    ROUNDDOWN(
        MIN(
            IF(OR(ISBLANK(I62), I62=""),
                EOMONTH(DATE(LOHNTABELLE!$G$3, $A$1, 1), 0), I62)
            - MAX(D62, DATE(LOHNTABELLE!$G$3, $A$1, 1)) + 1)
        / DAY(EOMONTH(DATE(LOHNTABELLE!$G$3, $A$1, 1), 0)) * F62,
        2
    ),
    ""
)</f>
        <v>151.38</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1768.38</v>
      </c>
      <c r="M62" s="164"/>
      <c r="N62" s="147"/>
    </row>
    <row r="63" spans="1:14" ht="16" customHeight="1">
      <c r="A63" s="130" t="s">
        <v>149</v>
      </c>
      <c r="B63" s="170">
        <v>800000</v>
      </c>
      <c r="C63" s="137" t="s">
        <v>427</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qQM99zYf3ZtUvpNHDZkp0zSGE+QaYjpwTQEWVezLTzk7vRof3OFlQj8DMu3856rdzhyxbZRD0ushon97Icqtfg==" saltValue="snG9GKkAsuwngGRVYS3r/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12</v>
      </c>
      <c r="B1" s="225" t="s">
        <v>205</v>
      </c>
      <c r="C1" s="232" t="s">
        <v>52</v>
      </c>
      <c r="D1" s="234" t="s">
        <v>206</v>
      </c>
      <c r="E1" s="234" t="s">
        <v>0</v>
      </c>
      <c r="F1" s="234" t="s">
        <v>53</v>
      </c>
      <c r="G1" s="236" t="s">
        <v>54</v>
      </c>
      <c r="H1" s="230" t="s">
        <v>55</v>
      </c>
      <c r="I1" s="247" t="s">
        <v>207</v>
      </c>
      <c r="J1" s="249" t="s">
        <v>56</v>
      </c>
      <c r="K1" s="251" t="s">
        <v>57</v>
      </c>
      <c r="L1" s="253" t="s">
        <v>58</v>
      </c>
      <c r="M1" s="255" t="s">
        <v>59</v>
      </c>
      <c r="N1" s="226" t="s">
        <v>208</v>
      </c>
      <c r="AB1" s="41">
        <f>DATE(LOHNTABELLE!$G$3, $A$1, 1)</f>
        <v>46357</v>
      </c>
    </row>
    <row r="2" spans="1:28" ht="16" customHeight="1" thickBot="1">
      <c r="A2" s="129"/>
      <c r="B2" s="225"/>
      <c r="C2" s="233"/>
      <c r="D2" s="235"/>
      <c r="E2" s="235"/>
      <c r="F2" s="235"/>
      <c r="G2" s="237"/>
      <c r="H2" s="231"/>
      <c r="I2" s="248"/>
      <c r="J2" s="250"/>
      <c r="K2" s="252"/>
      <c r="L2" s="254"/>
      <c r="M2" s="256"/>
      <c r="N2" s="226"/>
      <c r="AB2" s="41">
        <f>EOMONTH(DATE(LOHNTABELLE!$G$3, $A$1, 1), 0)</f>
        <v>46387</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7" t="s">
        <v>61</v>
      </c>
      <c r="P3" s="257" t="s">
        <v>62</v>
      </c>
      <c r="Q3" s="238" t="s">
        <v>63</v>
      </c>
      <c r="R3" s="24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8"/>
      <c r="P4" s="258"/>
      <c r="Q4" s="239"/>
      <c r="R4" s="24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892.75395239129205</v>
      </c>
      <c r="P5" s="49">
        <f>EINSTELLUNG!I17</f>
        <v>12</v>
      </c>
      <c r="Q5" s="48">
        <f>P5-O5</f>
        <v>-880.75395239129205</v>
      </c>
      <c r="R5" s="52">
        <f>IFERROR(Q5*Q42, 0)</f>
        <v>-10531.500678578865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3"/>
      <c r="Q6" s="243"/>
      <c r="R6" s="244"/>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8" t="s">
        <v>70</v>
      </c>
      <c r="P8" s="229"/>
      <c r="Q8" s="227">
        <f>SUM(H3:H82)</f>
        <v>9251.1799999999985</v>
      </c>
      <c r="R8" s="22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8" t="s">
        <v>72</v>
      </c>
      <c r="P9" s="229"/>
      <c r="Q9" s="227">
        <f>EINSTELLUNG!L33</f>
        <v>12</v>
      </c>
      <c r="R9" s="227"/>
      <c r="S9" s="53">
        <f>IFERROR(Q9/Q8, 0)</f>
        <v>1.2971318253455237E-3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28" t="s">
        <v>74</v>
      </c>
      <c r="P10" s="229"/>
      <c r="Q10" s="227">
        <f>EINSTELLUNG!I33</f>
        <v>12</v>
      </c>
      <c r="R10" s="22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8" t="s">
        <v>76</v>
      </c>
      <c r="P11" s="229"/>
      <c r="Q11" s="227">
        <f>P5</f>
        <v>12</v>
      </c>
      <c r="R11" s="22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8" t="s">
        <v>78</v>
      </c>
      <c r="P12" s="229"/>
      <c r="Q12" s="338">
        <v>-303</v>
      </c>
      <c r="R12" s="338"/>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8" t="s">
        <v>80</v>
      </c>
      <c r="P13" s="229"/>
      <c r="Q13" s="227">
        <f>Q8-Q9-Q10-Q11-Q12</f>
        <v>9518.1799999999985</v>
      </c>
      <c r="R13" s="22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8" t="s">
        <v>82</v>
      </c>
      <c r="P14" s="229"/>
      <c r="Q14" s="227">
        <f>EINSTELLUNG!L17</f>
        <v>12</v>
      </c>
      <c r="R14" s="22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28" t="s">
        <v>84</v>
      </c>
      <c r="P15" s="229"/>
      <c r="Q15" s="227">
        <f>Q13-Q14</f>
        <v>9506.1799999999985</v>
      </c>
      <c r="R15" s="22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39" t="str">
        <f>IF(Q15&lt;0, "Schlecht! Zu wenig Stunden für Dienstplan.", IF(Q15&gt;0, "Du hast mehr als genug Stunden für Dienstplan.", ""))</f>
        <v>Du hast mehr als genug Stunden für Dienstplan.</v>
      </c>
      <c r="P16" s="339"/>
      <c r="Q16" s="339"/>
      <c r="R16" s="339"/>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6" t="s">
        <v>87</v>
      </c>
      <c r="P17" s="267"/>
      <c r="Q17" s="268">
        <f>SUM(L3:L82)</f>
        <v>110619.78000000001</v>
      </c>
      <c r="R17" s="268"/>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9"/>
      <c r="P18" s="260"/>
      <c r="Q18" s="263"/>
      <c r="R18" s="26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9"/>
      <c r="P19" s="260"/>
      <c r="Q19" s="263"/>
      <c r="R19" s="264"/>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9"/>
      <c r="P20" s="260"/>
      <c r="Q20" s="263"/>
      <c r="R20" s="26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9" t="s">
        <v>357</v>
      </c>
      <c r="P21" s="260"/>
      <c r="Q21" s="263">
        <v>5000</v>
      </c>
      <c r="R21" s="26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9"/>
      <c r="P22" s="260"/>
      <c r="Q22" s="263"/>
      <c r="R22" s="26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9"/>
      <c r="P23" s="260"/>
      <c r="Q23" s="263"/>
      <c r="R23" s="26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9"/>
      <c r="P24" s="260"/>
      <c r="Q24" s="263"/>
      <c r="R24" s="26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76"/>
      <c r="P25" s="277"/>
      <c r="Q25" s="278"/>
      <c r="R25" s="279"/>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0"/>
      <c r="P26" s="281"/>
      <c r="Q26" s="282"/>
      <c r="R26" s="283"/>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00"/>
      <c r="P27" s="301"/>
      <c r="Q27" s="264"/>
      <c r="R27" s="284"/>
    </row>
    <row r="28" spans="1:29" ht="16" customHeigh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00"/>
      <c r="P28" s="301"/>
      <c r="Q28" s="264"/>
      <c r="R28" s="28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78" t="s">
        <v>102</v>
      </c>
      <c r="P29" s="379"/>
      <c r="Q29" s="380">
        <f>EINSTELLUNG!O17</f>
        <v>12</v>
      </c>
      <c r="R29" s="38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270"/>
      <c r="Q31" s="271">
        <v>0</v>
      </c>
      <c r="R31" s="272"/>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3"/>
      <c r="P33" s="274"/>
      <c r="Q33" s="275" t="str">
        <f>EINSTELLUNG!B3</f>
        <v>Budget Zahlen</v>
      </c>
      <c r="R33" s="275"/>
      <c r="S33" s="299" t="str">
        <f>EINSTELLUNG!B19</f>
        <v>Projection/Aktuell Zahlen</v>
      </c>
      <c r="T33" s="299"/>
      <c r="U33" s="299" t="s">
        <v>110</v>
      </c>
      <c r="V33" s="299"/>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5"/>
      <c r="R34" s="275"/>
      <c r="S34" s="299"/>
      <c r="T34" s="299"/>
      <c r="U34" s="299"/>
      <c r="V34" s="299"/>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5" t="s">
        <v>113</v>
      </c>
      <c r="P35" s="246"/>
      <c r="Q35" s="293">
        <f>EINSTELLUNG!C17</f>
        <v>12</v>
      </c>
      <c r="R35" s="293"/>
      <c r="S35" s="293">
        <f>EINSTELLUNG!C33</f>
        <v>12</v>
      </c>
      <c r="T35" s="293"/>
      <c r="U35" s="294">
        <f>S35-Q35</f>
        <v>0</v>
      </c>
      <c r="V35" s="29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5" t="s">
        <v>115</v>
      </c>
      <c r="P36" s="246"/>
      <c r="Q36" s="293">
        <f>EINSTELLUNG!D17</f>
        <v>12</v>
      </c>
      <c r="R36" s="293"/>
      <c r="S36" s="302" cm="1">
        <f t="array" ref="S36">SumMergedCells(Q17:R29)</f>
        <v>115631.78</v>
      </c>
      <c r="T36" s="304"/>
      <c r="U36" s="294">
        <f t="shared" ref="U36:U41" si="0">S36-Q36</f>
        <v>115619.78</v>
      </c>
      <c r="V36" s="29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5" t="s">
        <v>117</v>
      </c>
      <c r="P37" s="246"/>
      <c r="Q37" s="297">
        <f>IF(ISERROR(Q36/Q35), 0, Q36/Q35)</f>
        <v>1</v>
      </c>
      <c r="R37" s="297"/>
      <c r="S37" s="297">
        <f>IF(ISERROR(S36/S35), 0, S36/S35)</f>
        <v>9635.9816666666666</v>
      </c>
      <c r="T37" s="297"/>
      <c r="U37" s="298">
        <f t="shared" si="0"/>
        <v>9634.9816666666666</v>
      </c>
      <c r="V37" s="298"/>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5" t="s">
        <v>119</v>
      </c>
      <c r="P38" s="246"/>
      <c r="Q38" s="291">
        <f>EINSTELLUNG!F17</f>
        <v>12</v>
      </c>
      <c r="R38" s="291"/>
      <c r="S38" s="291">
        <f>EINSTELLUNG!F33</f>
        <v>12</v>
      </c>
      <c r="T38" s="291"/>
      <c r="U38" s="292">
        <f t="shared" si="0"/>
        <v>0</v>
      </c>
      <c r="V38" s="292"/>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5" t="s">
        <v>121</v>
      </c>
      <c r="P39" s="246"/>
      <c r="Q39" s="293">
        <f>IF(Q38=0, 0, Q35/Q38)</f>
        <v>1</v>
      </c>
      <c r="R39" s="293"/>
      <c r="S39" s="293">
        <f>IF(S38=0, 0, S35/S38)</f>
        <v>1</v>
      </c>
      <c r="T39" s="293"/>
      <c r="U39" s="294">
        <f t="shared" si="0"/>
        <v>0</v>
      </c>
      <c r="V39" s="29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5" t="s">
        <v>123</v>
      </c>
      <c r="P40" s="246"/>
      <c r="Q40" s="293">
        <f>IF(Q13=0, 0, Q35/Q13)</f>
        <v>1.2607452265033863E-3</v>
      </c>
      <c r="R40" s="293"/>
      <c r="S40" s="293">
        <f>IF(Q13=0, 0, S35/Q13)</f>
        <v>1.2607452265033863E-3</v>
      </c>
      <c r="T40" s="293"/>
      <c r="U40" s="294">
        <f t="shared" si="0"/>
        <v>0</v>
      </c>
      <c r="V40" s="29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5" t="s">
        <v>125</v>
      </c>
      <c r="P41" s="246"/>
      <c r="Q41" s="291">
        <f>IF(Q13=0, 0, Q38/Q13)</f>
        <v>1.2607452265033863E-3</v>
      </c>
      <c r="R41" s="291"/>
      <c r="S41" s="291">
        <f>IF(Q13=0, 0, S38/Q13)</f>
        <v>1.2607452265033863E-3</v>
      </c>
      <c r="T41" s="291"/>
      <c r="U41" s="292">
        <f t="shared" si="0"/>
        <v>0</v>
      </c>
      <c r="V41" s="292"/>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5" t="s">
        <v>127</v>
      </c>
      <c r="P42" s="246"/>
      <c r="Q42" s="302">
        <f>IFERROR(Q17/Q8, 0)</f>
        <v>11.957369762560022</v>
      </c>
      <c r="R42" s="303"/>
      <c r="S42" s="303"/>
      <c r="T42" s="303"/>
      <c r="U42" s="303"/>
      <c r="V42" s="304"/>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423</v>
      </c>
      <c r="D62" s="193">
        <v>46054</v>
      </c>
      <c r="E62" s="134" t="s">
        <v>4</v>
      </c>
      <c r="F62" s="136">
        <v>151.38</v>
      </c>
      <c r="G62" s="185">
        <v>1768.38</v>
      </c>
      <c r="H62" s="158">
        <f>IF(AND(ISNUMBER(D62), ISNUMBER(F62)),
    ROUNDDOWN(
        MIN(
            IF(OR(ISBLANK(I62), I62=""),
                EOMONTH(DATE(LOHNTABELLE!$G$3, $A$1, 1), 0), I62)
            - MAX(D62, DATE(LOHNTABELLE!$G$3, $A$1, 1)) + 1)
        / DAY(EOMONTH(DATE(LOHNTABELLE!$G$3, $A$1, 1), 0)) * F62,
        2
    ),
    ""
)</f>
        <v>151.38</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1768.38</v>
      </c>
      <c r="M62" s="164"/>
      <c r="N62" s="147"/>
    </row>
    <row r="63" spans="1:14" ht="16" customHeight="1">
      <c r="A63" s="130" t="s">
        <v>149</v>
      </c>
      <c r="B63" s="170">
        <v>800000</v>
      </c>
      <c r="C63" s="137" t="s">
        <v>427</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SlBM034tWSjaYAtvvV7kNhEwZYQHDFmYK7okccUSR+CI2A3/fa63xl7WH/r+IdsOcK4lcoQRDQaWtRqR2JBj5g==" saltValue="XT+p9YEvpePDj0mtbjmr1g=="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2">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453125" defaultRowHeight="14"/>
  <cols>
    <col min="1" max="1" width="4.453125" style="1" customWidth="1"/>
    <col min="2" max="2" width="11.453125" style="1"/>
    <col min="3" max="3" width="17.6328125" style="1" customWidth="1"/>
    <col min="4" max="4" width="17.36328125" style="1" customWidth="1"/>
    <col min="5" max="5" width="14.81640625" style="1" customWidth="1"/>
    <col min="6" max="6" width="17.81640625" style="1" customWidth="1"/>
    <col min="7" max="7" width="19.36328125" style="1" customWidth="1"/>
    <col min="8" max="8" width="15.36328125" style="1" customWidth="1"/>
    <col min="9" max="10" width="15.6328125" style="1" customWidth="1"/>
    <col min="11" max="11" width="14" style="1" customWidth="1"/>
    <col min="12" max="13" width="20.6328125" style="1" customWidth="1"/>
    <col min="14" max="15" width="15.6328125" style="1" customWidth="1"/>
    <col min="16" max="16" width="11.6328125" style="1" customWidth="1"/>
    <col min="17" max="17" width="20.6328125" style="1" customWidth="1"/>
    <col min="18" max="16384" width="11.453125" style="1"/>
  </cols>
  <sheetData>
    <row r="2" spans="2:18" ht="15.75" customHeight="1">
      <c r="B2" s="383" t="str">
        <f>"FINANZIELL ÜBERSICHT "&amp;LOHNTABELLE!G3</f>
        <v>FINANZIELL ÜBERSICHT 2026</v>
      </c>
      <c r="C2" s="383"/>
      <c r="D2" s="383"/>
      <c r="E2" s="383"/>
      <c r="F2" s="383"/>
      <c r="G2" s="383"/>
      <c r="H2" s="383"/>
      <c r="I2" s="383"/>
      <c r="J2" s="383"/>
      <c r="K2" s="383"/>
      <c r="L2" s="383"/>
      <c r="M2" s="383"/>
      <c r="N2" s="383"/>
      <c r="O2" s="383"/>
      <c r="P2" s="383"/>
      <c r="Q2" s="383"/>
      <c r="R2" s="2"/>
    </row>
    <row r="3" spans="2:18" ht="15.75" customHeight="1">
      <c r="B3" s="383"/>
      <c r="C3" s="383"/>
      <c r="D3" s="383"/>
      <c r="E3" s="383"/>
      <c r="F3" s="383"/>
      <c r="G3" s="383"/>
      <c r="H3" s="383"/>
      <c r="I3" s="383"/>
      <c r="J3" s="383"/>
      <c r="K3" s="383"/>
      <c r="L3" s="383"/>
      <c r="M3" s="383"/>
      <c r="N3" s="383"/>
      <c r="O3" s="383"/>
      <c r="P3" s="383"/>
      <c r="Q3" s="383"/>
      <c r="R3" s="2"/>
    </row>
    <row r="4" spans="2:18" ht="30" customHeight="1">
      <c r="B4" s="385"/>
      <c r="C4" s="384" t="s">
        <v>30</v>
      </c>
      <c r="D4" s="384"/>
      <c r="E4" s="384"/>
      <c r="F4" s="384" t="s">
        <v>176</v>
      </c>
      <c r="G4" s="384"/>
      <c r="H4" s="384"/>
      <c r="I4" s="384" t="s">
        <v>177</v>
      </c>
      <c r="J4" s="384"/>
      <c r="K4" s="384"/>
      <c r="L4" s="384" t="s">
        <v>178</v>
      </c>
      <c r="M4" s="384" t="s">
        <v>179</v>
      </c>
      <c r="N4" s="386" t="s">
        <v>180</v>
      </c>
      <c r="O4" s="386"/>
      <c r="P4" s="386"/>
      <c r="Q4" s="386" t="s">
        <v>105</v>
      </c>
    </row>
    <row r="5" spans="2:18" ht="30" customHeight="1">
      <c r="B5" s="385"/>
      <c r="C5" s="384"/>
      <c r="D5" s="384"/>
      <c r="E5" s="384"/>
      <c r="F5" s="384"/>
      <c r="G5" s="384"/>
      <c r="H5" s="384"/>
      <c r="I5" s="384"/>
      <c r="J5" s="384"/>
      <c r="K5" s="384"/>
      <c r="L5" s="384"/>
      <c r="M5" s="384"/>
      <c r="N5" s="386"/>
      <c r="O5" s="386"/>
      <c r="P5" s="386"/>
      <c r="Q5" s="386"/>
    </row>
    <row r="6" spans="2:18" ht="30" customHeight="1">
      <c r="B6" s="385"/>
      <c r="C6" s="60" t="s">
        <v>181</v>
      </c>
      <c r="D6" s="60" t="s">
        <v>182</v>
      </c>
      <c r="E6" s="61" t="s">
        <v>183</v>
      </c>
      <c r="F6" s="60" t="s">
        <v>181</v>
      </c>
      <c r="G6" s="60" t="s">
        <v>182</v>
      </c>
      <c r="H6" s="61" t="s">
        <v>183</v>
      </c>
      <c r="I6" s="60" t="s">
        <v>181</v>
      </c>
      <c r="J6" s="60" t="s">
        <v>182</v>
      </c>
      <c r="K6" s="61" t="s">
        <v>183</v>
      </c>
      <c r="L6" s="384"/>
      <c r="M6" s="384"/>
      <c r="N6" s="60" t="s">
        <v>184</v>
      </c>
      <c r="O6" s="60" t="s">
        <v>185</v>
      </c>
      <c r="P6" s="61" t="s">
        <v>183</v>
      </c>
      <c r="Q6" s="386"/>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107916.7129</v>
      </c>
      <c r="H8" s="83">
        <f>G8-F8</f>
        <v>107914.7129</v>
      </c>
      <c r="I8" s="66">
        <f>EINSTELLUNG!E7</f>
        <v>1</v>
      </c>
      <c r="J8" s="66">
        <f>EINSTELLUNG!E23</f>
        <v>53958.356449999999</v>
      </c>
      <c r="K8" s="67">
        <f t="shared" ref="K8:K22" si="0">J8-I8</f>
        <v>53957.356449999999</v>
      </c>
      <c r="L8" s="65">
        <f>Februar!S40</f>
        <v>2.329479209980421E-4</v>
      </c>
      <c r="M8" s="62">
        <f>Februar!S41</f>
        <v>2.329479209980421E-4</v>
      </c>
      <c r="N8" s="62">
        <f>Februar!O5</f>
        <v>842.66960625479021</v>
      </c>
      <c r="O8" s="62">
        <f>Februar!P5</f>
        <v>2</v>
      </c>
      <c r="P8" s="85">
        <f t="shared" ref="P8:P23" si="1">O8-N8</f>
        <v>-840.66960625479021</v>
      </c>
      <c r="Q8" s="66">
        <f>Februar!Q31</f>
        <v>1.7241379310344827E-2</v>
      </c>
    </row>
    <row r="9" spans="2:18" ht="30" customHeight="1">
      <c r="B9" s="63" t="s">
        <v>188</v>
      </c>
      <c r="C9" s="65">
        <f>EINSTELLUNG!C8</f>
        <v>3</v>
      </c>
      <c r="D9" s="65">
        <f>EINSTELLUNG!C24</f>
        <v>3</v>
      </c>
      <c r="E9" s="83">
        <f>D9-C9</f>
        <v>0</v>
      </c>
      <c r="F9" s="65">
        <f>EINSTELLUNG!D8</f>
        <v>3</v>
      </c>
      <c r="G9" s="65">
        <f>Marz!$S$36</f>
        <v>111572.62579999999</v>
      </c>
      <c r="H9" s="83">
        <f>G9-F9</f>
        <v>111569.62579999999</v>
      </c>
      <c r="I9" s="66">
        <f>EINSTELLUNG!E8</f>
        <v>1</v>
      </c>
      <c r="J9" s="66">
        <f>EINSTELLUNG!E24</f>
        <v>37190.875266666662</v>
      </c>
      <c r="K9" s="67">
        <f>J9-I9</f>
        <v>37189.875266666662</v>
      </c>
      <c r="L9" s="65">
        <f>Marz!S40</f>
        <v>3.219523188615766E-4</v>
      </c>
      <c r="M9" s="62">
        <f>Marz!S41</f>
        <v>3.219523188615766E-4</v>
      </c>
      <c r="N9" s="62">
        <f>Marz!O5</f>
        <v>861.45075354782682</v>
      </c>
      <c r="O9" s="62">
        <f>Marz!P5</f>
        <v>3</v>
      </c>
      <c r="P9" s="85">
        <f t="shared" si="1"/>
        <v>-858.45075354782682</v>
      </c>
      <c r="Q9" s="66">
        <f>Marz!Q31</f>
        <v>1.6666666666666666E-2</v>
      </c>
    </row>
    <row r="10" spans="2:18" ht="30" customHeight="1">
      <c r="B10" s="68" t="s">
        <v>189</v>
      </c>
      <c r="C10" s="69">
        <f>SUM(C7:C9)</f>
        <v>6</v>
      </c>
      <c r="D10" s="69">
        <f>SUM(D7:D9)</f>
        <v>6</v>
      </c>
      <c r="E10" s="84">
        <f>D10-C10</f>
        <v>0</v>
      </c>
      <c r="F10" s="69">
        <f>SUM(F7:F9)</f>
        <v>6</v>
      </c>
      <c r="G10" s="69">
        <f>SUM(G7:G9)</f>
        <v>314597.16749999998</v>
      </c>
      <c r="H10" s="84">
        <f>G10-F10</f>
        <v>314591.16749999998</v>
      </c>
      <c r="I10" s="70">
        <f>AVERAGE(I7:I9)</f>
        <v>1</v>
      </c>
      <c r="J10" s="70">
        <f>AVERAGE(J7:J9)</f>
        <v>62085.686838888891</v>
      </c>
      <c r="K10" s="71">
        <f>J10-I10</f>
        <v>62084.686838888891</v>
      </c>
      <c r="L10" s="69">
        <f>AVERAGE(L7:L9)</f>
        <v>2.2945983684296125E-4</v>
      </c>
      <c r="M10" s="64">
        <f>AVERAGE(M7:M9)</f>
        <v>2.2945983684296125E-4</v>
      </c>
      <c r="N10" s="64">
        <f>SUM(N7:N9)</f>
        <v>2428.6739005773393</v>
      </c>
      <c r="O10" s="64">
        <f>SUM(O7:O9)</f>
        <v>6</v>
      </c>
      <c r="P10" s="86">
        <f t="shared" si="1"/>
        <v>-2422.6739005773393</v>
      </c>
      <c r="Q10" s="70">
        <f>AVERAGE(Q7:Q9)</f>
        <v>1.7838629704755467E-2</v>
      </c>
    </row>
    <row r="11" spans="2:18" ht="30" customHeight="1">
      <c r="B11" s="63" t="s">
        <v>190</v>
      </c>
      <c r="C11" s="65">
        <f>EINSTELLUNG!C9</f>
        <v>4</v>
      </c>
      <c r="D11" s="65">
        <f>EINSTELLUNG!C25</f>
        <v>4</v>
      </c>
      <c r="E11" s="83">
        <f t="shared" ref="E11:E21" si="2">D11-C11</f>
        <v>0</v>
      </c>
      <c r="F11" s="65">
        <f>EINSTELLUNG!D9</f>
        <v>4</v>
      </c>
      <c r="G11" s="65">
        <f>April!$S$36</f>
        <v>112238.6</v>
      </c>
      <c r="H11" s="83">
        <f>G11-F11</f>
        <v>112234.6</v>
      </c>
      <c r="I11" s="66">
        <f>EINSTELLUNG!E9</f>
        <v>1</v>
      </c>
      <c r="J11" s="66">
        <f>EINSTELLUNG!E25</f>
        <v>28059.65</v>
      </c>
      <c r="K11" s="67">
        <f t="shared" si="0"/>
        <v>28058.65</v>
      </c>
      <c r="L11" s="65">
        <f>April!S40</f>
        <v>4.3457476858893573E-4</v>
      </c>
      <c r="M11" s="62">
        <f>April!S41</f>
        <v>4.3457476858893573E-4</v>
      </c>
      <c r="N11" s="62">
        <f>April!O5</f>
        <v>869.79814457057716</v>
      </c>
      <c r="O11" s="62">
        <f>April!P5</f>
        <v>4</v>
      </c>
      <c r="P11" s="85">
        <f t="shared" si="1"/>
        <v>-865.79814457057716</v>
      </c>
      <c r="Q11" s="66">
        <f>April!Q31</f>
        <v>0</v>
      </c>
    </row>
    <row r="12" spans="2:18" ht="30" customHeight="1">
      <c r="B12" s="63" t="s">
        <v>191</v>
      </c>
      <c r="C12" s="65">
        <f>EINSTELLUNG!C10</f>
        <v>5</v>
      </c>
      <c r="D12" s="65">
        <f>EINSTELLUNG!C26</f>
        <v>5</v>
      </c>
      <c r="E12" s="83">
        <f t="shared" si="2"/>
        <v>0</v>
      </c>
      <c r="F12" s="65">
        <f>EINSTELLUNG!D10</f>
        <v>5</v>
      </c>
      <c r="G12" s="65">
        <f>Mai!$S$36</f>
        <v>116627.12579999999</v>
      </c>
      <c r="H12" s="83">
        <f t="shared" ref="H12:H23" si="3">G12-F12</f>
        <v>116622.12579999999</v>
      </c>
      <c r="I12" s="66">
        <f>EINSTELLUNG!E10</f>
        <v>1</v>
      </c>
      <c r="J12" s="66">
        <f>EINSTELLUNG!E26</f>
        <v>23325.425159999999</v>
      </c>
      <c r="K12" s="67">
        <f t="shared" si="0"/>
        <v>23324.425159999999</v>
      </c>
      <c r="L12" s="65">
        <f>Mai!S40</f>
        <v>5.3636731291776315E-4</v>
      </c>
      <c r="M12" s="62">
        <f>Mai!S41</f>
        <v>5.3636731291776315E-4</v>
      </c>
      <c r="N12" s="62">
        <f>Mai!O5</f>
        <v>903.18770866157831</v>
      </c>
      <c r="O12" s="62">
        <f>Mai!P5</f>
        <v>5</v>
      </c>
      <c r="P12" s="85">
        <f t="shared" si="1"/>
        <v>-898.18770866157831</v>
      </c>
      <c r="Q12" s="66">
        <f>Mai!Q31</f>
        <v>0</v>
      </c>
    </row>
    <row r="13" spans="2:18" ht="30" customHeight="1">
      <c r="B13" s="63" t="s">
        <v>192</v>
      </c>
      <c r="C13" s="65">
        <f>EINSTELLUNG!C11</f>
        <v>6</v>
      </c>
      <c r="D13" s="65">
        <f>EINSTELLUNG!C27</f>
        <v>6</v>
      </c>
      <c r="E13" s="83">
        <f t="shared" si="2"/>
        <v>0</v>
      </c>
      <c r="F13" s="65">
        <f>EINSTELLUNG!D11</f>
        <v>6</v>
      </c>
      <c r="G13" s="65">
        <f>Juni!$S$36</f>
        <v>116888.9</v>
      </c>
      <c r="H13" s="83">
        <f t="shared" si="3"/>
        <v>116882.9</v>
      </c>
      <c r="I13" s="66">
        <f>EINSTELLUNG!E11</f>
        <v>1</v>
      </c>
      <c r="J13" s="66">
        <f>EINSTELLUNG!E27</f>
        <v>19481.483333333334</v>
      </c>
      <c r="K13" s="67">
        <f t="shared" si="0"/>
        <v>19480.483333333334</v>
      </c>
      <c r="L13" s="65">
        <f>Juni!S40</f>
        <v>1.3574660633484163E-2</v>
      </c>
      <c r="M13" s="62">
        <f>Juni!S41</f>
        <v>1.3574660633484163E-2</v>
      </c>
      <c r="N13" s="62">
        <f>Juni!O5</f>
        <v>903.18770866157831</v>
      </c>
      <c r="O13" s="62">
        <f>Juni!P5</f>
        <v>6</v>
      </c>
      <c r="P13" s="85">
        <f t="shared" si="1"/>
        <v>-897.18770866157831</v>
      </c>
      <c r="Q13" s="66">
        <f>Juni!Q31</f>
        <v>1.6666666666666666E-2</v>
      </c>
    </row>
    <row r="14" spans="2:18" ht="30" customHeight="1">
      <c r="B14" s="68" t="s">
        <v>193</v>
      </c>
      <c r="C14" s="69">
        <f>SUM(C11:C13)</f>
        <v>15</v>
      </c>
      <c r="D14" s="69">
        <f>SUM(D11:D13)</f>
        <v>15</v>
      </c>
      <c r="E14" s="84">
        <f t="shared" si="2"/>
        <v>0</v>
      </c>
      <c r="F14" s="69">
        <f>SUM(F11:F13)</f>
        <v>15</v>
      </c>
      <c r="G14" s="69">
        <f>SUM(G11:G13)</f>
        <v>345754.62580000004</v>
      </c>
      <c r="H14" s="84">
        <f t="shared" si="3"/>
        <v>345739.62580000004</v>
      </c>
      <c r="I14" s="70">
        <f>AVERAGE(I11:I13)</f>
        <v>1</v>
      </c>
      <c r="J14" s="70">
        <f>AVERAGE(J11:J13)</f>
        <v>23622.186164444443</v>
      </c>
      <c r="K14" s="71">
        <f t="shared" si="0"/>
        <v>23621.186164444443</v>
      </c>
      <c r="L14" s="69">
        <f>AVERAGE(L11:L13)</f>
        <v>4.8485342383302876E-3</v>
      </c>
      <c r="M14" s="64">
        <f>AVERAGE(M11:M13)</f>
        <v>4.8485342383302876E-3</v>
      </c>
      <c r="N14" s="64">
        <f>SUM(N11:N13)</f>
        <v>2676.1735618937337</v>
      </c>
      <c r="O14" s="64">
        <f>SUM(O11:O13)</f>
        <v>15</v>
      </c>
      <c r="P14" s="86">
        <f t="shared" si="1"/>
        <v>-2661.1735618937337</v>
      </c>
      <c r="Q14" s="70">
        <f>AVERAGE(Q11:Q13)</f>
        <v>5.5555555555555558E-3</v>
      </c>
    </row>
    <row r="15" spans="2:18" ht="30" customHeight="1">
      <c r="B15" s="63" t="s">
        <v>194</v>
      </c>
      <c r="C15" s="65">
        <f>EINSTELLUNG!C12</f>
        <v>7</v>
      </c>
      <c r="D15" s="65">
        <f>EINSTELLUNG!C28</f>
        <v>7</v>
      </c>
      <c r="E15" s="83">
        <f t="shared" si="2"/>
        <v>0</v>
      </c>
      <c r="F15" s="65">
        <f>EINSTELLUNG!D12</f>
        <v>7</v>
      </c>
      <c r="G15" s="65">
        <f>Juli!$S$36</f>
        <v>116889.9</v>
      </c>
      <c r="H15" s="83">
        <f t="shared" si="3"/>
        <v>116882.9</v>
      </c>
      <c r="I15" s="66">
        <f>EINSTELLUNG!E12</f>
        <v>1</v>
      </c>
      <c r="J15" s="66">
        <f>EINSTELLUNG!E28</f>
        <v>16698.557142857142</v>
      </c>
      <c r="K15" s="67">
        <f t="shared" si="0"/>
        <v>16697.557142857142</v>
      </c>
      <c r="L15" s="65">
        <f>Juli!S40</f>
        <v>7.5274483025604085E-4</v>
      </c>
      <c r="M15" s="62">
        <f>Juli!S41</f>
        <v>7.5274483025604085E-4</v>
      </c>
      <c r="N15" s="62">
        <f>Juli!O5</f>
        <v>903.18770866157831</v>
      </c>
      <c r="O15" s="62">
        <f>Juli!P5</f>
        <v>7</v>
      </c>
      <c r="P15" s="85">
        <f t="shared" si="1"/>
        <v>-896.18770866157831</v>
      </c>
      <c r="Q15" s="66">
        <f>Juli!Q31</f>
        <v>0</v>
      </c>
    </row>
    <row r="16" spans="2:18" ht="30" customHeight="1">
      <c r="B16" s="63" t="s">
        <v>195</v>
      </c>
      <c r="C16" s="65">
        <f>EINSTELLUNG!C13</f>
        <v>8</v>
      </c>
      <c r="D16" s="65">
        <f>EINSTELLUNG!C29</f>
        <v>8</v>
      </c>
      <c r="E16" s="83">
        <f t="shared" si="2"/>
        <v>0</v>
      </c>
      <c r="F16" s="65">
        <f>EINSTELLUNG!D13</f>
        <v>8</v>
      </c>
      <c r="G16" s="65">
        <f>August!$S$36</f>
        <v>115864.10159999999</v>
      </c>
      <c r="H16" s="83">
        <f t="shared" si="3"/>
        <v>115856.10159999999</v>
      </c>
      <c r="I16" s="66">
        <f>EINSTELLUNG!E13</f>
        <v>1</v>
      </c>
      <c r="J16" s="66">
        <f>EINSTELLUNG!E29</f>
        <v>14483.012699999999</v>
      </c>
      <c r="K16" s="67">
        <f t="shared" si="0"/>
        <v>14482.012699999999</v>
      </c>
      <c r="L16" s="65">
        <f>August!S40</f>
        <v>8.6510803036529194E-4</v>
      </c>
      <c r="M16" s="62">
        <f>August!S41</f>
        <v>8.6510803036529194E-4</v>
      </c>
      <c r="N16" s="62">
        <f>August!O5</f>
        <v>899.01401315020314</v>
      </c>
      <c r="O16" s="62">
        <f>August!P5</f>
        <v>8</v>
      </c>
      <c r="P16" s="85">
        <f t="shared" si="1"/>
        <v>-891.01401315020314</v>
      </c>
      <c r="Q16" s="66">
        <f>August!Q31</f>
        <v>1.8518518518518517E-2</v>
      </c>
    </row>
    <row r="17" spans="2:17" ht="30" customHeight="1">
      <c r="B17" s="63" t="s">
        <v>196</v>
      </c>
      <c r="C17" s="65">
        <f>EINSTELLUNG!C14</f>
        <v>9</v>
      </c>
      <c r="D17" s="65">
        <f>EINSTELLUNG!C30</f>
        <v>9</v>
      </c>
      <c r="E17" s="83">
        <f t="shared" si="2"/>
        <v>0</v>
      </c>
      <c r="F17" s="65">
        <f>EINSTELLUNG!D14</f>
        <v>9</v>
      </c>
      <c r="G17" s="65">
        <f>September!$S$36</f>
        <v>115376.15</v>
      </c>
      <c r="H17" s="83">
        <f t="shared" si="3"/>
        <v>115367.15</v>
      </c>
      <c r="I17" s="66">
        <f>EINSTELLUNG!E14</f>
        <v>1</v>
      </c>
      <c r="J17" s="66">
        <f>EINSTELLUNG!E30</f>
        <v>12819.572222222221</v>
      </c>
      <c r="K17" s="67">
        <f t="shared" si="0"/>
        <v>12818.572222222221</v>
      </c>
      <c r="L17" s="65">
        <f>September!S40</f>
        <v>9.9606554111260522E-4</v>
      </c>
      <c r="M17" s="62">
        <f>September!S41</f>
        <v>9.9606554111260522E-4</v>
      </c>
      <c r="N17" s="62">
        <f>September!O5</f>
        <v>890.66662212745291</v>
      </c>
      <c r="O17" s="62">
        <f>September!P5</f>
        <v>9</v>
      </c>
      <c r="P17" s="85">
        <f t="shared" si="1"/>
        <v>-881.66662212745291</v>
      </c>
      <c r="Q17" s="66">
        <f>September!Q31</f>
        <v>0</v>
      </c>
    </row>
    <row r="18" spans="2:17" ht="30" customHeight="1">
      <c r="B18" s="68" t="s">
        <v>197</v>
      </c>
      <c r="C18" s="69">
        <f>SUM(C15:C17)</f>
        <v>24</v>
      </c>
      <c r="D18" s="69">
        <f>SUM(D15:D17)</f>
        <v>24</v>
      </c>
      <c r="E18" s="84">
        <f>D18-C18</f>
        <v>0</v>
      </c>
      <c r="F18" s="69">
        <f>SUM(F15:F17)</f>
        <v>24</v>
      </c>
      <c r="G18" s="69">
        <f>SUM(G15:G17)</f>
        <v>348130.15159999998</v>
      </c>
      <c r="H18" s="84">
        <f t="shared" si="3"/>
        <v>348106.15159999998</v>
      </c>
      <c r="I18" s="70">
        <f>AVERAGE(I15:I17)</f>
        <v>1</v>
      </c>
      <c r="J18" s="70">
        <f>AVERAGE(J15:J17)</f>
        <v>14667.047355026452</v>
      </c>
      <c r="K18" s="71">
        <f t="shared" si="0"/>
        <v>14666.047355026452</v>
      </c>
      <c r="L18" s="69">
        <f>AVERAGE(L15:L17)</f>
        <v>8.7130613391131267E-4</v>
      </c>
      <c r="M18" s="64">
        <f>AVERAGE(M15:M17)</f>
        <v>8.7130613391131267E-4</v>
      </c>
      <c r="N18" s="64">
        <f>SUM(N15:N17)</f>
        <v>2692.8683439392344</v>
      </c>
      <c r="O18" s="64">
        <f>SUM(O15:O17)</f>
        <v>24</v>
      </c>
      <c r="P18" s="86">
        <f t="shared" si="1"/>
        <v>-2668.8683439392344</v>
      </c>
      <c r="Q18" s="70">
        <f>AVERAGE(Q15:Q17)</f>
        <v>6.1728395061728392E-3</v>
      </c>
    </row>
    <row r="19" spans="2:17" ht="30" customHeight="1">
      <c r="B19" s="63" t="s">
        <v>198</v>
      </c>
      <c r="C19" s="65">
        <f>EINSTELLUNG!C15</f>
        <v>10</v>
      </c>
      <c r="D19" s="65">
        <f>EINSTELLUNG!C31</f>
        <v>10</v>
      </c>
      <c r="E19" s="83">
        <f>D19-C19</f>
        <v>0</v>
      </c>
      <c r="F19" s="65">
        <f>EINSTELLUNG!D15</f>
        <v>10</v>
      </c>
      <c r="G19" s="65">
        <f>Oktober!$S$36</f>
        <v>115377.15</v>
      </c>
      <c r="H19" s="83">
        <f t="shared" si="3"/>
        <v>115367.15</v>
      </c>
      <c r="I19" s="66">
        <f>EINSTELLUNG!E15</f>
        <v>1</v>
      </c>
      <c r="J19" s="66">
        <f>EINSTELLUNG!E31</f>
        <v>11537.715</v>
      </c>
      <c r="K19" s="67">
        <f t="shared" si="0"/>
        <v>11536.715</v>
      </c>
      <c r="L19" s="65">
        <f>Oktober!S40</f>
        <v>1.0728980585909631E-3</v>
      </c>
      <c r="M19" s="62">
        <f>Oktober!S41</f>
        <v>1.0728980585909631E-3</v>
      </c>
      <c r="N19" s="62">
        <f>Oktober!O5</f>
        <v>890.66662212745291</v>
      </c>
      <c r="O19" s="62">
        <f>Oktober!P5</f>
        <v>10</v>
      </c>
      <c r="P19" s="85">
        <f t="shared" si="1"/>
        <v>-880.66662212745291</v>
      </c>
      <c r="Q19" s="66">
        <f>Oktober!Q31</f>
        <v>0</v>
      </c>
    </row>
    <row r="20" spans="2:17" ht="30" customHeight="1">
      <c r="B20" s="63" t="s">
        <v>199</v>
      </c>
      <c r="C20" s="65">
        <f>EINSTELLUNG!C16</f>
        <v>11</v>
      </c>
      <c r="D20" s="65">
        <f>EINSTELLUNG!C32</f>
        <v>11</v>
      </c>
      <c r="E20" s="83">
        <f>D20-C20</f>
        <v>0</v>
      </c>
      <c r="F20" s="65">
        <f>EINSTELLUNG!D16</f>
        <v>11</v>
      </c>
      <c r="G20" s="65">
        <f>November!$S$36</f>
        <v>115630.78</v>
      </c>
      <c r="H20" s="83">
        <f t="shared" si="3"/>
        <v>115619.78</v>
      </c>
      <c r="I20" s="66">
        <f>EINSTELLUNG!E16</f>
        <v>1</v>
      </c>
      <c r="J20" s="66">
        <f>EINSTELLUNG!E32</f>
        <v>10511.889090909091</v>
      </c>
      <c r="K20" s="67">
        <f t="shared" si="0"/>
        <v>10510.889090909091</v>
      </c>
      <c r="L20" s="65">
        <f>November!S40</f>
        <v>1.1932941209653102E-3</v>
      </c>
      <c r="M20" s="62">
        <f>November!S41</f>
        <v>1.1932941209653102E-3</v>
      </c>
      <c r="N20" s="62">
        <f>November!O5</f>
        <v>892.75395239129205</v>
      </c>
      <c r="O20" s="62">
        <f>November!P5</f>
        <v>11</v>
      </c>
      <c r="P20" s="85">
        <f t="shared" si="1"/>
        <v>-881.75395239129205</v>
      </c>
      <c r="Q20" s="66">
        <f>November!Q31</f>
        <v>0</v>
      </c>
    </row>
    <row r="21" spans="2:17" ht="30" customHeight="1">
      <c r="B21" s="63" t="s">
        <v>200</v>
      </c>
      <c r="C21" s="65">
        <f>EINSTELLUNG!C17</f>
        <v>12</v>
      </c>
      <c r="D21" s="65">
        <f>EINSTELLUNG!C33</f>
        <v>12</v>
      </c>
      <c r="E21" s="83">
        <f t="shared" si="2"/>
        <v>0</v>
      </c>
      <c r="F21" s="65">
        <f>EINSTELLUNG!D17</f>
        <v>12</v>
      </c>
      <c r="G21" s="65">
        <f>Dezember!$S$36</f>
        <v>115631.78</v>
      </c>
      <c r="H21" s="83">
        <f t="shared" si="3"/>
        <v>115619.78</v>
      </c>
      <c r="I21" s="66">
        <f>EINSTELLUNG!E17</f>
        <v>1</v>
      </c>
      <c r="J21" s="66">
        <f>EINSTELLUNG!E33</f>
        <v>9635.9816666666666</v>
      </c>
      <c r="K21" s="67">
        <f t="shared" si="0"/>
        <v>9634.9816666666666</v>
      </c>
      <c r="L21" s="65">
        <f>Dezember!S40</f>
        <v>1.2607452265033863E-3</v>
      </c>
      <c r="M21" s="62">
        <f>Dezember!S41</f>
        <v>1.2607452265033863E-3</v>
      </c>
      <c r="N21" s="62">
        <f>Dezember!O5</f>
        <v>892.75395239129205</v>
      </c>
      <c r="O21" s="72">
        <f>Dezember!P5</f>
        <v>12</v>
      </c>
      <c r="P21" s="85">
        <f t="shared" si="1"/>
        <v>-880.75395239129205</v>
      </c>
      <c r="Q21" s="66">
        <f>Dezember!Q31</f>
        <v>0</v>
      </c>
    </row>
    <row r="22" spans="2:17" ht="30" customHeight="1">
      <c r="B22" s="68" t="s">
        <v>201</v>
      </c>
      <c r="C22" s="69">
        <f>SUM(C19:C21)</f>
        <v>33</v>
      </c>
      <c r="D22" s="69">
        <f>SUM(D19:D21)</f>
        <v>33</v>
      </c>
      <c r="E22" s="84">
        <f>D22-C22</f>
        <v>0</v>
      </c>
      <c r="F22" s="69">
        <f>SUM(F19:F21)</f>
        <v>33</v>
      </c>
      <c r="G22" s="69">
        <f>SUM(G19:G21)</f>
        <v>346639.70999999996</v>
      </c>
      <c r="H22" s="84">
        <f t="shared" si="3"/>
        <v>346606.70999999996</v>
      </c>
      <c r="I22" s="70">
        <f>AVERAGE(I19:I21)</f>
        <v>1</v>
      </c>
      <c r="J22" s="70">
        <f>AVERAGE(J19:J21)</f>
        <v>10561.861919191919</v>
      </c>
      <c r="K22" s="71">
        <f t="shared" si="0"/>
        <v>10560.861919191919</v>
      </c>
      <c r="L22" s="69">
        <f>AVERAGE(L19:L21)</f>
        <v>1.1756458020198866E-3</v>
      </c>
      <c r="M22" s="64">
        <f>AVERAGE(M19:M21)</f>
        <v>1.1756458020198866E-3</v>
      </c>
      <c r="N22" s="64">
        <f>SUM(N19:N21)</f>
        <v>2676.174526910037</v>
      </c>
      <c r="O22" s="64">
        <f>SUM(O19:O21)</f>
        <v>33</v>
      </c>
      <c r="P22" s="86">
        <f>O22-N22</f>
        <v>-2643.174526910037</v>
      </c>
      <c r="Q22" s="70">
        <f>AVERAGE(Q19:Q21)</f>
        <v>0</v>
      </c>
    </row>
    <row r="23" spans="2:17" ht="30" customHeight="1">
      <c r="B23" s="73">
        <f>LOHNTABELLE!G3</f>
        <v>2026</v>
      </c>
      <c r="C23" s="74">
        <f>SUM(C10,C14,C18,C22)</f>
        <v>78</v>
      </c>
      <c r="D23" s="74">
        <f>SUM(D10,D14,D18,D22)</f>
        <v>78</v>
      </c>
      <c r="E23" s="84">
        <f>D23-C23</f>
        <v>0</v>
      </c>
      <c r="F23" s="74">
        <f>SUM(F10,F14,F18,F22)</f>
        <v>78</v>
      </c>
      <c r="G23" s="74">
        <f>SUM(G10,G14,G18,G22)</f>
        <v>1355121.6549</v>
      </c>
      <c r="H23" s="84">
        <f t="shared" si="3"/>
        <v>1355043.6549</v>
      </c>
      <c r="I23" s="75">
        <f>AVERAGE(I10,I14,I18,I22)</f>
        <v>1</v>
      </c>
      <c r="J23" s="75">
        <f>AVERAGE(J10,J14,J18,J22)</f>
        <v>27734.195569387928</v>
      </c>
      <c r="K23" s="71">
        <f>J23-I23</f>
        <v>27733.195569387928</v>
      </c>
      <c r="L23" s="74">
        <f>AVERAGE(L22,L18,L14,L10)</f>
        <v>1.7812365027761118E-3</v>
      </c>
      <c r="M23" s="76">
        <f>AVERAGE(M10,M14,M18,M22)</f>
        <v>1.781236502776112E-3</v>
      </c>
      <c r="N23" s="76">
        <f>SUM(N10,N14,N18,N22)</f>
        <v>10473.890333320343</v>
      </c>
      <c r="O23" s="76">
        <f>SUM(O10,O14,O18,O22)</f>
        <v>78</v>
      </c>
      <c r="P23" s="86">
        <f t="shared" si="1"/>
        <v>-10395.890333320343</v>
      </c>
      <c r="Q23" s="75">
        <f>AVERAGE(Q22,Q18,Q14,Q10)</f>
        <v>7.3917561916209658E-3</v>
      </c>
    </row>
    <row r="24" spans="2:17">
      <c r="O24" s="4"/>
    </row>
    <row r="25" spans="2:17">
      <c r="B25" s="382" t="s">
        <v>204</v>
      </c>
      <c r="C25" s="382"/>
      <c r="D25" s="382"/>
      <c r="E25" s="382"/>
    </row>
    <row r="26" spans="2:17">
      <c r="B26" s="382"/>
      <c r="C26" s="382"/>
      <c r="D26" s="382"/>
      <c r="E26" s="382"/>
    </row>
    <row r="27" spans="2:17">
      <c r="B27" s="382"/>
      <c r="C27" s="382"/>
      <c r="D27" s="382"/>
      <c r="E27" s="382"/>
    </row>
  </sheetData>
  <sheetProtection algorithmName="SHA-512" hashValue="JN330GjTP6mwtZcVZfmY/Dv0Oe+rbFfsPEoOTd4jUc4pW6qR/AR3Urxtj7y1JslzrAajWttaVopKfpwlNgmDfw==" saltValue="1o3zrNOQlt3luF/+D91T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4.5"/>
  <cols>
    <col min="1" max="1" width="7.36328125" bestFit="1" customWidth="1"/>
    <col min="2" max="2" width="10.36328125" bestFit="1" customWidth="1"/>
    <col min="3" max="3" width="22.81640625" bestFit="1" customWidth="1"/>
    <col min="4" max="4" width="13.08984375" style="180" bestFit="1" customWidth="1"/>
    <col min="5" max="5" width="13.6328125" style="180" bestFit="1" customWidth="1"/>
    <col min="6" max="6" width="23" bestFit="1" customWidth="1"/>
    <col min="7" max="7" width="19.54296875" bestFit="1" customWidth="1"/>
    <col min="8" max="8" width="13.54296875" style="182" bestFit="1" customWidth="1"/>
    <col min="9" max="9" width="10.08984375" style="182" bestFit="1" customWidth="1"/>
    <col min="10" max="10" width="12" style="182" bestFit="1" customWidth="1"/>
    <col min="11" max="11" width="26.5429687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336</v>
      </c>
      <c r="G2">
        <v>509</v>
      </c>
      <c r="H2" s="182">
        <v>0.5</v>
      </c>
      <c r="I2" s="182">
        <v>1.25</v>
      </c>
      <c r="J2" s="182">
        <v>0.625</v>
      </c>
      <c r="K2" t="s">
        <v>318</v>
      </c>
    </row>
    <row r="3" spans="1:11">
      <c r="A3" t="s">
        <v>429</v>
      </c>
      <c r="B3">
        <v>600000</v>
      </c>
      <c r="C3" t="s">
        <v>373</v>
      </c>
      <c r="D3" s="180">
        <v>46054</v>
      </c>
      <c r="E3" s="180">
        <v>46055</v>
      </c>
      <c r="G3">
        <v>2</v>
      </c>
      <c r="H3" s="182">
        <v>0</v>
      </c>
      <c r="I3" s="182">
        <v>0.3</v>
      </c>
      <c r="J3" s="182">
        <v>0</v>
      </c>
      <c r="K3" t="s">
        <v>408</v>
      </c>
    </row>
    <row r="4" spans="1:11">
      <c r="A4" t="s">
        <v>358</v>
      </c>
      <c r="B4">
        <v>401754</v>
      </c>
      <c r="C4" t="s">
        <v>313</v>
      </c>
      <c r="D4" s="180">
        <v>46014</v>
      </c>
      <c r="E4" s="180">
        <v>46096</v>
      </c>
      <c r="F4" t="s">
        <v>359</v>
      </c>
      <c r="G4">
        <v>83</v>
      </c>
      <c r="H4" s="182">
        <v>1</v>
      </c>
      <c r="I4" s="182">
        <v>0.5</v>
      </c>
      <c r="J4" s="182">
        <v>0.5</v>
      </c>
      <c r="K4" t="s">
        <v>256</v>
      </c>
    </row>
    <row r="5" spans="1:11">
      <c r="A5" t="s">
        <v>195</v>
      </c>
      <c r="B5">
        <v>401746</v>
      </c>
      <c r="C5" t="s">
        <v>309</v>
      </c>
      <c r="D5" s="180">
        <v>45941</v>
      </c>
      <c r="E5" s="180">
        <v>46249</v>
      </c>
      <c r="F5" t="s">
        <v>359</v>
      </c>
      <c r="G5">
        <v>309</v>
      </c>
      <c r="H5" s="182">
        <v>1</v>
      </c>
      <c r="I5" s="182">
        <v>1</v>
      </c>
      <c r="J5" s="182">
        <v>1</v>
      </c>
      <c r="K5" t="s">
        <v>257</v>
      </c>
    </row>
  </sheetData>
  <sheetProtection algorithmName="SHA-512" hashValue="mmf2Wj0+/mWZVbqF0/ilWClHcJMeoOns75kDCvAxWUr/Jluo/y/Z13V4z84woRdW9vg7LFyJazNZm/uTDOYuzQ==" saltValue="Ne+arViUMBOZtSLroOxkB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11" zoomScale="120" zoomScaleNormal="120" workbookViewId="0">
      <selection activeCell="C24" sqref="C24"/>
    </sheetView>
  </sheetViews>
  <sheetFormatPr baseColWidth="10" defaultColWidth="10.81640625" defaultRowHeight="15" customHeight="1"/>
  <cols>
    <col min="1" max="1" width="32.6328125" style="435" customWidth="1"/>
    <col min="2" max="5" width="16.6328125" style="435" customWidth="1"/>
    <col min="6" max="7" width="18.6328125" style="435" customWidth="1"/>
    <col min="8" max="8" width="22.6328125" style="435" customWidth="1"/>
    <col min="9" max="12" width="36.6328125" style="435" customWidth="1"/>
    <col min="13" max="16384" width="10.81640625" style="435"/>
  </cols>
  <sheetData>
    <row r="1" spans="1:12" ht="15" customHeight="1">
      <c r="A1" s="446" t="s">
        <v>237</v>
      </c>
      <c r="B1" s="447"/>
      <c r="C1" s="447"/>
      <c r="D1" s="447"/>
      <c r="E1" s="447"/>
      <c r="F1" s="448"/>
      <c r="G1" s="448"/>
      <c r="H1" s="448"/>
      <c r="I1" s="448"/>
      <c r="J1" s="448"/>
      <c r="K1" s="448"/>
      <c r="L1" s="448"/>
    </row>
    <row r="2" spans="1:12" ht="15" customHeight="1">
      <c r="A2" s="449" t="s">
        <v>238</v>
      </c>
      <c r="B2" s="449">
        <v>2026</v>
      </c>
      <c r="C2" s="448"/>
      <c r="D2" s="448"/>
      <c r="E2" s="448"/>
      <c r="F2" s="448"/>
      <c r="G2" s="448"/>
      <c r="H2" s="448"/>
      <c r="I2" s="448"/>
      <c r="J2" s="448"/>
      <c r="K2" s="448"/>
      <c r="L2" s="448"/>
    </row>
    <row r="3" spans="1:12" ht="15" customHeight="1">
      <c r="A3" s="448"/>
      <c r="B3" s="448"/>
      <c r="C3" s="448"/>
      <c r="D3" s="448"/>
      <c r="E3" s="448"/>
      <c r="F3" s="448"/>
      <c r="G3" s="448"/>
      <c r="H3" s="448"/>
      <c r="I3" s="448"/>
      <c r="J3" s="448"/>
      <c r="K3" s="448"/>
      <c r="L3" s="448"/>
    </row>
    <row r="4" spans="1:12" ht="15" customHeight="1">
      <c r="A4" s="450" t="s">
        <v>246</v>
      </c>
      <c r="B4" s="451"/>
      <c r="C4" s="451"/>
      <c r="D4" s="451"/>
      <c r="E4" s="451"/>
      <c r="F4" s="448"/>
      <c r="G4" s="448"/>
      <c r="H4" s="448"/>
      <c r="I4" s="448"/>
      <c r="J4" s="448"/>
      <c r="K4" s="448"/>
      <c r="L4" s="448"/>
    </row>
    <row r="5" spans="1:12" ht="42" customHeight="1">
      <c r="A5" s="452" t="s">
        <v>337</v>
      </c>
      <c r="B5" s="452"/>
      <c r="C5" s="452"/>
      <c r="D5" s="452"/>
      <c r="E5" s="452"/>
      <c r="F5" s="448"/>
      <c r="G5" s="448"/>
      <c r="H5" s="448"/>
      <c r="I5" s="448"/>
      <c r="J5" s="448"/>
      <c r="K5" s="448"/>
      <c r="L5" s="448"/>
    </row>
    <row r="6" spans="1:12" ht="42" customHeight="1">
      <c r="A6" s="452"/>
      <c r="B6" s="452"/>
      <c r="C6" s="452"/>
      <c r="D6" s="452"/>
      <c r="E6" s="452"/>
      <c r="F6" s="448"/>
      <c r="G6" s="448"/>
      <c r="H6" s="448"/>
      <c r="I6" s="448"/>
      <c r="J6" s="448"/>
      <c r="K6" s="448"/>
      <c r="L6" s="448"/>
    </row>
    <row r="7" spans="1:12" ht="15" customHeight="1">
      <c r="A7" s="448"/>
      <c r="B7" s="448"/>
      <c r="C7" s="448"/>
      <c r="D7" s="448"/>
      <c r="E7" s="448"/>
      <c r="F7" s="448"/>
      <c r="G7" s="448"/>
      <c r="H7" s="448"/>
      <c r="I7" s="448"/>
      <c r="J7" s="448"/>
      <c r="K7" s="448"/>
      <c r="L7" s="448"/>
    </row>
    <row r="8" spans="1:12" ht="15" customHeight="1">
      <c r="A8" s="453" t="s">
        <v>239</v>
      </c>
      <c r="B8" s="453" t="s">
        <v>240</v>
      </c>
      <c r="C8" s="453" t="s">
        <v>338</v>
      </c>
      <c r="D8" s="453"/>
      <c r="E8" s="453"/>
      <c r="F8" s="448"/>
      <c r="G8" s="448"/>
      <c r="H8" s="448"/>
      <c r="I8" s="448"/>
      <c r="J8" s="448"/>
      <c r="K8" s="448"/>
      <c r="L8" s="448"/>
    </row>
    <row r="9" spans="1:12" ht="15" customHeight="1">
      <c r="A9" s="454" t="s">
        <v>241</v>
      </c>
      <c r="B9" s="436">
        <v>4</v>
      </c>
      <c r="C9" s="437" t="s">
        <v>247</v>
      </c>
      <c r="D9" s="437"/>
      <c r="E9" s="437"/>
      <c r="F9" s="448"/>
      <c r="G9" s="448"/>
      <c r="H9" s="448"/>
      <c r="I9" s="448"/>
      <c r="J9" s="448"/>
      <c r="K9" s="448"/>
      <c r="L9" s="448"/>
    </row>
    <row r="10" spans="1:12" ht="15" customHeight="1">
      <c r="A10" s="454" t="s">
        <v>258</v>
      </c>
      <c r="B10" s="444">
        <v>5.1724137931034482E-2</v>
      </c>
      <c r="C10" s="437" t="s">
        <v>259</v>
      </c>
      <c r="D10" s="437"/>
      <c r="E10" s="437"/>
      <c r="F10" s="448"/>
      <c r="G10" s="448"/>
      <c r="H10" s="448"/>
      <c r="I10" s="448"/>
      <c r="J10" s="448"/>
      <c r="K10" s="448"/>
      <c r="L10" s="448"/>
    </row>
    <row r="11" spans="1:12" ht="15" customHeight="1">
      <c r="A11" s="454" t="s">
        <v>244</v>
      </c>
      <c r="B11" s="445">
        <v>2.125</v>
      </c>
      <c r="C11" s="437" t="s">
        <v>339</v>
      </c>
      <c r="D11" s="437"/>
      <c r="E11" s="437"/>
      <c r="F11" s="448"/>
      <c r="G11" s="448"/>
      <c r="H11" s="448"/>
      <c r="I11" s="448"/>
      <c r="J11" s="448"/>
      <c r="K11" s="448"/>
      <c r="L11" s="448"/>
    </row>
    <row r="12" spans="1:12" ht="15" customHeight="1">
      <c r="A12" s="454" t="s">
        <v>314</v>
      </c>
      <c r="B12" s="445">
        <v>0.53125</v>
      </c>
      <c r="C12" s="437" t="s">
        <v>248</v>
      </c>
      <c r="D12" s="437"/>
      <c r="E12" s="437"/>
      <c r="F12" s="448"/>
      <c r="G12" s="448"/>
      <c r="H12" s="448"/>
      <c r="I12" s="448"/>
      <c r="J12" s="448"/>
      <c r="K12" s="448"/>
      <c r="L12" s="448"/>
    </row>
    <row r="13" spans="1:12" ht="15" customHeight="1">
      <c r="A13" s="454" t="s">
        <v>249</v>
      </c>
      <c r="B13" s="436">
        <v>1</v>
      </c>
      <c r="C13" s="437" t="s">
        <v>250</v>
      </c>
      <c r="D13" s="437"/>
      <c r="E13" s="437"/>
      <c r="F13" s="448"/>
      <c r="G13" s="448"/>
      <c r="H13" s="448"/>
      <c r="I13" s="448"/>
      <c r="J13" s="448"/>
      <c r="K13" s="448"/>
      <c r="L13" s="448"/>
    </row>
    <row r="14" spans="1:12" ht="15" customHeight="1">
      <c r="A14" s="454" t="s">
        <v>245</v>
      </c>
      <c r="B14" s="436">
        <v>0</v>
      </c>
      <c r="C14" s="437" t="s">
        <v>251</v>
      </c>
      <c r="D14" s="437"/>
      <c r="E14" s="437"/>
      <c r="F14" s="448"/>
      <c r="G14" s="448"/>
      <c r="H14" s="448"/>
      <c r="I14" s="448"/>
      <c r="J14" s="448"/>
      <c r="K14" s="448"/>
      <c r="L14" s="448"/>
    </row>
    <row r="15" spans="1:12" ht="15" customHeight="1">
      <c r="A15" s="454" t="s">
        <v>252</v>
      </c>
      <c r="B15" s="436">
        <v>1</v>
      </c>
      <c r="C15" s="437" t="s">
        <v>340</v>
      </c>
      <c r="D15" s="437"/>
      <c r="E15" s="437"/>
      <c r="F15" s="448"/>
      <c r="G15" s="448"/>
      <c r="H15" s="448"/>
      <c r="I15" s="448"/>
      <c r="J15" s="448"/>
      <c r="K15" s="448"/>
      <c r="L15" s="448"/>
    </row>
    <row r="16" spans="1:12" ht="15" customHeight="1">
      <c r="A16" s="454" t="s">
        <v>242</v>
      </c>
      <c r="B16" s="436">
        <v>0</v>
      </c>
      <c r="C16" s="437" t="s">
        <v>341</v>
      </c>
      <c r="D16" s="437"/>
      <c r="E16" s="437"/>
      <c r="F16" s="448"/>
      <c r="G16" s="448"/>
      <c r="H16" s="448"/>
      <c r="I16" s="448"/>
      <c r="J16" s="448"/>
      <c r="K16" s="448"/>
      <c r="L16" s="448"/>
    </row>
    <row r="17" spans="1:12" ht="15" customHeight="1">
      <c r="A17" s="454" t="s">
        <v>342</v>
      </c>
      <c r="B17" s="436">
        <v>1</v>
      </c>
      <c r="C17" s="437" t="s">
        <v>315</v>
      </c>
      <c r="D17" s="437"/>
      <c r="E17" s="437"/>
      <c r="F17" s="448"/>
      <c r="G17" s="448"/>
      <c r="H17" s="448"/>
      <c r="I17" s="448"/>
      <c r="J17" s="448"/>
      <c r="K17" s="448"/>
      <c r="L17" s="448"/>
    </row>
    <row r="18" spans="1:12" ht="15" customHeight="1" thickBot="1">
      <c r="A18" s="448"/>
      <c r="B18" s="448"/>
      <c r="C18" s="448"/>
      <c r="D18" s="448"/>
      <c r="E18" s="448"/>
      <c r="F18" s="448"/>
      <c r="G18" s="448"/>
      <c r="H18" s="448"/>
      <c r="I18" s="448"/>
      <c r="J18" s="448"/>
      <c r="K18" s="448"/>
      <c r="L18" s="448"/>
    </row>
    <row r="19" spans="1:12" ht="24" customHeight="1" thickBot="1">
      <c r="A19" s="438" t="s">
        <v>343</v>
      </c>
      <c r="B19" s="204" t="s">
        <v>409</v>
      </c>
      <c r="C19" s="448"/>
      <c r="D19" s="448"/>
      <c r="E19" s="448"/>
      <c r="F19" s="448"/>
      <c r="G19" s="448"/>
      <c r="H19" s="448"/>
      <c r="I19" s="448"/>
      <c r="J19" s="448"/>
      <c r="K19" s="448"/>
      <c r="L19" s="448"/>
    </row>
    <row r="20" spans="1:12" ht="15" customHeight="1">
      <c r="A20" s="448"/>
      <c r="B20" s="448"/>
      <c r="C20" s="448"/>
      <c r="D20" s="448"/>
      <c r="E20" s="448"/>
      <c r="F20" s="448"/>
      <c r="G20" s="448"/>
      <c r="H20" s="448"/>
      <c r="I20" s="448"/>
      <c r="J20" s="448"/>
      <c r="K20" s="448"/>
      <c r="L20" s="448"/>
    </row>
    <row r="21" spans="1:12" ht="48" customHeight="1">
      <c r="A21" s="455" t="s">
        <v>253</v>
      </c>
      <c r="B21" s="456" t="s">
        <v>410</v>
      </c>
      <c r="C21" s="456"/>
      <c r="D21" s="456"/>
      <c r="E21" s="456"/>
      <c r="F21" s="448"/>
      <c r="G21" s="448"/>
      <c r="H21" s="448"/>
      <c r="I21" s="448"/>
      <c r="J21" s="448"/>
      <c r="K21" s="448"/>
      <c r="L21" s="448"/>
    </row>
    <row r="22" spans="1:12" ht="48" customHeight="1">
      <c r="A22" s="457"/>
      <c r="B22" s="456"/>
      <c r="C22" s="456"/>
      <c r="D22" s="456"/>
      <c r="E22" s="456"/>
      <c r="F22" s="448"/>
      <c r="G22" s="448"/>
      <c r="H22" s="448"/>
      <c r="I22" s="448"/>
      <c r="J22" s="448"/>
      <c r="K22" s="448"/>
      <c r="L22" s="448"/>
    </row>
    <row r="23" spans="1:12" ht="15" customHeight="1">
      <c r="A23" s="448"/>
      <c r="B23" s="448"/>
      <c r="C23" s="448"/>
      <c r="D23" s="448"/>
      <c r="E23" s="448"/>
      <c r="F23" s="448"/>
      <c r="G23" s="448"/>
      <c r="H23" s="448"/>
      <c r="I23" s="448"/>
      <c r="J23" s="448"/>
      <c r="K23" s="448"/>
      <c r="L23" s="448"/>
    </row>
    <row r="24" spans="1:12" ht="15" customHeight="1">
      <c r="A24" s="448"/>
      <c r="B24" s="448"/>
      <c r="C24" s="448"/>
      <c r="D24" s="448"/>
      <c r="E24" s="448"/>
      <c r="F24" s="448"/>
      <c r="G24" s="448"/>
      <c r="H24" s="448"/>
      <c r="I24" s="448"/>
      <c r="J24" s="448"/>
      <c r="K24" s="448"/>
      <c r="L24" s="448"/>
    </row>
    <row r="25" spans="1:12" ht="15" customHeight="1">
      <c r="A25" s="458" t="s">
        <v>344</v>
      </c>
      <c r="B25" s="447"/>
      <c r="C25" s="447"/>
      <c r="D25" s="447"/>
      <c r="E25" s="447"/>
      <c r="F25" s="447"/>
      <c r="G25" s="447"/>
      <c r="H25" s="447"/>
      <c r="I25" s="447"/>
      <c r="J25" s="447"/>
      <c r="K25" s="447"/>
      <c r="L25" s="447"/>
    </row>
    <row r="26" spans="1:12" ht="15" customHeight="1">
      <c r="A26" s="448"/>
      <c r="B26" s="448"/>
      <c r="C26" s="448"/>
      <c r="D26" s="448"/>
      <c r="E26" s="448"/>
      <c r="F26" s="448"/>
      <c r="G26" s="448"/>
      <c r="H26" s="448"/>
      <c r="I26" s="448"/>
      <c r="J26" s="448"/>
      <c r="K26" s="448"/>
      <c r="L26" s="448"/>
    </row>
    <row r="27" spans="1:12" ht="15" customHeight="1">
      <c r="A27" s="439" t="s">
        <v>231</v>
      </c>
      <c r="B27" s="439" t="s">
        <v>255</v>
      </c>
      <c r="C27" s="439" t="s">
        <v>260</v>
      </c>
      <c r="D27" s="439" t="s">
        <v>244</v>
      </c>
      <c r="E27" s="439" t="s">
        <v>316</v>
      </c>
      <c r="F27" s="439" t="s">
        <v>360</v>
      </c>
      <c r="G27" s="439" t="s">
        <v>252</v>
      </c>
      <c r="H27" s="439" t="s">
        <v>411</v>
      </c>
      <c r="I27" s="439" t="s">
        <v>345</v>
      </c>
      <c r="J27" s="439" t="s">
        <v>335</v>
      </c>
      <c r="K27" s="439"/>
      <c r="L27" s="439"/>
    </row>
    <row r="28" spans="1:12" ht="42" customHeight="1">
      <c r="A28" s="440" t="s">
        <v>317</v>
      </c>
      <c r="B28" s="440">
        <v>1</v>
      </c>
      <c r="C28" s="442">
        <v>1.9607843137254902E-2</v>
      </c>
      <c r="D28" s="443">
        <v>0.625</v>
      </c>
      <c r="E28" s="443">
        <v>0.625</v>
      </c>
      <c r="F28" s="440">
        <v>0</v>
      </c>
      <c r="G28" s="440">
        <v>0</v>
      </c>
      <c r="H28" s="440">
        <v>0</v>
      </c>
      <c r="I28" s="441" t="s">
        <v>346</v>
      </c>
      <c r="J28" s="437" t="s">
        <v>319</v>
      </c>
      <c r="K28" s="437"/>
      <c r="L28" s="437"/>
    </row>
    <row r="29" spans="1:12" ht="42" customHeight="1">
      <c r="A29" s="440" t="s">
        <v>429</v>
      </c>
      <c r="B29" s="440">
        <v>1</v>
      </c>
      <c r="C29" s="442">
        <v>1.7241379310344827E-2</v>
      </c>
      <c r="D29" s="443">
        <v>0</v>
      </c>
      <c r="E29" s="443">
        <v>0</v>
      </c>
      <c r="F29" s="440">
        <v>0</v>
      </c>
      <c r="G29" s="440">
        <v>0</v>
      </c>
      <c r="H29" s="440">
        <v>1</v>
      </c>
      <c r="I29" s="441" t="s">
        <v>412</v>
      </c>
      <c r="J29" s="437" t="s">
        <v>413</v>
      </c>
      <c r="K29" s="437"/>
      <c r="L29" s="437"/>
    </row>
    <row r="30" spans="1:12" ht="42" customHeight="1">
      <c r="A30" s="440" t="s">
        <v>358</v>
      </c>
      <c r="B30" s="440">
        <v>1</v>
      </c>
      <c r="C30" s="442">
        <v>1.6949152542372881E-2</v>
      </c>
      <c r="D30" s="443">
        <v>0.5</v>
      </c>
      <c r="E30" s="443">
        <v>0.5</v>
      </c>
      <c r="F30" s="440">
        <v>1</v>
      </c>
      <c r="G30" s="440">
        <v>0</v>
      </c>
      <c r="H30" s="440">
        <v>0</v>
      </c>
      <c r="I30" s="441" t="s">
        <v>361</v>
      </c>
      <c r="J30" s="437" t="s">
        <v>362</v>
      </c>
      <c r="K30" s="437"/>
      <c r="L30" s="437"/>
    </row>
    <row r="31" spans="1:12" ht="42" customHeight="1">
      <c r="A31" s="440" t="s">
        <v>195</v>
      </c>
      <c r="B31" s="440">
        <v>1</v>
      </c>
      <c r="C31" s="442">
        <v>1.6393442622950821E-2</v>
      </c>
      <c r="D31" s="443">
        <v>1</v>
      </c>
      <c r="E31" s="443">
        <v>1</v>
      </c>
      <c r="F31" s="440">
        <v>0</v>
      </c>
      <c r="G31" s="440">
        <v>1</v>
      </c>
      <c r="H31" s="440">
        <v>0</v>
      </c>
      <c r="I31" s="441" t="s">
        <v>361</v>
      </c>
      <c r="J31" s="437" t="s">
        <v>364</v>
      </c>
      <c r="K31" s="437"/>
      <c r="L31" s="437"/>
    </row>
    <row r="32" spans="1:12" ht="15" customHeight="1">
      <c r="A32" s="448"/>
      <c r="B32" s="448"/>
      <c r="C32" s="448"/>
      <c r="D32" s="448"/>
      <c r="E32" s="448"/>
      <c r="F32" s="448"/>
      <c r="G32" s="448"/>
      <c r="H32" s="448"/>
      <c r="I32" s="448"/>
      <c r="J32" s="448"/>
      <c r="K32" s="448"/>
      <c r="L32" s="448"/>
    </row>
    <row r="33" spans="1:12" ht="15" customHeight="1">
      <c r="A33" s="448"/>
      <c r="B33" s="448"/>
      <c r="C33" s="448"/>
      <c r="D33" s="448"/>
      <c r="E33" s="448"/>
      <c r="F33" s="448"/>
      <c r="G33" s="448"/>
      <c r="H33" s="448"/>
      <c r="I33" s="448"/>
      <c r="J33" s="448"/>
      <c r="K33" s="448"/>
      <c r="L33" s="448"/>
    </row>
    <row r="34" spans="1:12" ht="15" customHeight="1">
      <c r="A34" s="448"/>
      <c r="B34" s="448"/>
      <c r="C34" s="448"/>
      <c r="D34" s="448"/>
      <c r="E34" s="448"/>
      <c r="F34" s="448"/>
      <c r="G34" s="448"/>
      <c r="H34" s="448"/>
      <c r="I34" s="448"/>
      <c r="J34" s="448"/>
      <c r="K34" s="448"/>
      <c r="L34" s="448"/>
    </row>
    <row r="35" spans="1:12" ht="15" customHeight="1">
      <c r="A35" s="459" t="s">
        <v>347</v>
      </c>
      <c r="B35" s="457"/>
      <c r="C35" s="457"/>
      <c r="D35" s="457"/>
      <c r="E35" s="457"/>
      <c r="F35" s="448"/>
      <c r="G35" s="448"/>
      <c r="H35" s="448"/>
      <c r="I35" s="448"/>
      <c r="J35" s="448"/>
      <c r="K35" s="448"/>
      <c r="L35" s="448"/>
    </row>
    <row r="36" spans="1:12" ht="38" customHeight="1">
      <c r="A36" s="453" t="s">
        <v>258</v>
      </c>
      <c r="B36" s="456" t="s">
        <v>261</v>
      </c>
      <c r="C36" s="456"/>
      <c r="D36" s="456"/>
      <c r="E36" s="456"/>
      <c r="F36" s="448"/>
      <c r="G36" s="448"/>
      <c r="H36" s="448"/>
      <c r="I36" s="448"/>
      <c r="J36" s="448"/>
      <c r="K36" s="448"/>
      <c r="L36" s="448"/>
    </row>
    <row r="37" spans="1:12" ht="38" customHeight="1">
      <c r="A37" s="453" t="s">
        <v>244</v>
      </c>
      <c r="B37" s="456" t="s">
        <v>348</v>
      </c>
      <c r="C37" s="456"/>
      <c r="D37" s="456"/>
      <c r="E37" s="456"/>
      <c r="F37" s="448"/>
      <c r="G37" s="448"/>
      <c r="H37" s="448"/>
      <c r="I37" s="448"/>
      <c r="J37" s="448"/>
      <c r="K37" s="448"/>
      <c r="L37" s="448"/>
    </row>
    <row r="38" spans="1:12" ht="38" customHeight="1">
      <c r="A38" s="453" t="s">
        <v>314</v>
      </c>
      <c r="B38" s="456" t="s">
        <v>349</v>
      </c>
      <c r="C38" s="456"/>
      <c r="D38" s="456"/>
      <c r="E38" s="456"/>
      <c r="F38" s="448"/>
      <c r="G38" s="448"/>
      <c r="H38" s="448"/>
      <c r="I38" s="448"/>
      <c r="J38" s="448"/>
      <c r="K38" s="448"/>
      <c r="L38" s="448"/>
    </row>
    <row r="39" spans="1:12" ht="38" customHeight="1">
      <c r="A39" s="453" t="s">
        <v>256</v>
      </c>
      <c r="B39" s="456" t="s">
        <v>350</v>
      </c>
      <c r="C39" s="456"/>
      <c r="D39" s="456"/>
      <c r="E39" s="456"/>
      <c r="F39" s="448"/>
      <c r="G39" s="448"/>
      <c r="H39" s="448"/>
      <c r="I39" s="448"/>
      <c r="J39" s="448"/>
      <c r="K39" s="448"/>
      <c r="L39" s="448"/>
    </row>
    <row r="40" spans="1:12" ht="38" customHeight="1">
      <c r="A40" s="453" t="s">
        <v>245</v>
      </c>
      <c r="B40" s="456" t="s">
        <v>351</v>
      </c>
      <c r="C40" s="456"/>
      <c r="D40" s="456"/>
      <c r="E40" s="456"/>
      <c r="F40" s="448"/>
      <c r="G40" s="448"/>
      <c r="H40" s="448"/>
      <c r="I40" s="448"/>
      <c r="J40" s="448"/>
      <c r="K40" s="448"/>
      <c r="L40" s="448"/>
    </row>
    <row r="41" spans="1:12" ht="38" customHeight="1">
      <c r="A41" s="453" t="s">
        <v>257</v>
      </c>
      <c r="B41" s="456" t="s">
        <v>352</v>
      </c>
      <c r="C41" s="456"/>
      <c r="D41" s="456"/>
      <c r="E41" s="456"/>
      <c r="F41" s="448"/>
      <c r="G41" s="448"/>
      <c r="H41" s="448"/>
      <c r="I41" s="448"/>
      <c r="J41" s="448"/>
      <c r="K41" s="448"/>
      <c r="L41" s="448"/>
    </row>
    <row r="42" spans="1:12" ht="38" customHeight="1">
      <c r="A42" s="453" t="s">
        <v>254</v>
      </c>
      <c r="B42" s="456" t="s">
        <v>353</v>
      </c>
      <c r="C42" s="456"/>
      <c r="D42" s="456"/>
      <c r="E42" s="456"/>
      <c r="F42" s="448"/>
      <c r="G42" s="448"/>
      <c r="H42" s="448"/>
      <c r="I42" s="448"/>
      <c r="J42" s="448"/>
      <c r="K42" s="448"/>
      <c r="L42" s="448"/>
    </row>
    <row r="43" spans="1:12" ht="38" customHeight="1">
      <c r="A43" s="453" t="s">
        <v>354</v>
      </c>
      <c r="B43" s="456" t="s">
        <v>355</v>
      </c>
      <c r="C43" s="456"/>
      <c r="D43" s="456"/>
      <c r="E43" s="456"/>
      <c r="F43" s="448"/>
      <c r="G43" s="448"/>
      <c r="H43" s="448"/>
      <c r="I43" s="448"/>
      <c r="J43" s="448"/>
      <c r="K43" s="448"/>
      <c r="L43" s="448"/>
    </row>
  </sheetData>
  <sheetProtection algorithmName="SHA-512" hashValue="bom9meq9yA+MwsNgeqLNgXc+Pj8K5ZYZp+ICJG+UpN5Dd4I8eTecdEVyCCjKjLvtgch22W8gh7V5PIr8lAGESw==" saltValue="uakjJ0jGfHUEnGkrDYABPg==" spinCount="100000" sheet="1" objects="1" scenarios="1"/>
  <mergeCells count="28">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DVpQzCX1Cq1lUr3DmXCwNWpc8qeEfIroaSrjAdAbBHGepof5rrHGhO6RniexrO1HraLFnJQWOSfmDR2VFN1cyA==" saltValue="KBuJfGBLoFublZd3lAhQeA=="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4"/>
  <sheetViews>
    <sheetView workbookViewId="0"/>
  </sheetViews>
  <sheetFormatPr baseColWidth="10" defaultRowHeight="14.5"/>
  <sheetData>
    <row r="1" spans="1:940">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EI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HL1" s="182">
        <v>173</v>
      </c>
      <c r="HM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KM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QS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WW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B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c r="AJD1" s="182">
        <v>173</v>
      </c>
    </row>
    <row r="2" spans="1:940">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EI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HL2" s="182">
        <v>151.38</v>
      </c>
      <c r="HM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KM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QS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WW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B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c r="AJD2" s="182">
        <v>151.38</v>
      </c>
    </row>
    <row r="3" spans="1:940">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EI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HL3" s="182">
        <v>138.4</v>
      </c>
      <c r="HM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KM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QS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WW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B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c r="AJD3" s="182">
        <v>138.4</v>
      </c>
    </row>
    <row r="4" spans="1:940">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EI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HL4" s="182">
        <v>129.75</v>
      </c>
      <c r="HM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KM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QS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WW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B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c r="AJD4" s="182">
        <v>129.75</v>
      </c>
    </row>
    <row r="5" spans="1:940">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EI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HL5" s="182">
        <v>108.13</v>
      </c>
      <c r="HM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KM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QS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WW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B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c r="AJD5" s="182">
        <v>108.13</v>
      </c>
    </row>
    <row r="6" spans="1:940">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EI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HL6" s="182">
        <v>103.8</v>
      </c>
      <c r="HM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KM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QS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WW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B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c r="AJD6" s="182">
        <v>103.8</v>
      </c>
    </row>
    <row r="7" spans="1:940">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EI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HL7" s="182">
        <v>86.5</v>
      </c>
      <c r="HM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KM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QS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WW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B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c r="AJD7" s="182">
        <v>86.5</v>
      </c>
    </row>
    <row r="8" spans="1:940">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EI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HL8" s="182">
        <v>69.2</v>
      </c>
      <c r="HM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KM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QS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WW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B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c r="AJD8" s="182">
        <v>69.2</v>
      </c>
    </row>
    <row r="9" spans="1:940">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EI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HL9" s="182">
        <v>51.9</v>
      </c>
      <c r="HM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KM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QS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WW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B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c r="AJD9" s="182">
        <v>51.9</v>
      </c>
    </row>
    <row r="10" spans="1:940">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EI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HL10" s="182">
        <v>47.58</v>
      </c>
      <c r="HM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KM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QS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WW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B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c r="AJD10" s="182">
        <v>47.58</v>
      </c>
    </row>
    <row r="11" spans="1:940">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EI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HL11" s="182">
        <v>43.25</v>
      </c>
      <c r="HM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KM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QS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WW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B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c r="AJD11" s="182">
        <v>43.25</v>
      </c>
    </row>
    <row r="12" spans="1:940">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EI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HL12" s="182">
        <v>34.6</v>
      </c>
      <c r="HM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KM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QS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WW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B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c r="AJD12" s="182">
        <v>34.6</v>
      </c>
    </row>
    <row r="13" spans="1:940">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EI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HL13" s="182">
        <v>32.01</v>
      </c>
      <c r="HM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KM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QS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WW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B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c r="AJD13" s="182">
        <v>32.01</v>
      </c>
    </row>
    <row r="14" spans="1:940">
      <c r="LI14" s="182">
        <v>20</v>
      </c>
      <c r="LW14" s="182">
        <v>20</v>
      </c>
      <c r="LX14" s="182">
        <v>20</v>
      </c>
      <c r="LY14" s="182">
        <v>20</v>
      </c>
      <c r="MA14" s="182">
        <v>20</v>
      </c>
      <c r="MB14" s="182">
        <v>20</v>
      </c>
      <c r="MC14" s="182">
        <v>20</v>
      </c>
      <c r="MF14" s="182">
        <v>20</v>
      </c>
      <c r="MG14" s="182">
        <v>20</v>
      </c>
      <c r="MH14" s="182">
        <v>20</v>
      </c>
      <c r="MJ14" s="182">
        <v>20</v>
      </c>
      <c r="MK14" s="182">
        <v>20</v>
      </c>
      <c r="ML14" s="182">
        <v>20</v>
      </c>
      <c r="MM14" s="182">
        <v>20</v>
      </c>
      <c r="MN14" s="182">
        <v>20</v>
      </c>
      <c r="MO14" s="182">
        <v>20</v>
      </c>
      <c r="MP14" s="182">
        <v>20</v>
      </c>
      <c r="MQ14" s="182">
        <v>20</v>
      </c>
      <c r="MR14" s="182">
        <v>20</v>
      </c>
      <c r="MS14" s="182">
        <v>20</v>
      </c>
      <c r="MT14" s="182">
        <v>20</v>
      </c>
      <c r="MU14" s="182">
        <v>20</v>
      </c>
      <c r="MV14" s="182">
        <v>20</v>
      </c>
      <c r="MW14" s="182">
        <v>20</v>
      </c>
      <c r="MX14" s="182">
        <v>20</v>
      </c>
      <c r="MY14" s="182">
        <v>20</v>
      </c>
      <c r="MZ14" s="182">
        <v>20</v>
      </c>
      <c r="NA14" s="182">
        <v>20</v>
      </c>
      <c r="NB14" s="182">
        <v>20</v>
      </c>
      <c r="NC14" s="182">
        <v>20</v>
      </c>
      <c r="ND14" s="182">
        <v>20</v>
      </c>
      <c r="NE14" s="182">
        <v>20</v>
      </c>
      <c r="NF14" s="182">
        <v>20</v>
      </c>
      <c r="NG14" s="182">
        <v>20</v>
      </c>
      <c r="NH14" s="182">
        <v>20</v>
      </c>
      <c r="NI14" s="182">
        <v>20</v>
      </c>
      <c r="NJ14" s="182">
        <v>20</v>
      </c>
      <c r="NK14" s="182">
        <v>20</v>
      </c>
      <c r="NL14" s="182">
        <v>20</v>
      </c>
      <c r="NM14" s="182">
        <v>20</v>
      </c>
      <c r="NN14" s="182">
        <v>20</v>
      </c>
      <c r="NP14" s="182">
        <v>20</v>
      </c>
      <c r="NQ14" s="182">
        <v>20</v>
      </c>
      <c r="OK14" s="182">
        <v>20</v>
      </c>
      <c r="OY14" s="182">
        <v>20</v>
      </c>
      <c r="OZ14" s="182">
        <v>20</v>
      </c>
      <c r="PA14" s="182">
        <v>20</v>
      </c>
      <c r="PC14" s="182">
        <v>20</v>
      </c>
      <c r="PD14" s="182">
        <v>20</v>
      </c>
      <c r="PE14" s="182">
        <v>20</v>
      </c>
      <c r="PH14" s="182">
        <v>20</v>
      </c>
      <c r="PI14" s="182">
        <v>20</v>
      </c>
      <c r="PJ14" s="182">
        <v>20</v>
      </c>
      <c r="PL14" s="182">
        <v>20</v>
      </c>
      <c r="PM14" s="182">
        <v>20</v>
      </c>
      <c r="PN14" s="182">
        <v>20</v>
      </c>
      <c r="PO14" s="182">
        <v>20</v>
      </c>
      <c r="PP14" s="182">
        <v>20</v>
      </c>
      <c r="PQ14" s="182">
        <v>20</v>
      </c>
      <c r="PR14" s="182">
        <v>20</v>
      </c>
      <c r="PS14" s="182">
        <v>20</v>
      </c>
      <c r="PT14" s="182">
        <v>20</v>
      </c>
      <c r="PU14" s="182">
        <v>20</v>
      </c>
      <c r="PV14" s="182">
        <v>20</v>
      </c>
      <c r="PW14" s="182">
        <v>20</v>
      </c>
      <c r="PX14" s="182">
        <v>20</v>
      </c>
      <c r="PY14" s="182">
        <v>20</v>
      </c>
      <c r="PZ14" s="182">
        <v>20</v>
      </c>
      <c r="QA14" s="182">
        <v>20</v>
      </c>
      <c r="QB14" s="182">
        <v>20</v>
      </c>
      <c r="QC14" s="182">
        <v>20</v>
      </c>
      <c r="QD14" s="182">
        <v>20</v>
      </c>
      <c r="QE14" s="182">
        <v>20</v>
      </c>
      <c r="QF14" s="182">
        <v>20</v>
      </c>
      <c r="QG14" s="182">
        <v>20</v>
      </c>
      <c r="QH14" s="182">
        <v>20</v>
      </c>
      <c r="QI14" s="182">
        <v>20</v>
      </c>
      <c r="QJ14" s="182">
        <v>20</v>
      </c>
      <c r="QK14" s="182">
        <v>20</v>
      </c>
      <c r="QL14" s="182">
        <v>20</v>
      </c>
      <c r="QM14" s="182">
        <v>20</v>
      </c>
      <c r="QN14" s="182">
        <v>20</v>
      </c>
      <c r="QO14" s="182">
        <v>20</v>
      </c>
      <c r="QP14" s="182">
        <v>20</v>
      </c>
      <c r="QR14" s="182">
        <v>20</v>
      </c>
      <c r="QS14" s="182">
        <v>20</v>
      </c>
      <c r="RM14" s="182">
        <v>20</v>
      </c>
      <c r="SA14" s="182">
        <v>20</v>
      </c>
      <c r="SB14" s="182">
        <v>20</v>
      </c>
      <c r="SC14" s="182">
        <v>20</v>
      </c>
      <c r="SE14" s="182">
        <v>20</v>
      </c>
      <c r="SF14" s="182">
        <v>20</v>
      </c>
      <c r="SG14" s="182">
        <v>20</v>
      </c>
      <c r="SJ14" s="182">
        <v>20</v>
      </c>
      <c r="SK14" s="182">
        <v>20</v>
      </c>
      <c r="SL14" s="182">
        <v>20</v>
      </c>
      <c r="SN14" s="182">
        <v>20</v>
      </c>
      <c r="SO14" s="182">
        <v>20</v>
      </c>
      <c r="SP14" s="182">
        <v>20</v>
      </c>
      <c r="SQ14" s="182">
        <v>20</v>
      </c>
      <c r="SR14" s="182">
        <v>20</v>
      </c>
      <c r="SS14" s="182">
        <v>20</v>
      </c>
      <c r="ST14" s="182">
        <v>20</v>
      </c>
      <c r="SU14" s="182">
        <v>20</v>
      </c>
      <c r="SV14" s="182">
        <v>20</v>
      </c>
      <c r="SW14" s="182">
        <v>20</v>
      </c>
      <c r="SX14" s="182">
        <v>20</v>
      </c>
      <c r="SY14" s="182">
        <v>20</v>
      </c>
      <c r="SZ14" s="182">
        <v>20</v>
      </c>
      <c r="TA14" s="182">
        <v>20</v>
      </c>
      <c r="TB14" s="182">
        <v>20</v>
      </c>
      <c r="TC14" s="182">
        <v>20</v>
      </c>
      <c r="TD14" s="182">
        <v>20</v>
      </c>
      <c r="TE14" s="182">
        <v>20</v>
      </c>
      <c r="TF14" s="182">
        <v>20</v>
      </c>
      <c r="TG14" s="182">
        <v>20</v>
      </c>
      <c r="TH14" s="182">
        <v>20</v>
      </c>
      <c r="TI14" s="182">
        <v>20</v>
      </c>
      <c r="TJ14" s="182">
        <v>20</v>
      </c>
      <c r="TK14" s="182">
        <v>20</v>
      </c>
      <c r="TL14" s="182">
        <v>20</v>
      </c>
      <c r="TM14" s="182">
        <v>20</v>
      </c>
      <c r="TN14" s="182">
        <v>20</v>
      </c>
      <c r="TO14" s="182">
        <v>20</v>
      </c>
      <c r="TP14" s="182">
        <v>20</v>
      </c>
      <c r="TQ14" s="182">
        <v>20</v>
      </c>
      <c r="TR14" s="182">
        <v>20</v>
      </c>
      <c r="TT14" s="182">
        <v>20</v>
      </c>
      <c r="UO14" s="182">
        <v>20</v>
      </c>
      <c r="VC14" s="182">
        <v>20</v>
      </c>
      <c r="VD14" s="182">
        <v>20</v>
      </c>
      <c r="VE14" s="182">
        <v>20</v>
      </c>
      <c r="VG14" s="182">
        <v>20</v>
      </c>
      <c r="VH14" s="182">
        <v>20</v>
      </c>
      <c r="VI14" s="182">
        <v>20</v>
      </c>
      <c r="VL14" s="182">
        <v>20</v>
      </c>
      <c r="VM14" s="182">
        <v>20</v>
      </c>
      <c r="VN14" s="182">
        <v>20</v>
      </c>
      <c r="VP14" s="182">
        <v>20</v>
      </c>
      <c r="VQ14" s="182">
        <v>20</v>
      </c>
      <c r="VR14" s="182">
        <v>20</v>
      </c>
      <c r="VS14" s="182">
        <v>20</v>
      </c>
      <c r="VT14" s="182">
        <v>20</v>
      </c>
      <c r="VU14" s="182">
        <v>20</v>
      </c>
      <c r="VV14" s="182">
        <v>20</v>
      </c>
      <c r="VW14" s="182">
        <v>20</v>
      </c>
      <c r="VX14" s="182">
        <v>20</v>
      </c>
      <c r="VY14" s="182">
        <v>20</v>
      </c>
      <c r="VZ14" s="182">
        <v>20</v>
      </c>
      <c r="WA14" s="182">
        <v>20</v>
      </c>
      <c r="WB14" s="182">
        <v>20</v>
      </c>
      <c r="WC14" s="182">
        <v>20</v>
      </c>
      <c r="WD14" s="182">
        <v>20</v>
      </c>
      <c r="WE14" s="182">
        <v>20</v>
      </c>
      <c r="WF14" s="182">
        <v>20</v>
      </c>
      <c r="WG14" s="182">
        <v>20</v>
      </c>
      <c r="WH14" s="182">
        <v>20</v>
      </c>
      <c r="WI14" s="182">
        <v>20</v>
      </c>
      <c r="WJ14" s="182">
        <v>20</v>
      </c>
      <c r="WK14" s="182">
        <v>20</v>
      </c>
      <c r="WL14" s="182">
        <v>20</v>
      </c>
      <c r="WM14" s="182">
        <v>20</v>
      </c>
      <c r="WN14" s="182">
        <v>20</v>
      </c>
      <c r="WO14" s="182">
        <v>20</v>
      </c>
      <c r="WP14" s="182">
        <v>20</v>
      </c>
      <c r="WQ14" s="182">
        <v>20</v>
      </c>
      <c r="WR14" s="182">
        <v>20</v>
      </c>
      <c r="WS14" s="182">
        <v>20</v>
      </c>
      <c r="WT14" s="182">
        <v>20</v>
      </c>
      <c r="WV14" s="182">
        <v>20</v>
      </c>
      <c r="WW14" s="182">
        <v>20</v>
      </c>
      <c r="XQ14" s="182">
        <v>20</v>
      </c>
      <c r="YE14" s="182">
        <v>20</v>
      </c>
      <c r="YF14" s="182">
        <v>20</v>
      </c>
      <c r="YG14" s="182">
        <v>20</v>
      </c>
      <c r="YI14" s="182">
        <v>20</v>
      </c>
      <c r="YJ14" s="182">
        <v>20</v>
      </c>
      <c r="YK14" s="182">
        <v>20</v>
      </c>
      <c r="YN14" s="182">
        <v>20</v>
      </c>
      <c r="YO14" s="182">
        <v>20</v>
      </c>
      <c r="YP14" s="182">
        <v>20</v>
      </c>
      <c r="YR14" s="182">
        <v>20</v>
      </c>
      <c r="YS14" s="182">
        <v>20</v>
      </c>
      <c r="YT14" s="182">
        <v>20</v>
      </c>
      <c r="YU14" s="182">
        <v>20</v>
      </c>
      <c r="YV14" s="182">
        <v>20</v>
      </c>
      <c r="YW14" s="182">
        <v>20</v>
      </c>
      <c r="YX14" s="182">
        <v>20</v>
      </c>
      <c r="YY14" s="182">
        <v>20</v>
      </c>
      <c r="YZ14" s="182">
        <v>20</v>
      </c>
      <c r="ZA14" s="182">
        <v>20</v>
      </c>
      <c r="ZB14" s="182">
        <v>20</v>
      </c>
      <c r="ZC14" s="182">
        <v>20</v>
      </c>
      <c r="ZD14" s="182">
        <v>20</v>
      </c>
      <c r="ZE14" s="182">
        <v>20</v>
      </c>
      <c r="ZF14" s="182">
        <v>20</v>
      </c>
      <c r="ZG14" s="182">
        <v>20</v>
      </c>
      <c r="ZH14" s="182">
        <v>20</v>
      </c>
      <c r="ZI14" s="182">
        <v>20</v>
      </c>
      <c r="ZJ14" s="182">
        <v>20</v>
      </c>
      <c r="ZK14" s="182">
        <v>20</v>
      </c>
      <c r="ZL14" s="182">
        <v>20</v>
      </c>
      <c r="ZM14" s="182">
        <v>20</v>
      </c>
      <c r="ZN14" s="182">
        <v>20</v>
      </c>
      <c r="ZO14" s="182">
        <v>20</v>
      </c>
      <c r="ZP14" s="182">
        <v>20</v>
      </c>
      <c r="ZQ14" s="182">
        <v>20</v>
      </c>
      <c r="ZR14" s="182">
        <v>20</v>
      </c>
      <c r="ZS14" s="182">
        <v>20</v>
      </c>
      <c r="ZT14" s="182">
        <v>20</v>
      </c>
      <c r="ZU14" s="182">
        <v>20</v>
      </c>
      <c r="ZW14" s="182">
        <v>20</v>
      </c>
      <c r="AAS14" s="182">
        <v>20</v>
      </c>
      <c r="ABG14" s="182">
        <v>20</v>
      </c>
      <c r="ABH14" s="182">
        <v>20</v>
      </c>
      <c r="ABI14" s="182">
        <v>20</v>
      </c>
      <c r="ABK14" s="182">
        <v>20</v>
      </c>
      <c r="ABL14" s="182">
        <v>20</v>
      </c>
      <c r="ABM14" s="182">
        <v>20</v>
      </c>
      <c r="ABP14" s="182">
        <v>20</v>
      </c>
      <c r="ABQ14" s="182">
        <v>20</v>
      </c>
      <c r="ABR14" s="182">
        <v>20</v>
      </c>
      <c r="ABT14" s="182">
        <v>20</v>
      </c>
      <c r="ABU14" s="182">
        <v>20</v>
      </c>
      <c r="ABV14" s="182">
        <v>20</v>
      </c>
      <c r="ABW14" s="182">
        <v>20</v>
      </c>
      <c r="ABX14" s="182">
        <v>20</v>
      </c>
      <c r="ABY14" s="182">
        <v>20</v>
      </c>
      <c r="ABZ14" s="182">
        <v>20</v>
      </c>
      <c r="ACA14" s="182">
        <v>20</v>
      </c>
      <c r="ACB14" s="182">
        <v>20</v>
      </c>
      <c r="ACC14" s="182">
        <v>20</v>
      </c>
      <c r="ACD14" s="182">
        <v>20</v>
      </c>
      <c r="ACE14" s="182">
        <v>20</v>
      </c>
      <c r="ACF14" s="182">
        <v>20</v>
      </c>
      <c r="ACG14" s="182">
        <v>20</v>
      </c>
      <c r="ACH14" s="182">
        <v>20</v>
      </c>
      <c r="ACI14" s="182">
        <v>20</v>
      </c>
      <c r="ACJ14" s="182">
        <v>20</v>
      </c>
      <c r="ACK14" s="182">
        <v>20</v>
      </c>
      <c r="ACL14" s="182">
        <v>20</v>
      </c>
      <c r="ACM14" s="182">
        <v>20</v>
      </c>
      <c r="ACN14" s="182">
        <v>20</v>
      </c>
      <c r="ACO14" s="182">
        <v>20</v>
      </c>
      <c r="ACP14" s="182">
        <v>20</v>
      </c>
      <c r="ACQ14" s="182">
        <v>20</v>
      </c>
      <c r="ACR14" s="182">
        <v>20</v>
      </c>
      <c r="ACS14" s="182">
        <v>20</v>
      </c>
      <c r="ACT14" s="182">
        <v>20</v>
      </c>
      <c r="ACU14" s="182">
        <v>20</v>
      </c>
      <c r="ACV14" s="182">
        <v>20</v>
      </c>
      <c r="ACW14" s="182">
        <v>20</v>
      </c>
      <c r="ACY14" s="182">
        <v>20</v>
      </c>
      <c r="ADU14" s="182">
        <v>20</v>
      </c>
      <c r="AEI14" s="182">
        <v>20</v>
      </c>
      <c r="AEJ14" s="182">
        <v>20</v>
      </c>
      <c r="AEK14" s="182">
        <v>20</v>
      </c>
      <c r="AEM14" s="182">
        <v>20</v>
      </c>
      <c r="AEN14" s="182">
        <v>20</v>
      </c>
      <c r="AEO14" s="182">
        <v>20</v>
      </c>
      <c r="AER14" s="182">
        <v>20</v>
      </c>
      <c r="AES14" s="182">
        <v>20</v>
      </c>
      <c r="AET14" s="182">
        <v>20</v>
      </c>
      <c r="AEV14" s="182">
        <v>20</v>
      </c>
      <c r="AEW14" s="182">
        <v>20</v>
      </c>
      <c r="AEX14" s="182">
        <v>20</v>
      </c>
      <c r="AEY14" s="182">
        <v>20</v>
      </c>
      <c r="AEZ14" s="182">
        <v>20</v>
      </c>
      <c r="AFA14" s="182">
        <v>20</v>
      </c>
      <c r="AFB14" s="182">
        <v>20</v>
      </c>
      <c r="AFC14" s="182">
        <v>20</v>
      </c>
      <c r="AFD14" s="182">
        <v>20</v>
      </c>
      <c r="AFE14" s="182">
        <v>20</v>
      </c>
      <c r="AFF14" s="182">
        <v>20</v>
      </c>
      <c r="AFG14" s="182">
        <v>20</v>
      </c>
      <c r="AFH14" s="182">
        <v>20</v>
      </c>
      <c r="AFI14" s="182">
        <v>20</v>
      </c>
      <c r="AFJ14" s="182">
        <v>20</v>
      </c>
      <c r="AFK14" s="182">
        <v>20</v>
      </c>
      <c r="AFL14" s="182">
        <v>20</v>
      </c>
      <c r="AFM14" s="182">
        <v>20</v>
      </c>
      <c r="AFN14" s="182">
        <v>20</v>
      </c>
      <c r="AFO14" s="182">
        <v>20</v>
      </c>
      <c r="AFP14" s="182">
        <v>20</v>
      </c>
      <c r="AFQ14" s="182">
        <v>20</v>
      </c>
      <c r="AFR14" s="182">
        <v>20</v>
      </c>
      <c r="AFS14" s="182">
        <v>20</v>
      </c>
      <c r="AFT14" s="182">
        <v>20</v>
      </c>
      <c r="AFU14" s="182">
        <v>20</v>
      </c>
      <c r="AFV14" s="182">
        <v>20</v>
      </c>
      <c r="AFW14" s="182">
        <v>20</v>
      </c>
      <c r="AFX14" s="182">
        <v>20</v>
      </c>
      <c r="AFY14" s="182">
        <v>20</v>
      </c>
      <c r="AGA14" s="182">
        <v>20</v>
      </c>
      <c r="AGB14" s="182">
        <v>20</v>
      </c>
      <c r="AGW14" s="182">
        <v>20</v>
      </c>
      <c r="AHK14" s="182">
        <v>20</v>
      </c>
      <c r="AHL14" s="182">
        <v>20</v>
      </c>
      <c r="AHM14" s="182">
        <v>20</v>
      </c>
      <c r="AHO14" s="182">
        <v>20</v>
      </c>
      <c r="AHP14" s="182">
        <v>20</v>
      </c>
      <c r="AHQ14" s="182">
        <v>20</v>
      </c>
      <c r="AHT14" s="182">
        <v>20</v>
      </c>
      <c r="AHU14" s="182">
        <v>20</v>
      </c>
      <c r="AHV14" s="182">
        <v>20</v>
      </c>
      <c r="AHX14" s="182">
        <v>20</v>
      </c>
      <c r="AHY14" s="182">
        <v>20</v>
      </c>
      <c r="AHZ14" s="182">
        <v>20</v>
      </c>
      <c r="AIA14" s="182">
        <v>20</v>
      </c>
      <c r="AIB14" s="182">
        <v>20</v>
      </c>
      <c r="AIC14" s="182">
        <v>20</v>
      </c>
      <c r="AID14" s="182">
        <v>20</v>
      </c>
      <c r="AIE14" s="182">
        <v>20</v>
      </c>
      <c r="AIF14" s="182">
        <v>20</v>
      </c>
      <c r="AIG14" s="182">
        <v>20</v>
      </c>
      <c r="AIH14" s="182">
        <v>20</v>
      </c>
      <c r="AII14" s="182">
        <v>20</v>
      </c>
      <c r="AIJ14" s="182">
        <v>20</v>
      </c>
      <c r="AIK14" s="182">
        <v>20</v>
      </c>
      <c r="AIL14" s="182">
        <v>20</v>
      </c>
      <c r="AIM14" s="182">
        <v>20</v>
      </c>
      <c r="AIN14" s="182">
        <v>20</v>
      </c>
      <c r="AIO14" s="182">
        <v>20</v>
      </c>
      <c r="AIP14" s="182">
        <v>20</v>
      </c>
      <c r="AIQ14" s="182">
        <v>20</v>
      </c>
      <c r="AIR14" s="182">
        <v>20</v>
      </c>
      <c r="AIS14" s="182">
        <v>20</v>
      </c>
      <c r="AIT14" s="182">
        <v>20</v>
      </c>
      <c r="AIU14" s="182">
        <v>20</v>
      </c>
      <c r="AIV14" s="182">
        <v>20</v>
      </c>
      <c r="AIW14" s="182">
        <v>20</v>
      </c>
      <c r="AIX14" s="182">
        <v>20</v>
      </c>
      <c r="AIY14" s="182">
        <v>20</v>
      </c>
      <c r="AIZ14" s="182">
        <v>20</v>
      </c>
      <c r="AJA14" s="182">
        <v>20</v>
      </c>
      <c r="AJC14" s="182">
        <v>20</v>
      </c>
      <c r="AJD14" s="182">
        <v>20</v>
      </c>
    </row>
  </sheetData>
  <sheetProtection algorithmName="SHA-512" hashValue="9eC+LmWpKQwEjHnZyq+N99TmpO8MhKiBADagPTFK9L/vjwFMW/8eokN0Mp2k8KL4fg7itG/9Z7R7tf/AK9VvDg==" saltValue="NQ2K5AaJikeGbz3ES9zzW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7"/>
  <sheetViews>
    <sheetView workbookViewId="0"/>
  </sheetViews>
  <sheetFormatPr baseColWidth="10" defaultRowHeight="14.5"/>
  <sheetData>
    <row r="1" spans="1:5">
      <c r="A1" t="s">
        <v>374</v>
      </c>
      <c r="B1" t="s">
        <v>375</v>
      </c>
      <c r="C1" t="s">
        <v>376</v>
      </c>
      <c r="D1" t="s">
        <v>377</v>
      </c>
      <c r="E1" t="s">
        <v>378</v>
      </c>
    </row>
    <row r="2" spans="1:5">
      <c r="A2">
        <v>2026</v>
      </c>
      <c r="B2">
        <v>2</v>
      </c>
      <c r="C2" t="s">
        <v>424</v>
      </c>
      <c r="D2" t="s">
        <v>425</v>
      </c>
      <c r="E2" t="s">
        <v>4</v>
      </c>
    </row>
    <row r="3" spans="1:5">
      <c r="A3">
        <v>2026</v>
      </c>
      <c r="B3">
        <v>2</v>
      </c>
      <c r="C3" t="s">
        <v>424</v>
      </c>
      <c r="D3" t="s">
        <v>426</v>
      </c>
      <c r="E3">
        <v>173</v>
      </c>
    </row>
    <row r="4" spans="1:5">
      <c r="A4">
        <v>2026</v>
      </c>
      <c r="B4">
        <v>8</v>
      </c>
      <c r="C4" t="s">
        <v>424</v>
      </c>
      <c r="D4" t="s">
        <v>426</v>
      </c>
      <c r="E4">
        <v>129.75</v>
      </c>
    </row>
    <row r="5" spans="1:5">
      <c r="A5">
        <v>2026</v>
      </c>
      <c r="B5">
        <v>11</v>
      </c>
      <c r="C5" t="s">
        <v>424</v>
      </c>
      <c r="D5" t="s">
        <v>426</v>
      </c>
      <c r="E5">
        <v>151.38</v>
      </c>
    </row>
    <row r="6" spans="1:5">
      <c r="A6">
        <v>2026</v>
      </c>
      <c r="B6">
        <v>3</v>
      </c>
      <c r="C6" t="s">
        <v>428</v>
      </c>
      <c r="D6" t="s">
        <v>425</v>
      </c>
      <c r="E6" t="s">
        <v>4</v>
      </c>
    </row>
    <row r="7" spans="1:5">
      <c r="A7">
        <v>2026</v>
      </c>
      <c r="B7">
        <v>3</v>
      </c>
      <c r="C7" t="s">
        <v>428</v>
      </c>
      <c r="D7" t="s">
        <v>426</v>
      </c>
      <c r="E7">
        <v>173</v>
      </c>
    </row>
  </sheetData>
  <sheetProtection algorithmName="SHA-512" hashValue="9CAOVTa0cg3pzvnUDLsZDtsVJNButXhUa+oZ0C0fGySYWuZQHchgnYJ4P8mjAzguJTI6QbAcf35q9Nf6cBXKrg==" saltValue="khjmq8ifOOPQn4GZzAJvD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4.5"/>
  <cols>
    <col min="1" max="1" width="40.81640625" customWidth="1"/>
    <col min="2" max="2" width="12.81640625" customWidth="1"/>
    <col min="3" max="3" width="58.81640625" customWidth="1"/>
    <col min="4" max="4" width="22.81640625" customWidth="1"/>
    <col min="5" max="5" width="70.81640625" customWidth="1"/>
  </cols>
  <sheetData>
    <row r="1" spans="1:5">
      <c r="A1" s="198" t="s">
        <v>379</v>
      </c>
      <c r="B1" s="198" t="s">
        <v>328</v>
      </c>
      <c r="C1" s="198" t="s">
        <v>380</v>
      </c>
      <c r="D1" s="198" t="s">
        <v>381</v>
      </c>
      <c r="E1" s="198" t="s">
        <v>382</v>
      </c>
    </row>
    <row r="2" spans="1:5" ht="29">
      <c r="A2" s="199" t="s">
        <v>383</v>
      </c>
      <c r="B2" s="200" t="s">
        <v>384</v>
      </c>
      <c r="C2" s="202" t="s">
        <v>385</v>
      </c>
      <c r="D2" s="203">
        <v>46162.581770833334</v>
      </c>
      <c r="E2" s="202" t="s">
        <v>386</v>
      </c>
    </row>
    <row r="3" spans="1:5" ht="29">
      <c r="A3" s="199" t="s">
        <v>387</v>
      </c>
      <c r="B3" s="200" t="s">
        <v>384</v>
      </c>
      <c r="C3" s="202" t="s">
        <v>388</v>
      </c>
      <c r="D3" s="203">
        <v>46162.581770833334</v>
      </c>
      <c r="E3" s="202" t="s">
        <v>389</v>
      </c>
    </row>
    <row r="4" spans="1:5" ht="29">
      <c r="A4" s="199" t="s">
        <v>390</v>
      </c>
      <c r="B4" s="200" t="s">
        <v>384</v>
      </c>
      <c r="C4" s="202" t="s">
        <v>391</v>
      </c>
      <c r="D4" s="203">
        <v>46162.581770833334</v>
      </c>
      <c r="E4" s="202" t="s">
        <v>392</v>
      </c>
    </row>
    <row r="5" spans="1:5" ht="43.5">
      <c r="A5" s="199" t="s">
        <v>393</v>
      </c>
      <c r="B5" s="200" t="s">
        <v>384</v>
      </c>
      <c r="C5" s="202" t="s">
        <v>394</v>
      </c>
      <c r="D5" s="203">
        <v>46162.581770833334</v>
      </c>
      <c r="E5" s="202" t="s">
        <v>395</v>
      </c>
    </row>
    <row r="6" spans="1:5" ht="29">
      <c r="A6" s="199" t="s">
        <v>396</v>
      </c>
      <c r="B6" s="200" t="s">
        <v>384</v>
      </c>
      <c r="C6" s="202" t="s">
        <v>397</v>
      </c>
      <c r="D6" s="203">
        <v>46162.581770833334</v>
      </c>
      <c r="E6" s="202" t="s">
        <v>398</v>
      </c>
    </row>
    <row r="7" spans="1:5" ht="29">
      <c r="A7" s="199" t="s">
        <v>399</v>
      </c>
      <c r="B7" s="200" t="s">
        <v>384</v>
      </c>
      <c r="C7" s="202" t="s">
        <v>400</v>
      </c>
      <c r="D7" s="203">
        <v>46162.581770833334</v>
      </c>
      <c r="E7" s="202" t="s">
        <v>401</v>
      </c>
    </row>
    <row r="8" spans="1:5">
      <c r="A8" s="199" t="s">
        <v>402</v>
      </c>
      <c r="B8" s="201" t="s">
        <v>403</v>
      </c>
      <c r="C8" s="202" t="s">
        <v>404</v>
      </c>
      <c r="D8" s="203">
        <v>46162.581782407404</v>
      </c>
      <c r="E8" s="202" t="s">
        <v>405</v>
      </c>
    </row>
    <row r="9" spans="1:5">
      <c r="A9" s="199" t="s">
        <v>406</v>
      </c>
      <c r="B9" s="201" t="s">
        <v>403</v>
      </c>
      <c r="C9" s="202" t="s">
        <v>407</v>
      </c>
      <c r="D9" s="203">
        <v>46162.581782407404</v>
      </c>
      <c r="E9" s="202" t="s">
        <v>405</v>
      </c>
    </row>
  </sheetData>
  <sheetProtection algorithmName="SHA-512" hashValue="S7ZVZcEBtm6K0/fb+KhlhfJdRuJJaxoHaiWXmPoxkl3NHOLxrWBSSbM2Z21ITask/qw6wohxiWF/YLnuo+jcGg==" saltValue="Yyvi0Rg1mpM42hCXf/vVt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725</vt:i4>
      </vt:variant>
    </vt:vector>
  </HeadingPairs>
  <TitlesOfParts>
    <vt:vector size="743"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2026-05-20T18:31:24Z</dcterms:modified>
  <cp:category/>
  <cp:contentStatus/>
</cp:coreProperties>
</file>
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F2513568-CC6B-2A43-9649-C38281A61BDF}" xr6:coauthVersionLast="47" xr6:coauthVersionMax="47" xr10:uidLastSave="{00000000-0000-0000-0000-000000000000}"/>
  <bookViews>
    <workbookView xWindow="80" yWindow="780" windowWidth="34040" windowHeight="19900" tabRatio="677" firstSheet="2" activeTab="10"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55">KV_DROPDOWN_HELPER!$KG$1:$KG$13</definedName>
    <definedName name="KV_DD_APRIL_56">KV_DROPDOWN_HELPER!$KH$1:$KH$13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57">KV_DROPDOWN_HELPER!$WQ$1:$WQ$13</definedName>
    <definedName name="KV_DD_AUGUST_58">KV_DROPDOWN_HELPER!$WR$1:$WR$13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57">KV_DROPDOWN_HELPER!$AIY$1:$AIY$13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55">KV_DROPDOWN_HELPER!$EC$1:$EC$13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57">KV_DROPDOWN_HELPER!$TO$1:$TO$13</definedName>
    <definedName name="KV_DD_JULI_58">KV_DROPDOWN_HELPER!$TP$1:$TP$13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57">KV_DROPDOWN_HELPER!$QM$1:$QM$13</definedName>
    <definedName name="KV_DD_JUNI_58">KV_DROPDOWN_HELPER!$QN$1:$QN$13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5">KV_DROPDOWN_HELPER!$NI$1:$NI$13</definedName>
    <definedName name="KV_DD_MAI_56">KV_DROPDOWN_HELPER!$NJ$1:$NJ$13</definedName>
    <definedName name="KV_DD_MAI_57">KV_DROPDOWN_HELPER!$NK$1:$NK$13</definedName>
    <definedName name="KV_DD_MAI_58">KV_DROPDOWN_HELPER!$NL$1:$NL$13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55">KV_DROPDOWN_HELPER!$HE$1:$HE$13</definedName>
    <definedName name="KV_DD_MARZ_56">KV_DROPDOWN_HELPER!$HF$1:$HF$13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57">KV_DROPDOWN_HELPER!$AFW$1:$AFW$13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57">KV_DROPDOWN_HELPER!$ACU$1:$ACU$13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57">KV_DROPDOWN_HELPER!$ZS$1:$ZS$13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3" i="31"/>
  <c r="L22" i="31"/>
  <c r="L26" i="31"/>
  <c r="L43" i="31"/>
  <c r="L46" i="31"/>
  <c r="L66" i="31"/>
  <c r="L67" i="31"/>
  <c r="K3" i="31"/>
  <c r="K4" i="31"/>
  <c r="L4" i="31" s="1"/>
  <c r="K5" i="31"/>
  <c r="L5" i="31" s="1"/>
  <c r="K6" i="31"/>
  <c r="L6" i="31" s="1"/>
  <c r="K7" i="31"/>
  <c r="L7" i="31" s="1"/>
  <c r="K8" i="31"/>
  <c r="L8" i="31" s="1"/>
  <c r="K9" i="31"/>
  <c r="L9" i="31" s="1"/>
  <c r="K10" i="31"/>
  <c r="L10" i="31" s="1"/>
  <c r="K11" i="31"/>
  <c r="L11" i="31" s="1"/>
  <c r="K12" i="31"/>
  <c r="L12" i="31" s="1"/>
  <c r="K13" i="31"/>
  <c r="L13" i="31" s="1"/>
  <c r="K14" i="31"/>
  <c r="L14" i="31" s="1"/>
  <c r="K15" i="31"/>
  <c r="L15" i="31" s="1"/>
  <c r="K16" i="31"/>
  <c r="L16" i="31" s="1"/>
  <c r="K17" i="31"/>
  <c r="L17" i="31" s="1"/>
  <c r="K18" i="31"/>
  <c r="L18" i="31" s="1"/>
  <c r="K19" i="31"/>
  <c r="L19" i="31" s="1"/>
  <c r="K20" i="31"/>
  <c r="L20" i="31" s="1"/>
  <c r="K21" i="31"/>
  <c r="L21" i="31" s="1"/>
  <c r="K22" i="31"/>
  <c r="K23" i="31"/>
  <c r="L23" i="31" s="1"/>
  <c r="K24" i="31"/>
  <c r="L24" i="31" s="1"/>
  <c r="K25" i="31"/>
  <c r="L25" i="31" s="1"/>
  <c r="K26" i="3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K44" i="31"/>
  <c r="L44" i="31" s="1"/>
  <c r="K45" i="31"/>
  <c r="L45" i="31" s="1"/>
  <c r="K46" i="3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K67" i="3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6" i="30"/>
  <c r="L7" i="30"/>
  <c r="L22" i="30"/>
  <c r="L23" i="30"/>
  <c r="L38" i="30"/>
  <c r="L39" i="30"/>
  <c r="L55" i="30"/>
  <c r="L71" i="30"/>
  <c r="K3" i="30"/>
  <c r="L3" i="30" s="1"/>
  <c r="K4" i="30"/>
  <c r="L4" i="30" s="1"/>
  <c r="K5" i="30"/>
  <c r="L5" i="30" s="1"/>
  <c r="K6" i="30"/>
  <c r="K7" i="30"/>
  <c r="K8" i="30"/>
  <c r="L8" i="30" s="1"/>
  <c r="K9" i="30"/>
  <c r="L9" i="30" s="1"/>
  <c r="K10" i="30"/>
  <c r="L10" i="30" s="1"/>
  <c r="K11" i="30"/>
  <c r="L11" i="30" s="1"/>
  <c r="K12" i="30"/>
  <c r="L12" i="30" s="1"/>
  <c r="K13" i="30"/>
  <c r="L13" i="30" s="1"/>
  <c r="K14" i="30"/>
  <c r="L14" i="30" s="1"/>
  <c r="K15" i="30"/>
  <c r="L15" i="30" s="1"/>
  <c r="K16" i="30"/>
  <c r="L16" i="30" s="1"/>
  <c r="K17" i="30"/>
  <c r="L17" i="30" s="1"/>
  <c r="K18" i="30"/>
  <c r="L18" i="30" s="1"/>
  <c r="K19" i="30"/>
  <c r="L19" i="30" s="1"/>
  <c r="K20" i="30"/>
  <c r="L20" i="30" s="1"/>
  <c r="K21" i="30"/>
  <c r="L21" i="30" s="1"/>
  <c r="K22" i="30"/>
  <c r="K23" i="30"/>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L36" i="30" s="1"/>
  <c r="K37" i="30"/>
  <c r="L37" i="30" s="1"/>
  <c r="K38" i="30"/>
  <c r="K39" i="30"/>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K56" i="30"/>
  <c r="L56" i="30" s="1"/>
  <c r="K57" i="30"/>
  <c r="L57" i="30" s="1"/>
  <c r="K58" i="30"/>
  <c r="L58" i="30" s="1"/>
  <c r="K59" i="30"/>
  <c r="L59" i="30" s="1"/>
  <c r="K60" i="30"/>
  <c r="L60" i="30" s="1"/>
  <c r="K61" i="30"/>
  <c r="L61" i="30" s="1"/>
  <c r="K62" i="30"/>
  <c r="L62" i="30" s="1"/>
  <c r="K63" i="30"/>
  <c r="L63" i="30" s="1"/>
  <c r="K64" i="30"/>
  <c r="L64" i="30" s="1"/>
  <c r="K65" i="30"/>
  <c r="L65" i="30" s="1"/>
  <c r="K66" i="30"/>
  <c r="L66" i="30" s="1"/>
  <c r="K67" i="30"/>
  <c r="L67" i="30" s="1"/>
  <c r="K68" i="30"/>
  <c r="L68" i="30" s="1"/>
  <c r="K69" i="30"/>
  <c r="L69" i="30" s="1"/>
  <c r="K70" i="30"/>
  <c r="L70" i="30" s="1"/>
  <c r="K71" i="30"/>
  <c r="K72" i="30"/>
  <c r="L72" i="30" s="1"/>
  <c r="K73" i="30"/>
  <c r="L73" i="30" s="1"/>
  <c r="K74" i="30"/>
  <c r="L74" i="30" s="1"/>
  <c r="K75" i="30"/>
  <c r="L75" i="30" s="1"/>
  <c r="K76" i="30"/>
  <c r="L76" i="30" s="1"/>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7" i="37"/>
  <c r="L23" i="37"/>
  <c r="L39" i="37"/>
  <c r="L55" i="37"/>
  <c r="L71" i="37"/>
  <c r="K3" i="37"/>
  <c r="L3" i="37" s="1"/>
  <c r="K4" i="37"/>
  <c r="L4" i="37" s="1"/>
  <c r="K5" i="37"/>
  <c r="L5" i="37" s="1"/>
  <c r="K6" i="37"/>
  <c r="L6" i="37" s="1"/>
  <c r="K7" i="37"/>
  <c r="K8" i="37"/>
  <c r="L8" i="37" s="1"/>
  <c r="K9" i="37"/>
  <c r="L9" i="37" s="1"/>
  <c r="K10" i="37"/>
  <c r="L10" i="37" s="1"/>
  <c r="K11" i="37"/>
  <c r="L11" i="37" s="1"/>
  <c r="K12" i="37"/>
  <c r="L12" i="37" s="1"/>
  <c r="K13" i="37"/>
  <c r="L13" i="37" s="1"/>
  <c r="K14" i="37"/>
  <c r="L14" i="37" s="1"/>
  <c r="K15" i="37"/>
  <c r="L15" i="37" s="1"/>
  <c r="K16" i="37"/>
  <c r="L16" i="37" s="1"/>
  <c r="K17" i="37"/>
  <c r="L17" i="37" s="1"/>
  <c r="K18" i="37"/>
  <c r="L18" i="37" s="1"/>
  <c r="K19" i="37"/>
  <c r="L19" i="37" s="1"/>
  <c r="K20" i="37"/>
  <c r="L20" i="37" s="1"/>
  <c r="K21" i="37"/>
  <c r="L21" i="37" s="1"/>
  <c r="K22" i="37"/>
  <c r="L22" i="37" s="1"/>
  <c r="K23" i="37"/>
  <c r="K24" i="37"/>
  <c r="L24" i="37" s="1"/>
  <c r="K25" i="37"/>
  <c r="L25" i="37" s="1"/>
  <c r="K26" i="37"/>
  <c r="L26" i="37" s="1"/>
  <c r="K27" i="37"/>
  <c r="L27" i="37" s="1"/>
  <c r="K28" i="37"/>
  <c r="L28" i="37" s="1"/>
  <c r="K29" i="37"/>
  <c r="L29" i="37" s="1"/>
  <c r="K30" i="37"/>
  <c r="L30" i="37" s="1"/>
  <c r="K31" i="37"/>
  <c r="L31" i="37" s="1"/>
  <c r="K32" i="37"/>
  <c r="L32" i="37" s="1"/>
  <c r="K33" i="37"/>
  <c r="L33" i="37" s="1"/>
  <c r="K34" i="37"/>
  <c r="L34" i="37" s="1"/>
  <c r="K35" i="37"/>
  <c r="L35" i="37" s="1"/>
  <c r="K36" i="37"/>
  <c r="L36" i="37" s="1"/>
  <c r="K37" i="37"/>
  <c r="L37" i="37" s="1"/>
  <c r="K38" i="37"/>
  <c r="L38" i="37" s="1"/>
  <c r="K39" i="37"/>
  <c r="K40" i="37"/>
  <c r="L40" i="37" s="1"/>
  <c r="K41" i="37"/>
  <c r="L41" i="37" s="1"/>
  <c r="K42" i="37"/>
  <c r="L42" i="37" s="1"/>
  <c r="K43" i="37"/>
  <c r="L43" i="37" s="1"/>
  <c r="K44" i="37"/>
  <c r="L44" i="37" s="1"/>
  <c r="K45" i="37"/>
  <c r="L45" i="37" s="1"/>
  <c r="K46" i="37"/>
  <c r="L46" i="37" s="1"/>
  <c r="K47" i="37"/>
  <c r="L47" i="37" s="1"/>
  <c r="K48" i="37"/>
  <c r="L48" i="37" s="1"/>
  <c r="K49" i="37"/>
  <c r="L49" i="37" s="1"/>
  <c r="K50" i="37"/>
  <c r="L50" i="37" s="1"/>
  <c r="K51" i="37"/>
  <c r="L51" i="37" s="1"/>
  <c r="K52" i="37"/>
  <c r="L52" i="37" s="1"/>
  <c r="K53" i="37"/>
  <c r="L53" i="37" s="1"/>
  <c r="K54" i="37"/>
  <c r="L54" i="37" s="1"/>
  <c r="K55" i="37"/>
  <c r="K56" i="37"/>
  <c r="L56" i="37" s="1"/>
  <c r="K57" i="37"/>
  <c r="L57" i="37" s="1"/>
  <c r="K58" i="37"/>
  <c r="L58" i="37" s="1"/>
  <c r="K59" i="37"/>
  <c r="L59" i="37" s="1"/>
  <c r="K60" i="37"/>
  <c r="L60" i="37" s="1"/>
  <c r="K61" i="37"/>
  <c r="L61" i="37" s="1"/>
  <c r="K62" i="37"/>
  <c r="L62" i="37" s="1"/>
  <c r="K63" i="37"/>
  <c r="L63" i="37" s="1"/>
  <c r="K64" i="37"/>
  <c r="L64" i="37" s="1"/>
  <c r="K65" i="37"/>
  <c r="L65" i="37" s="1"/>
  <c r="K66" i="37"/>
  <c r="L66" i="37" s="1"/>
  <c r="K67" i="37"/>
  <c r="L67" i="37" s="1"/>
  <c r="K68" i="37"/>
  <c r="L68" i="37" s="1"/>
  <c r="K69" i="37"/>
  <c r="L69" i="37" s="1"/>
  <c r="K70" i="37"/>
  <c r="L70" i="37" s="1"/>
  <c r="K71" i="37"/>
  <c r="K72" i="37"/>
  <c r="L72" i="37" s="1"/>
  <c r="K73" i="37"/>
  <c r="L73" i="37" s="1"/>
  <c r="K74" i="37"/>
  <c r="L74" i="37" s="1"/>
  <c r="K75" i="37"/>
  <c r="L75" i="37" s="1"/>
  <c r="K76" i="37"/>
  <c r="L76" i="37" s="1"/>
  <c r="K77" i="37"/>
  <c r="L77" i="37" s="1"/>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3" i="28"/>
  <c r="L6" i="28"/>
  <c r="L7" i="28"/>
  <c r="L15" i="28"/>
  <c r="L22" i="28"/>
  <c r="L23" i="28"/>
  <c r="L27" i="28"/>
  <c r="L30" i="28"/>
  <c r="L31" i="28"/>
  <c r="L34" i="28"/>
  <c r="L42" i="28"/>
  <c r="L46" i="28"/>
  <c r="L47" i="28"/>
  <c r="L54" i="28"/>
  <c r="L55" i="28"/>
  <c r="L59" i="28"/>
  <c r="L62" i="28"/>
  <c r="L66" i="28"/>
  <c r="L67" i="28"/>
  <c r="L70" i="28"/>
  <c r="L71" i="28"/>
  <c r="L79" i="28"/>
  <c r="K3" i="28"/>
  <c r="K4" i="28"/>
  <c r="L4" i="28" s="1"/>
  <c r="K5" i="28"/>
  <c r="L5" i="28" s="1"/>
  <c r="K6" i="28"/>
  <c r="K7" i="28"/>
  <c r="K8" i="28"/>
  <c r="L8" i="28" s="1"/>
  <c r="K9" i="28"/>
  <c r="L9" i="28" s="1"/>
  <c r="K10" i="28"/>
  <c r="L10" i="28" s="1"/>
  <c r="K11" i="28"/>
  <c r="L11" i="28" s="1"/>
  <c r="K12" i="28"/>
  <c r="L12" i="28" s="1"/>
  <c r="K13" i="28"/>
  <c r="L13" i="28" s="1"/>
  <c r="K14" i="28"/>
  <c r="L14" i="28" s="1"/>
  <c r="K15" i="28"/>
  <c r="K16" i="28"/>
  <c r="L16" i="28" s="1"/>
  <c r="K17" i="28"/>
  <c r="L17" i="28" s="1"/>
  <c r="K18" i="28"/>
  <c r="L18" i="28" s="1"/>
  <c r="K19" i="28"/>
  <c r="L19" i="28" s="1"/>
  <c r="K20" i="28"/>
  <c r="L20" i="28" s="1"/>
  <c r="K21" i="28"/>
  <c r="L21" i="28" s="1"/>
  <c r="K22" i="28"/>
  <c r="K23" i="28"/>
  <c r="K24" i="28"/>
  <c r="L24" i="28" s="1"/>
  <c r="K25" i="28"/>
  <c r="L25" i="28" s="1"/>
  <c r="K26" i="28"/>
  <c r="L26" i="28" s="1"/>
  <c r="K27" i="28"/>
  <c r="K28" i="28"/>
  <c r="L28" i="28" s="1"/>
  <c r="K29" i="28"/>
  <c r="L29" i="28" s="1"/>
  <c r="K30" i="28"/>
  <c r="K31" i="28"/>
  <c r="K32" i="28"/>
  <c r="L32" i="28" s="1"/>
  <c r="K33" i="28"/>
  <c r="L33" i="28" s="1"/>
  <c r="K34" i="28"/>
  <c r="K35" i="28"/>
  <c r="L35" i="28" s="1"/>
  <c r="K36" i="28"/>
  <c r="L36" i="28" s="1"/>
  <c r="K37" i="28"/>
  <c r="L37" i="28" s="1"/>
  <c r="K38" i="28"/>
  <c r="L38" i="28" s="1"/>
  <c r="K39" i="28"/>
  <c r="L39" i="28" s="1"/>
  <c r="K40" i="28"/>
  <c r="L40" i="28" s="1"/>
  <c r="K41" i="28"/>
  <c r="L41" i="28" s="1"/>
  <c r="K42" i="28"/>
  <c r="K43" i="28"/>
  <c r="L43" i="28" s="1"/>
  <c r="K44" i="28"/>
  <c r="L44" i="28" s="1"/>
  <c r="K45" i="28"/>
  <c r="L45" i="28" s="1"/>
  <c r="K46" i="28"/>
  <c r="K47" i="28"/>
  <c r="K48" i="28"/>
  <c r="L48" i="28" s="1"/>
  <c r="K49" i="28"/>
  <c r="L49" i="28" s="1"/>
  <c r="K50" i="28"/>
  <c r="L50" i="28" s="1"/>
  <c r="K51" i="28"/>
  <c r="L51" i="28" s="1"/>
  <c r="K52" i="28"/>
  <c r="L52" i="28" s="1"/>
  <c r="K53" i="28"/>
  <c r="L53" i="28" s="1"/>
  <c r="K54" i="28"/>
  <c r="K55" i="28"/>
  <c r="K56" i="28"/>
  <c r="L56" i="28" s="1"/>
  <c r="K57" i="28"/>
  <c r="L57" i="28" s="1"/>
  <c r="K58" i="28"/>
  <c r="L58" i="28" s="1"/>
  <c r="K59" i="28"/>
  <c r="K60" i="28"/>
  <c r="L60" i="28" s="1"/>
  <c r="K61" i="28"/>
  <c r="L61" i="28" s="1"/>
  <c r="K62" i="28"/>
  <c r="K63" i="28"/>
  <c r="L63" i="28" s="1"/>
  <c r="K64" i="28"/>
  <c r="L64" i="28" s="1"/>
  <c r="K65" i="28"/>
  <c r="L65" i="28" s="1"/>
  <c r="K66" i="28"/>
  <c r="K67" i="28"/>
  <c r="K68" i="28"/>
  <c r="L68" i="28" s="1"/>
  <c r="K69" i="28"/>
  <c r="L69" i="28" s="1"/>
  <c r="K70" i="28"/>
  <c r="K71" i="28"/>
  <c r="K72" i="28"/>
  <c r="L72" i="28" s="1"/>
  <c r="K73" i="28"/>
  <c r="L73" i="28" s="1"/>
  <c r="K74" i="28"/>
  <c r="L74" i="28" s="1"/>
  <c r="K75" i="28"/>
  <c r="L75" i="28" s="1"/>
  <c r="K76" i="28"/>
  <c r="L76" i="28" s="1"/>
  <c r="K77" i="28"/>
  <c r="L77" i="28" s="1"/>
  <c r="K78" i="28"/>
  <c r="L78" i="28" s="1"/>
  <c r="K79" i="28"/>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3" i="27"/>
  <c r="L11" i="27"/>
  <c r="L14" i="27"/>
  <c r="L17" i="27"/>
  <c r="L18" i="27"/>
  <c r="L19" i="27"/>
  <c r="L23" i="27"/>
  <c r="L25" i="27"/>
  <c r="L26" i="27"/>
  <c r="L27" i="27"/>
  <c r="L34" i="27"/>
  <c r="L35" i="27"/>
  <c r="K3" i="27"/>
  <c r="K4" i="27"/>
  <c r="L4" i="27" s="1"/>
  <c r="K5" i="27"/>
  <c r="L5" i="27" s="1"/>
  <c r="K6" i="27"/>
  <c r="L6" i="27" s="1"/>
  <c r="K7" i="27"/>
  <c r="L7" i="27" s="1"/>
  <c r="K8" i="27"/>
  <c r="L8" i="27" s="1"/>
  <c r="K9" i="27"/>
  <c r="L9" i="27" s="1"/>
  <c r="K10" i="27"/>
  <c r="L10" i="27" s="1"/>
  <c r="K11" i="27"/>
  <c r="K12" i="27"/>
  <c r="L12" i="27" s="1"/>
  <c r="K13" i="27"/>
  <c r="L13" i="27" s="1"/>
  <c r="K14" i="27"/>
  <c r="K15" i="27"/>
  <c r="L15" i="27" s="1"/>
  <c r="K16" i="27"/>
  <c r="L16" i="27" s="1"/>
  <c r="K17" i="27"/>
  <c r="K18" i="27"/>
  <c r="K19" i="27"/>
  <c r="K20" i="27"/>
  <c r="L20" i="27" s="1"/>
  <c r="K21" i="27"/>
  <c r="L21" i="27" s="1"/>
  <c r="K22" i="27"/>
  <c r="L22" i="27" s="1"/>
  <c r="K23" i="27"/>
  <c r="K24" i="27"/>
  <c r="L24" i="27" s="1"/>
  <c r="K25" i="27"/>
  <c r="K26" i="27"/>
  <c r="K27" i="27"/>
  <c r="K28" i="27"/>
  <c r="L28" i="27" s="1"/>
  <c r="K29" i="27"/>
  <c r="L29" i="27" s="1"/>
  <c r="K30" i="27"/>
  <c r="L30" i="27" s="1"/>
  <c r="K31" i="27"/>
  <c r="L31" i="27" s="1"/>
  <c r="K32" i="27"/>
  <c r="L32" i="27" s="1"/>
  <c r="K33" i="27"/>
  <c r="L33" i="27" s="1"/>
  <c r="K34" i="27"/>
  <c r="K35" i="27"/>
  <c r="K36" i="27"/>
  <c r="L36" i="27" s="1"/>
  <c r="K37" i="27"/>
  <c r="L37" i="27" s="1"/>
  <c r="K38" i="27"/>
  <c r="L38" i="27" s="1"/>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3" i="26"/>
  <c r="L3" i="26" s="1"/>
  <c r="K4" i="26"/>
  <c r="L4" i="26" s="1"/>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L54" i="25" s="1"/>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7" a="1"/>
  <c r="S36" i="25"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1" a="1"/>
  <c r="S36" i="28" a="1"/>
  <c r="S36" i="36" a="1"/>
  <c r="S36" i="30" a="1"/>
  <c r="S36" i="32" a="1"/>
  <c r="S36" i="35" a="1"/>
  <c r="S36" i="33"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<sst xmlns="http://schemas.openxmlformats.org/spreadsheetml/2006/main" count="5701" uniqueCount="383">
  <si>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</si>
  <si>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</si>
  <si>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</si>
  <si>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</si>
  <si>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</si>
  <si>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</si>
  <si>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</si>
  <si>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</si>
  <si>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</si>
  <si>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</si>
  <si>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</si>
  <si>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</si>
  <si>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</si>
  <si>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</si>
  <si>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</si>
  <si>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</si>
  <si>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</si>
  <si>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</si>
  <si>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</si>
  <si>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</si>
  <si>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</si>
  <si>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</si>
  <si>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</si>
  <si>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</si>
  <si>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</si>
  <si>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</si>
  <si>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</si>
  <si>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</si>
  <si>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</si>
  <si>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</si>
  <si>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</si>
  <si>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</si>
  <si>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</si>
  <si>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</si>
  <si>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</si>
  <si>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</si>
  <si>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</si>
  <si>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</si>
  <si>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</si>
  <si>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</si>
  <si>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</si>
  <si>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</si>
  <si>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</si>
  <si>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</si>
  <si>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</si>
  <si>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</si>
  <si>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</si>
  <si>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</si>
  <si>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</si>
  <si>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</si>
  <si>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</si>
  <si>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</si>
  <si>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</si>
  <si>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</si>
  <si>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</si>
  <si>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</si>
  <si>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</si>
  <si>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</si>
  <si>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</si>
  <si>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</si>
  <si>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</si>
  <si>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</si>
  <si>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</si>
  <si>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</si>
  <si>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</si>
  <si>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</si>
  <si>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</si>
  <si>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</si>
  <si>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</si>
  <si>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</si>
  <si>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</si>
  <si>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</si>
  <si>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</si>
  <si>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</si>
  <si>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</si>
  <si>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</si>
  <si>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</si>
  <si>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</si>
  <si>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</si>
  <si>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</si>
  <si>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</si>
  <si>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</si>
  <si>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</si>
  <si>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</si>
  <si>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</si>
  <si>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</si>
  <si>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</si>
  <si>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</si>
  <si>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</si>
  <si>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</si>
  <si>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</si>
  <si>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</si>
  <si>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</si>
  <si>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</si>
  <si>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</si>
  <si>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</si>
  <si>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</si>
  <si>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</si>
  <si>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</si>
  <si>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</si>
  <si>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</si>
  <si>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</si>
  <si>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</si>
  <si>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</si>
  <si>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</si>
  <si>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</si>
  <si>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</si>
  <si>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</si>
  <si>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</si>
  <si>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</si>
  <si>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</si>
  <si>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</si>
  <si>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</si>
  <si>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</si>
  <si>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</si>
  <si>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</si>
  <si>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</si>
  <si>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</si>
  <si>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</si>
  <si>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</si>
  <si>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</si>
  <si>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</si>
  <si>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</si>
  <si>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</si>
  <si>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</si>
  <si>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</si>
  <si>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</si>
  <si>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</si>
  <si>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</si>
  <si>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</si>
  <si>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</si>
  <si>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</si>
  <si>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</si>
  <si>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</si>
  <si>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</si>
  <si>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</si>
  <si>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</si>
  <si>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</si>
  <si>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</si>
  <si>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</si>
  <si>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</si>
  <si>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</si>
  <si>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</si>
  <si>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</si>
  <si>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</si>
  <si>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</si>
  <si>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</si>
  <si>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</si>
  <si>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</si>
  <si>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</si>
  <si>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</si>
  <si>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</si>
  <si>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</si>
  <si>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</si>
  <si>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</si>
  <si>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</si>
  <si>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</si>
  <si>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</si>
  <si>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</si>
  <si>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</si>
  <si>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</si>
  <si>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</si>
  <si>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</si>
  <si>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</si>
  <si>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</si>
  <si>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</si>
  <si>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</si>
  <si>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</si>
  <si>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</si>
  <si>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</si>
  <si>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</si>
  <si>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</si>
  <si>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</si>
  <si>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</si>
  <si>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</si>
  <si>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</si>
  <si>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</si>
  <si>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</si>
  <si>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</si>
  <si>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</si>
  <si>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</si>
  <si>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</si>
  <si>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</si>
  <si>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</si>
  <si>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</si>
  <si>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</si>
  <si>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</si>
  <si>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</si>
  <si>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</si>
  <si>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</si>
  <si>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</si>
  <si>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</si>
  <si>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</si>
  <si>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</si>
  <si>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</si>
  <si>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</si>
  <si>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</si>
  <si>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</si>
  <si>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</si>
  <si>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</si>
  <si>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</si>
  <si>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</si>
  <si>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</si>
  <si>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</si>
  <si>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</si>
  <si>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</si>
  <si>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</si>
  <si>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</si>
  <si>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</si>
  <si>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</si>
  <si>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</si>
  <si>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</si>
  <si>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</si>
  <si>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</si>
  <si>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</si>
  <si>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</si>
  <si>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</si>
  <si>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</si>
  <si>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</si>
  <si>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</si>
  <si>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</si>
  <si>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</si>
  <si>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</si>
  <si>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</si>
  <si>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</si>
  <si>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</si>
  <si>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</si>
  <si>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</si>
  <si>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</si>
  <si>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</si>
  <si>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</si>
  <si>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</si>
  <si>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</si>
  <si>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</si>
  <si>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</si>
  <si>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</si>
  <si>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</si>
  <si>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</si>
  <si>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</si>
  <si>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</si>
  <si>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</si>
  <si>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</si>
  <si>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</si>
  <si>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</si>
  <si>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</si>
  <si>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</si>
  <si>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</si>
  <si>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</si>
  <si>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</si>
  <si>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</si>
  <si>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</si>
  <si>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</si>
  <si>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</si>
  <si>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</si>
  <si>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</si>
  <si>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</si>
  <si>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</si>
  <si>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</si>
  <si>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</si>
  <si>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</si>
  <si>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</si>
  <si>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</si>
  <si>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</si>
  <si>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</si>
  <si>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</si>
  <si>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</si>
  <si>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</si>
  <si>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</si>
  <si>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</si>
  <si>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</si>
  <si>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</si>
  <si>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</si>
  <si>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</si>
  <si>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</si>
  <si>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</si>
  <si>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</si>
  <si>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</si>
  <si>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</si>
  <si>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</si>
  <si>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</si>
  <si>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</si>
  <si>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</si>
  <si>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</si>
  <si>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</si>
  <si>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</si>
  <si>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</si>
  <si>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</si>
  <si>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</si>
  <si>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</si>
  <si>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</si>
  <si>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</si>
  <si>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</si>
  <si>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</si>
  <si>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</si>
  <si>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</si>
  <si>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</si>
  <si>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</si>
  <si>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</si>
  <si>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</si>
  <si>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</si>
  <si>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</si>
  <si>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</si>
  <si>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</si>
  <si>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</si>
  <si>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</si>
  <si>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</si>
  <si>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</si>
  <si>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</si>
  <si>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</si>
  <si>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</si>
  <si>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</si>
  <si>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</si>
  <si>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</si>
  <si>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</si>
  <si>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</si>
  <si>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</si>
  <si>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</si>
  <si>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</si>
  <si>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</si>
  <si>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</si>
  <si>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</si>
  <si>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</si>
  <si>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</si>
  <si>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</si>
  <si>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</si>
  <si>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</si>
  <si>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</si>
  <si>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</si>
  <si>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</si>
  <si>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</si>
  <si>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</si>
  <si>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</si>
  <si>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</si>
  <si>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</si>
  <si>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</si>
  <si>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</si>
  <si>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</si>
  <si>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</si>
  <si>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</si>
  <si>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</si>
  <si>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</si>
  <si>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</si>
  <si>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</si>
  <si>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</si>
  <si>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</si>
  <si>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</si>
  <si>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</si>
  <si>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</si>
  <si>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</si>
  <si>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</si>
  <si>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</si>
  <si>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</si>
  <si>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</si>
  <si>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</si>
  <si>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</si>
  <si>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</si>
  <si>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</si>
  <si>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</si>
  <si>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</si>
  <si>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</si>
  <si>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</si>
  <si>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</si>
  <si>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</si>
  <si>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</si>
  <si>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</si>
  <si>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</si>
  <si>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</si>
  <si>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</si>
  <si>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</si>
  <si>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</si>
  <si>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</si>
  <si>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</si>
  <si>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</si>
  <si>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</si>
  <si>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</si>
  <si>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</si>
  <si>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</si>
  <si>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</si>
  <si>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</si>
  <si>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</si>
  <si>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</si>
  <si>
    <t>Vadiuj Test</t>
  </si>
  <si>
    <t>vegso teszt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</si>
</sst>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0" fontId="51" fillId="0" borderId="0" xfId="0" applyFont="1"/>
    <xf numFmtId="0" fontId="51" fillId="0" borderId="76" xfId="0" applyFont="1" applyBorder="1" applyAlignment="1">
      <alignment horizontal="center" vertical="center"/>
    </xf>
    <xf numFmtId="0" fontId="51" fillId="0" borderId="76" xfId="0" applyFont="1" applyBorder="1" applyAlignment="1">
      <alignment horizontal="left" vertical="center" wrapText="1"/>
    </xf>
    <xf numFmtId="0" fontId="53" fillId="0" borderId="75" xfId="0" applyFont="1" applyBorder="1" applyAlignment="1">
      <alignment horizontal="center" vertical="center"/>
    </xf>
    <xf numFmtId="0" fontId="21" fillId="0" borderId="76" xfId="0" applyFont="1" applyBorder="1" applyAlignment="1">
      <alignment horizontal="center" vertical="center"/>
    </xf>
    <xf numFmtId="0" fontId="51" fillId="0" borderId="76" xfId="0" applyFont="1" applyBorder="1" applyAlignment="1">
      <alignment horizontal="center" vertical="center" wrapText="1"/>
    </xf>
    <xf numFmtId="10" fontId="51" fillId="0" borderId="76" xfId="0" applyNumberFormat="1" applyFont="1" applyBorder="1" applyAlignment="1">
      <alignment horizontal="center" vertical="center" wrapText="1"/>
    </xf>
    <xf numFmtId="2" fontId="51" fillId="0" borderId="76" xfId="0" applyNumberFormat="1" applyFont="1" applyBorder="1" applyAlignment="1">
      <alignment horizontal="center" vertical="center" wrapText="1"/>
    </xf>
    <xf numFmtId="10" fontId="51" fillId="0" borderId="76" xfId="0" applyNumberFormat="1" applyFont="1" applyBorder="1" applyAlignment="1">
      <alignment horizontal="center" vertical="center"/>
    </xf>
    <xf numFmtId="2" fontId="51" fillId="0" borderId="76" xfId="0" applyNumberFormat="1" applyFont="1" applyBorder="1" applyAlignment="1">
      <alignment horizontal="center" vertical="center"/>
    </xf>
    <xf numFmtId="0" fontId="51" fillId="0" borderId="0" xfId="0" applyFont="1" applyAlignment="1">
      <alignment vertical="center"/>
    </xf>
    <xf numFmtId="0" fontId="21" fillId="0" borderId="0" xfId="0" applyFont="1" applyAlignment="1">
      <alignment vertical="center"/>
    </xf>
    <xf numFmtId="0" fontId="21" fillId="0" borderId="76" xfId="0" applyFont="1" applyBorder="1" applyAlignment="1">
      <alignment vertical="center"/>
    </xf>
    <xf numFmtId="0" fontId="51" fillId="0" borderId="76" xfId="0" applyFont="1" applyBorder="1" applyAlignment="1">
      <alignment vertic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10" fontId="5" fillId="4" borderId="1"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30" fillId="0" borderId="36" xfId="0" applyFont="1" applyBorder="1" applyAlignment="1">
      <alignment horizontal="center"/>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21" fillId="0" borderId="76" xfId="0" applyFont="1" applyBorder="1" applyAlignment="1">
      <alignment vertical="center"/>
    </xf>
    <xf numFmtId="0" fontId="51" fillId="0" borderId="76" xfId="0" applyFont="1" applyBorder="1" applyAlignment="1">
      <alignment vertical="center"/>
    </xf>
    <xf numFmtId="0" fontId="51" fillId="0" borderId="76" xfId="0" applyFont="1" applyBorder="1" applyAlignment="1">
      <alignment vertical="center" wrapText="1"/>
    </xf>
    <xf numFmtId="0" fontId="52" fillId="0" borderId="0" xfId="0" applyFont="1" applyAlignment="1">
      <alignment horizontal="center" vertical="center"/>
    </xf>
    <xf numFmtId="0" fontId="51" fillId="0" borderId="0" xfId="0" applyFont="1" applyAlignment="1">
      <alignment horizontal="center" vertical="center"/>
    </xf>
    <xf numFmtId="0" fontId="53" fillId="0" borderId="0" xfId="0" applyFont="1" applyAlignment="1">
      <alignment vertical="center"/>
    </xf>
    <xf numFmtId="0" fontId="51" fillId="0" borderId="0" xfId="0" applyFont="1" applyAlignment="1">
      <alignment vertical="center"/>
    </xf>
    <xf numFmtId="0" fontId="51" fillId="0" borderId="0" xfId="0" applyFont="1" applyAlignment="1">
      <alignment vertical="center" wrapText="1"/>
    </xf>
    <xf numFmtId="0" fontId="51" fillId="0" borderId="76" xfId="0" applyFont="1" applyBorder="1" applyAlignment="1">
      <alignment horizontal="left" vertical="center" wrapText="1"/>
    </xf>
    <xf numFmtId="0" fontId="54" fillId="0" borderId="0" xfId="0" applyFont="1" applyAlignment="1">
      <alignment horizontal="center" vertical="center"/>
    </xf>
    <xf numFmtId="0" fontId="53" fillId="0" borderId="76" xfId="0" applyFont="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305" t="s">
        <v>0</v>
      </c>
      <c r="B1" s="307" t="s">
        <v>1</v>
      </c>
      <c r="C1" s="309" t="s">
        <v>2</v>
      </c>
      <c r="D1" s="309"/>
      <c r="I1" s="18" t="s">
        <v>3</v>
      </c>
      <c r="J1" s="312"/>
      <c r="K1" s="312"/>
      <c r="L1" s="312"/>
      <c r="M1" s="312"/>
      <c r="O1" s="177" t="s">
        <v>208</v>
      </c>
      <c r="P1" s="177" t="s">
        <v>212</v>
      </c>
    </row>
    <row r="2" spans="1:18" ht="22" thickBot="1">
      <c r="A2" s="306"/>
      <c r="B2" s="308"/>
      <c r="C2" s="54" t="str">
        <f>G3-1&amp;"/"&amp;G3</f>
        <v>2025/2026</v>
      </c>
      <c r="D2" s="54" t="str">
        <f>G3 &amp; "/" &amp; G3+1</f>
        <v>2026/2027</v>
      </c>
      <c r="I2" s="14"/>
      <c r="J2" s="313" t="s">
        <v>204</v>
      </c>
      <c r="K2" s="313"/>
      <c r="L2" s="313"/>
      <c r="M2" s="313"/>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310" t="s">
        <v>202</v>
      </c>
      <c r="J17" s="311"/>
      <c r="K17" s="311"/>
      <c r="L17" s="311"/>
      <c r="M17" s="311"/>
      <c r="N17" s="124"/>
      <c r="O17" s="176" t="s">
        <v>224</v>
      </c>
      <c r="P17" s="175">
        <v>0.3</v>
      </c>
      <c r="Q17" s="13" t="s">
        <v>24</v>
      </c>
      <c r="R17" s="13"/>
    </row>
    <row r="18" spans="1:18" ht="17">
      <c r="A18" s="21" t="s">
        <v>8</v>
      </c>
      <c r="B18" s="22">
        <v>138.4</v>
      </c>
      <c r="C18" s="103">
        <v>1665.6</v>
      </c>
      <c r="D18" s="104">
        <v>1665.6</v>
      </c>
      <c r="I18" s="310"/>
      <c r="J18" s="311"/>
      <c r="K18" s="311"/>
      <c r="L18" s="311"/>
      <c r="M18" s="311"/>
      <c r="N18" s="124"/>
      <c r="O18" s="176" t="s">
        <v>225</v>
      </c>
      <c r="P18" s="175">
        <v>0.5</v>
      </c>
      <c r="Q18" s="13"/>
      <c r="R18" s="13"/>
    </row>
    <row r="19" spans="1:18" ht="17">
      <c r="A19" s="21" t="s">
        <v>8</v>
      </c>
      <c r="B19" s="22">
        <v>129.75</v>
      </c>
      <c r="C19" s="103">
        <v>1561.5</v>
      </c>
      <c r="D19" s="104">
        <v>1561.5</v>
      </c>
      <c r="I19" s="310"/>
      <c r="J19" s="311"/>
      <c r="K19" s="311"/>
      <c r="L19" s="311"/>
      <c r="M19" s="311"/>
      <c r="N19" s="124"/>
      <c r="O19" s="176" t="s">
        <v>226</v>
      </c>
      <c r="P19" s="175">
        <v>0.75</v>
      </c>
      <c r="Q19" s="13"/>
      <c r="R19" s="13"/>
    </row>
    <row r="20" spans="1:18" ht="17">
      <c r="A20" s="21" t="s">
        <v>8</v>
      </c>
      <c r="B20" s="22">
        <v>108.13</v>
      </c>
      <c r="C20" s="103">
        <v>1301.25</v>
      </c>
      <c r="D20" s="104">
        <v>1301.25</v>
      </c>
      <c r="I20" s="310"/>
      <c r="J20" s="311"/>
      <c r="K20" s="311"/>
      <c r="L20" s="311"/>
      <c r="M20" s="311"/>
      <c r="N20" s="124"/>
      <c r="O20" s="176" t="s">
        <v>227</v>
      </c>
      <c r="P20" s="175">
        <v>1</v>
      </c>
    </row>
    <row r="21" spans="1:18" ht="17">
      <c r="A21" s="21" t="s">
        <v>8</v>
      </c>
      <c r="B21" s="22">
        <v>103.8</v>
      </c>
      <c r="C21" s="103">
        <v>1249.2</v>
      </c>
      <c r="D21" s="104">
        <v>1249.2</v>
      </c>
      <c r="I21" s="310"/>
      <c r="J21" s="311"/>
      <c r="K21" s="311"/>
      <c r="L21" s="311"/>
      <c r="M21" s="311"/>
      <c r="N21" s="124"/>
      <c r="O21" s="176" t="s">
        <v>228</v>
      </c>
      <c r="P21" s="175">
        <v>1.25</v>
      </c>
    </row>
    <row r="22" spans="1:18" ht="17">
      <c r="A22" s="21" t="s">
        <v>8</v>
      </c>
      <c r="B22" s="22">
        <v>86.5</v>
      </c>
      <c r="C22" s="103">
        <v>1041.2</v>
      </c>
      <c r="D22" s="104">
        <v>1041.2</v>
      </c>
      <c r="I22" s="310"/>
      <c r="J22" s="311"/>
      <c r="K22" s="311"/>
      <c r="L22" s="311"/>
      <c r="M22" s="311"/>
      <c r="N22" s="124"/>
      <c r="O22" s="176" t="s">
        <v>229</v>
      </c>
      <c r="P22" s="175">
        <v>1.5</v>
      </c>
    </row>
    <row r="23" spans="1:18" ht="17">
      <c r="A23" s="21" t="s">
        <v>8</v>
      </c>
      <c r="B23" s="22">
        <v>69.2</v>
      </c>
      <c r="C23" s="103">
        <v>832.8</v>
      </c>
      <c r="D23" s="104">
        <v>832.8</v>
      </c>
      <c r="I23" s="310"/>
      <c r="J23" s="311"/>
      <c r="K23" s="311"/>
      <c r="L23" s="311"/>
      <c r="M23" s="311"/>
      <c r="N23" s="124"/>
      <c r="O23" s="176" t="s">
        <v>230</v>
      </c>
      <c r="P23" s="175">
        <v>2</v>
      </c>
    </row>
    <row r="24" spans="1:18">
      <c r="A24" s="21" t="s">
        <v>8</v>
      </c>
      <c r="B24" s="22">
        <v>51.9</v>
      </c>
      <c r="C24" s="103">
        <v>624.6</v>
      </c>
      <c r="D24" s="104">
        <v>624.6</v>
      </c>
      <c r="I24" s="310"/>
      <c r="J24" s="311"/>
      <c r="K24" s="311"/>
      <c r="L24" s="311"/>
      <c r="M24" s="311"/>
      <c r="N24" s="124"/>
      <c r="O24" s="124"/>
    </row>
    <row r="25" spans="1:18">
      <c r="A25" s="21" t="s">
        <v>8</v>
      </c>
      <c r="B25" s="22">
        <v>47.58</v>
      </c>
      <c r="C25" s="103">
        <v>575.54999999999995</v>
      </c>
      <c r="D25" s="104">
        <v>575.54999999999995</v>
      </c>
      <c r="I25" s="310"/>
      <c r="J25" s="311"/>
      <c r="K25" s="311"/>
      <c r="L25" s="311"/>
      <c r="M25" s="311"/>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TW3i5gtrBE6s2t44eHEyN456DIrKAiYwVxVmS3ntE0Z6ZzCe4oxedvvQdgM8pasFo3amSORxHdUnC88w5QXEtg==" saltValue="u14HGlyYWa6dQOJicYCn2Q=="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L311" sqref="L311"/>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18" t="s">
        <v>320</v>
      </c>
      <c r="B1" s="319"/>
      <c r="C1" s="319"/>
      <c r="D1" s="319"/>
      <c r="E1" s="319"/>
      <c r="F1" s="319"/>
      <c r="G1" s="319"/>
      <c r="H1" s="319"/>
      <c r="I1" s="319"/>
      <c r="J1" s="319"/>
    </row>
    <row r="2" spans="1:10" ht="36" customHeight="1">
      <c r="A2" s="320" t="s">
        <v>336</v>
      </c>
      <c r="B2" s="320"/>
      <c r="C2" s="320"/>
      <c r="D2" s="320"/>
      <c r="E2" s="320"/>
      <c r="F2" s="320"/>
      <c r="G2" s="320"/>
      <c r="H2" s="320"/>
      <c r="I2" s="320"/>
      <c r="J2" s="320"/>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314" t="s">
        <v>341</v>
      </c>
      <c r="B4" s="315"/>
      <c r="C4" s="315"/>
      <c r="D4" s="314"/>
      <c r="E4" s="314"/>
      <c r="F4" s="314"/>
      <c r="G4" s="316"/>
      <c r="H4" s="317"/>
      <c r="I4" s="314"/>
      <c r="J4" s="314"/>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314" t="s">
        <v>344</v>
      </c>
      <c r="B162" s="315"/>
      <c r="C162" s="315"/>
      <c r="D162" s="314"/>
      <c r="E162" s="314"/>
      <c r="F162" s="314"/>
      <c r="G162" s="316"/>
      <c r="H162" s="317"/>
      <c r="I162" s="314"/>
      <c r="J162" s="314"/>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314" t="s">
        <v>345</v>
      </c>
      <c r="B319" s="315"/>
      <c r="C319" s="315"/>
      <c r="D319" s="314"/>
      <c r="E319" s="314"/>
      <c r="F319" s="314"/>
      <c r="G319" s="316"/>
      <c r="H319" s="317"/>
      <c r="I319" s="314"/>
      <c r="J319" s="314"/>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314" t="s">
        <v>346</v>
      </c>
      <c r="B476" s="315"/>
      <c r="C476" s="315"/>
      <c r="D476" s="314"/>
      <c r="E476" s="314"/>
      <c r="F476" s="314"/>
      <c r="G476" s="316"/>
      <c r="H476" s="317"/>
      <c r="I476" s="314"/>
      <c r="J476" s="314"/>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L/VKqKVIbVMBjH5mrg1ypPRCIX9hKUE6v2QmSq5k9FtrQ0l5oUYcbzo3+YQ3phEt2Iq302nMlKnMtUt1bp5L0g==" saltValue="3jGXNEbdSJEG7NR9KGgBW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21" t="s">
        <v>25</v>
      </c>
      <c r="C1" s="321"/>
      <c r="D1" s="321"/>
      <c r="E1" s="321"/>
      <c r="F1" s="321"/>
      <c r="G1" s="321"/>
      <c r="H1" s="321"/>
      <c r="I1" s="321"/>
      <c r="J1" s="321"/>
      <c r="K1" s="321"/>
      <c r="L1" s="321"/>
      <c r="M1" s="321"/>
      <c r="N1" s="321"/>
      <c r="O1" s="321"/>
    </row>
    <row r="2" spans="2:15" ht="17.25" customHeight="1">
      <c r="B2" s="321"/>
      <c r="C2" s="321"/>
      <c r="D2" s="321"/>
      <c r="E2" s="321"/>
      <c r="F2" s="321"/>
      <c r="G2" s="321"/>
      <c r="H2" s="321"/>
      <c r="I2" s="321"/>
      <c r="J2" s="321"/>
      <c r="K2" s="321"/>
      <c r="L2" s="321"/>
      <c r="M2" s="321"/>
      <c r="N2" s="321"/>
      <c r="O2" s="321"/>
    </row>
    <row r="3" spans="2:15" ht="18" customHeight="1">
      <c r="B3" s="326" t="s">
        <v>26</v>
      </c>
      <c r="C3" s="326"/>
      <c r="D3" s="326"/>
      <c r="E3" s="326"/>
      <c r="F3" s="326"/>
      <c r="H3" s="323" t="s">
        <v>27</v>
      </c>
      <c r="I3" s="323"/>
      <c r="K3" s="325" t="s">
        <v>28</v>
      </c>
      <c r="L3" s="325"/>
      <c r="N3" s="323" t="s">
        <v>29</v>
      </c>
      <c r="O3" s="323"/>
    </row>
    <row r="4" spans="2:15" ht="15" customHeight="1">
      <c r="B4" s="326"/>
      <c r="C4" s="326"/>
      <c r="D4" s="326"/>
      <c r="E4" s="326"/>
      <c r="F4" s="326"/>
      <c r="H4" s="323"/>
      <c r="I4" s="323"/>
      <c r="K4" s="325"/>
      <c r="L4" s="325"/>
      <c r="N4" s="323"/>
      <c r="O4" s="323"/>
    </row>
    <row r="5" spans="2:15">
      <c r="B5" s="56"/>
      <c r="C5" s="56" t="s">
        <v>30</v>
      </c>
      <c r="D5" s="56" t="s">
        <v>31</v>
      </c>
      <c r="E5" s="56" t="s">
        <v>32</v>
      </c>
      <c r="F5" s="56" t="s">
        <v>33</v>
      </c>
      <c r="H5" s="324" t="s">
        <v>34</v>
      </c>
      <c r="I5" s="324"/>
      <c r="K5" s="324" t="s">
        <v>34</v>
      </c>
      <c r="L5" s="324"/>
      <c r="N5" s="324" t="s">
        <v>35</v>
      </c>
      <c r="O5" s="324"/>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22" t="s">
        <v>49</v>
      </c>
      <c r="C19" s="322"/>
      <c r="D19" s="322"/>
      <c r="E19" s="322"/>
      <c r="F19" s="322"/>
      <c r="H19" s="323" t="s">
        <v>50</v>
      </c>
      <c r="I19" s="323"/>
      <c r="K19" s="325" t="s">
        <v>51</v>
      </c>
      <c r="L19" s="325"/>
      <c r="N19" s="327" t="s">
        <v>203</v>
      </c>
      <c r="O19" s="327"/>
      <c r="P19" s="327"/>
      <c r="Q19" s="327"/>
      <c r="R19" s="327"/>
      <c r="S19" s="327"/>
      <c r="T19" s="327"/>
      <c r="U19" s="327"/>
    </row>
    <row r="20" spans="2:21">
      <c r="B20" s="322"/>
      <c r="C20" s="322"/>
      <c r="D20" s="322"/>
      <c r="E20" s="322"/>
      <c r="F20" s="322"/>
      <c r="H20" s="323"/>
      <c r="I20" s="323"/>
      <c r="K20" s="325"/>
      <c r="L20" s="325"/>
      <c r="N20" s="327"/>
      <c r="O20" s="327"/>
      <c r="P20" s="327"/>
      <c r="Q20" s="327"/>
      <c r="R20" s="327"/>
      <c r="S20" s="327"/>
      <c r="T20" s="327"/>
      <c r="U20" s="327"/>
    </row>
    <row r="21" spans="2:21">
      <c r="B21" s="56"/>
      <c r="C21" s="56" t="s">
        <v>30</v>
      </c>
      <c r="D21" s="56" t="s">
        <v>31</v>
      </c>
      <c r="E21" s="56" t="s">
        <v>32</v>
      </c>
      <c r="F21" s="56" t="s">
        <v>33</v>
      </c>
      <c r="H21" s="324" t="s">
        <v>34</v>
      </c>
      <c r="I21" s="324"/>
      <c r="K21" s="324" t="s">
        <v>34</v>
      </c>
      <c r="L21" s="324"/>
      <c r="N21" s="327"/>
      <c r="O21" s="327"/>
      <c r="P21" s="327"/>
      <c r="Q21" s="327"/>
      <c r="R21" s="327"/>
      <c r="S21" s="327"/>
      <c r="T21" s="327"/>
      <c r="U21" s="327"/>
    </row>
    <row r="22" spans="2:21">
      <c r="B22" s="57" t="s">
        <v>36</v>
      </c>
      <c r="C22" s="3">
        <v>1</v>
      </c>
      <c r="D22" s="87">
        <f>UBERSICHT!G7</f>
        <v>0</v>
      </c>
      <c r="E22" s="58">
        <f>Januar!$S$37</f>
        <v>0</v>
      </c>
      <c r="F22" s="50">
        <v>1</v>
      </c>
      <c r="H22" s="59" t="s">
        <v>36</v>
      </c>
      <c r="I22" s="51">
        <v>1</v>
      </c>
      <c r="K22" s="59" t="s">
        <v>36</v>
      </c>
      <c r="L22" s="51">
        <v>1</v>
      </c>
      <c r="N22" s="327"/>
      <c r="O22" s="327"/>
      <c r="P22" s="327"/>
      <c r="Q22" s="327"/>
      <c r="R22" s="327"/>
      <c r="S22" s="327"/>
      <c r="T22" s="327"/>
      <c r="U22" s="327"/>
    </row>
    <row r="23" spans="2:21">
      <c r="B23" s="57" t="s">
        <v>37</v>
      </c>
      <c r="C23" s="3">
        <v>2</v>
      </c>
      <c r="D23" s="87">
        <f>UBERSICHT!G8</f>
        <v>0</v>
      </c>
      <c r="E23" s="58">
        <f>Februar!$S$37</f>
        <v>0</v>
      </c>
      <c r="F23" s="50">
        <v>2</v>
      </c>
      <c r="H23" s="59" t="s">
        <v>38</v>
      </c>
      <c r="I23" s="51">
        <v>2</v>
      </c>
      <c r="K23" s="59" t="s">
        <v>38</v>
      </c>
      <c r="L23" s="51">
        <v>2</v>
      </c>
      <c r="N23" s="327"/>
      <c r="O23" s="327"/>
      <c r="P23" s="327"/>
      <c r="Q23" s="327"/>
      <c r="R23" s="327"/>
      <c r="S23" s="327"/>
      <c r="T23" s="327"/>
      <c r="U23" s="327"/>
    </row>
    <row r="24" spans="2:21">
      <c r="B24" s="57" t="s">
        <v>39</v>
      </c>
      <c r="C24" s="3">
        <v>3</v>
      </c>
      <c r="D24" s="87">
        <f>UBERSICHT!G9</f>
        <v>0</v>
      </c>
      <c r="E24" s="58">
        <f>Marz!$S$37</f>
        <v>0</v>
      </c>
      <c r="F24" s="50">
        <v>3</v>
      </c>
      <c r="H24" s="59" t="s">
        <v>39</v>
      </c>
      <c r="I24" s="51">
        <v>3</v>
      </c>
      <c r="K24" s="59" t="s">
        <v>39</v>
      </c>
      <c r="L24" s="51">
        <v>3</v>
      </c>
      <c r="N24" s="327"/>
      <c r="O24" s="327"/>
      <c r="P24" s="327"/>
      <c r="Q24" s="327"/>
      <c r="R24" s="327"/>
      <c r="S24" s="327"/>
      <c r="T24" s="327"/>
      <c r="U24" s="327"/>
    </row>
    <row r="25" spans="2:21">
      <c r="B25" s="57" t="s">
        <v>40</v>
      </c>
      <c r="C25" s="3">
        <v>4</v>
      </c>
      <c r="D25" s="87">
        <f>UBERSICHT!G11</f>
        <v>0</v>
      </c>
      <c r="E25" s="58">
        <f>April!$S$37</f>
        <v>0</v>
      </c>
      <c r="F25" s="50">
        <v>4</v>
      </c>
      <c r="H25" s="59" t="s">
        <v>40</v>
      </c>
      <c r="I25" s="51">
        <v>4</v>
      </c>
      <c r="K25" s="59" t="s">
        <v>40</v>
      </c>
      <c r="L25" s="51">
        <v>4</v>
      </c>
      <c r="N25" s="327"/>
      <c r="O25" s="327"/>
      <c r="P25" s="327"/>
      <c r="Q25" s="327"/>
      <c r="R25" s="327"/>
      <c r="S25" s="327"/>
      <c r="T25" s="327"/>
      <c r="U25" s="327"/>
    </row>
    <row r="26" spans="2:21">
      <c r="B26" s="57" t="s">
        <v>41</v>
      </c>
      <c r="C26" s="3">
        <v>5</v>
      </c>
      <c r="D26" s="87">
        <f>UBERSICHT!G12</f>
        <v>0</v>
      </c>
      <c r="E26" s="58">
        <f>Mai!$S$37</f>
        <v>0</v>
      </c>
      <c r="F26" s="50">
        <v>5</v>
      </c>
      <c r="H26" s="59" t="s">
        <v>41</v>
      </c>
      <c r="I26" s="51">
        <v>5</v>
      </c>
      <c r="K26" s="59" t="s">
        <v>41</v>
      </c>
      <c r="L26" s="51">
        <v>5</v>
      </c>
      <c r="M26" s="77"/>
      <c r="N26" s="327"/>
      <c r="O26" s="327"/>
      <c r="P26" s="327"/>
      <c r="Q26" s="327"/>
      <c r="R26" s="327"/>
      <c r="S26" s="327"/>
      <c r="T26" s="327"/>
      <c r="U26" s="327"/>
    </row>
    <row r="27" spans="2:21">
      <c r="B27" s="57" t="s">
        <v>42</v>
      </c>
      <c r="C27" s="3">
        <v>6</v>
      </c>
      <c r="D27" s="87">
        <f>UBERSICHT!G13</f>
        <v>0</v>
      </c>
      <c r="E27" s="58">
        <f>Juni!$S$37</f>
        <v>0</v>
      </c>
      <c r="F27" s="50">
        <v>6</v>
      </c>
      <c r="H27" s="59" t="s">
        <v>42</v>
      </c>
      <c r="I27" s="51">
        <v>6</v>
      </c>
      <c r="K27" s="59" t="s">
        <v>42</v>
      </c>
      <c r="L27" s="51">
        <v>6</v>
      </c>
      <c r="M27" s="77"/>
      <c r="N27" s="327"/>
      <c r="O27" s="327"/>
      <c r="P27" s="327"/>
      <c r="Q27" s="327"/>
      <c r="R27" s="327"/>
      <c r="S27" s="327"/>
      <c r="T27" s="327"/>
      <c r="U27" s="327"/>
    </row>
    <row r="28" spans="2:21">
      <c r="B28" s="57" t="s">
        <v>43</v>
      </c>
      <c r="C28" s="3">
        <v>7</v>
      </c>
      <c r="D28" s="87">
        <f>UBERSICHT!G15</f>
        <v>0</v>
      </c>
      <c r="E28" s="58">
        <f>Juli!$S$37</f>
        <v>0</v>
      </c>
      <c r="F28" s="50">
        <v>7</v>
      </c>
      <c r="H28" s="59" t="s">
        <v>43</v>
      </c>
      <c r="I28" s="51">
        <v>7</v>
      </c>
      <c r="K28" s="59" t="s">
        <v>43</v>
      </c>
      <c r="L28" s="51">
        <v>7</v>
      </c>
      <c r="M28" s="77"/>
      <c r="N28" s="327"/>
      <c r="O28" s="327"/>
      <c r="P28" s="327"/>
      <c r="Q28" s="327"/>
      <c r="R28" s="327"/>
      <c r="S28" s="327"/>
      <c r="T28" s="327"/>
      <c r="U28" s="327"/>
    </row>
    <row r="29" spans="2:21">
      <c r="B29" s="57" t="s">
        <v>44</v>
      </c>
      <c r="C29" s="3">
        <v>8</v>
      </c>
      <c r="D29" s="87">
        <f>UBERSICHT!G16</f>
        <v>0</v>
      </c>
      <c r="E29" s="58">
        <f>August!$S$37</f>
        <v>0</v>
      </c>
      <c r="F29" s="50">
        <v>8</v>
      </c>
      <c r="H29" s="59" t="s">
        <v>44</v>
      </c>
      <c r="I29" s="51">
        <v>8</v>
      </c>
      <c r="K29" s="59" t="s">
        <v>44</v>
      </c>
      <c r="L29" s="51">
        <v>8</v>
      </c>
      <c r="M29" s="77"/>
      <c r="N29" s="327"/>
      <c r="O29" s="327"/>
      <c r="P29" s="327"/>
      <c r="Q29" s="327"/>
      <c r="R29" s="327"/>
      <c r="S29" s="327"/>
      <c r="T29" s="327"/>
      <c r="U29" s="327"/>
    </row>
    <row r="30" spans="2:21">
      <c r="B30" s="57" t="s">
        <v>45</v>
      </c>
      <c r="C30" s="3">
        <v>9</v>
      </c>
      <c r="D30" s="87">
        <f>UBERSICHT!G17</f>
        <v>0</v>
      </c>
      <c r="E30" s="58">
        <f>September!$S$37</f>
        <v>0</v>
      </c>
      <c r="F30" s="50">
        <v>9</v>
      </c>
      <c r="H30" s="59" t="s">
        <v>45</v>
      </c>
      <c r="I30" s="51">
        <v>9</v>
      </c>
      <c r="K30" s="59" t="s">
        <v>45</v>
      </c>
      <c r="L30" s="51">
        <v>9</v>
      </c>
      <c r="N30" s="327"/>
      <c r="O30" s="327"/>
      <c r="P30" s="327"/>
      <c r="Q30" s="327"/>
      <c r="R30" s="327"/>
      <c r="S30" s="327"/>
      <c r="T30" s="327"/>
      <c r="U30" s="327"/>
    </row>
    <row r="31" spans="2:21">
      <c r="B31" s="57" t="s">
        <v>46</v>
      </c>
      <c r="C31" s="3">
        <v>10</v>
      </c>
      <c r="D31" s="87">
        <f>UBERSICHT!G19</f>
        <v>0</v>
      </c>
      <c r="E31" s="58">
        <f>Oktober!$S$37</f>
        <v>0</v>
      </c>
      <c r="F31" s="50">
        <v>10</v>
      </c>
      <c r="H31" s="59" t="s">
        <v>46</v>
      </c>
      <c r="I31" s="51">
        <v>10</v>
      </c>
      <c r="K31" s="59" t="s">
        <v>46</v>
      </c>
      <c r="L31" s="51">
        <v>10</v>
      </c>
      <c r="N31" s="327"/>
      <c r="O31" s="327"/>
      <c r="P31" s="327"/>
      <c r="Q31" s="327"/>
      <c r="R31" s="327"/>
      <c r="S31" s="327"/>
      <c r="T31" s="327"/>
      <c r="U31" s="327"/>
    </row>
    <row r="32" spans="2:21">
      <c r="B32" s="57" t="s">
        <v>47</v>
      </c>
      <c r="C32" s="3">
        <v>11</v>
      </c>
      <c r="D32" s="87">
        <f>UBERSICHT!G20</f>
        <v>0</v>
      </c>
      <c r="E32" s="58">
        <f>November!$S$37</f>
        <v>0</v>
      </c>
      <c r="F32" s="50">
        <v>11</v>
      </c>
      <c r="H32" s="59" t="s">
        <v>47</v>
      </c>
      <c r="I32" s="51">
        <v>11</v>
      </c>
      <c r="K32" s="59" t="s">
        <v>47</v>
      </c>
      <c r="L32" s="51">
        <v>11</v>
      </c>
      <c r="N32" s="327"/>
      <c r="O32" s="327"/>
      <c r="P32" s="327"/>
      <c r="Q32" s="327"/>
      <c r="R32" s="327"/>
      <c r="S32" s="327"/>
      <c r="T32" s="327"/>
      <c r="U32" s="327"/>
    </row>
    <row r="33" spans="2:21">
      <c r="B33" s="57" t="s">
        <v>48</v>
      </c>
      <c r="C33" s="3">
        <v>12</v>
      </c>
      <c r="D33" s="87">
        <f>UBERSICHT!G21</f>
        <v>0</v>
      </c>
      <c r="E33" s="58">
        <f>Dezember!$S$37</f>
        <v>0</v>
      </c>
      <c r="F33" s="50">
        <v>12</v>
      </c>
      <c r="H33" s="59" t="s">
        <v>48</v>
      </c>
      <c r="I33" s="51">
        <v>12</v>
      </c>
      <c r="K33" s="59" t="s">
        <v>48</v>
      </c>
      <c r="L33" s="51">
        <v>12</v>
      </c>
      <c r="N33" s="327"/>
      <c r="O33" s="327"/>
      <c r="P33" s="327"/>
      <c r="Q33" s="327"/>
      <c r="R33" s="327"/>
      <c r="S33" s="327"/>
      <c r="T33" s="327"/>
      <c r="U33" s="327"/>
    </row>
    <row r="34" spans="2:21">
      <c r="N34" s="327"/>
      <c r="O34" s="327"/>
      <c r="P34" s="327"/>
      <c r="Q34" s="327"/>
      <c r="R34" s="327"/>
      <c r="S34" s="327"/>
      <c r="T34" s="327"/>
      <c r="U34" s="327"/>
    </row>
    <row r="35" spans="2:21" ht="14.5" customHeight="1">
      <c r="B35" s="313" t="s">
        <v>204</v>
      </c>
      <c r="C35" s="313"/>
      <c r="D35" s="313"/>
      <c r="E35" s="126"/>
      <c r="N35" s="327"/>
      <c r="O35" s="327"/>
      <c r="P35" s="327"/>
      <c r="Q35" s="327"/>
      <c r="R35" s="327"/>
      <c r="S35" s="327"/>
      <c r="T35" s="327"/>
      <c r="U35" s="327"/>
    </row>
    <row r="36" spans="2:21">
      <c r="B36" s="313"/>
      <c r="C36" s="313"/>
      <c r="D36" s="313"/>
      <c r="N36" s="327"/>
      <c r="O36" s="327"/>
      <c r="P36" s="327"/>
      <c r="Q36" s="327"/>
      <c r="R36" s="327"/>
      <c r="S36" s="327"/>
      <c r="T36" s="327"/>
      <c r="U36" s="327"/>
    </row>
    <row r="37" spans="2:21">
      <c r="N37" s="327"/>
      <c r="O37" s="327"/>
      <c r="P37" s="327"/>
      <c r="Q37" s="327"/>
      <c r="R37" s="327"/>
      <c r="S37" s="327"/>
      <c r="T37" s="327"/>
      <c r="U37" s="327"/>
    </row>
    <row r="38" spans="2:21">
      <c r="N38" s="327"/>
      <c r="O38" s="327"/>
      <c r="P38" s="327"/>
      <c r="Q38" s="327"/>
      <c r="R38" s="327"/>
      <c r="S38" s="327"/>
      <c r="T38" s="327"/>
      <c r="U38" s="327"/>
    </row>
    <row r="39" spans="2:21">
      <c r="N39" s="327"/>
      <c r="O39" s="327"/>
      <c r="P39" s="327"/>
      <c r="Q39" s="327"/>
      <c r="R39" s="327"/>
      <c r="S39" s="327"/>
      <c r="T39" s="327"/>
      <c r="U39" s="327"/>
    </row>
    <row r="40" spans="2:21">
      <c r="N40" s="327"/>
      <c r="O40" s="327"/>
      <c r="P40" s="327"/>
      <c r="Q40" s="327"/>
      <c r="R40" s="327"/>
      <c r="S40" s="327"/>
      <c r="T40" s="327"/>
      <c r="U40" s="327"/>
    </row>
    <row r="41" spans="2:21">
      <c r="N41" s="327"/>
      <c r="O41" s="327"/>
      <c r="P41" s="327"/>
      <c r="Q41" s="327"/>
      <c r="R41" s="327"/>
      <c r="S41" s="327"/>
      <c r="T41" s="327"/>
      <c r="U41" s="327"/>
    </row>
    <row r="42" spans="2:21">
      <c r="N42" s="327"/>
      <c r="O42" s="327"/>
      <c r="P42" s="327"/>
      <c r="Q42" s="327"/>
      <c r="R42" s="327"/>
      <c r="S42" s="327"/>
      <c r="T42" s="327"/>
      <c r="U42" s="327"/>
    </row>
  </sheetData>
  <sheetProtection algorithmName="SHA-512" hashValue="Zk9BWle9s/ybJNItPWu5Tj83LP2LYjfWkUTQ43yW/A4kWevpoJCkBdcBgts5W3RM9/EyW24QMMYvJKEjZW9dJw==" saltValue="yB5Be0GCJvymAL36T5h1k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46023</v>
      </c>
    </row>
    <row r="2" spans="1:28" ht="16" customHeight="1" thickBot="1">
      <c r="A2" s="129"/>
      <c r="B2" s="288"/>
      <c r="C2" s="293"/>
      <c r="D2" s="295"/>
      <c r="E2" s="295"/>
      <c r="F2" s="295"/>
      <c r="G2" s="297"/>
      <c r="H2" s="291"/>
      <c r="I2" s="275"/>
      <c r="J2" s="277"/>
      <c r="K2" s="279"/>
      <c r="L2" s="281"/>
      <c r="M2" s="283"/>
      <c r="N2" s="289"/>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7494.8</v>
      </c>
      <c r="R8" s="269"/>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EINSTELLUNG!L22</f>
        <v>1</v>
      </c>
      <c r="R9" s="269"/>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67" t="s">
        <v>74</v>
      </c>
      <c r="P10" s="268"/>
      <c r="Q10" s="269">
        <f>EINSTELLUNG!I22</f>
        <v>1</v>
      </c>
      <c r="R10" s="269"/>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v>
      </c>
      <c r="R11" s="269"/>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c r="R12" s="337"/>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67" t="s">
        <v>80</v>
      </c>
      <c r="P13" s="268"/>
      <c r="Q13" s="269">
        <f>Q8-Q9-Q10-Q11-Q12</f>
        <v>7491.8</v>
      </c>
      <c r="R13" s="269"/>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67" t="s">
        <v>82</v>
      </c>
      <c r="P14" s="268"/>
      <c r="Q14" s="269">
        <f>EINSTELLUNG!L6</f>
        <v>1</v>
      </c>
      <c r="R14" s="269"/>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67" t="s">
        <v>84</v>
      </c>
      <c r="P15" s="268"/>
      <c r="Q15" s="269">
        <f>Q13-Q14</f>
        <v>7490.8</v>
      </c>
      <c r="R15" s="269"/>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90106.82881720431</v>
      </c>
      <c r="R17" s="273"/>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39"/>
      <c r="P18" s="240"/>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39"/>
      <c r="P19" s="240"/>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9"/>
      <c r="P20" s="240"/>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39" t="s">
        <v>370</v>
      </c>
      <c r="P21" s="240"/>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39"/>
      <c r="P22" s="240"/>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9"/>
      <c r="P23" s="240"/>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39"/>
      <c r="P24" s="240"/>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40"/>
      <c r="P25" s="341"/>
      <c r="Q25" s="261"/>
      <c r="R25" s="261"/>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39"/>
      <c r="P27" s="240"/>
      <c r="Q27" s="248"/>
      <c r="R27" s="266"/>
      <c r="S27" s="230" t="s">
        <v>99</v>
      </c>
      <c r="T27" s="231"/>
      <c r="U27" s="231"/>
      <c r="V27" s="231"/>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43" t="s">
        <v>102</v>
      </c>
      <c r="P29" s="244"/>
      <c r="Q29" s="245">
        <f>EINSTELLUNG!O6</f>
        <v>1</v>
      </c>
      <c r="R29" s="246"/>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1.9607843137254902E-2</v>
      </c>
      <c r="R31" s="252"/>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329" t="s">
        <v>108</v>
      </c>
      <c r="R33" s="330"/>
      <c r="S33" s="333" t="s">
        <v>109</v>
      </c>
      <c r="T33" s="334"/>
      <c r="U33" s="333" t="s">
        <v>110</v>
      </c>
      <c r="V33" s="334"/>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331"/>
      <c r="R34" s="332"/>
      <c r="S34" s="335"/>
      <c r="T34" s="336"/>
      <c r="U34" s="335"/>
      <c r="V34" s="336"/>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2" t="s">
        <v>113</v>
      </c>
      <c r="P35" s="233"/>
      <c r="Q35" s="223">
        <f>EINSTELLUNG!C6</f>
        <v>1</v>
      </c>
      <c r="R35" s="223"/>
      <c r="S35" s="223">
        <f>EINSTELLUNG!C22</f>
        <v>1</v>
      </c>
      <c r="T35" s="223"/>
      <c r="U35" s="224">
        <f>S35-Q35</f>
        <v>0</v>
      </c>
      <c r="V35" s="224"/>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EINSTELLUNG!D6</f>
        <v>1</v>
      </c>
      <c r="R36" s="223"/>
      <c r="S36" s="223" cm="1">
        <f t="array" ref="S36">SumMergedCells(Q17:R29)</f>
        <v>0</v>
      </c>
      <c r="T36" s="223"/>
      <c r="U36" s="224">
        <f t="shared" ref="U36:U41" si="2">S36-Q36</f>
        <v>-1</v>
      </c>
      <c r="V36" s="224"/>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0</v>
      </c>
      <c r="T37" s="234"/>
      <c r="U37" s="237">
        <f t="shared" si="2"/>
        <v>-1</v>
      </c>
      <c r="V37" s="237"/>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EINSTELLUNG!F6</f>
        <v>1</v>
      </c>
      <c r="R38" s="225"/>
      <c r="S38" s="225">
        <f>EINSTELLUNG!F22</f>
        <v>1</v>
      </c>
      <c r="T38" s="225"/>
      <c r="U38" s="226">
        <f t="shared" si="2"/>
        <v>0</v>
      </c>
      <c r="V38" s="22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2"/>
        <v>0</v>
      </c>
      <c r="V39" s="224"/>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1.3347927066926506E-4</v>
      </c>
      <c r="R40" s="223"/>
      <c r="S40" s="223">
        <f>IF(Q13=0, 0, S35/Q13)</f>
        <v>1.3347927066926506E-4</v>
      </c>
      <c r="T40" s="223"/>
      <c r="U40" s="224">
        <f t="shared" si="2"/>
        <v>0</v>
      </c>
      <c r="V40" s="224"/>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1.3347927066926506E-4</v>
      </c>
      <c r="R41" s="225"/>
      <c r="S41" s="225">
        <f>IF(Q13=0, 0, S38/Q13)</f>
        <v>1.3347927066926506E-4</v>
      </c>
      <c r="T41" s="225"/>
      <c r="U41" s="226">
        <f t="shared" si="2"/>
        <v>0</v>
      </c>
      <c r="V41" s="22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12.022579497412114</v>
      </c>
      <c r="R42" s="228"/>
      <c r="S42" s="228"/>
      <c r="T42" s="228"/>
      <c r="U42" s="228"/>
      <c r="V42" s="229"/>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42"/>
      <c r="L114" s="342"/>
      <c r="M114" s="342"/>
      <c r="N114" s="127"/>
    </row>
    <row r="115" spans="11:14" ht="16" customHeight="1">
      <c r="K115" s="342"/>
      <c r="L115" s="342"/>
      <c r="M115" s="342"/>
      <c r="N115" s="127"/>
    </row>
    <row r="116" spans="11:14" ht="16" customHeight="1">
      <c r="K116" s="338"/>
      <c r="L116" s="338"/>
      <c r="M116" s="78"/>
      <c r="N116" s="78"/>
    </row>
    <row r="117" spans="11:14" ht="16" customHeight="1">
      <c r="K117" s="338"/>
      <c r="L117" s="338"/>
      <c r="M117" s="78"/>
      <c r="N117" s="78"/>
    </row>
    <row r="118" spans="11:14" ht="16" customHeight="1">
      <c r="K118" s="343"/>
      <c r="L118" s="343"/>
      <c r="M118" s="79"/>
      <c r="N118" s="79"/>
    </row>
    <row r="119" spans="11:14" ht="16" customHeight="1">
      <c r="K119" s="339"/>
      <c r="L119" s="339"/>
      <c r="M119" s="80"/>
      <c r="N119" s="80"/>
    </row>
    <row r="120" spans="11:14" ht="16" customHeight="1">
      <c r="K120" s="338"/>
      <c r="L120" s="338"/>
      <c r="M120" s="78"/>
      <c r="N120" s="78"/>
    </row>
    <row r="121" spans="11:14" ht="16" customHeight="1">
      <c r="K121" s="338"/>
      <c r="L121" s="338"/>
      <c r="M121" s="78"/>
      <c r="N121" s="78"/>
    </row>
    <row r="122" spans="11:14" ht="16" customHeight="1">
      <c r="K122" s="339"/>
      <c r="L122" s="339"/>
      <c r="M122" s="80"/>
      <c r="N122" s="80"/>
    </row>
    <row r="123" spans="11:14" ht="16" customHeight="1">
      <c r="K123" s="81"/>
      <c r="L123" s="81"/>
      <c r="M123" s="81"/>
      <c r="N123" s="81"/>
    </row>
  </sheetData>
  <sheetProtection algorithmName="SHA-512" hashValue="6GRLSDc80Vo5aG3J+GetHwE/l/v08zlXTh8x4sJu00MzzSI95b7+xuMHMigIX2cESelRs3hjQ5mX9GS4uTqjng==" saltValue="OcIZBYlx5ljL/f+xlr6dyw=="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dhd4ou5H8CXlu5koOqm0rTDmjNBaVlwppSZjieZeB83wjMf8kLhpy+fEY9BQdt7ExN1v/c1AltJakH0APx4TPw==" saltValue="caGcob9aU+3VPGVwezfXzQ=="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46054</v>
      </c>
    </row>
    <row r="2" spans="1:28" ht="16" customHeight="1" thickBot="1">
      <c r="A2" s="129"/>
      <c r="B2" s="288"/>
      <c r="C2" s="293"/>
      <c r="D2" s="295"/>
      <c r="E2" s="295"/>
      <c r="F2" s="295"/>
      <c r="G2" s="297"/>
      <c r="H2" s="291"/>
      <c r="I2" s="275"/>
      <c r="J2" s="277"/>
      <c r="K2" s="279"/>
      <c r="L2" s="281"/>
      <c r="M2" s="283"/>
      <c r="N2" s="289"/>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84" t="s">
        <v>61</v>
      </c>
      <c r="P3" s="284" t="s">
        <v>62</v>
      </c>
      <c r="Q3" s="298" t="s">
        <v>63</v>
      </c>
      <c r="R3" s="300"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85"/>
      <c r="P4" s="285"/>
      <c r="Q4" s="299"/>
      <c r="R4" s="301"/>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751.26519204752321</v>
      </c>
      <c r="P5" s="49">
        <f>EINSTELLUNG!I7</f>
        <v>2</v>
      </c>
      <c r="Q5" s="48">
        <f>P5-O5</f>
        <v>-749.26519204752321</v>
      </c>
      <c r="R5" s="52">
        <f>IFERROR(Q5*Q42, 0)</f>
        <v>-8993.3959332686845</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79" t="str">
        <f>IF(Q5&lt;0, "Schlecht! Zu wenig Urlaub abgebaut.", IF(Q5&gt;0, "Gut! Mehr Urlaub abgebaut als aufgebaut.", ""))</f>
        <v>Schlecht! Zu wenig Urlaub abgebaut.</v>
      </c>
      <c r="P6" s="379"/>
      <c r="Q6" s="379"/>
      <c r="R6" s="379"/>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77" t="s">
        <v>70</v>
      </c>
      <c r="P8" s="267"/>
      <c r="Q8" s="375">
        <f>SUM(H3:H82)</f>
        <v>7785</v>
      </c>
      <c r="R8" s="376"/>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77" t="s">
        <v>72</v>
      </c>
      <c r="P9" s="267"/>
      <c r="Q9" s="375">
        <f>EINSTELLUNG!L23</f>
        <v>2</v>
      </c>
      <c r="R9" s="376"/>
      <c r="S9" s="53">
        <f>IFERROR(Q9/Q8, 0)</f>
        <v>2.5690430314707772E-4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77" t="s">
        <v>74</v>
      </c>
      <c r="P10" s="267"/>
      <c r="Q10" s="375">
        <f>EINSTELLUNG!I23</f>
        <v>2</v>
      </c>
      <c r="R10" s="376"/>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77" t="s">
        <v>76</v>
      </c>
      <c r="P11" s="267"/>
      <c r="Q11" s="375">
        <f>P5</f>
        <v>2</v>
      </c>
      <c r="R11" s="376"/>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77" t="s">
        <v>80</v>
      </c>
      <c r="P12" s="267"/>
      <c r="Q12" s="375">
        <f>Q8-Q9-Q10-Q11</f>
        <v>7779</v>
      </c>
      <c r="R12" s="37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77" t="s">
        <v>82</v>
      </c>
      <c r="P13" s="267"/>
      <c r="Q13" s="375">
        <f>EINSTELLUNG!L7</f>
        <v>2</v>
      </c>
      <c r="R13" s="376"/>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77" t="s">
        <v>84</v>
      </c>
      <c r="P14" s="267"/>
      <c r="Q14" s="375">
        <f>Q12-Q13</f>
        <v>7777</v>
      </c>
      <c r="R14" s="376"/>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78" t="str">
        <f>IF(Q14&lt;0, "Schlecht! Zu wenig Stunden für Dienstplan.", IF(Q14&gt;0, "Du hast mehr als genug Stunden für Dienstplan.", ""))</f>
        <v>Du hast mehr als genug Stunden für Dienstplan.</v>
      </c>
      <c r="P15" s="378"/>
      <c r="Q15" s="378"/>
      <c r="R15" s="378"/>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72" t="s">
        <v>87</v>
      </c>
      <c r="P17" s="271"/>
      <c r="Q17" s="373">
        <f>SUM(L3:L82)</f>
        <v>93443</v>
      </c>
      <c r="R17" s="37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52"/>
      <c r="P18" s="256"/>
      <c r="Q18" s="353"/>
      <c r="R18" s="354"/>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52"/>
      <c r="P19" s="256"/>
      <c r="Q19" s="353"/>
      <c r="R19" s="354"/>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52"/>
      <c r="P20" s="256"/>
      <c r="Q20" s="353"/>
      <c r="R20" s="354"/>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52" t="s">
        <v>370</v>
      </c>
      <c r="P21" s="256"/>
      <c r="Q21" s="353">
        <v>5000</v>
      </c>
      <c r="R21" s="354"/>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52"/>
      <c r="P22" s="256"/>
      <c r="Q22" s="353"/>
      <c r="R22" s="354"/>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52"/>
      <c r="P23" s="256"/>
      <c r="Q23" s="353"/>
      <c r="R23" s="354"/>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52"/>
      <c r="P24" s="256"/>
      <c r="Q24" s="353"/>
      <c r="R24" s="354"/>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66"/>
      <c r="P25" s="258"/>
      <c r="Q25" s="367"/>
      <c r="R25" s="368"/>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69"/>
      <c r="P26" s="262"/>
      <c r="Q26" s="370"/>
      <c r="R26" s="371"/>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62"/>
      <c r="P27" s="239"/>
      <c r="Q27" s="363"/>
      <c r="R27" s="364"/>
      <c r="S27" s="230" t="s">
        <v>99</v>
      </c>
      <c r="T27" s="231"/>
      <c r="U27" s="231"/>
      <c r="V27" s="231"/>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5"/>
      <c r="P28" s="286"/>
      <c r="Q28" s="346"/>
      <c r="R28" s="347"/>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48" t="s">
        <v>102</v>
      </c>
      <c r="P29" s="243"/>
      <c r="Q29" s="349">
        <f>EINSTELLUNG!O7</f>
        <v>2</v>
      </c>
      <c r="R29" s="350"/>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5">
        <v>0</v>
      </c>
      <c r="P31" s="356"/>
      <c r="Q31" s="357">
        <v>0</v>
      </c>
      <c r="R31" s="249"/>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8"/>
      <c r="P33" s="359"/>
      <c r="Q33" s="329" t="s">
        <v>108</v>
      </c>
      <c r="R33" s="330"/>
      <c r="S33" s="333" t="s">
        <v>109</v>
      </c>
      <c r="T33" s="334"/>
      <c r="U33" s="333" t="s">
        <v>110</v>
      </c>
      <c r="V33" s="334"/>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60"/>
      <c r="P34" s="361"/>
      <c r="Q34" s="331"/>
      <c r="R34" s="332"/>
      <c r="S34" s="335"/>
      <c r="T34" s="336"/>
      <c r="U34" s="335"/>
      <c r="V34" s="336"/>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51" t="s">
        <v>113</v>
      </c>
      <c r="P35" s="232"/>
      <c r="Q35" s="227">
        <f>EINSTELLUNG!C7</f>
        <v>2</v>
      </c>
      <c r="R35" s="229"/>
      <c r="S35" s="227">
        <f>EINSTELLUNG!C23</f>
        <v>2</v>
      </c>
      <c r="T35" s="229"/>
      <c r="U35" s="224">
        <f>S35-Q35</f>
        <v>0</v>
      </c>
      <c r="V35" s="224"/>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51" t="s">
        <v>115</v>
      </c>
      <c r="P36" s="232"/>
      <c r="Q36" s="227">
        <f>EINSTELLUNG!D7</f>
        <v>2</v>
      </c>
      <c r="R36" s="229"/>
      <c r="S36" s="223" cm="1">
        <f t="array" ref="S36">SumMergedCells(Q17:R29)</f>
        <v>0</v>
      </c>
      <c r="T36" s="223"/>
      <c r="U36" s="224">
        <f t="shared" ref="U36:U41" si="2">S36-Q36</f>
        <v>-2</v>
      </c>
      <c r="V36" s="224"/>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51" t="s">
        <v>117</v>
      </c>
      <c r="P37" s="232"/>
      <c r="Q37" s="235">
        <f>IF(ISERROR(Q36/Q35), 0, Q36/Q35)</f>
        <v>1</v>
      </c>
      <c r="R37" s="236"/>
      <c r="S37" s="235">
        <f>IF(ISERROR(S36/S35), 0, S36/S35)</f>
        <v>0</v>
      </c>
      <c r="T37" s="236"/>
      <c r="U37" s="237">
        <f t="shared" si="2"/>
        <v>-1</v>
      </c>
      <c r="V37" s="237"/>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51" t="s">
        <v>119</v>
      </c>
      <c r="P38" s="232"/>
      <c r="Q38" s="344">
        <f>EINSTELLUNG!F7</f>
        <v>2</v>
      </c>
      <c r="R38" s="345"/>
      <c r="S38" s="344">
        <f>EINSTELLUNG!F23</f>
        <v>2</v>
      </c>
      <c r="T38" s="345"/>
      <c r="U38" s="226">
        <f t="shared" si="2"/>
        <v>0</v>
      </c>
      <c r="V38" s="22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51" t="s">
        <v>121</v>
      </c>
      <c r="P39" s="232"/>
      <c r="Q39" s="227">
        <f>IF(Q38=0, 0, Q35/Q38)</f>
        <v>1</v>
      </c>
      <c r="R39" s="229"/>
      <c r="S39" s="227">
        <f>IF(S38=0, 0, S35/S38)</f>
        <v>1</v>
      </c>
      <c r="T39" s="229"/>
      <c r="U39" s="224">
        <f t="shared" si="2"/>
        <v>0</v>
      </c>
      <c r="V39" s="224"/>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2.5710245532844839E-4</v>
      </c>
      <c r="R40" s="223"/>
      <c r="S40" s="223">
        <f>IF(Q12=0, 0, S35/Q12)</f>
        <v>2.5710245532844839E-4</v>
      </c>
      <c r="T40" s="223"/>
      <c r="U40" s="224">
        <f t="shared" si="2"/>
        <v>0</v>
      </c>
      <c r="V40" s="224"/>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2.5710245532844839E-4</v>
      </c>
      <c r="R41" s="225"/>
      <c r="S41" s="225">
        <f>IF(Q12=0, 0, S38/Q12)</f>
        <v>2.5710245532844839E-4</v>
      </c>
      <c r="T41" s="225"/>
      <c r="U41" s="226">
        <f t="shared" si="2"/>
        <v>0</v>
      </c>
      <c r="V41" s="22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12.002954399486191</v>
      </c>
      <c r="R42" s="228"/>
      <c r="S42" s="228"/>
      <c r="T42" s="228"/>
      <c r="U42" s="228"/>
      <c r="V42" s="229"/>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402405</v>
      </c>
      <c r="C54" s="137" t="s">
        <v>381</v>
      </c>
      <c r="D54" s="203">
        <v>46054</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55</v>
      </c>
      <c r="C55" s="137" t="s">
        <v>382</v>
      </c>
      <c r="D55" s="203">
        <v>46054</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2021</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98"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b8WoM9c7IP9z/NGd2ZfF7/VELfHZOl//EITa2zPT5mMZnV9ZPYPjXAneXI3ZuzQ5YPwIjViXaEa3BHBxiacuZg==" saltValue="9H1V/my60sEyQRwDFBUb3w=="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5">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 type="list" allowBlank="1" showInputMessage="1" showErrorMessage="1" sqref="F54" xr:uid="{31CD400B-38F2-0041-B73B-F518BD44A17C}">
      <formula1>KV_DD_FEBRUAR_54</formula1>
    </dataValidation>
    <dataValidation type="list" allowBlank="1" showInputMessage="1" showErrorMessage="1" sqref="F55" xr:uid="{49A924C5-8C60-2A47-B247-4180B46C50A0}">
      <formula1>KV_DD_FEBRUAR_55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46082</v>
      </c>
    </row>
    <row r="2" spans="1:28" ht="16" customHeight="1" thickBot="1">
      <c r="A2" s="129"/>
      <c r="B2" s="288"/>
      <c r="C2" s="293"/>
      <c r="D2" s="295"/>
      <c r="E2" s="295"/>
      <c r="F2" s="295"/>
      <c r="G2" s="297"/>
      <c r="H2" s="291"/>
      <c r="I2" s="275"/>
      <c r="J2" s="277"/>
      <c r="K2" s="279"/>
      <c r="L2" s="281"/>
      <c r="M2" s="283"/>
      <c r="N2" s="289"/>
      <c r="AB2" s="41">
        <f>EOMONTH(DATE(LOHNTABELLE!$G$3, $A$1, 1), 0)</f>
        <v>46112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767.95997409302379</v>
      </c>
      <c r="P5" s="49">
        <f>EINSTELLUNG!I8</f>
        <v>3</v>
      </c>
      <c r="Q5" s="48">
        <f>P5-O5</f>
        <v>-764.95997409302379</v>
      </c>
      <c r="R5" s="52">
        <f>IFERROR(Q5*Q42, 0)</f>
        <v>-9203.0122699584263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7913.35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EINSTELLUNG!L24</f>
        <v>3</v>
      </c>
      <c r="R9" s="269"/>
      <c r="S9" s="53">
        <f>IFERROR(Q9/Q8, 0)</f>
        <v>3.791061939633657E-4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EINSTELLUNG!I24</f>
        <v>3</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3</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8349.35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EINSTELLUNG!L8</f>
        <v>3</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8346.35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95203.225806451606</v>
      </c>
      <c r="R17" s="273"/>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EINSTELLUNG!O8</f>
        <v>3</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1.9230769230769232E-2</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EINSTELLUNG!C8</f>
        <v>3</v>
      </c>
      <c r="R35" s="223"/>
      <c r="S35" s="223">
        <f>EINSTELLUNG!C24</f>
        <v>3</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EINSTELLUNG!D8</f>
        <v>3</v>
      </c>
      <c r="R36" s="223"/>
      <c r="S36" s="223" cm="1">
        <f t="array" ref="S36">SumMergedCells(Q17:R29)</f>
        <v>0</v>
      </c>
      <c r="T36" s="223"/>
      <c r="U36" s="224">
        <f t="shared" ref="U36:U41" si="0">S36-Q36</f>
        <v>-3</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0</v>
      </c>
      <c r="T37" s="234"/>
      <c r="U37" s="237">
        <f t="shared" si="0"/>
        <v>-1</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EINSTELLUNG!F8</f>
        <v>3</v>
      </c>
      <c r="R38" s="225"/>
      <c r="S38" s="225">
        <f>EINSTELLUNG!F24</f>
        <v>3</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3.5930940731913262E-4</v>
      </c>
      <c r="R40" s="223"/>
      <c r="S40" s="223">
        <f>IF(Q13=0, 0, S35/Q13)</f>
        <v>3.5930940731913262E-4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3.5930940731913262E-4</v>
      </c>
      <c r="R41" s="225"/>
      <c r="S41" s="225">
        <f>IF(Q13=0, 0, S38/Q13)</f>
        <v>3.5930940731913262E-4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12.030710862839582</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9"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203">
        <v>46014</v>
      </c>
      <c r="E54" s="134" t="s">
        <v>4</v>
      </c>
      <c r="F54" s="136">
        <v>86.5</v>
      </c>
      <c r="G54" s="192">
        <v>1010.5</v>
      </c>
      <c r="H54" s="158">
        <f>IF(AND(ISNUMBER(D54), ISNUMBER(F54)),
    ROUNDDOWN(
        MIN(
            IF(OR(ISBLANK(I54), I54=""),
                EOMONTH(DATE(LOHNTABELLE!$G$3, $A$1, 1), 0), I54)
            - MAX(D54, DATE(LOHNTABELLE!$G$3, $A$1, 1)) + 1)
        / DAY(EOMONTH(DATE(LOHNTABELLE!$G$3, $A$1, 1), 0)) * F54,
        2
    ),
    ""
)</f>
        <v>41.85</v>
      </c>
      <c r="I54" s="206">
        <v>46096</v>
      </c>
      <c r="J54" s="135">
        <v>8</v>
      </c>
      <c r="K54" s="161">
        <f>IFERROR(IF(OR(MONTH(D54)=1, MONTH(D54)=3, MONTH(D54)=5, MONTH(D54)=7, MONTH(D54)=8, MONTH(D54)=10, MONTH(D54)=12), (G54/31)*J54, IF(OR(MONTH(D54)=4, MONTH(D54)=6, MONTH(D54)=9, MONTH(D54)=11), (G54/30)*J54, (G54/DAY(EOMONTH(D54,0)))*J54)), 0)</f>
        <v>260.77419354838707</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749.72580645161281</v>
      </c>
      <c r="M54" s="164"/>
      <c r="N54" s="147" t="s">
        <v>219</v>
      </c>
    </row>
    <row r="55" spans="1:14" ht="16" customHeight="1">
      <c r="A55" s="130" t="s">
        <v>141</v>
      </c>
      <c r="B55" s="170">
        <v>401999</v>
      </c>
      <c r="C55" s="137" t="s">
        <v>369</v>
      </c>
      <c r="D55" s="203">
        <v>46082</v>
      </c>
      <c r="E55" s="134" t="s">
        <v>4</v>
      </c>
      <c r="F55" s="136">
        <v>173</v>
      </c>
      <c r="G55" s="192">
        <v>2021</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2020.9999999999998</v>
      </c>
      <c r="M55" s="164"/>
      <c r="N55" s="147"/>
    </row>
    <row r="56" spans="1:14" ht="16" customHeight="1">
      <c r="A56" s="130" t="s">
        <v>142</v>
      </c>
      <c r="B56" s="170">
        <v>402405</v>
      </c>
      <c r="C56" s="137" t="s">
        <v>381</v>
      </c>
      <c r="D56" s="203">
        <v>46054</v>
      </c>
      <c r="E56" s="134" t="s">
        <v>4</v>
      </c>
      <c r="F56" s="136">
        <v>173</v>
      </c>
      <c r="G56" s="192">
        <v>2021</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2021</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AZVBvChIRRPfyV9nbWrue6NXKepKtTDQ1R7r2u1dNJ23g/Th423AT0pxsurEKc/MrmddibmOfjSMAh9OUuLrGw==" saltValue="CBDpGWmDpNaEZHSBgT/HTg=="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6">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 type="list" allowBlank="1" showInputMessage="1" showErrorMessage="1" sqref="F55" xr:uid="{733F0598-E476-034C-B6F6-4BBC1AF0E94D}">
      <formula1>KV_DD_MARZ_55</formula1>
    </dataValidation>
    <dataValidation type="list" allowBlank="1" showInputMessage="1" showErrorMessage="1" sqref="F56" xr:uid="{24178593-D739-E14A-BCE8-6D5C2FBD6196}">
      <formula1>KV_DD_MARZ_56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18"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46113</v>
      </c>
    </row>
    <row r="2" spans="1:28" ht="16" customHeight="1" thickBot="1">
      <c r="A2" s="129"/>
      <c r="B2" s="288"/>
      <c r="C2" s="293"/>
      <c r="D2" s="295"/>
      <c r="E2" s="295"/>
      <c r="F2" s="295"/>
      <c r="G2" s="297"/>
      <c r="H2" s="291"/>
      <c r="I2" s="275"/>
      <c r="J2" s="277"/>
      <c r="K2" s="279"/>
      <c r="L2" s="281"/>
      <c r="M2" s="283"/>
      <c r="N2" s="289"/>
      <c r="AB2" s="41">
        <f>EOMONTH(DATE(LOHNTABELLE!$G$3, $A$1, 1), 0)</f>
        <v>46142</v>
      </c>
    </row>
    <row r="3" spans="1:28" ht="16" customHeight="1">
      <c r="A3" s="130" t="s">
        <v>60</v>
      </c>
      <c r="B3" s="169">
        <v>55</v>
      </c>
      <c r="C3" s="166" t="s">
        <v>382</v>
      </c>
      <c r="D3" s="202">
        <v>46054</v>
      </c>
      <c r="E3" s="142" t="s">
        <v>4</v>
      </c>
      <c r="F3" s="167">
        <v>173</v>
      </c>
      <c r="G3" s="191">
        <v>2021</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2021</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772.13366960439896</v>
      </c>
      <c r="P5" s="49">
        <f>EINSTELLUNG!I9</f>
        <v>4</v>
      </c>
      <c r="Q5" s="48">
        <f>P5-O5</f>
        <v>-768.13366960439896</v>
      </c>
      <c r="R5" s="52">
        <f>IFERROR(Q5*Q42, 0)</f>
        <v>-9214.7776519842264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7949.35</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EINSTELLUNG!L25</f>
        <v>4</v>
      </c>
      <c r="R9" s="269"/>
      <c r="S9" s="53">
        <f>IFERROR(Q9/Q8, 0)</f>
        <v>5.0318579506500533E-4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EINSTELLUNG!I25</f>
        <v>4</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4</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-255</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8192.35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EINSTELLUNG!L9</f>
        <v>4</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8188.35</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71" t="s">
        <v>87</v>
      </c>
      <c r="P17" s="272"/>
      <c r="Q17" s="273">
        <f>SUM(L3:L82)</f>
        <v>95362.95</v>
      </c>
      <c r="R17" s="273"/>
      <c r="W17" s="45"/>
    </row>
    <row r="18" spans="1:29" ht="16" customHeight="1">
      <c r="A18" s="130" t="s">
        <v>88</v>
      </c>
      <c r="B18" s="170">
        <v>401432</v>
      </c>
      <c r="C18" s="137" t="s">
        <v>274</v>
      </c>
      <c r="D18" s="203">
        <v>44441</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56"/>
      <c r="P18" s="257"/>
      <c r="Q18" s="247"/>
      <c r="R18" s="248"/>
    </row>
    <row r="19" spans="1:29" ht="16" customHeight="1">
      <c r="A19" s="130" t="s">
        <v>89</v>
      </c>
      <c r="B19" s="170">
        <v>401476</v>
      </c>
      <c r="C19" s="137" t="s">
        <v>276</v>
      </c>
      <c r="D19" s="203">
        <v>44504</v>
      </c>
      <c r="E19" s="134" t="s">
        <v>4</v>
      </c>
      <c r="F19" s="136">
        <v>173</v>
      </c>
      <c r="G19" s="192">
        <v>2021</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56"/>
      <c r="P22" s="257"/>
      <c r="Q22" s="247"/>
      <c r="R22" s="248"/>
    </row>
    <row r="23" spans="1:29" ht="16" customHeight="1">
      <c r="A23" s="130" t="s">
        <v>94</v>
      </c>
      <c r="B23" s="170">
        <v>401564</v>
      </c>
      <c r="C23" s="137" t="s">
        <v>279</v>
      </c>
      <c r="D23" s="203">
        <v>44824</v>
      </c>
      <c r="E23" s="134" t="s">
        <v>4</v>
      </c>
      <c r="F23" s="136">
        <v>173</v>
      </c>
      <c r="G23" s="192">
        <v>2021</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2021</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2"/>
      <c r="P26" s="263"/>
      <c r="Q26" s="264"/>
      <c r="R26" s="265"/>
    </row>
    <row r="27" spans="1:29" ht="16" customHeight="1">
      <c r="A27" s="130" t="s">
        <v>98</v>
      </c>
      <c r="B27" s="170">
        <v>401605</v>
      </c>
      <c r="C27" s="137" t="s">
        <v>284</v>
      </c>
      <c r="D27" s="203">
        <v>44986</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2021</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EINSTELLUNG!O9</f>
        <v>4</v>
      </c>
      <c r="R29" s="246"/>
    </row>
    <row r="30" spans="1:29" ht="16" customHeight="1">
      <c r="A30" s="130" t="s">
        <v>103</v>
      </c>
      <c r="B30" s="170">
        <v>401647</v>
      </c>
      <c r="C30" s="137" t="s">
        <v>287</v>
      </c>
      <c r="D30" s="203">
        <v>45182</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49">
        <v>0</v>
      </c>
      <c r="P31" s="250"/>
      <c r="Q31" s="251">
        <v>0</v>
      </c>
      <c r="R31" s="252"/>
    </row>
    <row r="32" spans="1:29" ht="16" customHeight="1">
      <c r="A32" s="130" t="s">
        <v>106</v>
      </c>
      <c r="B32" s="170">
        <v>401670</v>
      </c>
      <c r="C32" s="137" t="s">
        <v>289</v>
      </c>
      <c r="D32" s="203">
        <v>45358</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401678</v>
      </c>
      <c r="C33" s="137" t="s">
        <v>290</v>
      </c>
      <c r="D33" s="203">
        <v>45414</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2" t="s">
        <v>113</v>
      </c>
      <c r="P35" s="233"/>
      <c r="Q35" s="223">
        <f>EINSTELLUNG!C9</f>
        <v>4</v>
      </c>
      <c r="R35" s="223"/>
      <c r="S35" s="223">
        <f>EINSTELLUNG!C25</f>
        <v>4</v>
      </c>
      <c r="T35" s="223"/>
      <c r="U35" s="224">
        <f>S35-Q35</f>
        <v>0</v>
      </c>
      <c r="V35" s="224"/>
    </row>
    <row r="36" spans="1:24" ht="16" customHeight="1">
      <c r="A36" s="130" t="s">
        <v>114</v>
      </c>
      <c r="B36" s="170">
        <v>401715</v>
      </c>
      <c r="C36" s="137" t="s">
        <v>295</v>
      </c>
      <c r="D36" s="20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2" t="s">
        <v>115</v>
      </c>
      <c r="P36" s="233"/>
      <c r="Q36" s="223">
        <f>EINSTELLUNG!D9</f>
        <v>4</v>
      </c>
      <c r="R36" s="223"/>
      <c r="S36" s="223" cm="1">
        <f t="array" ref="S36">SumMergedCells(Q17:R29)</f>
        <v>0</v>
      </c>
      <c r="T36" s="223"/>
      <c r="U36" s="224">
        <f t="shared" ref="U36:U41" si="0">S36-Q36</f>
        <v>-4</v>
      </c>
      <c r="V36" s="224"/>
    </row>
    <row r="37" spans="1:24" ht="16" customHeight="1">
      <c r="A37" s="131" t="s">
        <v>116</v>
      </c>
      <c r="B37" s="170">
        <v>401716</v>
      </c>
      <c r="C37" s="137" t="s">
        <v>296</v>
      </c>
      <c r="D37" s="20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2" t="s">
        <v>117</v>
      </c>
      <c r="P37" s="233"/>
      <c r="Q37" s="234">
        <f>IF(ISERROR(Q36/Q35), 0, Q36/Q35)</f>
        <v>1</v>
      </c>
      <c r="R37" s="234"/>
      <c r="S37" s="234">
        <f>IF(ISERROR(S36/S35), 0, S36/S35)</f>
        <v>0</v>
      </c>
      <c r="T37" s="234"/>
      <c r="U37" s="237">
        <f t="shared" si="0"/>
        <v>-1</v>
      </c>
      <c r="V37" s="237"/>
    </row>
    <row r="38" spans="1:24" ht="16" customHeight="1">
      <c r="A38" s="130" t="s">
        <v>118</v>
      </c>
      <c r="B38" s="170">
        <v>401717</v>
      </c>
      <c r="C38" s="137" t="s">
        <v>297</v>
      </c>
      <c r="D38" s="20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2" t="s">
        <v>119</v>
      </c>
      <c r="P38" s="233"/>
      <c r="Q38" s="225">
        <f>EINSTELLUNG!F9</f>
        <v>4</v>
      </c>
      <c r="R38" s="225"/>
      <c r="S38" s="225">
        <f>EINSTELLUNG!F25</f>
        <v>4</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4.8826038926559531E-4</v>
      </c>
      <c r="R40" s="223"/>
      <c r="S40" s="223">
        <f>IF(Q13=0, 0, S35/Q13)</f>
        <v>4.8826038926559531E-4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4.8826038926559531E-4</v>
      </c>
      <c r="R41" s="225"/>
      <c r="S41" s="225">
        <f>IF(Q13=0, 0, S38/Q13)</f>
        <v>4.8826038926559531E-4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11.996320453873587</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2021</v>
      </c>
      <c r="M54" s="164"/>
      <c r="N54" s="147"/>
    </row>
    <row r="55" spans="1:14" ht="16" customHeight="1">
      <c r="A55" s="130" t="s">
        <v>141</v>
      </c>
      <c r="B55" s="170">
        <v>402004</v>
      </c>
      <c r="C55" s="137" t="s">
        <v>379</v>
      </c>
      <c r="D55" s="203">
        <v>46122</v>
      </c>
      <c r="E55" s="134" t="s">
        <v>4</v>
      </c>
      <c r="F55" s="136">
        <v>173</v>
      </c>
      <c r="G55" s="192">
        <v>2021</v>
      </c>
      <c r="H55" s="158">
        <f>IF(AND(ISNUMBER(D55), ISNUMBER(F55)),
    ROUNDDOWN(
        MIN(
            IF(OR(ISBLANK(I55), I55=""),
                EOMONTH(DATE(LOHNTABELLE!$G$3, $A$1, 1), 0), I55)
            - MAX(D55, DATE(LOHNTABELLE!$G$3, $A$1, 1)) + 1)
        / DAY(EOMONTH(DATE(LOHNTABELLE!$G$3, $A$1, 1), 0)) * F55,
        2
    ),
    ""
)</f>
        <v>121.1</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1414.6999999999998</v>
      </c>
      <c r="M55" s="164"/>
      <c r="N55" s="147"/>
    </row>
    <row r="56" spans="1:14" ht="16" customHeight="1">
      <c r="A56" s="130" t="s">
        <v>142</v>
      </c>
      <c r="B56" s="170">
        <v>402405</v>
      </c>
      <c r="C56" s="137" t="s">
        <v>381</v>
      </c>
      <c r="D56" s="203">
        <v>46054</v>
      </c>
      <c r="E56" s="134" t="s">
        <v>4</v>
      </c>
      <c r="F56" s="136">
        <v>129.75</v>
      </c>
      <c r="G56" s="192">
        <v>1515.75</v>
      </c>
      <c r="H56" s="158">
        <f>IF(AND(ISNUMBER(D56), ISNUMBER(F56)),
    ROUNDDOWN(
        MIN(
            IF(OR(ISBLANK(I56), I56=""),
                EOMONTH(DATE(LOHNTABELLE!$G$3, $A$1, 1), 0), I56)
            - MAX(D56, DATE(LOHNTABELLE!$G$3, $A$1, 1)) + 1)
        / DAY(EOMONTH(DATE(LOHNTABELLE!$G$3, $A$1, 1), 0)) * F56,
        2
    ),
    ""
)</f>
        <v>129.75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1515.75</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ZkouyquJWxZpKXZyD8Llz9tlJHskDuzpw3yRcKXyRh5lRZo9JGNaBxhh2t1Goe7O+vOaZaNYYckEwDiEFpvwQg==" saltValue="2G3gwwr4TuHVUEGZj24Hy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6">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 type="list" allowBlank="1" showInputMessage="1" showErrorMessage="1" sqref="F55" xr:uid="{CA962C55-0322-744B-926B-8A448D869723}">
      <formula1>KV_DD_APRIL_55</formula1>
    </dataValidation>
    <dataValidation type="list" allowBlank="1" showInputMessage="1" showErrorMessage="1" sqref="F56" xr:uid="{43AD68A2-CF88-994C-A902-E34DDE7FF4F6}">
      <formula1>KV_DD_APRIL_56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activeCell="G1" sqref="G1:G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46143</v>
      </c>
    </row>
    <row r="2" spans="1:28" ht="16" customHeight="1" thickBot="1">
      <c r="A2" s="129"/>
      <c r="B2" s="288"/>
      <c r="C2" s="293"/>
      <c r="D2" s="295"/>
      <c r="E2" s="295"/>
      <c r="F2" s="295"/>
      <c r="G2" s="297"/>
      <c r="H2" s="291"/>
      <c r="I2" s="275"/>
      <c r="J2" s="277"/>
      <c r="K2" s="279"/>
      <c r="L2" s="281"/>
      <c r="M2" s="283"/>
      <c r="N2" s="289"/>
      <c r="AB2" s="41">
        <f>EOMONTH(DATE(LOHNTABELLE!$G$3, $A$1, 1), 0)</f>
        <v>46173</v>
      </c>
    </row>
    <row r="3" spans="1:28" ht="16" customHeight="1">
      <c r="A3" s="130" t="s">
        <v>60</v>
      </c>
      <c r="B3" s="169">
        <v>55</v>
      </c>
      <c r="C3" s="166" t="s">
        <v>382</v>
      </c>
      <c r="D3" s="202">
        <v>46054</v>
      </c>
      <c r="E3" s="142" t="s">
        <v>4</v>
      </c>
      <c r="F3" s="167">
        <v>129.75</v>
      </c>
      <c r="G3" s="191">
        <v>1515.75</v>
      </c>
      <c r="H3" s="157">
        <f>IF(AND(ISNUMBER(D3), ISNUMBER(F3)),
    ROUNDDOWN(
        MIN(
            IF(OR(ISBLANK(I3), I3=""),
                EOMONTH(DATE(LOHNTABELLE!$G$3, $A$1, 1), 0), I3)
            - MAX(D3, DATE(LOHNTABELLE!$G$3, $A$1, 1)) + 1)
        / DAY(EOMONTH(DATE(LOHNTABELLE!$G$3, $A$1, 1), 0)) * F3,
        2
    ),
    ""
)</f>
        <v>129.75</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1515.75</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801.34953818402494</v>
      </c>
      <c r="P5" s="49">
        <f>EINSTELLUNG!I10</f>
        <v>5</v>
      </c>
      <c r="Q5" s="48">
        <f>P5-O5</f>
        <v>-796.34953818402494</v>
      </c>
      <c r="R5" s="52">
        <f>IFERROR(Q5*Q42, 0)</f>
        <v>-12653.672108771487</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8281.67</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EINSTELLUNG!L26</f>
        <v>5</v>
      </c>
      <c r="R9" s="269"/>
      <c r="S9" s="53">
        <f>IFERROR(Q9/Q8, 0)</f>
        <v>6.0374296488510172E-4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EINSTELLUNG!I26</f>
        <v>5</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5</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8266.67</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EINSTELLUNG!L10</f>
        <v>5</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8261.67</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131592.38709677418</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EINSTELLUNG!O10</f>
        <v>5</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EINSTELLUNG!C10</f>
        <v>5</v>
      </c>
      <c r="R35" s="223"/>
      <c r="S35" s="223">
        <f>EINSTELLUNG!C26</f>
        <v>5</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EINSTELLUNG!D10</f>
        <v>5</v>
      </c>
      <c r="R36" s="223"/>
      <c r="S36" s="223" cm="1">
        <f t="array" ref="S36">SumMergedCells(Q17:R29)</f>
        <v>0</v>
      </c>
      <c r="T36" s="223"/>
      <c r="U36" s="224">
        <f t="shared" ref="U36:U41" si="0">S36-Q36</f>
        <v>-5</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0</v>
      </c>
      <c r="T37" s="234"/>
      <c r="U37" s="237">
        <f t="shared" si="0"/>
        <v>-1</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EINSTELLUNG!F10</f>
        <v>5</v>
      </c>
      <c r="R38" s="225"/>
      <c r="S38" s="225">
        <f>EINSTELLUNG!F26</f>
        <v>5</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6.048384657909412E-4</v>
      </c>
      <c r="R40" s="223"/>
      <c r="S40" s="223">
        <f>IF(Q12=0, 0, S35/Q12)</f>
        <v>6.048384657909412E-4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6.048384657909412E-4</v>
      </c>
      <c r="R41" s="225"/>
      <c r="S41" s="225">
        <f>IF(Q12=0, 0, S38/Q12)</f>
        <v>6.048384657909412E-4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15.889595588422889</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9"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150.66999999999999</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3048.3870967741937</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S1IeBZoeLib9gLZg15sZ6E1uBagFutn0xk9+xKOUDH98ikRE7t0rQn56VWMrX7xv0Q0rwA/9QREn9UP1SP4SJw==" saltValue="7+lAfrwvyZhFBEykLl9Fh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58">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 type="list" allowBlank="1" showInputMessage="1" showErrorMessage="1" sqref="F55" xr:uid="{9DBECE50-83B3-7548-8B16-17B5E60EE77C}">
      <formula1>KV_DD_MAI_55</formula1>
    </dataValidation>
    <dataValidation type="list" allowBlank="1" showInputMessage="1" showErrorMessage="1" sqref="F57" xr:uid="{DA0976BD-C25B-A544-8532-6DC6DD0B49C4}">
      <formula1>KV_DD_MAI_57</formula1>
    </dataValidation>
    <dataValidation type="list" allowBlank="1" showInputMessage="1" showErrorMessage="1" sqref="F58" xr:uid="{D0DC86D2-F9E1-B54A-A4E7-278EF6D6DB4A}">
      <formula1>KV_DD_MAI_58</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3" activePane="bottomLeft" state="frozen"/>
      <selection activeCell="T24" sqref="T24"/>
      <selection pane="bottomLeft" activeCell="I23" sqref="I23"/>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46174</v>
      </c>
    </row>
    <row r="2" spans="1:28" ht="16" customHeight="1" thickBot="1">
      <c r="A2" s="129"/>
      <c r="B2" s="288"/>
      <c r="C2" s="293"/>
      <c r="D2" s="295"/>
      <c r="E2" s="295"/>
      <c r="F2" s="295"/>
      <c r="G2" s="297"/>
      <c r="H2" s="291"/>
      <c r="I2" s="275"/>
      <c r="J2" s="277"/>
      <c r="K2" s="279"/>
      <c r="L2" s="281"/>
      <c r="M2" s="283"/>
      <c r="N2" s="289"/>
      <c r="AB2" s="41">
        <f>EOMONTH(DATE(LOHNTABELLE!$G$3, $A$1, 1), 0)</f>
        <v>46203</v>
      </c>
    </row>
    <row r="3" spans="1:28" ht="16" customHeight="1">
      <c r="A3" s="130" t="s">
        <v>60</v>
      </c>
      <c r="B3" s="169">
        <v>55</v>
      </c>
      <c r="C3" s="166" t="s">
        <v>382</v>
      </c>
      <c r="D3" s="202">
        <v>46054</v>
      </c>
      <c r="E3" s="142" t="s">
        <v>4</v>
      </c>
      <c r="F3" s="167">
        <v>129.75</v>
      </c>
      <c r="G3" s="191">
        <v>1515.75</v>
      </c>
      <c r="H3" s="157">
        <f>IF(AND(ISNUMBER(D3), ISNUMBER(F3)),
    ROUNDDOWN(
        MIN(
            IF(OR(ISBLANK(I3), I3=""),
                EOMONTH(DATE(LOHNTABELLE!$G$3, $A$1, 1), 0), I3)
            - MAX(D3, DATE(LOHNTABELLE!$G$3, $A$1, 1)) + 1)
        / DAY(EOMONTH(DATE(LOHNTABELLE!$G$3, $A$1, 1), 0)) * F3,
        2
    ),
    ""
)</f>
        <v>129.75</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1515.75</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801.34953818402494</v>
      </c>
      <c r="P5" s="49">
        <f>EINSTELLUNG!I11</f>
        <v>6</v>
      </c>
      <c r="Q5" s="48">
        <f>P5-O5</f>
        <v>-795.34953818402494</v>
      </c>
      <c r="R5" s="52">
        <f>IFERROR(Q5*Q42, 0)</f>
        <v>-12647.053759630466</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8304</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EINSTELLUNG!L27</f>
        <v>6</v>
      </c>
      <c r="R9" s="269"/>
      <c r="S9" s="53">
        <f>IFERROR(Q9/Q8, 0)</f>
        <v>7.2254335260115603E-4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EINSTELLUNG!I27</f>
        <v>6</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6</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442</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7844</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EINSTELLUNG!L11</f>
        <v>6</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7838</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132044</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EINSTELLUNG!O11</f>
        <v>6</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EINSTELLUNG!C11</f>
        <v>6</v>
      </c>
      <c r="R35" s="223"/>
      <c r="S35" s="223">
        <f>EINSTELLUNG!C27</f>
        <v>6</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EINSTELLUNG!D11</f>
        <v>6</v>
      </c>
      <c r="R36" s="223"/>
      <c r="S36" s="223" cm="1">
        <f t="array" ref="S36">SumMergedCells(Q17:R29)</f>
        <v>0</v>
      </c>
      <c r="T36" s="223"/>
      <c r="U36" s="224">
        <f t="shared" ref="U36:U41" si="0">S36-Q36</f>
        <v>-6</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0</v>
      </c>
      <c r="T37" s="234"/>
      <c r="U37" s="237">
        <f t="shared" si="0"/>
        <v>-1</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EINSTELLUNG!F11</f>
        <v>6</v>
      </c>
      <c r="R38" s="225"/>
      <c r="S38" s="225">
        <f>EINSTELLUNG!F27</f>
        <v>6</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1.3574660633484163E-2</v>
      </c>
      <c r="R40" s="223"/>
      <c r="S40" s="223">
        <f>IF(Q12=0, 0, S35/Q12)</f>
        <v>1.3574660633484163E-2</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1.3574660633484163E-2</v>
      </c>
      <c r="R41" s="225"/>
      <c r="S41" s="225">
        <f>IF(Q12=0, 0, S38/Q12)</f>
        <v>1.3574660633484163E-2</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15.901252408477841</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9"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402405</v>
      </c>
      <c r="C57" s="137" t="s">
        <v>381</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173</v>
      </c>
      <c r="G58" s="192">
        <v>3500</v>
      </c>
      <c r="H58" s="158">
        <f>IF(AND(ISNUMBER(D58), ISNUMBER(F58)),
    ROUNDDOWN(
        MIN(
            IF(OR(ISBLANK(I58), I58=""),
                EOMONTH(DATE(LOHNTABELLE!$G$3, $A$1, 1), 0), I58)
            - MAX(D58, DATE(LOHNTABELLE!$G$3, $A$1, 1)) + 1)
        / DAY(EOMONTH(DATE(LOHNTABELLE!$G$3, $A$1, 1), 0)) * F58,
        2
    ),
    ""
)</f>
        <v>173</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3500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LkfZpL7GHCZMXPeJyo2m35SrQXgbqkXCJOPiyV5gCRLXM5bdxyWUBq4WzFKRhytrHB0M+7dClEuNKXTPYs2YQ==" saltValue="drycp8o98cWXctHRXYrXiw=="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58">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 type="list" allowBlank="1" showInputMessage="1" showErrorMessage="1" sqref="F57" xr:uid="{1E15DE4D-F4A2-9342-B400-763E28DC004F}">
      <formula1>KV_DD_JUNI_57</formula1>
    </dataValidation>
    <dataValidation type="list" allowBlank="1" showInputMessage="1" showErrorMessage="1" sqref="F58" xr:uid="{5EFA36E1-FEDB-8943-A1CE-8F2D721D30D7}">
      <formula1>KV_DD_JUNI_58</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tabSelected="1" zoomScaleNormal="100" workbookViewId="0">
      <pane ySplit="2" topLeftCell="A46" activePane="bottomLeft" state="frozen"/>
      <selection activeCell="T24" sqref="T24"/>
      <selection pane="bottomLeft" activeCell="N82" sqref="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46204</v>
      </c>
    </row>
    <row r="2" spans="1:28" ht="16" customHeight="1" thickBot="1">
      <c r="A2" s="129"/>
      <c r="B2" s="288"/>
      <c r="C2" s="293"/>
      <c r="D2" s="295"/>
      <c r="E2" s="295"/>
      <c r="F2" s="295"/>
      <c r="G2" s="297"/>
      <c r="H2" s="291"/>
      <c r="I2" s="275"/>
      <c r="J2" s="277"/>
      <c r="K2" s="279"/>
      <c r="L2" s="281"/>
      <c r="M2" s="283"/>
      <c r="N2" s="289"/>
      <c r="AB2" s="41">
        <f>EOMONTH(DATE(LOHNTABELLE!$G$3, $A$1, 1), 0)</f>
        <v>46234</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790.49792985444935</v>
      </c>
      <c r="P5" s="49">
        <f>EINSTELLUNG!I12</f>
        <v>7</v>
      </c>
      <c r="Q5" s="48">
        <f>P5-O5</f>
        <v>-783.49792985444935</v>
      </c>
      <c r="R5" s="52">
        <f>IFERROR(Q5*Q42, 0)</f>
        <v>-12221.053612275842</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8191.5499999999993</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EINSTELLUNG!L28</f>
        <v>7</v>
      </c>
      <c r="R9" s="269"/>
      <c r="S9" s="53">
        <f>IFERROR(Q9/Q8, 0)</f>
        <v>8.5453912873631986E-4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EINSTELLUNG!I28</f>
        <v>7</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7</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39</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8131.5499999999993</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EINSTELLUNG!L12</f>
        <v>7</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8124.5499999999993</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127772.35</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69"/>
      <c r="P26" s="262"/>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EINSTELLUNG!O12</f>
        <v>7</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EINSTELLUNG!C12</f>
        <v>7</v>
      </c>
      <c r="R35" s="223"/>
      <c r="S35" s="223">
        <f>EINSTELLUNG!C28</f>
        <v>7</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EINSTELLUNG!D12</f>
        <v>7</v>
      </c>
      <c r="R36" s="223"/>
      <c r="S36" s="227" cm="1">
        <f t="array" ref="S36">SumMergedCells(Q17:R29)</f>
        <v>0</v>
      </c>
      <c r="T36" s="229"/>
      <c r="U36" s="224">
        <f t="shared" ref="U36:U41" si="0">S36-Q36</f>
        <v>-7</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0</v>
      </c>
      <c r="T37" s="234"/>
      <c r="U37" s="237">
        <f t="shared" si="0"/>
        <v>-1</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EINSTELLUNG!F12</f>
        <v>7</v>
      </c>
      <c r="R38" s="225"/>
      <c r="S38" s="225">
        <f>EINSTELLUNG!F28</f>
        <v>7</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8.608444884431628E-4</v>
      </c>
      <c r="R40" s="223"/>
      <c r="S40" s="223">
        <f>IF(Q13=0, 0, S35/Q13)</f>
        <v>8.608444884431628E-4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8.608444884431628E-4</v>
      </c>
      <c r="R41" s="225"/>
      <c r="S41" s="225">
        <f>IF(Q13=0, 0, S38/Q13)</f>
        <v>8.608444884431628E-4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15.598067520798875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401747</v>
      </c>
      <c r="C50" s="139"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138.4</v>
      </c>
      <c r="G54" s="192">
        <v>1616.8</v>
      </c>
      <c r="H54" s="158">
        <f>IF(AND(ISNUMBER(D54), ISNUMBER(F54)),
    ROUNDDOWN(
        MIN(
            IF(OR(ISBLANK(I54), I54=""),
                EOMONTH(DATE(LOHNTABELLE!$G$3, $A$1, 1), 0), I54)
            - MAX(D54, DATE(LOHNTABELLE!$G$3, $A$1, 1)) + 1)
        / DAY(EOMONTH(DATE(LOHNTABELLE!$G$3, $A$1, 1), 0)) * F54,
        2
    ),
    ""
)</f>
        <v>138.4</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v>402000</v>
      </c>
      <c r="C55" s="137" t="s">
        <v>376</v>
      </c>
      <c r="D55" s="203">
        <v>46143</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402004</v>
      </c>
      <c r="C56" s="137" t="s">
        <v>379</v>
      </c>
      <c r="D56" s="203">
        <v>46122</v>
      </c>
      <c r="E56" s="134" t="s">
        <v>4</v>
      </c>
      <c r="F56" s="136">
        <v>86.5</v>
      </c>
      <c r="G56" s="192">
        <v>1010.5</v>
      </c>
      <c r="H56" s="158">
        <f>IF(AND(ISNUMBER(D56), ISNUMBER(F56)),
    ROUNDDOWN(
        MIN(
            IF(OR(ISBLANK(I56), I56=""),
                EOMONTH(DATE(LOHNTABELLE!$G$3, $A$1, 1), 0), I56)
            - MAX(D56, DATE(LOHNTABELLE!$G$3, $A$1, 1)) + 1)
        / DAY(EOMONTH(DATE(LOHNTABELLE!$G$3, $A$1, 1), 0)) * F56,
        2
    ),
    ""
)</f>
        <v>86.5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1010.5</v>
      </c>
      <c r="M56" s="164"/>
      <c r="N56" s="147"/>
    </row>
    <row r="57" spans="1:14" ht="16" customHeight="1">
      <c r="A57" s="131" t="s">
        <v>143</v>
      </c>
      <c r="B57" s="170">
        <v>402405</v>
      </c>
      <c r="C57" s="137" t="s">
        <v>381</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138.4</v>
      </c>
      <c r="G58" s="192">
        <v>1616.8</v>
      </c>
      <c r="H58" s="158">
        <f>IF(AND(ISNUMBER(D58), ISNUMBER(F58)),
    ROUNDDOWN(
        MIN(
            IF(OR(ISBLANK(I58), I58=""),
                EOMONTH(DATE(LOHNTABELLE!$G$3, $A$1, 1), 0), I58)
            - MAX(D58, DATE(LOHNTABELLE!$G$3, $A$1, 1)) + 1)
        / DAY(EOMONTH(DATE(LOHNTABELLE!$G$3, $A$1, 1), 0)) * F58,
        2
    ),
    ""
)</f>
        <v>138.4</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1616.8</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6XmW6EjiuvWRUCfXzB8/Q10dMx69IwFdYgLmrjdrf0tPxloRjKbXOwhvkcYyrnbTT3oFHXCupXiWIsav+4RbWw==" saltValue="Uy1Yjhg5hNOg2CuhgbFt9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8">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 type="list" allowBlank="1" showInputMessage="1" showErrorMessage="1" sqref="F57" xr:uid="{79AC08FF-7A3A-7246-B1A1-B29BCE7B5F1F}">
      <formula1>KV_DD_JULI_57</formula1>
    </dataValidation>
    <dataValidation type="list" allowBlank="1" showInputMessage="1" showErrorMessage="1" sqref="F58" xr:uid="{9FF4BD59-6361-3549-B370-736FDAB64D5E}">
      <formula1>KV_DD_JULI_58</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26"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46235</v>
      </c>
    </row>
    <row r="2" spans="1:28" ht="16" customHeight="1" thickBot="1">
      <c r="A2" s="129"/>
      <c r="B2" s="288"/>
      <c r="C2" s="293"/>
      <c r="D2" s="295"/>
      <c r="E2" s="295"/>
      <c r="F2" s="295"/>
      <c r="G2" s="297"/>
      <c r="H2" s="291"/>
      <c r="I2" s="275"/>
      <c r="J2" s="277"/>
      <c r="K2" s="279"/>
      <c r="L2" s="281"/>
      <c r="M2" s="283"/>
      <c r="N2" s="289"/>
      <c r="AB2" s="41">
        <f>EOMONTH(DATE(LOHNTABELLE!$G$3, $A$1, 1), 0)</f>
        <v>46265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784.23786909553826</v>
      </c>
      <c r="P5" s="49">
        <f>EINSTELLUNG!I13</f>
        <v>8</v>
      </c>
      <c r="Q5" s="48">
        <f>P5-O5</f>
        <v>-776.23786909553826</v>
      </c>
      <c r="R5" s="52">
        <f>IFERROR(Q5*Q42, 0)</f>
        <v>-12006.952199194429</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8082.03</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EINSTELLUNG!L29</f>
        <v>8</v>
      </c>
      <c r="R9" s="269"/>
      <c r="S9" s="53">
        <f>IFERROR(Q9/Q8, 0)</f>
        <v>9.8985032225814553E-4</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EINSTELLUNG!I29</f>
        <v>8</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8</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8058.03</v>
      </c>
      <c r="R12" s="269"/>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EINSTELLUNG!L13</f>
        <v>8</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8050.03</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125013.93161290324</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EINSTELLUNG!O13</f>
        <v>8</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1.8518518518518517E-2</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9"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EINSTELLUNG!C13</f>
        <v>8</v>
      </c>
      <c r="R35" s="223"/>
      <c r="S35" s="223">
        <f>EINSTELLUNG!C29</f>
        <v>8</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EINSTELLUNG!D13</f>
        <v>8</v>
      </c>
      <c r="R36" s="223"/>
      <c r="S36" s="227" cm="1">
        <f t="array" ref="S36">SumMergedCells(Q17:R29)</f>
        <v>0</v>
      </c>
      <c r="T36" s="229"/>
      <c r="U36" s="224">
        <f t="shared" ref="U36:U41" si="0">S36-Q36</f>
        <v>-8</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5">
        <f>IF(ISERROR(S36/S35), 0, S36/S35)</f>
        <v>0</v>
      </c>
      <c r="T37" s="236"/>
      <c r="U37" s="237">
        <f t="shared" si="0"/>
        <v>-1</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EINSTELLUNG!F13</f>
        <v>8</v>
      </c>
      <c r="R38" s="225"/>
      <c r="S38" s="225">
        <f>EINSTELLUNG!F29</f>
        <v>8</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9.9279848796790288E-4</v>
      </c>
      <c r="R40" s="223"/>
      <c r="S40" s="223">
        <f>IF(Q12=0, 0, S35/Q12)</f>
        <v>9.9279848796790288E-4</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9.9279848796790288E-4</v>
      </c>
      <c r="R41" s="225"/>
      <c r="S41" s="225">
        <f>IF(Q12=0, 0, S38/Q12)</f>
        <v>9.9279848796790288E-4</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15.468135061723755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401746</v>
      </c>
      <c r="C49" s="137" t="s">
        <v>309</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41.85</v>
      </c>
      <c r="I49" s="206">
        <v>46249</v>
      </c>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488.95161290322574</v>
      </c>
      <c r="M49" s="164"/>
      <c r="N49" s="147" t="s">
        <v>219</v>
      </c>
    </row>
    <row r="50" spans="1:14" ht="16" customHeight="1">
      <c r="A50" s="130" t="s">
        <v>136</v>
      </c>
      <c r="B50" s="170">
        <v>401747</v>
      </c>
      <c r="C50" s="137" t="s">
        <v>307</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401748</v>
      </c>
      <c r="C51" s="137" t="s">
        <v>308</v>
      </c>
      <c r="D51" s="203">
        <v>45941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203">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203">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401999</v>
      </c>
      <c r="C54" s="137" t="s">
        <v>369</v>
      </c>
      <c r="D54" s="203">
        <v>46082</v>
      </c>
      <c r="E54" s="134" t="s">
        <v>4</v>
      </c>
      <c r="F54" s="136">
        <v>138.4</v>
      </c>
      <c r="G54" s="192">
        <v>1616.8</v>
      </c>
      <c r="H54" s="158">
        <f>IF(AND(ISNUMBER(D54), ISNUMBER(F54)),
    ROUNDDOWN(
        MIN(
            IF(OR(ISBLANK(I54), I54=""),
                EOMONTH(DATE(LOHNTABELLE!$G$3, $A$1, 1), 0), I54)
            - MAX(D54, DATE(LOHNTABELLE!$G$3, $A$1, 1)) + 1)
        / DAY(EOMONTH(DATE(LOHNTABELLE!$G$3, $A$1, 1), 0)) * F54,
        2
    ),
    ""
)</f>
        <v>138.4</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1616.8</v>
      </c>
      <c r="M54" s="164"/>
      <c r="N54" s="147"/>
    </row>
    <row r="55" spans="1:14" ht="16" customHeight="1">
      <c r="A55" s="130" t="s">
        <v>141</v>
      </c>
      <c r="B55" s="170">
        <v>402000</v>
      </c>
      <c r="C55" s="137" t="s">
        <v>376</v>
      </c>
      <c r="D55" s="203">
        <v>46143</v>
      </c>
      <c r="E55" s="134" t="s">
        <v>4</v>
      </c>
      <c r="F55" s="136">
        <v>108.13</v>
      </c>
      <c r="G55" s="192">
        <v>1263.1300000000001</v>
      </c>
      <c r="H55" s="158">
        <f>IF(AND(ISNUMBER(D55), ISNUMBER(F55)),
    ROUNDDOWN(
        MIN(
            IF(OR(ISBLANK(I55), I55=""),
                EOMONTH(DATE(LOHNTABELLE!$G$3, $A$1, 1), 0), I55)
            - MAX(D55, DATE(LOHNTABELLE!$G$3, $A$1, 1)) + 1)
        / DAY(EOMONTH(DATE(LOHNTABELLE!$G$3, $A$1, 1), 0)) * F55,
        2
    ),
    ""
)</f>
        <v>108.13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1263.1300000000001</v>
      </c>
      <c r="M55" s="164"/>
      <c r="N55" s="147"/>
    </row>
    <row r="56" spans="1:14" ht="16" customHeight="1">
      <c r="A56" s="130" t="s">
        <v>142</v>
      </c>
      <c r="B56" s="170">
        <v>402004</v>
      </c>
      <c r="C56" s="137" t="s">
        <v>379</v>
      </c>
      <c r="D56" s="203">
        <v>46122</v>
      </c>
      <c r="E56" s="134" t="s">
        <v>4</v>
      </c>
      <c r="F56" s="136">
        <v>86.5</v>
      </c>
      <c r="G56" s="192">
        <v>1010.5</v>
      </c>
      <c r="H56" s="158">
        <f>IF(AND(ISNUMBER(D56), ISNUMBER(F56)),
    ROUNDDOWN(
        MIN(
            IF(OR(ISBLANK(I56), I56=""),
                EOMONTH(DATE(LOHNTABELLE!$G$3, $A$1, 1), 0), I56)
            - MAX(D56, DATE(LOHNTABELLE!$G$3, $A$1, 1)) + 1)
        / DAY(EOMONTH(DATE(LOHNTABELLE!$G$3, $A$1, 1), 0)) * F56,
        2
    ),
    ""
)</f>
        <v>86.5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1010.5</v>
      </c>
      <c r="M56" s="164"/>
      <c r="N56" s="147"/>
    </row>
    <row r="57" spans="1:14" ht="16" customHeight="1">
      <c r="A57" s="131" t="s">
        <v>143</v>
      </c>
      <c r="B57" s="170">
        <v>402405</v>
      </c>
      <c r="C57" s="137" t="s">
        <v>381</v>
      </c>
      <c r="D57" s="203">
        <v>46054</v>
      </c>
      <c r="E57" s="134" t="s">
        <v>4</v>
      </c>
      <c r="F57" s="136">
        <v>129.75</v>
      </c>
      <c r="G57" s="192">
        <v>1515.75</v>
      </c>
      <c r="H57" s="158">
        <f>IF(AND(ISNUMBER(D57), ISNUMBER(F57)),
    ROUNDDOWN(
        MIN(
            IF(OR(ISBLANK(I57), I57=""),
                EOMONTH(DATE(LOHNTABELLE!$G$3, $A$1, 1), 0), I57)
            - MAX(D57, DATE(LOHNTABELLE!$G$3, $A$1, 1)) + 1)
        / DAY(EOMONTH(DATE(LOHNTABELLE!$G$3, $A$1, 1), 0)) * F57,
        2
    ),
    ""
)</f>
        <v>129.75</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1515.75</v>
      </c>
      <c r="M57" s="164"/>
      <c r="N57" s="147"/>
    </row>
    <row r="58" spans="1:14" ht="16" customHeight="1">
      <c r="A58" s="130" t="s">
        <v>144</v>
      </c>
      <c r="B58" s="170">
        <v>502000</v>
      </c>
      <c r="C58" s="137" t="s">
        <v>380</v>
      </c>
      <c r="D58" s="203">
        <v>46147</v>
      </c>
      <c r="E58" s="134" t="s">
        <v>4</v>
      </c>
      <c r="F58" s="136">
        <v>138.4</v>
      </c>
      <c r="G58" s="192">
        <v>1616.8</v>
      </c>
      <c r="H58" s="158">
        <f>IF(AND(ISNUMBER(D58), ISNUMBER(F58)),
    ROUNDDOWN(
        MIN(
            IF(OR(ISBLANK(I58), I58=""),
                EOMONTH(DATE(LOHNTABELLE!$G$3, $A$1, 1), 0), I58)
            - MAX(D58, DATE(LOHNTABELLE!$G$3, $A$1, 1)) + 1)
        / DAY(EOMONTH(DATE(LOHNTABELLE!$G$3, $A$1, 1), 0)) * F58,
        2
    ),
    ""
)</f>
        <v>138.4</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1616.8</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H1Qf0tsAaB6ADikv4F05nlznh/xIjNhCQ/gZoqhP6J87h0GFu2MJVg9x1V8yk1zH2IcnAEqil0GEd7/4N0UB8w==" saltValue="MD/VEP2eKnzKnqcRA2U6lg=="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8">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 type="list" allowBlank="1" showInputMessage="1" showErrorMessage="1" sqref="F57" xr:uid="{4C3FDFF4-9668-2D44-BC1A-5739DE64674C}">
      <formula1>KV_DD_AUGUST_57</formula1>
    </dataValidation>
    <dataValidation type="list" allowBlank="1" showInputMessage="1" showErrorMessage="1" sqref="F58" xr:uid="{D0A767D6-4EFC-4C41-B51E-2D232A1BBCD0}">
      <formula1>KV_DD_AUGUST_58</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46266</v>
      </c>
    </row>
    <row r="2" spans="1:28" ht="16" customHeight="1" thickBot="1">
      <c r="A2" s="129"/>
      <c r="B2" s="288"/>
      <c r="C2" s="293"/>
      <c r="D2" s="295"/>
      <c r="E2" s="295"/>
      <c r="F2" s="295"/>
      <c r="G2" s="297"/>
      <c r="H2" s="291"/>
      <c r="I2" s="275"/>
      <c r="J2" s="277"/>
      <c r="K2" s="279"/>
      <c r="L2" s="281"/>
      <c r="M2" s="283"/>
      <c r="N2" s="289"/>
      <c r="AB2" s="41">
        <f>EOMONTH(DATE(LOHNTABELLE!$G$3, $A$1, 1), 0)</f>
        <v>46295</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780.0641735841632</v>
      </c>
      <c r="P5" s="49">
        <f>EINSTELLUNG!I14</f>
        <v>9</v>
      </c>
      <c r="Q5" s="48">
        <f>P5-O5</f>
        <v>-771.0641735841632</v>
      </c>
      <c r="R5" s="52">
        <f>IFERROR(Q5*Q42, 0)</f>
        <v>-12067.492992543865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8083.4299999999994</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EINSTELLUNG!L30</f>
        <v>9</v>
      </c>
      <c r="R9" s="269"/>
      <c r="S9" s="53">
        <f>IFERROR(Q9/Q8, 0)</f>
        <v>1.1133887471036429E-3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EINSTELLUNG!I30</f>
        <v>9</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9</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167</v>
      </c>
      <c r="R12" s="337"/>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7889.4299999999994</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EINSTELLUNG!L14</f>
        <v>9</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7880.4299999999994</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126509.23000000001</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9"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EINSTELLUNG!O14</f>
        <v>9</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EINSTELLUNG!C14</f>
        <v>9</v>
      </c>
      <c r="R35" s="223"/>
      <c r="S35" s="223">
        <f>EINSTELLUNG!C30</f>
        <v>9</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EINSTELLUNG!D14</f>
        <v>9</v>
      </c>
      <c r="R36" s="223"/>
      <c r="S36" s="227" cm="1">
        <f t="array" ref="S36">SumMergedCells(Q17:R29)</f>
        <v>0</v>
      </c>
      <c r="T36" s="229"/>
      <c r="U36" s="224">
        <f t="shared" ref="U36:U41" si="0">S36-Q36</f>
        <v>-9</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0</v>
      </c>
      <c r="T37" s="234"/>
      <c r="U37" s="237">
        <f t="shared" si="0"/>
        <v>-1</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EINSTELLUNG!F14</f>
        <v>9</v>
      </c>
      <c r="R38" s="225"/>
      <c r="S38" s="225">
        <f>EINSTELLUNG!F30</f>
        <v>9</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1.140766823458729E-3</v>
      </c>
      <c r="R40" s="223"/>
      <c r="S40" s="223">
        <f>IF(Q13=0, 0, S35/Q13)</f>
        <v>1.140766823458729E-3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1.140766823458729E-3</v>
      </c>
      <c r="R41" s="225"/>
      <c r="S41" s="225">
        <f>IF(Q13=0, 0, S38/Q13)</f>
        <v>1.140766823458729E-3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15.650439231860735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68"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1"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0" t="s">
        <v>143</v>
      </c>
      <c r="B57" s="170">
        <v>502000</v>
      </c>
      <c r="C57" s="137" t="s">
        <v>380</v>
      </c>
      <c r="D57" s="203">
        <v>46147</v>
      </c>
      <c r="E57" s="134" t="s">
        <v>4</v>
      </c>
      <c r="F57" s="136">
        <v>138.4</v>
      </c>
      <c r="G57" s="192">
        <v>1616.8</v>
      </c>
      <c r="H57" s="158">
        <f>IF(AND(ISNUMBER(D57), ISNUMBER(F57)),
    ROUNDDOWN(
        MIN(
            IF(OR(ISBLANK(I57), I57=""),
                EOMONTH(DATE(LOHNTABELLE!$G$3, $A$1, 1), 0), I57)
            - MAX(D57, DATE(LOHNTABELLE!$G$3, $A$1, 1)) + 1)
        / DAY(EOMONTH(DATE(LOHNTABELLE!$G$3, $A$1, 1), 0)) * F57,
        2
    ),
    ""
)</f>
        <v>138.4</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1616.8</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H2m3qo0SxXr9RmmJPDjcj+Z2JDzyCY3/33uv24Mza3e9AKbwMMRdElaMswSWCa5Gf50nIU5Z8rl2B7l/gDEo8Q==" saltValue="MS/bwZemxwHOTnt2gfLf2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7">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 type="list" allowBlank="1" showInputMessage="1" showErrorMessage="1" sqref="F57" xr:uid="{79A9DE6D-E8C7-0942-922B-3A1E2AEECE93}">
      <formula1>KV_DD_SEPTEMBER_57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19"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46296</v>
      </c>
    </row>
    <row r="2" spans="1:28" ht="16" customHeight="1" thickBot="1">
      <c r="A2" s="129"/>
      <c r="B2" s="288"/>
      <c r="C2" s="293"/>
      <c r="D2" s="295"/>
      <c r="E2" s="295"/>
      <c r="F2" s="295"/>
      <c r="G2" s="297"/>
      <c r="H2" s="291"/>
      <c r="I2" s="275"/>
      <c r="J2" s="277"/>
      <c r="K2" s="279"/>
      <c r="L2" s="281"/>
      <c r="M2" s="283"/>
      <c r="N2" s="289"/>
      <c r="AB2" s="41">
        <f>EOMONTH(DATE(LOHNTABELLE!$G$3, $A$1, 1), 0)</f>
        <v>46326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780.0641735841632</v>
      </c>
      <c r="P5" s="49">
        <f>EINSTELLUNG!I15</f>
        <v>10</v>
      </c>
      <c r="Q5" s="48">
        <f>P5-O5</f>
        <v>-770.0641735841632</v>
      </c>
      <c r="R5" s="52">
        <f>IFERROR(Q5*Q42, 0)</f>
        <v>-12051.842553312003</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8083.4299999999994</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EINSTELLUNG!L31</f>
        <v>10</v>
      </c>
      <c r="R9" s="269"/>
      <c r="S9" s="53">
        <f>IFERROR(Q9/Q8, 0)</f>
        <v>1.2370986078929366E-3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EINSTELLUNG!I31</f>
        <v>10</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10</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-121</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8174.4299999999994</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EINSTELLUNG!L15</f>
        <v>10</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8164.4299999999994</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126509.23000000001</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9"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EINSTELLUNG!O15</f>
        <v>10</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EINSTELLUNG!C15</f>
        <v>10</v>
      </c>
      <c r="R35" s="223"/>
      <c r="S35" s="223">
        <f>EINSTELLUNG!C31</f>
        <v>10</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EINSTELLUNG!D15</f>
        <v>10</v>
      </c>
      <c r="R36" s="223"/>
      <c r="S36" s="227" cm="1">
        <f t="array" ref="S36">SumMergedCells(Q17:R29)</f>
        <v>0</v>
      </c>
      <c r="T36" s="229"/>
      <c r="U36" s="224">
        <f t="shared" ref="U36:U41" si="0">S36-Q36</f>
        <v>-10</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0</v>
      </c>
      <c r="T37" s="234"/>
      <c r="U37" s="237">
        <f t="shared" si="0"/>
        <v>-1</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EINSTELLUNG!F15</f>
        <v>10</v>
      </c>
      <c r="R38" s="225"/>
      <c r="S38" s="225">
        <f>EINSTELLUNG!F31</f>
        <v>10</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1.2233268864006422E-3</v>
      </c>
      <c r="R40" s="223"/>
      <c r="S40" s="223">
        <f>IF(Q13=0, 0, S35/Q13)</f>
        <v>1.2233268864006422E-3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1.2233268864006422E-3</v>
      </c>
      <c r="R41" s="225"/>
      <c r="S41" s="225">
        <f>IF(Q13=0, 0, S38/Q13)</f>
        <v>1.2233268864006422E-3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15.650439231860735</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402405</v>
      </c>
      <c r="C56" s="137" t="s">
        <v>381</v>
      </c>
      <c r="D56" s="203">
        <v>46054</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v>502000</v>
      </c>
      <c r="C57" s="137" t="s">
        <v>380</v>
      </c>
      <c r="D57" s="203">
        <v>46147</v>
      </c>
      <c r="E57" s="134" t="s">
        <v>4</v>
      </c>
      <c r="F57" s="136">
        <v>138.4</v>
      </c>
      <c r="G57" s="192">
        <v>1616.8</v>
      </c>
      <c r="H57" s="158">
        <f>IF(AND(ISNUMBER(D57), ISNUMBER(F57)),
    ROUNDDOWN(
        MIN(
            IF(OR(ISBLANK(I57), I57=""),
                EOMONTH(DATE(LOHNTABELLE!$G$3, $A$1, 1), 0), I57)
            - MAX(D57, DATE(LOHNTABELLE!$G$3, $A$1, 1)) + 1)
        / DAY(EOMONTH(DATE(LOHNTABELLE!$G$3, $A$1, 1), 0)) * F57,
        2
    ),
    ""
)</f>
        <v>138.4</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1616.8</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kxVbNypJZDZ8skbB9hazhDy1XaJ0VDCXoq5ZmbbN9bKcmO5wKnNZcoyvyKxo0WgefLLI9LPSuIKFfmbE+Czkog==" saltValue="bPGyblMp01JeAjthDSAm5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7">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 type="list" allowBlank="1" showInputMessage="1" showErrorMessage="1" sqref="F57" xr:uid="{A70C3A30-926D-A746-8D6C-115E3BD334E6}">
      <formula1>KV_DD_OKTOBER_57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46327</v>
      </c>
    </row>
    <row r="2" spans="1:28" ht="16" customHeight="1" thickBot="1">
      <c r="A2" s="129"/>
      <c r="B2" s="288"/>
      <c r="C2" s="293"/>
      <c r="D2" s="295"/>
      <c r="E2" s="295"/>
      <c r="F2" s="295"/>
      <c r="G2" s="297"/>
      <c r="H2" s="291"/>
      <c r="I2" s="275"/>
      <c r="J2" s="277"/>
      <c r="K2" s="279"/>
      <c r="L2" s="281"/>
      <c r="M2" s="283"/>
      <c r="N2" s="289"/>
      <c r="AB2" s="41">
        <f>EOMONTH(DATE(LOHNTABELLE!$G$3, $A$1, 1), 0)</f>
        <v>46356</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775.89047807278803</v>
      </c>
      <c r="P5" s="49">
        <f>EINSTELLUNG!I16</f>
        <v>11</v>
      </c>
      <c r="Q5" s="48">
        <f>P5-O5</f>
        <v>-764.89047807278803</v>
      </c>
      <c r="R5" s="52">
        <f>IFERROR(Q5*Q42, 0)</f>
        <v>-11846.497402322384</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8040.1799999999994</v>
      </c>
      <c r="R8" s="269"/>
    </row>
    <row r="9" spans="1:28" ht="16" customHeight="1">
      <c r="A9" s="130"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EINSTELLUNG!L32</f>
        <v>11</v>
      </c>
      <c r="R9" s="269"/>
      <c r="S9" s="53">
        <f>IFERROR(Q9/Q8, 0)</f>
        <v>1.3681285742359003E-3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EINSTELLUNG!I32</f>
        <v>11</v>
      </c>
      <c r="R10" s="269"/>
    </row>
    <row r="11" spans="1:28" ht="16" customHeight="1">
      <c r="A11" s="131"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11</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80</v>
      </c>
      <c r="P12" s="268"/>
      <c r="Q12" s="269">
        <f>Q8-Q9-Q10-Q11</f>
        <v>8007.1799999999994</v>
      </c>
      <c r="R12" s="269"/>
    </row>
    <row r="13" spans="1:28" ht="16" customHeight="1">
      <c r="A13" s="130"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82</v>
      </c>
      <c r="P13" s="268"/>
      <c r="Q13" s="269">
        <f>EINSTELLUNG!L16</f>
        <v>11</v>
      </c>
      <c r="R13" s="269"/>
    </row>
    <row r="14" spans="1:28" ht="16" customHeight="1">
      <c r="A14" s="131"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84</v>
      </c>
      <c r="P14" s="268"/>
      <c r="Q14" s="269">
        <f>Q12-Q13</f>
        <v>7996.1799999999994</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70" t="str">
        <f>IF(Q14&lt;0, "Schlecht! Zu wenig Stunden für Dienstplan.", IF(Q14&gt;0, "Du hast mehr als genug Stunden für Dienstplan.", ""))</f>
        <v>Du hast mehr als genug Stunden für Dienstplan.</v>
      </c>
      <c r="P15" s="270"/>
      <c r="Q15" s="270"/>
      <c r="R15" s="270"/>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124524.98000000001</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1" t="s">
        <v>90</v>
      </c>
      <c r="B20" s="170">
        <v>401479</v>
      </c>
      <c r="C20" s="139"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0"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1"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0"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1"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c r="S27" s="230" t="s">
        <v>99</v>
      </c>
      <c r="T27" s="231"/>
      <c r="U27" s="231"/>
      <c r="V27" s="231"/>
    </row>
    <row r="28" spans="1:29" ht="16" customHeight="1" thickBo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86"/>
      <c r="P28" s="287"/>
      <c r="Q28" s="241"/>
      <c r="R28" s="242"/>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243" t="s">
        <v>102</v>
      </c>
      <c r="P29" s="244"/>
      <c r="Q29" s="245">
        <f>EINSTELLUNG!O16</f>
        <v>11</v>
      </c>
      <c r="R29" s="246"/>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1"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1"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EINSTELLUNG!C16</f>
        <v>11</v>
      </c>
      <c r="R35" s="223"/>
      <c r="S35" s="223">
        <f>EINSTELLUNG!C32</f>
        <v>11</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EINSTELLUNG!D16</f>
        <v>11</v>
      </c>
      <c r="R36" s="223"/>
      <c r="S36" s="227" cm="1">
        <f t="array" ref="S36">SumMergedCells(Q17:R29)</f>
        <v>0</v>
      </c>
      <c r="T36" s="229"/>
      <c r="U36" s="224">
        <f t="shared" ref="U36:U41" si="0">S36-Q36</f>
        <v>-11</v>
      </c>
      <c r="V36" s="224"/>
    </row>
    <row r="37" spans="1:24" ht="16" customHeight="1">
      <c r="A37" s="130"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0</v>
      </c>
      <c r="T37" s="234"/>
      <c r="U37" s="237">
        <f t="shared" si="0"/>
        <v>-1</v>
      </c>
      <c r="V37" s="237"/>
    </row>
    <row r="38" spans="1:24" ht="16" customHeight="1">
      <c r="A38" s="131"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EINSTELLUNG!F16</f>
        <v>11</v>
      </c>
      <c r="R38" s="225"/>
      <c r="S38" s="225">
        <f>EINSTELLUNG!F32</f>
        <v>11</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IF(Q12=0, 0, Q35/Q12)</f>
        <v>1.3737670440779402E-3</v>
      </c>
      <c r="R40" s="223"/>
      <c r="S40" s="223">
        <f>IF(Q12=0, 0, S35/Q12)</f>
        <v>1.3737670440779402E-3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IF(Q12=0, 0, Q38/Q12)</f>
        <v>1.3737670440779402E-3</v>
      </c>
      <c r="R41" s="225"/>
      <c r="S41" s="225">
        <f>IF(Q12=0, 0, S38/Q12)</f>
        <v>1.3737670440779402E-3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15.487834849468546</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1" t="s">
        <v>142</v>
      </c>
      <c r="B56" s="170">
        <v>402405</v>
      </c>
      <c r="C56" s="137" t="s">
        <v>381</v>
      </c>
      <c r="D56" s="203">
        <v>46054</v>
      </c>
      <c r="E56" s="134" t="s">
        <v>4</v>
      </c>
      <c r="F56" s="136">
        <v>129.75</v>
      </c>
      <c r="G56" s="192">
        <v>1515.75</v>
      </c>
      <c r="H56" s="158">
        <f>IF(AND(ISNUMBER(D56), ISNUMBER(F56)),
    ROUNDDOWN(
        MIN(
            IF(OR(ISBLANK(I56), I56=""),
                EOMONTH(DATE(LOHNTABELLE!$G$3, $A$1, 1), 0), I56)
            - MAX(D56, DATE(LOHNTABELLE!$G$3, $A$1, 1)) + 1)
        / DAY(EOMONTH(DATE(LOHNTABELLE!$G$3, $A$1, 1), 0)) * F56,
        2
    ),
    ""
)</f>
        <v>129.75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1515.75</v>
      </c>
      <c r="M56" s="164"/>
      <c r="N56" s="147"/>
    </row>
    <row r="57" spans="1:14" ht="16" customHeight="1">
      <c r="A57" s="130" t="s">
        <v>143</v>
      </c>
      <c r="B57" s="170">
        <v>502000</v>
      </c>
      <c r="C57" s="137" t="s">
        <v>380</v>
      </c>
      <c r="D57" s="203">
        <v>46147</v>
      </c>
      <c r="E57" s="134" t="s">
        <v>4</v>
      </c>
      <c r="F57" s="136">
        <v>138.4</v>
      </c>
      <c r="G57" s="192">
        <v>1616.8</v>
      </c>
      <c r="H57" s="158">
        <f>IF(AND(ISNUMBER(D57), ISNUMBER(F57)),
    ROUNDDOWN(
        MIN(
            IF(OR(ISBLANK(I57), I57=""),
                EOMONTH(DATE(LOHNTABELLE!$G$3, $A$1, 1), 0), I57)
            - MAX(D57, DATE(LOHNTABELLE!$G$3, $A$1, 1)) + 1)
        / DAY(EOMONTH(DATE(LOHNTABELLE!$G$3, $A$1, 1), 0)) * F57,
        2
    ),
    ""
)</f>
        <v>138.4</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1616.8</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AyYRYrMfKDScN0T3x1Hb8/XX5pZ2TYKmvGMY9sAMhKdD5xKtBBOpeqXgGkZ6tjXMj7vL0hpyevs/hgEm7t8gfQ==" saltValue="K5J3vhAUpmGceMR02SNbQ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7">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 type="list" allowBlank="1" showInputMessage="1" showErrorMessage="1" sqref="F57" xr:uid="{3C8F1E7F-E406-0A4F-9B22-95EFD2B23E2E}">
      <formula1>KV_DD_NOVEMBER_57</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activeCell="B3" sqref="B3:N82"/>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88" t="s">
        <v>205</v>
      </c>
      <c r="C1" s="292" t="s">
        <v>52</v>
      </c>
      <c r="D1" s="294" t="s">
        <v>206</v>
      </c>
      <c r="E1" s="294" t="s">
        <v>0</v>
      </c>
      <c r="F1" s="294" t="s">
        <v>53</v>
      </c>
      <c r="G1" s="296" t="s">
        <v>54</v>
      </c>
      <c r="H1" s="290" t="s">
        <v>55</v>
      </c>
      <c r="I1" s="274" t="s">
        <v>207</v>
      </c>
      <c r="J1" s="276" t="s">
        <v>56</v>
      </c>
      <c r="K1" s="278" t="s">
        <v>57</v>
      </c>
      <c r="L1" s="280" t="s">
        <v>58</v>
      </c>
      <c r="M1" s="282" t="s">
        <v>59</v>
      </c>
      <c r="N1" s="289" t="s">
        <v>208</v>
      </c>
      <c r="AB1" s="41">
        <f>DATE(LOHNTABELLE!$G$3, $A$1, 1)</f>
        <v>46357</v>
      </c>
    </row>
    <row r="2" spans="1:28" ht="16" customHeight="1" thickBot="1">
      <c r="A2" s="129"/>
      <c r="B2" s="288"/>
      <c r="C2" s="293"/>
      <c r="D2" s="295"/>
      <c r="E2" s="295"/>
      <c r="F2" s="295"/>
      <c r="G2" s="297"/>
      <c r="H2" s="291"/>
      <c r="I2" s="275"/>
      <c r="J2" s="277"/>
      <c r="K2" s="279"/>
      <c r="L2" s="281"/>
      <c r="M2" s="283"/>
      <c r="N2" s="289"/>
      <c r="AB2" s="41">
        <f>EOMONTH(DATE(LOHNTABELLE!$G$3, $A$1, 1), 0)</f>
        <v>46387</v>
      </c>
    </row>
    <row r="3" spans="1:28" ht="16" customHeight="1">
      <c r="A3" s="130" t="s">
        <v>60</v>
      </c>
      <c r="B3" s="169">
        <v>55</v>
      </c>
      <c r="C3" s="166" t="s">
        <v>382</v>
      </c>
      <c r="D3" s="202">
        <v>46054</v>
      </c>
      <c r="E3" s="142" t="s">
        <v>4</v>
      </c>
      <c r="F3" s="167">
        <v>173</v>
      </c>
      <c r="G3" s="191">
        <v>3500</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3500</v>
      </c>
      <c r="M3" s="163"/>
      <c r="N3" s="146"/>
      <c r="O3" s="284" t="s">
        <v>61</v>
      </c>
      <c r="P3" s="284" t="s">
        <v>62</v>
      </c>
      <c r="Q3" s="298" t="s">
        <v>63</v>
      </c>
      <c r="R3" s="300" t="s">
        <v>64</v>
      </c>
      <c r="AB3" s="43"/>
    </row>
    <row r="4" spans="1:28" ht="16" customHeight="1">
      <c r="A4" s="130" t="s">
        <v>65</v>
      </c>
      <c r="B4" s="170">
        <v>401006</v>
      </c>
      <c r="C4" s="137" t="s">
        <v>262</v>
      </c>
      <c r="D4" s="203">
        <v>38188</v>
      </c>
      <c r="E4" s="134" t="s">
        <v>24</v>
      </c>
      <c r="F4" s="136">
        <v>173</v>
      </c>
      <c r="G4" s="192">
        <v>2328</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2328</v>
      </c>
      <c r="M4" s="164"/>
      <c r="N4" s="147"/>
      <c r="O4" s="285"/>
      <c r="P4" s="285"/>
      <c r="Q4" s="299"/>
      <c r="R4" s="301"/>
    </row>
    <row r="5" spans="1:28" ht="16" customHeight="1">
      <c r="A5" s="131" t="s">
        <v>66</v>
      </c>
      <c r="B5" s="170">
        <v>401010</v>
      </c>
      <c r="C5" s="137" t="s">
        <v>263</v>
      </c>
      <c r="D5" s="203">
        <v>39388</v>
      </c>
      <c r="E5" s="134" t="s">
        <v>12</v>
      </c>
      <c r="F5" s="136">
        <v>173</v>
      </c>
      <c r="G5" s="192">
        <v>2183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2183</v>
      </c>
      <c r="M5" s="164"/>
      <c r="N5" s="147"/>
      <c r="O5" s="145" cm="1">
        <f t="array" ref="O5">SUMPRODUCT((F3:F82/4.310808)/5*2.08)</f>
        <v>775.89047807278803</v>
      </c>
      <c r="P5" s="49">
        <f>EINSTELLUNG!I17</f>
        <v>12</v>
      </c>
      <c r="Q5" s="48">
        <f>P5-O5</f>
        <v>-763.89047807278803</v>
      </c>
      <c r="R5" s="52">
        <f>IFERROR(Q5*Q42, 0)</f>
        <v>-11831.009567472915</v>
      </c>
    </row>
    <row r="6" spans="1:28" ht="16" customHeight="1">
      <c r="A6" s="130" t="s">
        <v>67</v>
      </c>
      <c r="B6" s="170">
        <v>401047</v>
      </c>
      <c r="C6" s="137" t="s">
        <v>265</v>
      </c>
      <c r="D6" s="203">
        <v>41154</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02" t="str">
        <f>IF(Q5&lt;0, "Schlecht! Zu wenig Urlaub abgebaut.", IF(Q5&gt;0, "Gut! Mehr Urlaub abgebaut als aufgebaut.", ""))</f>
        <v>Schlecht! Zu wenig Urlaub abgebaut.</v>
      </c>
      <c r="P6" s="303"/>
      <c r="Q6" s="303"/>
      <c r="R6" s="304"/>
    </row>
    <row r="7" spans="1:28" ht="16" customHeight="1">
      <c r="A7" s="130" t="s">
        <v>68</v>
      </c>
      <c r="B7" s="170">
        <v>401049</v>
      </c>
      <c r="C7" s="137" t="s">
        <v>264</v>
      </c>
      <c r="D7" s="203">
        <v>41130</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401051</v>
      </c>
      <c r="C8" s="139" t="s">
        <v>266</v>
      </c>
      <c r="D8" s="203">
        <v>41176</v>
      </c>
      <c r="E8" s="134" t="s">
        <v>10</v>
      </c>
      <c r="F8" s="136">
        <v>173</v>
      </c>
      <c r="G8" s="192">
        <v>2123</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67" t="s">
        <v>70</v>
      </c>
      <c r="P8" s="268"/>
      <c r="Q8" s="269">
        <f>SUM(H3:H82)</f>
        <v>8040.1799999999994</v>
      </c>
      <c r="R8" s="269"/>
    </row>
    <row r="9" spans="1:28" ht="16" customHeight="1">
      <c r="A9" s="131" t="s">
        <v>71</v>
      </c>
      <c r="B9" s="170">
        <v>401089</v>
      </c>
      <c r="C9" s="137" t="s">
        <v>280</v>
      </c>
      <c r="D9" s="203">
        <v>44868</v>
      </c>
      <c r="E9" s="134" t="s">
        <v>8</v>
      </c>
      <c r="F9" s="136">
        <v>173</v>
      </c>
      <c r="G9" s="192">
        <v>2082</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67" t="s">
        <v>72</v>
      </c>
      <c r="P9" s="268"/>
      <c r="Q9" s="269">
        <f>EINSTELLUNG!L33</f>
        <v>12</v>
      </c>
      <c r="R9" s="269"/>
      <c r="S9" s="53">
        <f>IFERROR(Q9/Q8, 0)</f>
        <v>1.4925038991664367E-3</v>
      </c>
    </row>
    <row r="10" spans="1:28" ht="16" customHeight="1">
      <c r="A10" s="130" t="s">
        <v>73</v>
      </c>
      <c r="B10" s="170">
        <v>401138</v>
      </c>
      <c r="C10" s="137" t="s">
        <v>267</v>
      </c>
      <c r="D10" s="203">
        <v>42006</v>
      </c>
      <c r="E10" s="134" t="s">
        <v>10</v>
      </c>
      <c r="F10" s="136">
        <v>173</v>
      </c>
      <c r="G10" s="192">
        <v>2123</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2123</v>
      </c>
      <c r="M10" s="164"/>
      <c r="N10" s="147"/>
      <c r="O10" s="267" t="s">
        <v>74</v>
      </c>
      <c r="P10" s="268"/>
      <c r="Q10" s="269">
        <f>EINSTELLUNG!I33</f>
        <v>12</v>
      </c>
      <c r="R10" s="269"/>
    </row>
    <row r="11" spans="1:28" ht="16" customHeight="1">
      <c r="A11" s="130" t="s">
        <v>75</v>
      </c>
      <c r="B11" s="170">
        <v>401197</v>
      </c>
      <c r="C11" s="137" t="s">
        <v>268</v>
      </c>
      <c r="D11" s="203">
        <v>42644</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67" t="s">
        <v>76</v>
      </c>
      <c r="P11" s="268"/>
      <c r="Q11" s="269">
        <f>P5</f>
        <v>12</v>
      </c>
      <c r="R11" s="269"/>
    </row>
    <row r="12" spans="1:28" ht="16" customHeight="1">
      <c r="A12" s="130" t="s">
        <v>77</v>
      </c>
      <c r="B12" s="170">
        <v>401214</v>
      </c>
      <c r="C12" s="137" t="s">
        <v>294</v>
      </c>
      <c r="D12" s="203">
        <v>45636</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67" t="s">
        <v>78</v>
      </c>
      <c r="P12" s="268"/>
      <c r="Q12" s="337">
        <v>-303</v>
      </c>
      <c r="R12" s="337"/>
    </row>
    <row r="13" spans="1:28" ht="16" customHeight="1">
      <c r="A13" s="131" t="s">
        <v>79</v>
      </c>
      <c r="B13" s="170">
        <v>401276</v>
      </c>
      <c r="C13" s="137" t="s">
        <v>269</v>
      </c>
      <c r="D13" s="203">
        <v>43252</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67" t="s">
        <v>80</v>
      </c>
      <c r="P13" s="268"/>
      <c r="Q13" s="269">
        <f>Q8-Q9-Q10-Q11-Q12</f>
        <v>8307.18</v>
      </c>
      <c r="R13" s="269"/>
    </row>
    <row r="14" spans="1:28" ht="16" customHeight="1">
      <c r="A14" s="130" t="s">
        <v>81</v>
      </c>
      <c r="B14" s="170">
        <v>401307</v>
      </c>
      <c r="C14" s="137" t="s">
        <v>270</v>
      </c>
      <c r="D14" s="203">
        <v>43571</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67" t="s">
        <v>82</v>
      </c>
      <c r="P14" s="268"/>
      <c r="Q14" s="269">
        <f>EINSTELLUNG!L17</f>
        <v>12</v>
      </c>
      <c r="R14" s="269"/>
    </row>
    <row r="15" spans="1:28" ht="16" customHeight="1">
      <c r="A15" s="130" t="s">
        <v>83</v>
      </c>
      <c r="B15" s="170">
        <v>401308</v>
      </c>
      <c r="C15" s="137" t="s">
        <v>271</v>
      </c>
      <c r="D15" s="203">
        <v>43579</v>
      </c>
      <c r="E15" s="134" t="s">
        <v>8</v>
      </c>
      <c r="F15" s="136">
        <v>173</v>
      </c>
      <c r="G15" s="192">
        <v>2082</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2082</v>
      </c>
      <c r="M15" s="164"/>
      <c r="N15" s="147"/>
      <c r="O15" s="267" t="s">
        <v>84</v>
      </c>
      <c r="P15" s="268"/>
      <c r="Q15" s="269">
        <f>Q13-Q14</f>
        <v>8295.18</v>
      </c>
      <c r="R15" s="269"/>
      <c r="S15" s="100"/>
      <c r="T15" s="100"/>
      <c r="U15" s="100"/>
    </row>
    <row r="16" spans="1:28" ht="16" customHeight="1">
      <c r="A16" s="130" t="s">
        <v>85</v>
      </c>
      <c r="B16" s="170">
        <v>401389</v>
      </c>
      <c r="C16" s="137" t="s">
        <v>273</v>
      </c>
      <c r="D16" s="203">
        <v>44384</v>
      </c>
      <c r="E16" s="134" t="s">
        <v>22</v>
      </c>
      <c r="F16" s="136">
        <v>173</v>
      </c>
      <c r="G16" s="192">
        <v>2300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2300</v>
      </c>
      <c r="M16" s="164"/>
      <c r="N16" s="147"/>
      <c r="O16" s="328" t="str">
        <f>IF(Q15&lt;0, "Schlecht! Zu wenig Stunden für Dienstplan.", IF(Q15&gt;0, "Du hast mehr als genug Stunden für Dienstplan.", ""))</f>
        <v>Du hast mehr als genug Stunden für Dienstplan.</v>
      </c>
      <c r="P16" s="328"/>
      <c r="Q16" s="328"/>
      <c r="R16" s="328"/>
      <c r="W16" s="45"/>
    </row>
    <row r="17" spans="1:29" ht="16" customHeight="1">
      <c r="A17" s="131" t="s">
        <v>86</v>
      </c>
      <c r="B17" s="170">
        <v>401394</v>
      </c>
      <c r="C17" s="137" t="s">
        <v>272</v>
      </c>
      <c r="D17" s="203">
        <v>44379</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71" t="s">
        <v>87</v>
      </c>
      <c r="P17" s="272"/>
      <c r="Q17" s="273">
        <f>SUM(L3:L82)</f>
        <v>124524.98000000001</v>
      </c>
      <c r="R17" s="273"/>
      <c r="W17" s="45"/>
    </row>
    <row r="18" spans="1:29" ht="16" customHeight="1">
      <c r="A18" s="130" t="s">
        <v>88</v>
      </c>
      <c r="B18" s="170">
        <v>401432</v>
      </c>
      <c r="C18" s="137" t="s">
        <v>274</v>
      </c>
      <c r="D18" s="203">
        <v>44441</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56"/>
      <c r="P18" s="257"/>
      <c r="Q18" s="247"/>
      <c r="R18" s="248"/>
    </row>
    <row r="19" spans="1:29" ht="16" customHeight="1">
      <c r="A19" s="130" t="s">
        <v>89</v>
      </c>
      <c r="B19" s="170">
        <v>401476</v>
      </c>
      <c r="C19" s="137" t="s">
        <v>276</v>
      </c>
      <c r="D19" s="203">
        <v>44504</v>
      </c>
      <c r="E19" s="134" t="s">
        <v>4</v>
      </c>
      <c r="F19" s="136">
        <v>173</v>
      </c>
      <c r="G19" s="192">
        <v>3500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3500</v>
      </c>
      <c r="M19" s="164"/>
      <c r="N19" s="147"/>
      <c r="O19" s="256"/>
      <c r="P19" s="257"/>
      <c r="Q19" s="247"/>
      <c r="R19" s="248"/>
    </row>
    <row r="20" spans="1:29" ht="16" customHeight="1">
      <c r="A20" s="130" t="s">
        <v>90</v>
      </c>
      <c r="B20" s="170">
        <v>401479</v>
      </c>
      <c r="C20" s="137" t="s">
        <v>277</v>
      </c>
      <c r="D20" s="203">
        <v>44511</v>
      </c>
      <c r="E20" s="134" t="s">
        <v>13</v>
      </c>
      <c r="F20" s="136">
        <v>173</v>
      </c>
      <c r="G20" s="192">
        <v>2160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2160</v>
      </c>
      <c r="M20" s="164"/>
      <c r="N20" s="147"/>
      <c r="O20" s="256"/>
      <c r="P20" s="257"/>
      <c r="Q20" s="247"/>
      <c r="R20" s="248"/>
    </row>
    <row r="21" spans="1:29" ht="16" customHeight="1">
      <c r="A21" s="131" t="s">
        <v>92</v>
      </c>
      <c r="B21" s="170">
        <v>401481</v>
      </c>
      <c r="C21" s="137" t="s">
        <v>278</v>
      </c>
      <c r="D21" s="203">
        <v>44531</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56" t="s">
        <v>370</v>
      </c>
      <c r="P21" s="257"/>
      <c r="Q21" s="247">
        <v>5000</v>
      </c>
      <c r="R21" s="248"/>
    </row>
    <row r="22" spans="1:29" ht="16" customHeight="1">
      <c r="A22" s="130" t="s">
        <v>93</v>
      </c>
      <c r="B22" s="170">
        <v>401558</v>
      </c>
      <c r="C22" s="137" t="s">
        <v>275</v>
      </c>
      <c r="D22" s="203">
        <v>44460</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56"/>
      <c r="P22" s="257"/>
      <c r="Q22" s="247"/>
      <c r="R22" s="248"/>
    </row>
    <row r="23" spans="1:29" ht="16" customHeight="1">
      <c r="A23" s="130" t="s">
        <v>94</v>
      </c>
      <c r="B23" s="170">
        <v>401564</v>
      </c>
      <c r="C23" s="137" t="s">
        <v>279</v>
      </c>
      <c r="D23" s="203">
        <v>44824</v>
      </c>
      <c r="E23" s="134" t="s">
        <v>4</v>
      </c>
      <c r="F23" s="136">
        <v>173</v>
      </c>
      <c r="G23" s="192">
        <v>3500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3500</v>
      </c>
      <c r="M23" s="164"/>
      <c r="N23" s="147"/>
      <c r="O23" s="256"/>
      <c r="P23" s="257"/>
      <c r="Q23" s="247"/>
      <c r="R23" s="248"/>
      <c r="W23" s="45"/>
    </row>
    <row r="24" spans="1:29" ht="16" customHeight="1">
      <c r="A24" s="130" t="s">
        <v>95</v>
      </c>
      <c r="B24" s="170">
        <v>401583</v>
      </c>
      <c r="C24" s="137" t="s">
        <v>281</v>
      </c>
      <c r="D24" s="203">
        <v>44900</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56"/>
      <c r="P24" s="257"/>
      <c r="Q24" s="247"/>
      <c r="R24" s="248"/>
      <c r="W24" s="45"/>
    </row>
    <row r="25" spans="1:29" ht="16" customHeight="1" thickBot="1">
      <c r="A25" s="131" t="s">
        <v>96</v>
      </c>
      <c r="B25" s="170">
        <v>401589</v>
      </c>
      <c r="C25" s="137" t="s">
        <v>282</v>
      </c>
      <c r="D25" s="203">
        <v>44926</v>
      </c>
      <c r="E25" s="134" t="s">
        <v>21</v>
      </c>
      <c r="F25" s="136">
        <v>173</v>
      </c>
      <c r="G25" s="192">
        <v>2300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2300</v>
      </c>
      <c r="M25" s="164"/>
      <c r="N25" s="147"/>
      <c r="O25" s="258"/>
      <c r="P25" s="259"/>
      <c r="Q25" s="260"/>
      <c r="R25" s="261"/>
    </row>
    <row r="26" spans="1:29" ht="16" customHeight="1">
      <c r="A26" s="130" t="s">
        <v>97</v>
      </c>
      <c r="B26" s="170">
        <v>401602</v>
      </c>
      <c r="C26" s="137" t="s">
        <v>283</v>
      </c>
      <c r="D26" s="203">
        <v>45975</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2"/>
      <c r="P26" s="263"/>
      <c r="Q26" s="264"/>
      <c r="R26" s="265"/>
    </row>
    <row r="27" spans="1:29" ht="16" customHeight="1">
      <c r="A27" s="130" t="s">
        <v>98</v>
      </c>
      <c r="B27" s="170">
        <v>401605</v>
      </c>
      <c r="C27" s="137" t="s">
        <v>284</v>
      </c>
      <c r="D27" s="203">
        <v>44986</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39"/>
      <c r="P27" s="240"/>
      <c r="Q27" s="248"/>
      <c r="R27" s="266"/>
    </row>
    <row r="28" spans="1:29" ht="16" customHeight="1">
      <c r="A28" s="130" t="s">
        <v>100</v>
      </c>
      <c r="B28" s="170">
        <v>401626</v>
      </c>
      <c r="C28" s="137" t="s">
        <v>285</v>
      </c>
      <c r="D28" s="203">
        <v>45063</v>
      </c>
      <c r="E28" s="134" t="s">
        <v>4</v>
      </c>
      <c r="F28" s="136">
        <v>173</v>
      </c>
      <c r="G28" s="192">
        <v>3500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3500</v>
      </c>
      <c r="M28" s="164"/>
      <c r="N28" s="147"/>
      <c r="O28" s="239"/>
      <c r="P28" s="240"/>
      <c r="Q28" s="248"/>
      <c r="R28" s="266"/>
    </row>
    <row r="29" spans="1:29" ht="16" customHeight="1" thickBot="1">
      <c r="A29" s="131" t="s">
        <v>101</v>
      </c>
      <c r="B29" s="170">
        <v>401633</v>
      </c>
      <c r="C29" s="137" t="s">
        <v>286</v>
      </c>
      <c r="D29" s="203">
        <v>45089</v>
      </c>
      <c r="E29" s="134" t="s">
        <v>21</v>
      </c>
      <c r="F29" s="136">
        <v>173</v>
      </c>
      <c r="G29" s="192">
        <v>2300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2300</v>
      </c>
      <c r="M29" s="164"/>
      <c r="N29" s="147"/>
      <c r="O29" s="380" t="s">
        <v>102</v>
      </c>
      <c r="P29" s="381"/>
      <c r="Q29" s="382">
        <f>EINSTELLUNG!O17</f>
        <v>12</v>
      </c>
      <c r="R29" s="383"/>
    </row>
    <row r="30" spans="1:29" ht="16" customHeight="1">
      <c r="A30" s="130" t="s">
        <v>103</v>
      </c>
      <c r="B30" s="170">
        <v>401647</v>
      </c>
      <c r="C30" s="137" t="s">
        <v>287</v>
      </c>
      <c r="D30" s="203">
        <v>45182</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401661</v>
      </c>
      <c r="C31" s="137" t="s">
        <v>288</v>
      </c>
      <c r="D31" s="203">
        <v>45261</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49">
        <v>0</v>
      </c>
      <c r="P31" s="250"/>
      <c r="Q31" s="251">
        <v>0</v>
      </c>
      <c r="R31" s="252"/>
    </row>
    <row r="32" spans="1:29" ht="16" customHeight="1">
      <c r="A32" s="130" t="s">
        <v>106</v>
      </c>
      <c r="B32" s="170">
        <v>401670</v>
      </c>
      <c r="C32" s="137" t="s">
        <v>289</v>
      </c>
      <c r="D32" s="203">
        <v>45358</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401678</v>
      </c>
      <c r="C33" s="137" t="s">
        <v>290</v>
      </c>
      <c r="D33" s="203">
        <v>45414</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3"/>
      <c r="P33" s="254"/>
      <c r="Q33" s="255" t="str">
        <f>EINSTELLUNG!B3</f>
        <v>Budget Zahlen</v>
      </c>
      <c r="R33" s="255"/>
      <c r="S33" s="238" t="str">
        <f>EINSTELLUNG!B19</f>
        <v>Projection/Aktuell Zahlen</v>
      </c>
      <c r="T33" s="238"/>
      <c r="U33" s="238" t="s">
        <v>110</v>
      </c>
      <c r="V33" s="238"/>
    </row>
    <row r="34" spans="1:24" ht="16" customHeight="1">
      <c r="A34" s="130" t="s">
        <v>111</v>
      </c>
      <c r="B34" s="170">
        <v>401690</v>
      </c>
      <c r="C34" s="137" t="s">
        <v>292</v>
      </c>
      <c r="D34" s="203">
        <v>45536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3"/>
      <c r="P34" s="254"/>
      <c r="Q34" s="255"/>
      <c r="R34" s="255"/>
      <c r="S34" s="238"/>
      <c r="T34" s="238"/>
      <c r="U34" s="238"/>
      <c r="V34" s="238"/>
    </row>
    <row r="35" spans="1:24" ht="16" customHeight="1">
      <c r="A35" s="130" t="s">
        <v>112</v>
      </c>
      <c r="B35" s="170">
        <v>401703</v>
      </c>
      <c r="C35" s="137" t="s">
        <v>293</v>
      </c>
      <c r="D35" s="203">
        <v>45616</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2" t="s">
        <v>113</v>
      </c>
      <c r="P35" s="233"/>
      <c r="Q35" s="223">
        <f>EINSTELLUNG!C17</f>
        <v>12</v>
      </c>
      <c r="R35" s="223"/>
      <c r="S35" s="223">
        <f>EINSTELLUNG!C33</f>
        <v>12</v>
      </c>
      <c r="T35" s="223"/>
      <c r="U35" s="224">
        <f>S35-Q35</f>
        <v>0</v>
      </c>
      <c r="V35" s="224"/>
    </row>
    <row r="36" spans="1:24" ht="16" customHeight="1">
      <c r="A36" s="130" t="s">
        <v>114</v>
      </c>
      <c r="B36" s="170">
        <v>401715</v>
      </c>
      <c r="C36" s="137" t="s">
        <v>295</v>
      </c>
      <c r="D36" s="203">
        <v>45755</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2" t="s">
        <v>115</v>
      </c>
      <c r="P36" s="233"/>
      <c r="Q36" s="223">
        <f>EINSTELLUNG!D17</f>
        <v>12</v>
      </c>
      <c r="R36" s="223"/>
      <c r="S36" s="227" cm="1">
        <f t="array" ref="S36">SumMergedCells(Q17:R29)</f>
        <v>0</v>
      </c>
      <c r="T36" s="229"/>
      <c r="U36" s="224">
        <f t="shared" ref="U36:U41" si="0">S36-Q36</f>
        <v>-12</v>
      </c>
      <c r="V36" s="224"/>
    </row>
    <row r="37" spans="1:24" ht="16" customHeight="1">
      <c r="A37" s="131" t="s">
        <v>116</v>
      </c>
      <c r="B37" s="170">
        <v>401716</v>
      </c>
      <c r="C37" s="137" t="s">
        <v>296</v>
      </c>
      <c r="D37" s="203">
        <v>45800</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2" t="s">
        <v>117</v>
      </c>
      <c r="P37" s="233"/>
      <c r="Q37" s="234">
        <f>IF(ISERROR(Q36/Q35), 0, Q36/Q35)</f>
        <v>1</v>
      </c>
      <c r="R37" s="234"/>
      <c r="S37" s="234">
        <f>IF(ISERROR(S36/S35), 0, S36/S35)</f>
        <v>0</v>
      </c>
      <c r="T37" s="234"/>
      <c r="U37" s="237">
        <f t="shared" si="0"/>
        <v>-1</v>
      </c>
      <c r="V37" s="237"/>
    </row>
    <row r="38" spans="1:24" ht="16" customHeight="1">
      <c r="A38" s="130" t="s">
        <v>118</v>
      </c>
      <c r="B38" s="170">
        <v>401717</v>
      </c>
      <c r="C38" s="137" t="s">
        <v>297</v>
      </c>
      <c r="D38" s="203">
        <v>45814</v>
      </c>
      <c r="E38" s="134" t="s">
        <v>4</v>
      </c>
      <c r="F38" s="136">
        <v>173</v>
      </c>
      <c r="G38" s="192">
        <v>3500</v>
      </c>
      <c r="H38" s="158">
        <f>IF(AND(ISNUMBER(D38), ISNUMBER(F38)),
    ROUNDDOWN(
        MIN(
            IF(OR(ISBLANK(I39), I39=""),
                EOMONTH(DATE(LOHNTABELLE!$G$3, $A$1, 1), 0), I39)
            - MAX(D38, DATE(LOHNTABELLE!$G$3, $A$1, 1)) + 1)
        / DAY(EOMONTH(DATE(LOHNTABELLE!$G$3, $A$1, 1), 0)) * F38,
        2
    ),
    ""
)</f>
        <v>173</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3500</v>
      </c>
      <c r="M38" s="164"/>
      <c r="N38" s="147"/>
      <c r="O38" s="232" t="s">
        <v>119</v>
      </c>
      <c r="P38" s="233"/>
      <c r="Q38" s="225">
        <f>EINSTELLUNG!F17</f>
        <v>12</v>
      </c>
      <c r="R38" s="225"/>
      <c r="S38" s="225">
        <f>EINSTELLUNG!F33</f>
        <v>12</v>
      </c>
      <c r="T38" s="225"/>
      <c r="U38" s="226">
        <f t="shared" si="0"/>
        <v>0</v>
      </c>
      <c r="V38" s="226"/>
    </row>
    <row r="39" spans="1:24" ht="16" customHeight="1">
      <c r="A39" s="130" t="s">
        <v>120</v>
      </c>
      <c r="B39" s="170">
        <v>401722</v>
      </c>
      <c r="C39" s="137" t="s">
        <v>298</v>
      </c>
      <c r="D39" s="20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2" t="s">
        <v>121</v>
      </c>
      <c r="P39" s="233"/>
      <c r="Q39" s="223">
        <f>IF(Q38=0, 0, Q35/Q38)</f>
        <v>1</v>
      </c>
      <c r="R39" s="223"/>
      <c r="S39" s="223">
        <f>IF(S38=0, 0, S35/S38)</f>
        <v>1</v>
      </c>
      <c r="T39" s="223"/>
      <c r="U39" s="224">
        <f t="shared" si="0"/>
        <v>0</v>
      </c>
      <c r="V39" s="224"/>
    </row>
    <row r="40" spans="1:24" ht="16" customHeight="1">
      <c r="A40" s="130" t="s">
        <v>122</v>
      </c>
      <c r="B40" s="170">
        <v>401723</v>
      </c>
      <c r="C40" s="137" t="s">
        <v>299</v>
      </c>
      <c r="D40" s="20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2" t="s">
        <v>123</v>
      </c>
      <c r="P40" s="233"/>
      <c r="Q40" s="223">
        <f>IF(Q13=0, 0, Q35/Q13)</f>
        <v>1.4445335240117585E-3</v>
      </c>
      <c r="R40" s="223"/>
      <c r="S40" s="223">
        <f>IF(Q13=0, 0, S35/Q13)</f>
        <v>1.4445335240117585E-3</v>
      </c>
      <c r="T40" s="223"/>
      <c r="U40" s="224">
        <f t="shared" si="0"/>
        <v>0</v>
      </c>
      <c r="V40" s="224"/>
    </row>
    <row r="41" spans="1:24" ht="16" customHeight="1">
      <c r="A41" s="131" t="s">
        <v>124</v>
      </c>
      <c r="B41" s="170">
        <v>401726</v>
      </c>
      <c r="C41" s="137" t="s">
        <v>300</v>
      </c>
      <c r="D41" s="20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2" t="s">
        <v>125</v>
      </c>
      <c r="P41" s="233"/>
      <c r="Q41" s="225">
        <f>IF(Q13=0, 0, Q38/Q13)</f>
        <v>1.4445335240117585E-3</v>
      </c>
      <c r="R41" s="225"/>
      <c r="S41" s="225">
        <f>IF(Q13=0, 0, S38/Q13)</f>
        <v>1.4445335240117585E-3</v>
      </c>
      <c r="T41" s="225"/>
      <c r="U41" s="226">
        <f t="shared" si="0"/>
        <v>0</v>
      </c>
      <c r="V41" s="226"/>
    </row>
    <row r="42" spans="1:24" ht="16" customHeight="1">
      <c r="A42" s="130" t="s">
        <v>126</v>
      </c>
      <c r="B42" s="170">
        <v>401730</v>
      </c>
      <c r="C42" s="137" t="s">
        <v>302</v>
      </c>
      <c r="D42" s="203">
        <v>45895</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2" t="s">
        <v>127</v>
      </c>
      <c r="P42" s="233"/>
      <c r="Q42" s="227">
        <f>IFERROR(Q17/Q8, 0)</f>
        <v>15.487834849468546</v>
      </c>
      <c r="R42" s="228"/>
      <c r="S42" s="228"/>
      <c r="T42" s="228"/>
      <c r="U42" s="228"/>
      <c r="V42" s="229"/>
    </row>
    <row r="43" spans="1:24" ht="16" customHeight="1">
      <c r="A43" s="130" t="s">
        <v>128</v>
      </c>
      <c r="B43" s="170">
        <v>401731</v>
      </c>
      <c r="C43" s="137" t="s">
        <v>301</v>
      </c>
      <c r="D43" s="203">
        <v>45899</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7" t="s">
        <v>303</v>
      </c>
      <c r="D44" s="20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7" t="s">
        <v>304</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7" t="s">
        <v>305</v>
      </c>
      <c r="D46" s="20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7" t="s">
        <v>306</v>
      </c>
      <c r="D47" s="20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401745</v>
      </c>
      <c r="C48" s="137" t="s">
        <v>310</v>
      </c>
      <c r="D48" s="203">
        <v>45934</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402405</v>
      </c>
      <c r="C56" s="137" t="s">
        <v>381</v>
      </c>
      <c r="D56" s="203">
        <v>46054</v>
      </c>
      <c r="E56" s="134" t="s">
        <v>4</v>
      </c>
      <c r="F56" s="136">
        <v>129.75</v>
      </c>
      <c r="G56" s="192">
        <v>1515.75</v>
      </c>
      <c r="H56" s="158">
        <f>IF(AND(ISNUMBER(D56), ISNUMBER(F56)),
    ROUNDDOWN(
        MIN(
            IF(OR(ISBLANK(I56), I56=""),
                EOMONTH(DATE(LOHNTABELLE!$G$3, $A$1, 1), 0), I56)
            - MAX(D56, DATE(LOHNTABELLE!$G$3, $A$1, 1)) + 1)
        / DAY(EOMONTH(DATE(LOHNTABELLE!$G$3, $A$1, 1), 0)) * F56,
        2
    ),
    ""
)</f>
        <v>129.75</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1515.75</v>
      </c>
      <c r="M56" s="164"/>
      <c r="N56" s="147"/>
    </row>
    <row r="57" spans="1:14" ht="16" customHeight="1">
      <c r="A57" s="131" t="s">
        <v>143</v>
      </c>
      <c r="B57" s="170">
        <v>502000</v>
      </c>
      <c r="C57" s="137" t="s">
        <v>380</v>
      </c>
      <c r="D57" s="203">
        <v>46147</v>
      </c>
      <c r="E57" s="134" t="s">
        <v>4</v>
      </c>
      <c r="F57" s="136">
        <v>138.4</v>
      </c>
      <c r="G57" s="192">
        <v>1616.8</v>
      </c>
      <c r="H57" s="158">
        <f>IF(AND(ISNUMBER(D57), ISNUMBER(F57)),
    ROUNDDOWN(
        MIN(
            IF(OR(ISBLANK(I57), I57=""),
                EOMONTH(DATE(LOHNTABELLE!$G$3, $A$1, 1), 0), I57)
            - MAX(D57, DATE(LOHNTABELLE!$G$3, $A$1, 1)) + 1)
        / DAY(EOMONTH(DATE(LOHNTABELLE!$G$3, $A$1, 1), 0)) * F57,
        2
    ),
    ""
)</f>
        <v>138.4</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1616.8</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BuD6IqKG8Kmw897M7Gyr26Hpsm8VyK6Fw7hMD6T2aR4V4+qC/kEgykcGKb3Y9aWy9hdphAJJwBQZEdNQ7FvV4Q==" saltValue="EZu9lFvfYZnUICaOrRSN+w=="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57">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 type="list" allowBlank="1" showInputMessage="1" showErrorMessage="1" sqref="F57" xr:uid="{91A571EA-0DBA-734C-B250-90B132AE5034}">
      <formula1>KV_DD_DEZEMBER_57</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85" t="str">
        <f>"FINANZIELL ÜBERSICHT "&amp;LOHNTABELLE!G3</f>
        <v>FINANZIELL ÜBERSICHT 2026</v>
      </c>
      <c r="C2" s="385"/>
      <c r="D2" s="385"/>
      <c r="E2" s="385"/>
      <c r="F2" s="385"/>
      <c r="G2" s="385"/>
      <c r="H2" s="385"/>
      <c r="I2" s="385"/>
      <c r="J2" s="385"/>
      <c r="K2" s="385"/>
      <c r="L2" s="385"/>
      <c r="M2" s="385"/>
      <c r="N2" s="385"/>
      <c r="O2" s="385"/>
      <c r="P2" s="385"/>
      <c r="Q2" s="385"/>
      <c r="R2" s="2"/>
    </row>
    <row r="3" spans="2:18" ht="15.75" customHeight="1">
      <c r="B3" s="385"/>
      <c r="C3" s="385"/>
      <c r="D3" s="385"/>
      <c r="E3" s="385"/>
      <c r="F3" s="385"/>
      <c r="G3" s="385"/>
      <c r="H3" s="385"/>
      <c r="I3" s="385"/>
      <c r="J3" s="385"/>
      <c r="K3" s="385"/>
      <c r="L3" s="385"/>
      <c r="M3" s="385"/>
      <c r="N3" s="385"/>
      <c r="O3" s="385"/>
      <c r="P3" s="385"/>
      <c r="Q3" s="385"/>
      <c r="R3" s="2"/>
    </row>
    <row r="4" spans="2:18" ht="30" customHeight="1">
      <c r="B4" s="387"/>
      <c r="C4" s="386" t="s">
        <v>30</v>
      </c>
      <c r="D4" s="386"/>
      <c r="E4" s="386"/>
      <c r="F4" s="386" t="s">
        <v>176</v>
      </c>
      <c r="G4" s="386"/>
      <c r="H4" s="386"/>
      <c r="I4" s="386" t="s">
        <v>177</v>
      </c>
      <c r="J4" s="386"/>
      <c r="K4" s="386"/>
      <c r="L4" s="386" t="s">
        <v>178</v>
      </c>
      <c r="M4" s="386" t="s">
        <v>179</v>
      </c>
      <c r="N4" s="388" t="s">
        <v>180</v>
      </c>
      <c r="O4" s="388"/>
      <c r="P4" s="388"/>
      <c r="Q4" s="388" t="s">
        <v>105</v>
      </c>
    </row>
    <row r="5" spans="2:18" ht="30" customHeight="1">
      <c r="B5" s="387"/>
      <c r="C5" s="386"/>
      <c r="D5" s="386"/>
      <c r="E5" s="386"/>
      <c r="F5" s="386"/>
      <c r="G5" s="386"/>
      <c r="H5" s="386"/>
      <c r="I5" s="386"/>
      <c r="J5" s="386"/>
      <c r="K5" s="386"/>
      <c r="L5" s="386"/>
      <c r="M5" s="386"/>
      <c r="N5" s="388"/>
      <c r="O5" s="388"/>
      <c r="P5" s="388"/>
      <c r="Q5" s="388"/>
    </row>
    <row r="6" spans="2:18" ht="30" customHeight="1">
      <c r="B6" s="387"/>
      <c r="C6" s="60" t="s">
        <v>181</v>
      </c>
      <c r="D6" s="60" t="s">
        <v>182</v>
      </c>
      <c r="E6" s="61" t="s">
        <v>183</v>
      </c>
      <c r="F6" s="60" t="s">
        <v>181</v>
      </c>
      <c r="G6" s="60" t="s">
        <v>182</v>
      </c>
      <c r="H6" s="61" t="s">
        <v>183</v>
      </c>
      <c r="I6" s="60" t="s">
        <v>181</v>
      </c>
      <c r="J6" s="60" t="s">
        <v>182</v>
      </c>
      <c r="K6" s="61" t="s">
        <v>183</v>
      </c>
      <c r="L6" s="386"/>
      <c r="M6" s="386"/>
      <c r="N6" s="60" t="s">
        <v>184</v>
      </c>
      <c r="O6" s="60" t="s">
        <v>185</v>
      </c>
      <c r="P6" s="61" t="s">
        <v>183</v>
      </c>
      <c r="Q6" s="388"/>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0</v>
      </c>
      <c r="H8" s="83">
        <f>G8-F8</f>
        <v>-2</v>
      </c>
      <c r="I8" s="66">
        <f>EINSTELLUNG!E7</f>
        <v>1</v>
      </c>
      <c r="J8" s="66">
        <f>EINSTELLUNG!E23</f>
        <v>0</v>
      </c>
      <c r="K8" s="67">
        <f t="shared" ref="K8:K22" si="0">J8-I8</f>
        <v>-1</v>
      </c>
      <c r="L8" s="65">
        <f>Februar!S40</f>
        <v>2.5710245532844839E-4</v>
      </c>
      <c r="M8" s="62">
        <f>Februar!S41</f>
        <v>2.5710245532844839E-4</v>
      </c>
      <c r="N8" s="62">
        <f>Februar!O5</f>
        <v>751.26519204752321</v>
      </c>
      <c r="O8" s="62">
        <f>Februar!P5</f>
        <v>2</v>
      </c>
      <c r="P8" s="85">
        <f t="shared" ref="P8:P23" si="1">O8-N8</f>
        <v>-749.26519204752321</v>
      </c>
      <c r="Q8" s="66">
        <f>Februar!Q31</f>
        <v>0</v>
      </c>
    </row>
    <row r="9" spans="2:18" ht="30" customHeight="1">
      <c r="B9" s="63" t="s">
        <v>188</v>
      </c>
      <c r="C9" s="65">
        <f>EINSTELLUNG!C8</f>
        <v>3</v>
      </c>
      <c r="D9" s="65">
        <f>EINSTELLUNG!C24</f>
        <v>3</v>
      </c>
      <c r="E9" s="83">
        <f>D9-C9</f>
        <v>0</v>
      </c>
      <c r="F9" s="65">
        <f>EINSTELLUNG!D8</f>
        <v>3</v>
      </c>
      <c r="G9" s="65">
        <f>Marz!$S$36</f>
        <v>0</v>
      </c>
      <c r="H9" s="83">
        <f>G9-F9</f>
        <v>-3</v>
      </c>
      <c r="I9" s="66">
        <f>EINSTELLUNG!E8</f>
        <v>1</v>
      </c>
      <c r="J9" s="66">
        <f>EINSTELLUNG!E24</f>
        <v>0</v>
      </c>
      <c r="K9" s="67">
        <f>J9-I9</f>
        <v>-1</v>
      </c>
      <c r="L9" s="65">
        <f>Marz!S40</f>
        <v>3.5930940731913262E-4</v>
      </c>
      <c r="M9" s="62">
        <f>Marz!S41</f>
        <v>3.5930940731913262E-4</v>
      </c>
      <c r="N9" s="62">
        <f>Marz!O5</f>
        <v>767.95997409302379</v>
      </c>
      <c r="O9" s="62">
        <f>Marz!P5</f>
        <v>3</v>
      </c>
      <c r="P9" s="85">
        <f t="shared" si="1"/>
        <v>-764.95997409302379</v>
      </c>
      <c r="Q9" s="66">
        <f>Marz!Q31</f>
        <v>1.9230769230769232E-2</v>
      </c>
    </row>
    <row r="10" spans="2:18" ht="30" customHeight="1">
      <c r="B10" s="68" t="s">
        <v>189</v>
      </c>
      <c r="C10" s="69">
        <f>SUM(C7:C9)</f>
        <v>6</v>
      </c>
      <c r="D10" s="69">
        <f>SUM(D7:D9)</f>
        <v>6</v>
      </c>
      <c r="E10" s="84">
        <f>D10-C10</f>
        <v>0</v>
      </c>
      <c r="F10" s="69">
        <f>SUM(F7:F9)</f>
        <v>6</v>
      </c>
      <c r="G10" s="69">
        <f>SUM(G7:G9)</f>
        <v>0</v>
      </c>
      <c r="H10" s="84">
        <f>G10-F10</f>
        <v>-6</v>
      </c>
      <c r="I10" s="70">
        <f>AVERAGE(I7:I9)</f>
        <v>1</v>
      </c>
      <c r="J10" s="70">
        <f>AVERAGE(J7:J9)</f>
        <v>0</v>
      </c>
      <c r="K10" s="71">
        <f>J10-I10</f>
        <v>-1</v>
      </c>
      <c r="L10" s="69">
        <f>AVERAGE(L7:L9)</f>
        <v>2.4996371110561533E-4</v>
      </c>
      <c r="M10" s="64">
        <f>AVERAGE(M7:M9)</f>
        <v>2.4996371110561533E-4</v>
      </c>
      <c r="N10" s="64">
        <f>SUM(N7:N9)</f>
        <v>2243.7787069152691</v>
      </c>
      <c r="O10" s="64">
        <f>SUM(O7:O9)</f>
        <v>6</v>
      </c>
      <c r="P10" s="86">
        <f t="shared" si="1"/>
        <v>-2237.7787069152691</v>
      </c>
      <c r="Q10" s="70">
        <f>AVERAGE(Q7:Q9)</f>
        <v>1.2946204122674712E-2</v>
      </c>
    </row>
    <row r="11" spans="2:18" ht="30" customHeight="1">
      <c r="B11" s="63" t="s">
        <v>190</v>
      </c>
      <c r="C11" s="65">
        <f>EINSTELLUNG!C9</f>
        <v>4</v>
      </c>
      <c r="D11" s="65">
        <f>EINSTELLUNG!C25</f>
        <v>4</v>
      </c>
      <c r="E11" s="83">
        <f t="shared" ref="E11:E21" si="2">D11-C11</f>
        <v>0</v>
      </c>
      <c r="F11" s="65">
        <f>EINSTELLUNG!D9</f>
        <v>4</v>
      </c>
      <c r="G11" s="65">
        <f>April!$S$36</f>
        <v>0</v>
      </c>
      <c r="H11" s="83">
        <f>G11-F11</f>
        <v>-4</v>
      </c>
      <c r="I11" s="66">
        <f>EINSTELLUNG!E9</f>
        <v>1</v>
      </c>
      <c r="J11" s="66">
        <f>EINSTELLUNG!E25</f>
        <v>0</v>
      </c>
      <c r="K11" s="67">
        <f t="shared" si="0"/>
        <v>-1</v>
      </c>
      <c r="L11" s="65">
        <f>April!S40</f>
        <v>4.8826038926559531E-4</v>
      </c>
      <c r="M11" s="62">
        <f>April!S41</f>
        <v>4.8826038926559531E-4</v>
      </c>
      <c r="N11" s="62">
        <f>April!O5</f>
        <v>772.13366960439896</v>
      </c>
      <c r="O11" s="62">
        <f>April!P5</f>
        <v>4</v>
      </c>
      <c r="P11" s="85">
        <f t="shared" si="1"/>
        <v>-768.13366960439896</v>
      </c>
      <c r="Q11" s="66">
        <f>April!Q31</f>
        <v>0</v>
      </c>
    </row>
    <row r="12" spans="2:18" ht="30" customHeight="1">
      <c r="B12" s="63" t="s">
        <v>191</v>
      </c>
      <c r="C12" s="65">
        <f>EINSTELLUNG!C10</f>
        <v>5</v>
      </c>
      <c r="D12" s="65">
        <f>EINSTELLUNG!C26</f>
        <v>5</v>
      </c>
      <c r="E12" s="83">
        <f t="shared" si="2"/>
        <v>0</v>
      </c>
      <c r="F12" s="65">
        <f>EINSTELLUNG!D10</f>
        <v>5</v>
      </c>
      <c r="G12" s="65">
        <f>Mai!$S$36</f>
        <v>0</v>
      </c>
      <c r="H12" s="83">
        <f t="shared" ref="H12:H23" si="3">G12-F12</f>
        <v>-5</v>
      </c>
      <c r="I12" s="66">
        <f>EINSTELLUNG!E10</f>
        <v>1</v>
      </c>
      <c r="J12" s="66">
        <f>EINSTELLUNG!E26</f>
        <v>0</v>
      </c>
      <c r="K12" s="67">
        <f t="shared" si="0"/>
        <v>-1</v>
      </c>
      <c r="L12" s="65">
        <f>Mai!S40</f>
        <v>6.048384657909412E-4</v>
      </c>
      <c r="M12" s="62">
        <f>Mai!S41</f>
        <v>6.048384657909412E-4</v>
      </c>
      <c r="N12" s="62">
        <f>Mai!O5</f>
        <v>801.34953818402494</v>
      </c>
      <c r="O12" s="62">
        <f>Mai!P5</f>
        <v>5</v>
      </c>
      <c r="P12" s="85">
        <f t="shared" si="1"/>
        <v>-796.34953818402494</v>
      </c>
      <c r="Q12" s="66">
        <f>Mai!Q31</f>
        <v>0</v>
      </c>
    </row>
    <row r="13" spans="2:18" ht="30" customHeight="1">
      <c r="B13" s="63" t="s">
        <v>192</v>
      </c>
      <c r="C13" s="65">
        <f>EINSTELLUNG!C11</f>
        <v>6</v>
      </c>
      <c r="D13" s="65">
        <f>EINSTELLUNG!C27</f>
        <v>6</v>
      </c>
      <c r="E13" s="83">
        <f t="shared" si="2"/>
        <v>0</v>
      </c>
      <c r="F13" s="65">
        <f>EINSTELLUNG!D11</f>
        <v>6</v>
      </c>
      <c r="G13" s="65">
        <f>Juni!$S$36</f>
        <v>0</v>
      </c>
      <c r="H13" s="83">
        <f t="shared" si="3"/>
        <v>-6</v>
      </c>
      <c r="I13" s="66">
        <f>EINSTELLUNG!E11</f>
        <v>1</v>
      </c>
      <c r="J13" s="66">
        <f>EINSTELLUNG!E27</f>
        <v>0</v>
      </c>
      <c r="K13" s="67">
        <f t="shared" si="0"/>
        <v>-1</v>
      </c>
      <c r="L13" s="65">
        <f>Juni!S40</f>
        <v>1.3574660633484163E-2</v>
      </c>
      <c r="M13" s="62">
        <f>Juni!S41</f>
        <v>1.3574660633484163E-2</v>
      </c>
      <c r="N13" s="62">
        <f>Juni!O5</f>
        <v>801.34953818402494</v>
      </c>
      <c r="O13" s="62">
        <f>Juni!P5</f>
        <v>6</v>
      </c>
      <c r="P13" s="85">
        <f t="shared" si="1"/>
        <v>-795.34953818402494</v>
      </c>
      <c r="Q13" s="66">
        <f>Juni!Q31</f>
        <v>0</v>
      </c>
    </row>
    <row r="14" spans="2:18" ht="30" customHeight="1">
      <c r="B14" s="68" t="s">
        <v>193</v>
      </c>
      <c r="C14" s="69">
        <f>SUM(C11:C13)</f>
        <v>15</v>
      </c>
      <c r="D14" s="69">
        <f>SUM(D11:D13)</f>
        <v>15</v>
      </c>
      <c r="E14" s="84">
        <f t="shared" si="2"/>
        <v>0</v>
      </c>
      <c r="F14" s="69">
        <f>SUM(F11:F13)</f>
        <v>15</v>
      </c>
      <c r="G14" s="69">
        <f>SUM(G11:G13)</f>
        <v>0</v>
      </c>
      <c r="H14" s="84">
        <f t="shared" si="3"/>
        <v>-15</v>
      </c>
      <c r="I14" s="70">
        <f>AVERAGE(I11:I13)</f>
        <v>1</v>
      </c>
      <c r="J14" s="70">
        <f>AVERAGE(J11:J13)</f>
        <v>0</v>
      </c>
      <c r="K14" s="71">
        <f t="shared" si="0"/>
        <v>-1</v>
      </c>
      <c r="L14" s="69">
        <f>AVERAGE(L11:L13)</f>
        <v>4.8892531628468997E-3</v>
      </c>
      <c r="M14" s="64">
        <f>AVERAGE(M11:M13)</f>
        <v>4.8892531628468997E-3</v>
      </c>
      <c r="N14" s="64">
        <f>SUM(N11:N13)</f>
        <v>2374.8327459724487</v>
      </c>
      <c r="O14" s="64">
        <f>SUM(O11:O13)</f>
        <v>15</v>
      </c>
      <c r="P14" s="86">
        <f t="shared" si="1"/>
        <v>-2359.8327459724487</v>
      </c>
      <c r="Q14" s="70">
        <f>AVERAGE(Q11:Q13)</f>
        <v>0</v>
      </c>
    </row>
    <row r="15" spans="2:18" ht="30" customHeight="1">
      <c r="B15" s="63" t="s">
        <v>194</v>
      </c>
      <c r="C15" s="65">
        <f>EINSTELLUNG!C12</f>
        <v>7</v>
      </c>
      <c r="D15" s="65">
        <f>EINSTELLUNG!C28</f>
        <v>7</v>
      </c>
      <c r="E15" s="83">
        <f t="shared" si="2"/>
        <v>0</v>
      </c>
      <c r="F15" s="65">
        <f>EINSTELLUNG!D12</f>
        <v>7</v>
      </c>
      <c r="G15" s="65">
        <f>Juli!$S$36</f>
        <v>0</v>
      </c>
      <c r="H15" s="83">
        <f t="shared" si="3"/>
        <v>-7</v>
      </c>
      <c r="I15" s="66">
        <f>EINSTELLUNG!E12</f>
        <v>1</v>
      </c>
      <c r="J15" s="66">
        <f>EINSTELLUNG!E28</f>
        <v>0</v>
      </c>
      <c r="K15" s="67">
        <f t="shared" si="0"/>
        <v>-1</v>
      </c>
      <c r="L15" s="65">
        <f>Juli!S40</f>
        <v>8.608444884431628E-4</v>
      </c>
      <c r="M15" s="62">
        <f>Juli!S41</f>
        <v>8.608444884431628E-4</v>
      </c>
      <c r="N15" s="62">
        <f>Juli!O5</f>
        <v>790.49792985444935</v>
      </c>
      <c r="O15" s="62">
        <f>Juli!P5</f>
        <v>7</v>
      </c>
      <c r="P15" s="85">
        <f t="shared" si="1"/>
        <v>-783.49792985444935</v>
      </c>
      <c r="Q15" s="66">
        <f>Juli!Q31</f>
        <v>0</v>
      </c>
    </row>
    <row r="16" spans="2:18" ht="30" customHeight="1">
      <c r="B16" s="63" t="s">
        <v>195</v>
      </c>
      <c r="C16" s="65">
        <f>EINSTELLUNG!C13</f>
        <v>8</v>
      </c>
      <c r="D16" s="65">
        <f>EINSTELLUNG!C29</f>
        <v>8</v>
      </c>
      <c r="E16" s="83">
        <f t="shared" si="2"/>
        <v>0</v>
      </c>
      <c r="F16" s="65">
        <f>EINSTELLUNG!D13</f>
        <v>8</v>
      </c>
      <c r="G16" s="65">
        <f>August!$S$36</f>
        <v>0</v>
      </c>
      <c r="H16" s="83">
        <f t="shared" si="3"/>
        <v>-8</v>
      </c>
      <c r="I16" s="66">
        <f>EINSTELLUNG!E13</f>
        <v>1</v>
      </c>
      <c r="J16" s="66">
        <f>EINSTELLUNG!E29</f>
        <v>0</v>
      </c>
      <c r="K16" s="67">
        <f t="shared" si="0"/>
        <v>-1</v>
      </c>
      <c r="L16" s="65">
        <f>August!S40</f>
        <v>9.9279848796790288E-4</v>
      </c>
      <c r="M16" s="62">
        <f>August!S41</f>
        <v>9.9279848796790288E-4</v>
      </c>
      <c r="N16" s="62">
        <f>August!O5</f>
        <v>784.23786909553826</v>
      </c>
      <c r="O16" s="62">
        <f>August!P5</f>
        <v>8</v>
      </c>
      <c r="P16" s="85">
        <f t="shared" si="1"/>
        <v>-776.23786909553826</v>
      </c>
      <c r="Q16" s="66">
        <f>August!Q31</f>
        <v>1.8518518518518517E-2</v>
      </c>
    </row>
    <row r="17" spans="2:17" ht="30" customHeight="1">
      <c r="B17" s="63" t="s">
        <v>196</v>
      </c>
      <c r="C17" s="65">
        <f>EINSTELLUNG!C14</f>
        <v>9</v>
      </c>
      <c r="D17" s="65">
        <f>EINSTELLUNG!C30</f>
        <v>9</v>
      </c>
      <c r="E17" s="83">
        <f t="shared" si="2"/>
        <v>0</v>
      </c>
      <c r="F17" s="65">
        <f>EINSTELLUNG!D14</f>
        <v>9</v>
      </c>
      <c r="G17" s="65">
        <f>September!$S$36</f>
        <v>0</v>
      </c>
      <c r="H17" s="83">
        <f t="shared" si="3"/>
        <v>-9</v>
      </c>
      <c r="I17" s="66">
        <f>EINSTELLUNG!E14</f>
        <v>1</v>
      </c>
      <c r="J17" s="66">
        <f>EINSTELLUNG!E30</f>
        <v>0</v>
      </c>
      <c r="K17" s="67">
        <f t="shared" si="0"/>
        <v>-1</v>
      </c>
      <c r="L17" s="65">
        <f>September!S40</f>
        <v>1.140766823458729E-3</v>
      </c>
      <c r="M17" s="62">
        <f>September!S41</f>
        <v>1.140766823458729E-3</v>
      </c>
      <c r="N17" s="62">
        <f>September!O5</f>
        <v>780.0641735841632</v>
      </c>
      <c r="O17" s="62">
        <f>September!P5</f>
        <v>9</v>
      </c>
      <c r="P17" s="85">
        <f t="shared" si="1"/>
        <v>-771.0641735841632</v>
      </c>
      <c r="Q17" s="66">
        <f>September!Q31</f>
        <v>0</v>
      </c>
    </row>
    <row r="18" spans="2:17" ht="30" customHeight="1">
      <c r="B18" s="68" t="s">
        <v>197</v>
      </c>
      <c r="C18" s="69">
        <f>SUM(C15:C17)</f>
        <v>24</v>
      </c>
      <c r="D18" s="69">
        <f>SUM(D15:D17)</f>
        <v>24</v>
      </c>
      <c r="E18" s="84">
        <f>D18-C18</f>
        <v>0</v>
      </c>
      <c r="F18" s="69">
        <f>SUM(F15:F17)</f>
        <v>24</v>
      </c>
      <c r="G18" s="69">
        <f>SUM(G15:G17)</f>
        <v>0</v>
      </c>
      <c r="H18" s="84">
        <f t="shared" si="3"/>
        <v>-24</v>
      </c>
      <c r="I18" s="70">
        <f>AVERAGE(I15:I17)</f>
        <v>1</v>
      </c>
      <c r="J18" s="70">
        <f>AVERAGE(J15:J17)</f>
        <v>0</v>
      </c>
      <c r="K18" s="71">
        <f t="shared" si="0"/>
        <v>-1</v>
      </c>
      <c r="L18" s="69">
        <f>AVERAGE(L15:L17)</f>
        <v>9.9813659995659824E-4</v>
      </c>
      <c r="M18" s="64">
        <f>AVERAGE(M15:M17)</f>
        <v>9.9813659995659824E-4</v>
      </c>
      <c r="N18" s="64">
        <f>SUM(N15:N17)</f>
        <v>2354.7999725341506</v>
      </c>
      <c r="O18" s="64">
        <f>SUM(O15:O17)</f>
        <v>24</v>
      </c>
      <c r="P18" s="86">
        <f t="shared" si="1"/>
        <v>-2330.7999725341506</v>
      </c>
      <c r="Q18" s="70">
        <f>AVERAGE(Q15:Q17)</f>
        <v>6.1728395061728392E-3</v>
      </c>
    </row>
    <row r="19" spans="2:17" ht="30" customHeight="1">
      <c r="B19" s="63" t="s">
        <v>198</v>
      </c>
      <c r="C19" s="65">
        <f>EINSTELLUNG!C15</f>
        <v>10</v>
      </c>
      <c r="D19" s="65">
        <f>EINSTELLUNG!C31</f>
        <v>10</v>
      </c>
      <c r="E19" s="83">
        <f>D19-C19</f>
        <v>0</v>
      </c>
      <c r="F19" s="65">
        <f>EINSTELLUNG!D15</f>
        <v>10</v>
      </c>
      <c r="G19" s="65">
        <f>Oktober!$S$36</f>
        <v>0</v>
      </c>
      <c r="H19" s="83">
        <f t="shared" si="3"/>
        <v>-10</v>
      </c>
      <c r="I19" s="66">
        <f>EINSTELLUNG!E15</f>
        <v>1</v>
      </c>
      <c r="J19" s="66">
        <f>EINSTELLUNG!E31</f>
        <v>0</v>
      </c>
      <c r="K19" s="67">
        <f t="shared" si="0"/>
        <v>-1</v>
      </c>
      <c r="L19" s="65">
        <f>Oktober!S40</f>
        <v>1.2233268864006422E-3</v>
      </c>
      <c r="M19" s="62">
        <f>Oktober!S41</f>
        <v>1.2233268864006422E-3</v>
      </c>
      <c r="N19" s="62">
        <f>Oktober!O5</f>
        <v>780.0641735841632</v>
      </c>
      <c r="O19" s="62">
        <f>Oktober!P5</f>
        <v>10</v>
      </c>
      <c r="P19" s="85">
        <f t="shared" si="1"/>
        <v>-770.0641735841632</v>
      </c>
      <c r="Q19" s="66">
        <f>Oktober!Q31</f>
        <v>0</v>
      </c>
    </row>
    <row r="20" spans="2:17" ht="30" customHeight="1">
      <c r="B20" s="63" t="s">
        <v>199</v>
      </c>
      <c r="C20" s="65">
        <f>EINSTELLUNG!C16</f>
        <v>11</v>
      </c>
      <c r="D20" s="65">
        <f>EINSTELLUNG!C32</f>
        <v>11</v>
      </c>
      <c r="E20" s="83">
        <f>D20-C20</f>
        <v>0</v>
      </c>
      <c r="F20" s="65">
        <f>EINSTELLUNG!D16</f>
        <v>11</v>
      </c>
      <c r="G20" s="65">
        <f>November!$S$36</f>
        <v>0</v>
      </c>
      <c r="H20" s="83">
        <f t="shared" si="3"/>
        <v>-11</v>
      </c>
      <c r="I20" s="66">
        <f>EINSTELLUNG!E16</f>
        <v>1</v>
      </c>
      <c r="J20" s="66">
        <f>EINSTELLUNG!E32</f>
        <v>0</v>
      </c>
      <c r="K20" s="67">
        <f t="shared" si="0"/>
        <v>-1</v>
      </c>
      <c r="L20" s="65">
        <f>November!S40</f>
        <v>1.3737670440779402E-3</v>
      </c>
      <c r="M20" s="62">
        <f>November!S41</f>
        <v>1.3737670440779402E-3</v>
      </c>
      <c r="N20" s="62">
        <f>November!O5</f>
        <v>775.89047807278803</v>
      </c>
      <c r="O20" s="62">
        <f>November!P5</f>
        <v>11</v>
      </c>
      <c r="P20" s="85">
        <f t="shared" si="1"/>
        <v>-764.89047807278803</v>
      </c>
      <c r="Q20" s="66">
        <f>November!Q31</f>
        <v>0</v>
      </c>
    </row>
    <row r="21" spans="2:17" ht="30" customHeight="1">
      <c r="B21" s="63" t="s">
        <v>200</v>
      </c>
      <c r="C21" s="65">
        <f>EINSTELLUNG!C17</f>
        <v>12</v>
      </c>
      <c r="D21" s="65">
        <f>EINSTELLUNG!C33</f>
        <v>12</v>
      </c>
      <c r="E21" s="83">
        <f t="shared" si="2"/>
        <v>0</v>
      </c>
      <c r="F21" s="65">
        <f>EINSTELLUNG!D17</f>
        <v>12</v>
      </c>
      <c r="G21" s="65">
        <f>Dezember!$S$36</f>
        <v>0</v>
      </c>
      <c r="H21" s="83">
        <f t="shared" si="3"/>
        <v>-12</v>
      </c>
      <c r="I21" s="66">
        <f>EINSTELLUNG!E17</f>
        <v>1</v>
      </c>
      <c r="J21" s="66">
        <f>EINSTELLUNG!E33</f>
        <v>0</v>
      </c>
      <c r="K21" s="67">
        <f t="shared" si="0"/>
        <v>-1</v>
      </c>
      <c r="L21" s="65">
        <f>Dezember!S40</f>
        <v>1.4445335240117585E-3</v>
      </c>
      <c r="M21" s="62">
        <f>Dezember!S41</f>
        <v>1.4445335240117585E-3</v>
      </c>
      <c r="N21" s="62">
        <f>Dezember!O5</f>
        <v>775.89047807278803</v>
      </c>
      <c r="O21" s="72">
        <f>Dezember!P5</f>
        <v>12</v>
      </c>
      <c r="P21" s="85">
        <f t="shared" si="1"/>
        <v>-763.89047807278803</v>
      </c>
      <c r="Q21" s="66">
        <f>Dezember!Q31</f>
        <v>0</v>
      </c>
    </row>
    <row r="22" spans="2:17" ht="30" customHeight="1">
      <c r="B22" s="68" t="s">
        <v>201</v>
      </c>
      <c r="C22" s="69">
        <f>SUM(C19:C21)</f>
        <v>33</v>
      </c>
      <c r="D22" s="69">
        <f>SUM(D19:D21)</f>
        <v>33</v>
      </c>
      <c r="E22" s="84">
        <f>D22-C22</f>
        <v>0</v>
      </c>
      <c r="F22" s="69">
        <f>SUM(F19:F21)</f>
        <v>33</v>
      </c>
      <c r="G22" s="69">
        <f>SUM(G19:G21)</f>
        <v>0</v>
      </c>
      <c r="H22" s="84">
        <f t="shared" si="3"/>
        <v>-33</v>
      </c>
      <c r="I22" s="70">
        <f>AVERAGE(I19:I21)</f>
        <v>1</v>
      </c>
      <c r="J22" s="70">
        <f>AVERAGE(J19:J21)</f>
        <v>0</v>
      </c>
      <c r="K22" s="71">
        <f t="shared" si="0"/>
        <v>-1</v>
      </c>
      <c r="L22" s="69">
        <f>AVERAGE(L19:L21)</f>
        <v>1.34720915149678E-3</v>
      </c>
      <c r="M22" s="64">
        <f>AVERAGE(M19:M21)</f>
        <v>1.34720915149678E-3</v>
      </c>
      <c r="N22" s="64">
        <f>SUM(N19:N21)</f>
        <v>2331.8451297297393</v>
      </c>
      <c r="O22" s="64">
        <f>SUM(O19:O21)</f>
        <v>33</v>
      </c>
      <c r="P22" s="86">
        <f>O22-N22</f>
        <v>-2298.8451297297393</v>
      </c>
      <c r="Q22" s="70">
        <f>AVERAGE(Q19:Q21)</f>
        <v>0</v>
      </c>
    </row>
    <row r="23" spans="2:17" ht="30" customHeight="1">
      <c r="B23" s="73">
        <f>LOHNTABELLE!G3</f>
        <v>2026</v>
      </c>
      <c r="C23" s="74">
        <f>SUM(C10,C14,C18,C22)</f>
        <v>78</v>
      </c>
      <c r="D23" s="74">
        <f>SUM(D10,D14,D18,D22)</f>
        <v>78</v>
      </c>
      <c r="E23" s="84">
        <f>D23-C23</f>
        <v>0</v>
      </c>
      <c r="F23" s="74">
        <f>SUM(F10,F14,F18,F22)</f>
        <v>78</v>
      </c>
      <c r="G23" s="74">
        <f>SUM(G10,G14,G18,G22)</f>
        <v>0</v>
      </c>
      <c r="H23" s="84">
        <f t="shared" si="3"/>
        <v>-78</v>
      </c>
      <c r="I23" s="75">
        <f>AVERAGE(I10,I14,I18,I22)</f>
        <v>1</v>
      </c>
      <c r="J23" s="75">
        <f>AVERAGE(J10,J14,J18,J22)</f>
        <v>0</v>
      </c>
      <c r="K23" s="71">
        <f>J23-I23</f>
        <v>-1</v>
      </c>
      <c r="L23" s="74">
        <f>AVERAGE(L22,L18,L14,L10)</f>
        <v>1.8711406563514733E-3</v>
      </c>
      <c r="M23" s="76">
        <f>AVERAGE(M10,M14,M18,M22)</f>
        <v>1.8711406563514733E-3</v>
      </c>
      <c r="N23" s="76">
        <f>SUM(N10,N14,N18,N22)</f>
        <v>9305.2565551516072</v>
      </c>
      <c r="O23" s="76">
        <f>SUM(O10,O14,O18,O22)</f>
        <v>78</v>
      </c>
      <c r="P23" s="86">
        <f t="shared" si="1"/>
        <v>-9227.2565551516072</v>
      </c>
      <c r="Q23" s="75">
        <f>AVERAGE(Q22,Q18,Q14,Q10)</f>
        <v>4.7797609072118882E-3</v>
      </c>
    </row>
    <row r="24" spans="2:17" ht="15">
      <c r="O24" s="4"/>
    </row>
    <row r="25" spans="2:17">
      <c r="B25" s="384" t="s">
        <v>204</v>
      </c>
      <c r="C25" s="384"/>
      <c r="D25" s="384"/>
      <c r="E25" s="384"/>
    </row>
    <row r="26" spans="2:17">
      <c r="B26" s="384"/>
      <c r="C26" s="384"/>
      <c r="D26" s="384"/>
      <c r="E26" s="384"/>
    </row>
    <row r="27" spans="2:17">
      <c r="B27" s="384"/>
      <c r="C27" s="384"/>
      <c r="D27" s="384"/>
      <c r="E27" s="384"/>
    </row>
  </sheetData>
  <sheetProtection algorithmName="SHA-512" hashValue="0CWWAMv1DELW0zGKapwa+HuYiJD819OzpaMG5nQTiorXsT7XTBuvhN1TYyvFdQyJrXLuFG0DhfZzwC57qhW7eQ==" saltValue="OqcCHwqnAILYWtUEZhTkfw=="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NZAt0Olu7olSJELSq+TIfL2EsHzUFRKKHvJZDdEKpqWscBay9POrBYnHCcLP/ICCl9nHJjz5XPfyiMyEP3DT2w==" saltValue="8cFth2LhrV/82ZwJfpLE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209" customWidth="1"/>
    <col min="2" max="5" width="16.83203125" style="209" customWidth="1"/>
    <col min="6" max="7" width="18.83203125" style="209" customWidth="1"/>
    <col min="8" max="8" width="22.83203125" style="209" customWidth="1"/>
    <col min="9" max="12" width="36.83203125" style="209" customWidth="1"/>
    <col min="13" max="16384" width="10.83203125" style="209"/>
  </cols>
  <sheetData>
    <row r="1" spans="1:12" ht="15" customHeight="1">
      <c r="A1" s="392" t="s">
        <v>237</v>
      </c>
      <c r="B1" s="393"/>
      <c r="C1" s="393"/>
      <c r="D1" s="393"/>
      <c r="E1" s="393"/>
      <c r="F1" s="219"/>
      <c r="G1" s="219"/>
      <c r="H1" s="219"/>
      <c r="I1" s="219"/>
      <c r="J1" s="219"/>
      <c r="K1" s="219"/>
      <c r="L1" s="219"/>
    </row>
    <row r="2" spans="1:12" ht="15" customHeight="1">
      <c r="A2" s="220" t="s">
        <v>238</v>
      </c>
      <c r="B2" s="220">
        <v>2026</v>
      </c>
      <c r="C2" s="219"/>
      <c r="D2" s="219"/>
      <c r="E2" s="219"/>
      <c r="F2" s="219"/>
      <c r="G2" s="219"/>
      <c r="H2" s="219"/>
      <c r="I2" s="219"/>
      <c r="J2" s="219"/>
      <c r="K2" s="219"/>
      <c r="L2" s="219"/>
    </row>
    <row r="3" spans="1:12" ht="15" customHeight="1">
      <c r="A3" s="219"/>
      <c r="B3" s="219"/>
      <c r="C3" s="219"/>
      <c r="D3" s="219"/>
      <c r="E3" s="219"/>
      <c r="F3" s="219"/>
      <c r="G3" s="219"/>
      <c r="H3" s="219"/>
      <c r="I3" s="219"/>
      <c r="J3" s="219"/>
      <c r="K3" s="219"/>
      <c r="L3" s="219"/>
    </row>
    <row r="4" spans="1:12" ht="15" customHeight="1">
      <c r="A4" s="394" t="s">
        <v>246</v>
      </c>
      <c r="B4" s="395"/>
      <c r="C4" s="395"/>
      <c r="D4" s="395"/>
      <c r="E4" s="395"/>
      <c r="F4" s="219"/>
      <c r="G4" s="219"/>
      <c r="H4" s="219"/>
      <c r="I4" s="219"/>
      <c r="J4" s="219"/>
      <c r="K4" s="219"/>
      <c r="L4" s="219"/>
    </row>
    <row r="5" spans="1:12" ht="42" customHeight="1">
      <c r="A5" s="396" t="s">
        <v>349</v>
      </c>
      <c r="B5" s="396"/>
      <c r="C5" s="396"/>
      <c r="D5" s="396"/>
      <c r="E5" s="396"/>
      <c r="F5" s="219"/>
      <c r="G5" s="219"/>
      <c r="H5" s="219"/>
      <c r="I5" s="219"/>
      <c r="J5" s="219"/>
      <c r="K5" s="219"/>
      <c r="L5" s="219"/>
    </row>
    <row r="6" spans="1:12" ht="42" customHeight="1">
      <c r="A6" s="396"/>
      <c r="B6" s="396"/>
      <c r="C6" s="396"/>
      <c r="D6" s="396"/>
      <c r="E6" s="396"/>
      <c r="F6" s="219"/>
      <c r="G6" s="219"/>
      <c r="H6" s="219"/>
      <c r="I6" s="219"/>
      <c r="J6" s="219"/>
      <c r="K6" s="219"/>
      <c r="L6" s="219"/>
    </row>
    <row r="7" spans="1:12" ht="15" customHeight="1">
      <c r="A7" s="219"/>
      <c r="B7" s="219"/>
      <c r="C7" s="219"/>
      <c r="D7" s="219"/>
      <c r="E7" s="219"/>
      <c r="F7" s="219"/>
      <c r="G7" s="219"/>
      <c r="H7" s="219"/>
      <c r="I7" s="219"/>
      <c r="J7" s="219"/>
      <c r="K7" s="219"/>
      <c r="L7" s="219"/>
    </row>
    <row r="8" spans="1:12" ht="15" customHeight="1">
      <c r="A8" s="221" t="s">
        <v>239</v>
      </c>
      <c r="B8" s="221" t="s">
        <v>240</v>
      </c>
      <c r="C8" s="221" t="s">
        <v>350</v>
      </c>
      <c r="D8" s="221"/>
      <c r="E8" s="221"/>
      <c r="F8" s="219"/>
      <c r="G8" s="219"/>
      <c r="H8" s="219"/>
      <c r="I8" s="219"/>
      <c r="J8" s="219"/>
      <c r="K8" s="219"/>
      <c r="L8" s="219"/>
    </row>
    <row r="9" spans="1:12" ht="15" customHeight="1">
      <c r="A9" s="222" t="s">
        <v>241</v>
      </c>
      <c r="B9" s="210">
        <v>3</v>
      </c>
      <c r="C9" s="397" t="s">
        <v>247</v>
      </c>
      <c r="D9" s="397"/>
      <c r="E9" s="397"/>
      <c r="F9" s="219"/>
      <c r="G9" s="219"/>
      <c r="H9" s="219"/>
      <c r="I9" s="219"/>
      <c r="J9" s="219"/>
      <c r="K9" s="219"/>
      <c r="L9" s="219"/>
    </row>
    <row r="10" spans="1:12" ht="15" customHeight="1">
      <c r="A10" s="222" t="s">
        <v>258</v>
      </c>
      <c r="B10" s="217">
        <v>3.8610038610038609E-2</v>
      </c>
      <c r="C10" s="397" t="s">
        <v>259</v>
      </c>
      <c r="D10" s="397"/>
      <c r="E10" s="397"/>
      <c r="F10" s="219"/>
      <c r="G10" s="219"/>
      <c r="H10" s="219"/>
      <c r="I10" s="219"/>
      <c r="J10" s="219"/>
      <c r="K10" s="219"/>
      <c r="L10" s="219"/>
    </row>
    <row r="11" spans="1:12" ht="15" customHeight="1">
      <c r="A11" s="222" t="s">
        <v>244</v>
      </c>
      <c r="B11" s="218">
        <v>2.125</v>
      </c>
      <c r="C11" s="397" t="s">
        <v>351</v>
      </c>
      <c r="D11" s="397"/>
      <c r="E11" s="397"/>
      <c r="F11" s="219"/>
      <c r="G11" s="219"/>
      <c r="H11" s="219"/>
      <c r="I11" s="219"/>
      <c r="J11" s="219"/>
      <c r="K11" s="219"/>
      <c r="L11" s="219"/>
    </row>
    <row r="12" spans="1:12" ht="15" customHeight="1">
      <c r="A12" s="222" t="s">
        <v>314</v>
      </c>
      <c r="B12" s="218">
        <v>0.70833333333333337</v>
      </c>
      <c r="C12" s="397" t="s">
        <v>248</v>
      </c>
      <c r="D12" s="397"/>
      <c r="E12" s="397"/>
      <c r="F12" s="219"/>
      <c r="G12" s="219"/>
      <c r="H12" s="219"/>
      <c r="I12" s="219"/>
      <c r="J12" s="219"/>
      <c r="K12" s="219"/>
      <c r="L12" s="219"/>
    </row>
    <row r="13" spans="1:12" ht="15" customHeight="1">
      <c r="A13" s="222" t="s">
        <v>249</v>
      </c>
      <c r="B13" s="210">
        <v>1</v>
      </c>
      <c r="C13" s="397" t="s">
        <v>250</v>
      </c>
      <c r="D13" s="397"/>
      <c r="E13" s="397"/>
      <c r="F13" s="219"/>
      <c r="G13" s="219"/>
      <c r="H13" s="219"/>
      <c r="I13" s="219"/>
      <c r="J13" s="219"/>
      <c r="K13" s="219"/>
      <c r="L13" s="219"/>
    </row>
    <row r="14" spans="1:12" ht="15" customHeight="1">
      <c r="A14" s="222" t="s">
        <v>245</v>
      </c>
      <c r="B14" s="210">
        <v>0</v>
      </c>
      <c r="C14" s="397" t="s">
        <v>251</v>
      </c>
      <c r="D14" s="397"/>
      <c r="E14" s="397"/>
      <c r="F14" s="219"/>
      <c r="G14" s="219"/>
      <c r="H14" s="219"/>
      <c r="I14" s="219"/>
      <c r="J14" s="219"/>
      <c r="K14" s="219"/>
      <c r="L14" s="219"/>
    </row>
    <row r="15" spans="1:12" ht="15" customHeight="1">
      <c r="A15" s="222" t="s">
        <v>252</v>
      </c>
      <c r="B15" s="210">
        <v>1</v>
      </c>
      <c r="C15" s="397" t="s">
        <v>352</v>
      </c>
      <c r="D15" s="397"/>
      <c r="E15" s="397"/>
      <c r="F15" s="219"/>
      <c r="G15" s="219"/>
      <c r="H15" s="219"/>
      <c r="I15" s="219"/>
      <c r="J15" s="219"/>
      <c r="K15" s="219"/>
      <c r="L15" s="219"/>
    </row>
    <row r="16" spans="1:12" ht="15" customHeight="1">
      <c r="A16" s="222" t="s">
        <v>242</v>
      </c>
      <c r="B16" s="210">
        <v>0</v>
      </c>
      <c r="C16" s="397" t="s">
        <v>353</v>
      </c>
      <c r="D16" s="397"/>
      <c r="E16" s="397"/>
      <c r="F16" s="219"/>
      <c r="G16" s="219"/>
      <c r="H16" s="219"/>
      <c r="I16" s="219"/>
      <c r="J16" s="219"/>
      <c r="K16" s="219"/>
      <c r="L16" s="219"/>
    </row>
    <row r="17" spans="1:12" ht="15" customHeight="1">
      <c r="A17" s="222" t="s">
        <v>354</v>
      </c>
      <c r="B17" s="210">
        <v>0</v>
      </c>
      <c r="C17" s="397" t="s">
        <v>315</v>
      </c>
      <c r="D17" s="397"/>
      <c r="E17" s="397"/>
      <c r="F17" s="219"/>
      <c r="G17" s="219"/>
      <c r="H17" s="219"/>
      <c r="I17" s="219"/>
      <c r="J17" s="219"/>
      <c r="K17" s="219"/>
      <c r="L17" s="219"/>
    </row>
    <row r="18" spans="1:12" ht="15" customHeight="1" thickBot="1">
      <c r="A18" s="219"/>
      <c r="B18" s="219"/>
      <c r="C18" s="219"/>
      <c r="D18" s="219"/>
      <c r="E18" s="219"/>
      <c r="F18" s="219"/>
      <c r="G18" s="219"/>
      <c r="H18" s="219"/>
      <c r="I18" s="219"/>
      <c r="J18" s="219"/>
      <c r="K18" s="219"/>
      <c r="L18" s="219"/>
    </row>
    <row r="19" spans="1:12" ht="24" customHeight="1" thickBot="1">
      <c r="A19" s="212" t="s">
        <v>355</v>
      </c>
      <c r="B19" s="208" t="s">
        <v>377</v>
      </c>
      <c r="C19" s="219"/>
      <c r="D19" s="219"/>
      <c r="E19" s="219"/>
      <c r="F19" s="219"/>
      <c r="G19" s="219"/>
      <c r="H19" s="219"/>
      <c r="I19" s="219"/>
      <c r="J19" s="219"/>
      <c r="K19" s="219"/>
      <c r="L19" s="219"/>
    </row>
    <row r="20" spans="1:12" ht="15" customHeight="1">
      <c r="A20" s="219"/>
      <c r="B20" s="219"/>
      <c r="C20" s="219"/>
      <c r="D20" s="219"/>
      <c r="E20" s="219"/>
      <c r="F20" s="219"/>
      <c r="G20" s="219"/>
      <c r="H20" s="219"/>
      <c r="I20" s="219"/>
      <c r="J20" s="219"/>
      <c r="K20" s="219"/>
      <c r="L20" s="219"/>
    </row>
    <row r="21" spans="1:12" ht="48" customHeight="1">
      <c r="A21" s="389" t="s">
        <v>253</v>
      </c>
      <c r="B21" s="391" t="s">
        <v>368</v>
      </c>
      <c r="C21" s="391"/>
      <c r="D21" s="391"/>
      <c r="E21" s="391"/>
      <c r="F21" s="219"/>
      <c r="G21" s="219"/>
      <c r="H21" s="219"/>
      <c r="I21" s="219"/>
      <c r="J21" s="219"/>
      <c r="K21" s="219"/>
      <c r="L21" s="219"/>
    </row>
    <row r="22" spans="1:12" ht="48" customHeight="1">
      <c r="A22" s="390"/>
      <c r="B22" s="391"/>
      <c r="C22" s="391"/>
      <c r="D22" s="391"/>
      <c r="E22" s="391"/>
      <c r="F22" s="219"/>
      <c r="G22" s="219"/>
      <c r="H22" s="219"/>
      <c r="I22" s="219"/>
      <c r="J22" s="219"/>
      <c r="K22" s="219"/>
      <c r="L22" s="219"/>
    </row>
    <row r="23" spans="1:12" ht="15" customHeight="1">
      <c r="A23" s="219"/>
      <c r="B23" s="219"/>
      <c r="C23" s="219"/>
      <c r="D23" s="219"/>
      <c r="E23" s="219"/>
      <c r="F23" s="219"/>
      <c r="G23" s="219"/>
      <c r="H23" s="219"/>
      <c r="I23" s="219"/>
      <c r="J23" s="219"/>
      <c r="K23" s="219"/>
      <c r="L23" s="219"/>
    </row>
    <row r="24" spans="1:12" ht="15" customHeight="1">
      <c r="A24" s="219"/>
      <c r="B24" s="219"/>
      <c r="C24" s="219"/>
      <c r="D24" s="219"/>
      <c r="E24" s="219"/>
      <c r="F24" s="219"/>
      <c r="G24" s="219"/>
      <c r="H24" s="219"/>
      <c r="I24" s="219"/>
      <c r="J24" s="219"/>
      <c r="K24" s="219"/>
      <c r="L24" s="219"/>
    </row>
    <row r="25" spans="1:12" ht="15" customHeight="1">
      <c r="A25" s="398" t="s">
        <v>356</v>
      </c>
      <c r="B25" s="393"/>
      <c r="C25" s="393"/>
      <c r="D25" s="393"/>
      <c r="E25" s="393"/>
      <c r="F25" s="393"/>
      <c r="G25" s="393"/>
      <c r="H25" s="393"/>
      <c r="I25" s="393"/>
      <c r="J25" s="393"/>
      <c r="K25" s="393"/>
      <c r="L25" s="219"/>
    </row>
    <row r="26" spans="1:12" ht="15" customHeight="1">
      <c r="A26" s="219"/>
      <c r="B26" s="219"/>
      <c r="C26" s="219"/>
      <c r="D26" s="219"/>
      <c r="E26" s="219"/>
      <c r="F26" s="219"/>
      <c r="G26" s="219"/>
      <c r="H26" s="219"/>
      <c r="I26" s="219"/>
      <c r="J26" s="219"/>
      <c r="K26" s="219"/>
      <c r="L26" s="219"/>
    </row>
    <row r="27" spans="1:12" ht="15" customHeight="1">
      <c r="A27" s="213" t="s">
        <v>231</v>
      </c>
      <c r="B27" s="213" t="s">
        <v>255</v>
      </c>
      <c r="C27" s="213" t="s">
        <v>260</v>
      </c>
      <c r="D27" s="213" t="s">
        <v>244</v>
      </c>
      <c r="E27" s="213" t="s">
        <v>316</v>
      </c>
      <c r="F27" s="213" t="s">
        <v>373</v>
      </c>
      <c r="G27" s="213" t="s">
        <v>252</v>
      </c>
      <c r="H27" s="213" t="s">
        <v>357</v>
      </c>
      <c r="I27" s="213" t="s">
        <v>347</v>
      </c>
      <c r="J27" s="213"/>
      <c r="K27" s="213"/>
      <c r="L27" s="219"/>
    </row>
    <row r="28" spans="1:12" ht="42" customHeight="1">
      <c r="A28" s="214" t="s">
        <v>317</v>
      </c>
      <c r="B28" s="214">
        <v>1</v>
      </c>
      <c r="C28" s="215">
        <v>1.9607843137254902E-2</v>
      </c>
      <c r="D28" s="216">
        <v>0.625</v>
      </c>
      <c r="E28" s="216">
        <v>0.625</v>
      </c>
      <c r="F28" s="214">
        <v>0</v>
      </c>
      <c r="G28" s="214">
        <v>0</v>
      </c>
      <c r="H28" s="211" t="s">
        <v>358</v>
      </c>
      <c r="I28" s="397" t="s">
        <v>319</v>
      </c>
      <c r="J28" s="397"/>
      <c r="K28" s="397"/>
      <c r="L28" s="219"/>
    </row>
    <row r="29" spans="1:12" ht="42" customHeight="1">
      <c r="A29" s="214" t="s">
        <v>371</v>
      </c>
      <c r="B29" s="214">
        <v>1</v>
      </c>
      <c r="C29" s="215">
        <v>1.9607843137254902E-2</v>
      </c>
      <c r="D29" s="216">
        <v>0.5</v>
      </c>
      <c r="E29" s="216">
        <v>0.5</v>
      </c>
      <c r="F29" s="214">
        <v>1</v>
      </c>
      <c r="G29" s="214">
        <v>0</v>
      </c>
      <c r="H29" s="211" t="s">
        <v>374</v>
      </c>
      <c r="I29" s="397" t="s">
        <v>375</v>
      </c>
      <c r="J29" s="397"/>
      <c r="K29" s="397"/>
      <c r="L29" s="219"/>
    </row>
    <row r="30" spans="1:12" ht="42" customHeight="1">
      <c r="A30" s="214" t="s">
        <v>195</v>
      </c>
      <c r="B30" s="214">
        <v>1</v>
      </c>
      <c r="C30" s="215">
        <v>1.8867924528301886E-2</v>
      </c>
      <c r="D30" s="216">
        <v>1</v>
      </c>
      <c r="E30" s="216">
        <v>1</v>
      </c>
      <c r="F30" s="214">
        <v>0</v>
      </c>
      <c r="G30" s="214">
        <v>1</v>
      </c>
      <c r="H30" s="211" t="s">
        <v>374</v>
      </c>
      <c r="I30" s="397" t="s">
        <v>378</v>
      </c>
      <c r="J30" s="397"/>
      <c r="K30" s="397"/>
      <c r="L30" s="219"/>
    </row>
    <row r="31" spans="1:12" ht="15" customHeight="1">
      <c r="A31" s="219"/>
      <c r="B31" s="219"/>
      <c r="C31" s="219"/>
      <c r="D31" s="219"/>
      <c r="E31" s="219"/>
      <c r="F31" s="219"/>
      <c r="G31" s="219"/>
      <c r="H31" s="219"/>
      <c r="I31" s="219"/>
      <c r="J31" s="219"/>
      <c r="K31" s="219"/>
      <c r="L31" s="219"/>
    </row>
    <row r="32" spans="1:12" ht="15" customHeight="1">
      <c r="A32" s="219"/>
      <c r="B32" s="219"/>
      <c r="C32" s="219"/>
      <c r="D32" s="219"/>
      <c r="E32" s="219"/>
      <c r="F32" s="219"/>
      <c r="G32" s="219"/>
      <c r="H32" s="219"/>
      <c r="I32" s="219"/>
      <c r="J32" s="219"/>
      <c r="K32" s="219"/>
      <c r="L32" s="219"/>
    </row>
    <row r="33" spans="1:12" ht="15" customHeight="1">
      <c r="A33" s="219"/>
      <c r="B33" s="219"/>
      <c r="C33" s="219"/>
      <c r="D33" s="219"/>
      <c r="E33" s="219"/>
      <c r="F33" s="219"/>
      <c r="G33" s="219"/>
      <c r="H33" s="219"/>
      <c r="I33" s="219"/>
      <c r="J33" s="219"/>
      <c r="K33" s="219"/>
      <c r="L33" s="219"/>
    </row>
    <row r="34" spans="1:12" ht="15" customHeight="1">
      <c r="A34" s="399" t="s">
        <v>359</v>
      </c>
      <c r="B34" s="390"/>
      <c r="C34" s="390"/>
      <c r="D34" s="390"/>
      <c r="E34" s="390"/>
      <c r="F34" s="219"/>
      <c r="G34" s="219"/>
      <c r="H34" s="219"/>
      <c r="I34" s="219"/>
      <c r="J34" s="219"/>
      <c r="K34" s="219"/>
      <c r="L34" s="219"/>
    </row>
    <row r="35" spans="1:12" ht="38" customHeight="1">
      <c r="A35" s="221" t="s">
        <v>258</v>
      </c>
      <c r="B35" s="391" t="s">
        <v>261</v>
      </c>
      <c r="C35" s="391"/>
      <c r="D35" s="391"/>
      <c r="E35" s="391"/>
      <c r="F35" s="219"/>
      <c r="G35" s="219"/>
      <c r="H35" s="219"/>
      <c r="I35" s="219"/>
      <c r="J35" s="219"/>
      <c r="K35" s="219"/>
      <c r="L35" s="219"/>
    </row>
    <row r="36" spans="1:12" ht="38" customHeight="1">
      <c r="A36" s="221" t="s">
        <v>244</v>
      </c>
      <c r="B36" s="391" t="s">
        <v>360</v>
      </c>
      <c r="C36" s="391"/>
      <c r="D36" s="391"/>
      <c r="E36" s="391"/>
      <c r="F36" s="219"/>
      <c r="G36" s="219"/>
      <c r="H36" s="219"/>
      <c r="I36" s="219"/>
      <c r="J36" s="219"/>
      <c r="K36" s="219"/>
      <c r="L36" s="219"/>
    </row>
    <row r="37" spans="1:12" ht="38" customHeight="1">
      <c r="A37" s="221" t="s">
        <v>314</v>
      </c>
      <c r="B37" s="391" t="s">
        <v>361</v>
      </c>
      <c r="C37" s="391"/>
      <c r="D37" s="391"/>
      <c r="E37" s="391"/>
      <c r="F37" s="219"/>
      <c r="G37" s="219"/>
      <c r="H37" s="219"/>
      <c r="I37" s="219"/>
      <c r="J37" s="219"/>
      <c r="K37" s="219"/>
      <c r="L37" s="219"/>
    </row>
    <row r="38" spans="1:12" ht="38" customHeight="1">
      <c r="A38" s="221" t="s">
        <v>256</v>
      </c>
      <c r="B38" s="391" t="s">
        <v>362</v>
      </c>
      <c r="C38" s="391"/>
      <c r="D38" s="391"/>
      <c r="E38" s="391"/>
      <c r="F38" s="219"/>
      <c r="G38" s="219"/>
      <c r="H38" s="219"/>
      <c r="I38" s="219"/>
      <c r="J38" s="219"/>
      <c r="K38" s="219"/>
      <c r="L38" s="219"/>
    </row>
    <row r="39" spans="1:12" ht="38" customHeight="1">
      <c r="A39" s="221" t="s">
        <v>245</v>
      </c>
      <c r="B39" s="391" t="s">
        <v>363</v>
      </c>
      <c r="C39" s="391"/>
      <c r="D39" s="391"/>
      <c r="E39" s="391"/>
      <c r="F39" s="219"/>
      <c r="G39" s="219"/>
      <c r="H39" s="219"/>
      <c r="I39" s="219"/>
      <c r="J39" s="219"/>
      <c r="K39" s="219"/>
      <c r="L39" s="219"/>
    </row>
    <row r="40" spans="1:12" ht="38" customHeight="1">
      <c r="A40" s="221" t="s">
        <v>257</v>
      </c>
      <c r="B40" s="391" t="s">
        <v>364</v>
      </c>
      <c r="C40" s="391"/>
      <c r="D40" s="391"/>
      <c r="E40" s="391"/>
      <c r="F40" s="219"/>
      <c r="G40" s="219"/>
      <c r="H40" s="219"/>
      <c r="I40" s="219"/>
      <c r="J40" s="219"/>
      <c r="K40" s="219"/>
      <c r="L40" s="219"/>
    </row>
    <row r="41" spans="1:12" ht="38" customHeight="1">
      <c r="A41" s="221" t="s">
        <v>254</v>
      </c>
      <c r="B41" s="391" t="s">
        <v>365</v>
      </c>
      <c r="C41" s="391"/>
      <c r="D41" s="391"/>
      <c r="E41" s="391"/>
      <c r="F41" s="219"/>
      <c r="G41" s="219"/>
      <c r="H41" s="219"/>
      <c r="I41" s="219"/>
      <c r="J41" s="219"/>
      <c r="K41" s="219"/>
      <c r="L41" s="219"/>
    </row>
    <row r="42" spans="1:12" ht="38" customHeight="1">
      <c r="A42" s="221" t="s">
        <v>366</v>
      </c>
      <c r="B42" s="391" t="s">
        <v>367</v>
      </c>
      <c r="C42" s="391"/>
      <c r="D42" s="391"/>
      <c r="E42" s="391"/>
      <c r="F42" s="219"/>
      <c r="G42" s="219"/>
      <c r="H42" s="219"/>
      <c r="I42" s="219"/>
      <c r="J42" s="219"/>
      <c r="K42" s="219"/>
      <c r="L42" s="219"/>
    </row>
  </sheetData>
  <sheetProtection algorithmName="SHA-512" hashValue="tkGK0tYC11LwtMjBu23E37R+5lvFI/4cyaa70hSsbcVJ1gmJe3dthVX0JQQZ5lcg8/b+i+1dgelt//52fJ9yQA==" saltValue="AMvDIoc9ZlrcP1o5wca7Yg==" spinCount="100000" sheet="1" objects="1" scenarios="1" sort="0" autoFilter="0"/>
  <mergeCells count="27">
    <mergeCell ref="B42:E42"/>
    <mergeCell ref="A25:K25"/>
    <mergeCell ref="A34:E34"/>
    <mergeCell ref="B41:E41"/>
    <mergeCell ref="I28:K28"/>
    <mergeCell ref="I29:K29"/>
    <mergeCell ref="I30:K30"/>
    <mergeCell ref="B39:E39"/>
    <mergeCell ref="B40:E40"/>
    <mergeCell ref="B37:E37"/>
    <mergeCell ref="B38:E38"/>
    <mergeCell ref="B35:E35"/>
    <mergeCell ref="B36:E36"/>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CzARY+qrBIBgV9hipk/iAfDs1vS2CR1UBxcaHwxjb2NbjrOU8gc8PWNRg3uzQpgPkiKVYN+uk0Wp27l3VvMP0Q==" saltValue="1HAopcBGDY+e4gx2XQalqg=="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Y13"/>
  <sheetViews>
    <sheetView workbookViewId="0"/>
  </sheetViews>
  <sheetFormatPr baseColWidth="10" defaultRowHeight="15"/>
  <sheetData>
    <row r="1" spans="1:935">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EB1" s="182">
        <v>173</v>
      </c>
      <c r="EC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HE1" s="182">
        <v>173</v>
      </c>
      <c r="HF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KG1" s="182">
        <v>173</v>
      </c>
      <c r="KH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I1" s="182">
        <v>173</v>
      </c>
      <c r="NJ1" s="182">
        <v>173</v>
      </c>
      <c r="NK1" s="182">
        <v>173</v>
      </c>
      <c r="NL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QM1" s="182">
        <v>173</v>
      </c>
      <c r="QN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TO1" s="182">
        <v>173</v>
      </c>
      <c r="TP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WQ1" s="182">
        <v>173</v>
      </c>
      <c r="WR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ZS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CU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FW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c r="AIY1" s="182">
        <v>173</v>
      </c>
    </row>
    <row r="2" spans="1:935">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EB2" s="182">
        <v>151.38</v>
      </c>
      <c r="EC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HE2" s="182">
        <v>151.38</v>
      </c>
      <c r="HF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KG2" s="182">
        <v>151.38</v>
      </c>
      <c r="KH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I2" s="182">
        <v>151.38</v>
      </c>
      <c r="NJ2" s="182">
        <v>151.38</v>
      </c>
      <c r="NK2" s="182">
        <v>151.38</v>
      </c>
      <c r="NL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QM2" s="182">
        <v>151.38</v>
      </c>
      <c r="QN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TO2" s="182">
        <v>151.38</v>
      </c>
      <c r="TP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WQ2" s="182">
        <v>151.38</v>
      </c>
      <c r="WR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ZS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CU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FW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c r="AIY2" s="182">
        <v>151.38</v>
      </c>
    </row>
    <row r="3" spans="1:935">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EB3" s="182">
        <v>138.4</v>
      </c>
      <c r="EC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HE3" s="182">
        <v>138.4</v>
      </c>
      <c r="HF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KG3" s="182">
        <v>138.4</v>
      </c>
      <c r="KH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I3" s="182">
        <v>138.4</v>
      </c>
      <c r="NJ3" s="182">
        <v>138.4</v>
      </c>
      <c r="NK3" s="182">
        <v>138.4</v>
      </c>
      <c r="NL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QM3" s="182">
        <v>138.4</v>
      </c>
      <c r="QN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TO3" s="182">
        <v>138.4</v>
      </c>
      <c r="TP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WQ3" s="182">
        <v>138.4</v>
      </c>
      <c r="WR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ZS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CU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FW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c r="AIY3" s="182">
        <v>138.4</v>
      </c>
    </row>
    <row r="4" spans="1:935">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EB4" s="182">
        <v>129.75</v>
      </c>
      <c r="EC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HE4" s="182">
        <v>129.75</v>
      </c>
      <c r="HF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KG4" s="182">
        <v>129.75</v>
      </c>
      <c r="KH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I4" s="182">
        <v>129.75</v>
      </c>
      <c r="NJ4" s="182">
        <v>129.75</v>
      </c>
      <c r="NK4" s="182">
        <v>129.75</v>
      </c>
      <c r="NL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QM4" s="182">
        <v>129.75</v>
      </c>
      <c r="QN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TO4" s="182">
        <v>129.75</v>
      </c>
      <c r="TP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WQ4" s="182">
        <v>129.75</v>
      </c>
      <c r="WR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ZS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CU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FW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c r="AIY4" s="182">
        <v>129.75</v>
      </c>
    </row>
    <row r="5" spans="1:935">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EB5" s="182">
        <v>108.13</v>
      </c>
      <c r="EC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HE5" s="182">
        <v>108.13</v>
      </c>
      <c r="HF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KG5" s="182">
        <v>108.13</v>
      </c>
      <c r="KH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I5" s="182">
        <v>108.13</v>
      </c>
      <c r="NJ5" s="182">
        <v>108.13</v>
      </c>
      <c r="NK5" s="182">
        <v>108.13</v>
      </c>
      <c r="NL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QM5" s="182">
        <v>108.13</v>
      </c>
      <c r="QN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TO5" s="182">
        <v>108.13</v>
      </c>
      <c r="TP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WQ5" s="182">
        <v>108.13</v>
      </c>
      <c r="WR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ZS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CU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FW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c r="AIY5" s="182">
        <v>108.13</v>
      </c>
    </row>
    <row r="6" spans="1:935">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EB6" s="182">
        <v>103.8</v>
      </c>
      <c r="EC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HE6" s="182">
        <v>103.8</v>
      </c>
      <c r="HF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KG6" s="182">
        <v>103.8</v>
      </c>
      <c r="KH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I6" s="182">
        <v>103.8</v>
      </c>
      <c r="NJ6" s="182">
        <v>103.8</v>
      </c>
      <c r="NK6" s="182">
        <v>103.8</v>
      </c>
      <c r="NL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QM6" s="182">
        <v>103.8</v>
      </c>
      <c r="QN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TO6" s="182">
        <v>103.8</v>
      </c>
      <c r="TP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WQ6" s="182">
        <v>103.8</v>
      </c>
      <c r="WR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ZS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CU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FW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c r="AIY6" s="182">
        <v>103.8</v>
      </c>
    </row>
    <row r="7" spans="1:935">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EB7" s="182">
        <v>86.5</v>
      </c>
      <c r="EC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HE7" s="182">
        <v>86.5</v>
      </c>
      <c r="HF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KG7" s="182">
        <v>86.5</v>
      </c>
      <c r="KH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I7" s="182">
        <v>86.5</v>
      </c>
      <c r="NJ7" s="182">
        <v>86.5</v>
      </c>
      <c r="NK7" s="182">
        <v>86.5</v>
      </c>
      <c r="NL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QM7" s="182">
        <v>86.5</v>
      </c>
      <c r="QN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TO7" s="182">
        <v>86.5</v>
      </c>
      <c r="TP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WQ7" s="182">
        <v>86.5</v>
      </c>
      <c r="WR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ZS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CU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FW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c r="AIY7" s="182">
        <v>86.5</v>
      </c>
    </row>
    <row r="8" spans="1:935">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EB8" s="182">
        <v>69.2</v>
      </c>
      <c r="EC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HE8" s="182">
        <v>69.2</v>
      </c>
      <c r="HF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KG8" s="182">
        <v>69.2</v>
      </c>
      <c r="KH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I8" s="182">
        <v>69.2</v>
      </c>
      <c r="NJ8" s="182">
        <v>69.2</v>
      </c>
      <c r="NK8" s="182">
        <v>69.2</v>
      </c>
      <c r="NL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QM8" s="182">
        <v>69.2</v>
      </c>
      <c r="QN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TO8" s="182">
        <v>69.2</v>
      </c>
      <c r="TP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WQ8" s="182">
        <v>69.2</v>
      </c>
      <c r="WR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ZS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CU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FW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c r="AIY8" s="182">
        <v>69.2</v>
      </c>
    </row>
    <row r="9" spans="1:935">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EB9" s="182">
        <v>51.9</v>
      </c>
      <c r="EC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HE9" s="182">
        <v>51.9</v>
      </c>
      <c r="HF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KG9" s="182">
        <v>51.9</v>
      </c>
      <c r="KH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I9" s="182">
        <v>51.9</v>
      </c>
      <c r="NJ9" s="182">
        <v>51.9</v>
      </c>
      <c r="NK9" s="182">
        <v>51.9</v>
      </c>
      <c r="NL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QM9" s="182">
        <v>51.9</v>
      </c>
      <c r="QN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TO9" s="182">
        <v>51.9</v>
      </c>
      <c r="TP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WQ9" s="182">
        <v>51.9</v>
      </c>
      <c r="WR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ZS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CU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FW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c r="AIY9" s="182">
        <v>51.9</v>
      </c>
    </row>
    <row r="10" spans="1:935">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EB10" s="182">
        <v>47.58</v>
      </c>
      <c r="EC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HE10" s="182">
        <v>47.58</v>
      </c>
      <c r="HF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KG10" s="182">
        <v>47.58</v>
      </c>
      <c r="KH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I10" s="182">
        <v>47.58</v>
      </c>
      <c r="NJ10" s="182">
        <v>47.58</v>
      </c>
      <c r="NK10" s="182">
        <v>47.58</v>
      </c>
      <c r="NL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QM10" s="182">
        <v>47.58</v>
      </c>
      <c r="QN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TO10" s="182">
        <v>47.58</v>
      </c>
      <c r="TP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WQ10" s="182">
        <v>47.58</v>
      </c>
      <c r="WR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ZS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CU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FW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c r="AIY10" s="182">
        <v>47.58</v>
      </c>
    </row>
    <row r="11" spans="1:935">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EB11" s="182">
        <v>43.25</v>
      </c>
      <c r="EC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HE11" s="182">
        <v>43.25</v>
      </c>
      <c r="HF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KG11" s="182">
        <v>43.25</v>
      </c>
      <c r="KH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I11" s="182">
        <v>43.25</v>
      </c>
      <c r="NJ11" s="182">
        <v>43.25</v>
      </c>
      <c r="NK11" s="182">
        <v>43.25</v>
      </c>
      <c r="NL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QM11" s="182">
        <v>43.25</v>
      </c>
      <c r="QN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TO11" s="182">
        <v>43.25</v>
      </c>
      <c r="TP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WQ11" s="182">
        <v>43.25</v>
      </c>
      <c r="WR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ZS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CU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FW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c r="AIY11" s="182">
        <v>43.25</v>
      </c>
    </row>
    <row r="12" spans="1:935">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EB12" s="182">
        <v>34.6</v>
      </c>
      <c r="EC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HE12" s="182">
        <v>34.6</v>
      </c>
      <c r="HF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KG12" s="182">
        <v>34.6</v>
      </c>
      <c r="KH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I12" s="182">
        <v>34.6</v>
      </c>
      <c r="NJ12" s="182">
        <v>34.6</v>
      </c>
      <c r="NK12" s="182">
        <v>34.6</v>
      </c>
      <c r="NL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QM12" s="182">
        <v>34.6</v>
      </c>
      <c r="QN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TO12" s="182">
        <v>34.6</v>
      </c>
      <c r="TP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WQ12" s="182">
        <v>34.6</v>
      </c>
      <c r="WR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ZS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CU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FW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c r="AIY12" s="182">
        <v>34.6</v>
      </c>
    </row>
    <row r="13" spans="1:935">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EB13" s="182">
        <v>32.01</v>
      </c>
      <c r="EC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HE13" s="182">
        <v>32.01</v>
      </c>
      <c r="HF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KG13" s="182">
        <v>32.01</v>
      </c>
      <c r="KH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I13" s="182">
        <v>32.01</v>
      </c>
      <c r="NJ13" s="182">
        <v>32.01</v>
      </c>
      <c r="NK13" s="182">
        <v>32.01</v>
      </c>
      <c r="NL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QM13" s="182">
        <v>32.01</v>
      </c>
      <c r="QN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TO13" s="182">
        <v>32.01</v>
      </c>
      <c r="TP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WQ13" s="182">
        <v>32.01</v>
      </c>
      <c r="WR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ZS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CU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FW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c r="AIY13" s="182">
        <v>32.01</v>
      </c>
    </row>
  </sheetData>
  <sheetProtection algorithmName="SHA-512" hashValue="E5dACmGWm9kf41at/wZxn9yWEOvOuFOH16JAJbG9F0nsMfgAiZve2sXuHQYr5wDzK4gz/Li4jj/5va0SkOjB0g==" saltValue="UArgd9FfneoydMEQM/uvIQ=="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669</vt:i4>
      </vt:variant>
    </vt:vector>
  </HeadingPairs>
  <TitlesOfParts>
    <vt:vector size="686"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KV_DD_APRIL_55</vt:lpstr>
      <vt:lpstr>KV_DD_APRIL_56</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KV_DD_AUGUST_57</vt:lpstr>
      <vt:lpstr>KV_DD_AUGUST_58</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KV_DD_DEZEMBER_57</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KV_DD_FEBRUAR_55</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KV_DD_JULI_57</vt:lpstr>
      <vt:lpstr>KV_DD_JULI_58</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KV_DD_JUNI_57</vt:lpstr>
      <vt:lpstr>KV_DD_JUNI_58</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KV_DD_MAI_55</vt:lpstr>
      <vt:lpstr>KV_DD_MAI_56</vt:lpstr>
      <vt:lpstr>KV_DD_MAI_57</vt:lpstr>
      <vt:lpstr>KV_DD_MAI_58</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KV_DD_MARZ_55</vt:lpstr>
      <vt:lpstr>KV_DD_MARZ_56</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KV_DD_NOVEMBER_57</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KV_DD_OKTOBER_57</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KV_DD_SEPTEMBER_57</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2026-05-20T08:27:40Z</dcterms:modified>
  <cp:category/>
  <cp:contentStatus/>
</cp:coreProperties>
</file>
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F7FA34E8-3440-D943-9D06-85E74A89495B}" xr6:coauthVersionLast="47" xr6:coauthVersionMax="47" xr10:uidLastSave="{00000000-0000-0000-0000-000000000000}"/>
  <bookViews>
    <workbookView xWindow="60" yWindow="80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9" i="37"/>
  <c r="L25" i="37"/>
  <c r="L41" i="37"/>
  <c r="K3" i="37"/>
  <c r="L3" i="37" s="1"/>
  <c r="K4" i="37"/>
  <c r="L4" i="37" s="1"/>
  <c r="K5" i="37"/>
  <c r="L5" i="37" s="1"/>
  <c r="K6" i="37"/>
  <c r="L6" i="37" s="1"/>
  <c r="K7" i="37"/>
  <c r="L7" i="37" s="1"/>
  <c r="K8" i="37"/>
  <c r="L8" i="37" s="1"/>
  <c r="K9" i="37"/>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L55" i="37" s="1"/>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L71" i="37" s="1"/>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9" i="28"/>
  <c r="L25" i="28"/>
  <c r="L41" i="28"/>
  <c r="L57" i="28"/>
  <c r="K3" i="28"/>
  <c r="L3" i="28" s="1"/>
  <c r="K4" i="28"/>
  <c r="L4" i="28" s="1"/>
  <c r="K5" i="28"/>
  <c r="L5" i="28" s="1"/>
  <c r="K6" i="28"/>
  <c r="L6" i="28" s="1"/>
  <c r="K7" i="28"/>
  <c r="L7" i="28" s="1"/>
  <c r="K8" i="28"/>
  <c r="L8" i="28" s="1"/>
  <c r="K9" i="28"/>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L76" i="28" s="1"/>
  <c r="K77" i="28"/>
  <c r="L77" i="28" s="1"/>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9" i="27"/>
  <c r="L11" i="27"/>
  <c r="L23" i="27"/>
  <c r="L25" i="27"/>
  <c r="L27" i="27"/>
  <c r="L35" i="27"/>
  <c r="L36" i="27"/>
  <c r="K3" i="27"/>
  <c r="L3" i="27" s="1"/>
  <c r="K4" i="27"/>
  <c r="L4" i="27" s="1"/>
  <c r="K5" i="27"/>
  <c r="L5" i="27" s="1"/>
  <c r="K6" i="27"/>
  <c r="L6" i="27" s="1"/>
  <c r="K7" i="27"/>
  <c r="L7" i="27" s="1"/>
  <c r="K8" i="27"/>
  <c r="L8" i="27" s="1"/>
  <c r="K9" i="27"/>
  <c r="K10" i="27"/>
  <c r="L10" i="27" s="1"/>
  <c r="K11" i="27"/>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K24" i="27"/>
  <c r="L24" i="27" s="1"/>
  <c r="K25" i="27"/>
  <c r="K26" i="27"/>
  <c r="L26" i="27" s="1"/>
  <c r="K27" i="27"/>
  <c r="K28" i="27"/>
  <c r="L28" i="27" s="1"/>
  <c r="K29" i="27"/>
  <c r="L29" i="27" s="1"/>
  <c r="K30" i="27"/>
  <c r="L30" i="27" s="1"/>
  <c r="K31" i="27"/>
  <c r="L31" i="27" s="1"/>
  <c r="K32" i="27"/>
  <c r="L32" i="27" s="1"/>
  <c r="K33" i="27"/>
  <c r="L33" i="27" s="1"/>
  <c r="K34" i="27"/>
  <c r="L34" i="27" s="1"/>
  <c r="K35" i="27"/>
  <c r="K36" i="27"/>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<sst xmlns="http://schemas.openxmlformats.org/spreadsheetml/2006/main" count="5791" uniqueCount="388">
  <si>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</si>
  <si>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</si>
  <si>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</si>
  <si>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</si>
  <si>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</si>
  <si>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</si>
  <si>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</si>
  <si>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</si>
  <si>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</si>
  <si>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</si>
  <si>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</si>
  <si>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</si>
  <si>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</si>
  <si>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</si>
  <si>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</si>
  <si>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</si>
  <si>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</si>
  <si>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</si>
  <si>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</si>
  <si>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</si>
  <si>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</si>
  <si>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</si>
  <si>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</si>
  <si>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</si>
  <si>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</si>
  <si>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</si>
  <si>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</si>
  <si>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</si>
  <si>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</si>
  <si>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</si>
  <si>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</si>
  <si>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</si>
  <si>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</si>
  <si>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</si>
  <si>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</si>
  <si>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</si>
  <si>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</si>
  <si>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</si>
  <si>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</si>
  <si>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</si>
  <si>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</si>
  <si>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</si>
  <si>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</si>
  <si>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</si>
  <si>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</si>
  <si>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</si>
  <si>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</si>
  <si>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</si>
  <si>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</si>
  <si>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</si>
  <si>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</si>
  <si>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</si>
  <si>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</si>
  <si>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</si>
  <si>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</si>
  <si>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</si>
  <si>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</si>
  <si>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</si>
  <si>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</si>
  <si>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</si>
  <si>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</si>
  <si>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</si>
  <si>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</si>
  <si>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</si>
  <si>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</si>
  <si>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</si>
  <si>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</si>
  <si>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</si>
  <si>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</si>
  <si>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</si>
  <si>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</si>
  <si>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</si>
  <si>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</si>
  <si>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</si>
  <si>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</si>
  <si>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</si>
  <si>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</si>
  <si>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</si>
  <si>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</si>
  <si>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</si>
  <si>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</si>
  <si>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</si>
  <si>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</si>
  <si>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</si>
  <si>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</si>
  <si>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</si>
  <si>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</si>
  <si>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</si>
  <si>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</si>
  <si>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</si>
  <si>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</si>
  <si>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</si>
  <si>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</si>
  <si>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</si>
  <si>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</si>
  <si>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</si>
  <si>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</si>
  <si>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</si>
  <si>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</si>
  <si>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</si>
  <si>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</si>
  <si>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</si>
  <si>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</si>
  <si>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</si>
  <si>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</si>
  <si>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</si>
  <si>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</si>
  <si>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</si>
  <si>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</si>
  <si>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</si>
  <si>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</si>
  <si>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</si>
  <si>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</si>
  <si>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</si>
  <si>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</si>
  <si>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</si>
  <si>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</si>
  <si>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</si>
  <si>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</si>
  <si>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</si>
  <si>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</si>
  <si>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</si>
  <si>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</si>
  <si>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</si>
  <si>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</si>
  <si>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</si>
  <si>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</si>
  <si>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</si>
  <si>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</si>
  <si>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</si>
  <si>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</si>
  <si>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</si>
  <si>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</si>
  <si>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</si>
  <si>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</si>
  <si>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</si>
  <si>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</si>
  <si>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</si>
  <si>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</si>
  <si>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</si>
  <si>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</si>
  <si>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</si>
  <si>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</si>
  <si>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</si>
  <si>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</si>
  <si>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</si>
  <si>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</si>
  <si>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</si>
  <si>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</si>
  <si>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</si>
  <si>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</si>
  <si>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</si>
  <si>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</si>
  <si>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</si>
  <si>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</si>
  <si>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</si>
  <si>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</si>
  <si>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</si>
  <si>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</si>
  <si>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</si>
  <si>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</si>
  <si>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</si>
  <si>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</si>
  <si>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</si>
  <si>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</si>
  <si>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</si>
  <si>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</si>
  <si>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</si>
  <si>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</si>
  <si>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</si>
  <si>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</si>
  <si>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</si>
  <si>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</si>
  <si>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</si>
  <si>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</si>
  <si>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</si>
  <si>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</si>
  <si>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</si>
  <si>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</si>
  <si>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</si>
  <si>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</si>
  <si>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</si>
  <si>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</si>
  <si>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</si>
  <si>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</si>
  <si>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</si>
  <si>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</si>
  <si>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</si>
  <si>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</si>
  <si>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</si>
  <si>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</si>
  <si>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</si>
  <si>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</si>
  <si>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</si>
  <si>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</si>
  <si>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</si>
  <si>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</si>
  <si>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</si>
  <si>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</si>
  <si>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</si>
  <si>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</si>
  <si>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</si>
  <si>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</si>
  <si>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</si>
  <si>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</si>
  <si>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</si>
  <si>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</si>
  <si>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</si>
  <si>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</si>
  <si>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</si>
  <si>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</si>
  <si>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</si>
  <si>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</si>
  <si>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</si>
  <si>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</si>
  <si>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</si>
  <si>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</si>
  <si>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</si>
  <si>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</si>
  <si>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</si>
  <si>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</si>
  <si>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</si>
  <si>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</si>
  <si>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</si>
  <si>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</si>
  <si>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</si>
  <si>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</si>
  <si>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</si>
  <si>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</si>
  <si>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</si>
  <si>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</si>
  <si>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</si>
  <si>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</si>
  <si>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</si>
  <si>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</si>
  <si>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</si>
  <si>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</si>
  <si>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</si>
  <si>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</si>
  <si>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</si>
  <si>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</si>
  <si>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</si>
  <si>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</si>
  <si>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</si>
  <si>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</si>
  <si>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</si>
  <si>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</si>
  <si>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</si>
  <si>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</si>
  <si>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</si>
  <si>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</si>
  <si>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</si>
  <si>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</si>
  <si>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</si>
  <si>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</si>
  <si>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</si>
  <si>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</si>
  <si>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</si>
  <si>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</si>
  <si>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</si>
  <si>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</si>
  <si>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</si>
  <si>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</si>
  <si>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</si>
  <si>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</si>
  <si>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</si>
  <si>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</si>
  <si>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</si>
  <si>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</si>
  <si>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</si>
  <si>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</si>
  <si>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</si>
  <si>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</si>
  <si>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</si>
  <si>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</si>
  <si>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</si>
  <si>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</si>
  <si>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</si>
  <si>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</si>
  <si>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</si>
  <si>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</si>
  <si>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</si>
  <si>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</si>
  <si>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</si>
  <si>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</si>
  <si>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</si>
  <si>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</si>
  <si>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</si>
  <si>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</si>
  <si>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</si>
  <si>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</si>
  <si>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</si>
  <si>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</si>
  <si>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</si>
  <si>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</si>
  <si>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</si>
  <si>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</si>
  <si>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</si>
  <si>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</si>
  <si>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</si>
  <si>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</si>
  <si>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</si>
  <si>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</si>
  <si>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</si>
  <si>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</si>
  <si>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</si>
  <si>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</si>
  <si>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</si>
  <si>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</si>
  <si>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</si>
  <si>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</si>
  <si>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</si>
  <si>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</si>
  <si>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</si>
  <si>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</si>
  <si>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</si>
  <si>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</si>
  <si>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</si>
  <si>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</si>
  <si>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</si>
  <si>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</si>
  <si>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</si>
  <si>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</si>
  <si>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</si>
  <si>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</si>
  <si>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</si>
  <si>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</si>
  <si>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</si>
  <si>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</si>
  <si>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</si>
  <si>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</si>
  <si>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</si>
  <si>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</si>
  <si>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</si>
  <si>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</si>
  <si>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</si>
  <si>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</si>
  <si>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</si>
  <si>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</si>
  <si>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</si>
  <si>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</si>
  <si>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</si>
  <si>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</si>
  <si>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</si>
  <si>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</si>
  <si>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</si>
  <si>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</si>
  <si>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</si>
  <si>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</si>
  <si>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</si>
  <si>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</si>
  <si>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</si>
  <si>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</si>
  <si>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</si>
  <si>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</si>
  <si>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</si>
  <si>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</si>
  <si>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</si>
  <si>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</si>
  <si>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</si>
  <si>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</si>
  <si>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</si>
  <si>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</si>
  <si>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</si>
  <si>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</si>
  <si>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</si>
  <si>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</si>
  <si>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</si>
  <si>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</si>
  <si>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</si>
  <si>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</si>
  <si>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</si>
  <si>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</si>
  <si>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</si>
  <si>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</si>
  <si>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</si>
  <si>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</si>
  <si>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</si>
  <si>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</si>
  <si>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</si>
  <si>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</si>
  <si>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</si>
  <si>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</si>
  <si>
    <t>Marika</t>
  </si>
  <si>
    <t>Janoska</t>
  </si>
  <si>
    <t>Ferike</t>
  </si>
  <si>
    <t>Janika</t>
  </si>
  <si>
    <t>GERGO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</si>
</sst>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95107.828800000003</v>
      </c>
      <c r="E22" s="58">
        <f>Januar!$S$37</f>
        <v>95107.828800000003</v>
      </c>
      <c r="F22" s="50">
        <v>1</v>
      </c>
      <c r="H22" s="59" t="s">
        <v>36</v>
      </c>
      <c r="I22" s="51">
        <v>1</v>
      </c>
      <c r="K22" s="59" t="s">
        <v>36</v>
      </c>
      <c r="L22" s="51">
        <v>1</v>
      </c>
      <c r="N22" s="327"/>
      <c r="O22" s="327"/>
      <c r="P22" s="327"/>
      <c r="Q22" s="327"/>
      <c r="R22" s="327"/>
      <c r="S22" s="327"/>
      <c r="T22" s="327"/>
      <c r="U22" s="327"/>
    </row>
    <row r="23" spans="2:21">
      <c r="B23" s="57" t="s">
        <v>37</v>
      </c>
      <c r="C23" s="3">
        <v>2</v>
      </c>
      <c r="D23" s="87">
        <f>UBERSICHT!G8</f>
        <v>106529</v>
      </c>
      <c r="E23" s="58">
        <f>Februar!$S$37</f>
        <v>53264.5</v>
      </c>
      <c r="F23" s="50">
        <v>2</v>
      </c>
      <c r="H23" s="59" t="s">
        <v>38</v>
      </c>
      <c r="I23" s="51">
        <v>2</v>
      </c>
      <c r="K23" s="59" t="s">
        <v>38</v>
      </c>
      <c r="L23" s="51">
        <v>2</v>
      </c>
      <c r="N23" s="327"/>
      <c r="O23" s="327"/>
      <c r="P23" s="327"/>
      <c r="Q23" s="327"/>
      <c r="R23" s="327"/>
      <c r="S23" s="327"/>
      <c r="T23" s="327"/>
      <c r="U23" s="327"/>
    </row>
    <row r="24" spans="2:21">
      <c r="B24" s="57" t="s">
        <v>39</v>
      </c>
      <c r="C24" s="3">
        <v>3</v>
      </c>
      <c r="D24" s="87">
        <f>UBERSICHT!G9</f>
        <v>108290.2258</v>
      </c>
      <c r="E24" s="58">
        <f>Marz!$S$37</f>
        <v>36096.741933333331</v>
      </c>
      <c r="F24" s="50">
        <v>3</v>
      </c>
      <c r="H24" s="59" t="s">
        <v>39</v>
      </c>
      <c r="I24" s="51">
        <v>3</v>
      </c>
      <c r="K24" s="59" t="s">
        <v>39</v>
      </c>
      <c r="L24" s="51">
        <v>3</v>
      </c>
      <c r="N24" s="327"/>
      <c r="O24" s="327"/>
      <c r="P24" s="327"/>
      <c r="Q24" s="327"/>
      <c r="R24" s="327"/>
      <c r="S24" s="327"/>
      <c r="T24" s="327"/>
      <c r="U24" s="327"/>
    </row>
    <row r="25" spans="2:21">
      <c r="B25" s="57" t="s">
        <v>40</v>
      </c>
      <c r="C25" s="3">
        <v>4</v>
      </c>
      <c r="D25" s="87">
        <f>UBERSICHT!G11</f>
        <v>108956.2</v>
      </c>
      <c r="E25" s="58">
        <f>April!$S$37</f>
        <v>27239.05</v>
      </c>
      <c r="F25" s="50">
        <v>4</v>
      </c>
      <c r="H25" s="59" t="s">
        <v>40</v>
      </c>
      <c r="I25" s="51">
        <v>4</v>
      </c>
      <c r="K25" s="59" t="s">
        <v>40</v>
      </c>
      <c r="L25" s="51">
        <v>4</v>
      </c>
      <c r="N25" s="327"/>
      <c r="O25" s="327"/>
      <c r="P25" s="327"/>
      <c r="Q25" s="327"/>
      <c r="R25" s="327"/>
      <c r="S25" s="327"/>
      <c r="T25" s="327"/>
      <c r="U25" s="327"/>
    </row>
    <row r="26" spans="2:21">
      <c r="B26" s="57" t="s">
        <v>41</v>
      </c>
      <c r="C26" s="3">
        <v>5</v>
      </c>
      <c r="D26" s="87">
        <f>UBERSICHT!G12</f>
        <v>148613.13709999999</v>
      </c>
      <c r="E26" s="58">
        <f>Mai!$S$37</f>
        <v>29722.627419999997</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149065.75</v>
      </c>
      <c r="E27" s="58">
        <f>Juni!$S$37</f>
        <v>24844.291666666668</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149066.75</v>
      </c>
      <c r="E28" s="58">
        <f>Juli!$S$37</f>
        <v>21295.25</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148546.2016</v>
      </c>
      <c r="E29" s="58">
        <f>August!$S$37</f>
        <v>18568.2752</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152026.75</v>
      </c>
      <c r="E30" s="58">
        <f>September!$S$37</f>
        <v>16891.861111111109</v>
      </c>
      <c r="F30" s="50">
        <v>9</v>
      </c>
      <c r="H30" s="59" t="s">
        <v>45</v>
      </c>
      <c r="I30" s="51">
        <v>9</v>
      </c>
      <c r="K30" s="59" t="s">
        <v>45</v>
      </c>
      <c r="L30" s="51">
        <v>9</v>
      </c>
      <c r="N30" s="327"/>
      <c r="O30" s="327"/>
      <c r="P30" s="327"/>
      <c r="Q30" s="327"/>
      <c r="R30" s="327"/>
      <c r="S30" s="327"/>
      <c r="T30" s="327"/>
      <c r="U30" s="327"/>
    </row>
    <row r="31" spans="2:21">
      <c r="B31" s="57" t="s">
        <v>46</v>
      </c>
      <c r="C31" s="3">
        <v>10</v>
      </c>
      <c r="D31" s="87">
        <f>UBERSICHT!G19</f>
        <v>148059.25</v>
      </c>
      <c r="E31" s="58">
        <f>Oktober!$S$37</f>
        <v>14805.924999999999</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148060.25</v>
      </c>
      <c r="E32" s="58">
        <f>November!$S$37</f>
        <v>13460.022727272728</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154014</v>
      </c>
      <c r="E33" s="58">
        <f>Dezember!$S$37</f>
        <v>12834.5</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95107.828800000003</v>
      </c>
      <c r="T36" s="223"/>
      <c r="U36" s="224">
        <f t="shared" ref="U36:U41" si="2">S36-Q36</f>
        <v>95106.828800000003</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95107.828800000003</v>
      </c>
      <c r="T37" s="234"/>
      <c r="U37" s="237">
        <f t="shared" si="2"/>
        <v>95106.828800000003</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27" activePane="bottomLeft" state="frozen"/>
      <selection activeCell="T24" sqref="T24"/>
      <selection pane="bottomLeft" activeCell="F59" sqref="F59"/>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834.73910227502608</v>
      </c>
      <c r="P5" s="49">
        <f>EINSTELLUNG!I7</f>
        <v>2</v>
      </c>
      <c r="Q5" s="48">
        <f>P5-O5</f>
        <v>-832.73910227502608</v>
      </c>
      <c r="R5" s="52">
        <f>IFERROR(Q5*Q42, 0)</f>
        <v>-9774.0465707140556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8650</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2.3121387283236994E-4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8644</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8642</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101527</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106529</v>
      </c>
      <c r="T36" s="223"/>
      <c r="U36" s="224">
        <f t="shared" ref="U36:U41" si="2">S36-Q36</f>
        <v>106527</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53264.5</v>
      </c>
      <c r="T37" s="236"/>
      <c r="U37" s="237">
        <f t="shared" si="2"/>
        <v>53263.5</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2.3137436372049977E-4</v>
      </c>
      <c r="R40" s="223"/>
      <c r="S40" s="223">
        <f>IF(Q12=0, 0, S35/Q12)</f>
        <v>2.3137436372049977E-4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2.3137436372049977E-4</v>
      </c>
      <c r="R41" s="225"/>
      <c r="S41" s="225">
        <f>IF(Q12=0, 0, S38/Q12)</f>
        <v>2.3137436372049977E-4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11.737225433526012</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383</v>
      </c>
      <c r="D56" s="203">
        <v>42401</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384</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385</v>
      </c>
      <c r="D58" s="203">
        <v>46054</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386</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387</v>
      </c>
      <c r="D60" s="203">
        <v>46054</v>
      </c>
      <c r="E60" s="134" t="s">
        <v>4</v>
      </c>
      <c r="F60" s="136">
        <v>173</v>
      </c>
      <c r="G60" s="192"/>
      <c r="H60" s="158">
        <f>IF(AND(ISNUMBER(D60), ISNUMBER(F60)),
    ROUNDDOWN(
        MIN(
            IF(OR(ISBLANK(I60), I60=""),
                EOMONTH(DATE(LOHNTABELLE!$G$3, $A$1, 1), 0), I60)
            - MAX(D60, DATE(LOHNTABELLE!$G$3, $A$1, 1)) + 1)
        / DAY(EOMONTH(DATE(LOHNTABELLE!$G$3, $A$1, 1), 0)) * F60,
        2
    ),
    ""
)</f>
        <v>173</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4DRs/hWS14q7ib1Nw89Ud6fuPii0FUkbcwQ9juo0gc1+XrVchWz7byMJy6JodmL1U60NtS4/AQo60o42NJmtEQ==" saltValue="ir9Af+NN21RLeCMd47RE+w=="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834.73910227502608</v>
      </c>
      <c r="P5" s="49">
        <f>EINSTELLUNG!I8</f>
        <v>3</v>
      </c>
      <c r="Q5" s="48">
        <f>P5-O5</f>
        <v>-831.73910227502608</v>
      </c>
      <c r="R5" s="52">
        <f>IFERROR(Q5*Q42, 0)</f>
        <v>-9983.0947571843044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8605.35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3.4862033502414195E-4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9041.35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9038.35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103287.22580645161</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108290.2258</v>
      </c>
      <c r="T36" s="223"/>
      <c r="U36" s="224">
        <f t="shared" ref="U36:U41" si="0">S36-Q36</f>
        <v>108287.2258</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36096.741933333331</v>
      </c>
      <c r="T37" s="234"/>
      <c r="U37" s="237">
        <f t="shared" si="0"/>
        <v>36095.741933333331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3.3180885597836605E-4</v>
      </c>
      <c r="R40" s="223"/>
      <c r="S40" s="223">
        <f>IF(Q13=0, 0, S35/Q13)</f>
        <v>3.3180885597836605E-4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3.3180885597836605E-4</v>
      </c>
      <c r="R41" s="225"/>
      <c r="S41" s="225">
        <f>IF(Q13=0, 0, S38/Q13)</f>
        <v>3.3180885597836605E-4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12.002675754786452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QHEpRQ6rdhinHCm+LnzGCMAuo0n1r5plflzb3hEeN1ywl4UYJTK4nMWra3ENnNZsX7aag8BW3Q3TzggoicehwA==" saltValue="VJXz0TYxLmVvpOOKeYBlgw=="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843.08649329777643</v>
      </c>
      <c r="P5" s="49">
        <f>EINSTELLUNG!I9</f>
        <v>4</v>
      </c>
      <c r="Q5" s="48">
        <f>P5-O5</f>
        <v>-839.08649329777643</v>
      </c>
      <c r="R5" s="52">
        <f>IFERROR(Q5*Q42, 0)</f>
        <v>-10043.627451879087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8684.6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4.6058540404854566E-4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8927.6</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8923.6</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103952.2</v>
      </c>
      <c r="R17" s="273"/>
      <c r="W17" s="45"/>
    </row>
    <row r="18" spans="1:29" ht="16" customHeight="1">
      <c r="A18" s="130" t="s">
        <v>88</v>
      </c>
      <c r="B18" s="170">
        <v>401432</v>
      </c>
      <c r="C18" s="139"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108956.2</v>
      </c>
      <c r="T36" s="223"/>
      <c r="U36" s="224">
        <f t="shared" ref="U36:U41" si="0">S36-Q36</f>
        <v>108952.2</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27239.05</v>
      </c>
      <c r="T37" s="234"/>
      <c r="U37" s="237">
        <f t="shared" si="0"/>
        <v>27238.05</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4.4804874770375014E-4</v>
      </c>
      <c r="R40" s="223"/>
      <c r="S40" s="223">
        <f>IF(Q13=0, 0, S35/Q13)</f>
        <v>4.4804874770375014E-4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4.4804874770375014E-4</v>
      </c>
      <c r="R41" s="225"/>
      <c r="S41" s="225">
        <f>IF(Q13=0, 0, S38/Q13)</f>
        <v>4.4804874770375014E-4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11.969716509683808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386</v>
      </c>
      <c r="D57" s="203">
        <v>46054</v>
      </c>
      <c r="E57" s="134" t="s">
        <v>4</v>
      </c>
      <c r="F57" s="136">
        <v>173</v>
      </c>
      <c r="G57" s="192">
        <v>2021</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383</v>
      </c>
      <c r="D58" s="203">
        <v>42401</v>
      </c>
      <c r="E58" s="134" t="s">
        <v>4</v>
      </c>
      <c r="F58" s="136">
        <v>173</v>
      </c>
      <c r="G58" s="192">
        <v>2021</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384</v>
      </c>
      <c r="D59" s="203">
        <v>46054</v>
      </c>
      <c r="E59" s="134" t="s">
        <v>4</v>
      </c>
      <c r="F59" s="136">
        <v>173</v>
      </c>
      <c r="G59" s="192">
        <v>2021</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505000</v>
      </c>
      <c r="C60" s="137" t="s">
        <v>385</v>
      </c>
      <c r="D60" s="203">
        <v>46054</v>
      </c>
      <c r="E60" s="134" t="s">
        <v>4</v>
      </c>
      <c r="F60" s="136">
        <v>173</v>
      </c>
      <c r="G60" s="192">
        <v>2021</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xiLkOuYoBKxhkxGUPWLxNjUra0af+U+CrtrZUAuzBPKaKnwqcfmTzqM8jZUct90nUZJgui39M0axr2C/oL+3ww==" saltValue="qPL/+PR8v0i3YnXAazGZ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EINSTELLUNG!I10</f>
        <v>5</v>
      </c>
      <c r="Q5" s="48">
        <f>P5-O5</f>
        <v>-858.95497085465206</v>
      </c>
      <c r="R5" s="52">
        <f>IFERROR(Q5*Q42, 0)</f>
        <v>-13812.667625313316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8930.42</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5.5988408159974559E-4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8915.42</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8910.42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143608.13709677418</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148613.13709999999</v>
      </c>
      <c r="T36" s="223"/>
      <c r="U36" s="224">
        <f t="shared" ref="U36:U41" si="0">S36-Q36</f>
        <v>148608.13709999999</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29722.627419999997</v>
      </c>
      <c r="T37" s="234"/>
      <c r="U37" s="237">
        <f t="shared" si="0"/>
        <v>29721.627419999997</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5.6082607437451073E-4</v>
      </c>
      <c r="R40" s="223"/>
      <c r="S40" s="223">
        <f>IF(Q12=0, 0, S35/Q12)</f>
        <v>5.6082607437451073E-4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5.6082607437451073E-4</v>
      </c>
      <c r="R41" s="225"/>
      <c r="S41" s="225">
        <f>IF(Q12=0, 0, S38/Q12)</f>
        <v>5.6082607437451073E-4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16.080781989735552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150.66999999999999</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5FDV9+nfba+IjDL9/1IA9g88O9lUISWqsbbBrisaiQt59UkGZZyKz6Pk/+Clfa6QDdlEKsRHdmq0w2ShO+P41Q==" saltValue="d4W1iZ4fVrMREHdHjDifq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2">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EINSTELLUNG!I11</f>
        <v>6</v>
      </c>
      <c r="Q5" s="48">
        <f>P5-O5</f>
        <v>-857.95497085465206</v>
      </c>
      <c r="R5" s="52">
        <f>IFERROR(Q5*Q42, 0)</f>
        <v>-13805.454035081786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6.701851386445506E-4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8492.75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8486.75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149065.75</v>
      </c>
      <c r="T36" s="223"/>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24844.291666666668</v>
      </c>
      <c r="T37" s="234"/>
      <c r="U37" s="237">
        <f t="shared" si="0"/>
        <v>24843.291666666668</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B3QWcS7xy6tv+YI6/39PeRBCmZ8Le9CYpKq4V5sF4cJGluwMDDBhrnUAKsglXpjdfLfDucJXhnryLFEjIBvlA==" saltValue="bFumf4o0B912eLqppywv3g=="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4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EINSTELLUNG!I12</f>
        <v>7</v>
      </c>
      <c r="Q5" s="48">
        <f>P5-O5</f>
        <v>-856.95497085465206</v>
      </c>
      <c r="R5" s="52">
        <f>IFERROR(Q5*Q42, 0)</f>
        <v>-13789.36291782731</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7.8188266175197561E-4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8892.75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8885.75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144059.75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149066.75</v>
      </c>
      <c r="T36" s="229"/>
      <c r="U36" s="224">
        <f t="shared" ref="U36:U41" si="0">S36-Q36</f>
        <v>149059.75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21295.25</v>
      </c>
      <c r="T37" s="234"/>
      <c r="U37" s="237">
        <f t="shared" si="0"/>
        <v>21294.25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7.8715807820977767E-4</v>
      </c>
      <c r="R40" s="223"/>
      <c r="S40" s="223">
        <f>IF(Q13=0, 0, S35/Q13)</f>
        <v>7.8715807820977767E-4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7.8715807820977767E-4</v>
      </c>
      <c r="R41" s="225"/>
      <c r="S41" s="225">
        <f>IF(Q13=0, 0, S38/Q13)</f>
        <v>7.8715807820977767E-4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16.091117254474881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v786UNNNOxW1Wj2c3SXhDgHldD/MIRwIeyAW1cg334hFsXVJkqJHrT+VdhhEhA37bh5hjcsqh5W2OGQlFIz3Tw==" saltValue="HM94JoBvuWmm7tdXjWYJP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863.95497085465206</v>
      </c>
      <c r="P5" s="49">
        <f>EINSTELLUNG!I13</f>
        <v>8</v>
      </c>
      <c r="Q5" s="48">
        <f>P5-O5</f>
        <v>-855.95497085465206</v>
      </c>
      <c r="R5" s="52">
        <f>IFERROR(Q5*Q42, 0)</f>
        <v>-13792.193304756538</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8908.1</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8.980590698353184E-4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8884.1</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8876.1</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143538.20161290321</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148546.2016</v>
      </c>
      <c r="T36" s="229"/>
      <c r="U36" s="224">
        <f t="shared" ref="U36:U41" si="0">S36-Q36</f>
        <v>148538.2016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18568.2752</v>
      </c>
      <c r="T37" s="236"/>
      <c r="U37" s="237">
        <f t="shared" si="0"/>
        <v>18567.2752</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9.0048513636721778E-4</v>
      </c>
      <c r="R40" s="223"/>
      <c r="S40" s="223">
        <f>IF(Q12=0, 0, S35/Q12)</f>
        <v>9.0048513636721778E-4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9.0048513636721778E-4</v>
      </c>
      <c r="R41" s="225"/>
      <c r="S41" s="225">
        <f>IF(Q12=0, 0, S38/Q12)</f>
        <v>9.0048513636721778E-4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16.11322297828978</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9"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386</v>
      </c>
      <c r="D58" s="203">
        <v>46054</v>
      </c>
      <c r="E58" s="134" t="s">
        <v>4</v>
      </c>
      <c r="F58" s="136">
        <v>129.75</v>
      </c>
      <c r="G58" s="192">
        <v>1515.75</v>
      </c>
      <c r="H58" s="158">
        <f>IF(AND(ISNUMBER(D58), ISNUMBER(F58)),
    ROUNDDOWN(
        MIN(
            IF(OR(ISBLANK(I58), I58=""),
                EOMONTH(DATE(LOHNTABELLE!$G$3, $A$1, 1), 0), I58)
            - MAX(D58, DATE(LOHNTABELLE!$G$3, $A$1, 1)) + 1)
        / DAY(EOMONTH(DATE(LOHNTABELLE!$G$3, $A$1, 1), 0)) * F58,
        2
    ),
    ""
)</f>
        <v>129.75</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380</v>
      </c>
      <c r="D59" s="203">
        <v>46147</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383</v>
      </c>
      <c r="D60" s="203">
        <v>42401</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384</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v>505000</v>
      </c>
      <c r="C62" s="137" t="s">
        <v>385</v>
      </c>
      <c r="D62" s="203">
        <v>46054</v>
      </c>
      <c r="E62" s="134" t="s">
        <v>4</v>
      </c>
      <c r="F62" s="136">
        <v>129.75</v>
      </c>
      <c r="G62" s="192">
        <v>1515.75</v>
      </c>
      <c r="H62" s="158">
        <f>IF(AND(ISNUMBER(D62), ISNUMBER(F62)),
    ROUNDDOWN(
        MIN(
            IF(OR(ISBLANK(I62), I62=""),
                EOMONTH(DATE(LOHNTABELLE!$G$3, $A$1, 1), 0), I62)
            - MAX(D62, DATE(LOHNTABELLE!$G$3, $A$1, 1)) + 1)
        / DAY(EOMONTH(DATE(LOHNTABELLE!$G$3, $A$1, 1), 0)) * F62,
        2
    ),
    ""
)</f>
        <v>129.75</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1515.75</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QsbUv8kQvF2UcomohtRuKHrgSDCmz4IYfmW4VQhfbgPdpcmba1v1pWxNiuaBe+JfeHR9JxR0Zect3JM/8KFiA==" saltValue="SE3sZ3rc7Mr6pz3O+if6T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863.95497085465217</v>
      </c>
      <c r="P5" s="49">
        <f>EINSTELLUNG!I14</f>
        <v>9</v>
      </c>
      <c r="Q5" s="48">
        <f>P5-O5</f>
        <v>-854.95497085465217</v>
      </c>
      <c r="R5" s="52">
        <f>IFERROR(Q5*Q42, 0)</f>
        <v>-14039.65889434716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8952.75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1.0052777079668257E-3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68"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8758.75</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8749.75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147017.75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152026.75</v>
      </c>
      <c r="T36" s="229"/>
      <c r="U36" s="224">
        <f t="shared" ref="U36:U41" si="0">S36-Q36</f>
        <v>152017.75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16891.861111111109</v>
      </c>
      <c r="T37" s="234"/>
      <c r="U37" s="237">
        <f t="shared" si="0"/>
        <v>16890.861111111109</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1.0275438846867417E-3</v>
      </c>
      <c r="R40" s="223"/>
      <c r="S40" s="223">
        <f>IF(Q13=0, 0, S35/Q13)</f>
        <v>1.0275438846867417E-3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1.0275438846867417E-3</v>
      </c>
      <c r="R41" s="225"/>
      <c r="S41" s="225">
        <f>IF(Q13=0, 0, S38/Q13)</f>
        <v>1.0275438846867417E-3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16.421518527826645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0"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DgM/vz+Am9qBmbSMFW9OZ3ErSeSafJMOanHsUwiWKfLMgdLAERzCdBwa9UgJjmEPODkQRdKQ2kEmfQXFvWGXtw==" saltValue="4MbdiTp5367TRYF8KwhYt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EINSTELLUNG!I15</f>
        <v>10</v>
      </c>
      <c r="Q5" s="48">
        <f>P5-O5</f>
        <v>-845.60757983190183</v>
      </c>
      <c r="R5" s="52">
        <f>IFERROR(Q5*Q42, 0)</f>
        <v>-13643.144518738889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1.1278725504018047E-3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8957.25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8947.25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148059.25</v>
      </c>
      <c r="T36" s="229"/>
      <c r="U36" s="224">
        <f t="shared" ref="U36:U41" si="0">S36-Q36</f>
        <v>148049.25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14805.924999999999</v>
      </c>
      <c r="T37" s="234"/>
      <c r="U37" s="237">
        <f t="shared" si="0"/>
        <v>14804.924999999999</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1.1164140779815234E-3</v>
      </c>
      <c r="R40" s="223"/>
      <c r="S40" s="223">
        <f>IF(Q13=0, 0, S35/Q13)</f>
        <v>1.1164140779815234E-3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1.1164140779815234E-3</v>
      </c>
      <c r="R41" s="225"/>
      <c r="S41" s="225">
        <f>IF(Q13=0, 0, S38/Q13)</f>
        <v>1.1164140779815234E-3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1"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4cRuvH/HVkaGGf43A7ddDQbNHKNJgsPXjWmwsXa9lhumNcOT76aeIGz7beiJWz1XsH0cNZpwUbtkpnVei5VSw==" saltValue="xv5VzAY+NMPPg97asAuKH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855.60757983190183</v>
      </c>
      <c r="P5" s="49">
        <f>EINSTELLUNG!I16</f>
        <v>11</v>
      </c>
      <c r="Q5" s="48">
        <f>P5-O5</f>
        <v>-844.60757983190183</v>
      </c>
      <c r="R5" s="52">
        <f>IFERROR(Q5*Q42, 0)</f>
        <v>-13627.010386495833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8866.25</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1.2406598054419851E-3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8833.25</v>
      </c>
      <c r="R12" s="26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8822.25</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143049.25</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9"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148060.25</v>
      </c>
      <c r="T36" s="229"/>
      <c r="U36" s="224">
        <f t="shared" ref="U36:U41" si="0">S36-Q36</f>
        <v>148049.25</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13460.022727272728</v>
      </c>
      <c r="T37" s="234"/>
      <c r="U37" s="237">
        <f t="shared" si="0"/>
        <v>13459.022727272728</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1.2452947669317634E-3</v>
      </c>
      <c r="R40" s="223"/>
      <c r="S40" s="223">
        <f>IF(Q12=0, 0, S35/Q12)</f>
        <v>1.2452947669317634E-3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1.2452947669317634E-3</v>
      </c>
      <c r="R41" s="225"/>
      <c r="S41" s="225">
        <f>IF(Q12=0, 0, S38/Q12)</f>
        <v>1.2452947669317634E-3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16.134132243056534</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386</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129.75</v>
      </c>
      <c r="G60" s="192">
        <v>1515.75</v>
      </c>
      <c r="H60" s="158">
        <f>IF(AND(ISNUMBER(D60), ISNUMBER(F60)),
    ROUNDDOWN(
        MIN(
            IF(OR(ISBLANK(I60), I60=""),
                EOMONTH(DATE(LOHNTABELLE!$G$3, $A$1, 1), 0), I60)
            - MAX(D60, DATE(LOHNTABELLE!$G$3, $A$1, 1)) + 1)
        / DAY(EOMONTH(DATE(LOHNTABELLE!$G$3, $A$1, 1), 0)) * F60,
        2
    ),
    ""
)</f>
        <v>129.75</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1515.75</v>
      </c>
      <c r="M60" s="164"/>
      <c r="N60" s="147"/>
    </row>
    <row r="61" spans="1:14" ht="16" customHeight="1">
      <c r="A61" s="130" t="s">
        <v>147</v>
      </c>
      <c r="B61" s="170">
        <v>505000</v>
      </c>
      <c r="C61" s="137" t="s">
        <v>385</v>
      </c>
      <c r="D61" s="203">
        <v>46054</v>
      </c>
      <c r="E61" s="134" t="s">
        <v>4</v>
      </c>
      <c r="F61" s="136">
        <v>129.75</v>
      </c>
      <c r="G61" s="192">
        <v>1515.75</v>
      </c>
      <c r="H61" s="158">
        <f>IF(AND(ISNUMBER(D61), ISNUMBER(F61)),
    ROUNDDOWN(
        MIN(
            IF(OR(ISBLANK(I61), I61=""),
                EOMONTH(DATE(LOHNTABELLE!$G$3, $A$1, 1), 0), I61)
            - MAX(D61, DATE(LOHNTABELLE!$G$3, $A$1, 1)) + 1)
        / DAY(EOMONTH(DATE(LOHNTABELLE!$G$3, $A$1, 1), 0)) * F61,
        2
    ),
    ""
)</f>
        <v>129.75</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1515.75</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E19B7DgBgp8NLLJAQ3mb5LX6qXS0A1xGu2gYv4gCWfYkhlJ/OV8L/j+WTSxzfY0x6fwulsgokF6ob6j4d/QNWg==" saltValue="fD70s68ID0FguCROY5V5o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868.12866636602735</v>
      </c>
      <c r="P5" s="49">
        <f>EINSTELLUNG!I17</f>
        <v>12</v>
      </c>
      <c r="Q5" s="48">
        <f>P5-O5</f>
        <v>-856.12866636602735</v>
      </c>
      <c r="R5" s="52">
        <f>IFERROR(Q5*Q42, 0)</f>
        <v>-14180.178250986082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9"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8996</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1.3339261894175188E-3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9263</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9251</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149002</v>
      </c>
      <c r="R17" s="273"/>
      <c r="W17" s="45"/>
    </row>
    <row r="18" spans="1:29" ht="16" customHeight="1">
      <c r="A18" s="130" t="s">
        <v>88</v>
      </c>
      <c r="B18" s="170">
        <v>401432</v>
      </c>
      <c r="C18" s="139"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154014</v>
      </c>
      <c r="T36" s="229"/>
      <c r="U36" s="224">
        <f t="shared" ref="U36:U41" si="0">S36-Q36</f>
        <v>154002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12834.5</v>
      </c>
      <c r="T37" s="234"/>
      <c r="U37" s="237">
        <f t="shared" si="0"/>
        <v>12833.5</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1.2954766274425131E-3</v>
      </c>
      <c r="R40" s="223"/>
      <c r="S40" s="223">
        <f>IF(Q13=0, 0, S35/Q13)</f>
        <v>1.2954766274425131E-3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1.2954766274425131E-3</v>
      </c>
      <c r="R41" s="225"/>
      <c r="S41" s="225">
        <f>IF(Q13=0, 0, S38/Q13)</f>
        <v>1.2954766274425131E-3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16.563139172965762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386</v>
      </c>
      <c r="D57" s="203">
        <v>46054</v>
      </c>
      <c r="E57" s="134" t="s">
        <v>4</v>
      </c>
      <c r="F57" s="136">
        <v>173</v>
      </c>
      <c r="G57" s="192">
        <v>3500</v>
      </c>
      <c r="H57" s="158">
        <f>IF(AND(ISNUMBER(D57), ISNUMBER(F57)),
    ROUNDDOWN(
        MIN(
            IF(OR(ISBLANK(I57), I57=""),
                EOMONTH(DATE(LOHNTABELLE!$G$3, $A$1, 1), 0), I57)
            - MAX(D57, DATE(LOHNTABELLE!$G$3, $A$1, 1)) + 1)
        / DAY(EOMONTH(DATE(LOHNTABELLE!$G$3, $A$1, 1), 0)) * F57,
        2
    ),
    ""
)</f>
        <v>173</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383</v>
      </c>
      <c r="D59" s="203">
        <v>42401</v>
      </c>
      <c r="E59" s="134" t="s">
        <v>4</v>
      </c>
      <c r="F59" s="136">
        <v>173</v>
      </c>
      <c r="G59" s="192">
        <v>3500</v>
      </c>
      <c r="H59" s="158">
        <f>IF(AND(ISNUMBER(D59), ISNUMBER(F59)),
    ROUNDDOWN(
        MIN(
            IF(OR(ISBLANK(I59), I59=""),
                EOMONTH(DATE(LOHNTABELLE!$G$3, $A$1, 1), 0), I59)
            - MAX(D59, DATE(LOHNTABELLE!$G$3, $A$1, 1)) + 1)
        / DAY(EOMONTH(DATE(LOHNTABELLE!$G$3, $A$1, 1), 0)) * F59,
        2
    ),
    ""
)</f>
        <v>173</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384</v>
      </c>
      <c r="D60" s="203">
        <v>46054</v>
      </c>
      <c r="E60" s="134" t="s">
        <v>4</v>
      </c>
      <c r="F60" s="136">
        <v>173</v>
      </c>
      <c r="G60" s="192">
        <v>3500</v>
      </c>
      <c r="H60" s="158">
        <f>IF(AND(ISNUMBER(D60), ISNUMBER(F60)),
    ROUNDDOWN(
        MIN(
            IF(OR(ISBLANK(I60), I60=""),
                EOMONTH(DATE(LOHNTABELLE!$G$3, $A$1, 1), 0), I60)
            - MAX(D60, DATE(LOHNTABELLE!$G$3, $A$1, 1)) + 1)
        / DAY(EOMONTH(DATE(LOHNTABELLE!$G$3, $A$1, 1), 0)) * F60,
        2
    ),
    ""
)</f>
        <v>173</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505000</v>
      </c>
      <c r="C61" s="137" t="s">
        <v>385</v>
      </c>
      <c r="D61" s="203">
        <v>46054</v>
      </c>
      <c r="E61" s="134" t="s">
        <v>4</v>
      </c>
      <c r="F61" s="136">
        <v>173</v>
      </c>
      <c r="G61" s="192">
        <v>3500</v>
      </c>
      <c r="H61" s="158">
        <f>IF(AND(ISNUMBER(D61), ISNUMBER(F61)),
    ROUNDDOWN(
        MIN(
            IF(OR(ISBLANK(I61), I61=""),
                EOMONTH(DATE(LOHNTABELLE!$G$3, $A$1, 1), 0), I61)
            - MAX(D61, DATE(LOHNTABELLE!$G$3, $A$1, 1)) + 1)
        / DAY(EOMONTH(DATE(LOHNTABELLE!$G$3, $A$1, 1), 0)) * F61,
        2
    ),
    ""
)</f>
        <v>173</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3500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0L49a8GYfZRQcejc7ANMFlhLcapYGF0QItfKA7NVYIA+g58xcoTWV6TFQYXLlA+xJfB+1pbaUycYLgrZHCYi2Q==" saltValue="JrxFQk7QTeaq5HbLAHE/W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106529</v>
      </c>
      <c r="H8" s="83">
        <f>G8-F8</f>
        <v>106527</v>
      </c>
      <c r="I8" s="66">
        <f>EINSTELLUNG!E7</f>
        <v>1</v>
      </c>
      <c r="J8" s="66">
        <f>EINSTELLUNG!E23</f>
        <v>53264.5</v>
      </c>
      <c r="K8" s="67">
        <f t="shared" ref="K8:K22" si="0">J8-I8</f>
        <v>53263.5</v>
      </c>
      <c r="L8" s="65">
        <f>Februar!S40</f>
        <v>2.3137436372049977E-4</v>
      </c>
      <c r="M8" s="62">
        <f>Februar!S41</f>
        <v>2.3137436372049977E-4</v>
      </c>
      <c r="N8" s="62">
        <f>Februar!O5</f>
        <v>834.73910227502608</v>
      </c>
      <c r="O8" s="62">
        <f>Februar!P5</f>
        <v>2</v>
      </c>
      <c r="P8" s="85">
        <f t="shared" ref="P8:P23" si="1">O8-N8</f>
        <v>-832.73910227502608</v>
      </c>
      <c r="Q8" s="66">
        <f>Februar!Q31</f>
        <v>0</v>
      </c>
    </row>
    <row r="9" spans="2:18" ht="30" customHeight="1">
      <c r="B9" s="63" t="s">
        <v>188</v>
      </c>
      <c r="C9" s="65">
        <f>EINSTELLUNG!C8</f>
        <v>3</v>
      </c>
      <c r="D9" s="65">
        <f>EINSTELLUNG!C24</f>
        <v>3</v>
      </c>
      <c r="E9" s="83">
        <f>D9-C9</f>
        <v>0</v>
      </c>
      <c r="F9" s="65">
        <f>EINSTELLUNG!D8</f>
        <v>3</v>
      </c>
      <c r="G9" s="65">
        <f>Marz!$S$36</f>
        <v>108290.2258</v>
      </c>
      <c r="H9" s="83">
        <f>G9-F9</f>
        <v>108287.2258</v>
      </c>
      <c r="I9" s="66">
        <f>EINSTELLUNG!E8</f>
        <v>1</v>
      </c>
      <c r="J9" s="66">
        <f>EINSTELLUNG!E24</f>
        <v>36096.741933333331</v>
      </c>
      <c r="K9" s="67">
        <f>J9-I9</f>
        <v>36095.741933333331</v>
      </c>
      <c r="L9" s="65">
        <f>Marz!S40</f>
        <v>3.3180885597836605E-4</v>
      </c>
      <c r="M9" s="62">
        <f>Marz!S41</f>
        <v>3.3180885597836605E-4</v>
      </c>
      <c r="N9" s="62">
        <f>Marz!O5</f>
        <v>834.73910227502608</v>
      </c>
      <c r="O9" s="62">
        <f>Marz!P5</f>
        <v>3</v>
      </c>
      <c r="P9" s="85">
        <f t="shared" si="1"/>
        <v>-831.73910227502608</v>
      </c>
      <c r="Q9" s="66">
        <f>Marz!Q31</f>
        <v>1.9230769230769232E-2</v>
      </c>
    </row>
    <row r="10" spans="2:18" ht="30" customHeight="1">
      <c r="B10" s="68" t="s">
        <v>189</v>
      </c>
      <c r="C10" s="69">
        <f>SUM(C7:C9)</f>
        <v>6</v>
      </c>
      <c r="D10" s="69">
        <f>SUM(D7:D9)</f>
        <v>6</v>
      </c>
      <c r="E10" s="84">
        <f>D10-C10</f>
        <v>0</v>
      </c>
      <c r="F10" s="69">
        <f>SUM(F7:F9)</f>
        <v>6</v>
      </c>
      <c r="G10" s="69">
        <f>SUM(G7:G9)</f>
        <v>309927.05460000003</v>
      </c>
      <c r="H10" s="84">
        <f>G10-F10</f>
        <v>309921.05460000003</v>
      </c>
      <c r="I10" s="70">
        <f>AVERAGE(I7:I9)</f>
        <v>1</v>
      </c>
      <c r="J10" s="70">
        <f>AVERAGE(J7:J9)</f>
        <v>61489.690244444449</v>
      </c>
      <c r="K10" s="71">
        <f>J10-I10</f>
        <v>61488.690244444449</v>
      </c>
      <c r="L10" s="69">
        <f>AVERAGE(L7:L9)</f>
        <v>2.3222083012271029E-4</v>
      </c>
      <c r="M10" s="64">
        <f>AVERAGE(M7:M9)</f>
        <v>2.3222083012271029E-4</v>
      </c>
      <c r="N10" s="64">
        <f>SUM(N7:N9)</f>
        <v>2394.0317453247744</v>
      </c>
      <c r="O10" s="64">
        <f>SUM(O7:O9)</f>
        <v>6</v>
      </c>
      <c r="P10" s="86">
        <f t="shared" si="1"/>
        <v>-2388.0317453247744</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108956.2</v>
      </c>
      <c r="H11" s="83">
        <f>G11-F11</f>
        <v>108952.2</v>
      </c>
      <c r="I11" s="66">
        <f>EINSTELLUNG!E9</f>
        <v>1</v>
      </c>
      <c r="J11" s="66">
        <f>EINSTELLUNG!E25</f>
        <v>27239.05</v>
      </c>
      <c r="K11" s="67">
        <f t="shared" si="0"/>
        <v>27238.05</v>
      </c>
      <c r="L11" s="65">
        <f>April!S40</f>
        <v>4.4804874770375014E-4</v>
      </c>
      <c r="M11" s="62">
        <f>April!S41</f>
        <v>4.4804874770375014E-4</v>
      </c>
      <c r="N11" s="62">
        <f>April!O5</f>
        <v>843.08649329777643</v>
      </c>
      <c r="O11" s="62">
        <f>April!P5</f>
        <v>4</v>
      </c>
      <c r="P11" s="85">
        <f t="shared" si="1"/>
        <v>-839.08649329777643</v>
      </c>
      <c r="Q11" s="66">
        <f>April!Q31</f>
        <v>0</v>
      </c>
    </row>
    <row r="12" spans="2:18" ht="30" customHeight="1">
      <c r="B12" s="63" t="s">
        <v>191</v>
      </c>
      <c r="C12" s="65">
        <f>EINSTELLUNG!C10</f>
        <v>5</v>
      </c>
      <c r="D12" s="65">
        <f>EINSTELLUNG!C26</f>
        <v>5</v>
      </c>
      <c r="E12" s="83">
        <f t="shared" si="2"/>
        <v>0</v>
      </c>
      <c r="F12" s="65">
        <f>EINSTELLUNG!D10</f>
        <v>5</v>
      </c>
      <c r="G12" s="65">
        <f>Mai!$S$36</f>
        <v>148613.13709999999</v>
      </c>
      <c r="H12" s="83">
        <f t="shared" ref="H12:H23" si="3">G12-F12</f>
        <v>148608.13709999999</v>
      </c>
      <c r="I12" s="66">
        <f>EINSTELLUNG!E10</f>
        <v>1</v>
      </c>
      <c r="J12" s="66">
        <f>EINSTELLUNG!E26</f>
        <v>29722.627419999997</v>
      </c>
      <c r="K12" s="67">
        <f t="shared" si="0"/>
        <v>29721.627419999997</v>
      </c>
      <c r="L12" s="65">
        <f>Mai!S40</f>
        <v>5.6082607437451073E-4</v>
      </c>
      <c r="M12" s="62">
        <f>Mai!S41</f>
        <v>5.6082607437451073E-4</v>
      </c>
      <c r="N12" s="62">
        <f>Mai!O5</f>
        <v>863.95497085465206</v>
      </c>
      <c r="O12" s="62">
        <f>Mai!P5</f>
        <v>5</v>
      </c>
      <c r="P12" s="85">
        <f t="shared" si="1"/>
        <v>-858.95497085465206</v>
      </c>
      <c r="Q12" s="66">
        <f>Mai!Q31</f>
        <v>0</v>
      </c>
    </row>
    <row r="13" spans="2:18" ht="30" customHeight="1">
      <c r="B13" s="63" t="s">
        <v>192</v>
      </c>
      <c r="C13" s="65">
        <f>EINSTELLUNG!C11</f>
        <v>6</v>
      </c>
      <c r="D13" s="65">
        <f>EINSTELLUNG!C27</f>
        <v>6</v>
      </c>
      <c r="E13" s="83">
        <f t="shared" si="2"/>
        <v>0</v>
      </c>
      <c r="F13" s="65">
        <f>EINSTELLUNG!D11</f>
        <v>6</v>
      </c>
      <c r="G13" s="65">
        <f>Juni!$S$36</f>
        <v>149065.75</v>
      </c>
      <c r="H13" s="83">
        <f t="shared" si="3"/>
        <v>149059.75</v>
      </c>
      <c r="I13" s="66">
        <f>EINSTELLUNG!E11</f>
        <v>1</v>
      </c>
      <c r="J13" s="66">
        <f>EINSTELLUNG!E27</f>
        <v>24844.291666666668</v>
      </c>
      <c r="K13" s="67">
        <f t="shared" si="0"/>
        <v>24843.291666666668</v>
      </c>
      <c r="L13" s="65">
        <f>Juni!S40</f>
        <v>1.3574660633484163E-2</v>
      </c>
      <c r="M13" s="62">
        <f>Juni!S41</f>
        <v>1.3574660633484163E-2</v>
      </c>
      <c r="N13" s="62">
        <f>Juni!O5</f>
        <v>863.95497085465206</v>
      </c>
      <c r="O13" s="62">
        <f>Juni!P5</f>
        <v>6</v>
      </c>
      <c r="P13" s="85">
        <f t="shared" si="1"/>
        <v>-857.95497085465206</v>
      </c>
      <c r="Q13" s="66">
        <f>Juni!Q31</f>
        <v>0</v>
      </c>
    </row>
    <row r="14" spans="2:18" ht="30" customHeight="1">
      <c r="B14" s="68" t="s">
        <v>193</v>
      </c>
      <c r="C14" s="69">
        <f>SUM(C11:C13)</f>
        <v>15</v>
      </c>
      <c r="D14" s="69">
        <f>SUM(D11:D13)</f>
        <v>15</v>
      </c>
      <c r="E14" s="84">
        <f t="shared" si="2"/>
        <v>0</v>
      </c>
      <c r="F14" s="69">
        <f>SUM(F11:F13)</f>
        <v>15</v>
      </c>
      <c r="G14" s="69">
        <f>SUM(G11:G13)</f>
        <v>406635.0871</v>
      </c>
      <c r="H14" s="84">
        <f t="shared" si="3"/>
        <v>406620.0871</v>
      </c>
      <c r="I14" s="70">
        <f>AVERAGE(I11:I13)</f>
        <v>1</v>
      </c>
      <c r="J14" s="70">
        <f>AVERAGE(J11:J13)</f>
        <v>27268.65636222222</v>
      </c>
      <c r="K14" s="71">
        <f t="shared" si="0"/>
        <v>27267.65636222222</v>
      </c>
      <c r="L14" s="69">
        <f>AVERAGE(L11:L13)</f>
        <v>4.8611784851874751E-3</v>
      </c>
      <c r="M14" s="64">
        <f>AVERAGE(M11:M13)</f>
        <v>4.8611784851874751E-3</v>
      </c>
      <c r="N14" s="64">
        <f>SUM(N11:N13)</f>
        <v>2570.9964350070804</v>
      </c>
      <c r="O14" s="64">
        <f>SUM(O11:O13)</f>
        <v>15</v>
      </c>
      <c r="P14" s="86">
        <f t="shared" si="1"/>
        <v>-2555.9964350070804</v>
      </c>
      <c r="Q14" s="70">
        <f>AVERAGE(Q11:Q13)</f>
        <v>0</v>
      </c>
    </row>
    <row r="15" spans="2:18" ht="30" customHeight="1">
      <c r="B15" s="63" t="s">
        <v>194</v>
      </c>
      <c r="C15" s="65">
        <f>EINSTELLUNG!C12</f>
        <v>7</v>
      </c>
      <c r="D15" s="65">
        <f>EINSTELLUNG!C28</f>
        <v>7</v>
      </c>
      <c r="E15" s="83">
        <f t="shared" si="2"/>
        <v>0</v>
      </c>
      <c r="F15" s="65">
        <f>EINSTELLUNG!D12</f>
        <v>7</v>
      </c>
      <c r="G15" s="65">
        <f>Juli!$S$36</f>
        <v>149066.75</v>
      </c>
      <c r="H15" s="83">
        <f t="shared" si="3"/>
        <v>149059.75</v>
      </c>
      <c r="I15" s="66">
        <f>EINSTELLUNG!E12</f>
        <v>1</v>
      </c>
      <c r="J15" s="66">
        <f>EINSTELLUNG!E28</f>
        <v>21295.25</v>
      </c>
      <c r="K15" s="67">
        <f t="shared" si="0"/>
        <v>21294.25</v>
      </c>
      <c r="L15" s="65">
        <f>Juli!S40</f>
        <v>7.8715807820977767E-4</v>
      </c>
      <c r="M15" s="62">
        <f>Juli!S41</f>
        <v>7.8715807820977767E-4</v>
      </c>
      <c r="N15" s="62">
        <f>Juli!O5</f>
        <v>863.95497085465206</v>
      </c>
      <c r="O15" s="62">
        <f>Juli!P5</f>
        <v>7</v>
      </c>
      <c r="P15" s="85">
        <f t="shared" si="1"/>
        <v>-856.95497085465206</v>
      </c>
      <c r="Q15" s="66">
        <f>Juli!Q31</f>
        <v>0</v>
      </c>
    </row>
    <row r="16" spans="2:18" ht="30" customHeight="1">
      <c r="B16" s="63" t="s">
        <v>195</v>
      </c>
      <c r="C16" s="65">
        <f>EINSTELLUNG!C13</f>
        <v>8</v>
      </c>
      <c r="D16" s="65">
        <f>EINSTELLUNG!C29</f>
        <v>8</v>
      </c>
      <c r="E16" s="83">
        <f t="shared" si="2"/>
        <v>0</v>
      </c>
      <c r="F16" s="65">
        <f>EINSTELLUNG!D13</f>
        <v>8</v>
      </c>
      <c r="G16" s="65">
        <f>August!$S$36</f>
        <v>148546.2016</v>
      </c>
      <c r="H16" s="83">
        <f t="shared" si="3"/>
        <v>148538.2016</v>
      </c>
      <c r="I16" s="66">
        <f>EINSTELLUNG!E13</f>
        <v>1</v>
      </c>
      <c r="J16" s="66">
        <f>EINSTELLUNG!E29</f>
        <v>18568.2752</v>
      </c>
      <c r="K16" s="67">
        <f t="shared" si="0"/>
        <v>18567.2752</v>
      </c>
      <c r="L16" s="65">
        <f>August!S40</f>
        <v>9.0048513636721778E-4</v>
      </c>
      <c r="M16" s="62">
        <f>August!S41</f>
        <v>9.0048513636721778E-4</v>
      </c>
      <c r="N16" s="62">
        <f>August!O5</f>
        <v>863.95497085465206</v>
      </c>
      <c r="O16" s="62">
        <f>August!P5</f>
        <v>8</v>
      </c>
      <c r="P16" s="85">
        <f t="shared" si="1"/>
        <v>-855.95497085465206</v>
      </c>
      <c r="Q16" s="66">
        <f>August!Q31</f>
        <v>1.8518518518518517E-2</v>
      </c>
    </row>
    <row r="17" spans="2:17" ht="30" customHeight="1">
      <c r="B17" s="63" t="s">
        <v>196</v>
      </c>
      <c r="C17" s="65">
        <f>EINSTELLUNG!C14</f>
        <v>9</v>
      </c>
      <c r="D17" s="65">
        <f>EINSTELLUNG!C30</f>
        <v>9</v>
      </c>
      <c r="E17" s="83">
        <f t="shared" si="2"/>
        <v>0</v>
      </c>
      <c r="F17" s="65">
        <f>EINSTELLUNG!D14</f>
        <v>9</v>
      </c>
      <c r="G17" s="65">
        <f>September!$S$36</f>
        <v>152026.75</v>
      </c>
      <c r="H17" s="83">
        <f t="shared" si="3"/>
        <v>152017.75</v>
      </c>
      <c r="I17" s="66">
        <f>EINSTELLUNG!E14</f>
        <v>1</v>
      </c>
      <c r="J17" s="66">
        <f>EINSTELLUNG!E30</f>
        <v>16891.861111111109</v>
      </c>
      <c r="K17" s="67">
        <f t="shared" si="0"/>
        <v>16890.861111111109</v>
      </c>
      <c r="L17" s="65">
        <f>September!S40</f>
        <v>1.0275438846867417E-3</v>
      </c>
      <c r="M17" s="62">
        <f>September!S41</f>
        <v>1.0275438846867417E-3</v>
      </c>
      <c r="N17" s="62">
        <f>September!O5</f>
        <v>863.95497085465217</v>
      </c>
      <c r="O17" s="62">
        <f>September!P5</f>
        <v>9</v>
      </c>
      <c r="P17" s="85">
        <f t="shared" si="1"/>
        <v>-854.95497085465217</v>
      </c>
      <c r="Q17" s="66">
        <f>September!Q31</f>
        <v>0</v>
      </c>
    </row>
    <row r="18" spans="2:17" ht="30" customHeight="1">
      <c r="B18" s="68" t="s">
        <v>197</v>
      </c>
      <c r="C18" s="69">
        <f>SUM(C15:C17)</f>
        <v>24</v>
      </c>
      <c r="D18" s="69">
        <f>SUM(D15:D17)</f>
        <v>24</v>
      </c>
      <c r="E18" s="84">
        <f>D18-C18</f>
        <v>0</v>
      </c>
      <c r="F18" s="69">
        <f>SUM(F15:F17)</f>
        <v>24</v>
      </c>
      <c r="G18" s="69">
        <f>SUM(G15:G17)</f>
        <v>449639.70160000003</v>
      </c>
      <c r="H18" s="84">
        <f t="shared" si="3"/>
        <v>449615.70160000003</v>
      </c>
      <c r="I18" s="70">
        <f>AVERAGE(I15:I17)</f>
        <v>1</v>
      </c>
      <c r="J18" s="70">
        <f>AVERAGE(J15:J17)</f>
        <v>18918.462103703703</v>
      </c>
      <c r="K18" s="71">
        <f t="shared" si="0"/>
        <v>18917.462103703703</v>
      </c>
      <c r="L18" s="69">
        <f>AVERAGE(L15:L17)</f>
        <v>9.0506236642124566E-4</v>
      </c>
      <c r="M18" s="64">
        <f>AVERAGE(M15:M17)</f>
        <v>9.0506236642124566E-4</v>
      </c>
      <c r="N18" s="64">
        <f>SUM(N15:N17)</f>
        <v>2591.8649125639563</v>
      </c>
      <c r="O18" s="64">
        <f>SUM(O15:O17)</f>
        <v>24</v>
      </c>
      <c r="P18" s="86">
        <f t="shared" si="1"/>
        <v>-2567.8649125639563</v>
      </c>
      <c r="Q18" s="70">
        <f>AVERAGE(Q15:Q17)</f>
        <v>6.1728395061728392E-3</v>
      </c>
    </row>
    <row r="19" spans="2:17" ht="30" customHeight="1">
      <c r="B19" s="63" t="s">
        <v>198</v>
      </c>
      <c r="C19" s="65">
        <f>EINSTELLUNG!C15</f>
        <v>10</v>
      </c>
      <c r="D19" s="65">
        <f>EINSTELLUNG!C31</f>
        <v>10</v>
      </c>
      <c r="E19" s="83">
        <f>D19-C19</f>
        <v>0</v>
      </c>
      <c r="F19" s="65">
        <f>EINSTELLUNG!D15</f>
        <v>10</v>
      </c>
      <c r="G19" s="65">
        <f>Oktober!$S$36</f>
        <v>148059.25</v>
      </c>
      <c r="H19" s="83">
        <f t="shared" si="3"/>
        <v>148049.25</v>
      </c>
      <c r="I19" s="66">
        <f>EINSTELLUNG!E15</f>
        <v>1</v>
      </c>
      <c r="J19" s="66">
        <f>EINSTELLUNG!E31</f>
        <v>14805.924999999999</v>
      </c>
      <c r="K19" s="67">
        <f t="shared" si="0"/>
        <v>14804.924999999999</v>
      </c>
      <c r="L19" s="65">
        <f>Oktober!S40</f>
        <v>1.1164140779815234E-3</v>
      </c>
      <c r="M19" s="62">
        <f>Oktober!S41</f>
        <v>1.1164140779815234E-3</v>
      </c>
      <c r="N19" s="62">
        <f>Oktober!O5</f>
        <v>855.60757983190183</v>
      </c>
      <c r="O19" s="62">
        <f>Oktober!P5</f>
        <v>10</v>
      </c>
      <c r="P19" s="85">
        <f t="shared" si="1"/>
        <v>-845.60757983190183</v>
      </c>
      <c r="Q19" s="66">
        <f>Oktober!Q31</f>
        <v>0</v>
      </c>
    </row>
    <row r="20" spans="2:17" ht="30" customHeight="1">
      <c r="B20" s="63" t="s">
        <v>199</v>
      </c>
      <c r="C20" s="65">
        <f>EINSTELLUNG!C16</f>
        <v>11</v>
      </c>
      <c r="D20" s="65">
        <f>EINSTELLUNG!C32</f>
        <v>11</v>
      </c>
      <c r="E20" s="83">
        <f>D20-C20</f>
        <v>0</v>
      </c>
      <c r="F20" s="65">
        <f>EINSTELLUNG!D16</f>
        <v>11</v>
      </c>
      <c r="G20" s="65">
        <f>November!$S$36</f>
        <v>148060.25</v>
      </c>
      <c r="H20" s="83">
        <f t="shared" si="3"/>
        <v>148049.25</v>
      </c>
      <c r="I20" s="66">
        <f>EINSTELLUNG!E16</f>
        <v>1</v>
      </c>
      <c r="J20" s="66">
        <f>EINSTELLUNG!E32</f>
        <v>13460.022727272728</v>
      </c>
      <c r="K20" s="67">
        <f t="shared" si="0"/>
        <v>13459.022727272728</v>
      </c>
      <c r="L20" s="65">
        <f>November!S40</f>
        <v>1.2452947669317634E-3</v>
      </c>
      <c r="M20" s="62">
        <f>November!S41</f>
        <v>1.2452947669317634E-3</v>
      </c>
      <c r="N20" s="62">
        <f>November!O5</f>
        <v>855.60757983190183</v>
      </c>
      <c r="O20" s="62">
        <f>November!P5</f>
        <v>11</v>
      </c>
      <c r="P20" s="85">
        <f t="shared" si="1"/>
        <v>-844.60757983190183</v>
      </c>
      <c r="Q20" s="66">
        <f>November!Q31</f>
        <v>0</v>
      </c>
    </row>
    <row r="21" spans="2:17" ht="30" customHeight="1">
      <c r="B21" s="63" t="s">
        <v>200</v>
      </c>
      <c r="C21" s="65">
        <f>EINSTELLUNG!C17</f>
        <v>12</v>
      </c>
      <c r="D21" s="65">
        <f>EINSTELLUNG!C33</f>
        <v>12</v>
      </c>
      <c r="E21" s="83">
        <f t="shared" si="2"/>
        <v>0</v>
      </c>
      <c r="F21" s="65">
        <f>EINSTELLUNG!D17</f>
        <v>12</v>
      </c>
      <c r="G21" s="65">
        <f>Dezember!$S$36</f>
        <v>154014</v>
      </c>
      <c r="H21" s="83">
        <f t="shared" si="3"/>
        <v>154002</v>
      </c>
      <c r="I21" s="66">
        <f>EINSTELLUNG!E17</f>
        <v>1</v>
      </c>
      <c r="J21" s="66">
        <f>EINSTELLUNG!E33</f>
        <v>12834.5</v>
      </c>
      <c r="K21" s="67">
        <f t="shared" si="0"/>
        <v>12833.5</v>
      </c>
      <c r="L21" s="65">
        <f>Dezember!S40</f>
        <v>1.2954766274425131E-3</v>
      </c>
      <c r="M21" s="62">
        <f>Dezember!S41</f>
        <v>1.2954766274425131E-3</v>
      </c>
      <c r="N21" s="62">
        <f>Dezember!O5</f>
        <v>868.12866636602735</v>
      </c>
      <c r="O21" s="72">
        <f>Dezember!P5</f>
        <v>12</v>
      </c>
      <c r="P21" s="85">
        <f t="shared" si="1"/>
        <v>-856.12866636602735</v>
      </c>
      <c r="Q21" s="66">
        <f>Dezember!Q31</f>
        <v>0</v>
      </c>
    </row>
    <row r="22" spans="2:17" ht="30" customHeight="1">
      <c r="B22" s="68" t="s">
        <v>201</v>
      </c>
      <c r="C22" s="69">
        <f>SUM(C19:C21)</f>
        <v>33</v>
      </c>
      <c r="D22" s="69">
        <f>SUM(D19:D21)</f>
        <v>33</v>
      </c>
      <c r="E22" s="84">
        <f>D22-C22</f>
        <v>0</v>
      </c>
      <c r="F22" s="69">
        <f>SUM(F19:F21)</f>
        <v>33</v>
      </c>
      <c r="G22" s="69">
        <f>SUM(G19:G21)</f>
        <v>450133.5</v>
      </c>
      <c r="H22" s="84">
        <f t="shared" si="3"/>
        <v>450100.5</v>
      </c>
      <c r="I22" s="70">
        <f>AVERAGE(I19:I21)</f>
        <v>1</v>
      </c>
      <c r="J22" s="70">
        <f>AVERAGE(J19:J21)</f>
        <v>13700.149242424241</v>
      </c>
      <c r="K22" s="71">
        <f t="shared" si="0"/>
        <v>13699.149242424241</v>
      </c>
      <c r="L22" s="69">
        <f>AVERAGE(L19:L21)</f>
        <v>1.2190618241186E-3</v>
      </c>
      <c r="M22" s="64">
        <f>AVERAGE(M19:M21)</f>
        <v>1.2190618241186E-3</v>
      </c>
      <c r="N22" s="64">
        <f>SUM(N19:N21)</f>
        <v>2579.3438260298308</v>
      </c>
      <c r="O22" s="64">
        <f>SUM(O19:O21)</f>
        <v>33</v>
      </c>
      <c r="P22" s="86">
        <f>O22-N22</f>
        <v>-2546.3438260298308</v>
      </c>
      <c r="Q22" s="70">
        <f>AVERAGE(Q19:Q21)</f>
        <v>0</v>
      </c>
    </row>
    <row r="23" spans="2:17" ht="30" customHeight="1">
      <c r="B23" s="73">
        <f>LOHNTABELLE!G3</f>
        <v>2026</v>
      </c>
      <c r="C23" s="74">
        <f>SUM(C10,C14,C18,C22)</f>
        <v>78</v>
      </c>
      <c r="D23" s="74">
        <f>SUM(D10,D14,D18,D22)</f>
        <v>78</v>
      </c>
      <c r="E23" s="84">
        <f>D23-C23</f>
        <v>0</v>
      </c>
      <c r="F23" s="74">
        <f>SUM(F10,F14,F18,F22)</f>
        <v>78</v>
      </c>
      <c r="G23" s="74">
        <f>SUM(G10,G14,G18,G22)</f>
        <v>1616335.3433000001</v>
      </c>
      <c r="H23" s="84">
        <f t="shared" si="3"/>
        <v>1616257.3433000001</v>
      </c>
      <c r="I23" s="75">
        <f>AVERAGE(I10,I14,I18,I22)</f>
        <v>1</v>
      </c>
      <c r="J23" s="75">
        <f>AVERAGE(J10,J14,J18,J22)</f>
        <v>30344.239488198655</v>
      </c>
      <c r="K23" s="71">
        <f>J23-I23</f>
        <v>30343.239488198655</v>
      </c>
      <c r="L23" s="74">
        <f>AVERAGE(L22,L18,L14,L10)</f>
        <v>1.8043808764625078E-3</v>
      </c>
      <c r="M23" s="76">
        <f>AVERAGE(M10,M14,M18,M22)</f>
        <v>1.8043808764625078E-3</v>
      </c>
      <c r="N23" s="76">
        <f>SUM(N10,N14,N18,N22)</f>
        <v>10136.236918925642</v>
      </c>
      <c r="O23" s="76">
        <f>SUM(O10,O14,O18,O22)</f>
        <v>78</v>
      </c>
      <c r="P23" s="86">
        <f t="shared" si="1"/>
        <v>-10058.236918925642</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NssWsOPt/yYH2EfXF9q/jzwT33ea1m4muYIR78wqe2eJaeP3YPfgYnrxSjSYXFv/IMCrS/YgczUY5wgkQZ0N2w==" saltValue="H0uGjrdTt/880bH7182Jf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714</vt:i4>
      </vt:variant>
    </vt:vector>
  </HeadingPairs>
  <TitlesOfParts>
    <vt:vector size="731"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2026-05-20T09:11:36Z</dcterms:modified>
  <cp:category/>
  <cp:contentStatus/>
</cp:coreProperties>
</file>
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7016E84F-71DF-3B44-A6E8-F053C1FB51AB}" xr6:coauthVersionLast="47" xr6:coauthVersionMax="47" xr10:uidLastSave="{00000000-0000-0000-0000-000000000000}"/>
  <bookViews>
    <workbookView xWindow="160" yWindow="3200" windowWidth="34040" windowHeight="19900" tabRatio="67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1" a="1"/>
  <c r="S36" i="30" a="1"/>
  <c r="S36" i="35" a="1"/>
  <c r="S36" i="28" a="1"/>
  <c r="S36" i="32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<sst xmlns="http://schemas.openxmlformats.org/spreadsheetml/2006/main" count="3925" uniqueCount="461">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</sst>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80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AC3BD415-3446-E096-4E7E-A899E87BA53C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642B517C-25D0-591D-4587-C0CCA1435784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2A7D3A05-4094-9460-8757-FBE98C805666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1AA56291-C657-B2BC-AD7F-358E538AB772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tabSelected="1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03" t="s">
        <v>292</v>
      </c>
      <c r="B1" s="203"/>
      <c r="C1" s="203"/>
      <c r="D1" s="203"/>
      <c r="E1" s="203"/>
      <c r="F1" s="203"/>
      <c r="G1" s="203"/>
      <c r="H1" s="203"/>
      <c r="I1" s="203"/>
      <c r="J1" s="203"/>
    </row>
    <row r="2" spans="1:10" ht="74" customHeight="1">
      <c r="A2" s="210" t="s">
        <v>352</v>
      </c>
      <c r="B2" s="210"/>
      <c r="C2" s="210"/>
      <c r="D2" s="210"/>
      <c r="E2" s="210"/>
      <c r="F2" s="210"/>
      <c r="G2" s="210"/>
      <c r="H2" s="210"/>
      <c r="I2" s="379"/>
      <c r="J2" s="379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204" t="s">
        <v>346</v>
      </c>
      <c r="B4" s="205"/>
      <c r="C4" s="205"/>
      <c r="D4" s="206"/>
      <c r="E4" s="206"/>
      <c r="F4" s="206"/>
      <c r="G4" s="207"/>
      <c r="H4" s="208"/>
      <c r="I4" s="206"/>
      <c r="J4" s="209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n9oDg0NKsnWXxnKUjiR9Pr8m0jUDfsfNmh3JqFUKepqZaHEd9AKLPs0zlVvWqwgtp123kESzBRezTXXe2bgG2w==" saltValue="d+r6UxIQenfldt7pvBfQOA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213" t="s">
        <v>14</v>
      </c>
      <c r="C3" s="213"/>
      <c r="D3" s="213"/>
      <c r="E3" s="213"/>
      <c r="F3" s="213"/>
      <c r="H3" s="211" t="s">
        <v>15</v>
      </c>
      <c r="I3" s="211"/>
      <c r="K3" s="215" t="s">
        <v>16</v>
      </c>
      <c r="L3" s="215"/>
      <c r="N3" s="211" t="s">
        <v>17</v>
      </c>
      <c r="O3" s="211"/>
    </row>
    <row r="4" spans="2:15" ht="15" customHeight="1">
      <c r="B4" s="213"/>
      <c r="C4" s="213"/>
      <c r="D4" s="213"/>
      <c r="E4" s="213"/>
      <c r="F4" s="213"/>
      <c r="H4" s="211"/>
      <c r="I4" s="211"/>
      <c r="K4" s="215"/>
      <c r="L4" s="215"/>
      <c r="N4" s="211"/>
      <c r="O4" s="21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12" t="s">
        <v>22</v>
      </c>
      <c r="I5" s="212"/>
      <c r="K5" s="212" t="s">
        <v>22</v>
      </c>
      <c r="L5" s="212"/>
      <c r="N5" s="212" t="s">
        <v>23</v>
      </c>
      <c r="O5" s="212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14" t="s">
        <v>37</v>
      </c>
      <c r="C19" s="214"/>
      <c r="D19" s="214"/>
      <c r="E19" s="214"/>
      <c r="F19" s="214"/>
      <c r="H19" s="211" t="s">
        <v>38</v>
      </c>
      <c r="I19" s="211"/>
      <c r="K19" s="215" t="s">
        <v>39</v>
      </c>
      <c r="L19" s="215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214"/>
      <c r="C20" s="214"/>
      <c r="D20" s="214"/>
      <c r="E20" s="214"/>
      <c r="F20" s="214"/>
      <c r="H20" s="211"/>
      <c r="I20" s="211"/>
      <c r="K20" s="215"/>
      <c r="L20" s="215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12" t="s">
        <v>22</v>
      </c>
      <c r="I21" s="212"/>
      <c r="K21" s="212" t="s">
        <v>22</v>
      </c>
      <c r="L21" s="212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X3X+yjW+aJ9SzNOk4/7zjtAGminJt39ZRAhbAAc7hIu2DvQjVM/c0nbGr//PvRSwCjAVzBiS3o4FY/lucf8liw==" saltValue="DOoYfBa9feGginfOpY6BwQ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01" t="s">
        <v>395</v>
      </c>
      <c r="B1" s="202"/>
      <c r="C1" s="202"/>
      <c r="D1" s="202"/>
    </row>
    <row r="2" spans="1:4">
      <c r="A2" s="181" t="s">
        <v>364</v>
      </c>
      <c r="B2" s="181" t="s">
        <v>365</v>
      </c>
    </row>
    <row r="3" spans="1:4" ht="36" customHeight="1">
      <c r="A3" s="200" t="s">
        <v>396</v>
      </c>
      <c r="B3" s="200"/>
      <c r="C3" s="200"/>
      <c r="D3" s="200"/>
    </row>
    <row r="4" spans="1:4">
      <c r="A4" s="197" t="s">
        <v>222</v>
      </c>
      <c r="B4" s="197" t="s">
        <v>397</v>
      </c>
      <c r="C4" s="197" t="s">
        <v>398</v>
      </c>
      <c r="D4" s="197" t="s">
        <v>399</v>
      </c>
    </row>
    <row r="5" spans="1:4" ht="32">
      <c r="A5" s="197" t="s">
        <v>400</v>
      </c>
      <c r="B5" s="198" t="s">
        <v>401</v>
      </c>
      <c r="C5" s="199" t="s">
        <v>402</v>
      </c>
      <c r="D5" s="199" t="s">
        <v>403</v>
      </c>
    </row>
    <row r="6" spans="1:4" ht="32">
      <c r="A6" s="197" t="s">
        <v>400</v>
      </c>
      <c r="B6" s="198" t="s">
        <v>404</v>
      </c>
      <c r="C6" s="199" t="s">
        <v>405</v>
      </c>
      <c r="D6" s="199" t="s">
        <v>406</v>
      </c>
    </row>
    <row r="7" spans="1:4" ht="28" customHeight="1">
      <c r="A7" s="197" t="s">
        <v>400</v>
      </c>
      <c r="B7" s="198" t="s">
        <v>407</v>
      </c>
      <c r="C7" s="199" t="s">
        <v>408</v>
      </c>
      <c r="D7" s="199" t="s">
        <v>409</v>
      </c>
    </row>
    <row r="8" spans="1:4" ht="32">
      <c r="A8" s="197" t="s">
        <v>410</v>
      </c>
      <c r="B8" s="198" t="s">
        <v>411</v>
      </c>
      <c r="C8" s="199" t="s">
        <v>412</v>
      </c>
      <c r="D8" s="199" t="s">
        <v>413</v>
      </c>
    </row>
    <row r="9" spans="1:4" ht="28" customHeight="1">
      <c r="A9" s="197" t="s">
        <v>414</v>
      </c>
      <c r="B9" s="198" t="s">
        <v>415</v>
      </c>
      <c r="C9" s="199" t="s">
        <v>416</v>
      </c>
      <c r="D9" s="199" t="s">
        <v>417</v>
      </c>
    </row>
    <row r="10" spans="1:4" ht="32">
      <c r="A10" s="197" t="s">
        <v>414</v>
      </c>
      <c r="B10" s="198" t="s">
        <v>418</v>
      </c>
      <c r="C10" s="199" t="s">
        <v>419</v>
      </c>
      <c r="D10" s="199" t="s">
        <v>420</v>
      </c>
    </row>
    <row r="11" spans="1:4" ht="28" customHeight="1">
      <c r="A11" s="197" t="s">
        <v>414</v>
      </c>
      <c r="B11" s="198" t="s">
        <v>421</v>
      </c>
      <c r="C11" s="199" t="s">
        <v>422</v>
      </c>
      <c r="D11" s="199" t="s">
        <v>417</v>
      </c>
    </row>
    <row r="12" spans="1:4" ht="28" customHeight="1">
      <c r="A12" s="197" t="s">
        <v>414</v>
      </c>
      <c r="B12" s="198" t="s">
        <v>423</v>
      </c>
      <c r="C12" s="199" t="s">
        <v>424</v>
      </c>
      <c r="D12" s="199" t="s">
        <v>425</v>
      </c>
    </row>
    <row r="13" spans="1:4" ht="32">
      <c r="A13" s="197" t="s">
        <v>426</v>
      </c>
      <c r="B13" s="198" t="s">
        <v>427</v>
      </c>
      <c r="C13" s="199" t="s">
        <v>428</v>
      </c>
      <c r="D13" s="199" t="s">
        <v>429</v>
      </c>
    </row>
    <row r="14" spans="1:4" ht="28" customHeight="1">
      <c r="A14" s="197" t="s">
        <v>426</v>
      </c>
      <c r="B14" s="198" t="s">
        <v>430</v>
      </c>
      <c r="C14" s="199" t="s">
        <v>431</v>
      </c>
      <c r="D14" s="199" t="s">
        <v>429</v>
      </c>
    </row>
    <row r="15" spans="1:4" ht="32">
      <c r="A15" s="197" t="s">
        <v>426</v>
      </c>
      <c r="B15" s="198" t="s">
        <v>432</v>
      </c>
      <c r="C15" s="199" t="s">
        <v>433</v>
      </c>
      <c r="D15" s="199" t="s">
        <v>434</v>
      </c>
    </row>
    <row r="16" spans="1:4" ht="28" customHeight="1">
      <c r="A16" s="197" t="s">
        <v>435</v>
      </c>
      <c r="B16" s="198" t="s">
        <v>436</v>
      </c>
      <c r="C16" s="199" t="s">
        <v>437</v>
      </c>
      <c r="D16" s="199" t="s">
        <v>438</v>
      </c>
    </row>
    <row r="17" spans="1:4" ht="28" customHeight="1">
      <c r="A17" s="197" t="s">
        <v>435</v>
      </c>
      <c r="B17" s="198" t="s">
        <v>439</v>
      </c>
      <c r="C17" s="199" t="s">
        <v>440</v>
      </c>
      <c r="D17" s="199" t="s">
        <v>441</v>
      </c>
    </row>
    <row r="18" spans="1:4" ht="28" customHeight="1">
      <c r="A18" s="197" t="s">
        <v>442</v>
      </c>
      <c r="B18" s="198" t="s">
        <v>443</v>
      </c>
      <c r="C18" s="199" t="s">
        <v>444</v>
      </c>
      <c r="D18" s="199" t="s">
        <v>445</v>
      </c>
    </row>
    <row r="19" spans="1:4" ht="32">
      <c r="A19" s="197" t="s">
        <v>446</v>
      </c>
      <c r="B19" s="198" t="s">
        <v>447</v>
      </c>
      <c r="C19" s="199" t="s">
        <v>448</v>
      </c>
      <c r="D19" s="199" t="s">
        <v>449</v>
      </c>
    </row>
    <row r="20" spans="1:4" ht="28" customHeight="1">
      <c r="A20" s="197" t="s">
        <v>446</v>
      </c>
      <c r="B20" s="198" t="s">
        <v>450</v>
      </c>
      <c r="C20" s="199" t="s">
        <v>451</v>
      </c>
      <c r="D20" s="199" t="s">
        <v>452</v>
      </c>
    </row>
    <row r="21" spans="1:4" ht="28" customHeight="1">
      <c r="A21" s="197" t="s">
        <v>453</v>
      </c>
      <c r="B21" s="198" t="s">
        <v>454</v>
      </c>
      <c r="C21" s="199" t="s">
        <v>455</v>
      </c>
      <c r="D21" s="199" t="s">
        <v>456</v>
      </c>
    </row>
    <row r="22" spans="1:4" ht="32">
      <c r="A22" s="197" t="s">
        <v>457</v>
      </c>
      <c r="B22" s="198" t="s">
        <v>458</v>
      </c>
      <c r="C22" s="199" t="s">
        <v>459</v>
      </c>
      <c r="D22" s="199" t="s">
        <v>460</v>
      </c>
    </row>
  </sheetData>
  <sheetProtection algorithmName="SHA-512" hashValue="0cfwT8MLfcZ4BmmCkGtbjLB5eai+eGp1pamHBByM1F/vIqFnu0DhIqw03WYXDlNUqyJzAFNe8qmFX5RNr6cfmw==" saltValue="Hyry3cers04lP3gXVnR39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46023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7494.8</v>
      </c>
      <c r="R8" s="226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EINSTELLUNG!L22</f>
        <v>1</v>
      </c>
      <c r="R9" s="226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EINSTELLUNG!I22</f>
        <v>1</v>
      </c>
      <c r="R10" s="226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1</v>
      </c>
      <c r="R11" s="226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/>
      <c r="R12" s="255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7491.8</v>
      </c>
      <c r="R13" s="226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EINSTELLUNG!L6</f>
        <v>1</v>
      </c>
      <c r="R14" s="226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7490.8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30"/>
      <c r="P18" s="231"/>
      <c r="Q18" s="223"/>
      <c r="R18" s="223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30"/>
      <c r="P19" s="231"/>
      <c r="Q19" s="223"/>
      <c r="R19" s="223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30"/>
      <c r="P20" s="231"/>
      <c r="Q20" s="223"/>
      <c r="R20" s="223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30" t="s">
        <v>320</v>
      </c>
      <c r="P21" s="231"/>
      <c r="Q21" s="223">
        <v>5000</v>
      </c>
      <c r="R21" s="223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30"/>
      <c r="P22" s="231"/>
      <c r="Q22" s="223"/>
      <c r="R22" s="223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30"/>
      <c r="P23" s="231"/>
      <c r="Q23" s="223"/>
      <c r="R23" s="223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30"/>
      <c r="P24" s="231"/>
      <c r="Q24" s="223"/>
      <c r="R24" s="223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73"/>
      <c r="P25" s="274"/>
      <c r="Q25" s="265"/>
      <c r="R25" s="265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EINSTELLUNG!O6</f>
        <v>1</v>
      </c>
      <c r="R29" s="264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1.9607843137254902E-2</v>
      </c>
      <c r="R31" s="280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247" t="s">
        <v>96</v>
      </c>
      <c r="R33" s="248"/>
      <c r="S33" s="251" t="s">
        <v>97</v>
      </c>
      <c r="T33" s="252"/>
      <c r="U33" s="251" t="s">
        <v>98</v>
      </c>
      <c r="V33" s="252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249"/>
      <c r="R34" s="250"/>
      <c r="S34" s="253"/>
      <c r="T34" s="254"/>
      <c r="U34" s="253"/>
      <c r="V34" s="254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EINSTELLUNG!C6</f>
        <v>1</v>
      </c>
      <c r="R35" s="236"/>
      <c r="S35" s="236">
        <f>EINSTELLUNG!C22</f>
        <v>1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EINSTELLUNG!D6</f>
        <v>1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-1</v>
      </c>
      <c r="V36" s="237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EINSTELLUNG!F6</f>
        <v>1</v>
      </c>
      <c r="R38" s="238"/>
      <c r="S38" s="238">
        <f>EINSTELLUNG!F22</f>
        <v>1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1.3347927066926506E-4</v>
      </c>
      <c r="R40" s="236"/>
      <c r="S40" s="236">
        <f>IF(Q13=0, 0, S35/Q13)</f>
        <v>1.3347927066926506E-4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1.3347927066926506E-4</v>
      </c>
      <c r="R41" s="238"/>
      <c r="S41" s="238">
        <f>IF(Q13=0, 0, S38/Q13)</f>
        <v>1.3347927066926506E-4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83"/>
      <c r="L114" s="283"/>
      <c r="M114" s="283"/>
      <c r="N114" s="58"/>
    </row>
    <row r="115" spans="11:14" ht="16" customHeight="1">
      <c r="K115" s="283"/>
      <c r="L115" s="283"/>
      <c r="M115" s="283"/>
      <c r="N115" s="58"/>
    </row>
    <row r="116" spans="11:14" ht="16" customHeight="1">
      <c r="K116" s="257"/>
      <c r="L116" s="257"/>
      <c r="M116" s="43"/>
      <c r="N116" s="43"/>
    </row>
    <row r="117" spans="11:14" ht="16" customHeight="1">
      <c r="K117" s="257"/>
      <c r="L117" s="257"/>
      <c r="M117" s="43"/>
      <c r="N117" s="43"/>
    </row>
    <row r="118" spans="11:14" ht="16" customHeight="1">
      <c r="K118" s="284"/>
      <c r="L118" s="284"/>
      <c r="M118" s="44"/>
      <c r="N118" s="44"/>
    </row>
    <row r="119" spans="11:14" ht="16" customHeight="1">
      <c r="K119" s="258"/>
      <c r="L119" s="258"/>
      <c r="M119" s="45"/>
      <c r="N119" s="45"/>
    </row>
    <row r="120" spans="11:14" ht="16" customHeight="1">
      <c r="K120" s="257"/>
      <c r="L120" s="257"/>
      <c r="M120" s="43"/>
      <c r="N120" s="43"/>
    </row>
    <row r="121" spans="11:14" ht="16" customHeight="1">
      <c r="K121" s="257"/>
      <c r="L121" s="257"/>
      <c r="M121" s="43"/>
      <c r="N121" s="43"/>
    </row>
    <row r="122" spans="11:14" ht="16" customHeight="1">
      <c r="K122" s="258"/>
      <c r="L122" s="258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Gwv+ScRZLDhcStfiBewwsGYb/brxRncB2Zf6CxVfvVGbUqnawY9p/haq5ux4jwwRFMbr7lZdqwIbDRnyGqprpA==" saltValue="65cLtLrdmmG2JzoEezkNZQ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35RhHr+EdgE0gz4M8UE7qgIga+Uxp+QjZl/JphKtkgmRODvJ3lOXSoWbSNdKJNlQIj9q0zFNLqYnBykYWWXbAg==" saltValue="VwoujGlkt0cCwnRN0DAMo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46054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42" t="str">
        <f>IF(Q5&lt;0, "Schlecht! Zu wenig Urlaub abgebaut.", IF(Q5&gt;0, "Gut! Mehr Urlaub abgebaut als aufgebaut.", ""))</f>
        <v>Schlecht! Zu wenig Urlaub abgebaut.</v>
      </c>
      <c r="P6" s="342"/>
      <c r="Q6" s="342"/>
      <c r="R6" s="342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40" t="s">
        <v>58</v>
      </c>
      <c r="P8" s="224"/>
      <c r="Q8" s="338">
        <f>SUM(H3:H82)</f>
        <v>8591.6099999999988</v>
      </c>
      <c r="R8" s="339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40" t="s">
        <v>60</v>
      </c>
      <c r="P9" s="224"/>
      <c r="Q9" s="338">
        <f>EINSTELLUNG!L23</f>
        <v>2</v>
      </c>
      <c r="R9" s="339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40" t="s">
        <v>62</v>
      </c>
      <c r="P10" s="224"/>
      <c r="Q10" s="338">
        <f>EINSTELLUNG!I23</f>
        <v>2</v>
      </c>
      <c r="R10" s="339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40" t="s">
        <v>64</v>
      </c>
      <c r="P11" s="224"/>
      <c r="Q11" s="338">
        <f>P5</f>
        <v>2</v>
      </c>
      <c r="R11" s="339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40" t="s">
        <v>68</v>
      </c>
      <c r="P12" s="224"/>
      <c r="Q12" s="338">
        <f>Q8-Q9-Q10-Q11</f>
        <v>8585.6099999999988</v>
      </c>
      <c r="R12" s="339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40" t="s">
        <v>70</v>
      </c>
      <c r="P13" s="224"/>
      <c r="Q13" s="338">
        <f>EINSTELLUNG!L7</f>
        <v>2</v>
      </c>
      <c r="R13" s="339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40" t="s">
        <v>72</v>
      </c>
      <c r="P14" s="224"/>
      <c r="Q14" s="338">
        <f>Q12-Q13</f>
        <v>8583.6099999999988</v>
      </c>
      <c r="R14" s="339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1" t="str">
        <f>IF(Q14&lt;0, "Schlecht! Zu wenig Stunden für Dienstplan.", IF(Q14&gt;0, "Du hast mehr als genug Stunden für Dienstplan.", ""))</f>
        <v>Du hast mehr als genug Stunden für Dienstplan.</v>
      </c>
      <c r="P15" s="341"/>
      <c r="Q15" s="341"/>
      <c r="R15" s="341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35" t="s">
        <v>75</v>
      </c>
      <c r="P17" s="232"/>
      <c r="Q17" s="336">
        <f>SUM(L3:L82)</f>
        <v>0</v>
      </c>
      <c r="R17" s="337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3"/>
      <c r="P18" s="314"/>
      <c r="Q18" s="315"/>
      <c r="R18" s="31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3"/>
      <c r="P19" s="314"/>
      <c r="Q19" s="315"/>
      <c r="R19" s="31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3"/>
      <c r="P20" s="314"/>
      <c r="Q20" s="315"/>
      <c r="R20" s="31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3" t="s">
        <v>320</v>
      </c>
      <c r="P21" s="314"/>
      <c r="Q21" s="315">
        <v>5000</v>
      </c>
      <c r="R21" s="31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3"/>
      <c r="P22" s="314"/>
      <c r="Q22" s="315"/>
      <c r="R22" s="31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3"/>
      <c r="P23" s="314"/>
      <c r="Q23" s="315"/>
      <c r="R23" s="31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3"/>
      <c r="P24" s="314"/>
      <c r="Q24" s="315"/>
      <c r="R24" s="31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8"/>
      <c r="P25" s="329"/>
      <c r="Q25" s="330"/>
      <c r="R25" s="331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32"/>
      <c r="P26" s="275"/>
      <c r="Q26" s="333"/>
      <c r="R26" s="33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24"/>
      <c r="P27" s="230"/>
      <c r="Q27" s="325"/>
      <c r="R27" s="326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27"/>
      <c r="P28" s="269"/>
      <c r="Q28" s="307"/>
      <c r="R28" s="308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09" t="s">
        <v>90</v>
      </c>
      <c r="P29" s="261"/>
      <c r="Q29" s="310">
        <f>EINSTELLUNG!O7</f>
        <v>2</v>
      </c>
      <c r="R29" s="31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17">
        <v>0</v>
      </c>
      <c r="P31" s="318"/>
      <c r="Q31" s="319">
        <v>1.7241379310344827E-2</v>
      </c>
      <c r="R31" s="277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20"/>
      <c r="P33" s="321"/>
      <c r="Q33" s="247" t="s">
        <v>96</v>
      </c>
      <c r="R33" s="248"/>
      <c r="S33" s="251" t="s">
        <v>97</v>
      </c>
      <c r="T33" s="252"/>
      <c r="U33" s="251" t="s">
        <v>98</v>
      </c>
      <c r="V33" s="252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22"/>
      <c r="P34" s="323"/>
      <c r="Q34" s="249"/>
      <c r="R34" s="250"/>
      <c r="S34" s="253"/>
      <c r="T34" s="254"/>
      <c r="U34" s="253"/>
      <c r="V34" s="254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12" t="s">
        <v>101</v>
      </c>
      <c r="P35" s="234"/>
      <c r="Q35" s="240">
        <f>EINSTELLUNG!C7</f>
        <v>2</v>
      </c>
      <c r="R35" s="242"/>
      <c r="S35" s="240">
        <f>EINSTELLUNG!C23</f>
        <v>2</v>
      </c>
      <c r="T35" s="242"/>
      <c r="U35" s="237">
        <f>S35-Q35</f>
        <v>0</v>
      </c>
      <c r="V35" s="237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12" t="s">
        <v>103</v>
      </c>
      <c r="P36" s="234"/>
      <c r="Q36" s="240">
        <f>EINSTELLUNG!D7</f>
        <v>2</v>
      </c>
      <c r="R36" s="242"/>
      <c r="S36" s="236" cm="1">
        <f t="array" ref="S36">SumMergedCells(Q17:R29)</f>
        <v>0</v>
      </c>
      <c r="T36" s="236"/>
      <c r="U36" s="237">
        <f t="shared" ref="U36:U41" si="2">S36-Q36</f>
        <v>-2</v>
      </c>
      <c r="V36" s="237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12" t="s">
        <v>105</v>
      </c>
      <c r="P37" s="234"/>
      <c r="Q37" s="305">
        <f>IF(ISERROR(Q36/Q35), 0, Q36/Q35)</f>
        <v>1</v>
      </c>
      <c r="R37" s="306"/>
      <c r="S37" s="305">
        <f>IF(ISERROR(S36/S35), 0, S36/S35)</f>
        <v>0</v>
      </c>
      <c r="T37" s="306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12" t="s">
        <v>107</v>
      </c>
      <c r="P38" s="234"/>
      <c r="Q38" s="303">
        <f>EINSTELLUNG!F7</f>
        <v>2</v>
      </c>
      <c r="R38" s="304"/>
      <c r="S38" s="303">
        <f>EINSTELLUNG!F23</f>
        <v>2</v>
      </c>
      <c r="T38" s="304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12" t="s">
        <v>109</v>
      </c>
      <c r="P39" s="234"/>
      <c r="Q39" s="240">
        <f>IF(Q38=0, 0, Q35/Q38)</f>
        <v>1</v>
      </c>
      <c r="R39" s="242"/>
      <c r="S39" s="240">
        <f>IF(S38=0, 0, S35/S38)</f>
        <v>1</v>
      </c>
      <c r="T39" s="242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IF(Q12=0, 0, Q35/Q12)</f>
        <v>2.329479209980421E-4</v>
      </c>
      <c r="R40" s="236"/>
      <c r="S40" s="236">
        <f>IF(Q12=0, 0, S35/Q12)</f>
        <v>2.329479209980421E-4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IF(Q12=0, 0, Q38/Q12)</f>
        <v>2.329479209980421E-4</v>
      </c>
      <c r="R41" s="238"/>
      <c r="S41" s="238">
        <f>IF(Q12=0, 0, S38/Q12)</f>
        <v>2.329479209980421E-4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YyyWHoDppQBWK0+3cfSXodn+/arrqO2MQCMeNbfw82bVB7JWBZgfyOdumH9cz1cJ7Z2S9p6hQgKQjiUmAs+1Xw==" saltValue="UK6YHdIfXeIzPWh2PGDH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46082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8804.02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EINSTELLUNG!L24</f>
        <v>3</v>
      </c>
      <c r="R9" s="226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EINSTELLUNG!I24</f>
        <v>3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3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-445</v>
      </c>
      <c r="R12" s="25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9240.02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EINSTELLUNG!L8</f>
        <v>3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9237.02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EINSTELLUNG!O8</f>
        <v>3</v>
      </c>
      <c r="R29" s="264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1.6949152542372881E-2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EINSTELLUNG!C8</f>
        <v>3</v>
      </c>
      <c r="R35" s="236"/>
      <c r="S35" s="236">
        <f>EINSTELLUNG!C24</f>
        <v>3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EINSTELLUNG!D8</f>
        <v>3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-3</v>
      </c>
      <c r="V36" s="237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EINSTELLUNG!F8</f>
        <v>3</v>
      </c>
      <c r="R38" s="238"/>
      <c r="S38" s="238">
        <f>EINSTELLUNG!F24</f>
        <v>3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3.2467462191640276E-4</v>
      </c>
      <c r="R40" s="236"/>
      <c r="S40" s="236">
        <f>IF(Q13=0, 0, S35/Q13)</f>
        <v>3.2467462191640276E-4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3.2467462191640276E-4</v>
      </c>
      <c r="R41" s="238"/>
      <c r="S41" s="238">
        <f>IF(Q13=0, 0, S38/Q13)</f>
        <v>3.2467462191640276E-4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/Q/fyeq6/qM8yA2aKY+S3Il95Q3W9ZJRDzWaHUFmFflAU2kYsbVi+jxoJAiYLnoI/rpFZyHVVAzeseUij59LQ==" saltValue="5uSMSndq5j3SvzX0HBM6l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46113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8817.7999999999993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EINSTELLUNG!L25</f>
        <v>4</v>
      </c>
      <c r="R9" s="226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EINSTELLUNG!I25</f>
        <v>4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4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-255</v>
      </c>
      <c r="R12" s="25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9060.7999999999993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EINSTELLUNG!L9</f>
        <v>4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9056.7999999999993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EINSTELLUNG!O9</f>
        <v>4</v>
      </c>
      <c r="R29" s="264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EINSTELLUNG!C9</f>
        <v>4</v>
      </c>
      <c r="R35" s="236"/>
      <c r="S35" s="236">
        <f>EINSTELLUNG!C25</f>
        <v>4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EINSTELLUNG!D9</f>
        <v>4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-4</v>
      </c>
      <c r="V36" s="237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EINSTELLUNG!F9</f>
        <v>4</v>
      </c>
      <c r="R38" s="238"/>
      <c r="S38" s="238">
        <f>EINSTELLUNG!F25</f>
        <v>4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4.4146212254988527E-4</v>
      </c>
      <c r="R40" s="236"/>
      <c r="S40" s="236">
        <f>IF(Q13=0, 0, S35/Q13)</f>
        <v>4.4146212254988527E-4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4.4146212254988527E-4</v>
      </c>
      <c r="R41" s="238"/>
      <c r="S41" s="238">
        <f>IF(Q13=0, 0, S38/Q13)</f>
        <v>4.4146212254988527E-4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dPkiqF3n7Fai8Jh87KLR0d3uCliyRkay8ByQyFO5JBm1jT+4mK6G359A5pZzhFQsrC2sjLNM29+Exq0j2vrL5Q==" saltValue="IxGFhPjs+qSCuIsGr4dFZ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46143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9293.7199999999993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EINSTELLUNG!L26</f>
        <v>5</v>
      </c>
      <c r="R9" s="226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EINSTELLUNG!I26</f>
        <v>5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5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68</v>
      </c>
      <c r="P12" s="225"/>
      <c r="Q12" s="226">
        <f>Q8-Q9-Q10-Q11</f>
        <v>9278.7199999999993</v>
      </c>
      <c r="R12" s="22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70</v>
      </c>
      <c r="P13" s="225"/>
      <c r="Q13" s="226">
        <f>EINSTELLUNG!L10</f>
        <v>5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72</v>
      </c>
      <c r="P14" s="225"/>
      <c r="Q14" s="226">
        <f>Q12-Q13</f>
        <v>9273.7199999999993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EINSTELLUNG!O10</f>
        <v>5</v>
      </c>
      <c r="R29" s="264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EINSTELLUNG!C10</f>
        <v>5</v>
      </c>
      <c r="R35" s="236"/>
      <c r="S35" s="236">
        <f>EINSTELLUNG!C26</f>
        <v>5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EINSTELLUNG!D10</f>
        <v>5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-5</v>
      </c>
      <c r="V36" s="237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EINSTELLUNG!F10</f>
        <v>5</v>
      </c>
      <c r="R38" s="238"/>
      <c r="S38" s="238">
        <f>EINSTELLUNG!F26</f>
        <v>5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IF(Q12=0, 0, Q35/Q12)</f>
        <v>5.3886742999034352E-4</v>
      </c>
      <c r="R40" s="236"/>
      <c r="S40" s="236">
        <f>IF(Q12=0, 0, S35/Q12)</f>
        <v>5.3886742999034352E-4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IF(Q12=0, 0, Q38/Q12)</f>
        <v>5.3886742999034352E-4</v>
      </c>
      <c r="R41" s="238"/>
      <c r="S41" s="238">
        <f>IF(Q12=0, 0, S38/Q12)</f>
        <v>5.3886742999034352E-4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QUEy+IA8GU7UPNqCTBW+6rYbz4zw9hnAn3eiFYBPyhx50gWoJJDSAkWffRjrSSYfmn6YtHchyRNxGdj4hZfLMg==" saltValue="nmsdUrelcC33p0qSboMcd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46174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9359.2999999999993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EINSTELLUNG!L27</f>
        <v>6</v>
      </c>
      <c r="R9" s="226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EINSTELLUNG!I27</f>
        <v>6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6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442</v>
      </c>
      <c r="R12" s="25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8899.2999999999993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EINSTELLUNG!L11</f>
        <v>6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8893.2999999999993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EINSTELLUNG!O11</f>
        <v>6</v>
      </c>
      <c r="R29" s="264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1.6666666666666666E-2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EINSTELLUNG!C11</f>
        <v>6</v>
      </c>
      <c r="R35" s="236"/>
      <c r="S35" s="236">
        <f>EINSTELLUNG!C27</f>
        <v>6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EINSTELLUNG!D11</f>
        <v>6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-6</v>
      </c>
      <c r="V36" s="237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EINSTELLUNG!F11</f>
        <v>6</v>
      </c>
      <c r="R38" s="238"/>
      <c r="S38" s="238">
        <f>EINSTELLUNG!F27</f>
        <v>6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IF(Q12=0, 0, Q35/Q12)</f>
        <v>1.3574660633484163E-2</v>
      </c>
      <c r="R40" s="236"/>
      <c r="S40" s="236">
        <f>IF(Q12=0, 0, S35/Q12)</f>
        <v>1.3574660633484163E-2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IF(Q12=0, 0, Q38/Q12)</f>
        <v>1.3574660633484163E-2</v>
      </c>
      <c r="R41" s="238"/>
      <c r="S41" s="238">
        <f>IF(Q12=0, 0, S38/Q12)</f>
        <v>1.3574660633484163E-2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1X7u2Fp6QonC8KbzaC5DPUExU2U0DBVpVhVN6dONxfpsQA5vRK0trEQNN480ogS5Asw/t7C0JB0MZNv/F3z2jA==" saltValue="EY2Kif9G3O7Ruu4uSm10Rg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46204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9225.3599999999988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EINSTELLUNG!L28</f>
        <v>7</v>
      </c>
      <c r="R9" s="226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EINSTELLUNG!I28</f>
        <v>7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7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39</v>
      </c>
      <c r="R12" s="25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9165.3599999999988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EINSTELLUNG!L12</f>
        <v>7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9158.3599999999988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314"/>
      <c r="P19" s="345"/>
      <c r="Q19" s="346"/>
      <c r="R19" s="223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32"/>
      <c r="P26" s="275"/>
      <c r="Q26" s="266"/>
      <c r="R26" s="267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EINSTELLUNG!O12</f>
        <v>7</v>
      </c>
      <c r="R29" s="264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1.6393442622950821E-2</v>
      </c>
      <c r="R31" s="28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EINSTELLUNG!C12</f>
        <v>7</v>
      </c>
      <c r="R35" s="236"/>
      <c r="S35" s="236">
        <f>EINSTELLUNG!C28</f>
        <v>7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EINSTELLUNG!D12</f>
        <v>7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-7</v>
      </c>
      <c r="V36" s="237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EINSTELLUNG!F12</f>
        <v>7</v>
      </c>
      <c r="R38" s="238"/>
      <c r="S38" s="238">
        <f>EINSTELLUNG!F28</f>
        <v>7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7.637452320476229E-4</v>
      </c>
      <c r="R40" s="236"/>
      <c r="S40" s="236">
        <f>IF(Q13=0, 0, S35/Q13)</f>
        <v>7.637452320476229E-4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7.637452320476229E-4</v>
      </c>
      <c r="R41" s="238"/>
      <c r="S41" s="238">
        <f>IF(Q13=0, 0, S38/Q13)</f>
        <v>7.637452320476229E-4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/ymTmcWS5VE1eO1I9wc037ZCn71DFEkhjeOXlkVr43ex8+aPCfQVlkFu2XHY3Vzvgru6Y8rFv1IT0RRaYP1rrw==" saltValue="iPB1UGnfNpl+Fq9pVh5y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46235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9099.7900000000009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EINSTELLUNG!L29</f>
        <v>8</v>
      </c>
      <c r="R9" s="226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EINSTELLUNG!I29</f>
        <v>8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8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68</v>
      </c>
      <c r="P12" s="225"/>
      <c r="Q12" s="226">
        <f>Q8-Q9-Q10-Q11</f>
        <v>9075.7900000000009</v>
      </c>
      <c r="R12" s="226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70</v>
      </c>
      <c r="P13" s="225"/>
      <c r="Q13" s="226">
        <f>EINSTELLUNG!L13</f>
        <v>8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72</v>
      </c>
      <c r="P14" s="225"/>
      <c r="Q14" s="226">
        <f>Q12-Q13</f>
        <v>9067.7900000000009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EINSTELLUNG!O13</f>
        <v>8</v>
      </c>
      <c r="R29" s="264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1.8518518518518517E-2</v>
      </c>
      <c r="R31" s="280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EINSTELLUNG!C13</f>
        <v>8</v>
      </c>
      <c r="R35" s="236"/>
      <c r="S35" s="236">
        <f>EINSTELLUNG!C29</f>
        <v>8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EINSTELLUNG!D13</f>
        <v>8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-8</v>
      </c>
      <c r="V36" s="237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305">
        <f>IF(ISERROR(S36/S35), 0, S36/S35)</f>
        <v>0</v>
      </c>
      <c r="T37" s="306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EINSTELLUNG!F13</f>
        <v>8</v>
      </c>
      <c r="R38" s="238"/>
      <c r="S38" s="238">
        <f>EINSTELLUNG!F29</f>
        <v>8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IF(Q12=0, 0, Q35/Q12)</f>
        <v>8.8146596604813461E-4</v>
      </c>
      <c r="R40" s="236"/>
      <c r="S40" s="236">
        <f>IF(Q12=0, 0, S35/Q12)</f>
        <v>8.8146596604813461E-4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IF(Q12=0, 0, Q38/Q12)</f>
        <v>8.8146596604813461E-4</v>
      </c>
      <c r="R41" s="238"/>
      <c r="S41" s="238">
        <f>IF(Q12=0, 0, S38/Q12)</f>
        <v>8.8146596604813461E-4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UpsqJ4cMAh+7IBHvqH1x+XjOCZ9/h4pM1n/eyTgoLWGhmP55BifKeWok2CUEoE7qC4l5vUSg/U5sG/dIFZdl2Q==" saltValue="jU1Lrubb5sT6+CdVhZbd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46266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8897.9599999999991</v>
      </c>
      <c r="R8" s="226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EINSTELLUNG!L30</f>
        <v>9</v>
      </c>
      <c r="R9" s="226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EINSTELLUNG!I30</f>
        <v>9</v>
      </c>
      <c r="R10" s="226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9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167</v>
      </c>
      <c r="R12" s="255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8703.9599999999991</v>
      </c>
      <c r="R13" s="226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EINSTELLUNG!L14</f>
        <v>9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8694.9599999999991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EINSTELLUNG!O14</f>
        <v>9</v>
      </c>
      <c r="R29" s="264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1.6949152542372881E-2</v>
      </c>
      <c r="R31" s="280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EINSTELLUNG!C14</f>
        <v>9</v>
      </c>
      <c r="R35" s="236"/>
      <c r="S35" s="236">
        <f>EINSTELLUNG!C30</f>
        <v>9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EINSTELLUNG!D14</f>
        <v>9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-9</v>
      </c>
      <c r="V36" s="237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EINSTELLUNG!F14</f>
        <v>9</v>
      </c>
      <c r="R38" s="238"/>
      <c r="S38" s="238">
        <f>EINSTELLUNG!F30</f>
        <v>9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1.0340121048350408E-3</v>
      </c>
      <c r="R40" s="236"/>
      <c r="S40" s="236">
        <f>IF(Q13=0, 0, S35/Q13)</f>
        <v>1.0340121048350408E-3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1.0340121048350408E-3</v>
      </c>
      <c r="R41" s="238"/>
      <c r="S41" s="238">
        <f>IF(Q13=0, 0, S38/Q13)</f>
        <v>1.0340121048350408E-3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CeGE+9ZNtHSRnMFTnu+P98zBaXjACUTqThvtsERekdcpRt2CwCCJBgS2A3F9VACDlHPhKFbtM2JxyuZIDKQMw==" saltValue="qpazKJRw3lyFRzHpjyeCK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46296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8723.1</v>
      </c>
      <c r="R8" s="226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EINSTELLUNG!L31</f>
        <v>10</v>
      </c>
      <c r="R9" s="226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EINSTELLUNG!I31</f>
        <v>10</v>
      </c>
      <c r="R10" s="226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10</v>
      </c>
      <c r="R11" s="226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-121</v>
      </c>
      <c r="R12" s="255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8814.1</v>
      </c>
      <c r="R13" s="226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EINSTELLUNG!L15</f>
        <v>10</v>
      </c>
      <c r="R14" s="226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8804.1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EINSTELLUNG!O15</f>
        <v>10</v>
      </c>
      <c r="R29" s="264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1.6666666666666666E-2</v>
      </c>
      <c r="R31" s="280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EINSTELLUNG!C15</f>
        <v>10</v>
      </c>
      <c r="R35" s="236"/>
      <c r="S35" s="236">
        <f>EINSTELLUNG!C31</f>
        <v>10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EINSTELLUNG!D15</f>
        <v>10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-10</v>
      </c>
      <c r="V36" s="237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EINSTELLUNG!F15</f>
        <v>10</v>
      </c>
      <c r="R38" s="238"/>
      <c r="S38" s="238">
        <f>EINSTELLUNG!F31</f>
        <v>10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1.1345457845951374E-3</v>
      </c>
      <c r="R40" s="236"/>
      <c r="S40" s="236">
        <f>IF(Q13=0, 0, S35/Q13)</f>
        <v>1.1345457845951374E-3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1.1345457845951374E-3</v>
      </c>
      <c r="R41" s="238"/>
      <c r="S41" s="238">
        <f>IF(Q13=0, 0, S38/Q13)</f>
        <v>1.1345457845951374E-3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vCh0nz4qpa7qiR8jNf6tOQxHXH7ra0XwrKwfoOsrQanj9E/IPFNbFURoEvAJn0ZXuiC88ybrGQ0IqwohU3wew==" saltValue="ZodPZhPRGjqkDFc7uYS7h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46327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8551.9599999999991</v>
      </c>
      <c r="R8" s="226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EINSTELLUNG!L32</f>
        <v>11</v>
      </c>
      <c r="R9" s="226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EINSTELLUNG!I32</f>
        <v>11</v>
      </c>
      <c r="R10" s="226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11</v>
      </c>
      <c r="R11" s="226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68</v>
      </c>
      <c r="P12" s="225"/>
      <c r="Q12" s="226">
        <f>Q8-Q9-Q10-Q11</f>
        <v>8518.9599999999991</v>
      </c>
      <c r="R12" s="226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70</v>
      </c>
      <c r="P13" s="225"/>
      <c r="Q13" s="226">
        <f>EINSTELLUNG!L16</f>
        <v>11</v>
      </c>
      <c r="R13" s="226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72</v>
      </c>
      <c r="P14" s="225"/>
      <c r="Q14" s="226">
        <f>Q12-Q13</f>
        <v>8507.9599999999991</v>
      </c>
      <c r="R14" s="226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9"/>
      <c r="P28" s="270"/>
      <c r="Q28" s="271"/>
      <c r="R28" s="272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61" t="s">
        <v>90</v>
      </c>
      <c r="P29" s="262"/>
      <c r="Q29" s="263">
        <f>EINSTELLUNG!O16</f>
        <v>11</v>
      </c>
      <c r="R29" s="264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1.7857142857142856E-2</v>
      </c>
      <c r="R31" s="280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EINSTELLUNG!C16</f>
        <v>11</v>
      </c>
      <c r="R35" s="236"/>
      <c r="S35" s="236">
        <f>EINSTELLUNG!C32</f>
        <v>11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EINSTELLUNG!D16</f>
        <v>11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-11</v>
      </c>
      <c r="V36" s="237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EINSTELLUNG!F16</f>
        <v>11</v>
      </c>
      <c r="R38" s="238"/>
      <c r="S38" s="238">
        <f>EINSTELLUNG!F32</f>
        <v>11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IF(Q12=0, 0, Q35/Q12)</f>
        <v>1.2912374280428598E-3</v>
      </c>
      <c r="R40" s="236"/>
      <c r="S40" s="236">
        <f>IF(Q12=0, 0, S35/Q12)</f>
        <v>1.2912374280428598E-3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IF(Q12=0, 0, Q38/Q12)</f>
        <v>1.2912374280428598E-3</v>
      </c>
      <c r="R41" s="238"/>
      <c r="S41" s="238">
        <f>IF(Q12=0, 0, S38/Q12)</f>
        <v>1.2912374280428598E-3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OGVhEkLaP4uOJkaqxep0kVXHFeKcpbWGc8PTlX9ECuESeAyvsG2l+QUmoLRGX27tyhBWbDnlFydA6gA7UImRMQ==" saltValue="TjFDqhSTEMXGodPORmtBg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46357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22"/>
      <c r="P4" s="222"/>
      <c r="Q4" s="220"/>
      <c r="R4" s="260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24" t="s">
        <v>58</v>
      </c>
      <c r="P8" s="225"/>
      <c r="Q8" s="226">
        <f>SUM(H3:H82)</f>
        <v>8494.2999999999993</v>
      </c>
      <c r="R8" s="226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24" t="s">
        <v>60</v>
      </c>
      <c r="P9" s="225"/>
      <c r="Q9" s="226">
        <f>EINSTELLUNG!L33</f>
        <v>12</v>
      </c>
      <c r="R9" s="226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24" t="s">
        <v>62</v>
      </c>
      <c r="P10" s="225"/>
      <c r="Q10" s="226">
        <f>EINSTELLUNG!I33</f>
        <v>12</v>
      </c>
      <c r="R10" s="226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24" t="s">
        <v>64</v>
      </c>
      <c r="P11" s="225"/>
      <c r="Q11" s="226">
        <f>P5</f>
        <v>12</v>
      </c>
      <c r="R11" s="226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24" t="s">
        <v>66</v>
      </c>
      <c r="P12" s="225"/>
      <c r="Q12" s="255">
        <v>-303</v>
      </c>
      <c r="R12" s="255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24" t="s">
        <v>68</v>
      </c>
      <c r="P13" s="225"/>
      <c r="Q13" s="226">
        <f>Q8-Q9-Q10-Q11-Q12</f>
        <v>8761.2999999999993</v>
      </c>
      <c r="R13" s="226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24" t="s">
        <v>70</v>
      </c>
      <c r="P14" s="225"/>
      <c r="Q14" s="226">
        <f>EINSTELLUNG!L17</f>
        <v>12</v>
      </c>
      <c r="R14" s="226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24" t="s">
        <v>72</v>
      </c>
      <c r="P15" s="225"/>
      <c r="Q15" s="226">
        <f>Q13-Q14</f>
        <v>8749.2999999999993</v>
      </c>
      <c r="R15" s="226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2" t="s">
        <v>75</v>
      </c>
      <c r="P17" s="233"/>
      <c r="Q17" s="256">
        <f>SUM(L3:L82)</f>
        <v>0</v>
      </c>
      <c r="R17" s="256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14"/>
      <c r="P18" s="345"/>
      <c r="Q18" s="346"/>
      <c r="R18" s="223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14"/>
      <c r="P19" s="345"/>
      <c r="Q19" s="346"/>
      <c r="R19" s="223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14"/>
      <c r="P20" s="345"/>
      <c r="Q20" s="346"/>
      <c r="R20" s="223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14" t="s">
        <v>320</v>
      </c>
      <c r="P21" s="345"/>
      <c r="Q21" s="346">
        <v>5000</v>
      </c>
      <c r="R21" s="223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14"/>
      <c r="P22" s="345"/>
      <c r="Q22" s="346"/>
      <c r="R22" s="223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14"/>
      <c r="P23" s="345"/>
      <c r="Q23" s="346"/>
      <c r="R23" s="223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9"/>
      <c r="P25" s="347"/>
      <c r="Q25" s="348"/>
      <c r="R25" s="265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75"/>
      <c r="P26" s="276"/>
      <c r="Q26" s="266"/>
      <c r="R26" s="267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30"/>
      <c r="P27" s="231"/>
      <c r="Q27" s="223"/>
      <c r="R27" s="268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30"/>
      <c r="P28" s="231"/>
      <c r="Q28" s="223"/>
      <c r="R28" s="268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50" t="s">
        <v>90</v>
      </c>
      <c r="P29" s="351"/>
      <c r="Q29" s="352">
        <f>EINSTELLUNG!O17</f>
        <v>12</v>
      </c>
      <c r="R29" s="35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7">
        <v>0</v>
      </c>
      <c r="P31" s="278"/>
      <c r="Q31" s="279">
        <v>0</v>
      </c>
      <c r="R31" s="280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4" t="s">
        <v>101</v>
      </c>
      <c r="P35" s="235"/>
      <c r="Q35" s="236">
        <f>EINSTELLUNG!C17</f>
        <v>12</v>
      </c>
      <c r="R35" s="236"/>
      <c r="S35" s="236">
        <f>EINSTELLUNG!C33</f>
        <v>12</v>
      </c>
      <c r="T35" s="236"/>
      <c r="U35" s="237">
        <f>S35-Q35</f>
        <v>0</v>
      </c>
      <c r="V35" s="237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4" t="s">
        <v>103</v>
      </c>
      <c r="P36" s="235"/>
      <c r="Q36" s="236">
        <f>EINSTELLUNG!D17</f>
        <v>12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-12</v>
      </c>
      <c r="V36" s="237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4" t="s">
        <v>107</v>
      </c>
      <c r="P38" s="235"/>
      <c r="Q38" s="238">
        <f>EINSTELLUNG!F17</f>
        <v>12</v>
      </c>
      <c r="R38" s="238"/>
      <c r="S38" s="238">
        <f>EINSTELLUNG!F33</f>
        <v>12</v>
      </c>
      <c r="T38" s="238"/>
      <c r="U38" s="239">
        <f t="shared" si="2"/>
        <v>0</v>
      </c>
      <c r="V38" s="239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4" t="s">
        <v>111</v>
      </c>
      <c r="P40" s="235"/>
      <c r="Q40" s="236">
        <f>IF(Q13=0, 0, Q35/Q13)</f>
        <v>1.369659753689521E-3</v>
      </c>
      <c r="R40" s="236"/>
      <c r="S40" s="236">
        <f>IF(Q13=0, 0, S35/Q13)</f>
        <v>1.369659753689521E-3</v>
      </c>
      <c r="T40" s="236"/>
      <c r="U40" s="237">
        <f t="shared" si="2"/>
        <v>0</v>
      </c>
      <c r="V40" s="237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4" t="s">
        <v>113</v>
      </c>
      <c r="P41" s="235"/>
      <c r="Q41" s="238">
        <f>IF(Q13=0, 0, Q38/Q13)</f>
        <v>1.369659753689521E-3</v>
      </c>
      <c r="R41" s="238"/>
      <c r="S41" s="238">
        <f>IF(Q13=0, 0, S38/Q13)</f>
        <v>1.369659753689521E-3</v>
      </c>
      <c r="T41" s="238"/>
      <c r="U41" s="239">
        <f t="shared" si="2"/>
        <v>0</v>
      </c>
      <c r="V41" s="239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4" t="s">
        <v>115</v>
      </c>
      <c r="P42" s="235"/>
      <c r="Q42" s="240">
        <f>IFERROR(Q17/Q8, 0)</f>
        <v>0</v>
      </c>
      <c r="R42" s="241"/>
      <c r="S42" s="241"/>
      <c r="T42" s="241"/>
      <c r="U42" s="241"/>
      <c r="V42" s="242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iuA0WVbXeRFjcequjszhBs9tnkubOXohYDMtjSNHZkW08CmbfHGyNkhb6cArab6+6l2Ie24zm1ojtT6ZtD+eA==" saltValue="LDrFdVxScThEjMk3VRTKR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27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55" t="e">
        <f>"FINANZIELL ÜBERSICHT "&amp;#REF!</f>
        <v>#REF!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2"/>
    </row>
    <row r="3" spans="2:18" ht="15.75" customHeight="1"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2"/>
    </row>
    <row r="4" spans="2:18" ht="30" customHeight="1">
      <c r="B4" s="357"/>
      <c r="C4" s="356" t="s">
        <v>18</v>
      </c>
      <c r="D4" s="356"/>
      <c r="E4" s="356"/>
      <c r="F4" s="356" t="s">
        <v>164</v>
      </c>
      <c r="G4" s="356"/>
      <c r="H4" s="356"/>
      <c r="I4" s="356" t="s">
        <v>165</v>
      </c>
      <c r="J4" s="356"/>
      <c r="K4" s="356"/>
      <c r="L4" s="356" t="s">
        <v>166</v>
      </c>
      <c r="M4" s="356" t="s">
        <v>167</v>
      </c>
      <c r="N4" s="358" t="s">
        <v>168</v>
      </c>
      <c r="O4" s="358"/>
      <c r="P4" s="358"/>
      <c r="Q4" s="358" t="s">
        <v>93</v>
      </c>
    </row>
    <row r="5" spans="2:18" ht="30" customHeight="1">
      <c r="B5" s="357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8"/>
      <c r="O5" s="358"/>
      <c r="P5" s="358"/>
      <c r="Q5" s="358"/>
    </row>
    <row r="6" spans="2:18" ht="30" customHeight="1">
      <c r="B6" s="357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56"/>
      <c r="M6" s="356"/>
      <c r="N6" s="25" t="s">
        <v>172</v>
      </c>
      <c r="O6" s="25" t="s">
        <v>173</v>
      </c>
      <c r="P6" s="26" t="s">
        <v>171</v>
      </c>
      <c r="Q6" s="358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354" t="s">
        <v>190</v>
      </c>
      <c r="C25" s="354"/>
      <c r="D25" s="354"/>
      <c r="E25" s="354"/>
    </row>
    <row r="26" spans="2:17">
      <c r="B26" s="354"/>
      <c r="C26" s="354"/>
      <c r="D26" s="354"/>
      <c r="E26" s="354"/>
    </row>
    <row r="27" spans="2:17">
      <c r="B27" s="354"/>
      <c r="C27" s="354"/>
      <c r="D27" s="354"/>
      <c r="E27" s="354"/>
    </row>
  </sheetData>
  <sheetProtection algorithmName="SHA-512" hashValue="AzGdmKqiYrTADW0f2SYOcjw3N2JhouwIMDXCwrtJY/4BW+KD+rfkxBPCx0YywTRc8ZeMl+0kgN+D7OUKC1XyIw==" saltValue="bGk6uY6MGXhY94tuYB511A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BQF0X/jl9fCCzn8iYr7+fl6IibheQNuxI4arRdMuMZ5GcCaTQYrv1aMLZcEo9m564wdf2ZYD1kmUmCBMr4RN4A==" saltValue="cJ86ynpVhO1v5FUNfDHnp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9" customWidth="1"/>
    <col min="2" max="2" width="20.83203125" style="189" customWidth="1"/>
    <col min="3" max="5" width="26.83203125" style="189" customWidth="1"/>
    <col min="6" max="7" width="18.83203125" style="189" customWidth="1"/>
    <col min="8" max="8" width="22.83203125" style="189" customWidth="1"/>
    <col min="9" max="12" width="36.83203125" style="189" customWidth="1"/>
    <col min="13" max="15" width="10.83203125" style="189"/>
    <col min="16" max="19" width="2.83203125" style="189" customWidth="1"/>
    <col min="20" max="16384" width="10.83203125" style="189"/>
  </cols>
  <sheetData>
    <row r="1" spans="1:17" ht="44" customHeight="1">
      <c r="A1" s="360" t="s">
        <v>362</v>
      </c>
      <c r="B1" s="361"/>
      <c r="C1" s="361"/>
      <c r="D1" s="361"/>
      <c r="E1" s="361"/>
      <c r="P1" s="189" t="s">
        <v>217</v>
      </c>
      <c r="Q1" s="189" t="s">
        <v>229</v>
      </c>
    </row>
    <row r="2" spans="1:17" ht="15" customHeight="1">
      <c r="A2" s="190" t="s">
        <v>363</v>
      </c>
      <c r="B2" s="190">
        <v>2026</v>
      </c>
      <c r="C2" s="190" t="s">
        <v>364</v>
      </c>
      <c r="D2" s="193" t="s">
        <v>365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362" t="s">
        <v>366</v>
      </c>
      <c r="B4" s="363"/>
      <c r="C4" s="363"/>
      <c r="D4" s="363"/>
      <c r="E4" s="363"/>
      <c r="P4" s="189" t="s">
        <v>321</v>
      </c>
      <c r="Q4" s="189">
        <v>1</v>
      </c>
    </row>
    <row r="5" spans="1:17" ht="30" customHeight="1">
      <c r="A5" s="370" t="s">
        <v>300</v>
      </c>
      <c r="B5" s="372" t="s">
        <v>360</v>
      </c>
      <c r="C5" s="364" t="s">
        <v>367</v>
      </c>
      <c r="D5" s="365"/>
      <c r="E5" s="366"/>
      <c r="P5" s="189" t="s">
        <v>182</v>
      </c>
      <c r="Q5" s="189">
        <v>1</v>
      </c>
    </row>
    <row r="6" spans="1:17" ht="30" customHeight="1" thickBot="1">
      <c r="A6" s="371"/>
      <c r="B6" s="371"/>
      <c r="C6" s="367"/>
      <c r="D6" s="368"/>
      <c r="E6" s="369"/>
      <c r="P6" s="189" t="s">
        <v>183</v>
      </c>
      <c r="Q6" s="189">
        <v>2</v>
      </c>
    </row>
    <row r="7" spans="1:17" ht="15" customHeight="1">
      <c r="P7" s="189" t="s">
        <v>184</v>
      </c>
      <c r="Q7" s="189">
        <v>1</v>
      </c>
    </row>
    <row r="8" spans="1:17" ht="30" customHeight="1">
      <c r="A8" s="196" t="s">
        <v>223</v>
      </c>
      <c r="B8" s="196" t="s">
        <v>368</v>
      </c>
      <c r="C8" s="196" t="s">
        <v>225</v>
      </c>
      <c r="D8" s="196" t="s">
        <v>369</v>
      </c>
      <c r="E8" s="196" t="s">
        <v>370</v>
      </c>
      <c r="P8" s="189" t="s">
        <v>186</v>
      </c>
      <c r="Q8" s="189">
        <v>1</v>
      </c>
    </row>
    <row r="9" spans="1:17" ht="22" customHeight="1">
      <c r="A9" s="185">
        <v>9</v>
      </c>
      <c r="B9" s="194">
        <v>5.1724137931034482E-2</v>
      </c>
      <c r="C9" s="195">
        <v>8.25</v>
      </c>
      <c r="D9" s="185">
        <v>6</v>
      </c>
      <c r="E9" s="185">
        <v>0</v>
      </c>
      <c r="P9" s="189" t="s">
        <v>187</v>
      </c>
      <c r="Q9" s="189">
        <v>1</v>
      </c>
    </row>
    <row r="11" spans="1:17" ht="15" customHeight="1">
      <c r="A11" s="191" t="s">
        <v>371</v>
      </c>
    </row>
    <row r="12" spans="1:17" ht="22" customHeight="1">
      <c r="A12" s="192" t="s">
        <v>372</v>
      </c>
      <c r="B12" s="192" t="s">
        <v>373</v>
      </c>
      <c r="C12" s="192" t="s">
        <v>374</v>
      </c>
      <c r="D12" s="373" t="s">
        <v>375</v>
      </c>
      <c r="E12" s="373"/>
    </row>
    <row r="13" spans="1:17" ht="57.25" customHeight="1">
      <c r="A13" s="185">
        <v>1</v>
      </c>
      <c r="B13" s="184" t="s">
        <v>230</v>
      </c>
      <c r="C13" s="184" t="s">
        <v>389</v>
      </c>
      <c r="D13" s="359" t="s">
        <v>376</v>
      </c>
      <c r="E13" s="359"/>
    </row>
    <row r="14" spans="1:17" ht="73" customHeight="1">
      <c r="A14" s="185">
        <v>2</v>
      </c>
      <c r="B14" s="184" t="s">
        <v>230</v>
      </c>
      <c r="C14" s="184" t="s">
        <v>390</v>
      </c>
      <c r="D14" s="359" t="s">
        <v>376</v>
      </c>
      <c r="E14" s="359"/>
    </row>
    <row r="15" spans="1:17" ht="73" customHeight="1">
      <c r="A15" s="185">
        <v>3</v>
      </c>
      <c r="B15" s="184" t="s">
        <v>377</v>
      </c>
      <c r="C15" s="184" t="s">
        <v>391</v>
      </c>
      <c r="D15" s="359" t="s">
        <v>378</v>
      </c>
      <c r="E15" s="359"/>
    </row>
    <row r="16" spans="1:17" ht="57.25" customHeight="1">
      <c r="A16" s="185">
        <v>4</v>
      </c>
      <c r="B16" s="184" t="s">
        <v>231</v>
      </c>
      <c r="C16" s="184" t="s">
        <v>392</v>
      </c>
      <c r="D16" s="359" t="s">
        <v>379</v>
      </c>
      <c r="E16" s="359"/>
    </row>
    <row r="17" spans="1:17" ht="57.25" customHeight="1">
      <c r="A17" s="185">
        <v>5</v>
      </c>
      <c r="B17" s="184" t="s">
        <v>377</v>
      </c>
      <c r="C17" s="184" t="s">
        <v>393</v>
      </c>
      <c r="D17" s="359" t="s">
        <v>378</v>
      </c>
      <c r="E17" s="359"/>
    </row>
    <row r="18" spans="1:17" ht="57.25" customHeight="1">
      <c r="A18" s="185">
        <v>6</v>
      </c>
      <c r="B18" s="184" t="s">
        <v>231</v>
      </c>
      <c r="C18" s="184" t="s">
        <v>394</v>
      </c>
      <c r="D18" s="359" t="s">
        <v>379</v>
      </c>
      <c r="E18" s="359"/>
    </row>
    <row r="20" spans="1:17" ht="15" customHeight="1">
      <c r="P20" s="189" t="s">
        <v>222</v>
      </c>
      <c r="Q20" s="189" t="s">
        <v>385</v>
      </c>
    </row>
    <row r="21" spans="1:17" ht="15" customHeight="1">
      <c r="A21" s="191" t="s">
        <v>380</v>
      </c>
      <c r="P21" s="189" t="s">
        <v>323</v>
      </c>
      <c r="Q21" s="189">
        <v>2</v>
      </c>
    </row>
    <row r="22" spans="1:17" ht="41.5" customHeight="1">
      <c r="A22" s="185">
        <v>1</v>
      </c>
      <c r="B22" s="359" t="s">
        <v>381</v>
      </c>
      <c r="C22" s="359"/>
      <c r="D22" s="359"/>
      <c r="E22" s="359"/>
      <c r="P22" s="189" t="s">
        <v>350</v>
      </c>
      <c r="Q22" s="189">
        <v>2</v>
      </c>
    </row>
    <row r="23" spans="1:17" ht="41.5" customHeight="1">
      <c r="A23" s="185">
        <v>2</v>
      </c>
      <c r="B23" s="359" t="s">
        <v>382</v>
      </c>
      <c r="C23" s="359"/>
      <c r="D23" s="359"/>
      <c r="E23" s="359"/>
      <c r="P23" s="189" t="s">
        <v>227</v>
      </c>
      <c r="Q23" s="189">
        <v>2</v>
      </c>
    </row>
    <row r="24" spans="1:17" ht="41.5" customHeight="1">
      <c r="A24" s="185">
        <v>3</v>
      </c>
      <c r="B24" s="359" t="s">
        <v>383</v>
      </c>
      <c r="C24" s="359"/>
      <c r="D24" s="359"/>
      <c r="E24" s="359"/>
      <c r="P24" s="189" t="s">
        <v>386</v>
      </c>
      <c r="Q24" s="189">
        <v>3</v>
      </c>
    </row>
    <row r="25" spans="1:17" ht="41.5" customHeight="1">
      <c r="A25" s="185">
        <v>4</v>
      </c>
      <c r="B25" s="359" t="s">
        <v>384</v>
      </c>
      <c r="C25" s="359"/>
      <c r="D25" s="359"/>
      <c r="E25" s="359"/>
    </row>
    <row r="27" spans="1:17" ht="15" customHeight="1">
      <c r="A27" s="374" t="s">
        <v>387</v>
      </c>
      <c r="B27" s="374"/>
      <c r="C27" s="374"/>
      <c r="D27" s="374"/>
      <c r="E27" s="374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385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4</v>
      </c>
    </row>
    <row r="44" spans="18:19" ht="18" customHeight="1">
      <c r="R44" s="189" t="s">
        <v>206</v>
      </c>
      <c r="S44" s="18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76" t="s">
        <v>388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</row>
    <row r="63" spans="1:12" ht="15" customHeight="1">
      <c r="A63" s="185" t="s">
        <v>217</v>
      </c>
      <c r="B63" s="185" t="s">
        <v>229</v>
      </c>
      <c r="C63" s="185" t="s">
        <v>233</v>
      </c>
      <c r="D63" s="185" t="s">
        <v>225</v>
      </c>
      <c r="E63" s="185" t="s">
        <v>288</v>
      </c>
      <c r="F63" s="185" t="s">
        <v>323</v>
      </c>
      <c r="G63" s="185" t="s">
        <v>350</v>
      </c>
      <c r="H63" s="185" t="s">
        <v>227</v>
      </c>
      <c r="I63" s="185" t="s">
        <v>308</v>
      </c>
      <c r="J63" s="185" t="s">
        <v>306</v>
      </c>
      <c r="K63" s="185"/>
      <c r="L63" s="185"/>
    </row>
    <row r="64" spans="1:12" ht="42" customHeight="1">
      <c r="A64" s="186" t="s">
        <v>289</v>
      </c>
      <c r="B64" s="186">
        <v>1</v>
      </c>
      <c r="C64" s="187">
        <v>1.9607843137254902E-2</v>
      </c>
      <c r="D64" s="188">
        <v>0.625</v>
      </c>
      <c r="E64" s="188">
        <v>0.625</v>
      </c>
      <c r="F64" s="186">
        <v>0</v>
      </c>
      <c r="G64" s="186">
        <v>0</v>
      </c>
      <c r="H64" s="186">
        <v>0</v>
      </c>
      <c r="I64" s="184" t="s">
        <v>309</v>
      </c>
      <c r="J64" s="359" t="s">
        <v>291</v>
      </c>
      <c r="K64" s="359"/>
      <c r="L64" s="359"/>
    </row>
    <row r="65" spans="1:12" ht="42" customHeight="1">
      <c r="A65" s="186" t="s">
        <v>349</v>
      </c>
      <c r="B65" s="186">
        <v>1</v>
      </c>
      <c r="C65" s="187">
        <v>1.7241379310344827E-2</v>
      </c>
      <c r="D65" s="188">
        <v>0.22499999999999998</v>
      </c>
      <c r="E65" s="188">
        <v>0.22499999999999998</v>
      </c>
      <c r="F65" s="186">
        <v>1</v>
      </c>
      <c r="G65" s="186">
        <v>0</v>
      </c>
      <c r="H65" s="186">
        <v>0</v>
      </c>
      <c r="I65" s="184" t="s">
        <v>361</v>
      </c>
      <c r="J65" s="359" t="s">
        <v>325</v>
      </c>
      <c r="K65" s="359"/>
      <c r="L65" s="359"/>
    </row>
    <row r="66" spans="1:12" ht="42" customHeight="1">
      <c r="A66" s="186" t="s">
        <v>321</v>
      </c>
      <c r="B66" s="186">
        <v>1</v>
      </c>
      <c r="C66" s="187">
        <v>1.6949152542372881E-2</v>
      </c>
      <c r="D66" s="188">
        <v>0.5</v>
      </c>
      <c r="E66" s="188">
        <v>0.5</v>
      </c>
      <c r="F66" s="186">
        <v>1</v>
      </c>
      <c r="G66" s="186">
        <v>0</v>
      </c>
      <c r="H66" s="186">
        <v>0</v>
      </c>
      <c r="I66" s="184" t="s">
        <v>324</v>
      </c>
      <c r="J66" s="359" t="s">
        <v>325</v>
      </c>
      <c r="K66" s="359"/>
      <c r="L66" s="359"/>
    </row>
    <row r="67" spans="1:12" ht="42" customHeight="1">
      <c r="A67" s="186" t="s">
        <v>182</v>
      </c>
      <c r="B67" s="186">
        <v>1</v>
      </c>
      <c r="C67" s="187">
        <v>1.6393442622950821E-2</v>
      </c>
      <c r="D67" s="188">
        <v>1.6500000000000001</v>
      </c>
      <c r="E67" s="188">
        <v>1.6500000000000001</v>
      </c>
      <c r="F67" s="186">
        <v>0</v>
      </c>
      <c r="G67" s="186">
        <v>1</v>
      </c>
      <c r="H67" s="186">
        <v>0</v>
      </c>
      <c r="I67" s="184" t="s">
        <v>359</v>
      </c>
      <c r="J67" s="359" t="s">
        <v>351</v>
      </c>
      <c r="K67" s="359"/>
      <c r="L67" s="359"/>
    </row>
    <row r="68" spans="1:12" ht="42" customHeight="1">
      <c r="A68" s="186" t="s">
        <v>183</v>
      </c>
      <c r="B68" s="186">
        <v>2</v>
      </c>
      <c r="C68" s="187">
        <v>3.3898305084745763E-2</v>
      </c>
      <c r="D68" s="188">
        <v>1.5</v>
      </c>
      <c r="E68" s="188">
        <v>0.75</v>
      </c>
      <c r="F68" s="186">
        <v>0</v>
      </c>
      <c r="G68" s="186">
        <v>0</v>
      </c>
      <c r="H68" s="186">
        <v>1</v>
      </c>
      <c r="I68" s="184" t="s">
        <v>355</v>
      </c>
      <c r="J68" s="359" t="s">
        <v>327</v>
      </c>
      <c r="K68" s="359"/>
      <c r="L68" s="359"/>
    </row>
    <row r="69" spans="1:12" ht="42" customHeight="1">
      <c r="A69" s="186" t="s">
        <v>184</v>
      </c>
      <c r="B69" s="186">
        <v>1</v>
      </c>
      <c r="C69" s="187">
        <v>1.7241379310344827E-2</v>
      </c>
      <c r="D69" s="188">
        <v>0.75</v>
      </c>
      <c r="E69" s="188">
        <v>0.75</v>
      </c>
      <c r="F69" s="186">
        <v>0</v>
      </c>
      <c r="G69" s="186">
        <v>0</v>
      </c>
      <c r="H69" s="186">
        <v>0</v>
      </c>
      <c r="I69" s="184" t="s">
        <v>309</v>
      </c>
      <c r="J69" s="359" t="s">
        <v>291</v>
      </c>
      <c r="K69" s="359"/>
      <c r="L69" s="359"/>
    </row>
    <row r="70" spans="1:12" ht="42" customHeight="1">
      <c r="A70" s="186" t="s">
        <v>186</v>
      </c>
      <c r="B70" s="186">
        <v>1</v>
      </c>
      <c r="C70" s="187">
        <v>1.7543859649122806E-2</v>
      </c>
      <c r="D70" s="188">
        <v>2</v>
      </c>
      <c r="E70" s="188">
        <v>2</v>
      </c>
      <c r="F70" s="186">
        <v>0</v>
      </c>
      <c r="G70" s="186">
        <v>1</v>
      </c>
      <c r="H70" s="186">
        <v>0</v>
      </c>
      <c r="I70" s="184" t="s">
        <v>324</v>
      </c>
      <c r="J70" s="359" t="s">
        <v>351</v>
      </c>
      <c r="K70" s="359"/>
      <c r="L70" s="359"/>
    </row>
    <row r="71" spans="1:12" ht="42" customHeight="1">
      <c r="A71" s="186" t="s">
        <v>187</v>
      </c>
      <c r="B71" s="186">
        <v>1</v>
      </c>
      <c r="C71" s="187">
        <v>1.7857142857142856E-2</v>
      </c>
      <c r="D71" s="188">
        <v>1</v>
      </c>
      <c r="E71" s="188">
        <v>1</v>
      </c>
      <c r="F71" s="186">
        <v>0</v>
      </c>
      <c r="G71" s="186">
        <v>0</v>
      </c>
      <c r="H71" s="186">
        <v>1</v>
      </c>
      <c r="I71" s="184" t="s">
        <v>324</v>
      </c>
      <c r="J71" s="359" t="s">
        <v>327</v>
      </c>
      <c r="K71" s="359"/>
      <c r="L71" s="359"/>
    </row>
    <row r="75" spans="1:12" ht="15" customHeight="1">
      <c r="A75" s="377" t="s">
        <v>310</v>
      </c>
      <c r="B75" s="378"/>
      <c r="C75" s="378"/>
      <c r="D75" s="378"/>
      <c r="E75" s="378"/>
    </row>
    <row r="76" spans="1:12" ht="41.5" customHeight="1">
      <c r="A76" s="192" t="s">
        <v>232</v>
      </c>
      <c r="B76" s="375" t="s">
        <v>234</v>
      </c>
      <c r="C76" s="375"/>
      <c r="D76" s="375"/>
      <c r="E76" s="375"/>
    </row>
    <row r="77" spans="1:12" ht="41.5" customHeight="1">
      <c r="A77" s="192" t="s">
        <v>225</v>
      </c>
      <c r="B77" s="375" t="s">
        <v>311</v>
      </c>
      <c r="C77" s="375"/>
      <c r="D77" s="375"/>
      <c r="E77" s="375"/>
    </row>
    <row r="78" spans="1:12" ht="41.5" customHeight="1">
      <c r="A78" s="192" t="s">
        <v>287</v>
      </c>
      <c r="B78" s="375" t="s">
        <v>312</v>
      </c>
      <c r="C78" s="375"/>
      <c r="D78" s="375"/>
      <c r="E78" s="375"/>
    </row>
    <row r="79" spans="1:12" ht="41.5" customHeight="1">
      <c r="A79" s="192" t="s">
        <v>230</v>
      </c>
      <c r="B79" s="375" t="s">
        <v>313</v>
      </c>
      <c r="C79" s="375"/>
      <c r="D79" s="375"/>
      <c r="E79" s="375"/>
    </row>
    <row r="80" spans="1:12" ht="41.5" customHeight="1">
      <c r="A80" s="192" t="s">
        <v>226</v>
      </c>
      <c r="B80" s="375" t="s">
        <v>314</v>
      </c>
      <c r="C80" s="375"/>
      <c r="D80" s="375"/>
      <c r="E80" s="375"/>
    </row>
    <row r="81" spans="1:5" ht="41.5" customHeight="1">
      <c r="A81" s="192" t="s">
        <v>231</v>
      </c>
      <c r="B81" s="375" t="s">
        <v>315</v>
      </c>
      <c r="C81" s="375"/>
      <c r="D81" s="375"/>
      <c r="E81" s="375"/>
    </row>
    <row r="82" spans="1:5" ht="28" customHeight="1">
      <c r="A82" s="192" t="s">
        <v>228</v>
      </c>
      <c r="B82" s="375" t="s">
        <v>316</v>
      </c>
      <c r="C82" s="375"/>
      <c r="D82" s="375"/>
      <c r="E82" s="375"/>
    </row>
    <row r="83" spans="1:5" ht="28" customHeight="1">
      <c r="A83" s="192" t="s">
        <v>317</v>
      </c>
      <c r="B83" s="375" t="s">
        <v>318</v>
      </c>
      <c r="C83" s="375"/>
      <c r="D83" s="375"/>
      <c r="E83" s="375"/>
    </row>
  </sheetData>
  <sheetProtection algorithmName="SHA-512" hashValue="LUwn9sOMsNAI5HkNqMiE07B7HcK10/434SPY+w43Mdv6DzlDlaFkfzJoWMUKUJ/MSqfBFfWJCYO4ynhZVCrlxA==" saltValue="tdpt1QftptqKzL7l+rpMaQ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s760h8BI+T3DHpxb98E94CAZ9p5aKOoFgLQgXWl46B9zpnUPQZ/rbPVLMwnvtFmCcqDnqxv1ou8ESCradVo18w==" saltValue="6pjrr8D9ChgYMvfbXLRhn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SZonN263a89sJTmUDSb7WexmlNZ+o1FZqz0uS9GmxTZLL3pLo0lOpQJA/Ec9xExZo7c1krwGXB2QgpoXwPSBkw==" saltValue="OByq2bI2Csj+0Ro99R5YG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gPvlk846+lFcrE/hANDdycLPTf/nm2a9VxGnjNcGERViSidsdVpaL5ZtjYo/+zoYZgW+qVqoQn6Ddhagv5sdzw==" saltValue="oLAStQrsDPDXkzVGdRD7dQ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2026-05-22T07:18:26Z</dcterms:modified>
  <cp:category/>
  <cp:contentStatus/>
</cp:coreProperties>
</file>
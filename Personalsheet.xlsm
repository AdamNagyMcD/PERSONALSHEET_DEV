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CC1E09BC-6CF9-574C-B9EE-6326212047B2}" xr6:coauthVersionLast="47" xr6:coauthVersionMax="47" xr10:uidLastSave="{00000000-0000-0000-0000-000000000000}"/>
  <bookViews>
    <workbookView xWindow="80" yWindow="780" windowWidth="34040" windowHeight="19900" tabRatio="677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5" l="1"/>
  <c r="K4" i="35"/>
  <c r="K5" i="35"/>
  <c r="K6" i="35"/>
  <c r="K7" i="35"/>
  <c r="L7" i="35" s="1"/>
  <c r="K8" i="35"/>
  <c r="K9" i="35"/>
  <c r="K10" i="35"/>
  <c r="K11" i="35"/>
  <c r="K12" i="35"/>
  <c r="K13" i="35"/>
  <c r="K14" i="35"/>
  <c r="K15" i="35"/>
  <c r="L15" i="35" s="1"/>
  <c r="K16" i="35"/>
  <c r="K17" i="35"/>
  <c r="K18" i="35"/>
  <c r="K19" i="35"/>
  <c r="K20" i="35"/>
  <c r="K21" i="35"/>
  <c r="K22" i="35"/>
  <c r="K23" i="35"/>
  <c r="L23" i="35" s="1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L74" i="35" s="1"/>
  <c r="K75" i="35"/>
  <c r="K76" i="35"/>
  <c r="K77" i="35"/>
  <c r="K78" i="35"/>
  <c r="K79" i="35"/>
  <c r="K80" i="35"/>
  <c r="K81" i="35"/>
  <c r="K82" i="35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3" i="36"/>
  <c r="K4" i="36"/>
  <c r="K5" i="36"/>
  <c r="K6" i="36"/>
  <c r="K7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63" i="36"/>
  <c r="K64" i="36"/>
  <c r="K65" i="36"/>
  <c r="K66" i="36"/>
  <c r="K67" i="36"/>
  <c r="K68" i="36"/>
  <c r="K69" i="36"/>
  <c r="K70" i="36"/>
  <c r="K71" i="36"/>
  <c r="K72" i="36"/>
  <c r="K73" i="36"/>
  <c r="K74" i="36"/>
  <c r="K75" i="36"/>
  <c r="K76" i="36"/>
  <c r="K77" i="36"/>
  <c r="K78" i="36"/>
  <c r="K79" i="36"/>
  <c r="K80" i="36"/>
  <c r="K81" i="36"/>
  <c r="K82" i="36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3" i="33"/>
  <c r="K4" i="33"/>
  <c r="K5" i="33"/>
  <c r="K6" i="33"/>
  <c r="L6" i="33" s="1"/>
  <c r="K7" i="33"/>
  <c r="K8" i="33"/>
  <c r="K9" i="33"/>
  <c r="K10" i="33"/>
  <c r="K11" i="33"/>
  <c r="K12" i="33"/>
  <c r="K13" i="33"/>
  <c r="K14" i="33"/>
  <c r="K15" i="33"/>
  <c r="K16" i="33"/>
  <c r="K17" i="33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45" i="33"/>
  <c r="K46" i="33"/>
  <c r="K47" i="33"/>
  <c r="K48" i="33"/>
  <c r="K49" i="33"/>
  <c r="K50" i="33"/>
  <c r="K51" i="33"/>
  <c r="K52" i="33"/>
  <c r="K53" i="33"/>
  <c r="K54" i="33"/>
  <c r="K55" i="33"/>
  <c r="K56" i="33"/>
  <c r="K57" i="33"/>
  <c r="K5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3" i="32"/>
  <c r="K4" i="32"/>
  <c r="K5" i="32"/>
  <c r="K6" i="32"/>
  <c r="K7" i="32"/>
  <c r="K8" i="32"/>
  <c r="K9" i="32"/>
  <c r="K10" i="32"/>
  <c r="K11" i="32"/>
  <c r="K12" i="32"/>
  <c r="K13" i="32"/>
  <c r="K14" i="32"/>
  <c r="K15" i="32"/>
  <c r="K16" i="32"/>
  <c r="K17" i="32"/>
  <c r="K18" i="32"/>
  <c r="K19" i="32"/>
  <c r="K20" i="32"/>
  <c r="K21" i="32"/>
  <c r="K22" i="32"/>
  <c r="K23" i="32"/>
  <c r="K24" i="32"/>
  <c r="K25" i="32"/>
  <c r="K26" i="32"/>
  <c r="K27" i="32"/>
  <c r="K28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K43" i="32"/>
  <c r="K44" i="32"/>
  <c r="K45" i="32"/>
  <c r="K46" i="32"/>
  <c r="K47" i="32"/>
  <c r="K48" i="32"/>
  <c r="K49" i="32"/>
  <c r="K50" i="32"/>
  <c r="K51" i="32"/>
  <c r="K52" i="32"/>
  <c r="K53" i="32"/>
  <c r="K54" i="32"/>
  <c r="K5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L78" i="32" s="1"/>
  <c r="K79" i="32"/>
  <c r="K80" i="32"/>
  <c r="K81" i="32"/>
  <c r="K82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3" i="31"/>
  <c r="K4" i="31"/>
  <c r="K5" i="31"/>
  <c r="K6" i="31"/>
  <c r="K7" i="31"/>
  <c r="K8" i="31"/>
  <c r="K9" i="31"/>
  <c r="K10" i="31"/>
  <c r="K11" i="31"/>
  <c r="K12" i="31"/>
  <c r="K13" i="31"/>
  <c r="K14" i="31"/>
  <c r="K15" i="31"/>
  <c r="K16" i="31"/>
  <c r="K17" i="31"/>
  <c r="K18" i="31"/>
  <c r="K19" i="31"/>
  <c r="K20" i="31"/>
  <c r="K21" i="31"/>
  <c r="K22" i="31"/>
  <c r="L22" i="31" s="1"/>
  <c r="K23" i="31"/>
  <c r="K24" i="31"/>
  <c r="K25" i="31"/>
  <c r="K26" i="31"/>
  <c r="K27" i="31"/>
  <c r="K28" i="31"/>
  <c r="K29" i="31"/>
  <c r="K30" i="31"/>
  <c r="L30" i="31" s="1"/>
  <c r="K31" i="31"/>
  <c r="K32" i="31"/>
  <c r="K33" i="31"/>
  <c r="K34" i="31"/>
  <c r="K35" i="31"/>
  <c r="K36" i="31"/>
  <c r="K37" i="31"/>
  <c r="K38" i="31"/>
  <c r="L38" i="31" s="1"/>
  <c r="K39" i="31"/>
  <c r="K40" i="31"/>
  <c r="K41" i="31"/>
  <c r="K42" i="31"/>
  <c r="K43" i="31"/>
  <c r="K44" i="31"/>
  <c r="K45" i="31"/>
  <c r="K46" i="31"/>
  <c r="L46" i="31" s="1"/>
  <c r="K47" i="31"/>
  <c r="K48" i="31"/>
  <c r="K49" i="31"/>
  <c r="K50" i="31"/>
  <c r="K51" i="31"/>
  <c r="K52" i="31"/>
  <c r="K53" i="31"/>
  <c r="K54" i="31"/>
  <c r="L54" i="31" s="1"/>
  <c r="K55" i="31"/>
  <c r="K56" i="31"/>
  <c r="K57" i="31"/>
  <c r="K58" i="31"/>
  <c r="K59" i="31"/>
  <c r="K60" i="31"/>
  <c r="K61" i="31"/>
  <c r="K62" i="31"/>
  <c r="K63" i="31"/>
  <c r="K64" i="31"/>
  <c r="K65" i="31"/>
  <c r="K66" i="31"/>
  <c r="K67" i="31"/>
  <c r="K68" i="31"/>
  <c r="K69" i="31"/>
  <c r="K70" i="31"/>
  <c r="K71" i="31"/>
  <c r="K72" i="31"/>
  <c r="K73" i="31"/>
  <c r="K74" i="31"/>
  <c r="K75" i="31"/>
  <c r="K76" i="31"/>
  <c r="K77" i="31"/>
  <c r="K78" i="31"/>
  <c r="K79" i="31"/>
  <c r="K80" i="31"/>
  <c r="K81" i="31"/>
  <c r="K82" i="3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L3" i="35"/>
  <c r="L4" i="35"/>
  <c r="L5" i="35"/>
  <c r="L6" i="35"/>
  <c r="L8" i="35"/>
  <c r="L9" i="35"/>
  <c r="L10" i="35"/>
  <c r="L11" i="35"/>
  <c r="L12" i="35"/>
  <c r="L13" i="35"/>
  <c r="L14" i="35"/>
  <c r="L16" i="35"/>
  <c r="L17" i="35"/>
  <c r="L18" i="35"/>
  <c r="L19" i="35"/>
  <c r="L20" i="35"/>
  <c r="L21" i="35"/>
  <c r="L22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5" i="35"/>
  <c r="L76" i="35"/>
  <c r="L77" i="35"/>
  <c r="L78" i="35"/>
  <c r="L79" i="35"/>
  <c r="L80" i="35"/>
  <c r="L81" i="35"/>
  <c r="L82" i="35"/>
  <c r="L3" i="36"/>
  <c r="L4" i="36"/>
  <c r="L5" i="36"/>
  <c r="L6" i="36"/>
  <c r="L7" i="36"/>
  <c r="L8" i="36"/>
  <c r="L9" i="36"/>
  <c r="L10" i="36"/>
  <c r="L11" i="36"/>
  <c r="L12" i="36"/>
  <c r="L13" i="36"/>
  <c r="L14" i="36"/>
  <c r="L15" i="36"/>
  <c r="L16" i="36"/>
  <c r="L17" i="36"/>
  <c r="L18" i="36"/>
  <c r="L19" i="36"/>
  <c r="L20" i="36"/>
  <c r="L21" i="36"/>
  <c r="L22" i="36"/>
  <c r="L23" i="36"/>
  <c r="L24" i="36"/>
  <c r="L25" i="36"/>
  <c r="L26" i="36"/>
  <c r="L27" i="36"/>
  <c r="L28" i="36"/>
  <c r="L29" i="36"/>
  <c r="L30" i="36"/>
  <c r="L31" i="36"/>
  <c r="L32" i="36"/>
  <c r="L33" i="36"/>
  <c r="L34" i="36"/>
  <c r="L35" i="36"/>
  <c r="L36" i="36"/>
  <c r="L37" i="36"/>
  <c r="L38" i="36"/>
  <c r="L39" i="36"/>
  <c r="L40" i="36"/>
  <c r="L41" i="36"/>
  <c r="L42" i="36"/>
  <c r="L43" i="36"/>
  <c r="L44" i="36"/>
  <c r="L45" i="36"/>
  <c r="L46" i="36"/>
  <c r="L47" i="36"/>
  <c r="L48" i="36"/>
  <c r="L49" i="36"/>
  <c r="L50" i="36"/>
  <c r="L51" i="36"/>
  <c r="L52" i="36"/>
  <c r="L53" i="36"/>
  <c r="L54" i="36"/>
  <c r="L55" i="36"/>
  <c r="L56" i="36"/>
  <c r="L57" i="36"/>
  <c r="L58" i="36"/>
  <c r="L59" i="36"/>
  <c r="L60" i="36"/>
  <c r="L61" i="36"/>
  <c r="L62" i="36"/>
  <c r="L63" i="36"/>
  <c r="L64" i="36"/>
  <c r="L65" i="36"/>
  <c r="L66" i="36"/>
  <c r="L67" i="36"/>
  <c r="L68" i="36"/>
  <c r="L69" i="36"/>
  <c r="L70" i="36"/>
  <c r="L71" i="36"/>
  <c r="L72" i="36"/>
  <c r="L73" i="36"/>
  <c r="L74" i="36"/>
  <c r="L75" i="36"/>
  <c r="L76" i="36"/>
  <c r="L77" i="36"/>
  <c r="L78" i="36"/>
  <c r="L79" i="36"/>
  <c r="L80" i="36"/>
  <c r="L81" i="36"/>
  <c r="L82" i="36"/>
  <c r="L3" i="33"/>
  <c r="L4" i="33"/>
  <c r="L5" i="33"/>
  <c r="L7" i="33"/>
  <c r="L8" i="33"/>
  <c r="L9" i="33"/>
  <c r="L10" i="33"/>
  <c r="L11" i="33"/>
  <c r="L12" i="33"/>
  <c r="L13" i="33"/>
  <c r="L14" i="33"/>
  <c r="L15" i="33"/>
  <c r="L16" i="33"/>
  <c r="L17" i="33"/>
  <c r="L18" i="33"/>
  <c r="L19" i="33"/>
  <c r="L20" i="33"/>
  <c r="L21" i="33"/>
  <c r="L22" i="33"/>
  <c r="L23" i="33"/>
  <c r="L24" i="33"/>
  <c r="L25" i="33"/>
  <c r="L26" i="33"/>
  <c r="L27" i="33"/>
  <c r="L28" i="33"/>
  <c r="L29" i="33"/>
  <c r="L30" i="33"/>
  <c r="L31" i="33"/>
  <c r="L32" i="33"/>
  <c r="L33" i="33"/>
  <c r="L34" i="33"/>
  <c r="L35" i="33"/>
  <c r="L36" i="33"/>
  <c r="L37" i="33"/>
  <c r="L38" i="33"/>
  <c r="L39" i="33"/>
  <c r="L40" i="33"/>
  <c r="L41" i="33"/>
  <c r="L42" i="33"/>
  <c r="L43" i="33"/>
  <c r="L44" i="33"/>
  <c r="L45" i="33"/>
  <c r="L46" i="33"/>
  <c r="L47" i="33"/>
  <c r="L48" i="33"/>
  <c r="L49" i="33"/>
  <c r="L50" i="33"/>
  <c r="L51" i="33"/>
  <c r="L52" i="33"/>
  <c r="L53" i="33"/>
  <c r="L54" i="33"/>
  <c r="L55" i="33"/>
  <c r="L56" i="33"/>
  <c r="L57" i="33"/>
  <c r="L58" i="33"/>
  <c r="L59" i="33"/>
  <c r="L60" i="33"/>
  <c r="L61" i="33"/>
  <c r="L62" i="33"/>
  <c r="L63" i="33"/>
  <c r="L64" i="33"/>
  <c r="L65" i="33"/>
  <c r="L66" i="33"/>
  <c r="L67" i="33"/>
  <c r="L68" i="33"/>
  <c r="L69" i="33"/>
  <c r="L70" i="33"/>
  <c r="L71" i="33"/>
  <c r="L72" i="33"/>
  <c r="L73" i="33"/>
  <c r="L74" i="33"/>
  <c r="L75" i="33"/>
  <c r="L76" i="33"/>
  <c r="L77" i="33"/>
  <c r="L78" i="33"/>
  <c r="L79" i="33"/>
  <c r="L80" i="33"/>
  <c r="L81" i="33"/>
  <c r="L82" i="33"/>
  <c r="L3" i="32"/>
  <c r="L4" i="32"/>
  <c r="L5" i="32"/>
  <c r="L6" i="32"/>
  <c r="L7" i="32"/>
  <c r="L8" i="32"/>
  <c r="L9" i="32"/>
  <c r="L10" i="32"/>
  <c r="L11" i="32"/>
  <c r="L12" i="32"/>
  <c r="L13" i="32"/>
  <c r="L14" i="32"/>
  <c r="L15" i="32"/>
  <c r="L16" i="32"/>
  <c r="L17" i="32"/>
  <c r="L18" i="32"/>
  <c r="L19" i="32"/>
  <c r="L20" i="32"/>
  <c r="L21" i="32"/>
  <c r="L22" i="32"/>
  <c r="L23" i="32"/>
  <c r="L24" i="32"/>
  <c r="L25" i="32"/>
  <c r="L26" i="32"/>
  <c r="L27" i="32"/>
  <c r="L28" i="32"/>
  <c r="L29" i="32"/>
  <c r="L30" i="32"/>
  <c r="L31" i="32"/>
  <c r="L32" i="32"/>
  <c r="L33" i="32"/>
  <c r="L34" i="32"/>
  <c r="L35" i="32"/>
  <c r="L36" i="32"/>
  <c r="L37" i="32"/>
  <c r="L38" i="32"/>
  <c r="L39" i="32"/>
  <c r="L40" i="32"/>
  <c r="L41" i="32"/>
  <c r="L42" i="32"/>
  <c r="L43" i="32"/>
  <c r="L44" i="32"/>
  <c r="L45" i="32"/>
  <c r="L46" i="32"/>
  <c r="L47" i="32"/>
  <c r="L48" i="32"/>
  <c r="L49" i="32"/>
  <c r="L50" i="32"/>
  <c r="L51" i="32"/>
  <c r="L52" i="32"/>
  <c r="L53" i="32"/>
  <c r="L54" i="32"/>
  <c r="L5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9" i="32"/>
  <c r="L80" i="32"/>
  <c r="L81" i="32"/>
  <c r="L82" i="32"/>
  <c r="L10" i="31"/>
  <c r="L19" i="31"/>
  <c r="L20" i="31"/>
  <c r="L21" i="31"/>
  <c r="L23" i="31"/>
  <c r="L24" i="31"/>
  <c r="L25" i="31"/>
  <c r="L27" i="31"/>
  <c r="L31" i="31"/>
  <c r="L33" i="31"/>
  <c r="L34" i="31"/>
  <c r="L42" i="31"/>
  <c r="L51" i="31"/>
  <c r="L52" i="31"/>
  <c r="L53" i="31"/>
  <c r="L55" i="31"/>
  <c r="L56" i="31"/>
  <c r="L57" i="31"/>
  <c r="L62" i="31"/>
  <c r="L63" i="31"/>
  <c r="L65" i="31"/>
  <c r="L66" i="31"/>
  <c r="L74" i="31"/>
  <c r="L3" i="31"/>
  <c r="L4" i="31"/>
  <c r="L5" i="31"/>
  <c r="L6" i="31"/>
  <c r="L7" i="31"/>
  <c r="L8" i="31"/>
  <c r="L9" i="31"/>
  <c r="L11" i="31"/>
  <c r="L12" i="31"/>
  <c r="L13" i="31"/>
  <c r="L14" i="31"/>
  <c r="L15" i="31"/>
  <c r="L16" i="31"/>
  <c r="L17" i="31"/>
  <c r="L18" i="31"/>
  <c r="L26" i="31"/>
  <c r="L28" i="31"/>
  <c r="L29" i="31"/>
  <c r="L32" i="31"/>
  <c r="L35" i="31"/>
  <c r="L36" i="31"/>
  <c r="L37" i="31"/>
  <c r="L39" i="31"/>
  <c r="L40" i="31"/>
  <c r="L41" i="31"/>
  <c r="L43" i="31"/>
  <c r="L44" i="31"/>
  <c r="L45" i="31"/>
  <c r="L47" i="31"/>
  <c r="L48" i="31"/>
  <c r="L49" i="31"/>
  <c r="L50" i="31"/>
  <c r="L58" i="31"/>
  <c r="L59" i="31"/>
  <c r="L60" i="31"/>
  <c r="L61" i="31"/>
  <c r="L64" i="31"/>
  <c r="L67" i="31"/>
  <c r="L68" i="31"/>
  <c r="L69" i="31"/>
  <c r="L70" i="31"/>
  <c r="L71" i="31"/>
  <c r="L72" i="31"/>
  <c r="L73" i="31"/>
  <c r="L75" i="31"/>
  <c r="L76" i="31"/>
  <c r="L77" i="31"/>
  <c r="L78" i="31"/>
  <c r="L79" i="31"/>
  <c r="L80" i="31"/>
  <c r="L81" i="31"/>
  <c r="L82" i="31"/>
  <c r="L3" i="30"/>
  <c r="L4" i="30"/>
  <c r="L5" i="30"/>
  <c r="L6" i="30"/>
  <c r="L7" i="30"/>
  <c r="L8" i="30"/>
  <c r="L9" i="30"/>
  <c r="L11" i="30"/>
  <c r="L12" i="30"/>
  <c r="L14" i="30"/>
  <c r="L15" i="30"/>
  <c r="L17" i="30"/>
  <c r="L18" i="30"/>
  <c r="L26" i="30"/>
  <c r="L35" i="30"/>
  <c r="L36" i="30"/>
  <c r="L37" i="30"/>
  <c r="L38" i="30"/>
  <c r="L39" i="30"/>
  <c r="L40" i="30"/>
  <c r="L41" i="30"/>
  <c r="L43" i="30"/>
  <c r="L46" i="30"/>
  <c r="L47" i="30"/>
  <c r="L49" i="30"/>
  <c r="L50" i="30"/>
  <c r="L58" i="30"/>
  <c r="L67" i="30"/>
  <c r="L68" i="30"/>
  <c r="L69" i="30"/>
  <c r="L70" i="30"/>
  <c r="L71" i="30"/>
  <c r="L72" i="30"/>
  <c r="L73" i="30"/>
  <c r="L78" i="30"/>
  <c r="L79" i="30"/>
  <c r="L81" i="30"/>
  <c r="L82" i="30"/>
  <c r="K3" i="30"/>
  <c r="K4" i="30"/>
  <c r="K5" i="30"/>
  <c r="K6" i="30"/>
  <c r="K7" i="30"/>
  <c r="K8" i="30"/>
  <c r="K9" i="30"/>
  <c r="K10" i="30"/>
  <c r="L10" i="30" s="1"/>
  <c r="K11" i="30"/>
  <c r="K12" i="30"/>
  <c r="K13" i="30"/>
  <c r="L13" i="30" s="1"/>
  <c r="K14" i="30"/>
  <c r="K15" i="30"/>
  <c r="K16" i="30"/>
  <c r="L16" i="30" s="1"/>
  <c r="K17" i="30"/>
  <c r="K18" i="30"/>
  <c r="K19" i="30"/>
  <c r="L19" i="30" s="1"/>
  <c r="K20" i="30"/>
  <c r="L20" i="30" s="1"/>
  <c r="K21" i="30"/>
  <c r="L21" i="30" s="1"/>
  <c r="K22" i="30"/>
  <c r="L22" i="30" s="1"/>
  <c r="K23" i="30"/>
  <c r="L23" i="30" s="1"/>
  <c r="K24" i="30"/>
  <c r="L24" i="30" s="1"/>
  <c r="K25" i="30"/>
  <c r="L25" i="30" s="1"/>
  <c r="K26" i="30"/>
  <c r="K27" i="30"/>
  <c r="L27" i="30" s="1"/>
  <c r="K28" i="30"/>
  <c r="L28" i="30" s="1"/>
  <c r="K29" i="30"/>
  <c r="L29" i="30" s="1"/>
  <c r="K30" i="30"/>
  <c r="L30" i="30" s="1"/>
  <c r="K31" i="30"/>
  <c r="L31" i="30" s="1"/>
  <c r="K32" i="30"/>
  <c r="L32" i="30" s="1"/>
  <c r="K33" i="30"/>
  <c r="L33" i="30" s="1"/>
  <c r="K34" i="30"/>
  <c r="L34" i="30" s="1"/>
  <c r="K35" i="30"/>
  <c r="K36" i="30"/>
  <c r="K37" i="30"/>
  <c r="K38" i="30"/>
  <c r="K39" i="30"/>
  <c r="K40" i="30"/>
  <c r="K41" i="30"/>
  <c r="K42" i="30"/>
  <c r="L42" i="30" s="1"/>
  <c r="K43" i="30"/>
  <c r="K44" i="30"/>
  <c r="L44" i="30" s="1"/>
  <c r="K45" i="30"/>
  <c r="L45" i="30" s="1"/>
  <c r="K46" i="30"/>
  <c r="K47" i="30"/>
  <c r="K48" i="30"/>
  <c r="L48" i="30" s="1"/>
  <c r="K49" i="30"/>
  <c r="K50" i="30"/>
  <c r="K51" i="30"/>
  <c r="L51" i="30" s="1"/>
  <c r="K52" i="30"/>
  <c r="L52" i="30" s="1"/>
  <c r="K53" i="30"/>
  <c r="L53" i="30" s="1"/>
  <c r="K54" i="30"/>
  <c r="L54" i="30" s="1"/>
  <c r="K55" i="30"/>
  <c r="L55" i="30" s="1"/>
  <c r="K56" i="30"/>
  <c r="L56" i="30" s="1"/>
  <c r="K57" i="30"/>
  <c r="L57" i="30" s="1"/>
  <c r="K58" i="30"/>
  <c r="K59" i="30"/>
  <c r="L59" i="30" s="1"/>
  <c r="K60" i="30"/>
  <c r="L60" i="30" s="1"/>
  <c r="K61" i="30"/>
  <c r="L61" i="30" s="1"/>
  <c r="K62" i="30"/>
  <c r="L62" i="30" s="1"/>
  <c r="K63" i="30"/>
  <c r="L63" i="30" s="1"/>
  <c r="K64" i="30"/>
  <c r="L64" i="30" s="1"/>
  <c r="K65" i="30"/>
  <c r="L65" i="30" s="1"/>
  <c r="K66" i="30"/>
  <c r="L66" i="30" s="1"/>
  <c r="K67" i="30"/>
  <c r="K68" i="30"/>
  <c r="K69" i="30"/>
  <c r="K70" i="30"/>
  <c r="K71" i="30"/>
  <c r="K72" i="30"/>
  <c r="K73" i="30"/>
  <c r="K74" i="30"/>
  <c r="L74" i="30" s="1"/>
  <c r="K75" i="30"/>
  <c r="L75" i="30" s="1"/>
  <c r="K76" i="30"/>
  <c r="L76" i="30" s="1"/>
  <c r="K77" i="30"/>
  <c r="L77" i="30" s="1"/>
  <c r="K78" i="30"/>
  <c r="K79" i="30"/>
  <c r="K80" i="30"/>
  <c r="L80" i="30" s="1"/>
  <c r="K81" i="30"/>
  <c r="K82" i="30"/>
  <c r="L10" i="37"/>
  <c r="L13" i="37"/>
  <c r="L19" i="37"/>
  <c r="L20" i="37"/>
  <c r="L21" i="37"/>
  <c r="L22" i="37"/>
  <c r="L23" i="37"/>
  <c r="L24" i="37"/>
  <c r="L25" i="37"/>
  <c r="L27" i="37"/>
  <c r="L28" i="37"/>
  <c r="L30" i="37"/>
  <c r="L31" i="37"/>
  <c r="L33" i="37"/>
  <c r="L34" i="37"/>
  <c r="L42" i="37"/>
  <c r="L45" i="37"/>
  <c r="L51" i="37"/>
  <c r="L52" i="37"/>
  <c r="L53" i="37"/>
  <c r="L54" i="37"/>
  <c r="L55" i="37"/>
  <c r="L56" i="37"/>
  <c r="L57" i="37"/>
  <c r="L60" i="37"/>
  <c r="L62" i="37"/>
  <c r="L63" i="37"/>
  <c r="L65" i="37"/>
  <c r="L66" i="37"/>
  <c r="L77" i="37"/>
  <c r="K3" i="37"/>
  <c r="L3" i="37" s="1"/>
  <c r="K4" i="37"/>
  <c r="L4" i="37" s="1"/>
  <c r="K5" i="37"/>
  <c r="L5" i="37" s="1"/>
  <c r="K6" i="37"/>
  <c r="L6" i="37" s="1"/>
  <c r="K7" i="37"/>
  <c r="L7" i="37" s="1"/>
  <c r="K8" i="37"/>
  <c r="L8" i="37" s="1"/>
  <c r="K9" i="37"/>
  <c r="L9" i="37" s="1"/>
  <c r="K10" i="37"/>
  <c r="K11" i="37"/>
  <c r="L11" i="37" s="1"/>
  <c r="K12" i="37"/>
  <c r="L12" i="37" s="1"/>
  <c r="K13" i="37"/>
  <c r="K14" i="37"/>
  <c r="L14" i="37" s="1"/>
  <c r="K15" i="37"/>
  <c r="L15" i="37" s="1"/>
  <c r="K16" i="37"/>
  <c r="L16" i="37" s="1"/>
  <c r="K17" i="37"/>
  <c r="L17" i="37" s="1"/>
  <c r="K18" i="37"/>
  <c r="L18" i="37" s="1"/>
  <c r="K19" i="37"/>
  <c r="K20" i="37"/>
  <c r="K21" i="37"/>
  <c r="K22" i="37"/>
  <c r="K23" i="37"/>
  <c r="K24" i="37"/>
  <c r="K25" i="37"/>
  <c r="K26" i="37"/>
  <c r="L26" i="37" s="1"/>
  <c r="K27" i="37"/>
  <c r="K28" i="37"/>
  <c r="K29" i="37"/>
  <c r="L29" i="37" s="1"/>
  <c r="K30" i="37"/>
  <c r="K31" i="37"/>
  <c r="K32" i="37"/>
  <c r="L32" i="37" s="1"/>
  <c r="K33" i="37"/>
  <c r="K34" i="37"/>
  <c r="K35" i="37"/>
  <c r="L35" i="37" s="1"/>
  <c r="K36" i="37"/>
  <c r="L36" i="37" s="1"/>
  <c r="K37" i="37"/>
  <c r="L37" i="37" s="1"/>
  <c r="K38" i="37"/>
  <c r="L38" i="37" s="1"/>
  <c r="K39" i="37"/>
  <c r="L39" i="37" s="1"/>
  <c r="K40" i="37"/>
  <c r="L40" i="37" s="1"/>
  <c r="K41" i="37"/>
  <c r="L41" i="37" s="1"/>
  <c r="K42" i="37"/>
  <c r="K43" i="37"/>
  <c r="L43" i="37" s="1"/>
  <c r="K44" i="37"/>
  <c r="L44" i="37" s="1"/>
  <c r="K45" i="37"/>
  <c r="K46" i="37"/>
  <c r="L46" i="37" s="1"/>
  <c r="K47" i="37"/>
  <c r="L47" i="37" s="1"/>
  <c r="K48" i="37"/>
  <c r="L48" i="37" s="1"/>
  <c r="K49" i="37"/>
  <c r="L49" i="37" s="1"/>
  <c r="K50" i="37"/>
  <c r="L50" i="37" s="1"/>
  <c r="K51" i="37"/>
  <c r="K52" i="37"/>
  <c r="K53" i="37"/>
  <c r="K54" i="37"/>
  <c r="K55" i="37"/>
  <c r="K56" i="37"/>
  <c r="K57" i="37"/>
  <c r="K58" i="37"/>
  <c r="L58" i="37" s="1"/>
  <c r="K59" i="37"/>
  <c r="L59" i="37" s="1"/>
  <c r="K60" i="37"/>
  <c r="K61" i="37"/>
  <c r="L61" i="37" s="1"/>
  <c r="K62" i="37"/>
  <c r="K63" i="37"/>
  <c r="K64" i="37"/>
  <c r="L64" i="37" s="1"/>
  <c r="K65" i="37"/>
  <c r="K66" i="37"/>
  <c r="K67" i="37"/>
  <c r="L67" i="37" s="1"/>
  <c r="K68" i="37"/>
  <c r="L68" i="37" s="1"/>
  <c r="K69" i="37"/>
  <c r="L69" i="37" s="1"/>
  <c r="K70" i="37"/>
  <c r="L70" i="37" s="1"/>
  <c r="K71" i="37"/>
  <c r="L71" i="37" s="1"/>
  <c r="K72" i="37"/>
  <c r="L72" i="37" s="1"/>
  <c r="K73" i="37"/>
  <c r="L73" i="37" s="1"/>
  <c r="K74" i="37"/>
  <c r="L74" i="37" s="1"/>
  <c r="K75" i="37"/>
  <c r="L75" i="37" s="1"/>
  <c r="K76" i="37"/>
  <c r="L76" i="37" s="1"/>
  <c r="K77" i="37"/>
  <c r="K78" i="37"/>
  <c r="L78" i="37" s="1"/>
  <c r="K79" i="37"/>
  <c r="L79" i="37" s="1"/>
  <c r="K80" i="37"/>
  <c r="L80" i="37" s="1"/>
  <c r="K81" i="37"/>
  <c r="L81" i="37" s="1"/>
  <c r="K82" i="37"/>
  <c r="L82" i="37" s="1"/>
  <c r="L3" i="28"/>
  <c r="L5" i="28"/>
  <c r="L7" i="28"/>
  <c r="L9" i="28"/>
  <c r="K3" i="28"/>
  <c r="K4" i="28"/>
  <c r="L4" i="28" s="1"/>
  <c r="K5" i="28"/>
  <c r="K6" i="28"/>
  <c r="L6" i="28" s="1"/>
  <c r="K7" i="28"/>
  <c r="K8" i="28"/>
  <c r="L8" i="28" s="1"/>
  <c r="K9" i="28"/>
  <c r="K10" i="28"/>
  <c r="L10" i="28" s="1"/>
  <c r="K11" i="28"/>
  <c r="L11" i="28" s="1"/>
  <c r="K12" i="28"/>
  <c r="L12" i="28" s="1"/>
  <c r="K13" i="28"/>
  <c r="L13" i="28" s="1"/>
  <c r="K14" i="28"/>
  <c r="L14" i="28" s="1"/>
  <c r="K15" i="28"/>
  <c r="L15" i="28" s="1"/>
  <c r="K16" i="28"/>
  <c r="L16" i="28" s="1"/>
  <c r="K17" i="28"/>
  <c r="L17" i="28" s="1"/>
  <c r="K18" i="28"/>
  <c r="L18" i="28" s="1"/>
  <c r="K19" i="28"/>
  <c r="L19" i="28" s="1"/>
  <c r="K20" i="28"/>
  <c r="L20" i="28" s="1"/>
  <c r="K21" i="28"/>
  <c r="L21" i="28" s="1"/>
  <c r="K22" i="28"/>
  <c r="L22" i="28" s="1"/>
  <c r="K23" i="28"/>
  <c r="L23" i="28" s="1"/>
  <c r="K24" i="28"/>
  <c r="L24" i="28" s="1"/>
  <c r="K25" i="28"/>
  <c r="L25" i="28" s="1"/>
  <c r="K26" i="28"/>
  <c r="L26" i="28" s="1"/>
  <c r="K27" i="28"/>
  <c r="L27" i="28" s="1"/>
  <c r="K28" i="28"/>
  <c r="L28" i="28" s="1"/>
  <c r="K29" i="28"/>
  <c r="L29" i="28" s="1"/>
  <c r="K30" i="28"/>
  <c r="L30" i="28" s="1"/>
  <c r="K31" i="28"/>
  <c r="L31" i="28" s="1"/>
  <c r="K32" i="28"/>
  <c r="L32" i="28" s="1"/>
  <c r="K33" i="28"/>
  <c r="L33" i="28" s="1"/>
  <c r="K34" i="28"/>
  <c r="L34" i="28" s="1"/>
  <c r="K35" i="28"/>
  <c r="L35" i="28" s="1"/>
  <c r="K36" i="28"/>
  <c r="L36" i="28" s="1"/>
  <c r="K37" i="28"/>
  <c r="L37" i="28" s="1"/>
  <c r="K38" i="28"/>
  <c r="L38" i="28" s="1"/>
  <c r="K39" i="28"/>
  <c r="L39" i="28" s="1"/>
  <c r="K40" i="28"/>
  <c r="L40" i="28" s="1"/>
  <c r="K41" i="28"/>
  <c r="L41" i="28" s="1"/>
  <c r="K42" i="28"/>
  <c r="L42" i="28" s="1"/>
  <c r="K43" i="28"/>
  <c r="L43" i="28" s="1"/>
  <c r="K44" i="28"/>
  <c r="L44" i="28" s="1"/>
  <c r="K45" i="28"/>
  <c r="L45" i="28" s="1"/>
  <c r="K46" i="28"/>
  <c r="L46" i="28" s="1"/>
  <c r="K47" i="28"/>
  <c r="L47" i="28" s="1"/>
  <c r="K48" i="28"/>
  <c r="L48" i="28" s="1"/>
  <c r="K49" i="28"/>
  <c r="L49" i="28" s="1"/>
  <c r="K50" i="28"/>
  <c r="L50" i="28" s="1"/>
  <c r="K51" i="28"/>
  <c r="L51" i="28" s="1"/>
  <c r="K52" i="28"/>
  <c r="L52" i="28" s="1"/>
  <c r="K53" i="28"/>
  <c r="L53" i="28" s="1"/>
  <c r="K54" i="28"/>
  <c r="L54" i="28" s="1"/>
  <c r="K55" i="28"/>
  <c r="L55" i="28" s="1"/>
  <c r="K56" i="28"/>
  <c r="L56" i="28" s="1"/>
  <c r="K57" i="28"/>
  <c r="L57" i="28" s="1"/>
  <c r="K58" i="28"/>
  <c r="L58" i="28" s="1"/>
  <c r="K59" i="28"/>
  <c r="L59" i="28" s="1"/>
  <c r="K60" i="28"/>
  <c r="L60" i="28" s="1"/>
  <c r="K61" i="28"/>
  <c r="L61" i="28" s="1"/>
  <c r="K62" i="28"/>
  <c r="L62" i="28" s="1"/>
  <c r="K63" i="28"/>
  <c r="L63" i="28" s="1"/>
  <c r="K64" i="28"/>
  <c r="L64" i="28" s="1"/>
  <c r="K65" i="28"/>
  <c r="L65" i="28" s="1"/>
  <c r="K66" i="28"/>
  <c r="L66" i="28" s="1"/>
  <c r="K67" i="28"/>
  <c r="L67" i="28" s="1"/>
  <c r="K68" i="28"/>
  <c r="L68" i="28" s="1"/>
  <c r="K69" i="28"/>
  <c r="L69" i="28" s="1"/>
  <c r="K70" i="28"/>
  <c r="L70" i="28" s="1"/>
  <c r="K71" i="28"/>
  <c r="L71" i="28" s="1"/>
  <c r="K72" i="28"/>
  <c r="L72" i="28" s="1"/>
  <c r="K73" i="28"/>
  <c r="L73" i="28" s="1"/>
  <c r="K74" i="28"/>
  <c r="L74" i="28" s="1"/>
  <c r="K75" i="28"/>
  <c r="L75" i="28" s="1"/>
  <c r="K76" i="28"/>
  <c r="L76" i="28" s="1"/>
  <c r="K77" i="28"/>
  <c r="L77" i="28" s="1"/>
  <c r="K78" i="28"/>
  <c r="L78" i="28" s="1"/>
  <c r="K79" i="28"/>
  <c r="L79" i="28" s="1"/>
  <c r="K80" i="28"/>
  <c r="L80" i="28" s="1"/>
  <c r="K81" i="28"/>
  <c r="L81" i="28" s="1"/>
  <c r="K82" i="28"/>
  <c r="L82" i="28" s="1"/>
  <c r="K3" i="27"/>
  <c r="L3" i="27" s="1"/>
  <c r="K4" i="27"/>
  <c r="L4" i="27" s="1"/>
  <c r="K5" i="27"/>
  <c r="L5" i="27" s="1"/>
  <c r="K6" i="27"/>
  <c r="L6" i="27" s="1"/>
  <c r="K7" i="27"/>
  <c r="L7" i="27" s="1"/>
  <c r="K8" i="27"/>
  <c r="L8" i="27" s="1"/>
  <c r="K9" i="27"/>
  <c r="L9" i="27" s="1"/>
  <c r="K10" i="27"/>
  <c r="L10" i="27" s="1"/>
  <c r="K11" i="27"/>
  <c r="L11" i="27" s="1"/>
  <c r="K12" i="27"/>
  <c r="L12" i="27" s="1"/>
  <c r="K13" i="27"/>
  <c r="L13" i="27" s="1"/>
  <c r="K14" i="27"/>
  <c r="L14" i="27" s="1"/>
  <c r="K15" i="27"/>
  <c r="L15" i="27" s="1"/>
  <c r="K16" i="27"/>
  <c r="L16" i="27" s="1"/>
  <c r="K17" i="27"/>
  <c r="L17" i="27" s="1"/>
  <c r="K18" i="27"/>
  <c r="L18" i="27" s="1"/>
  <c r="K19" i="27"/>
  <c r="L19" i="27" s="1"/>
  <c r="K20" i="27"/>
  <c r="L20" i="27" s="1"/>
  <c r="K21" i="27"/>
  <c r="L21" i="27" s="1"/>
  <c r="K22" i="27"/>
  <c r="L22" i="27" s="1"/>
  <c r="K23" i="27"/>
  <c r="L23" i="27" s="1"/>
  <c r="K24" i="27"/>
  <c r="L24" i="27" s="1"/>
  <c r="K25" i="27"/>
  <c r="L25" i="27" s="1"/>
  <c r="K26" i="27"/>
  <c r="L26" i="27" s="1"/>
  <c r="K27" i="27"/>
  <c r="L27" i="27" s="1"/>
  <c r="K28" i="27"/>
  <c r="L28" i="27" s="1"/>
  <c r="K29" i="27"/>
  <c r="L29" i="27" s="1"/>
  <c r="K30" i="27"/>
  <c r="L30" i="27" s="1"/>
  <c r="K31" i="27"/>
  <c r="L31" i="27" s="1"/>
  <c r="K32" i="27"/>
  <c r="L32" i="27" s="1"/>
  <c r="K33" i="27"/>
  <c r="L33" i="27" s="1"/>
  <c r="K34" i="27"/>
  <c r="L34" i="27" s="1"/>
  <c r="K35" i="27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L41" i="27" s="1"/>
  <c r="K42" i="27"/>
  <c r="L42" i="27" s="1"/>
  <c r="K43" i="27"/>
  <c r="L43" i="27" s="1"/>
  <c r="K44" i="27"/>
  <c r="L44" i="27" s="1"/>
  <c r="K45" i="27"/>
  <c r="L45" i="27" s="1"/>
  <c r="K46" i="27"/>
  <c r="L46" i="27" s="1"/>
  <c r="K47" i="27"/>
  <c r="L47" i="27" s="1"/>
  <c r="K48" i="27"/>
  <c r="L48" i="27" s="1"/>
  <c r="K49" i="27"/>
  <c r="L49" i="27" s="1"/>
  <c r="K50" i="27"/>
  <c r="L50" i="27" s="1"/>
  <c r="K51" i="27"/>
  <c r="L51" i="27" s="1"/>
  <c r="K52" i="27"/>
  <c r="L52" i="27" s="1"/>
  <c r="K53" i="27"/>
  <c r="L53" i="27" s="1"/>
  <c r="K54" i="27"/>
  <c r="L54" i="27" s="1"/>
  <c r="K55" i="27"/>
  <c r="L55" i="27" s="1"/>
  <c r="K56" i="27"/>
  <c r="L56" i="27" s="1"/>
  <c r="K57" i="27"/>
  <c r="L57" i="27" s="1"/>
  <c r="K58" i="27"/>
  <c r="L58" i="27" s="1"/>
  <c r="K59" i="27"/>
  <c r="L59" i="27" s="1"/>
  <c r="K60" i="27"/>
  <c r="L60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L66" i="27" s="1"/>
  <c r="K67" i="27"/>
  <c r="L67" i="27" s="1"/>
  <c r="K68" i="27"/>
  <c r="L68" i="27" s="1"/>
  <c r="K69" i="27"/>
  <c r="L69" i="27" s="1"/>
  <c r="K70" i="27"/>
  <c r="L70" i="27" s="1"/>
  <c r="K71" i="27"/>
  <c r="L71" i="27" s="1"/>
  <c r="K72" i="27"/>
  <c r="L72" i="27" s="1"/>
  <c r="K73" i="27"/>
  <c r="L73" i="27" s="1"/>
  <c r="K74" i="27"/>
  <c r="L74" i="27" s="1"/>
  <c r="K75" i="27"/>
  <c r="L75" i="27" s="1"/>
  <c r="K76" i="27"/>
  <c r="L76" i="27" s="1"/>
  <c r="K77" i="27"/>
  <c r="L77" i="27" s="1"/>
  <c r="K78" i="27"/>
  <c r="L78" i="27" s="1"/>
  <c r="K79" i="27"/>
  <c r="L79" i="27" s="1"/>
  <c r="K80" i="27"/>
  <c r="L80" i="27" s="1"/>
  <c r="K81" i="27"/>
  <c r="L81" i="27" s="1"/>
  <c r="K82" i="27"/>
  <c r="L82" i="27" s="1"/>
  <c r="L3" i="26"/>
  <c r="L77" i="26"/>
  <c r="K3" i="26"/>
  <c r="K4" i="26"/>
  <c r="L4" i="26" s="1"/>
  <c r="K5" i="26"/>
  <c r="L5" i="26" s="1"/>
  <c r="K6" i="26"/>
  <c r="L6" i="26" s="1"/>
  <c r="K7" i="26"/>
  <c r="L7" i="26" s="1"/>
  <c r="K8" i="26"/>
  <c r="L8" i="26" s="1"/>
  <c r="K9" i="26"/>
  <c r="L9" i="26" s="1"/>
  <c r="K10" i="26"/>
  <c r="L10" i="26" s="1"/>
  <c r="K11" i="26"/>
  <c r="L11" i="26" s="1"/>
  <c r="K12" i="26"/>
  <c r="L12" i="26" s="1"/>
  <c r="K13" i="26"/>
  <c r="L13" i="26" s="1"/>
  <c r="K14" i="26"/>
  <c r="L14" i="26" s="1"/>
  <c r="K15" i="26"/>
  <c r="L15" i="26" s="1"/>
  <c r="K16" i="26"/>
  <c r="L16" i="26" s="1"/>
  <c r="K17" i="26"/>
  <c r="L17" i="26" s="1"/>
  <c r="K18" i="26"/>
  <c r="L18" i="26" s="1"/>
  <c r="K19" i="26"/>
  <c r="L19" i="26" s="1"/>
  <c r="K20" i="26"/>
  <c r="L20" i="26" s="1"/>
  <c r="K21" i="26"/>
  <c r="L21" i="26" s="1"/>
  <c r="K22" i="26"/>
  <c r="L22" i="26" s="1"/>
  <c r="K23" i="26"/>
  <c r="L23" i="26" s="1"/>
  <c r="K24" i="26"/>
  <c r="L24" i="26" s="1"/>
  <c r="K25" i="26"/>
  <c r="L25" i="26" s="1"/>
  <c r="K26" i="26"/>
  <c r="L26" i="26" s="1"/>
  <c r="K27" i="26"/>
  <c r="L27" i="26" s="1"/>
  <c r="K28" i="26"/>
  <c r="L28" i="26" s="1"/>
  <c r="K29" i="26"/>
  <c r="L29" i="26" s="1"/>
  <c r="K30" i="26"/>
  <c r="L30" i="26" s="1"/>
  <c r="K31" i="26"/>
  <c r="L31" i="26" s="1"/>
  <c r="K32" i="26"/>
  <c r="L32" i="26" s="1"/>
  <c r="K33" i="26"/>
  <c r="L33" i="26" s="1"/>
  <c r="K34" i="26"/>
  <c r="L34" i="26" s="1"/>
  <c r="K35" i="26"/>
  <c r="L35" i="26" s="1"/>
  <c r="K36" i="26"/>
  <c r="L36" i="26" s="1"/>
  <c r="K37" i="26"/>
  <c r="L37" i="26" s="1"/>
  <c r="K38" i="26"/>
  <c r="L38" i="26" s="1"/>
  <c r="K39" i="26"/>
  <c r="L39" i="26" s="1"/>
  <c r="K40" i="26"/>
  <c r="L40" i="26" s="1"/>
  <c r="K41" i="26"/>
  <c r="L41" i="26" s="1"/>
  <c r="K42" i="26"/>
  <c r="L42" i="26" s="1"/>
  <c r="K43" i="26"/>
  <c r="L43" i="26" s="1"/>
  <c r="K44" i="26"/>
  <c r="L44" i="26" s="1"/>
  <c r="K45" i="26"/>
  <c r="L45" i="26" s="1"/>
  <c r="K46" i="26"/>
  <c r="L46" i="26" s="1"/>
  <c r="K47" i="26"/>
  <c r="L47" i="26" s="1"/>
  <c r="K48" i="26"/>
  <c r="L48" i="26" s="1"/>
  <c r="K49" i="26"/>
  <c r="L49" i="26" s="1"/>
  <c r="K50" i="26"/>
  <c r="L50" i="26" s="1"/>
  <c r="K51" i="26"/>
  <c r="L51" i="26" s="1"/>
  <c r="K52" i="26"/>
  <c r="L52" i="26" s="1"/>
  <c r="K53" i="26"/>
  <c r="L53" i="26" s="1"/>
  <c r="K54" i="26"/>
  <c r="L54" i="26" s="1"/>
  <c r="K55" i="26"/>
  <c r="L55" i="26" s="1"/>
  <c r="K56" i="26"/>
  <c r="L56" i="26" s="1"/>
  <c r="K57" i="26"/>
  <c r="L57" i="26" s="1"/>
  <c r="K58" i="26"/>
  <c r="L58" i="26" s="1"/>
  <c r="K59" i="26"/>
  <c r="L59" i="26" s="1"/>
  <c r="K60" i="26"/>
  <c r="L60" i="26" s="1"/>
  <c r="K61" i="26"/>
  <c r="L61" i="26" s="1"/>
  <c r="K62" i="26"/>
  <c r="L62" i="26" s="1"/>
  <c r="K63" i="26"/>
  <c r="L63" i="26" s="1"/>
  <c r="K64" i="26"/>
  <c r="L64" i="26" s="1"/>
  <c r="K65" i="26"/>
  <c r="L65" i="26" s="1"/>
  <c r="K66" i="26"/>
  <c r="L66" i="26" s="1"/>
  <c r="K67" i="26"/>
  <c r="L67" i="26" s="1"/>
  <c r="K68" i="26"/>
  <c r="L68" i="26" s="1"/>
  <c r="K69" i="26"/>
  <c r="L69" i="26" s="1"/>
  <c r="K70" i="26"/>
  <c r="L70" i="26" s="1"/>
  <c r="K71" i="26"/>
  <c r="L71" i="26" s="1"/>
  <c r="K72" i="26"/>
  <c r="L72" i="26" s="1"/>
  <c r="K73" i="26"/>
  <c r="L73" i="26" s="1"/>
  <c r="K74" i="26"/>
  <c r="L74" i="26" s="1"/>
  <c r="K75" i="26"/>
  <c r="L75" i="26" s="1"/>
  <c r="K76" i="26"/>
  <c r="L76" i="26" s="1"/>
  <c r="K77" i="26"/>
  <c r="K78" i="26"/>
  <c r="L78" i="26" s="1"/>
  <c r="K79" i="26"/>
  <c r="L79" i="26" s="1"/>
  <c r="K80" i="26"/>
  <c r="L80" i="26" s="1"/>
  <c r="K81" i="26"/>
  <c r="L81" i="26" s="1"/>
  <c r="K82" i="26"/>
  <c r="L82" i="26" s="1"/>
  <c r="L7" i="25"/>
  <c r="L22" i="25"/>
  <c r="L38" i="25"/>
  <c r="L39" i="25"/>
  <c r="K3" i="25"/>
  <c r="L3" i="25" s="1"/>
  <c r="K4" i="25"/>
  <c r="L4" i="25" s="1"/>
  <c r="K5" i="25"/>
  <c r="L5" i="25" s="1"/>
  <c r="K6" i="25"/>
  <c r="L6" i="25" s="1"/>
  <c r="K7" i="25"/>
  <c r="K8" i="25"/>
  <c r="L8" i="25" s="1"/>
  <c r="K9" i="25"/>
  <c r="L9" i="25" s="1"/>
  <c r="K10" i="25"/>
  <c r="L10" i="25" s="1"/>
  <c r="K11" i="25"/>
  <c r="L11" i="25" s="1"/>
  <c r="K12" i="25"/>
  <c r="L12" i="25" s="1"/>
  <c r="K13" i="25"/>
  <c r="L13" i="25" s="1"/>
  <c r="K14" i="25"/>
  <c r="L14" i="25" s="1"/>
  <c r="K15" i="25"/>
  <c r="L15" i="25" s="1"/>
  <c r="K16" i="25"/>
  <c r="L16" i="25" s="1"/>
  <c r="K17" i="25"/>
  <c r="L17" i="25" s="1"/>
  <c r="K18" i="25"/>
  <c r="L18" i="25" s="1"/>
  <c r="K19" i="25"/>
  <c r="L19" i="25" s="1"/>
  <c r="K20" i="25"/>
  <c r="L20" i="25" s="1"/>
  <c r="K21" i="25"/>
  <c r="L21" i="25" s="1"/>
  <c r="K22" i="25"/>
  <c r="K23" i="25"/>
  <c r="L23" i="25" s="1"/>
  <c r="K24" i="25"/>
  <c r="L24" i="25" s="1"/>
  <c r="K25" i="25"/>
  <c r="L25" i="25" s="1"/>
  <c r="K26" i="25"/>
  <c r="L26" i="25" s="1"/>
  <c r="K27" i="25"/>
  <c r="L27" i="25" s="1"/>
  <c r="K28" i="25"/>
  <c r="L28" i="25" s="1"/>
  <c r="K29" i="25"/>
  <c r="L29" i="25" s="1"/>
  <c r="K30" i="25"/>
  <c r="L30" i="25" s="1"/>
  <c r="K31" i="25"/>
  <c r="L31" i="25" s="1"/>
  <c r="K32" i="25"/>
  <c r="L32" i="25" s="1"/>
  <c r="K33" i="25"/>
  <c r="L33" i="25" s="1"/>
  <c r="K34" i="25"/>
  <c r="L34" i="25" s="1"/>
  <c r="K35" i="25"/>
  <c r="L35" i="25" s="1"/>
  <c r="K36" i="25"/>
  <c r="L36" i="25" s="1"/>
  <c r="K37" i="25"/>
  <c r="L37" i="25" s="1"/>
  <c r="K38" i="25"/>
  <c r="K39" i="25"/>
  <c r="K40" i="25"/>
  <c r="L40" i="25" s="1"/>
  <c r="K41" i="25"/>
  <c r="L41" i="25" s="1"/>
  <c r="K42" i="25"/>
  <c r="L42" i="25" s="1"/>
  <c r="K43" i="25"/>
  <c r="L43" i="25" s="1"/>
  <c r="K44" i="25"/>
  <c r="L44" i="25" s="1"/>
  <c r="K45" i="25"/>
  <c r="L45" i="25" s="1"/>
  <c r="K46" i="25"/>
  <c r="L46" i="25" s="1"/>
  <c r="K47" i="25"/>
  <c r="L47" i="25" s="1"/>
  <c r="K48" i="25"/>
  <c r="L48" i="25" s="1"/>
  <c r="K49" i="25"/>
  <c r="L49" i="25" s="1"/>
  <c r="K50" i="25"/>
  <c r="L50" i="25" s="1"/>
  <c r="K51" i="25"/>
  <c r="L51" i="25" s="1"/>
  <c r="K52" i="25"/>
  <c r="L52" i="25" s="1"/>
  <c r="K53" i="25"/>
  <c r="L53" i="25" s="1"/>
  <c r="K54" i="25"/>
  <c r="L54" i="25" s="1"/>
  <c r="K55" i="25"/>
  <c r="L55" i="25" s="1"/>
  <c r="K56" i="25"/>
  <c r="L56" i="25" s="1"/>
  <c r="K57" i="25"/>
  <c r="L57" i="25" s="1"/>
  <c r="K58" i="25"/>
  <c r="L58" i="25" s="1"/>
  <c r="K59" i="25"/>
  <c r="L59" i="25" s="1"/>
  <c r="K60" i="25"/>
  <c r="L60" i="25" s="1"/>
  <c r="K61" i="25"/>
  <c r="L61" i="25" s="1"/>
  <c r="K62" i="25"/>
  <c r="L62" i="25" s="1"/>
  <c r="K63" i="25"/>
  <c r="L63" i="25" s="1"/>
  <c r="K64" i="25"/>
  <c r="L64" i="25" s="1"/>
  <c r="K65" i="25"/>
  <c r="L65" i="25" s="1"/>
  <c r="K66" i="25"/>
  <c r="L66" i="25" s="1"/>
  <c r="K67" i="25"/>
  <c r="L67" i="25" s="1"/>
  <c r="K68" i="25"/>
  <c r="L68" i="25" s="1"/>
  <c r="K69" i="25"/>
  <c r="L69" i="25" s="1"/>
  <c r="K70" i="25"/>
  <c r="L70" i="25" s="1"/>
  <c r="K71" i="25"/>
  <c r="L71" i="25" s="1"/>
  <c r="K72" i="25"/>
  <c r="L72" i="25" s="1"/>
  <c r="K73" i="25"/>
  <c r="L73" i="25" s="1"/>
  <c r="K74" i="25"/>
  <c r="L74" i="25" s="1"/>
  <c r="K75" i="25"/>
  <c r="L75" i="25" s="1"/>
  <c r="K76" i="25"/>
  <c r="L76" i="25" s="1"/>
  <c r="K77" i="25"/>
  <c r="L77" i="25" s="1"/>
  <c r="K78" i="25"/>
  <c r="L78" i="25" s="1"/>
  <c r="K79" i="25"/>
  <c r="L79" i="25" s="1"/>
  <c r="K80" i="25"/>
  <c r="L80" i="25" s="1"/>
  <c r="K81" i="25"/>
  <c r="L81" i="25" s="1"/>
  <c r="K82" i="25"/>
  <c r="L82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Q37" i="37" l="1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Q15" i="37" s="1"/>
  <c r="O16" i="37" s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42" i="37" l="1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5" i="27" s="1"/>
  <c r="O16" i="27" s="1"/>
  <c r="Q13" i="30"/>
  <c r="S40" i="30" s="1"/>
  <c r="Q13" i="33"/>
  <c r="S9" i="33"/>
  <c r="S9" i="32"/>
  <c r="Q13" i="32"/>
  <c r="Q13" i="35"/>
  <c r="S9" i="35"/>
  <c r="Q12" i="3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S40" i="27" l="1"/>
  <c r="Q41" i="27"/>
  <c r="S36" i="26"/>
  <c r="G9" i="15" s="1"/>
  <c r="D24" i="2" s="1"/>
  <c r="Q40" i="27"/>
  <c r="S41" i="27"/>
  <c r="S41" i="30"/>
  <c r="Q15" i="30"/>
  <c r="O16" i="30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U40" i="31" l="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E25" i="2" l="1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6" a="1"/>
  <c r="S36" i="31" a="1"/>
  <c r="S36" i="30" a="1"/>
  <c r="S36" i="35" a="1"/>
  <c r="S36" i="28" a="1"/>
  <c r="S36" i="32" a="1"/>
  <c r="S36" i="33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<sst xmlns="http://schemas.openxmlformats.org/spreadsheetml/2006/main" count="3925" uniqueCount="461">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</sst>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380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48" fillId="0" borderId="0" xfId="0" applyFont="1" applyAlignment="1">
      <alignment horizontal="center" vertical="center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2" fontId="4" fillId="6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66" fontId="4" fillId="0" borderId="17" xfId="0" applyNumberFormat="1" applyFont="1" applyBorder="1" applyAlignment="1" applyProtection="1">
      <alignment horizontal="center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166" fontId="4" fillId="7" borderId="1" xfId="0" applyNumberFormat="1" applyFont="1" applyFill="1" applyBorder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2" fontId="4" fillId="15" borderId="1" xfId="0" applyNumberFormat="1" applyFont="1" applyFill="1" applyBorder="1" applyAlignment="1">
      <alignment horizontal="center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0" fontId="38" fillId="10" borderId="9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  <xf numFmtId="0" fontId="46" fillId="0" borderId="20" xfId="0" applyFont="1" applyFill="1" applyBorder="1" applyAlignment="1">
      <alignment horizontal="left" vertical="center" wrapText="1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0"/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50800</xdr:rowOff>
    </xdr:from>
    <xdr:to>
      <xdr:col>9</xdr:col>
      <xdr:colOff>1879600</xdr:colOff>
      <xdr:row>1</xdr:row>
      <xdr:rowOff>241300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D9AB0E6B-AD38-33AE-2672-CEB1B755088B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266700</xdr:rowOff>
    </xdr:from>
    <xdr:to>
      <xdr:col>9</xdr:col>
      <xdr:colOff>1879600</xdr:colOff>
      <xdr:row>1</xdr:row>
      <xdr:rowOff>457200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1181376D-42A5-C9BB-0DCD-5B8A45E3E04F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482600</xdr:rowOff>
    </xdr:from>
    <xdr:to>
      <xdr:col>9</xdr:col>
      <xdr:colOff>1879600</xdr:colOff>
      <xdr:row>1</xdr:row>
      <xdr:rowOff>673100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423C9C13-D08F-4D1B-7E15-E90AEBA482FC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C012D2EA-3E72-125D-A232-D845DBABB7A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3"/>
  <sheetViews>
    <sheetView showGridLines="0" tabSelected="1" zoomScale="120" zoomScaleNormal="120" workbookViewId="0">
      <pane ySplit="3" topLeftCell="A4" activePane="bottomLeft" state="frozen"/>
      <selection pane="bottomLeft" activeCell="L5" sqref="L5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00" t="s">
        <v>292</v>
      </c>
      <c r="B1" s="200"/>
      <c r="C1" s="200"/>
      <c r="D1" s="200"/>
      <c r="E1" s="200"/>
      <c r="F1" s="200"/>
      <c r="G1" s="200"/>
      <c r="H1" s="200"/>
      <c r="I1" s="200"/>
      <c r="J1" s="200"/>
    </row>
    <row r="2" spans="1:10" ht="74" customHeight="1">
      <c r="A2" s="207" t="s">
        <v>352</v>
      </c>
      <c r="B2" s="207"/>
      <c r="C2" s="207"/>
      <c r="D2" s="207"/>
      <c r="E2" s="207"/>
      <c r="F2" s="207"/>
      <c r="G2" s="207"/>
      <c r="H2" s="207"/>
      <c r="I2" s="379"/>
      <c r="J2" s="379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201" t="s">
        <v>346</v>
      </c>
      <c r="B4" s="202"/>
      <c r="C4" s="202"/>
      <c r="D4" s="203"/>
      <c r="E4" s="203"/>
      <c r="F4" s="203"/>
      <c r="G4" s="204"/>
      <c r="H4" s="205"/>
      <c r="I4" s="203"/>
      <c r="J4" s="206"/>
    </row>
    <row r="5" spans="1:10" ht="24" customHeight="1">
      <c r="A5" s="160" t="s">
        <v>305</v>
      </c>
      <c r="B5" s="146">
        <v>45778</v>
      </c>
      <c r="C5" s="146">
        <v>46142</v>
      </c>
      <c r="D5" s="147" t="s">
        <v>302</v>
      </c>
      <c r="E5" s="147" t="s">
        <v>2</v>
      </c>
      <c r="F5" s="147" t="s">
        <v>293</v>
      </c>
      <c r="G5" s="130">
        <v>173</v>
      </c>
      <c r="H5" s="131">
        <v>2021</v>
      </c>
      <c r="I5" s="14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7" t="str">
        <f t="shared" ref="J5:J36" si="1">IF($G5="","",IF(COUNTIFS($A:$A,$A5,$D:$D,$D5,$G:$G,$G5)&gt;1,"Doppelte Monatsstunden",""))</f>
        <v/>
      </c>
    </row>
    <row r="6" spans="1:10" ht="24" customHeight="1">
      <c r="A6" s="161" t="s">
        <v>305</v>
      </c>
      <c r="B6" s="148">
        <v>45778</v>
      </c>
      <c r="C6" s="148">
        <v>46142</v>
      </c>
      <c r="D6" s="149" t="s">
        <v>302</v>
      </c>
      <c r="E6" s="149" t="s">
        <v>2</v>
      </c>
      <c r="F6" s="149" t="s">
        <v>293</v>
      </c>
      <c r="G6" s="132">
        <v>151.38</v>
      </c>
      <c r="H6" s="133">
        <v>1768.38</v>
      </c>
      <c r="I6" s="149" t="str">
        <f t="shared" si="0"/>
        <v>OK</v>
      </c>
      <c r="J6" s="168" t="str">
        <f t="shared" si="1"/>
        <v/>
      </c>
    </row>
    <row r="7" spans="1:10" ht="24" customHeight="1">
      <c r="A7" s="161" t="s">
        <v>305</v>
      </c>
      <c r="B7" s="148">
        <v>45778</v>
      </c>
      <c r="C7" s="148">
        <v>46142</v>
      </c>
      <c r="D7" s="149" t="s">
        <v>302</v>
      </c>
      <c r="E7" s="149" t="s">
        <v>2</v>
      </c>
      <c r="F7" s="149" t="s">
        <v>293</v>
      </c>
      <c r="G7" s="132">
        <v>138.4</v>
      </c>
      <c r="H7" s="133">
        <v>1616.8</v>
      </c>
      <c r="I7" s="149" t="str">
        <f t="shared" si="0"/>
        <v>OK</v>
      </c>
      <c r="J7" s="168" t="str">
        <f t="shared" si="1"/>
        <v/>
      </c>
    </row>
    <row r="8" spans="1:10" ht="24" customHeight="1">
      <c r="A8" s="161" t="s">
        <v>305</v>
      </c>
      <c r="B8" s="148">
        <v>45778</v>
      </c>
      <c r="C8" s="148">
        <v>46142</v>
      </c>
      <c r="D8" s="149" t="s">
        <v>302</v>
      </c>
      <c r="E8" s="149" t="s">
        <v>2</v>
      </c>
      <c r="F8" s="149" t="s">
        <v>293</v>
      </c>
      <c r="G8" s="132">
        <v>129.75</v>
      </c>
      <c r="H8" s="133">
        <v>1515.75</v>
      </c>
      <c r="I8" s="149" t="str">
        <f t="shared" si="0"/>
        <v>OK</v>
      </c>
      <c r="J8" s="168" t="str">
        <f t="shared" si="1"/>
        <v/>
      </c>
    </row>
    <row r="9" spans="1:10" ht="24" customHeight="1">
      <c r="A9" s="161" t="s">
        <v>305</v>
      </c>
      <c r="B9" s="148">
        <v>45778</v>
      </c>
      <c r="C9" s="148">
        <v>46142</v>
      </c>
      <c r="D9" s="149" t="s">
        <v>302</v>
      </c>
      <c r="E9" s="149" t="s">
        <v>2</v>
      </c>
      <c r="F9" s="149" t="s">
        <v>293</v>
      </c>
      <c r="G9" s="132">
        <v>108.13</v>
      </c>
      <c r="H9" s="133">
        <v>1263.1300000000001</v>
      </c>
      <c r="I9" s="149" t="str">
        <f t="shared" si="0"/>
        <v>OK</v>
      </c>
      <c r="J9" s="168" t="str">
        <f t="shared" si="1"/>
        <v/>
      </c>
    </row>
    <row r="10" spans="1:10" ht="24" customHeight="1">
      <c r="A10" s="161" t="s">
        <v>305</v>
      </c>
      <c r="B10" s="148">
        <v>45778</v>
      </c>
      <c r="C10" s="148">
        <v>46142</v>
      </c>
      <c r="D10" s="149" t="s">
        <v>302</v>
      </c>
      <c r="E10" s="149" t="s">
        <v>2</v>
      </c>
      <c r="F10" s="149" t="s">
        <v>293</v>
      </c>
      <c r="G10" s="132">
        <v>103.8</v>
      </c>
      <c r="H10" s="133">
        <v>1212.5999999999999</v>
      </c>
      <c r="I10" s="149" t="str">
        <f t="shared" si="0"/>
        <v>OK</v>
      </c>
      <c r="J10" s="168" t="str">
        <f t="shared" si="1"/>
        <v/>
      </c>
    </row>
    <row r="11" spans="1:10" ht="24" customHeight="1">
      <c r="A11" s="161" t="s">
        <v>305</v>
      </c>
      <c r="B11" s="148">
        <v>45778</v>
      </c>
      <c r="C11" s="148">
        <v>46142</v>
      </c>
      <c r="D11" s="149" t="s">
        <v>302</v>
      </c>
      <c r="E11" s="149" t="s">
        <v>2</v>
      </c>
      <c r="F11" s="149" t="s">
        <v>293</v>
      </c>
      <c r="G11" s="132">
        <v>86.5</v>
      </c>
      <c r="H11" s="133">
        <v>1010.5</v>
      </c>
      <c r="I11" s="149" t="str">
        <f t="shared" si="0"/>
        <v>OK</v>
      </c>
      <c r="J11" s="168" t="str">
        <f t="shared" si="1"/>
        <v/>
      </c>
    </row>
    <row r="12" spans="1:10" ht="24" customHeight="1">
      <c r="A12" s="161" t="s">
        <v>305</v>
      </c>
      <c r="B12" s="148">
        <v>45778</v>
      </c>
      <c r="C12" s="148">
        <v>46142</v>
      </c>
      <c r="D12" s="149" t="s">
        <v>302</v>
      </c>
      <c r="E12" s="149" t="s">
        <v>2</v>
      </c>
      <c r="F12" s="149" t="s">
        <v>293</v>
      </c>
      <c r="G12" s="132">
        <v>69.2</v>
      </c>
      <c r="H12" s="133">
        <v>808.4</v>
      </c>
      <c r="I12" s="149" t="str">
        <f t="shared" si="0"/>
        <v>OK</v>
      </c>
      <c r="J12" s="168" t="str">
        <f t="shared" si="1"/>
        <v/>
      </c>
    </row>
    <row r="13" spans="1:10" ht="24" customHeight="1">
      <c r="A13" s="161" t="s">
        <v>305</v>
      </c>
      <c r="B13" s="148">
        <v>45778</v>
      </c>
      <c r="C13" s="148">
        <v>46142</v>
      </c>
      <c r="D13" s="149" t="s">
        <v>302</v>
      </c>
      <c r="E13" s="149" t="s">
        <v>2</v>
      </c>
      <c r="F13" s="149" t="s">
        <v>293</v>
      </c>
      <c r="G13" s="132">
        <v>64</v>
      </c>
      <c r="H13" s="133">
        <v>1000</v>
      </c>
      <c r="I13" s="149" t="str">
        <f t="shared" si="0"/>
        <v>OK</v>
      </c>
      <c r="J13" s="168" t="str">
        <f t="shared" si="1"/>
        <v/>
      </c>
    </row>
    <row r="14" spans="1:10" ht="24" customHeight="1">
      <c r="A14" s="161" t="s">
        <v>305</v>
      </c>
      <c r="B14" s="148">
        <v>45778</v>
      </c>
      <c r="C14" s="148">
        <v>46142</v>
      </c>
      <c r="D14" s="149" t="s">
        <v>302</v>
      </c>
      <c r="E14" s="149" t="s">
        <v>2</v>
      </c>
      <c r="F14" s="149" t="s">
        <v>293</v>
      </c>
      <c r="G14" s="132">
        <v>51.9</v>
      </c>
      <c r="H14" s="133">
        <v>606.29999999999995</v>
      </c>
      <c r="I14" s="149" t="str">
        <f t="shared" si="0"/>
        <v>OK</v>
      </c>
      <c r="J14" s="168" t="str">
        <f t="shared" si="1"/>
        <v/>
      </c>
    </row>
    <row r="15" spans="1:10" ht="24" customHeight="1">
      <c r="A15" s="161" t="s">
        <v>305</v>
      </c>
      <c r="B15" s="148">
        <v>45778</v>
      </c>
      <c r="C15" s="148">
        <v>46142</v>
      </c>
      <c r="D15" s="149" t="s">
        <v>302</v>
      </c>
      <c r="E15" s="149" t="s">
        <v>2</v>
      </c>
      <c r="F15" s="149" t="s">
        <v>293</v>
      </c>
      <c r="G15" s="132">
        <v>47.58</v>
      </c>
      <c r="H15" s="133">
        <v>555.78</v>
      </c>
      <c r="I15" s="149" t="str">
        <f t="shared" si="0"/>
        <v>OK</v>
      </c>
      <c r="J15" s="168" t="str">
        <f t="shared" si="1"/>
        <v/>
      </c>
    </row>
    <row r="16" spans="1:10" ht="24" customHeight="1">
      <c r="A16" s="161" t="s">
        <v>305</v>
      </c>
      <c r="B16" s="148">
        <v>45778</v>
      </c>
      <c r="C16" s="148">
        <v>46142</v>
      </c>
      <c r="D16" s="149" t="s">
        <v>302</v>
      </c>
      <c r="E16" s="149" t="s">
        <v>2</v>
      </c>
      <c r="F16" s="149" t="s">
        <v>293</v>
      </c>
      <c r="G16" s="132">
        <v>43.25</v>
      </c>
      <c r="H16" s="133">
        <v>505.25</v>
      </c>
      <c r="I16" s="149" t="str">
        <f t="shared" si="0"/>
        <v>OK</v>
      </c>
      <c r="J16" s="168" t="str">
        <f t="shared" si="1"/>
        <v/>
      </c>
    </row>
    <row r="17" spans="1:10" ht="24" customHeight="1">
      <c r="A17" s="161" t="s">
        <v>305</v>
      </c>
      <c r="B17" s="148">
        <v>45778</v>
      </c>
      <c r="C17" s="148">
        <v>46142</v>
      </c>
      <c r="D17" s="149" t="s">
        <v>302</v>
      </c>
      <c r="E17" s="149" t="s">
        <v>2</v>
      </c>
      <c r="F17" s="149" t="s">
        <v>293</v>
      </c>
      <c r="G17" s="132">
        <v>34.6</v>
      </c>
      <c r="H17" s="133">
        <v>404.2</v>
      </c>
      <c r="I17" s="149" t="str">
        <f t="shared" si="0"/>
        <v>OK</v>
      </c>
      <c r="J17" s="168" t="str">
        <f t="shared" si="1"/>
        <v/>
      </c>
    </row>
    <row r="18" spans="1:10" ht="24" customHeight="1">
      <c r="A18" s="161" t="s">
        <v>305</v>
      </c>
      <c r="B18" s="148">
        <v>45778</v>
      </c>
      <c r="C18" s="148">
        <v>46142</v>
      </c>
      <c r="D18" s="149" t="s">
        <v>302</v>
      </c>
      <c r="E18" s="149" t="s">
        <v>2</v>
      </c>
      <c r="F18" s="149" t="s">
        <v>293</v>
      </c>
      <c r="G18" s="132">
        <v>32.01</v>
      </c>
      <c r="H18" s="133">
        <v>373.89</v>
      </c>
      <c r="I18" s="149" t="str">
        <f t="shared" si="0"/>
        <v>OK</v>
      </c>
      <c r="J18" s="168" t="str">
        <f t="shared" si="1"/>
        <v/>
      </c>
    </row>
    <row r="19" spans="1:10" ht="24" customHeight="1" thickBot="1">
      <c r="A19" s="161" t="s">
        <v>305</v>
      </c>
      <c r="B19" s="148">
        <v>45778</v>
      </c>
      <c r="C19" s="148">
        <v>46142</v>
      </c>
      <c r="D19" s="149" t="s">
        <v>302</v>
      </c>
      <c r="E19" s="149" t="s">
        <v>2</v>
      </c>
      <c r="F19" s="149" t="s">
        <v>293</v>
      </c>
      <c r="G19" s="132">
        <v>10</v>
      </c>
      <c r="H19" s="133">
        <v>60</v>
      </c>
      <c r="I19" s="149" t="str">
        <f t="shared" si="0"/>
        <v>OK</v>
      </c>
      <c r="J19" s="168" t="str">
        <f t="shared" si="1"/>
        <v/>
      </c>
    </row>
    <row r="20" spans="1:10" ht="24" customHeight="1">
      <c r="A20" s="162" t="s">
        <v>305</v>
      </c>
      <c r="B20" s="150">
        <v>45778</v>
      </c>
      <c r="C20" s="150">
        <v>46142</v>
      </c>
      <c r="D20" s="151" t="s">
        <v>3</v>
      </c>
      <c r="E20" s="151" t="s">
        <v>2</v>
      </c>
      <c r="F20" s="151" t="s">
        <v>294</v>
      </c>
      <c r="G20" s="134">
        <v>173</v>
      </c>
      <c r="H20" s="135">
        <v>2082</v>
      </c>
      <c r="I20" s="151" t="str">
        <f t="shared" si="0"/>
        <v>OK</v>
      </c>
      <c r="J20" s="169" t="str">
        <f t="shared" si="1"/>
        <v/>
      </c>
    </row>
    <row r="21" spans="1:10" ht="24" customHeight="1">
      <c r="A21" s="161" t="s">
        <v>305</v>
      </c>
      <c r="B21" s="148">
        <v>45778</v>
      </c>
      <c r="C21" s="148">
        <v>46142</v>
      </c>
      <c r="D21" s="149" t="s">
        <v>3</v>
      </c>
      <c r="E21" s="149" t="s">
        <v>2</v>
      </c>
      <c r="F21" s="149" t="s">
        <v>294</v>
      </c>
      <c r="G21" s="132">
        <v>151.38</v>
      </c>
      <c r="H21" s="133">
        <v>1821.75</v>
      </c>
      <c r="I21" s="149" t="str">
        <f t="shared" si="0"/>
        <v>OK</v>
      </c>
      <c r="J21" s="168" t="str">
        <f t="shared" si="1"/>
        <v/>
      </c>
    </row>
    <row r="22" spans="1:10" ht="24" customHeight="1">
      <c r="A22" s="161" t="s">
        <v>305</v>
      </c>
      <c r="B22" s="148">
        <v>45778</v>
      </c>
      <c r="C22" s="148">
        <v>46142</v>
      </c>
      <c r="D22" s="149" t="s">
        <v>3</v>
      </c>
      <c r="E22" s="149" t="s">
        <v>2</v>
      </c>
      <c r="F22" s="149" t="s">
        <v>294</v>
      </c>
      <c r="G22" s="132">
        <v>138.4</v>
      </c>
      <c r="H22" s="133">
        <v>1665.6</v>
      </c>
      <c r="I22" s="149" t="str">
        <f t="shared" si="0"/>
        <v>OK</v>
      </c>
      <c r="J22" s="168" t="str">
        <f t="shared" si="1"/>
        <v/>
      </c>
    </row>
    <row r="23" spans="1:10" ht="24" customHeight="1">
      <c r="A23" s="161" t="s">
        <v>305</v>
      </c>
      <c r="B23" s="148">
        <v>45778</v>
      </c>
      <c r="C23" s="148">
        <v>46142</v>
      </c>
      <c r="D23" s="149" t="s">
        <v>3</v>
      </c>
      <c r="E23" s="149" t="s">
        <v>2</v>
      </c>
      <c r="F23" s="149" t="s">
        <v>294</v>
      </c>
      <c r="G23" s="132">
        <v>129.75</v>
      </c>
      <c r="H23" s="133">
        <v>1561.5</v>
      </c>
      <c r="I23" s="149" t="str">
        <f t="shared" si="0"/>
        <v>OK</v>
      </c>
      <c r="J23" s="168" t="str">
        <f t="shared" si="1"/>
        <v/>
      </c>
    </row>
    <row r="24" spans="1:10" ht="24" customHeight="1">
      <c r="A24" s="161" t="s">
        <v>305</v>
      </c>
      <c r="B24" s="148">
        <v>45778</v>
      </c>
      <c r="C24" s="148">
        <v>46142</v>
      </c>
      <c r="D24" s="149" t="s">
        <v>3</v>
      </c>
      <c r="E24" s="149" t="s">
        <v>2</v>
      </c>
      <c r="F24" s="149" t="s">
        <v>294</v>
      </c>
      <c r="G24" s="132">
        <v>108.13</v>
      </c>
      <c r="H24" s="133">
        <v>1301.25</v>
      </c>
      <c r="I24" s="149" t="str">
        <f t="shared" si="0"/>
        <v>OK</v>
      </c>
      <c r="J24" s="168" t="str">
        <f t="shared" si="1"/>
        <v/>
      </c>
    </row>
    <row r="25" spans="1:10" ht="24" customHeight="1">
      <c r="A25" s="161" t="s">
        <v>305</v>
      </c>
      <c r="B25" s="148">
        <v>45778</v>
      </c>
      <c r="C25" s="148">
        <v>46142</v>
      </c>
      <c r="D25" s="149" t="s">
        <v>3</v>
      </c>
      <c r="E25" s="149" t="s">
        <v>2</v>
      </c>
      <c r="F25" s="149" t="s">
        <v>294</v>
      </c>
      <c r="G25" s="132">
        <v>103.8</v>
      </c>
      <c r="H25" s="133">
        <v>1249.2</v>
      </c>
      <c r="I25" s="149" t="str">
        <f t="shared" si="0"/>
        <v>OK</v>
      </c>
      <c r="J25" s="168" t="str">
        <f t="shared" si="1"/>
        <v/>
      </c>
    </row>
    <row r="26" spans="1:10" ht="24" customHeight="1">
      <c r="A26" s="161" t="s">
        <v>305</v>
      </c>
      <c r="B26" s="148">
        <v>45778</v>
      </c>
      <c r="C26" s="148">
        <v>46142</v>
      </c>
      <c r="D26" s="149" t="s">
        <v>3</v>
      </c>
      <c r="E26" s="149" t="s">
        <v>2</v>
      </c>
      <c r="F26" s="149" t="s">
        <v>294</v>
      </c>
      <c r="G26" s="132">
        <v>100</v>
      </c>
      <c r="H26" s="133">
        <v>2000</v>
      </c>
      <c r="I26" s="149" t="str">
        <f t="shared" si="0"/>
        <v>OK</v>
      </c>
      <c r="J26" s="168" t="str">
        <f t="shared" si="1"/>
        <v/>
      </c>
    </row>
    <row r="27" spans="1:10" ht="24" customHeight="1">
      <c r="A27" s="161" t="s">
        <v>305</v>
      </c>
      <c r="B27" s="148">
        <v>45778</v>
      </c>
      <c r="C27" s="148">
        <v>46142</v>
      </c>
      <c r="D27" s="149" t="s">
        <v>3</v>
      </c>
      <c r="E27" s="149" t="s">
        <v>2</v>
      </c>
      <c r="F27" s="149" t="s">
        <v>294</v>
      </c>
      <c r="G27" s="132">
        <v>86.5</v>
      </c>
      <c r="H27" s="133">
        <v>1041.2</v>
      </c>
      <c r="I27" s="149" t="str">
        <f t="shared" si="0"/>
        <v>OK</v>
      </c>
      <c r="J27" s="168" t="str">
        <f t="shared" si="1"/>
        <v/>
      </c>
    </row>
    <row r="28" spans="1:10" ht="24" customHeight="1">
      <c r="A28" s="161" t="s">
        <v>305</v>
      </c>
      <c r="B28" s="148">
        <v>45778</v>
      </c>
      <c r="C28" s="148">
        <v>46142</v>
      </c>
      <c r="D28" s="149" t="s">
        <v>3</v>
      </c>
      <c r="E28" s="149" t="s">
        <v>2</v>
      </c>
      <c r="F28" s="149" t="s">
        <v>294</v>
      </c>
      <c r="G28" s="132">
        <v>69.2</v>
      </c>
      <c r="H28" s="133">
        <v>832.8</v>
      </c>
      <c r="I28" s="149" t="str">
        <f t="shared" si="0"/>
        <v>OK</v>
      </c>
      <c r="J28" s="168" t="str">
        <f t="shared" si="1"/>
        <v/>
      </c>
    </row>
    <row r="29" spans="1:10" ht="24" customHeight="1">
      <c r="A29" s="161" t="s">
        <v>305</v>
      </c>
      <c r="B29" s="148">
        <v>45778</v>
      </c>
      <c r="C29" s="148">
        <v>46142</v>
      </c>
      <c r="D29" s="149" t="s">
        <v>3</v>
      </c>
      <c r="E29" s="149" t="s">
        <v>2</v>
      </c>
      <c r="F29" s="149" t="s">
        <v>294</v>
      </c>
      <c r="G29" s="132">
        <v>51.9</v>
      </c>
      <c r="H29" s="133">
        <v>624.6</v>
      </c>
      <c r="I29" s="149" t="str">
        <f t="shared" si="0"/>
        <v>OK</v>
      </c>
      <c r="J29" s="168" t="str">
        <f t="shared" si="1"/>
        <v/>
      </c>
    </row>
    <row r="30" spans="1:10" ht="24" customHeight="1">
      <c r="A30" s="161" t="s">
        <v>305</v>
      </c>
      <c r="B30" s="148">
        <v>45778</v>
      </c>
      <c r="C30" s="148">
        <v>46142</v>
      </c>
      <c r="D30" s="149" t="s">
        <v>3</v>
      </c>
      <c r="E30" s="149" t="s">
        <v>2</v>
      </c>
      <c r="F30" s="149" t="s">
        <v>294</v>
      </c>
      <c r="G30" s="132">
        <v>47.58</v>
      </c>
      <c r="H30" s="133">
        <v>575.54999999999995</v>
      </c>
      <c r="I30" s="149" t="str">
        <f t="shared" si="0"/>
        <v>OK</v>
      </c>
      <c r="J30" s="168" t="str">
        <f t="shared" si="1"/>
        <v/>
      </c>
    </row>
    <row r="31" spans="1:10" ht="24" customHeight="1">
      <c r="A31" s="161" t="s">
        <v>305</v>
      </c>
      <c r="B31" s="148">
        <v>45778</v>
      </c>
      <c r="C31" s="148">
        <v>46142</v>
      </c>
      <c r="D31" s="149" t="s">
        <v>3</v>
      </c>
      <c r="E31" s="149" t="s">
        <v>2</v>
      </c>
      <c r="F31" s="149" t="s">
        <v>294</v>
      </c>
      <c r="G31" s="132">
        <v>43.25</v>
      </c>
      <c r="H31" s="133">
        <v>520.5</v>
      </c>
      <c r="I31" s="149" t="str">
        <f t="shared" si="0"/>
        <v>OK</v>
      </c>
      <c r="J31" s="168" t="str">
        <f t="shared" si="1"/>
        <v/>
      </c>
    </row>
    <row r="32" spans="1:10" ht="24" customHeight="1">
      <c r="A32" s="161" t="s">
        <v>305</v>
      </c>
      <c r="B32" s="148">
        <v>45778</v>
      </c>
      <c r="C32" s="148">
        <v>46142</v>
      </c>
      <c r="D32" s="149" t="s">
        <v>3</v>
      </c>
      <c r="E32" s="149" t="s">
        <v>2</v>
      </c>
      <c r="F32" s="149" t="s">
        <v>294</v>
      </c>
      <c r="G32" s="132">
        <v>34.6</v>
      </c>
      <c r="H32" s="133">
        <v>416.4</v>
      </c>
      <c r="I32" s="149" t="str">
        <f t="shared" si="0"/>
        <v>OK</v>
      </c>
      <c r="J32" s="168" t="str">
        <f t="shared" si="1"/>
        <v/>
      </c>
    </row>
    <row r="33" spans="1:10" ht="24" customHeight="1" thickBot="1">
      <c r="A33" s="161" t="s">
        <v>305</v>
      </c>
      <c r="B33" s="148">
        <v>45778</v>
      </c>
      <c r="C33" s="148">
        <v>46142</v>
      </c>
      <c r="D33" s="149" t="s">
        <v>3</v>
      </c>
      <c r="E33" s="149" t="s">
        <v>2</v>
      </c>
      <c r="F33" s="149" t="s">
        <v>294</v>
      </c>
      <c r="G33" s="132">
        <v>32.01</v>
      </c>
      <c r="H33" s="133">
        <v>385.17</v>
      </c>
      <c r="I33" s="149" t="str">
        <f t="shared" si="0"/>
        <v>OK</v>
      </c>
      <c r="J33" s="168" t="str">
        <f t="shared" si="1"/>
        <v/>
      </c>
    </row>
    <row r="34" spans="1:10" ht="24" customHeight="1">
      <c r="A34" s="162" t="s">
        <v>305</v>
      </c>
      <c r="B34" s="150">
        <v>45778</v>
      </c>
      <c r="C34" s="150">
        <v>46142</v>
      </c>
      <c r="D34" s="151" t="s">
        <v>4</v>
      </c>
      <c r="E34" s="151" t="s">
        <v>2</v>
      </c>
      <c r="F34" s="151" t="s">
        <v>295</v>
      </c>
      <c r="G34" s="134">
        <v>173</v>
      </c>
      <c r="H34" s="135">
        <v>2123</v>
      </c>
      <c r="I34" s="151" t="str">
        <f t="shared" si="0"/>
        <v>OK</v>
      </c>
      <c r="J34" s="169" t="str">
        <f t="shared" si="1"/>
        <v/>
      </c>
    </row>
    <row r="35" spans="1:10" ht="24" customHeight="1">
      <c r="A35" s="161" t="s">
        <v>305</v>
      </c>
      <c r="B35" s="148">
        <v>45778</v>
      </c>
      <c r="C35" s="148">
        <v>46142</v>
      </c>
      <c r="D35" s="149" t="s">
        <v>4</v>
      </c>
      <c r="E35" s="149" t="s">
        <v>2</v>
      </c>
      <c r="F35" s="149" t="s">
        <v>295</v>
      </c>
      <c r="G35" s="132">
        <v>151.38</v>
      </c>
      <c r="H35" s="133">
        <v>1857.63</v>
      </c>
      <c r="I35" s="149" t="str">
        <f t="shared" si="0"/>
        <v>OK</v>
      </c>
      <c r="J35" s="168" t="str">
        <f t="shared" si="1"/>
        <v/>
      </c>
    </row>
    <row r="36" spans="1:10" ht="24" customHeight="1">
      <c r="A36" s="161" t="s">
        <v>305</v>
      </c>
      <c r="B36" s="148">
        <v>45778</v>
      </c>
      <c r="C36" s="148">
        <v>46142</v>
      </c>
      <c r="D36" s="149" t="s">
        <v>4</v>
      </c>
      <c r="E36" s="149" t="s">
        <v>2</v>
      </c>
      <c r="F36" s="149" t="s">
        <v>295</v>
      </c>
      <c r="G36" s="132">
        <v>138.4</v>
      </c>
      <c r="H36" s="133">
        <v>1698.4</v>
      </c>
      <c r="I36" s="149" t="str">
        <f t="shared" si="0"/>
        <v>OK</v>
      </c>
      <c r="J36" s="168" t="str">
        <f t="shared" si="1"/>
        <v/>
      </c>
    </row>
    <row r="37" spans="1:10" ht="24" customHeight="1">
      <c r="A37" s="161" t="s">
        <v>305</v>
      </c>
      <c r="B37" s="148">
        <v>45778</v>
      </c>
      <c r="C37" s="148">
        <v>46142</v>
      </c>
      <c r="D37" s="149" t="s">
        <v>4</v>
      </c>
      <c r="E37" s="149" t="s">
        <v>2</v>
      </c>
      <c r="F37" s="149" t="s">
        <v>295</v>
      </c>
      <c r="G37" s="132">
        <v>129.75</v>
      </c>
      <c r="H37" s="133">
        <v>1592.25</v>
      </c>
      <c r="I37" s="149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8" t="str">
        <f t="shared" ref="J37:J68" si="3">IF($G37="","",IF(COUNTIFS($A:$A,$A37,$D:$D,$D37,$G:$G,$G37)&gt;1,"Doppelte Monatsstunden",""))</f>
        <v/>
      </c>
    </row>
    <row r="38" spans="1:10" ht="24" customHeight="1">
      <c r="A38" s="161" t="s">
        <v>305</v>
      </c>
      <c r="B38" s="148">
        <v>45778</v>
      </c>
      <c r="C38" s="148">
        <v>46142</v>
      </c>
      <c r="D38" s="149" t="s">
        <v>4</v>
      </c>
      <c r="E38" s="149" t="s">
        <v>2</v>
      </c>
      <c r="F38" s="149" t="s">
        <v>295</v>
      </c>
      <c r="G38" s="132">
        <v>108.13</v>
      </c>
      <c r="H38" s="133">
        <v>1326.88</v>
      </c>
      <c r="I38" s="149" t="str">
        <f t="shared" si="2"/>
        <v>OK</v>
      </c>
      <c r="J38" s="168" t="str">
        <f t="shared" si="3"/>
        <v/>
      </c>
    </row>
    <row r="39" spans="1:10" ht="24" customHeight="1">
      <c r="A39" s="161" t="s">
        <v>305</v>
      </c>
      <c r="B39" s="148">
        <v>45778</v>
      </c>
      <c r="C39" s="148">
        <v>46142</v>
      </c>
      <c r="D39" s="149" t="s">
        <v>4</v>
      </c>
      <c r="E39" s="149" t="s">
        <v>2</v>
      </c>
      <c r="F39" s="149" t="s">
        <v>295</v>
      </c>
      <c r="G39" s="132">
        <v>103.8</v>
      </c>
      <c r="H39" s="133">
        <v>1273.8</v>
      </c>
      <c r="I39" s="149" t="str">
        <f t="shared" si="2"/>
        <v>OK</v>
      </c>
      <c r="J39" s="168" t="str">
        <f t="shared" si="3"/>
        <v/>
      </c>
    </row>
    <row r="40" spans="1:10" ht="24" customHeight="1">
      <c r="A40" s="161" t="s">
        <v>305</v>
      </c>
      <c r="B40" s="148">
        <v>45778</v>
      </c>
      <c r="C40" s="148">
        <v>46142</v>
      </c>
      <c r="D40" s="149" t="s">
        <v>4</v>
      </c>
      <c r="E40" s="149" t="s">
        <v>2</v>
      </c>
      <c r="F40" s="149" t="s">
        <v>295</v>
      </c>
      <c r="G40" s="132">
        <v>86.5</v>
      </c>
      <c r="H40" s="133">
        <v>1061.5</v>
      </c>
      <c r="I40" s="149" t="str">
        <f t="shared" si="2"/>
        <v>OK</v>
      </c>
      <c r="J40" s="168" t="str">
        <f t="shared" si="3"/>
        <v/>
      </c>
    </row>
    <row r="41" spans="1:10" ht="24" customHeight="1">
      <c r="A41" s="161" t="s">
        <v>305</v>
      </c>
      <c r="B41" s="148">
        <v>45778</v>
      </c>
      <c r="C41" s="148">
        <v>46142</v>
      </c>
      <c r="D41" s="149" t="s">
        <v>4</v>
      </c>
      <c r="E41" s="149" t="s">
        <v>2</v>
      </c>
      <c r="F41" s="149" t="s">
        <v>295</v>
      </c>
      <c r="G41" s="132">
        <v>69.2</v>
      </c>
      <c r="H41" s="133">
        <v>849.2</v>
      </c>
      <c r="I41" s="149" t="str">
        <f t="shared" si="2"/>
        <v>OK</v>
      </c>
      <c r="J41" s="168" t="str">
        <f t="shared" si="3"/>
        <v/>
      </c>
    </row>
    <row r="42" spans="1:10" ht="24" customHeight="1">
      <c r="A42" s="161" t="s">
        <v>305</v>
      </c>
      <c r="B42" s="148">
        <v>45778</v>
      </c>
      <c r="C42" s="148">
        <v>46142</v>
      </c>
      <c r="D42" s="149" t="s">
        <v>4</v>
      </c>
      <c r="E42" s="149" t="s">
        <v>2</v>
      </c>
      <c r="F42" s="149" t="s">
        <v>295</v>
      </c>
      <c r="G42" s="132">
        <v>51.9</v>
      </c>
      <c r="H42" s="133">
        <v>636.9</v>
      </c>
      <c r="I42" s="149" t="str">
        <f t="shared" si="2"/>
        <v>OK</v>
      </c>
      <c r="J42" s="168" t="str">
        <f t="shared" si="3"/>
        <v/>
      </c>
    </row>
    <row r="43" spans="1:10" ht="24" customHeight="1">
      <c r="A43" s="161" t="s">
        <v>305</v>
      </c>
      <c r="B43" s="148">
        <v>45778</v>
      </c>
      <c r="C43" s="148">
        <v>46142</v>
      </c>
      <c r="D43" s="149" t="s">
        <v>4</v>
      </c>
      <c r="E43" s="149" t="s">
        <v>2</v>
      </c>
      <c r="F43" s="149" t="s">
        <v>295</v>
      </c>
      <c r="G43" s="132">
        <v>47.58</v>
      </c>
      <c r="H43" s="133">
        <v>583.83000000000004</v>
      </c>
      <c r="I43" s="149" t="str">
        <f t="shared" si="2"/>
        <v>OK</v>
      </c>
      <c r="J43" s="168" t="str">
        <f t="shared" si="3"/>
        <v/>
      </c>
    </row>
    <row r="44" spans="1:10" ht="24" customHeight="1">
      <c r="A44" s="161" t="s">
        <v>305</v>
      </c>
      <c r="B44" s="148">
        <v>45778</v>
      </c>
      <c r="C44" s="148">
        <v>46142</v>
      </c>
      <c r="D44" s="149" t="s">
        <v>4</v>
      </c>
      <c r="E44" s="149" t="s">
        <v>2</v>
      </c>
      <c r="F44" s="149" t="s">
        <v>295</v>
      </c>
      <c r="G44" s="132">
        <v>43.25</v>
      </c>
      <c r="H44" s="133">
        <v>530.75</v>
      </c>
      <c r="I44" s="149" t="str">
        <f t="shared" si="2"/>
        <v>OK</v>
      </c>
      <c r="J44" s="168" t="str">
        <f t="shared" si="3"/>
        <v/>
      </c>
    </row>
    <row r="45" spans="1:10" ht="24" customHeight="1">
      <c r="A45" s="161" t="s">
        <v>305</v>
      </c>
      <c r="B45" s="148">
        <v>45778</v>
      </c>
      <c r="C45" s="148">
        <v>46142</v>
      </c>
      <c r="D45" s="149" t="s">
        <v>4</v>
      </c>
      <c r="E45" s="149" t="s">
        <v>2</v>
      </c>
      <c r="F45" s="149" t="s">
        <v>295</v>
      </c>
      <c r="G45" s="132">
        <v>34.6</v>
      </c>
      <c r="H45" s="133">
        <v>424.6</v>
      </c>
      <c r="I45" s="149" t="str">
        <f t="shared" si="2"/>
        <v>OK</v>
      </c>
      <c r="J45" s="168" t="str">
        <f t="shared" si="3"/>
        <v/>
      </c>
    </row>
    <row r="46" spans="1:10" ht="24" customHeight="1" thickBot="1">
      <c r="A46" s="161" t="s">
        <v>305</v>
      </c>
      <c r="B46" s="148">
        <v>45778</v>
      </c>
      <c r="C46" s="148">
        <v>46142</v>
      </c>
      <c r="D46" s="149" t="s">
        <v>4</v>
      </c>
      <c r="E46" s="149" t="s">
        <v>2</v>
      </c>
      <c r="F46" s="149" t="s">
        <v>295</v>
      </c>
      <c r="G46" s="132">
        <v>32.01</v>
      </c>
      <c r="H46" s="133">
        <v>392.76</v>
      </c>
      <c r="I46" s="149" t="str">
        <f t="shared" si="2"/>
        <v>OK</v>
      </c>
      <c r="J46" s="168" t="str">
        <f t="shared" si="3"/>
        <v/>
      </c>
    </row>
    <row r="47" spans="1:10" ht="24" customHeight="1">
      <c r="A47" s="162" t="s">
        <v>305</v>
      </c>
      <c r="B47" s="150">
        <v>45778</v>
      </c>
      <c r="C47" s="150">
        <v>46142</v>
      </c>
      <c r="D47" s="151" t="s">
        <v>5</v>
      </c>
      <c r="E47" s="151" t="s">
        <v>2</v>
      </c>
      <c r="F47" s="151" t="s">
        <v>296</v>
      </c>
      <c r="G47" s="134">
        <v>173</v>
      </c>
      <c r="H47" s="135">
        <v>2183</v>
      </c>
      <c r="I47" s="151" t="str">
        <f t="shared" si="2"/>
        <v>OK</v>
      </c>
      <c r="J47" s="169" t="str">
        <f t="shared" si="3"/>
        <v/>
      </c>
    </row>
    <row r="48" spans="1:10" ht="24" customHeight="1">
      <c r="A48" s="161" t="s">
        <v>305</v>
      </c>
      <c r="B48" s="148">
        <v>45778</v>
      </c>
      <c r="C48" s="148">
        <v>46142</v>
      </c>
      <c r="D48" s="149" t="s">
        <v>5</v>
      </c>
      <c r="E48" s="149" t="s">
        <v>2</v>
      </c>
      <c r="F48" s="149" t="s">
        <v>296</v>
      </c>
      <c r="G48" s="132">
        <v>151.38</v>
      </c>
      <c r="H48" s="133">
        <v>1910.13</v>
      </c>
      <c r="I48" s="149" t="str">
        <f t="shared" si="2"/>
        <v>OK</v>
      </c>
      <c r="J48" s="168" t="str">
        <f t="shared" si="3"/>
        <v/>
      </c>
    </row>
    <row r="49" spans="1:10" ht="24" customHeight="1">
      <c r="A49" s="161" t="s">
        <v>305</v>
      </c>
      <c r="B49" s="148">
        <v>45778</v>
      </c>
      <c r="C49" s="148">
        <v>46142</v>
      </c>
      <c r="D49" s="149" t="s">
        <v>5</v>
      </c>
      <c r="E49" s="149" t="s">
        <v>2</v>
      </c>
      <c r="F49" s="149" t="s">
        <v>296</v>
      </c>
      <c r="G49" s="132">
        <v>138.4</v>
      </c>
      <c r="H49" s="133">
        <v>1746.4</v>
      </c>
      <c r="I49" s="149" t="str">
        <f t="shared" si="2"/>
        <v>OK</v>
      </c>
      <c r="J49" s="168" t="str">
        <f t="shared" si="3"/>
        <v/>
      </c>
    </row>
    <row r="50" spans="1:10" ht="24" customHeight="1">
      <c r="A50" s="161" t="s">
        <v>305</v>
      </c>
      <c r="B50" s="148">
        <v>45778</v>
      </c>
      <c r="C50" s="148">
        <v>46142</v>
      </c>
      <c r="D50" s="149" t="s">
        <v>5</v>
      </c>
      <c r="E50" s="149" t="s">
        <v>2</v>
      </c>
      <c r="F50" s="149" t="s">
        <v>296</v>
      </c>
      <c r="G50" s="132">
        <v>129.75</v>
      </c>
      <c r="H50" s="133">
        <v>1637.25</v>
      </c>
      <c r="I50" s="149" t="str">
        <f t="shared" si="2"/>
        <v>OK</v>
      </c>
      <c r="J50" s="168" t="str">
        <f t="shared" si="3"/>
        <v/>
      </c>
    </row>
    <row r="51" spans="1:10" ht="24" customHeight="1">
      <c r="A51" s="161" t="s">
        <v>305</v>
      </c>
      <c r="B51" s="148">
        <v>45778</v>
      </c>
      <c r="C51" s="148">
        <v>46142</v>
      </c>
      <c r="D51" s="149" t="s">
        <v>5</v>
      </c>
      <c r="E51" s="149" t="s">
        <v>2</v>
      </c>
      <c r="F51" s="149" t="s">
        <v>296</v>
      </c>
      <c r="G51" s="132">
        <v>108.13</v>
      </c>
      <c r="H51" s="133">
        <v>1364.38</v>
      </c>
      <c r="I51" s="149" t="str">
        <f t="shared" si="2"/>
        <v>OK</v>
      </c>
      <c r="J51" s="168" t="str">
        <f t="shared" si="3"/>
        <v/>
      </c>
    </row>
    <row r="52" spans="1:10" ht="24" customHeight="1">
      <c r="A52" s="161" t="s">
        <v>305</v>
      </c>
      <c r="B52" s="148">
        <v>45778</v>
      </c>
      <c r="C52" s="148">
        <v>46142</v>
      </c>
      <c r="D52" s="149" t="s">
        <v>5</v>
      </c>
      <c r="E52" s="149" t="s">
        <v>2</v>
      </c>
      <c r="F52" s="149" t="s">
        <v>296</v>
      </c>
      <c r="G52" s="132">
        <v>103.8</v>
      </c>
      <c r="H52" s="133">
        <v>1309.8</v>
      </c>
      <c r="I52" s="149" t="str">
        <f t="shared" si="2"/>
        <v>OK</v>
      </c>
      <c r="J52" s="168" t="str">
        <f t="shared" si="3"/>
        <v/>
      </c>
    </row>
    <row r="53" spans="1:10" ht="24" customHeight="1">
      <c r="A53" s="161" t="s">
        <v>305</v>
      </c>
      <c r="B53" s="148">
        <v>45778</v>
      </c>
      <c r="C53" s="148">
        <v>46142</v>
      </c>
      <c r="D53" s="149" t="s">
        <v>5</v>
      </c>
      <c r="E53" s="149" t="s">
        <v>2</v>
      </c>
      <c r="F53" s="149" t="s">
        <v>296</v>
      </c>
      <c r="G53" s="132">
        <v>86.5</v>
      </c>
      <c r="H53" s="133">
        <v>1091.5</v>
      </c>
      <c r="I53" s="149" t="str">
        <f t="shared" si="2"/>
        <v>OK</v>
      </c>
      <c r="J53" s="168" t="str">
        <f t="shared" si="3"/>
        <v/>
      </c>
    </row>
    <row r="54" spans="1:10" ht="24" customHeight="1">
      <c r="A54" s="161" t="s">
        <v>305</v>
      </c>
      <c r="B54" s="148">
        <v>45778</v>
      </c>
      <c r="C54" s="148">
        <v>46142</v>
      </c>
      <c r="D54" s="149" t="s">
        <v>5</v>
      </c>
      <c r="E54" s="149" t="s">
        <v>2</v>
      </c>
      <c r="F54" s="149" t="s">
        <v>296</v>
      </c>
      <c r="G54" s="132">
        <v>69.2</v>
      </c>
      <c r="H54" s="133">
        <v>873.2</v>
      </c>
      <c r="I54" s="149" t="str">
        <f t="shared" si="2"/>
        <v>OK</v>
      </c>
      <c r="J54" s="168" t="str">
        <f t="shared" si="3"/>
        <v/>
      </c>
    </row>
    <row r="55" spans="1:10" ht="24" customHeight="1">
      <c r="A55" s="161" t="s">
        <v>305</v>
      </c>
      <c r="B55" s="148">
        <v>45778</v>
      </c>
      <c r="C55" s="148">
        <v>46142</v>
      </c>
      <c r="D55" s="149" t="s">
        <v>5</v>
      </c>
      <c r="E55" s="149" t="s">
        <v>2</v>
      </c>
      <c r="F55" s="149" t="s">
        <v>296</v>
      </c>
      <c r="G55" s="132">
        <v>51.9</v>
      </c>
      <c r="H55" s="133">
        <v>654.9</v>
      </c>
      <c r="I55" s="149" t="str">
        <f t="shared" si="2"/>
        <v>OK</v>
      </c>
      <c r="J55" s="168" t="str">
        <f t="shared" si="3"/>
        <v/>
      </c>
    </row>
    <row r="56" spans="1:10" ht="24" customHeight="1">
      <c r="A56" s="161" t="s">
        <v>305</v>
      </c>
      <c r="B56" s="148">
        <v>45778</v>
      </c>
      <c r="C56" s="148">
        <v>46142</v>
      </c>
      <c r="D56" s="149" t="s">
        <v>5</v>
      </c>
      <c r="E56" s="149" t="s">
        <v>2</v>
      </c>
      <c r="F56" s="149" t="s">
        <v>296</v>
      </c>
      <c r="G56" s="132">
        <v>47.58</v>
      </c>
      <c r="H56" s="133">
        <v>600.33000000000004</v>
      </c>
      <c r="I56" s="149" t="str">
        <f t="shared" si="2"/>
        <v>OK</v>
      </c>
      <c r="J56" s="168" t="str">
        <f t="shared" si="3"/>
        <v/>
      </c>
    </row>
    <row r="57" spans="1:10" ht="24" customHeight="1">
      <c r="A57" s="161" t="s">
        <v>305</v>
      </c>
      <c r="B57" s="148">
        <v>45778</v>
      </c>
      <c r="C57" s="148">
        <v>46142</v>
      </c>
      <c r="D57" s="149" t="s">
        <v>5</v>
      </c>
      <c r="E57" s="149" t="s">
        <v>2</v>
      </c>
      <c r="F57" s="149" t="s">
        <v>296</v>
      </c>
      <c r="G57" s="132">
        <v>43.25</v>
      </c>
      <c r="H57" s="133">
        <v>545.75</v>
      </c>
      <c r="I57" s="149" t="str">
        <f t="shared" si="2"/>
        <v>OK</v>
      </c>
      <c r="J57" s="168" t="str">
        <f t="shared" si="3"/>
        <v/>
      </c>
    </row>
    <row r="58" spans="1:10" ht="24" customHeight="1">
      <c r="A58" s="161" t="s">
        <v>305</v>
      </c>
      <c r="B58" s="148">
        <v>45778</v>
      </c>
      <c r="C58" s="148">
        <v>46142</v>
      </c>
      <c r="D58" s="149" t="s">
        <v>5</v>
      </c>
      <c r="E58" s="149" t="s">
        <v>2</v>
      </c>
      <c r="F58" s="149" t="s">
        <v>296</v>
      </c>
      <c r="G58" s="132">
        <v>34.6</v>
      </c>
      <c r="H58" s="133">
        <v>436.6</v>
      </c>
      <c r="I58" s="149" t="str">
        <f t="shared" si="2"/>
        <v>OK</v>
      </c>
      <c r="J58" s="168" t="str">
        <f t="shared" si="3"/>
        <v/>
      </c>
    </row>
    <row r="59" spans="1:10" ht="24" customHeight="1" thickBot="1">
      <c r="A59" s="161" t="s">
        <v>305</v>
      </c>
      <c r="B59" s="148">
        <v>45778</v>
      </c>
      <c r="C59" s="148">
        <v>46142</v>
      </c>
      <c r="D59" s="149" t="s">
        <v>5</v>
      </c>
      <c r="E59" s="149" t="s">
        <v>2</v>
      </c>
      <c r="F59" s="149" t="s">
        <v>296</v>
      </c>
      <c r="G59" s="132">
        <v>32.01</v>
      </c>
      <c r="H59" s="133">
        <v>403.86</v>
      </c>
      <c r="I59" s="149" t="str">
        <f t="shared" si="2"/>
        <v>OK</v>
      </c>
      <c r="J59" s="168" t="str">
        <f t="shared" si="3"/>
        <v/>
      </c>
    </row>
    <row r="60" spans="1:10" ht="24" customHeight="1">
      <c r="A60" s="163" t="s">
        <v>305</v>
      </c>
      <c r="B60" s="152">
        <v>45778</v>
      </c>
      <c r="C60" s="152">
        <v>46142</v>
      </c>
      <c r="D60" s="153" t="s">
        <v>303</v>
      </c>
      <c r="E60" s="153" t="s">
        <v>6</v>
      </c>
      <c r="F60" s="153" t="s">
        <v>293</v>
      </c>
      <c r="G60" s="136">
        <v>173</v>
      </c>
      <c r="H60" s="137">
        <v>2160</v>
      </c>
      <c r="I60" s="153" t="str">
        <f t="shared" si="2"/>
        <v>OK</v>
      </c>
      <c r="J60" s="170" t="str">
        <f t="shared" si="3"/>
        <v/>
      </c>
    </row>
    <row r="61" spans="1:10" ht="24" customHeight="1">
      <c r="A61" s="164" t="s">
        <v>305</v>
      </c>
      <c r="B61" s="154">
        <v>45778</v>
      </c>
      <c r="C61" s="154">
        <v>46142</v>
      </c>
      <c r="D61" s="155" t="s">
        <v>303</v>
      </c>
      <c r="E61" s="155" t="s">
        <v>6</v>
      </c>
      <c r="F61" s="155" t="s">
        <v>293</v>
      </c>
      <c r="G61" s="138">
        <v>151.38</v>
      </c>
      <c r="H61" s="139">
        <v>1890</v>
      </c>
      <c r="I61" s="155" t="str">
        <f t="shared" si="2"/>
        <v>OK</v>
      </c>
      <c r="J61" s="171" t="str">
        <f t="shared" si="3"/>
        <v/>
      </c>
    </row>
    <row r="62" spans="1:10" ht="24" customHeight="1">
      <c r="A62" s="164" t="s">
        <v>305</v>
      </c>
      <c r="B62" s="154">
        <v>45778</v>
      </c>
      <c r="C62" s="154">
        <v>46142</v>
      </c>
      <c r="D62" s="155" t="s">
        <v>303</v>
      </c>
      <c r="E62" s="155" t="s">
        <v>6</v>
      </c>
      <c r="F62" s="155" t="s">
        <v>293</v>
      </c>
      <c r="G62" s="138">
        <v>138.4</v>
      </c>
      <c r="H62" s="139">
        <v>1728</v>
      </c>
      <c r="I62" s="155" t="str">
        <f t="shared" si="2"/>
        <v>OK</v>
      </c>
      <c r="J62" s="171" t="str">
        <f t="shared" si="3"/>
        <v/>
      </c>
    </row>
    <row r="63" spans="1:10" ht="24" customHeight="1">
      <c r="A63" s="164" t="s">
        <v>305</v>
      </c>
      <c r="B63" s="154">
        <v>45778</v>
      </c>
      <c r="C63" s="154">
        <v>46142</v>
      </c>
      <c r="D63" s="155" t="s">
        <v>303</v>
      </c>
      <c r="E63" s="155" t="s">
        <v>6</v>
      </c>
      <c r="F63" s="155" t="s">
        <v>293</v>
      </c>
      <c r="G63" s="138">
        <v>129.75</v>
      </c>
      <c r="H63" s="139">
        <v>1620</v>
      </c>
      <c r="I63" s="155" t="str">
        <f t="shared" si="2"/>
        <v>OK</v>
      </c>
      <c r="J63" s="171" t="str">
        <f t="shared" si="3"/>
        <v/>
      </c>
    </row>
    <row r="64" spans="1:10" ht="24" customHeight="1">
      <c r="A64" s="164" t="s">
        <v>305</v>
      </c>
      <c r="B64" s="154">
        <v>45778</v>
      </c>
      <c r="C64" s="154">
        <v>46142</v>
      </c>
      <c r="D64" s="155" t="s">
        <v>303</v>
      </c>
      <c r="E64" s="155" t="s">
        <v>6</v>
      </c>
      <c r="F64" s="155" t="s">
        <v>293</v>
      </c>
      <c r="G64" s="138">
        <v>108.13</v>
      </c>
      <c r="H64" s="139">
        <v>1350</v>
      </c>
      <c r="I64" s="155" t="str">
        <f t="shared" si="2"/>
        <v>OK</v>
      </c>
      <c r="J64" s="171" t="str">
        <f t="shared" si="3"/>
        <v/>
      </c>
    </row>
    <row r="65" spans="1:10" ht="24" customHeight="1">
      <c r="A65" s="164" t="s">
        <v>305</v>
      </c>
      <c r="B65" s="154">
        <v>45778</v>
      </c>
      <c r="C65" s="154">
        <v>46142</v>
      </c>
      <c r="D65" s="155" t="s">
        <v>303</v>
      </c>
      <c r="E65" s="155" t="s">
        <v>6</v>
      </c>
      <c r="F65" s="155" t="s">
        <v>293</v>
      </c>
      <c r="G65" s="138">
        <v>103.8</v>
      </c>
      <c r="H65" s="139">
        <v>1296</v>
      </c>
      <c r="I65" s="155" t="str">
        <f t="shared" si="2"/>
        <v>OK</v>
      </c>
      <c r="J65" s="171" t="str">
        <f t="shared" si="3"/>
        <v/>
      </c>
    </row>
    <row r="66" spans="1:10" ht="24" customHeight="1">
      <c r="A66" s="164" t="s">
        <v>305</v>
      </c>
      <c r="B66" s="154">
        <v>45778</v>
      </c>
      <c r="C66" s="154">
        <v>46142</v>
      </c>
      <c r="D66" s="155" t="s">
        <v>303</v>
      </c>
      <c r="E66" s="155" t="s">
        <v>6</v>
      </c>
      <c r="F66" s="155" t="s">
        <v>293</v>
      </c>
      <c r="G66" s="138">
        <v>86.5</v>
      </c>
      <c r="H66" s="139">
        <v>1080</v>
      </c>
      <c r="I66" s="155" t="str">
        <f t="shared" si="2"/>
        <v>OK</v>
      </c>
      <c r="J66" s="171" t="str">
        <f t="shared" si="3"/>
        <v/>
      </c>
    </row>
    <row r="67" spans="1:10" ht="24" customHeight="1">
      <c r="A67" s="164" t="s">
        <v>305</v>
      </c>
      <c r="B67" s="154">
        <v>45778</v>
      </c>
      <c r="C67" s="154">
        <v>46142</v>
      </c>
      <c r="D67" s="155" t="s">
        <v>303</v>
      </c>
      <c r="E67" s="155" t="s">
        <v>6</v>
      </c>
      <c r="F67" s="155" t="s">
        <v>293</v>
      </c>
      <c r="G67" s="138">
        <v>69.2</v>
      </c>
      <c r="H67" s="139">
        <v>864</v>
      </c>
      <c r="I67" s="155" t="str">
        <f t="shared" si="2"/>
        <v>OK</v>
      </c>
      <c r="J67" s="171" t="str">
        <f t="shared" si="3"/>
        <v/>
      </c>
    </row>
    <row r="68" spans="1:10" ht="24" customHeight="1">
      <c r="A68" s="164" t="s">
        <v>305</v>
      </c>
      <c r="B68" s="154">
        <v>45778</v>
      </c>
      <c r="C68" s="154">
        <v>46142</v>
      </c>
      <c r="D68" s="155" t="s">
        <v>303</v>
      </c>
      <c r="E68" s="155" t="s">
        <v>6</v>
      </c>
      <c r="F68" s="155" t="s">
        <v>293</v>
      </c>
      <c r="G68" s="138">
        <v>51.9</v>
      </c>
      <c r="H68" s="139">
        <v>648</v>
      </c>
      <c r="I68" s="155" t="str">
        <f t="shared" si="2"/>
        <v>OK</v>
      </c>
      <c r="J68" s="171" t="str">
        <f t="shared" si="3"/>
        <v/>
      </c>
    </row>
    <row r="69" spans="1:10" ht="24" customHeight="1">
      <c r="A69" s="164" t="s">
        <v>305</v>
      </c>
      <c r="B69" s="154">
        <v>45778</v>
      </c>
      <c r="C69" s="154">
        <v>46142</v>
      </c>
      <c r="D69" s="155" t="s">
        <v>303</v>
      </c>
      <c r="E69" s="155" t="s">
        <v>6</v>
      </c>
      <c r="F69" s="155" t="s">
        <v>293</v>
      </c>
      <c r="G69" s="138">
        <v>47.58</v>
      </c>
      <c r="H69" s="139">
        <v>594</v>
      </c>
      <c r="I69" s="155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54">
        <v>45778</v>
      </c>
      <c r="C70" s="154">
        <v>46142</v>
      </c>
      <c r="D70" s="155" t="s">
        <v>303</v>
      </c>
      <c r="E70" s="155" t="s">
        <v>6</v>
      </c>
      <c r="F70" s="155" t="s">
        <v>293</v>
      </c>
      <c r="G70" s="138">
        <v>43.25</v>
      </c>
      <c r="H70" s="139">
        <v>540</v>
      </c>
      <c r="I70" s="155" t="str">
        <f t="shared" si="4"/>
        <v>OK</v>
      </c>
      <c r="J70" s="171" t="str">
        <f t="shared" si="5"/>
        <v/>
      </c>
    </row>
    <row r="71" spans="1:10" ht="24" customHeight="1">
      <c r="A71" s="164" t="s">
        <v>305</v>
      </c>
      <c r="B71" s="154">
        <v>45778</v>
      </c>
      <c r="C71" s="154">
        <v>46142</v>
      </c>
      <c r="D71" s="155" t="s">
        <v>303</v>
      </c>
      <c r="E71" s="155" t="s">
        <v>6</v>
      </c>
      <c r="F71" s="155" t="s">
        <v>293</v>
      </c>
      <c r="G71" s="138">
        <v>34.6</v>
      </c>
      <c r="H71" s="139">
        <v>432</v>
      </c>
      <c r="I71" s="155" t="str">
        <f t="shared" si="4"/>
        <v>OK</v>
      </c>
      <c r="J71" s="171" t="str">
        <f t="shared" si="5"/>
        <v/>
      </c>
    </row>
    <row r="72" spans="1:10" ht="24" customHeight="1" thickBot="1">
      <c r="A72" s="164" t="s">
        <v>305</v>
      </c>
      <c r="B72" s="154">
        <v>45778</v>
      </c>
      <c r="C72" s="154">
        <v>46142</v>
      </c>
      <c r="D72" s="155" t="s">
        <v>303</v>
      </c>
      <c r="E72" s="155" t="s">
        <v>6</v>
      </c>
      <c r="F72" s="155" t="s">
        <v>293</v>
      </c>
      <c r="G72" s="138">
        <v>32.01</v>
      </c>
      <c r="H72" s="139">
        <v>399.6</v>
      </c>
      <c r="I72" s="155" t="str">
        <f t="shared" si="4"/>
        <v>OK</v>
      </c>
      <c r="J72" s="171" t="str">
        <f t="shared" si="5"/>
        <v/>
      </c>
    </row>
    <row r="73" spans="1:10" ht="24" customHeight="1">
      <c r="A73" s="163" t="s">
        <v>305</v>
      </c>
      <c r="B73" s="152">
        <v>45778</v>
      </c>
      <c r="C73" s="152">
        <v>46142</v>
      </c>
      <c r="D73" s="153" t="s">
        <v>7</v>
      </c>
      <c r="E73" s="153" t="s">
        <v>6</v>
      </c>
      <c r="F73" s="153" t="s">
        <v>294</v>
      </c>
      <c r="G73" s="136">
        <v>173</v>
      </c>
      <c r="H73" s="137">
        <v>2160</v>
      </c>
      <c r="I73" s="153" t="str">
        <f t="shared" si="4"/>
        <v>OK</v>
      </c>
      <c r="J73" s="170" t="str">
        <f t="shared" si="5"/>
        <v/>
      </c>
    </row>
    <row r="74" spans="1:10" ht="24" customHeight="1">
      <c r="A74" s="164" t="s">
        <v>305</v>
      </c>
      <c r="B74" s="154">
        <v>45778</v>
      </c>
      <c r="C74" s="154">
        <v>46142</v>
      </c>
      <c r="D74" s="155" t="s">
        <v>7</v>
      </c>
      <c r="E74" s="155" t="s">
        <v>6</v>
      </c>
      <c r="F74" s="155" t="s">
        <v>294</v>
      </c>
      <c r="G74" s="138">
        <v>151.38</v>
      </c>
      <c r="H74" s="139">
        <v>1890</v>
      </c>
      <c r="I74" s="155" t="str">
        <f t="shared" si="4"/>
        <v>OK</v>
      </c>
      <c r="J74" s="171" t="str">
        <f t="shared" si="5"/>
        <v/>
      </c>
    </row>
    <row r="75" spans="1:10" ht="24" customHeight="1">
      <c r="A75" s="164" t="s">
        <v>305</v>
      </c>
      <c r="B75" s="154">
        <v>45778</v>
      </c>
      <c r="C75" s="154">
        <v>46142</v>
      </c>
      <c r="D75" s="155" t="s">
        <v>7</v>
      </c>
      <c r="E75" s="155" t="s">
        <v>6</v>
      </c>
      <c r="F75" s="155" t="s">
        <v>294</v>
      </c>
      <c r="G75" s="138">
        <v>138.4</v>
      </c>
      <c r="H75" s="139">
        <v>1728</v>
      </c>
      <c r="I75" s="155" t="str">
        <f t="shared" si="4"/>
        <v>OK</v>
      </c>
      <c r="J75" s="171" t="str">
        <f t="shared" si="5"/>
        <v/>
      </c>
    </row>
    <row r="76" spans="1:10" ht="24" customHeight="1">
      <c r="A76" s="164" t="s">
        <v>305</v>
      </c>
      <c r="B76" s="154">
        <v>45778</v>
      </c>
      <c r="C76" s="154">
        <v>46142</v>
      </c>
      <c r="D76" s="155" t="s">
        <v>7</v>
      </c>
      <c r="E76" s="155" t="s">
        <v>6</v>
      </c>
      <c r="F76" s="155" t="s">
        <v>294</v>
      </c>
      <c r="G76" s="138">
        <v>129.75</v>
      </c>
      <c r="H76" s="139">
        <v>1620</v>
      </c>
      <c r="I76" s="155" t="str">
        <f t="shared" si="4"/>
        <v>OK</v>
      </c>
      <c r="J76" s="171" t="str">
        <f t="shared" si="5"/>
        <v/>
      </c>
    </row>
    <row r="77" spans="1:10" ht="24" customHeight="1">
      <c r="A77" s="164" t="s">
        <v>305</v>
      </c>
      <c r="B77" s="154">
        <v>45778</v>
      </c>
      <c r="C77" s="154">
        <v>46142</v>
      </c>
      <c r="D77" s="155" t="s">
        <v>7</v>
      </c>
      <c r="E77" s="155" t="s">
        <v>6</v>
      </c>
      <c r="F77" s="155" t="s">
        <v>294</v>
      </c>
      <c r="G77" s="138">
        <v>108.13</v>
      </c>
      <c r="H77" s="139">
        <v>1350</v>
      </c>
      <c r="I77" s="155" t="str">
        <f t="shared" si="4"/>
        <v>OK</v>
      </c>
      <c r="J77" s="171" t="str">
        <f t="shared" si="5"/>
        <v/>
      </c>
    </row>
    <row r="78" spans="1:10" ht="24" customHeight="1">
      <c r="A78" s="164" t="s">
        <v>305</v>
      </c>
      <c r="B78" s="154">
        <v>45778</v>
      </c>
      <c r="C78" s="154">
        <v>46142</v>
      </c>
      <c r="D78" s="155" t="s">
        <v>7</v>
      </c>
      <c r="E78" s="155" t="s">
        <v>6</v>
      </c>
      <c r="F78" s="155" t="s">
        <v>294</v>
      </c>
      <c r="G78" s="138">
        <v>103.8</v>
      </c>
      <c r="H78" s="139">
        <v>1296</v>
      </c>
      <c r="I78" s="155" t="str">
        <f t="shared" si="4"/>
        <v>OK</v>
      </c>
      <c r="J78" s="171" t="str">
        <f t="shared" si="5"/>
        <v/>
      </c>
    </row>
    <row r="79" spans="1:10" ht="24" customHeight="1">
      <c r="A79" s="164" t="s">
        <v>305</v>
      </c>
      <c r="B79" s="154">
        <v>45778</v>
      </c>
      <c r="C79" s="154">
        <v>46142</v>
      </c>
      <c r="D79" s="155" t="s">
        <v>7</v>
      </c>
      <c r="E79" s="155" t="s">
        <v>6</v>
      </c>
      <c r="F79" s="155" t="s">
        <v>294</v>
      </c>
      <c r="G79" s="138">
        <v>86.5</v>
      </c>
      <c r="H79" s="139">
        <v>1080</v>
      </c>
      <c r="I79" s="155" t="str">
        <f t="shared" si="4"/>
        <v>OK</v>
      </c>
      <c r="J79" s="171" t="str">
        <f t="shared" si="5"/>
        <v/>
      </c>
    </row>
    <row r="80" spans="1:10" ht="24" customHeight="1">
      <c r="A80" s="164" t="s">
        <v>305</v>
      </c>
      <c r="B80" s="154">
        <v>45778</v>
      </c>
      <c r="C80" s="154">
        <v>46142</v>
      </c>
      <c r="D80" s="155" t="s">
        <v>7</v>
      </c>
      <c r="E80" s="155" t="s">
        <v>6</v>
      </c>
      <c r="F80" s="155" t="s">
        <v>294</v>
      </c>
      <c r="G80" s="138">
        <v>69.2</v>
      </c>
      <c r="H80" s="139">
        <v>864</v>
      </c>
      <c r="I80" s="155" t="str">
        <f t="shared" si="4"/>
        <v>OK</v>
      </c>
      <c r="J80" s="171" t="str">
        <f t="shared" si="5"/>
        <v/>
      </c>
    </row>
    <row r="81" spans="1:10" ht="24" customHeight="1">
      <c r="A81" s="164" t="s">
        <v>305</v>
      </c>
      <c r="B81" s="154">
        <v>45778</v>
      </c>
      <c r="C81" s="154">
        <v>46142</v>
      </c>
      <c r="D81" s="155" t="s">
        <v>7</v>
      </c>
      <c r="E81" s="155" t="s">
        <v>6</v>
      </c>
      <c r="F81" s="155" t="s">
        <v>294</v>
      </c>
      <c r="G81" s="138">
        <v>51.9</v>
      </c>
      <c r="H81" s="139">
        <v>648</v>
      </c>
      <c r="I81" s="155" t="str">
        <f t="shared" si="4"/>
        <v>OK</v>
      </c>
      <c r="J81" s="171" t="str">
        <f t="shared" si="5"/>
        <v/>
      </c>
    </row>
    <row r="82" spans="1:10" ht="24" customHeight="1">
      <c r="A82" s="164" t="s">
        <v>305</v>
      </c>
      <c r="B82" s="154">
        <v>45778</v>
      </c>
      <c r="C82" s="154">
        <v>46142</v>
      </c>
      <c r="D82" s="155" t="s">
        <v>7</v>
      </c>
      <c r="E82" s="155" t="s">
        <v>6</v>
      </c>
      <c r="F82" s="155" t="s">
        <v>294</v>
      </c>
      <c r="G82" s="138">
        <v>47.58</v>
      </c>
      <c r="H82" s="139">
        <v>594</v>
      </c>
      <c r="I82" s="155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54">
        <v>45778</v>
      </c>
      <c r="C83" s="154">
        <v>46142</v>
      </c>
      <c r="D83" s="155" t="s">
        <v>7</v>
      </c>
      <c r="E83" s="155" t="s">
        <v>6</v>
      </c>
      <c r="F83" s="155" t="s">
        <v>294</v>
      </c>
      <c r="G83" s="138">
        <v>43.25</v>
      </c>
      <c r="H83" s="139">
        <v>540</v>
      </c>
      <c r="I83" s="155" t="str">
        <f t="shared" si="4"/>
        <v>OK</v>
      </c>
      <c r="J83" s="171" t="str">
        <f t="shared" si="5"/>
        <v/>
      </c>
    </row>
    <row r="84" spans="1:10" ht="24" customHeight="1">
      <c r="A84" s="164" t="s">
        <v>305</v>
      </c>
      <c r="B84" s="154">
        <v>45778</v>
      </c>
      <c r="C84" s="154">
        <v>46142</v>
      </c>
      <c r="D84" s="155" t="s">
        <v>7</v>
      </c>
      <c r="E84" s="155" t="s">
        <v>6</v>
      </c>
      <c r="F84" s="155" t="s">
        <v>294</v>
      </c>
      <c r="G84" s="138">
        <v>34.6</v>
      </c>
      <c r="H84" s="139">
        <v>432</v>
      </c>
      <c r="I84" s="155" t="str">
        <f t="shared" si="4"/>
        <v>OK</v>
      </c>
      <c r="J84" s="171" t="str">
        <f t="shared" si="5"/>
        <v/>
      </c>
    </row>
    <row r="85" spans="1:10" ht="24" customHeight="1" thickBot="1">
      <c r="A85" s="164" t="s">
        <v>305</v>
      </c>
      <c r="B85" s="154">
        <v>45778</v>
      </c>
      <c r="C85" s="154">
        <v>46142</v>
      </c>
      <c r="D85" s="155" t="s">
        <v>7</v>
      </c>
      <c r="E85" s="155" t="s">
        <v>6</v>
      </c>
      <c r="F85" s="155" t="s">
        <v>294</v>
      </c>
      <c r="G85" s="138">
        <v>32.01</v>
      </c>
      <c r="H85" s="139">
        <v>399.6</v>
      </c>
      <c r="I85" s="155" t="str">
        <f t="shared" si="4"/>
        <v>OK</v>
      </c>
      <c r="J85" s="171" t="str">
        <f t="shared" si="5"/>
        <v/>
      </c>
    </row>
    <row r="86" spans="1:10" ht="24" customHeight="1">
      <c r="A86" s="163" t="s">
        <v>305</v>
      </c>
      <c r="B86" s="152">
        <v>45778</v>
      </c>
      <c r="C86" s="152">
        <v>46142</v>
      </c>
      <c r="D86" s="153" t="s">
        <v>8</v>
      </c>
      <c r="E86" s="153" t="s">
        <v>6</v>
      </c>
      <c r="F86" s="153" t="s">
        <v>295</v>
      </c>
      <c r="G86" s="136">
        <v>173</v>
      </c>
      <c r="H86" s="137">
        <v>2163</v>
      </c>
      <c r="I86" s="153" t="str">
        <f t="shared" si="4"/>
        <v>OK</v>
      </c>
      <c r="J86" s="170" t="str">
        <f t="shared" si="5"/>
        <v/>
      </c>
    </row>
    <row r="87" spans="1:10" ht="24" customHeight="1">
      <c r="A87" s="164" t="s">
        <v>305</v>
      </c>
      <c r="B87" s="154">
        <v>45778</v>
      </c>
      <c r="C87" s="154">
        <v>46142</v>
      </c>
      <c r="D87" s="155" t="s">
        <v>8</v>
      </c>
      <c r="E87" s="155" t="s">
        <v>6</v>
      </c>
      <c r="F87" s="155" t="s">
        <v>295</v>
      </c>
      <c r="G87" s="138">
        <v>151.38</v>
      </c>
      <c r="H87" s="139">
        <v>1892.63</v>
      </c>
      <c r="I87" s="155" t="str">
        <f t="shared" si="4"/>
        <v>OK</v>
      </c>
      <c r="J87" s="171" t="str">
        <f t="shared" si="5"/>
        <v/>
      </c>
    </row>
    <row r="88" spans="1:10" ht="24" customHeight="1">
      <c r="A88" s="164" t="s">
        <v>305</v>
      </c>
      <c r="B88" s="154">
        <v>45778</v>
      </c>
      <c r="C88" s="154">
        <v>46142</v>
      </c>
      <c r="D88" s="155" t="s">
        <v>8</v>
      </c>
      <c r="E88" s="155" t="s">
        <v>6</v>
      </c>
      <c r="F88" s="155" t="s">
        <v>295</v>
      </c>
      <c r="G88" s="138">
        <v>138.4</v>
      </c>
      <c r="H88" s="139">
        <v>1730.4</v>
      </c>
      <c r="I88" s="155" t="str">
        <f t="shared" si="4"/>
        <v>OK</v>
      </c>
      <c r="J88" s="171" t="str">
        <f t="shared" si="5"/>
        <v/>
      </c>
    </row>
    <row r="89" spans="1:10" ht="24" customHeight="1">
      <c r="A89" s="164" t="s">
        <v>305</v>
      </c>
      <c r="B89" s="154">
        <v>45778</v>
      </c>
      <c r="C89" s="154">
        <v>46142</v>
      </c>
      <c r="D89" s="155" t="s">
        <v>8</v>
      </c>
      <c r="E89" s="155" t="s">
        <v>6</v>
      </c>
      <c r="F89" s="155" t="s">
        <v>295</v>
      </c>
      <c r="G89" s="138">
        <v>129.75</v>
      </c>
      <c r="H89" s="139">
        <v>1622.25</v>
      </c>
      <c r="I89" s="155" t="str">
        <f t="shared" si="4"/>
        <v>OK</v>
      </c>
      <c r="J89" s="171" t="str">
        <f t="shared" si="5"/>
        <v/>
      </c>
    </row>
    <row r="90" spans="1:10" ht="24" customHeight="1">
      <c r="A90" s="164" t="s">
        <v>305</v>
      </c>
      <c r="B90" s="154">
        <v>45778</v>
      </c>
      <c r="C90" s="154">
        <v>46142</v>
      </c>
      <c r="D90" s="155" t="s">
        <v>8</v>
      </c>
      <c r="E90" s="155" t="s">
        <v>6</v>
      </c>
      <c r="F90" s="155" t="s">
        <v>295</v>
      </c>
      <c r="G90" s="138">
        <v>108.13</v>
      </c>
      <c r="H90" s="139">
        <v>1351.88</v>
      </c>
      <c r="I90" s="155" t="str">
        <f t="shared" si="4"/>
        <v>OK</v>
      </c>
      <c r="J90" s="171" t="str">
        <f t="shared" si="5"/>
        <v/>
      </c>
    </row>
    <row r="91" spans="1:10" ht="24" customHeight="1">
      <c r="A91" s="164" t="s">
        <v>305</v>
      </c>
      <c r="B91" s="154">
        <v>45778</v>
      </c>
      <c r="C91" s="154">
        <v>46142</v>
      </c>
      <c r="D91" s="155" t="s">
        <v>8</v>
      </c>
      <c r="E91" s="155" t="s">
        <v>6</v>
      </c>
      <c r="F91" s="155" t="s">
        <v>295</v>
      </c>
      <c r="G91" s="138">
        <v>103.8</v>
      </c>
      <c r="H91" s="139">
        <v>1297.8</v>
      </c>
      <c r="I91" s="155" t="str">
        <f t="shared" si="4"/>
        <v>OK</v>
      </c>
      <c r="J91" s="171" t="str">
        <f t="shared" si="5"/>
        <v/>
      </c>
    </row>
    <row r="92" spans="1:10" ht="24" customHeight="1">
      <c r="A92" s="164" t="s">
        <v>305</v>
      </c>
      <c r="B92" s="154">
        <v>45778</v>
      </c>
      <c r="C92" s="154">
        <v>46142</v>
      </c>
      <c r="D92" s="155" t="s">
        <v>8</v>
      </c>
      <c r="E92" s="155" t="s">
        <v>6</v>
      </c>
      <c r="F92" s="155" t="s">
        <v>295</v>
      </c>
      <c r="G92" s="138">
        <v>86.5</v>
      </c>
      <c r="H92" s="139">
        <v>1081.5</v>
      </c>
      <c r="I92" s="155" t="str">
        <f t="shared" si="4"/>
        <v>OK</v>
      </c>
      <c r="J92" s="171" t="str">
        <f t="shared" si="5"/>
        <v/>
      </c>
    </row>
    <row r="93" spans="1:10" ht="24" customHeight="1">
      <c r="A93" s="164" t="s">
        <v>305</v>
      </c>
      <c r="B93" s="154">
        <v>45778</v>
      </c>
      <c r="C93" s="154">
        <v>46142</v>
      </c>
      <c r="D93" s="155" t="s">
        <v>8</v>
      </c>
      <c r="E93" s="155" t="s">
        <v>6</v>
      </c>
      <c r="F93" s="155" t="s">
        <v>295</v>
      </c>
      <c r="G93" s="138">
        <v>69.2</v>
      </c>
      <c r="H93" s="139">
        <v>865.2</v>
      </c>
      <c r="I93" s="155" t="str">
        <f t="shared" si="4"/>
        <v>OK</v>
      </c>
      <c r="J93" s="171" t="str">
        <f t="shared" si="5"/>
        <v/>
      </c>
    </row>
    <row r="94" spans="1:10" ht="24" customHeight="1">
      <c r="A94" s="164" t="s">
        <v>305</v>
      </c>
      <c r="B94" s="154">
        <v>45778</v>
      </c>
      <c r="C94" s="154">
        <v>46142</v>
      </c>
      <c r="D94" s="155" t="s">
        <v>8</v>
      </c>
      <c r="E94" s="155" t="s">
        <v>6</v>
      </c>
      <c r="F94" s="155" t="s">
        <v>295</v>
      </c>
      <c r="G94" s="138">
        <v>51.9</v>
      </c>
      <c r="H94" s="139">
        <v>648.9</v>
      </c>
      <c r="I94" s="155" t="str">
        <f t="shared" si="4"/>
        <v>OK</v>
      </c>
      <c r="J94" s="171" t="str">
        <f t="shared" si="5"/>
        <v/>
      </c>
    </row>
    <row r="95" spans="1:10" ht="24" customHeight="1">
      <c r="A95" s="164" t="s">
        <v>305</v>
      </c>
      <c r="B95" s="154">
        <v>45778</v>
      </c>
      <c r="C95" s="154">
        <v>46142</v>
      </c>
      <c r="D95" s="155" t="s">
        <v>8</v>
      </c>
      <c r="E95" s="155" t="s">
        <v>6</v>
      </c>
      <c r="F95" s="155" t="s">
        <v>295</v>
      </c>
      <c r="G95" s="138">
        <v>47.58</v>
      </c>
      <c r="H95" s="139">
        <v>594.83000000000004</v>
      </c>
      <c r="I95" s="155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54">
        <v>45778</v>
      </c>
      <c r="C96" s="154">
        <v>46142</v>
      </c>
      <c r="D96" s="155" t="s">
        <v>8</v>
      </c>
      <c r="E96" s="155" t="s">
        <v>6</v>
      </c>
      <c r="F96" s="155" t="s">
        <v>295</v>
      </c>
      <c r="G96" s="138">
        <v>43.25</v>
      </c>
      <c r="H96" s="139">
        <v>540.75</v>
      </c>
      <c r="I96" s="155" t="str">
        <f t="shared" si="4"/>
        <v>OK</v>
      </c>
      <c r="J96" s="171" t="str">
        <f t="shared" si="5"/>
        <v/>
      </c>
    </row>
    <row r="97" spans="1:10" ht="24" customHeight="1">
      <c r="A97" s="164" t="s">
        <v>305</v>
      </c>
      <c r="B97" s="154">
        <v>45778</v>
      </c>
      <c r="C97" s="154">
        <v>46142</v>
      </c>
      <c r="D97" s="155" t="s">
        <v>8</v>
      </c>
      <c r="E97" s="155" t="s">
        <v>6</v>
      </c>
      <c r="F97" s="155" t="s">
        <v>295</v>
      </c>
      <c r="G97" s="138">
        <v>34.6</v>
      </c>
      <c r="H97" s="139">
        <v>432.6</v>
      </c>
      <c r="I97" s="155" t="str">
        <f t="shared" si="4"/>
        <v>OK</v>
      </c>
      <c r="J97" s="171" t="str">
        <f t="shared" si="5"/>
        <v/>
      </c>
    </row>
    <row r="98" spans="1:10" ht="24" customHeight="1" thickBot="1">
      <c r="A98" s="164" t="s">
        <v>305</v>
      </c>
      <c r="B98" s="154">
        <v>45778</v>
      </c>
      <c r="C98" s="154">
        <v>46142</v>
      </c>
      <c r="D98" s="155" t="s">
        <v>8</v>
      </c>
      <c r="E98" s="155" t="s">
        <v>6</v>
      </c>
      <c r="F98" s="155" t="s">
        <v>295</v>
      </c>
      <c r="G98" s="138">
        <v>32.01</v>
      </c>
      <c r="H98" s="139">
        <v>400.16</v>
      </c>
      <c r="I98" s="155" t="str">
        <f t="shared" si="4"/>
        <v>OK</v>
      </c>
      <c r="J98" s="171" t="str">
        <f t="shared" si="5"/>
        <v/>
      </c>
    </row>
    <row r="99" spans="1:10" ht="24" customHeight="1">
      <c r="A99" s="163" t="s">
        <v>305</v>
      </c>
      <c r="B99" s="152">
        <v>45778</v>
      </c>
      <c r="C99" s="152">
        <v>46142</v>
      </c>
      <c r="D99" s="153" t="s">
        <v>9</v>
      </c>
      <c r="E99" s="153" t="s">
        <v>6</v>
      </c>
      <c r="F99" s="153" t="s">
        <v>296</v>
      </c>
      <c r="G99" s="136">
        <v>173</v>
      </c>
      <c r="H99" s="137">
        <v>2225</v>
      </c>
      <c r="I99" s="153" t="str">
        <f t="shared" si="4"/>
        <v>OK</v>
      </c>
      <c r="J99" s="170" t="str">
        <f t="shared" si="5"/>
        <v/>
      </c>
    </row>
    <row r="100" spans="1:10" ht="24" customHeight="1">
      <c r="A100" s="164" t="s">
        <v>305</v>
      </c>
      <c r="B100" s="154">
        <v>45778</v>
      </c>
      <c r="C100" s="154">
        <v>46142</v>
      </c>
      <c r="D100" s="155" t="s">
        <v>9</v>
      </c>
      <c r="E100" s="155" t="s">
        <v>6</v>
      </c>
      <c r="F100" s="155" t="s">
        <v>296</v>
      </c>
      <c r="G100" s="138">
        <v>151.38</v>
      </c>
      <c r="H100" s="139">
        <v>1946.88</v>
      </c>
      <c r="I100" s="155" t="str">
        <f t="shared" si="4"/>
        <v>OK</v>
      </c>
      <c r="J100" s="171" t="str">
        <f t="shared" si="5"/>
        <v/>
      </c>
    </row>
    <row r="101" spans="1:10" ht="24" customHeight="1">
      <c r="A101" s="164" t="s">
        <v>305</v>
      </c>
      <c r="B101" s="154">
        <v>45778</v>
      </c>
      <c r="C101" s="154">
        <v>46142</v>
      </c>
      <c r="D101" s="155" t="s">
        <v>9</v>
      </c>
      <c r="E101" s="155" t="s">
        <v>6</v>
      </c>
      <c r="F101" s="155" t="s">
        <v>296</v>
      </c>
      <c r="G101" s="138">
        <v>138.4</v>
      </c>
      <c r="H101" s="139">
        <v>1780</v>
      </c>
      <c r="I101" s="155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4" t="s">
        <v>305</v>
      </c>
      <c r="B102" s="154">
        <v>45778</v>
      </c>
      <c r="C102" s="154">
        <v>46142</v>
      </c>
      <c r="D102" s="155" t="s">
        <v>9</v>
      </c>
      <c r="E102" s="155" t="s">
        <v>6</v>
      </c>
      <c r="F102" s="155" t="s">
        <v>296</v>
      </c>
      <c r="G102" s="138">
        <v>129.75</v>
      </c>
      <c r="H102" s="139">
        <v>1668.75</v>
      </c>
      <c r="I102" s="155" t="str">
        <f t="shared" si="6"/>
        <v>OK</v>
      </c>
      <c r="J102" s="171" t="str">
        <f t="shared" si="7"/>
        <v/>
      </c>
    </row>
    <row r="103" spans="1:10" ht="24" customHeight="1">
      <c r="A103" s="164" t="s">
        <v>305</v>
      </c>
      <c r="B103" s="154">
        <v>45778</v>
      </c>
      <c r="C103" s="154">
        <v>46142</v>
      </c>
      <c r="D103" s="155" t="s">
        <v>9</v>
      </c>
      <c r="E103" s="155" t="s">
        <v>6</v>
      </c>
      <c r="F103" s="155" t="s">
        <v>296</v>
      </c>
      <c r="G103" s="138">
        <v>108.13</v>
      </c>
      <c r="H103" s="139">
        <v>1390.63</v>
      </c>
      <c r="I103" s="155" t="str">
        <f t="shared" si="6"/>
        <v>OK</v>
      </c>
      <c r="J103" s="171" t="str">
        <f t="shared" si="7"/>
        <v/>
      </c>
    </row>
    <row r="104" spans="1:10" ht="24" customHeight="1">
      <c r="A104" s="164" t="s">
        <v>305</v>
      </c>
      <c r="B104" s="154">
        <v>45778</v>
      </c>
      <c r="C104" s="154">
        <v>46142</v>
      </c>
      <c r="D104" s="155" t="s">
        <v>9</v>
      </c>
      <c r="E104" s="155" t="s">
        <v>6</v>
      </c>
      <c r="F104" s="155" t="s">
        <v>296</v>
      </c>
      <c r="G104" s="138">
        <v>103.8</v>
      </c>
      <c r="H104" s="139">
        <v>1335</v>
      </c>
      <c r="I104" s="155" t="str">
        <f t="shared" si="6"/>
        <v>OK</v>
      </c>
      <c r="J104" s="171" t="str">
        <f t="shared" si="7"/>
        <v/>
      </c>
    </row>
    <row r="105" spans="1:10" ht="24" customHeight="1">
      <c r="A105" s="164" t="s">
        <v>305</v>
      </c>
      <c r="B105" s="154">
        <v>45778</v>
      </c>
      <c r="C105" s="154">
        <v>46142</v>
      </c>
      <c r="D105" s="155" t="s">
        <v>9</v>
      </c>
      <c r="E105" s="155" t="s">
        <v>6</v>
      </c>
      <c r="F105" s="155" t="s">
        <v>296</v>
      </c>
      <c r="G105" s="138">
        <v>86.5</v>
      </c>
      <c r="H105" s="139">
        <v>1112.5</v>
      </c>
      <c r="I105" s="155" t="str">
        <f t="shared" si="6"/>
        <v>OK</v>
      </c>
      <c r="J105" s="171" t="str">
        <f t="shared" si="7"/>
        <v/>
      </c>
    </row>
    <row r="106" spans="1:10" ht="24" customHeight="1">
      <c r="A106" s="164" t="s">
        <v>305</v>
      </c>
      <c r="B106" s="154">
        <v>45778</v>
      </c>
      <c r="C106" s="154">
        <v>46142</v>
      </c>
      <c r="D106" s="155" t="s">
        <v>9</v>
      </c>
      <c r="E106" s="155" t="s">
        <v>6</v>
      </c>
      <c r="F106" s="155" t="s">
        <v>296</v>
      </c>
      <c r="G106" s="138">
        <v>69.2</v>
      </c>
      <c r="H106" s="139">
        <v>890</v>
      </c>
      <c r="I106" s="155" t="str">
        <f t="shared" si="6"/>
        <v>OK</v>
      </c>
      <c r="J106" s="171" t="str">
        <f t="shared" si="7"/>
        <v/>
      </c>
    </row>
    <row r="107" spans="1:10" ht="24" customHeight="1">
      <c r="A107" s="164" t="s">
        <v>305</v>
      </c>
      <c r="B107" s="154">
        <v>45778</v>
      </c>
      <c r="C107" s="154">
        <v>46142</v>
      </c>
      <c r="D107" s="155" t="s">
        <v>9</v>
      </c>
      <c r="E107" s="155" t="s">
        <v>6</v>
      </c>
      <c r="F107" s="155" t="s">
        <v>296</v>
      </c>
      <c r="G107" s="138">
        <v>51.9</v>
      </c>
      <c r="H107" s="139">
        <v>667.5</v>
      </c>
      <c r="I107" s="155" t="str">
        <f t="shared" si="6"/>
        <v>OK</v>
      </c>
      <c r="J107" s="171" t="str">
        <f t="shared" si="7"/>
        <v/>
      </c>
    </row>
    <row r="108" spans="1:10" ht="24" customHeight="1">
      <c r="A108" s="164" t="s">
        <v>305</v>
      </c>
      <c r="B108" s="154">
        <v>45778</v>
      </c>
      <c r="C108" s="154">
        <v>46142</v>
      </c>
      <c r="D108" s="155" t="s">
        <v>9</v>
      </c>
      <c r="E108" s="155" t="s">
        <v>6</v>
      </c>
      <c r="F108" s="155" t="s">
        <v>296</v>
      </c>
      <c r="G108" s="138">
        <v>47.58</v>
      </c>
      <c r="H108" s="139">
        <v>611.88</v>
      </c>
      <c r="I108" s="155" t="str">
        <f t="shared" si="6"/>
        <v>OK</v>
      </c>
      <c r="J108" s="171" t="str">
        <f t="shared" si="7"/>
        <v/>
      </c>
    </row>
    <row r="109" spans="1:10" ht="24" customHeight="1">
      <c r="A109" s="164" t="s">
        <v>305</v>
      </c>
      <c r="B109" s="154">
        <v>45778</v>
      </c>
      <c r="C109" s="154">
        <v>46142</v>
      </c>
      <c r="D109" s="155" t="s">
        <v>9</v>
      </c>
      <c r="E109" s="155" t="s">
        <v>6</v>
      </c>
      <c r="F109" s="155" t="s">
        <v>296</v>
      </c>
      <c r="G109" s="138">
        <v>43.25</v>
      </c>
      <c r="H109" s="139">
        <v>556.25</v>
      </c>
      <c r="I109" s="155" t="str">
        <f t="shared" si="6"/>
        <v>OK</v>
      </c>
      <c r="J109" s="171" t="str">
        <f t="shared" si="7"/>
        <v/>
      </c>
    </row>
    <row r="110" spans="1:10" ht="24" customHeight="1">
      <c r="A110" s="164" t="s">
        <v>305</v>
      </c>
      <c r="B110" s="154">
        <v>45778</v>
      </c>
      <c r="C110" s="154">
        <v>46142</v>
      </c>
      <c r="D110" s="155" t="s">
        <v>9</v>
      </c>
      <c r="E110" s="155" t="s">
        <v>6</v>
      </c>
      <c r="F110" s="155" t="s">
        <v>296</v>
      </c>
      <c r="G110" s="138">
        <v>34.6</v>
      </c>
      <c r="H110" s="139">
        <v>445</v>
      </c>
      <c r="I110" s="155" t="str">
        <f t="shared" si="6"/>
        <v>OK</v>
      </c>
      <c r="J110" s="171" t="str">
        <f t="shared" si="7"/>
        <v/>
      </c>
    </row>
    <row r="111" spans="1:10" ht="24" customHeight="1" thickBot="1">
      <c r="A111" s="164" t="s">
        <v>305</v>
      </c>
      <c r="B111" s="154">
        <v>45778</v>
      </c>
      <c r="C111" s="154">
        <v>46142</v>
      </c>
      <c r="D111" s="155" t="s">
        <v>9</v>
      </c>
      <c r="E111" s="155" t="s">
        <v>6</v>
      </c>
      <c r="F111" s="155" t="s">
        <v>296</v>
      </c>
      <c r="G111" s="138">
        <v>32.01</v>
      </c>
      <c r="H111" s="139">
        <v>411.63</v>
      </c>
      <c r="I111" s="155" t="str">
        <f t="shared" si="6"/>
        <v>OK</v>
      </c>
      <c r="J111" s="171" t="str">
        <f t="shared" si="7"/>
        <v/>
      </c>
    </row>
    <row r="112" spans="1:10" ht="24" customHeight="1">
      <c r="A112" s="165" t="s">
        <v>305</v>
      </c>
      <c r="B112" s="156">
        <v>45778</v>
      </c>
      <c r="C112" s="156">
        <v>46142</v>
      </c>
      <c r="D112" s="157" t="s">
        <v>304</v>
      </c>
      <c r="E112" s="157" t="s">
        <v>10</v>
      </c>
      <c r="F112" s="157" t="s">
        <v>293</v>
      </c>
      <c r="G112" s="140">
        <v>173</v>
      </c>
      <c r="H112" s="141">
        <v>2300</v>
      </c>
      <c r="I112" s="157" t="str">
        <f t="shared" si="6"/>
        <v>OK</v>
      </c>
      <c r="J112" s="172" t="str">
        <f t="shared" si="7"/>
        <v/>
      </c>
    </row>
    <row r="113" spans="1:10" ht="24" customHeight="1">
      <c r="A113" s="166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42">
        <v>151.38</v>
      </c>
      <c r="H113" s="143">
        <v>2012.5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6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42">
        <v>138.4</v>
      </c>
      <c r="H114" s="143">
        <v>1840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6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42">
        <v>129.75</v>
      </c>
      <c r="H115" s="143">
        <v>1725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6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42">
        <v>108.13</v>
      </c>
      <c r="H116" s="143">
        <v>1437.5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6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42">
        <v>103.8</v>
      </c>
      <c r="H117" s="143">
        <v>1380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6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42">
        <v>86.5</v>
      </c>
      <c r="H118" s="143">
        <v>1150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6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42">
        <v>69.2</v>
      </c>
      <c r="H119" s="143">
        <v>920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6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42">
        <v>51.9</v>
      </c>
      <c r="H120" s="143">
        <v>690</v>
      </c>
      <c r="I120" s="159" t="str">
        <f t="shared" si="6"/>
        <v>OK</v>
      </c>
      <c r="J120" s="173" t="str">
        <f t="shared" si="7"/>
        <v/>
      </c>
    </row>
    <row r="121" spans="1:10" ht="24" customHeight="1">
      <c r="A121" s="166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42">
        <v>47.58</v>
      </c>
      <c r="H121" s="143">
        <v>632.5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8">
        <v>45778</v>
      </c>
      <c r="C122" s="158">
        <v>46142</v>
      </c>
      <c r="D122" s="159" t="s">
        <v>304</v>
      </c>
      <c r="E122" s="159" t="s">
        <v>10</v>
      </c>
      <c r="F122" s="159" t="s">
        <v>293</v>
      </c>
      <c r="G122" s="142">
        <v>43.25</v>
      </c>
      <c r="H122" s="143">
        <v>575</v>
      </c>
      <c r="I122" s="159" t="str">
        <f t="shared" si="6"/>
        <v>OK</v>
      </c>
      <c r="J122" s="173" t="str">
        <f t="shared" si="7"/>
        <v/>
      </c>
    </row>
    <row r="123" spans="1:10" ht="24" customHeight="1">
      <c r="A123" s="166" t="s">
        <v>305</v>
      </c>
      <c r="B123" s="158">
        <v>45778</v>
      </c>
      <c r="C123" s="158">
        <v>46142</v>
      </c>
      <c r="D123" s="159" t="s">
        <v>304</v>
      </c>
      <c r="E123" s="159" t="s">
        <v>10</v>
      </c>
      <c r="F123" s="159" t="s">
        <v>293</v>
      </c>
      <c r="G123" s="142">
        <v>34.6</v>
      </c>
      <c r="H123" s="143">
        <v>460</v>
      </c>
      <c r="I123" s="159" t="str">
        <f t="shared" si="6"/>
        <v>OK</v>
      </c>
      <c r="J123" s="173" t="str">
        <f t="shared" si="7"/>
        <v/>
      </c>
    </row>
    <row r="124" spans="1:10" ht="24" customHeight="1" thickBot="1">
      <c r="A124" s="166" t="s">
        <v>305</v>
      </c>
      <c r="B124" s="158">
        <v>45778</v>
      </c>
      <c r="C124" s="158">
        <v>46142</v>
      </c>
      <c r="D124" s="159" t="s">
        <v>304</v>
      </c>
      <c r="E124" s="159" t="s">
        <v>10</v>
      </c>
      <c r="F124" s="159" t="s">
        <v>293</v>
      </c>
      <c r="G124" s="142">
        <v>32.01</v>
      </c>
      <c r="H124" s="143">
        <v>425.5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5" t="s">
        <v>305</v>
      </c>
      <c r="B125" s="156">
        <v>45778</v>
      </c>
      <c r="C125" s="156">
        <v>46142</v>
      </c>
      <c r="D125" s="157" t="s">
        <v>11</v>
      </c>
      <c r="E125" s="157" t="s">
        <v>10</v>
      </c>
      <c r="F125" s="157" t="s">
        <v>294</v>
      </c>
      <c r="G125" s="140">
        <v>173</v>
      </c>
      <c r="H125" s="141">
        <v>2300</v>
      </c>
      <c r="I125" s="157" t="str">
        <f t="shared" si="6"/>
        <v>OK</v>
      </c>
      <c r="J125" s="172" t="str">
        <f t="shared" si="7"/>
        <v/>
      </c>
    </row>
    <row r="126" spans="1:10" ht="24" customHeight="1">
      <c r="A126" s="166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42">
        <v>151.38</v>
      </c>
      <c r="H126" s="143">
        <v>2012.5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6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42">
        <v>138.4</v>
      </c>
      <c r="H127" s="143">
        <v>1840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6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42">
        <v>129.75</v>
      </c>
      <c r="H128" s="143">
        <v>1725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6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42">
        <v>108.13</v>
      </c>
      <c r="H129" s="143">
        <v>1437.5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6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42">
        <v>103.8</v>
      </c>
      <c r="H130" s="143">
        <v>1380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6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42">
        <v>86.5</v>
      </c>
      <c r="H131" s="143">
        <v>1150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6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42">
        <v>69.2</v>
      </c>
      <c r="H132" s="143">
        <v>920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6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42">
        <v>51.9</v>
      </c>
      <c r="H133" s="143">
        <v>690</v>
      </c>
      <c r="I133" s="159" t="str">
        <f t="shared" ref="I133:I163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3" si="9">IF($G133="","",IF(COUNTIFS($A:$A,$A133,$D:$D,$D133,$G:$G,$G133)&gt;1,"Doppelte Monatsstunden",""))</f>
        <v/>
      </c>
    </row>
    <row r="134" spans="1:10" ht="24" customHeight="1">
      <c r="A134" s="166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42">
        <v>47.58</v>
      </c>
      <c r="H134" s="143">
        <v>632.5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8">
        <v>45778</v>
      </c>
      <c r="C135" s="158">
        <v>46142</v>
      </c>
      <c r="D135" s="159" t="s">
        <v>11</v>
      </c>
      <c r="E135" s="159" t="s">
        <v>10</v>
      </c>
      <c r="F135" s="159" t="s">
        <v>294</v>
      </c>
      <c r="G135" s="142">
        <v>43.25</v>
      </c>
      <c r="H135" s="143">
        <v>575</v>
      </c>
      <c r="I135" s="159" t="str">
        <f t="shared" si="8"/>
        <v>OK</v>
      </c>
      <c r="J135" s="173" t="str">
        <f t="shared" si="9"/>
        <v/>
      </c>
    </row>
    <row r="136" spans="1:10" ht="24" customHeight="1">
      <c r="A136" s="166" t="s">
        <v>305</v>
      </c>
      <c r="B136" s="158">
        <v>45778</v>
      </c>
      <c r="C136" s="158">
        <v>46142</v>
      </c>
      <c r="D136" s="159" t="s">
        <v>11</v>
      </c>
      <c r="E136" s="159" t="s">
        <v>10</v>
      </c>
      <c r="F136" s="159" t="s">
        <v>294</v>
      </c>
      <c r="G136" s="142">
        <v>34.6</v>
      </c>
      <c r="H136" s="143">
        <v>460</v>
      </c>
      <c r="I136" s="159" t="str">
        <f t="shared" si="8"/>
        <v>OK</v>
      </c>
      <c r="J136" s="173" t="str">
        <f t="shared" si="9"/>
        <v/>
      </c>
    </row>
    <row r="137" spans="1:10" ht="24" customHeight="1" thickBot="1">
      <c r="A137" s="166" t="s">
        <v>305</v>
      </c>
      <c r="B137" s="158">
        <v>45778</v>
      </c>
      <c r="C137" s="158">
        <v>46142</v>
      </c>
      <c r="D137" s="159" t="s">
        <v>11</v>
      </c>
      <c r="E137" s="159" t="s">
        <v>10</v>
      </c>
      <c r="F137" s="159" t="s">
        <v>294</v>
      </c>
      <c r="G137" s="142">
        <v>32.01</v>
      </c>
      <c r="H137" s="143">
        <v>425.5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5" t="s">
        <v>305</v>
      </c>
      <c r="B138" s="156">
        <v>45778</v>
      </c>
      <c r="C138" s="156">
        <v>46142</v>
      </c>
      <c r="D138" s="157" t="s">
        <v>12</v>
      </c>
      <c r="E138" s="157" t="s">
        <v>10</v>
      </c>
      <c r="F138" s="157" t="s">
        <v>295</v>
      </c>
      <c r="G138" s="140">
        <v>173</v>
      </c>
      <c r="H138" s="141">
        <v>2300</v>
      </c>
      <c r="I138" s="157" t="str">
        <f t="shared" si="8"/>
        <v>OK</v>
      </c>
      <c r="J138" s="172" t="str">
        <f t="shared" si="9"/>
        <v/>
      </c>
    </row>
    <row r="139" spans="1:10" ht="24" customHeight="1">
      <c r="A139" s="166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42">
        <v>151.38</v>
      </c>
      <c r="H139" s="143">
        <v>2012.5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6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42">
        <v>138.4</v>
      </c>
      <c r="H140" s="143">
        <v>1840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6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42">
        <v>129.75</v>
      </c>
      <c r="H141" s="143">
        <v>1725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6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42">
        <v>108.13</v>
      </c>
      <c r="H142" s="143">
        <v>1437.5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6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42">
        <v>103.8</v>
      </c>
      <c r="H143" s="143">
        <v>1380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6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42">
        <v>86.5</v>
      </c>
      <c r="H144" s="143">
        <v>1150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6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42">
        <v>69.2</v>
      </c>
      <c r="H145" s="143">
        <v>920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6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42">
        <v>51.9</v>
      </c>
      <c r="H146" s="143">
        <v>690</v>
      </c>
      <c r="I146" s="159" t="str">
        <f t="shared" si="8"/>
        <v>OK</v>
      </c>
      <c r="J146" s="173" t="str">
        <f t="shared" si="9"/>
        <v/>
      </c>
    </row>
    <row r="147" spans="1:10" ht="24" customHeight="1">
      <c r="A147" s="166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42">
        <v>47.58</v>
      </c>
      <c r="H147" s="143">
        <v>632.5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8">
        <v>45778</v>
      </c>
      <c r="C148" s="158">
        <v>46142</v>
      </c>
      <c r="D148" s="159" t="s">
        <v>12</v>
      </c>
      <c r="E148" s="159" t="s">
        <v>10</v>
      </c>
      <c r="F148" s="159" t="s">
        <v>295</v>
      </c>
      <c r="G148" s="142">
        <v>43.25</v>
      </c>
      <c r="H148" s="143">
        <v>575</v>
      </c>
      <c r="I148" s="159" t="str">
        <f t="shared" si="8"/>
        <v>OK</v>
      </c>
      <c r="J148" s="173" t="str">
        <f t="shared" si="9"/>
        <v/>
      </c>
    </row>
    <row r="149" spans="1:10" ht="24" customHeight="1">
      <c r="A149" s="166" t="s">
        <v>305</v>
      </c>
      <c r="B149" s="158">
        <v>45778</v>
      </c>
      <c r="C149" s="158">
        <v>46142</v>
      </c>
      <c r="D149" s="159" t="s">
        <v>12</v>
      </c>
      <c r="E149" s="159" t="s">
        <v>10</v>
      </c>
      <c r="F149" s="159" t="s">
        <v>295</v>
      </c>
      <c r="G149" s="142">
        <v>34.6</v>
      </c>
      <c r="H149" s="143">
        <v>460</v>
      </c>
      <c r="I149" s="159" t="str">
        <f t="shared" si="8"/>
        <v>OK</v>
      </c>
      <c r="J149" s="173" t="str">
        <f t="shared" si="9"/>
        <v/>
      </c>
    </row>
    <row r="150" spans="1:10" ht="24" customHeight="1" thickBot="1">
      <c r="A150" s="166" t="s">
        <v>305</v>
      </c>
      <c r="B150" s="158">
        <v>45778</v>
      </c>
      <c r="C150" s="158">
        <v>46142</v>
      </c>
      <c r="D150" s="159" t="s">
        <v>12</v>
      </c>
      <c r="E150" s="159" t="s">
        <v>10</v>
      </c>
      <c r="F150" s="159" t="s">
        <v>295</v>
      </c>
      <c r="G150" s="142">
        <v>32.01</v>
      </c>
      <c r="H150" s="143">
        <v>425.5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5" t="s">
        <v>305</v>
      </c>
      <c r="B151" s="156">
        <v>45778</v>
      </c>
      <c r="C151" s="156">
        <v>46142</v>
      </c>
      <c r="D151" s="157" t="s">
        <v>13</v>
      </c>
      <c r="E151" s="157" t="s">
        <v>10</v>
      </c>
      <c r="F151" s="157" t="s">
        <v>296</v>
      </c>
      <c r="G151" s="140">
        <v>173</v>
      </c>
      <c r="H151" s="141">
        <v>2328</v>
      </c>
      <c r="I151" s="157" t="str">
        <f t="shared" si="8"/>
        <v>OK</v>
      </c>
      <c r="J151" s="172" t="str">
        <f t="shared" si="9"/>
        <v/>
      </c>
    </row>
    <row r="152" spans="1:10" ht="24" customHeight="1">
      <c r="A152" s="166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42">
        <v>151.38</v>
      </c>
      <c r="H152" s="143">
        <v>2037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6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42">
        <v>138.4</v>
      </c>
      <c r="H153" s="143">
        <v>1862.4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6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42">
        <v>129.75</v>
      </c>
      <c r="H154" s="143">
        <v>1476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6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42">
        <v>108.13</v>
      </c>
      <c r="H155" s="143">
        <v>1455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6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42">
        <v>103.8</v>
      </c>
      <c r="H156" s="143">
        <v>1396.8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6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42">
        <v>86.5</v>
      </c>
      <c r="H157" s="143">
        <v>1164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6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42">
        <v>69.2</v>
      </c>
      <c r="H158" s="143">
        <v>931.2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6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42">
        <v>51.9</v>
      </c>
      <c r="H159" s="143">
        <v>698.4</v>
      </c>
      <c r="I159" s="159" t="str">
        <f t="shared" si="8"/>
        <v>OK</v>
      </c>
      <c r="J159" s="173" t="str">
        <f t="shared" si="9"/>
        <v/>
      </c>
    </row>
    <row r="160" spans="1:10" ht="24" customHeight="1">
      <c r="A160" s="166" t="s">
        <v>305</v>
      </c>
      <c r="B160" s="158">
        <v>45778</v>
      </c>
      <c r="C160" s="158">
        <v>46142</v>
      </c>
      <c r="D160" s="159" t="s">
        <v>13</v>
      </c>
      <c r="E160" s="159" t="s">
        <v>10</v>
      </c>
      <c r="F160" s="159" t="s">
        <v>296</v>
      </c>
      <c r="G160" s="142">
        <v>47.58</v>
      </c>
      <c r="H160" s="143">
        <v>640</v>
      </c>
      <c r="I160" s="159" t="str">
        <f t="shared" si="8"/>
        <v>OK</v>
      </c>
      <c r="J160" s="173" t="str">
        <f t="shared" si="9"/>
        <v/>
      </c>
    </row>
    <row r="161" spans="1:10" ht="24" customHeight="1">
      <c r="A161" s="166" t="s">
        <v>305</v>
      </c>
      <c r="B161" s="158">
        <v>45778</v>
      </c>
      <c r="C161" s="158">
        <v>46142</v>
      </c>
      <c r="D161" s="159" t="s">
        <v>13</v>
      </c>
      <c r="E161" s="159" t="s">
        <v>10</v>
      </c>
      <c r="F161" s="159" t="s">
        <v>296</v>
      </c>
      <c r="G161" s="142">
        <v>43.25</v>
      </c>
      <c r="H161" s="143">
        <v>582</v>
      </c>
      <c r="I161" s="159" t="str">
        <f t="shared" si="8"/>
        <v>OK</v>
      </c>
      <c r="J161" s="173" t="str">
        <f t="shared" si="9"/>
        <v/>
      </c>
    </row>
    <row r="162" spans="1:10" ht="24" customHeight="1">
      <c r="A162" s="166" t="s">
        <v>305</v>
      </c>
      <c r="B162" s="158">
        <v>45778</v>
      </c>
      <c r="C162" s="158">
        <v>46142</v>
      </c>
      <c r="D162" s="159" t="s">
        <v>13</v>
      </c>
      <c r="E162" s="159" t="s">
        <v>10</v>
      </c>
      <c r="F162" s="159" t="s">
        <v>296</v>
      </c>
      <c r="G162" s="142">
        <v>34.6</v>
      </c>
      <c r="H162" s="143">
        <v>465.6</v>
      </c>
      <c r="I162" s="159" t="str">
        <f t="shared" si="8"/>
        <v>OK</v>
      </c>
      <c r="J162" s="173" t="str">
        <f t="shared" si="9"/>
        <v/>
      </c>
    </row>
    <row r="163" spans="1:10" ht="24" customHeight="1" thickBot="1">
      <c r="A163" s="174" t="s">
        <v>305</v>
      </c>
      <c r="B163" s="175">
        <v>45778</v>
      </c>
      <c r="C163" s="175">
        <v>46142</v>
      </c>
      <c r="D163" s="176" t="s">
        <v>13</v>
      </c>
      <c r="E163" s="176" t="s">
        <v>10</v>
      </c>
      <c r="F163" s="176" t="s">
        <v>296</v>
      </c>
      <c r="G163" s="144">
        <v>32.01</v>
      </c>
      <c r="H163" s="145">
        <v>430.68</v>
      </c>
      <c r="I163" s="176" t="str">
        <f t="shared" si="8"/>
        <v>OK</v>
      </c>
      <c r="J163" s="177" t="str">
        <f t="shared" si="9"/>
        <v/>
      </c>
    </row>
  </sheetData>
  <sheetProtection algorithmName="SHA-512" hashValue="WN/Cbx0RL0k2+S7VptGPSTPALIJFY1v4dIY/FRpky6i6CaTY5jcK+F+8SCQ8ViEUn7wRRrZXkaaYHR+woTbLaA==" saltValue="6C5rFBl2sHa8sf5UtlNZcQ==" spinCount="100000" sheet="1" objects="1" scenarios="1" sort="0" autoFilter="0"/>
  <mergeCells count="3">
    <mergeCell ref="A1:J1"/>
    <mergeCell ref="A4:J4"/>
    <mergeCell ref="A2:H2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P19" sqref="P19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81"/>
      <c r="C1" s="180"/>
      <c r="D1" s="179"/>
      <c r="E1" s="179"/>
      <c r="F1" s="179"/>
      <c r="G1" s="179"/>
      <c r="H1" s="179"/>
      <c r="I1" s="179"/>
      <c r="J1" s="179"/>
      <c r="K1" s="179"/>
      <c r="L1" s="179"/>
      <c r="M1" s="179"/>
      <c r="N1" s="179"/>
      <c r="O1" s="179"/>
    </row>
    <row r="2" spans="2:15" ht="17.25" customHeight="1"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</row>
    <row r="3" spans="2:15" ht="18" customHeight="1">
      <c r="B3" s="212" t="s">
        <v>14</v>
      </c>
      <c r="C3" s="212"/>
      <c r="D3" s="212"/>
      <c r="E3" s="212"/>
      <c r="F3" s="212"/>
      <c r="H3" s="209" t="s">
        <v>15</v>
      </c>
      <c r="I3" s="209"/>
      <c r="K3" s="211" t="s">
        <v>16</v>
      </c>
      <c r="L3" s="211"/>
      <c r="N3" s="209" t="s">
        <v>17</v>
      </c>
      <c r="O3" s="209"/>
    </row>
    <row r="4" spans="2:15" ht="15" customHeight="1">
      <c r="B4" s="212"/>
      <c r="C4" s="212"/>
      <c r="D4" s="212"/>
      <c r="E4" s="212"/>
      <c r="F4" s="212"/>
      <c r="H4" s="209"/>
      <c r="I4" s="209"/>
      <c r="K4" s="211"/>
      <c r="L4" s="211"/>
      <c r="N4" s="209"/>
      <c r="O4" s="209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210" t="s">
        <v>22</v>
      </c>
      <c r="I5" s="210"/>
      <c r="K5" s="210" t="s">
        <v>22</v>
      </c>
      <c r="L5" s="210"/>
      <c r="N5" s="210" t="s">
        <v>23</v>
      </c>
      <c r="O5" s="210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5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6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7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208" t="s">
        <v>37</v>
      </c>
      <c r="C19" s="208"/>
      <c r="D19" s="208"/>
      <c r="E19" s="208"/>
      <c r="F19" s="208"/>
      <c r="H19" s="209" t="s">
        <v>38</v>
      </c>
      <c r="I19" s="209"/>
      <c r="K19" s="211" t="s">
        <v>39</v>
      </c>
      <c r="L19" s="211"/>
      <c r="N19" s="178"/>
      <c r="O19" s="178"/>
      <c r="P19" s="178"/>
      <c r="Q19" s="178"/>
      <c r="R19" s="178"/>
      <c r="S19" s="178"/>
      <c r="T19" s="178"/>
      <c r="U19" s="178"/>
    </row>
    <row r="20" spans="2:21">
      <c r="B20" s="208"/>
      <c r="C20" s="208"/>
      <c r="D20" s="208"/>
      <c r="E20" s="208"/>
      <c r="F20" s="208"/>
      <c r="H20" s="209"/>
      <c r="I20" s="209"/>
      <c r="K20" s="211"/>
      <c r="L20" s="211"/>
      <c r="N20" s="178"/>
      <c r="O20" s="178"/>
      <c r="P20" s="178"/>
      <c r="Q20" s="178"/>
      <c r="R20" s="178"/>
      <c r="S20" s="178"/>
      <c r="T20" s="178"/>
      <c r="U20" s="178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210" t="s">
        <v>22</v>
      </c>
      <c r="I21" s="210"/>
      <c r="K21" s="210" t="s">
        <v>22</v>
      </c>
      <c r="L21" s="210"/>
      <c r="N21" s="178"/>
      <c r="O21" s="178"/>
      <c r="P21" s="178"/>
      <c r="Q21" s="178"/>
      <c r="R21" s="178"/>
      <c r="S21" s="178"/>
      <c r="T21" s="178"/>
      <c r="U21" s="178"/>
    </row>
    <row r="22" spans="2:21">
      <c r="B22" s="22" t="s">
        <v>24</v>
      </c>
      <c r="C22" s="3">
        <v>1</v>
      </c>
      <c r="D22" s="52">
        <f>UBERSICHT!G7</f>
        <v>0</v>
      </c>
      <c r="E22" s="23">
        <f>Januar!$S$37</f>
        <v>0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78"/>
      <c r="O22" s="178"/>
      <c r="P22" s="178"/>
      <c r="Q22" s="178"/>
      <c r="R22" s="178"/>
      <c r="S22" s="178"/>
      <c r="T22" s="178"/>
      <c r="U22" s="178"/>
    </row>
    <row r="23" spans="2:21">
      <c r="B23" s="22" t="s">
        <v>25</v>
      </c>
      <c r="C23" s="3">
        <v>2</v>
      </c>
      <c r="D23" s="52">
        <f>UBERSICHT!G8</f>
        <v>0</v>
      </c>
      <c r="E23" s="23">
        <f>Februar!$S$37</f>
        <v>0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78"/>
      <c r="O23" s="178"/>
      <c r="P23" s="178"/>
      <c r="Q23" s="178"/>
      <c r="R23" s="178"/>
      <c r="S23" s="178"/>
      <c r="T23" s="178"/>
      <c r="U23" s="178"/>
    </row>
    <row r="24" spans="2:21">
      <c r="B24" s="22" t="s">
        <v>27</v>
      </c>
      <c r="C24" s="3">
        <v>3</v>
      </c>
      <c r="D24" s="52">
        <f>UBERSICHT!G9</f>
        <v>0</v>
      </c>
      <c r="E24" s="23">
        <f>Marz!$S$37</f>
        <v>0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78"/>
      <c r="O24" s="178"/>
      <c r="P24" s="178"/>
      <c r="Q24" s="178"/>
      <c r="R24" s="178"/>
      <c r="S24" s="178"/>
      <c r="T24" s="178"/>
      <c r="U24" s="178"/>
    </row>
    <row r="25" spans="2:21">
      <c r="B25" s="22" t="s">
        <v>28</v>
      </c>
      <c r="C25" s="3">
        <v>4</v>
      </c>
      <c r="D25" s="52">
        <f>UBERSICHT!G11</f>
        <v>0</v>
      </c>
      <c r="E25" s="23">
        <f>April!$S$37</f>
        <v>0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78"/>
      <c r="O25" s="178"/>
      <c r="P25" s="178"/>
      <c r="Q25" s="178"/>
      <c r="R25" s="178"/>
      <c r="S25" s="178"/>
      <c r="T25" s="178"/>
      <c r="U25" s="178"/>
    </row>
    <row r="26" spans="2:21">
      <c r="B26" s="22" t="s">
        <v>29</v>
      </c>
      <c r="C26" s="3">
        <v>5</v>
      </c>
      <c r="D26" s="52">
        <f>UBERSICHT!G12</f>
        <v>0</v>
      </c>
      <c r="E26" s="23">
        <f>Mai!$S$37</f>
        <v>0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78"/>
      <c r="O26" s="178"/>
      <c r="P26" s="178"/>
      <c r="Q26" s="178"/>
      <c r="R26" s="178"/>
      <c r="S26" s="178"/>
      <c r="T26" s="178"/>
      <c r="U26" s="178"/>
    </row>
    <row r="27" spans="2:21">
      <c r="B27" s="22" t="s">
        <v>30</v>
      </c>
      <c r="C27" s="3">
        <v>6</v>
      </c>
      <c r="D27" s="52">
        <f>UBERSICHT!G13</f>
        <v>0</v>
      </c>
      <c r="E27" s="23">
        <f>Juni!$S$37</f>
        <v>0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78"/>
      <c r="O27" s="178"/>
      <c r="P27" s="178"/>
      <c r="Q27" s="178"/>
      <c r="R27" s="178"/>
      <c r="S27" s="178"/>
      <c r="T27" s="178"/>
      <c r="U27" s="178"/>
    </row>
    <row r="28" spans="2:21">
      <c r="B28" s="22" t="s">
        <v>31</v>
      </c>
      <c r="C28" s="3">
        <v>7</v>
      </c>
      <c r="D28" s="52">
        <f>UBERSICHT!G15</f>
        <v>0</v>
      </c>
      <c r="E28" s="23">
        <f>Juli!$S$37</f>
        <v>0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78"/>
      <c r="O28" s="178"/>
      <c r="P28" s="178"/>
      <c r="Q28" s="178"/>
      <c r="R28" s="178"/>
      <c r="S28" s="178"/>
      <c r="T28" s="178"/>
      <c r="U28" s="178"/>
    </row>
    <row r="29" spans="2:21">
      <c r="B29" s="22" t="s">
        <v>32</v>
      </c>
      <c r="C29" s="3">
        <v>8</v>
      </c>
      <c r="D29" s="52">
        <f>UBERSICHT!G16</f>
        <v>0</v>
      </c>
      <c r="E29" s="23">
        <f>August!$S$37</f>
        <v>0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78"/>
      <c r="O29" s="178"/>
      <c r="P29" s="178"/>
      <c r="Q29" s="178"/>
      <c r="R29" s="178"/>
      <c r="S29" s="178"/>
      <c r="T29" s="178"/>
      <c r="U29" s="178"/>
    </row>
    <row r="30" spans="2:21">
      <c r="B30" s="22" t="s">
        <v>33</v>
      </c>
      <c r="C30" s="3">
        <v>9</v>
      </c>
      <c r="D30" s="52">
        <f>UBERSICHT!G17</f>
        <v>0</v>
      </c>
      <c r="E30" s="23">
        <f>September!$S$37</f>
        <v>0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78"/>
      <c r="O30" s="178"/>
      <c r="P30" s="178"/>
      <c r="Q30" s="178"/>
      <c r="R30" s="178"/>
      <c r="S30" s="178"/>
      <c r="T30" s="178"/>
      <c r="U30" s="178"/>
    </row>
    <row r="31" spans="2:21">
      <c r="B31" s="22" t="s">
        <v>34</v>
      </c>
      <c r="C31" s="3">
        <v>10</v>
      </c>
      <c r="D31" s="52">
        <f>UBERSICHT!G19</f>
        <v>0</v>
      </c>
      <c r="E31" s="23">
        <f>Oktober!$S$37</f>
        <v>0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78"/>
      <c r="O31" s="178"/>
      <c r="P31" s="178"/>
      <c r="Q31" s="178"/>
      <c r="R31" s="178"/>
      <c r="S31" s="178"/>
      <c r="T31" s="178"/>
      <c r="U31" s="178"/>
    </row>
    <row r="32" spans="2:21">
      <c r="B32" s="22" t="s">
        <v>35</v>
      </c>
      <c r="C32" s="3">
        <v>11</v>
      </c>
      <c r="D32" s="52">
        <f>UBERSICHT!G20</f>
        <v>0</v>
      </c>
      <c r="E32" s="23">
        <f>November!$S$37</f>
        <v>0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78"/>
      <c r="O32" s="178"/>
      <c r="P32" s="178"/>
      <c r="Q32" s="178"/>
      <c r="R32" s="178"/>
      <c r="S32" s="178"/>
      <c r="T32" s="178"/>
      <c r="U32" s="178"/>
    </row>
    <row r="33" spans="2:21">
      <c r="B33" s="22" t="s">
        <v>36</v>
      </c>
      <c r="C33" s="3">
        <v>12</v>
      </c>
      <c r="D33" s="52">
        <f>UBERSICHT!G21</f>
        <v>0</v>
      </c>
      <c r="E33" s="23">
        <f>Dezember!$S$37</f>
        <v>0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78"/>
      <c r="O33" s="178"/>
      <c r="P33" s="178"/>
      <c r="Q33" s="178"/>
      <c r="R33" s="178"/>
      <c r="S33" s="178"/>
      <c r="T33" s="178"/>
      <c r="U33" s="178"/>
    </row>
    <row r="34" spans="2:21">
      <c r="N34" s="178"/>
      <c r="O34" s="178"/>
      <c r="P34" s="178"/>
      <c r="Q34" s="178"/>
      <c r="R34" s="178"/>
      <c r="S34" s="178"/>
      <c r="T34" s="178"/>
      <c r="U34" s="178"/>
    </row>
    <row r="35" spans="2:21" ht="14.5" customHeight="1">
      <c r="B35" s="182" t="s">
        <v>353</v>
      </c>
      <c r="C35" s="16">
        <v>2026</v>
      </c>
      <c r="D35" s="57"/>
      <c r="E35" s="57"/>
      <c r="N35" s="178"/>
      <c r="O35" s="178"/>
      <c r="P35" s="178"/>
      <c r="Q35" s="178"/>
      <c r="R35" s="178"/>
      <c r="S35" s="178"/>
      <c r="T35" s="178"/>
      <c r="U35" s="178"/>
    </row>
    <row r="36" spans="2:21">
      <c r="B36" s="57"/>
      <c r="C36" s="57"/>
      <c r="D36" s="57"/>
      <c r="N36" s="178"/>
      <c r="O36" s="178"/>
      <c r="P36" s="178"/>
      <c r="Q36" s="178"/>
      <c r="R36" s="178"/>
      <c r="S36" s="178"/>
      <c r="T36" s="178"/>
      <c r="U36" s="178"/>
    </row>
    <row r="37" spans="2:21" ht="16" hidden="1">
      <c r="B37" s="108" t="s">
        <v>194</v>
      </c>
      <c r="C37" s="108" t="s">
        <v>198</v>
      </c>
      <c r="N37" s="178"/>
      <c r="O37" s="178"/>
      <c r="P37" s="178"/>
      <c r="Q37" s="178"/>
      <c r="R37" s="178"/>
      <c r="S37" s="178"/>
      <c r="T37" s="178"/>
      <c r="U37" s="178"/>
    </row>
    <row r="38" spans="2:21" ht="17" hidden="1">
      <c r="B38" s="183" t="s">
        <v>199</v>
      </c>
      <c r="C38" s="106">
        <v>0</v>
      </c>
      <c r="N38" s="178"/>
      <c r="O38" s="178"/>
      <c r="P38" s="178"/>
      <c r="Q38" s="178"/>
      <c r="R38" s="178"/>
      <c r="S38" s="178"/>
      <c r="T38" s="178"/>
      <c r="U38" s="178"/>
    </row>
    <row r="39" spans="2:21" ht="17" hidden="1">
      <c r="B39" s="183" t="s">
        <v>200</v>
      </c>
      <c r="C39" s="106">
        <v>0</v>
      </c>
      <c r="N39" s="178"/>
      <c r="O39" s="178"/>
      <c r="P39" s="178"/>
      <c r="Q39" s="178"/>
      <c r="R39" s="178"/>
      <c r="S39" s="178"/>
      <c r="T39" s="178"/>
      <c r="U39" s="178"/>
    </row>
    <row r="40" spans="2:21" ht="17" hidden="1">
      <c r="B40" s="183" t="s">
        <v>196</v>
      </c>
      <c r="C40" s="106">
        <v>0</v>
      </c>
      <c r="N40" s="178"/>
      <c r="O40" s="178"/>
      <c r="P40" s="178"/>
      <c r="Q40" s="178"/>
      <c r="R40" s="178"/>
      <c r="S40" s="178"/>
      <c r="T40" s="178"/>
      <c r="U40" s="178"/>
    </row>
    <row r="41" spans="2:21" ht="17" hidden="1">
      <c r="B41" s="183" t="s">
        <v>201</v>
      </c>
      <c r="C41" s="106">
        <v>0</v>
      </c>
      <c r="N41" s="178"/>
      <c r="O41" s="178"/>
      <c r="P41" s="178"/>
      <c r="Q41" s="178"/>
      <c r="R41" s="178"/>
      <c r="S41" s="178"/>
      <c r="T41" s="178"/>
      <c r="U41" s="178"/>
    </row>
    <row r="42" spans="2:21" ht="17" hidden="1">
      <c r="B42" s="183" t="s">
        <v>202</v>
      </c>
      <c r="C42" s="106">
        <v>0.35</v>
      </c>
      <c r="N42" s="178"/>
      <c r="O42" s="178"/>
      <c r="P42" s="178"/>
      <c r="Q42" s="178"/>
      <c r="R42" s="178"/>
      <c r="S42" s="178"/>
      <c r="T42" s="178"/>
      <c r="U42" s="178"/>
    </row>
    <row r="43" spans="2:21" ht="17" hidden="1">
      <c r="B43" s="183" t="s">
        <v>203</v>
      </c>
      <c r="C43" s="106">
        <v>0.35</v>
      </c>
    </row>
    <row r="44" spans="2:21" ht="34" hidden="1">
      <c r="B44" s="183" t="s">
        <v>197</v>
      </c>
      <c r="C44" s="106">
        <v>0.5</v>
      </c>
    </row>
    <row r="45" spans="2:21" ht="34" hidden="1">
      <c r="B45" s="183" t="s">
        <v>204</v>
      </c>
      <c r="C45" s="106">
        <v>0.6</v>
      </c>
    </row>
    <row r="46" spans="2:21" ht="34" hidden="1">
      <c r="B46" s="183" t="s">
        <v>195</v>
      </c>
      <c r="C46" s="106">
        <v>0.75</v>
      </c>
    </row>
    <row r="47" spans="2:21" ht="34" hidden="1">
      <c r="B47" s="183" t="s">
        <v>205</v>
      </c>
      <c r="C47" s="106">
        <v>1</v>
      </c>
    </row>
    <row r="48" spans="2:21" ht="34" hidden="1">
      <c r="B48" s="183" t="s">
        <v>206</v>
      </c>
      <c r="C48" s="106">
        <v>1.1000000000000001</v>
      </c>
    </row>
    <row r="49" spans="2:3" ht="17" hidden="1">
      <c r="B49" s="183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hIJIKRxP2NV1cPAhqr8+DthtC3m2CALdF1TblzooRvYsBPRVOlSOG7HPugM3VoS6pPg66+amTbo8DTZIzCtMBQ==" saltValue="6npSnPNT9doC41Ly+KcsNQ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214" t="s">
        <v>395</v>
      </c>
      <c r="B1" s="215"/>
      <c r="C1" s="215"/>
      <c r="D1" s="215"/>
    </row>
    <row r="2" spans="1:4">
      <c r="A2" s="181" t="s">
        <v>364</v>
      </c>
      <c r="B2" s="181" t="s">
        <v>365</v>
      </c>
    </row>
    <row r="3" spans="1:4" ht="36" customHeight="1">
      <c r="A3" s="213" t="s">
        <v>396</v>
      </c>
      <c r="B3" s="213"/>
      <c r="C3" s="213"/>
      <c r="D3" s="213"/>
    </row>
    <row r="4" spans="1:4">
      <c r="A4" s="197" t="s">
        <v>222</v>
      </c>
      <c r="B4" s="197" t="s">
        <v>397</v>
      </c>
      <c r="C4" s="197" t="s">
        <v>398</v>
      </c>
      <c r="D4" s="197" t="s">
        <v>399</v>
      </c>
    </row>
    <row r="5" spans="1:4" ht="32">
      <c r="A5" s="197" t="s">
        <v>400</v>
      </c>
      <c r="B5" s="198" t="s">
        <v>401</v>
      </c>
      <c r="C5" s="199" t="s">
        <v>402</v>
      </c>
      <c r="D5" s="199" t="s">
        <v>403</v>
      </c>
    </row>
    <row r="6" spans="1:4" ht="32">
      <c r="A6" s="197" t="s">
        <v>400</v>
      </c>
      <c r="B6" s="198" t="s">
        <v>404</v>
      </c>
      <c r="C6" s="199" t="s">
        <v>405</v>
      </c>
      <c r="D6" s="199" t="s">
        <v>406</v>
      </c>
    </row>
    <row r="7" spans="1:4" ht="28" customHeight="1">
      <c r="A7" s="197" t="s">
        <v>400</v>
      </c>
      <c r="B7" s="198" t="s">
        <v>407</v>
      </c>
      <c r="C7" s="199" t="s">
        <v>408</v>
      </c>
      <c r="D7" s="199" t="s">
        <v>409</v>
      </c>
    </row>
    <row r="8" spans="1:4" ht="32">
      <c r="A8" s="197" t="s">
        <v>410</v>
      </c>
      <c r="B8" s="198" t="s">
        <v>411</v>
      </c>
      <c r="C8" s="199" t="s">
        <v>412</v>
      </c>
      <c r="D8" s="199" t="s">
        <v>413</v>
      </c>
    </row>
    <row r="9" spans="1:4" ht="28" customHeight="1">
      <c r="A9" s="197" t="s">
        <v>414</v>
      </c>
      <c r="B9" s="198" t="s">
        <v>415</v>
      </c>
      <c r="C9" s="199" t="s">
        <v>416</v>
      </c>
      <c r="D9" s="199" t="s">
        <v>417</v>
      </c>
    </row>
    <row r="10" spans="1:4" ht="32">
      <c r="A10" s="197" t="s">
        <v>414</v>
      </c>
      <c r="B10" s="198" t="s">
        <v>418</v>
      </c>
      <c r="C10" s="199" t="s">
        <v>419</v>
      </c>
      <c r="D10" s="199" t="s">
        <v>420</v>
      </c>
    </row>
    <row r="11" spans="1:4" ht="28" customHeight="1">
      <c r="A11" s="197" t="s">
        <v>414</v>
      </c>
      <c r="B11" s="198" t="s">
        <v>421</v>
      </c>
      <c r="C11" s="199" t="s">
        <v>422</v>
      </c>
      <c r="D11" s="199" t="s">
        <v>417</v>
      </c>
    </row>
    <row r="12" spans="1:4" ht="28" customHeight="1">
      <c r="A12" s="197" t="s">
        <v>414</v>
      </c>
      <c r="B12" s="198" t="s">
        <v>423</v>
      </c>
      <c r="C12" s="199" t="s">
        <v>424</v>
      </c>
      <c r="D12" s="199" t="s">
        <v>425</v>
      </c>
    </row>
    <row r="13" spans="1:4" ht="32">
      <c r="A13" s="197" t="s">
        <v>426</v>
      </c>
      <c r="B13" s="198" t="s">
        <v>427</v>
      </c>
      <c r="C13" s="199" t="s">
        <v>428</v>
      </c>
      <c r="D13" s="199" t="s">
        <v>429</v>
      </c>
    </row>
    <row r="14" spans="1:4" ht="28" customHeight="1">
      <c r="A14" s="197" t="s">
        <v>426</v>
      </c>
      <c r="B14" s="198" t="s">
        <v>430</v>
      </c>
      <c r="C14" s="199" t="s">
        <v>431</v>
      </c>
      <c r="D14" s="199" t="s">
        <v>429</v>
      </c>
    </row>
    <row r="15" spans="1:4" ht="32">
      <c r="A15" s="197" t="s">
        <v>426</v>
      </c>
      <c r="B15" s="198" t="s">
        <v>432</v>
      </c>
      <c r="C15" s="199" t="s">
        <v>433</v>
      </c>
      <c r="D15" s="199" t="s">
        <v>434</v>
      </c>
    </row>
    <row r="16" spans="1:4" ht="28" customHeight="1">
      <c r="A16" s="197" t="s">
        <v>435</v>
      </c>
      <c r="B16" s="198" t="s">
        <v>436</v>
      </c>
      <c r="C16" s="199" t="s">
        <v>437</v>
      </c>
      <c r="D16" s="199" t="s">
        <v>438</v>
      </c>
    </row>
    <row r="17" spans="1:4" ht="28" customHeight="1">
      <c r="A17" s="197" t="s">
        <v>435</v>
      </c>
      <c r="B17" s="198" t="s">
        <v>439</v>
      </c>
      <c r="C17" s="199" t="s">
        <v>440</v>
      </c>
      <c r="D17" s="199" t="s">
        <v>441</v>
      </c>
    </row>
    <row r="18" spans="1:4" ht="28" customHeight="1">
      <c r="A18" s="197" t="s">
        <v>442</v>
      </c>
      <c r="B18" s="198" t="s">
        <v>443</v>
      </c>
      <c r="C18" s="199" t="s">
        <v>444</v>
      </c>
      <c r="D18" s="199" t="s">
        <v>445</v>
      </c>
    </row>
    <row r="19" spans="1:4" ht="32">
      <c r="A19" s="197" t="s">
        <v>446</v>
      </c>
      <c r="B19" s="198" t="s">
        <v>447</v>
      </c>
      <c r="C19" s="199" t="s">
        <v>448</v>
      </c>
      <c r="D19" s="199" t="s">
        <v>449</v>
      </c>
    </row>
    <row r="20" spans="1:4" ht="28" customHeight="1">
      <c r="A20" s="197" t="s">
        <v>446</v>
      </c>
      <c r="B20" s="198" t="s">
        <v>450</v>
      </c>
      <c r="C20" s="199" t="s">
        <v>451</v>
      </c>
      <c r="D20" s="199" t="s">
        <v>452</v>
      </c>
    </row>
    <row r="21" spans="1:4" ht="28" customHeight="1">
      <c r="A21" s="197" t="s">
        <v>453</v>
      </c>
      <c r="B21" s="198" t="s">
        <v>454</v>
      </c>
      <c r="C21" s="199" t="s">
        <v>455</v>
      </c>
      <c r="D21" s="199" t="s">
        <v>456</v>
      </c>
    </row>
    <row r="22" spans="1:4" ht="32">
      <c r="A22" s="197" t="s">
        <v>457</v>
      </c>
      <c r="B22" s="198" t="s">
        <v>458</v>
      </c>
      <c r="C22" s="199" t="s">
        <v>459</v>
      </c>
      <c r="D22" s="199" t="s">
        <v>460</v>
      </c>
    </row>
  </sheetData>
  <sheetProtection algorithmName="SHA-512" hashValue="AqXeI2CiummRmGdGHFw7PqNS5bwdfXAFSaIUz8cphOMYMAMipEqh+mPKP3XuBeplJmrnFeuJLdq6KpYhs6WWXw==" saltValue="QsqQ+VcO7BDohUs8Q/9S6w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zoomScale="110" zoomScaleNormal="11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1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46023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46053</v>
      </c>
    </row>
    <row r="3" spans="1:28" ht="16" customHeight="1">
      <c r="A3" s="61" t="s">
        <v>48</v>
      </c>
      <c r="B3" s="100">
        <v>401006</v>
      </c>
      <c r="C3" s="71" t="s">
        <v>235</v>
      </c>
      <c r="D3" s="72">
        <v>38188</v>
      </c>
      <c r="E3" s="73" t="s">
        <v>13</v>
      </c>
      <c r="F3" s="74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85"/>
      <c r="J3" s="118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3" t="s">
        <v>236</v>
      </c>
      <c r="D4" s="64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86"/>
      <c r="J4" s="119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401049</v>
      </c>
      <c r="C5" s="63" t="s">
        <v>237</v>
      </c>
      <c r="D5" s="64">
        <v>41130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86"/>
      <c r="J5" s="119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724.55354077472225</v>
      </c>
      <c r="P5" s="15">
        <f>EINSTELLUNG!I6</f>
        <v>1</v>
      </c>
      <c r="Q5" s="14">
        <f>P5-O5</f>
        <v>-723.55354077472225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3" t="s">
        <v>238</v>
      </c>
      <c r="D6" s="64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86"/>
      <c r="J6" s="119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3" t="s">
        <v>239</v>
      </c>
      <c r="D7" s="64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86"/>
      <c r="J7" s="119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401138</v>
      </c>
      <c r="C8" s="63" t="s">
        <v>240</v>
      </c>
      <c r="D8" s="64">
        <v>42006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86"/>
      <c r="J8" s="119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7494.8</v>
      </c>
      <c r="R8" s="248"/>
    </row>
    <row r="9" spans="1:28" ht="16" customHeight="1">
      <c r="A9" s="62" t="s">
        <v>59</v>
      </c>
      <c r="B9" s="101">
        <v>401197</v>
      </c>
      <c r="C9" s="63" t="s">
        <v>241</v>
      </c>
      <c r="D9" s="64">
        <v>42644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86"/>
      <c r="J9" s="119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EINSTELLUNG!L22</f>
        <v>1</v>
      </c>
      <c r="R9" s="248"/>
      <c r="S9" s="19">
        <f>IFERROR(Q9/Q8, 0)</f>
        <v>1.3342584191706249E-4</v>
      </c>
    </row>
    <row r="10" spans="1:28" ht="16" customHeight="1">
      <c r="A10" s="61" t="s">
        <v>61</v>
      </c>
      <c r="B10" s="101">
        <v>401276</v>
      </c>
      <c r="C10" s="63" t="s">
        <v>242</v>
      </c>
      <c r="D10" s="64">
        <v>43252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86"/>
      <c r="J10" s="119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EINSTELLUNG!I22</f>
        <v>1</v>
      </c>
      <c r="R10" s="248"/>
    </row>
    <row r="11" spans="1:28" ht="16" customHeight="1">
      <c r="A11" s="61" t="s">
        <v>63</v>
      </c>
      <c r="B11" s="101">
        <v>401307</v>
      </c>
      <c r="C11" s="63" t="s">
        <v>243</v>
      </c>
      <c r="D11" s="64">
        <v>43571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86"/>
      <c r="J11" s="119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</v>
      </c>
      <c r="R11" s="248"/>
    </row>
    <row r="12" spans="1:28" ht="16" customHeight="1">
      <c r="A12" s="61" t="s">
        <v>65</v>
      </c>
      <c r="B12" s="101">
        <v>401308</v>
      </c>
      <c r="C12" s="63" t="s">
        <v>244</v>
      </c>
      <c r="D12" s="64">
        <v>43579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86"/>
      <c r="J12" s="119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/>
      <c r="R12" s="282"/>
    </row>
    <row r="13" spans="1:28" ht="16" customHeight="1">
      <c r="A13" s="62" t="s">
        <v>67</v>
      </c>
      <c r="B13" s="101">
        <v>401394</v>
      </c>
      <c r="C13" s="63" t="s">
        <v>245</v>
      </c>
      <c r="D13" s="64">
        <v>44379</v>
      </c>
      <c r="E13" s="65" t="s">
        <v>2</v>
      </c>
      <c r="F13" s="67">
        <v>173</v>
      </c>
      <c r="G13" s="116">
        <v>2021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86"/>
      <c r="J13" s="119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7491.8</v>
      </c>
      <c r="R13" s="248"/>
    </row>
    <row r="14" spans="1:28" ht="16" customHeight="1">
      <c r="A14" s="61" t="s">
        <v>69</v>
      </c>
      <c r="B14" s="101">
        <v>401389</v>
      </c>
      <c r="C14" s="63" t="s">
        <v>246</v>
      </c>
      <c r="D14" s="64">
        <v>44384</v>
      </c>
      <c r="E14" s="65" t="s">
        <v>11</v>
      </c>
      <c r="F14" s="67">
        <v>173</v>
      </c>
      <c r="G14" s="116">
        <v>2300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86"/>
      <c r="J14" s="119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EINSTELLUNG!L6</f>
        <v>1</v>
      </c>
      <c r="R14" s="248"/>
    </row>
    <row r="15" spans="1:28" ht="16" customHeight="1">
      <c r="A15" s="61" t="s">
        <v>71</v>
      </c>
      <c r="B15" s="101">
        <v>401432</v>
      </c>
      <c r="C15" s="63" t="s">
        <v>247</v>
      </c>
      <c r="D15" s="64">
        <v>44441</v>
      </c>
      <c r="E15" s="65" t="s">
        <v>2</v>
      </c>
      <c r="F15" s="67">
        <v>173</v>
      </c>
      <c r="G15" s="116">
        <v>2021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86"/>
      <c r="J15" s="119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7490.8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401558</v>
      </c>
      <c r="C16" s="63" t="s">
        <v>248</v>
      </c>
      <c r="D16" s="64">
        <v>44460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86"/>
      <c r="J16" s="119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401476</v>
      </c>
      <c r="C17" s="63" t="s">
        <v>249</v>
      </c>
      <c r="D17" s="64">
        <v>44504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86"/>
      <c r="J17" s="119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3" t="s">
        <v>250</v>
      </c>
      <c r="D18" s="64">
        <v>44511</v>
      </c>
      <c r="E18" s="65" t="s">
        <v>6</v>
      </c>
      <c r="F18" s="67">
        <v>173</v>
      </c>
      <c r="G18" s="116">
        <v>2160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86"/>
      <c r="J18" s="119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256"/>
      <c r="P18" s="257"/>
      <c r="Q18" s="258"/>
      <c r="R18" s="258"/>
    </row>
    <row r="19" spans="1:29" ht="16" customHeight="1">
      <c r="A19" s="61" t="s">
        <v>77</v>
      </c>
      <c r="B19" s="101">
        <v>401481</v>
      </c>
      <c r="C19" s="63" t="s">
        <v>251</v>
      </c>
      <c r="D19" s="64">
        <v>44531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86"/>
      <c r="J19" s="119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256"/>
      <c r="P19" s="257"/>
      <c r="Q19" s="258"/>
      <c r="R19" s="258"/>
    </row>
    <row r="20" spans="1:29" ht="16" customHeight="1">
      <c r="A20" s="61" t="s">
        <v>78</v>
      </c>
      <c r="B20" s="101">
        <v>401564</v>
      </c>
      <c r="C20" s="63" t="s">
        <v>252</v>
      </c>
      <c r="D20" s="64">
        <v>44824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86"/>
      <c r="J20" s="119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256"/>
      <c r="P20" s="257"/>
      <c r="Q20" s="258"/>
      <c r="R20" s="258"/>
    </row>
    <row r="21" spans="1:29" ht="16" customHeight="1">
      <c r="A21" s="62" t="s">
        <v>80</v>
      </c>
      <c r="B21" s="101">
        <v>401089</v>
      </c>
      <c r="C21" s="63" t="s">
        <v>253</v>
      </c>
      <c r="D21" s="64">
        <v>44868</v>
      </c>
      <c r="E21" s="65" t="s">
        <v>3</v>
      </c>
      <c r="F21" s="67">
        <v>173</v>
      </c>
      <c r="G21" s="116">
        <v>2082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86"/>
      <c r="J21" s="119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256" t="s">
        <v>320</v>
      </c>
      <c r="P21" s="257"/>
      <c r="Q21" s="258">
        <v>5000</v>
      </c>
      <c r="R21" s="258"/>
    </row>
    <row r="22" spans="1:29" ht="16" customHeight="1">
      <c r="A22" s="61" t="s">
        <v>81</v>
      </c>
      <c r="B22" s="101">
        <v>401583</v>
      </c>
      <c r="C22" s="63" t="s">
        <v>254</v>
      </c>
      <c r="D22" s="64">
        <v>44900</v>
      </c>
      <c r="E22" s="65" t="s">
        <v>10</v>
      </c>
      <c r="F22" s="67">
        <v>173</v>
      </c>
      <c r="G22" s="116">
        <v>2300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86"/>
      <c r="J22" s="119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256"/>
      <c r="P22" s="257"/>
      <c r="Q22" s="258"/>
      <c r="R22" s="258"/>
    </row>
    <row r="23" spans="1:29" ht="16" customHeight="1">
      <c r="A23" s="61" t="s">
        <v>82</v>
      </c>
      <c r="B23" s="101">
        <v>401589</v>
      </c>
      <c r="C23" s="63" t="s">
        <v>255</v>
      </c>
      <c r="D23" s="64">
        <v>44926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86"/>
      <c r="J23" s="119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256"/>
      <c r="P23" s="257"/>
      <c r="Q23" s="258"/>
      <c r="R23" s="258"/>
      <c r="W23" s="12"/>
    </row>
    <row r="24" spans="1:29" ht="16" customHeight="1">
      <c r="A24" s="61" t="s">
        <v>83</v>
      </c>
      <c r="B24" s="101">
        <v>401602</v>
      </c>
      <c r="C24" s="63" t="s">
        <v>256</v>
      </c>
      <c r="D24" s="64">
        <v>45975</v>
      </c>
      <c r="E24" s="65" t="s">
        <v>2</v>
      </c>
      <c r="F24" s="67">
        <v>173</v>
      </c>
      <c r="G24" s="116">
        <v>2021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86"/>
      <c r="J24" s="119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256"/>
      <c r="P24" s="257"/>
      <c r="Q24" s="258"/>
      <c r="R24" s="258"/>
      <c r="W24" s="12"/>
    </row>
    <row r="25" spans="1:29" ht="16" customHeight="1" thickBot="1">
      <c r="A25" s="62" t="s">
        <v>84</v>
      </c>
      <c r="B25" s="101">
        <v>401605</v>
      </c>
      <c r="C25" s="63" t="s">
        <v>257</v>
      </c>
      <c r="D25" s="64">
        <v>44986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86"/>
      <c r="J25" s="119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264"/>
      <c r="P25" s="265"/>
      <c r="Q25" s="253"/>
      <c r="R25" s="253"/>
    </row>
    <row r="26" spans="1:29" ht="16" customHeight="1">
      <c r="A26" s="61" t="s">
        <v>85</v>
      </c>
      <c r="B26" s="101">
        <v>401626</v>
      </c>
      <c r="C26" s="63" t="s">
        <v>258</v>
      </c>
      <c r="D26" s="64">
        <v>45063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86"/>
      <c r="J26" s="119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401633</v>
      </c>
      <c r="C27" s="63" t="s">
        <v>259</v>
      </c>
      <c r="D27" s="64">
        <v>45089</v>
      </c>
      <c r="E27" s="65" t="s">
        <v>10</v>
      </c>
      <c r="F27" s="67">
        <v>173</v>
      </c>
      <c r="G27" s="116">
        <v>2300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86"/>
      <c r="J27" s="119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401647</v>
      </c>
      <c r="C28" s="63" t="s">
        <v>260</v>
      </c>
      <c r="D28" s="64">
        <v>45182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86"/>
      <c r="J28" s="119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401661</v>
      </c>
      <c r="C29" s="63" t="s">
        <v>261</v>
      </c>
      <c r="D29" s="64">
        <v>45261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86"/>
      <c r="J29" s="119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EINSTELLUNG!O6</f>
        <v>1</v>
      </c>
      <c r="R29" s="252"/>
    </row>
    <row r="30" spans="1:29" ht="16" customHeight="1">
      <c r="A30" s="61" t="s">
        <v>91</v>
      </c>
      <c r="B30" s="101">
        <v>401670</v>
      </c>
      <c r="C30" s="63" t="s">
        <v>262</v>
      </c>
      <c r="D30" s="64">
        <v>45358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86"/>
      <c r="J30" s="119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63" t="s">
        <v>263</v>
      </c>
      <c r="D31" s="64">
        <v>45414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86"/>
      <c r="J31" s="119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1.9607843137254902E-2</v>
      </c>
      <c r="R31" s="271"/>
    </row>
    <row r="32" spans="1:29" ht="16" customHeight="1">
      <c r="A32" s="61" t="s">
        <v>94</v>
      </c>
      <c r="B32" s="101">
        <v>401691</v>
      </c>
      <c r="C32" s="63" t="s">
        <v>264</v>
      </c>
      <c r="D32" s="64">
        <v>45539</v>
      </c>
      <c r="E32" s="65" t="s">
        <v>2</v>
      </c>
      <c r="F32" s="67">
        <v>69.2</v>
      </c>
      <c r="G32" s="116">
        <v>808.4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55.8</v>
      </c>
      <c r="I32" s="86">
        <v>46047</v>
      </c>
      <c r="J32" s="119">
        <v>2</v>
      </c>
      <c r="K32" s="92">
        <f t="shared" si="0"/>
        <v>53.893333333333331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 t="s">
        <v>197</v>
      </c>
    </row>
    <row r="33" spans="1:24" ht="16" customHeight="1">
      <c r="A33" s="62" t="s">
        <v>95</v>
      </c>
      <c r="B33" s="101">
        <v>401690</v>
      </c>
      <c r="C33" s="63" t="s">
        <v>265</v>
      </c>
      <c r="D33" s="64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86"/>
      <c r="J33" s="119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274" t="s">
        <v>96</v>
      </c>
      <c r="R33" s="275"/>
      <c r="S33" s="278" t="s">
        <v>97</v>
      </c>
      <c r="T33" s="279"/>
      <c r="U33" s="278" t="s">
        <v>98</v>
      </c>
      <c r="V33" s="279"/>
    </row>
    <row r="34" spans="1:24" ht="16" customHeight="1">
      <c r="A34" s="61" t="s">
        <v>99</v>
      </c>
      <c r="B34" s="101">
        <v>401703</v>
      </c>
      <c r="C34" s="63" t="s">
        <v>266</v>
      </c>
      <c r="D34" s="64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86"/>
      <c r="J34" s="119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276"/>
      <c r="R34" s="277"/>
      <c r="S34" s="280"/>
      <c r="T34" s="281"/>
      <c r="U34" s="280"/>
      <c r="V34" s="281"/>
    </row>
    <row r="35" spans="1:24" ht="16" customHeight="1">
      <c r="A35" s="61" t="s">
        <v>100</v>
      </c>
      <c r="B35" s="101">
        <v>401214</v>
      </c>
      <c r="C35" s="63" t="s">
        <v>267</v>
      </c>
      <c r="D35" s="64">
        <v>45636</v>
      </c>
      <c r="E35" s="65" t="s">
        <v>3</v>
      </c>
      <c r="F35" s="67">
        <v>173</v>
      </c>
      <c r="G35" s="116">
        <v>2082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86"/>
      <c r="J35" s="119"/>
      <c r="K35" s="92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EINSTELLUNG!C6</f>
        <v>1</v>
      </c>
      <c r="R35" s="244"/>
      <c r="S35" s="244">
        <f>EINSTELLUNG!C22</f>
        <v>1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3" t="s">
        <v>268</v>
      </c>
      <c r="D36" s="64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86"/>
      <c r="J36" s="119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EINSTELLUNG!D6</f>
        <v>1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-1</v>
      </c>
      <c r="V36" s="245"/>
    </row>
    <row r="37" spans="1:24" ht="16" customHeight="1">
      <c r="A37" s="62" t="s">
        <v>104</v>
      </c>
      <c r="B37" s="101">
        <v>401716</v>
      </c>
      <c r="C37" s="63" t="s">
        <v>269</v>
      </c>
      <c r="D37" s="64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86"/>
      <c r="J37" s="119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3" t="s">
        <v>270</v>
      </c>
      <c r="D38" s="64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86"/>
      <c r="J38" s="119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EINSTELLUNG!F6</f>
        <v>1</v>
      </c>
      <c r="R38" s="286"/>
      <c r="S38" s="286">
        <f>EINSTELLUNG!F22</f>
        <v>1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3" t="s">
        <v>271</v>
      </c>
      <c r="D39" s="64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86"/>
      <c r="J39" s="119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3" t="s">
        <v>272</v>
      </c>
      <c r="D40" s="64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86"/>
      <c r="J40" s="119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1.3347927066926506E-4</v>
      </c>
      <c r="R40" s="244"/>
      <c r="S40" s="244">
        <f>IF(Q13=0, 0, S35/Q13)</f>
        <v>1.3347927066926506E-4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3" t="s">
        <v>273</v>
      </c>
      <c r="D41" s="64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86"/>
      <c r="J41" s="119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1.3347927066926506E-4</v>
      </c>
      <c r="R41" s="286"/>
      <c r="S41" s="286">
        <f>IF(Q13=0, 0, S38/Q13)</f>
        <v>1.3347927066926506E-4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3" t="s">
        <v>274</v>
      </c>
      <c r="D42" s="64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86"/>
      <c r="J42" s="119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401730</v>
      </c>
      <c r="C43" s="63" t="s">
        <v>275</v>
      </c>
      <c r="D43" s="64">
        <v>45895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86"/>
      <c r="J43" s="119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3" t="s">
        <v>276</v>
      </c>
      <c r="D44" s="64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86"/>
      <c r="J44" s="119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3" t="s">
        <v>277</v>
      </c>
      <c r="D45" s="64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86"/>
      <c r="J45" s="119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3" t="s">
        <v>278</v>
      </c>
      <c r="D46" s="64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86"/>
      <c r="J46" s="119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3" t="s">
        <v>279</v>
      </c>
      <c r="D47" s="64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86"/>
      <c r="J47" s="119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401747</v>
      </c>
      <c r="C48" s="68" t="s">
        <v>280</v>
      </c>
      <c r="D48" s="69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86"/>
      <c r="J48" s="119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401748</v>
      </c>
      <c r="C49" s="68" t="s">
        <v>281</v>
      </c>
      <c r="D49" s="69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86"/>
      <c r="J49" s="119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401746</v>
      </c>
      <c r="C50" s="70" t="s">
        <v>282</v>
      </c>
      <c r="D50" s="69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86"/>
      <c r="J50" s="119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401745</v>
      </c>
      <c r="C51" s="68" t="s">
        <v>283</v>
      </c>
      <c r="D51" s="69">
        <v>45934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86"/>
      <c r="J51" s="119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69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86"/>
      <c r="J52" s="119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69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86"/>
      <c r="J53" s="119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69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86.5</v>
      </c>
      <c r="I54" s="86"/>
      <c r="J54" s="119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/>
      <c r="C55" s="68"/>
      <c r="D55" s="69"/>
      <c r="E55" s="65"/>
      <c r="F55" s="67"/>
      <c r="G55" s="116"/>
      <c r="H55" s="89" t="str">
        <f>IF(AND(ISNUMBER(D55),ISNUMBER(F55)),ROUNDDOWN(MIN(IF(OR(ISBLANK(I55),I55=""),EOMONTH(DATE(EINSTELLUNG!$C$35,$A$1,1),0),I55)-MAX(D55,DATE(EINSTELLUNG!$C$35,$A$1,1))+1)/DAY(EOMONTH(DATE(EINSTELLUNG!$C$35,$A$1,1),0))*F55,2),"")</f>
        <v/>
      </c>
      <c r="I55" s="86"/>
      <c r="J55" s="119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/>
      <c r="C56" s="68"/>
      <c r="D56" s="69"/>
      <c r="E56" s="65"/>
      <c r="F56" s="67"/>
      <c r="G56" s="116"/>
      <c r="H56" s="89" t="str">
        <f>IF(AND(ISNUMBER(D56),ISNUMBER(F56)),ROUNDDOWN(MIN(IF(OR(ISBLANK(I56),I56=""),EOMONTH(DATE(EINSTELLUNG!$C$35,$A$1,1),0),I56)-MAX(D56,DATE(EINSTELLUNG!$C$35,$A$1,1))+1)/DAY(EOMONTH(DATE(EINSTELLUNG!$C$35,$A$1,1),0))*F56,2),"")</f>
        <v/>
      </c>
      <c r="I56" s="86"/>
      <c r="J56" s="119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/>
      <c r="C57" s="68"/>
      <c r="D57" s="69"/>
      <c r="E57" s="65"/>
      <c r="F57" s="67"/>
      <c r="G57" s="116"/>
      <c r="H57" s="89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86"/>
      <c r="J57" s="119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/>
      <c r="C58" s="68"/>
      <c r="D58" s="69"/>
      <c r="E58" s="65"/>
      <c r="F58" s="67"/>
      <c r="G58" s="116"/>
      <c r="H58" s="89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86"/>
      <c r="J58" s="119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69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86"/>
      <c r="J59" s="119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69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86"/>
      <c r="J60" s="119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69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86"/>
      <c r="J61" s="119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69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86"/>
      <c r="J62" s="119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69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86"/>
      <c r="J63" s="119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69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86"/>
      <c r="J64" s="119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69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86"/>
      <c r="J65" s="119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69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86"/>
      <c r="J66" s="119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69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86"/>
      <c r="J67" s="119"/>
      <c r="K67" s="92">
        <f t="shared" si="1"/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69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86"/>
      <c r="J68" s="119"/>
      <c r="K68" s="92">
        <f t="shared" si="1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69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86"/>
      <c r="J69" s="119"/>
      <c r="K69" s="92">
        <f t="shared" si="1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69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86"/>
      <c r="J70" s="119"/>
      <c r="K70" s="92">
        <f t="shared" si="1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69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86"/>
      <c r="J71" s="119"/>
      <c r="K71" s="92">
        <f t="shared" si="1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69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86"/>
      <c r="J72" s="119"/>
      <c r="K72" s="92">
        <f t="shared" si="1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69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86"/>
      <c r="J73" s="119"/>
      <c r="K73" s="92">
        <f t="shared" si="1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69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86"/>
      <c r="J74" s="119"/>
      <c r="K74" s="92">
        <f t="shared" si="1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69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86"/>
      <c r="J75" s="119"/>
      <c r="K75" s="92">
        <f t="shared" si="1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69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86"/>
      <c r="J76" s="119"/>
      <c r="K76" s="92">
        <f t="shared" si="1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69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86"/>
      <c r="J77" s="119"/>
      <c r="K77" s="92">
        <f t="shared" si="1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69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86"/>
      <c r="J78" s="119"/>
      <c r="K78" s="92">
        <f t="shared" si="1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69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86"/>
      <c r="J79" s="119"/>
      <c r="K79" s="92">
        <f t="shared" si="1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69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86"/>
      <c r="J80" s="119"/>
      <c r="K80" s="92">
        <f t="shared" si="1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69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86"/>
      <c r="J81" s="119"/>
      <c r="K81" s="92">
        <f t="shared" si="1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80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87"/>
      <c r="J82" s="120"/>
      <c r="K82" s="93">
        <f t="shared" si="1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114" spans="11:14" ht="16" customHeight="1">
      <c r="K114" s="218"/>
      <c r="L114" s="218"/>
      <c r="M114" s="218"/>
      <c r="N114" s="58"/>
    </row>
    <row r="115" spans="11:14" ht="16" customHeight="1">
      <c r="K115" s="218"/>
      <c r="L115" s="218"/>
      <c r="M115" s="218"/>
      <c r="N115" s="58"/>
    </row>
    <row r="116" spans="11:14" ht="16" customHeight="1">
      <c r="K116" s="219"/>
      <c r="L116" s="219"/>
      <c r="M116" s="43"/>
      <c r="N116" s="43"/>
    </row>
    <row r="117" spans="11:14" ht="16" customHeight="1">
      <c r="K117" s="219"/>
      <c r="L117" s="219"/>
      <c r="M117" s="43"/>
      <c r="N117" s="43"/>
    </row>
    <row r="118" spans="11:14" ht="16" customHeight="1">
      <c r="K118" s="220"/>
      <c r="L118" s="220"/>
      <c r="M118" s="44"/>
      <c r="N118" s="44"/>
    </row>
    <row r="119" spans="11:14" ht="16" customHeight="1">
      <c r="K119" s="221"/>
      <c r="L119" s="221"/>
      <c r="M119" s="45"/>
      <c r="N119" s="45"/>
    </row>
    <row r="120" spans="11:14" ht="16" customHeight="1">
      <c r="K120" s="219"/>
      <c r="L120" s="219"/>
      <c r="M120" s="43"/>
      <c r="N120" s="43"/>
    </row>
    <row r="121" spans="11:14" ht="16" customHeight="1">
      <c r="K121" s="219"/>
      <c r="L121" s="219"/>
      <c r="M121" s="43"/>
      <c r="N121" s="43"/>
    </row>
    <row r="122" spans="11:14" ht="16" customHeight="1">
      <c r="K122" s="221"/>
      <c r="L122" s="221"/>
      <c r="M122" s="45"/>
      <c r="N122" s="45"/>
    </row>
    <row r="123" spans="11:14" ht="16" customHeight="1">
      <c r="K123" s="46"/>
      <c r="L123" s="46"/>
      <c r="M123" s="46"/>
      <c r="N123" s="46"/>
    </row>
  </sheetData>
  <sheetProtection algorithmName="SHA-512" hashValue="6LUPM8wUWNeyf8Q2YMeFol4VEPF/jMF900n1oj5PU96tK5+cU6/9nxmRga14u/8BjWdu5L7J0Nbiixz/+Pi1DQ==" saltValue="/k7ao/M6QsHEzkI/4Gww9w==" spinCount="100000" sheet="1" objects="1" scenarios="1" sort="0" autoFilter="0"/>
  <mergeCells count="107"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40:P40"/>
    <mergeCell ref="Q40:R40"/>
    <mergeCell ref="S40:T40"/>
    <mergeCell ref="U40:V40"/>
    <mergeCell ref="O41:P41"/>
    <mergeCell ref="Q41:R41"/>
    <mergeCell ref="S41:T41"/>
    <mergeCell ref="U41:V41"/>
    <mergeCell ref="O42:P42"/>
    <mergeCell ref="Q42:V42"/>
    <mergeCell ref="O39:P39"/>
    <mergeCell ref="Q39:R39"/>
    <mergeCell ref="S39:T39"/>
    <mergeCell ref="U39:V39"/>
    <mergeCell ref="Q37:R37"/>
    <mergeCell ref="S37:T37"/>
    <mergeCell ref="U37:V37"/>
    <mergeCell ref="O38:P38"/>
    <mergeCell ref="Q38:R38"/>
    <mergeCell ref="S38:T38"/>
    <mergeCell ref="U38:V38"/>
    <mergeCell ref="O37:P37"/>
    <mergeCell ref="O36:P36"/>
    <mergeCell ref="Q36:R36"/>
    <mergeCell ref="S36:T36"/>
    <mergeCell ref="U36:V36"/>
    <mergeCell ref="O33:P34"/>
    <mergeCell ref="Q33:R34"/>
    <mergeCell ref="S33:T34"/>
    <mergeCell ref="U33:V34"/>
    <mergeCell ref="O9:P9"/>
    <mergeCell ref="Q9:R9"/>
    <mergeCell ref="Q23:R23"/>
    <mergeCell ref="Q22:R22"/>
    <mergeCell ref="O21:P21"/>
    <mergeCell ref="O10:P10"/>
    <mergeCell ref="Q10:R10"/>
    <mergeCell ref="O11:P11"/>
    <mergeCell ref="Q11:R11"/>
    <mergeCell ref="O12:P12"/>
    <mergeCell ref="Q12:R12"/>
    <mergeCell ref="Q17:R17"/>
    <mergeCell ref="Q18:R18"/>
    <mergeCell ref="Q19:R19"/>
    <mergeCell ref="K121:L121"/>
    <mergeCell ref="K122:L122"/>
    <mergeCell ref="R3:R4"/>
    <mergeCell ref="O35:P35"/>
    <mergeCell ref="Q35:R35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K119:L119"/>
    <mergeCell ref="K120:L120"/>
    <mergeCell ref="M1:M2"/>
    <mergeCell ref="D1:D2"/>
    <mergeCell ref="C1:C2"/>
    <mergeCell ref="E1:E2"/>
    <mergeCell ref="F1:F2"/>
    <mergeCell ref="G1:G2"/>
    <mergeCell ref="H1:H2"/>
    <mergeCell ref="I1:I2"/>
    <mergeCell ref="J1:J2"/>
    <mergeCell ref="K1:K2"/>
    <mergeCell ref="L1:L2"/>
  </mergeCells>
  <phoneticPr fontId="14" type="noConversion"/>
  <dataValidations count="5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  <dataValidation type="list" allowBlank="1" showInputMessage="1" showErrorMessage="1" sqref="E3:E82" xr:uid="{DD1205DC-04B5-5540-833E-BACE206FF378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JFLHo/mqXR2S5eNV8rO9U3Y+7bJ8MRWwzVoL6D9F465oOqF/hDYx5YckzGeMlwAWBoBjXVnH9MPrB3nGcSlJsA==" saltValue="rJTfagVOhnj9vVjyqUiPSQ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31" activePane="bottomLeft" state="frozen"/>
      <selection activeCell="T24" sqref="T24"/>
      <selection pane="bottomLeft" activeCell="P57" sqref="P57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2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46054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46081</v>
      </c>
    </row>
    <row r="3" spans="1:28" ht="16" customHeight="1">
      <c r="A3" s="61" t="s">
        <v>48</v>
      </c>
      <c r="B3" s="100">
        <v>401006</v>
      </c>
      <c r="C3" s="97" t="s">
        <v>235</v>
      </c>
      <c r="D3" s="122">
        <v>38188</v>
      </c>
      <c r="E3" s="73" t="s">
        <v>13</v>
      </c>
      <c r="F3" s="98">
        <v>173</v>
      </c>
      <c r="G3" s="115">
        <v>2328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401010</v>
      </c>
      <c r="C4" s="68" t="s">
        <v>236</v>
      </c>
      <c r="D4" s="123">
        <v>39388</v>
      </c>
      <c r="E4" s="65" t="s">
        <v>5</v>
      </c>
      <c r="F4" s="67">
        <v>173</v>
      </c>
      <c r="G4" s="116">
        <v>2183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401047</v>
      </c>
      <c r="C5" s="68" t="s">
        <v>238</v>
      </c>
      <c r="D5" s="123">
        <v>41154</v>
      </c>
      <c r="E5" s="65" t="s">
        <v>4</v>
      </c>
      <c r="F5" s="67">
        <v>173</v>
      </c>
      <c r="G5" s="116">
        <v>2123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842.66960625479021</v>
      </c>
      <c r="P5" s="15">
        <f>EINSTELLUNG!I7</f>
        <v>2</v>
      </c>
      <c r="Q5" s="14">
        <f>P5-O5</f>
        <v>-840.66960625479021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70" t="s">
        <v>237</v>
      </c>
      <c r="D6" s="123">
        <v>41130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312" t="str">
        <f>IF(Q5&lt;0, "Schlecht! Zu wenig Urlaub abgebaut.", IF(Q5&gt;0, "Gut! Mehr Urlaub abgebaut als aufgebaut.", ""))</f>
        <v>Schlecht! Zu wenig Urlaub abgebaut.</v>
      </c>
      <c r="P6" s="312"/>
      <c r="Q6" s="312"/>
      <c r="R6" s="312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>
        <v>2082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308" t="s">
        <v>58</v>
      </c>
      <c r="P8" s="246"/>
      <c r="Q8" s="309">
        <f>SUM(H3:H82)</f>
        <v>8591.6099999999988</v>
      </c>
      <c r="R8" s="310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>
        <v>2123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308" t="s">
        <v>60</v>
      </c>
      <c r="P9" s="246"/>
      <c r="Q9" s="309">
        <f>EINSTELLUNG!L23</f>
        <v>2</v>
      </c>
      <c r="R9" s="310"/>
      <c r="S9" s="19">
        <f>IFERROR(Q9/Q8, 0)</f>
        <v>2.3278524048461234E-4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>
        <v>2082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308" t="s">
        <v>62</v>
      </c>
      <c r="P10" s="246"/>
      <c r="Q10" s="309">
        <f>EINSTELLUNG!I23</f>
        <v>2</v>
      </c>
      <c r="R10" s="310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308" t="s">
        <v>64</v>
      </c>
      <c r="P11" s="246"/>
      <c r="Q11" s="309">
        <f>P5</f>
        <v>2</v>
      </c>
      <c r="R11" s="310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308" t="s">
        <v>68</v>
      </c>
      <c r="P12" s="246"/>
      <c r="Q12" s="309">
        <f>Q8-Q9-Q10-Q11</f>
        <v>8585.6099999999988</v>
      </c>
      <c r="R12" s="310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308" t="s">
        <v>70</v>
      </c>
      <c r="P13" s="246"/>
      <c r="Q13" s="309">
        <f>EINSTELLUNG!L7</f>
        <v>2</v>
      </c>
      <c r="R13" s="310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308" t="s">
        <v>72</v>
      </c>
      <c r="P14" s="246"/>
      <c r="Q14" s="309">
        <f>Q12-Q13</f>
        <v>8583.6099999999988</v>
      </c>
      <c r="R14" s="310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>
        <v>2300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11" t="str">
        <f>IF(Q14&lt;0, "Schlecht! Zu wenig Stunden für Dienstplan.", IF(Q14&gt;0, "Du hast mehr als genug Stunden für Dienstplan.", ""))</f>
        <v>Du hast mehr als genug Stunden für Dienstplan.</v>
      </c>
      <c r="P15" s="311"/>
      <c r="Q15" s="311"/>
      <c r="R15" s="311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>
        <v>2021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20" t="s">
        <v>75</v>
      </c>
      <c r="P17" s="301"/>
      <c r="Q17" s="321">
        <f>SUM(L3:L82)</f>
        <v>0</v>
      </c>
      <c r="R17" s="322"/>
      <c r="W17" s="12"/>
    </row>
    <row r="18" spans="1:29" ht="16" customHeight="1">
      <c r="A18" s="61" t="s">
        <v>76</v>
      </c>
      <c r="B18" s="101">
        <v>401476</v>
      </c>
      <c r="C18" s="68" t="s">
        <v>249</v>
      </c>
      <c r="D18" s="123">
        <v>44504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3"/>
      <c r="P18" s="324"/>
      <c r="Q18" s="325"/>
      <c r="R18" s="326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>
        <v>2160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3"/>
      <c r="P19" s="324"/>
      <c r="Q19" s="325"/>
      <c r="R19" s="326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>
        <v>2021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3"/>
      <c r="P20" s="324"/>
      <c r="Q20" s="325"/>
      <c r="R20" s="326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3" t="s">
        <v>320</v>
      </c>
      <c r="P21" s="324"/>
      <c r="Q21" s="325">
        <v>5000</v>
      </c>
      <c r="R21" s="326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3"/>
      <c r="P22" s="324"/>
      <c r="Q22" s="325"/>
      <c r="R22" s="326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>
        <v>2300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3"/>
      <c r="P23" s="324"/>
      <c r="Q23" s="325"/>
      <c r="R23" s="326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3"/>
      <c r="P24" s="324"/>
      <c r="Q24" s="325"/>
      <c r="R24" s="326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>
        <v>2021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3"/>
      <c r="P25" s="314"/>
      <c r="Q25" s="315"/>
      <c r="R25" s="316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7"/>
      <c r="P26" s="266"/>
      <c r="Q26" s="318"/>
      <c r="R26" s="319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334"/>
      <c r="P27" s="256"/>
      <c r="Q27" s="335"/>
      <c r="R27" s="336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>
        <v>2300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337"/>
      <c r="P28" s="260"/>
      <c r="Q28" s="338"/>
      <c r="R28" s="339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>
        <v>2021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40" t="s">
        <v>90</v>
      </c>
      <c r="P29" s="249"/>
      <c r="Q29" s="341">
        <f>EINSTELLUNG!O7</f>
        <v>2</v>
      </c>
      <c r="R29" s="34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68" t="s">
        <v>262</v>
      </c>
      <c r="D31" s="123">
        <v>45358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327">
        <v>0</v>
      </c>
      <c r="P31" s="328"/>
      <c r="Q31" s="329">
        <v>1.7241379310344827E-2</v>
      </c>
      <c r="R31" s="268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330"/>
      <c r="P33" s="331"/>
      <c r="Q33" s="274" t="s">
        <v>96</v>
      </c>
      <c r="R33" s="275"/>
      <c r="S33" s="278" t="s">
        <v>97</v>
      </c>
      <c r="T33" s="279"/>
      <c r="U33" s="278" t="s">
        <v>98</v>
      </c>
      <c r="V33" s="279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332"/>
      <c r="P34" s="333"/>
      <c r="Q34" s="276"/>
      <c r="R34" s="277"/>
      <c r="S34" s="280"/>
      <c r="T34" s="281"/>
      <c r="U34" s="280"/>
      <c r="V34" s="281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303" t="s">
        <v>101</v>
      </c>
      <c r="P35" s="242"/>
      <c r="Q35" s="288">
        <f>EINSTELLUNG!C7</f>
        <v>2</v>
      </c>
      <c r="R35" s="290"/>
      <c r="S35" s="288">
        <f>EINSTELLUNG!C23</f>
        <v>2</v>
      </c>
      <c r="T35" s="290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303" t="s">
        <v>103</v>
      </c>
      <c r="P36" s="242"/>
      <c r="Q36" s="288">
        <f>EINSTELLUNG!D7</f>
        <v>2</v>
      </c>
      <c r="R36" s="290"/>
      <c r="S36" s="244" cm="1">
        <f t="array" ref="S36">SumMergedCells(Q17:R29)</f>
        <v>0</v>
      </c>
      <c r="T36" s="244"/>
      <c r="U36" s="245">
        <f t="shared" ref="U36:U41" si="2">S36-Q36</f>
        <v>-2</v>
      </c>
      <c r="V36" s="24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303" t="s">
        <v>105</v>
      </c>
      <c r="P37" s="242"/>
      <c r="Q37" s="304">
        <f>IF(ISERROR(Q36/Q35), 0, Q36/Q35)</f>
        <v>1</v>
      </c>
      <c r="R37" s="305"/>
      <c r="S37" s="304">
        <f>IF(ISERROR(S36/S35), 0, S36/S35)</f>
        <v>0</v>
      </c>
      <c r="T37" s="305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>
        <v>1010.5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303" t="s">
        <v>107</v>
      </c>
      <c r="P38" s="242"/>
      <c r="Q38" s="306">
        <f>EINSTELLUNG!F7</f>
        <v>2</v>
      </c>
      <c r="R38" s="307"/>
      <c r="S38" s="306">
        <f>EINSTELLUNG!F23</f>
        <v>2</v>
      </c>
      <c r="T38" s="307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303" t="s">
        <v>109</v>
      </c>
      <c r="P39" s="242"/>
      <c r="Q39" s="288">
        <f>IF(Q38=0, 0, Q35/Q38)</f>
        <v>1</v>
      </c>
      <c r="R39" s="290"/>
      <c r="S39" s="288">
        <f>IF(S38=0, 0, S35/S38)</f>
        <v>1</v>
      </c>
      <c r="T39" s="290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2.329479209980421E-4</v>
      </c>
      <c r="R40" s="244"/>
      <c r="S40" s="244">
        <f>IF(Q12=0, 0, S35/Q12)</f>
        <v>2.329479209980421E-4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2.329479209980421E-4</v>
      </c>
      <c r="R41" s="286"/>
      <c r="S41" s="286">
        <f>IF(Q12=0, 0, S38/Q12)</f>
        <v>2.329479209980421E-4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70" t="s">
        <v>283</v>
      </c>
      <c r="D47" s="123">
        <v>45934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401754</v>
      </c>
      <c r="C53" s="68" t="s">
        <v>286</v>
      </c>
      <c r="D53" s="123">
        <v>46014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55</v>
      </c>
      <c r="C55" s="68" t="s">
        <v>331</v>
      </c>
      <c r="D55" s="123">
        <v>46054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>
        <v>1665.6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>
        <v>1616.8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500600</v>
      </c>
      <c r="C59" s="68" t="s">
        <v>335</v>
      </c>
      <c r="D59" s="123">
        <v>46054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600000</v>
      </c>
      <c r="C60" s="68" t="s">
        <v>336</v>
      </c>
      <c r="D60" s="123">
        <v>46054</v>
      </c>
      <c r="E60" s="65" t="s">
        <v>2</v>
      </c>
      <c r="F60" s="67">
        <v>151.38</v>
      </c>
      <c r="G60" s="116">
        <v>1768.38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26">
        <v>46055</v>
      </c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 t="s">
        <v>195</v>
      </c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5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5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4" spans="1:15" ht="16" customHeight="1">
      <c r="O84" s="20"/>
    </row>
    <row r="85" spans="1:15" ht="16" customHeight="1">
      <c r="O85" s="20"/>
    </row>
    <row r="86" spans="1:15" ht="16" customHeight="1">
      <c r="O86" s="20"/>
    </row>
  </sheetData>
  <sheetProtection algorithmName="SHA-512" hashValue="kmIzAGCgtTIhIdRXrYRaqyq1PrMq/73vAuUucDMtRqNAazlI0KSE2GWNYzS1XVpy4pK/b8e0S1XLceIc9XbvSQ==" saltValue="RWq/n9qw9Aiu2P1JYqTVJ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O25:P25"/>
    <mergeCell ref="Q25:R25"/>
    <mergeCell ref="O26:P26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Q12:R12"/>
    <mergeCell ref="O13:P13"/>
    <mergeCell ref="Q13:R13"/>
    <mergeCell ref="O3:O4"/>
    <mergeCell ref="C1:C2"/>
    <mergeCell ref="D1:D2"/>
    <mergeCell ref="E1:E2"/>
    <mergeCell ref="F1:F2"/>
    <mergeCell ref="G1:G2"/>
    <mergeCell ref="Q14:R14"/>
    <mergeCell ref="B1:B2"/>
    <mergeCell ref="N1:N2"/>
    <mergeCell ref="Q10:R10"/>
    <mergeCell ref="O15:R15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Q11:R11"/>
    <mergeCell ref="O12:P12"/>
    <mergeCell ref="O39:P39"/>
    <mergeCell ref="Q39:R39"/>
    <mergeCell ref="I1:I2"/>
    <mergeCell ref="J1:J2"/>
    <mergeCell ref="K1:K2"/>
    <mergeCell ref="L1:L2"/>
    <mergeCell ref="M1:M2"/>
    <mergeCell ref="O36:P36"/>
    <mergeCell ref="Q36:R36"/>
    <mergeCell ref="O37:P37"/>
    <mergeCell ref="Q37:R37"/>
    <mergeCell ref="O38:P38"/>
    <mergeCell ref="Q38:R38"/>
    <mergeCell ref="P3:P4"/>
    <mergeCell ref="Q3:Q4"/>
    <mergeCell ref="O14:P14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  <dataValidation type="list" allowBlank="1" showInputMessage="1" showErrorMessage="1" sqref="E3:E82" xr:uid="{8F85DB90-9F5D-B347-A366-D039FE6B571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25" activePane="bottomLeft" state="frozen"/>
      <selection activeCell="T24" sqref="T24"/>
      <selection pane="bottomLeft" activeCell="D63" sqref="D63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1640625" style="1" bestFit="1" customWidth="1"/>
    <col min="29" max="16384" width="9.1640625" style="1"/>
  </cols>
  <sheetData>
    <row r="1" spans="1:28" ht="16" customHeight="1">
      <c r="A1" s="59">
        <v>3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46082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46112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861.45075354782682</v>
      </c>
      <c r="P5" s="15">
        <f>EINSTELLUNG!I8</f>
        <v>3</v>
      </c>
      <c r="Q5" s="14">
        <f>P5-O5</f>
        <v>-858.45075354782682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8804.02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EINSTELLUNG!L24</f>
        <v>3</v>
      </c>
      <c r="R9" s="248"/>
      <c r="S9" s="19">
        <f>IFERROR(Q9/Q8, 0)</f>
        <v>3.4075342854741355E-4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EINSTELLUNG!I24</f>
        <v>3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3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-445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9240.02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EINSTELLUNG!L8</f>
        <v>3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9237.02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EINSTELLUNG!O8</f>
        <v>3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1.6949152542372881E-2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EINSTELLUNG!C8</f>
        <v>3</v>
      </c>
      <c r="R35" s="244"/>
      <c r="S35" s="244">
        <f>EINSTELLUNG!C24</f>
        <v>3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EINSTELLUNG!D8</f>
        <v>3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-3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EINSTELLUNG!F8</f>
        <v>3</v>
      </c>
      <c r="R38" s="286"/>
      <c r="S38" s="286">
        <f>EINSTELLUNG!F24</f>
        <v>3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3.2467462191640276E-4</v>
      </c>
      <c r="R40" s="244"/>
      <c r="S40" s="244">
        <f>IF(Q13=0, 0, S35/Q13)</f>
        <v>3.2467462191640276E-4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3.2467462191640276E-4</v>
      </c>
      <c r="R41" s="286"/>
      <c r="S41" s="286">
        <f>IF(Q13=0, 0, S38/Q13)</f>
        <v>3.2467462191640276E-4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401754</v>
      </c>
      <c r="C54" s="68" t="s">
        <v>286</v>
      </c>
      <c r="D54" s="123">
        <v>46014</v>
      </c>
      <c r="E54" s="65" t="s">
        <v>2</v>
      </c>
      <c r="F54" s="67">
        <v>86.5</v>
      </c>
      <c r="G54" s="116">
        <v>1010.5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26">
        <v>46096</v>
      </c>
      <c r="J54" s="66">
        <v>8</v>
      </c>
      <c r="K54" s="92">
        <f t="shared" si="1"/>
        <v>260.77419354838707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 t="s">
        <v>205</v>
      </c>
    </row>
    <row r="55" spans="1:14" ht="16" customHeight="1">
      <c r="A55" s="61" t="s">
        <v>129</v>
      </c>
      <c r="B55" s="101">
        <v>401999</v>
      </c>
      <c r="C55" s="68" t="s">
        <v>319</v>
      </c>
      <c r="D55" s="123">
        <v>46082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70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173</v>
      </c>
      <c r="G61" s="116">
        <v>2021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46096</v>
      </c>
      <c r="E62" s="65" t="s">
        <v>2</v>
      </c>
      <c r="F62" s="67">
        <v>173</v>
      </c>
      <c r="G62" s="116">
        <v>2021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5xbBWD0BIgeTmSHObFs0aBswy5HhEAsSwR4DwVIyZPJ2PrNMzEwXgSFwmZYFEMDtIInSMtoNAQKy9irM+9SCzg==" saltValue="D3F0841BjUwpC9bKqzte3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6:R16"/>
    <mergeCell ref="Q3:Q4"/>
    <mergeCell ref="R3:R4"/>
    <mergeCell ref="O6:R6"/>
    <mergeCell ref="O8:P8"/>
    <mergeCell ref="Q8:R8"/>
    <mergeCell ref="O12:P12"/>
    <mergeCell ref="Q12:R12"/>
    <mergeCell ref="Q9:R9"/>
    <mergeCell ref="O10:P10"/>
    <mergeCell ref="Q10:R10"/>
    <mergeCell ref="B1:B2"/>
    <mergeCell ref="N1:N2"/>
    <mergeCell ref="H1:H2"/>
    <mergeCell ref="C1:C2"/>
    <mergeCell ref="D1:D2"/>
    <mergeCell ref="E1:E2"/>
    <mergeCell ref="F1:F2"/>
    <mergeCell ref="G1:G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E3:E82" xr:uid="{B98161FA-8E91-4AE4-9111-0200024BE36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29" activePane="bottomLeft" state="frozen"/>
      <selection activeCell="T24" sqref="T24"/>
      <selection pane="bottomLeft" activeCell="F64" sqref="F64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4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46113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46142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855.94051045650838</v>
      </c>
      <c r="P5" s="15">
        <f>EINSTELLUNG!I9</f>
        <v>4</v>
      </c>
      <c r="Q5" s="14">
        <f>P5-O5</f>
        <v>-851.94051045650838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8817.7999999999993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EINSTELLUNG!L25</f>
        <v>4</v>
      </c>
      <c r="R9" s="248"/>
      <c r="S9" s="19">
        <f>IFERROR(Q9/Q8, 0)</f>
        <v>4.536278890426184E-4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EINSTELLUNG!I25</f>
        <v>4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4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-255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9060.7999999999993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EINSTELLUNG!L9</f>
        <v>4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9056.7999999999993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68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EINSTELLUNG!O9</f>
        <v>4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EINSTELLUNG!C9</f>
        <v>4</v>
      </c>
      <c r="R35" s="244"/>
      <c r="S35" s="244">
        <f>EINSTELLUNG!C25</f>
        <v>4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EINSTELLUNG!D9</f>
        <v>4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-4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EINSTELLUNG!F9</f>
        <v>4</v>
      </c>
      <c r="R38" s="286"/>
      <c r="S38" s="286">
        <f>EINSTELLUNG!F25</f>
        <v>4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4.4146212254988527E-4</v>
      </c>
      <c r="R40" s="244"/>
      <c r="S40" s="244">
        <f>IF(Q13=0, 0, S35/Q13)</f>
        <v>4.4146212254988527E-4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4.4146212254988527E-4</v>
      </c>
      <c r="R41" s="286"/>
      <c r="S41" s="286">
        <f>IF(Q13=0, 0, S38/Q13)</f>
        <v>4.4146212254988527E-4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503000</v>
      </c>
      <c r="C58" s="68" t="s">
        <v>332</v>
      </c>
      <c r="D58" s="123">
        <v>42401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504000</v>
      </c>
      <c r="C59" s="68" t="s">
        <v>333</v>
      </c>
      <c r="D59" s="123">
        <v>46054</v>
      </c>
      <c r="E59" s="65" t="s">
        <v>3</v>
      </c>
      <c r="F59" s="67">
        <v>138.4</v>
      </c>
      <c r="G59" s="116">
        <v>1665.6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505000</v>
      </c>
      <c r="C60" s="68" t="s">
        <v>334</v>
      </c>
      <c r="D60" s="123">
        <v>46054</v>
      </c>
      <c r="E60" s="65" t="s">
        <v>2</v>
      </c>
      <c r="F60" s="67">
        <v>138.4</v>
      </c>
      <c r="G60" s="116">
        <v>1616.8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700000</v>
      </c>
      <c r="C61" s="68" t="s">
        <v>347</v>
      </c>
      <c r="D61" s="123">
        <v>46054</v>
      </c>
      <c r="E61" s="65" t="s">
        <v>2</v>
      </c>
      <c r="F61" s="67">
        <v>138.4</v>
      </c>
      <c r="G61" s="116">
        <v>1616.8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800000</v>
      </c>
      <c r="C62" s="68" t="s">
        <v>348</v>
      </c>
      <c r="D62" s="123">
        <v>46082</v>
      </c>
      <c r="E62" s="65" t="s">
        <v>2</v>
      </c>
      <c r="F62" s="67">
        <v>64</v>
      </c>
      <c r="G62" s="116">
        <v>1000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CRoppewSs2sLAaQs9tMeb7qzCaKCQ+nk0YcZ8ykp8oxYS/R6GpxqzfaLRJqTnoykZFWHQCzulvXZ/0ARZmFaXg==" saltValue="KrgEhGPB29gWr0W1mrT1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  <dataValidation type="list" allowBlank="1" showInputMessage="1" showErrorMessage="1" sqref="E3:E82" xr:uid="{387B408B-C4E1-42EC-B59D-3862438C9A35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5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46143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46173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899.01401315020325</v>
      </c>
      <c r="P5" s="15">
        <f>EINSTELLUNG!I10</f>
        <v>5</v>
      </c>
      <c r="Q5" s="14">
        <f>P5-O5</f>
        <v>-894.01401315020325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9293.7199999999993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EINSTELLUNG!L26</f>
        <v>5</v>
      </c>
      <c r="R9" s="248"/>
      <c r="S9" s="19">
        <f>IFERROR(Q9/Q8, 0)</f>
        <v>5.3799770167381846E-4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EINSTELLUNG!I26</f>
        <v>5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5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9278.7199999999993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EINSTELLUNG!L10</f>
        <v>5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9273.7199999999993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129.75</v>
      </c>
      <c r="G15" s="116">
        <v>1561.5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EINSTELLUNG!O10</f>
        <v>5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EINSTELLUNG!C10</f>
        <v>5</v>
      </c>
      <c r="R35" s="244"/>
      <c r="S35" s="244">
        <f>EINSTELLUNG!C26</f>
        <v>5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EINSTELLUNG!D10</f>
        <v>5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-5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EINSTELLUNG!F10</f>
        <v>5</v>
      </c>
      <c r="R38" s="286"/>
      <c r="S38" s="286">
        <f>EINSTELLUNG!F26</f>
        <v>5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5.3886742999034352E-4</v>
      </c>
      <c r="R40" s="244"/>
      <c r="S40" s="244">
        <f>IF(Q12=0, 0, S35/Q12)</f>
        <v>5.3886742999034352E-4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5.3886742999034352E-4</v>
      </c>
      <c r="R41" s="286"/>
      <c r="S41" s="286">
        <f>IF(Q12=0, 0, S38/Q12)</f>
        <v>5.3886742999034352E-4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Y36ZGmLd7Lg0t92UcM9Y8in6joQhtJyFf4oImIMQBHV/StmLPZF3GhAyn26dzKgMNsB2TzLL6fq0RsL0Wqvhnw==" saltValue="1pxTSci78lRJ9oLr5cBD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dataValidations count="65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78A8C10-67E8-F649-9A65-53DF1AAA7D8D}">
      <formula1>KV_DD_MAI_3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E3:E82" xr:uid="{CD5D4740-F7C6-458D-A8CD-966EE943768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6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46174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46203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EINSTELLUNG!I11</f>
        <v>6</v>
      </c>
      <c r="Q5" s="14">
        <f>P5-O5</f>
        <v>-897.18770866157831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9359.2999999999993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EINSTELLUNG!L27</f>
        <v>6</v>
      </c>
      <c r="R9" s="248"/>
      <c r="S9" s="19">
        <f>IFERROR(Q9/Q8, 0)</f>
        <v>6.410735845629481E-4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EINSTELLUNG!I27</f>
        <v>6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6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442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8899.2999999999993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EINSTELLUNG!L11</f>
        <v>6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8893.2999999999993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EINSTELLUNG!O11</f>
        <v>6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1.6666666666666666E-2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EINSTELLUNG!C11</f>
        <v>6</v>
      </c>
      <c r="R35" s="244"/>
      <c r="S35" s="244">
        <f>EINSTELLUNG!C27</f>
        <v>6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EINSTELLUNG!D11</f>
        <v>6</v>
      </c>
      <c r="R36" s="244"/>
      <c r="S36" s="244" cm="1">
        <f t="array" ref="S36">SumMergedCells(Q17:R29)</f>
        <v>0</v>
      </c>
      <c r="T36" s="244"/>
      <c r="U36" s="245">
        <f t="shared" ref="U36:U41" si="2">S36-Q36</f>
        <v>-6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EINSTELLUNG!F11</f>
        <v>6</v>
      </c>
      <c r="R38" s="286"/>
      <c r="S38" s="286">
        <f>EINSTELLUNG!F27</f>
        <v>6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1.3574660633484163E-2</v>
      </c>
      <c r="R40" s="244"/>
      <c r="S40" s="244">
        <f>IF(Q12=0, 0, S35/Q12)</f>
        <v>1.3574660633484163E-2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1.3574660633484163E-2</v>
      </c>
      <c r="R41" s="286"/>
      <c r="S41" s="286">
        <f>IF(Q12=0, 0, S38/Q12)</f>
        <v>1.3574660633484163E-2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</sheetData>
  <sheetProtection algorithmName="SHA-512" hashValue="pqicrzyOdri1HPIWZipa+rygBTEd3ujABRSZKdMDHeLg5PyxYs6xtH3ht2Pm1QsraIFxTLgk0u44+6JaAR66sQ==" saltValue="+SOhmNIZud0i+SQ0q+z12w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98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P3:P4"/>
    <mergeCell ref="Q3:Q4"/>
    <mergeCell ref="R3:R4"/>
    <mergeCell ref="O6:R6"/>
    <mergeCell ref="O8:P8"/>
    <mergeCell ref="Q8:R8"/>
    <mergeCell ref="O3:O4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74284C4D-60CB-B44A-84C0-A3EE646ED46A}">
      <formula1>KV_DD_JUNI_3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E3:E82" xr:uid="{3FFFD511-705E-7042-BCC7-627C229DA0B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7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46204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46234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>
        <v>2021</v>
      </c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>
        <v>2328</v>
      </c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>
        <v>2183</v>
      </c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903.18770866157831</v>
      </c>
      <c r="P5" s="15">
        <f>EINSTELLUNG!I12</f>
        <v>7</v>
      </c>
      <c r="Q5" s="14">
        <f>P5-O5</f>
        <v>-896.18770866157831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>
        <v>2123</v>
      </c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>
        <v>2123</v>
      </c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>
        <v>2123</v>
      </c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9225.3599999999988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>
        <v>2082</v>
      </c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EINSTELLUNG!L28</f>
        <v>7</v>
      </c>
      <c r="R9" s="248"/>
      <c r="S9" s="19">
        <f>IFERROR(Q9/Q8, 0)</f>
        <v>7.5877797722798904E-4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>
        <v>2123</v>
      </c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EINSTELLUNG!I28</f>
        <v>7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>
        <v>2082</v>
      </c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7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>
        <v>2082</v>
      </c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39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>
        <v>2082</v>
      </c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9165.3599999999988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>
        <v>2082</v>
      </c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EINSTELLUNG!L12</f>
        <v>7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>
        <v>2082</v>
      </c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9158.3599999999988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>
        <v>2300</v>
      </c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>
        <v>2021</v>
      </c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>
        <v>2021</v>
      </c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401476</v>
      </c>
      <c r="C19" s="68" t="s">
        <v>249</v>
      </c>
      <c r="D19" s="123">
        <v>44504</v>
      </c>
      <c r="E19" s="65" t="s">
        <v>2</v>
      </c>
      <c r="F19" s="67">
        <v>173</v>
      </c>
      <c r="G19" s="116">
        <v>2021</v>
      </c>
      <c r="H19" s="89">
        <f>IF(AND(ISNUMBER(D19),ISNUMBER(F19)),ROUNDDOWN(MIN(IF(OR(ISBLANK(I19),I19=""),EOMONTH(DATE(EINSTELLUNG!$C$35,$A$1,1),0),I19)-MAX(D19,DATE(EINSTELLUNG!$C$35,$A$1,1))+1)/DAY(EOMONTH(DATE(EINSTELLUNG!$C$35,$A$1,1),0))*F19,2),"")</f>
        <v>39.06</v>
      </c>
      <c r="I19" s="126">
        <v>46210</v>
      </c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 t="s">
        <v>206</v>
      </c>
      <c r="O19" s="324"/>
      <c r="P19" s="344"/>
      <c r="Q19" s="343"/>
      <c r="R19" s="258"/>
    </row>
    <row r="20" spans="1:29" ht="16" customHeight="1">
      <c r="A20" s="61" t="s">
        <v>78</v>
      </c>
      <c r="B20" s="101">
        <v>401479</v>
      </c>
      <c r="C20" s="70" t="s">
        <v>250</v>
      </c>
      <c r="D20" s="123">
        <v>44511</v>
      </c>
      <c r="E20" s="65" t="s">
        <v>6</v>
      </c>
      <c r="F20" s="67">
        <v>173</v>
      </c>
      <c r="G20" s="116">
        <v>2160</v>
      </c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401481</v>
      </c>
      <c r="C21" s="68" t="s">
        <v>251</v>
      </c>
      <c r="D21" s="123">
        <v>44531</v>
      </c>
      <c r="E21" s="65" t="s">
        <v>2</v>
      </c>
      <c r="F21" s="67">
        <v>173</v>
      </c>
      <c r="G21" s="116">
        <v>2021</v>
      </c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401558</v>
      </c>
      <c r="C22" s="68" t="s">
        <v>248</v>
      </c>
      <c r="D22" s="123">
        <v>44460</v>
      </c>
      <c r="E22" s="65" t="s">
        <v>2</v>
      </c>
      <c r="F22" s="67">
        <v>173</v>
      </c>
      <c r="G22" s="116">
        <v>2021</v>
      </c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401564</v>
      </c>
      <c r="C23" s="68" t="s">
        <v>252</v>
      </c>
      <c r="D23" s="123">
        <v>44824</v>
      </c>
      <c r="E23" s="65" t="s">
        <v>2</v>
      </c>
      <c r="F23" s="67">
        <v>173</v>
      </c>
      <c r="G23" s="116">
        <v>2021</v>
      </c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401583</v>
      </c>
      <c r="C24" s="68" t="s">
        <v>254</v>
      </c>
      <c r="D24" s="123">
        <v>44900</v>
      </c>
      <c r="E24" s="65" t="s">
        <v>10</v>
      </c>
      <c r="F24" s="67">
        <v>173</v>
      </c>
      <c r="G24" s="116">
        <v>2300</v>
      </c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401589</v>
      </c>
      <c r="C25" s="68" t="s">
        <v>255</v>
      </c>
      <c r="D25" s="123">
        <v>44926</v>
      </c>
      <c r="E25" s="65" t="s">
        <v>10</v>
      </c>
      <c r="F25" s="67">
        <v>173</v>
      </c>
      <c r="G25" s="116">
        <v>2300</v>
      </c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401602</v>
      </c>
      <c r="C26" s="68" t="s">
        <v>256</v>
      </c>
      <c r="D26" s="123">
        <v>45975</v>
      </c>
      <c r="E26" s="65" t="s">
        <v>2</v>
      </c>
      <c r="F26" s="67">
        <v>173</v>
      </c>
      <c r="G26" s="116">
        <v>2021</v>
      </c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317"/>
      <c r="P26" s="266"/>
      <c r="Q26" s="254"/>
      <c r="R26" s="255"/>
    </row>
    <row r="27" spans="1:29" ht="16" customHeight="1">
      <c r="A27" s="61" t="s">
        <v>86</v>
      </c>
      <c r="B27" s="101">
        <v>401605</v>
      </c>
      <c r="C27" s="68" t="s">
        <v>257</v>
      </c>
      <c r="D27" s="123">
        <v>44986</v>
      </c>
      <c r="E27" s="65" t="s">
        <v>2</v>
      </c>
      <c r="F27" s="67">
        <v>173</v>
      </c>
      <c r="G27" s="116">
        <v>2021</v>
      </c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401626</v>
      </c>
      <c r="C28" s="68" t="s">
        <v>258</v>
      </c>
      <c r="D28" s="123">
        <v>45063</v>
      </c>
      <c r="E28" s="65" t="s">
        <v>2</v>
      </c>
      <c r="F28" s="67">
        <v>173</v>
      </c>
      <c r="G28" s="116">
        <v>2021</v>
      </c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401633</v>
      </c>
      <c r="C29" s="68" t="s">
        <v>259</v>
      </c>
      <c r="D29" s="123">
        <v>45089</v>
      </c>
      <c r="E29" s="65" t="s">
        <v>10</v>
      </c>
      <c r="F29" s="67">
        <v>173</v>
      </c>
      <c r="G29" s="116">
        <v>2300</v>
      </c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EINSTELLUNG!O12</f>
        <v>7</v>
      </c>
      <c r="R29" s="252"/>
    </row>
    <row r="30" spans="1:29" ht="16" customHeight="1">
      <c r="A30" s="61" t="s">
        <v>91</v>
      </c>
      <c r="B30" s="101">
        <v>401647</v>
      </c>
      <c r="C30" s="68" t="s">
        <v>260</v>
      </c>
      <c r="D30" s="123">
        <v>45182</v>
      </c>
      <c r="E30" s="65" t="s">
        <v>2</v>
      </c>
      <c r="F30" s="67">
        <v>173</v>
      </c>
      <c r="G30" s="116">
        <v>2021</v>
      </c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401661</v>
      </c>
      <c r="C31" s="70" t="s">
        <v>261</v>
      </c>
      <c r="D31" s="123">
        <v>45261</v>
      </c>
      <c r="E31" s="65" t="s">
        <v>2</v>
      </c>
      <c r="F31" s="67">
        <v>173</v>
      </c>
      <c r="G31" s="116">
        <v>2021</v>
      </c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1.6393442622950821E-2</v>
      </c>
      <c r="R31" s="271"/>
    </row>
    <row r="32" spans="1:29" ht="16" customHeight="1">
      <c r="A32" s="61" t="s">
        <v>94</v>
      </c>
      <c r="B32" s="101">
        <v>401670</v>
      </c>
      <c r="C32" s="68" t="s">
        <v>262</v>
      </c>
      <c r="D32" s="123">
        <v>45358</v>
      </c>
      <c r="E32" s="65" t="s">
        <v>2</v>
      </c>
      <c r="F32" s="67">
        <v>173</v>
      </c>
      <c r="G32" s="116">
        <v>2021</v>
      </c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401678</v>
      </c>
      <c r="C33" s="68" t="s">
        <v>263</v>
      </c>
      <c r="D33" s="123">
        <v>45414</v>
      </c>
      <c r="E33" s="65" t="s">
        <v>2</v>
      </c>
      <c r="F33" s="67">
        <v>173</v>
      </c>
      <c r="G33" s="116">
        <v>2021</v>
      </c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401690</v>
      </c>
      <c r="C34" s="68" t="s">
        <v>265</v>
      </c>
      <c r="D34" s="123">
        <v>45536</v>
      </c>
      <c r="E34" s="65" t="s">
        <v>2</v>
      </c>
      <c r="F34" s="67">
        <v>173</v>
      </c>
      <c r="G34" s="116">
        <v>2021</v>
      </c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401703</v>
      </c>
      <c r="C35" s="68" t="s">
        <v>266</v>
      </c>
      <c r="D35" s="123">
        <v>45616</v>
      </c>
      <c r="E35" s="65" t="s">
        <v>2</v>
      </c>
      <c r="F35" s="67">
        <v>173</v>
      </c>
      <c r="G35" s="116">
        <v>2021</v>
      </c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EINSTELLUNG!C12</f>
        <v>7</v>
      </c>
      <c r="R35" s="244"/>
      <c r="S35" s="244">
        <f>EINSTELLUNG!C28</f>
        <v>7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401715</v>
      </c>
      <c r="C36" s="68" t="s">
        <v>268</v>
      </c>
      <c r="D36" s="123">
        <v>45755</v>
      </c>
      <c r="E36" s="65" t="s">
        <v>2</v>
      </c>
      <c r="F36" s="67">
        <v>173</v>
      </c>
      <c r="G36" s="116">
        <v>2021</v>
      </c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EINSTELLUNG!D12</f>
        <v>7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-7</v>
      </c>
      <c r="V36" s="245"/>
    </row>
    <row r="37" spans="1:24" ht="16" customHeight="1">
      <c r="A37" s="62" t="s">
        <v>104</v>
      </c>
      <c r="B37" s="101">
        <v>401716</v>
      </c>
      <c r="C37" s="68" t="s">
        <v>269</v>
      </c>
      <c r="D37" s="123">
        <v>45800</v>
      </c>
      <c r="E37" s="65" t="s">
        <v>2</v>
      </c>
      <c r="F37" s="67">
        <v>173</v>
      </c>
      <c r="G37" s="116">
        <v>2021</v>
      </c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401717</v>
      </c>
      <c r="C38" s="68" t="s">
        <v>270</v>
      </c>
      <c r="D38" s="123">
        <v>45814</v>
      </c>
      <c r="E38" s="65" t="s">
        <v>2</v>
      </c>
      <c r="F38" s="67">
        <v>173</v>
      </c>
      <c r="G38" s="116">
        <v>2021</v>
      </c>
      <c r="H38" s="89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EINSTELLUNG!F12</f>
        <v>7</v>
      </c>
      <c r="R38" s="286"/>
      <c r="S38" s="286">
        <f>EINSTELLUNG!F28</f>
        <v>7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401722</v>
      </c>
      <c r="C39" s="68" t="s">
        <v>271</v>
      </c>
      <c r="D39" s="123">
        <v>45848</v>
      </c>
      <c r="E39" s="65" t="s">
        <v>2</v>
      </c>
      <c r="F39" s="67">
        <v>86.5</v>
      </c>
      <c r="G39" s="116">
        <v>1010.5</v>
      </c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401723</v>
      </c>
      <c r="C40" s="68" t="s">
        <v>272</v>
      </c>
      <c r="D40" s="123">
        <v>45852</v>
      </c>
      <c r="E40" s="65" t="s">
        <v>2</v>
      </c>
      <c r="F40" s="67">
        <v>86.5</v>
      </c>
      <c r="G40" s="116">
        <v>1010.5</v>
      </c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7.637452320476229E-4</v>
      </c>
      <c r="R40" s="244"/>
      <c r="S40" s="244">
        <f>IF(Q13=0, 0, S35/Q13)</f>
        <v>7.637452320476229E-4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401726</v>
      </c>
      <c r="C41" s="68" t="s">
        <v>273</v>
      </c>
      <c r="D41" s="123">
        <v>45870</v>
      </c>
      <c r="E41" s="65" t="s">
        <v>2</v>
      </c>
      <c r="F41" s="67">
        <v>86.5</v>
      </c>
      <c r="G41" s="116">
        <v>1010.5</v>
      </c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7.637452320476229E-4</v>
      </c>
      <c r="R41" s="286"/>
      <c r="S41" s="286">
        <f>IF(Q13=0, 0, S38/Q13)</f>
        <v>7.637452320476229E-4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401730</v>
      </c>
      <c r="C42" s="68" t="s">
        <v>275</v>
      </c>
      <c r="D42" s="123">
        <v>45895</v>
      </c>
      <c r="E42" s="65" t="s">
        <v>2</v>
      </c>
      <c r="F42" s="67">
        <v>86.5</v>
      </c>
      <c r="G42" s="116">
        <v>1010.5</v>
      </c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401731</v>
      </c>
      <c r="C43" s="68" t="s">
        <v>274</v>
      </c>
      <c r="D43" s="123">
        <v>45899</v>
      </c>
      <c r="E43" s="65" t="s">
        <v>2</v>
      </c>
      <c r="F43" s="67">
        <v>86.5</v>
      </c>
      <c r="G43" s="116">
        <v>1010.5</v>
      </c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401734</v>
      </c>
      <c r="C44" s="68" t="s">
        <v>276</v>
      </c>
      <c r="D44" s="123">
        <v>45904</v>
      </c>
      <c r="E44" s="65" t="s">
        <v>2</v>
      </c>
      <c r="F44" s="67">
        <v>86.5</v>
      </c>
      <c r="G44" s="116">
        <v>1010.5</v>
      </c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401736</v>
      </c>
      <c r="C45" s="68" t="s">
        <v>277</v>
      </c>
      <c r="D45" s="123">
        <v>45906</v>
      </c>
      <c r="E45" s="65" t="s">
        <v>2</v>
      </c>
      <c r="F45" s="67">
        <v>86.5</v>
      </c>
      <c r="G45" s="116">
        <v>1010.5</v>
      </c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401737</v>
      </c>
      <c r="C46" s="68" t="s">
        <v>278</v>
      </c>
      <c r="D46" s="123">
        <v>45906</v>
      </c>
      <c r="E46" s="65" t="s">
        <v>2</v>
      </c>
      <c r="F46" s="67">
        <v>86.5</v>
      </c>
      <c r="G46" s="116">
        <v>1010.5</v>
      </c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401738</v>
      </c>
      <c r="C47" s="68" t="s">
        <v>279</v>
      </c>
      <c r="D47" s="123">
        <v>45909</v>
      </c>
      <c r="E47" s="65" t="s">
        <v>2</v>
      </c>
      <c r="F47" s="67">
        <v>86.5</v>
      </c>
      <c r="G47" s="116">
        <v>1010.5</v>
      </c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401745</v>
      </c>
      <c r="C48" s="68" t="s">
        <v>283</v>
      </c>
      <c r="D48" s="123">
        <v>45934</v>
      </c>
      <c r="E48" s="65" t="s">
        <v>2</v>
      </c>
      <c r="F48" s="67">
        <v>86.5</v>
      </c>
      <c r="G48" s="116">
        <v>1010.5</v>
      </c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401746</v>
      </c>
      <c r="C49" s="68" t="s">
        <v>282</v>
      </c>
      <c r="D49" s="123">
        <v>45941</v>
      </c>
      <c r="E49" s="65" t="s">
        <v>2</v>
      </c>
      <c r="F49" s="67">
        <v>86.5</v>
      </c>
      <c r="G49" s="116">
        <v>1010.5</v>
      </c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401747</v>
      </c>
      <c r="C50" s="68" t="s">
        <v>280</v>
      </c>
      <c r="D50" s="123">
        <v>45941</v>
      </c>
      <c r="E50" s="65" t="s">
        <v>2</v>
      </c>
      <c r="F50" s="67">
        <v>86.5</v>
      </c>
      <c r="G50" s="116">
        <v>1010.5</v>
      </c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401748</v>
      </c>
      <c r="C51" s="68" t="s">
        <v>281</v>
      </c>
      <c r="D51" s="123">
        <v>45941</v>
      </c>
      <c r="E51" s="65" t="s">
        <v>2</v>
      </c>
      <c r="F51" s="67">
        <v>86.5</v>
      </c>
      <c r="G51" s="116">
        <v>1010.5</v>
      </c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401751</v>
      </c>
      <c r="C52" s="68" t="s">
        <v>284</v>
      </c>
      <c r="D52" s="123">
        <v>45961</v>
      </c>
      <c r="E52" s="65" t="s">
        <v>2</v>
      </c>
      <c r="F52" s="67">
        <v>86.5</v>
      </c>
      <c r="G52" s="116">
        <v>1010.5</v>
      </c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401752</v>
      </c>
      <c r="C53" s="68" t="s">
        <v>285</v>
      </c>
      <c r="D53" s="123">
        <v>45986</v>
      </c>
      <c r="E53" s="65" t="s">
        <v>2</v>
      </c>
      <c r="F53" s="67">
        <v>86.5</v>
      </c>
      <c r="G53" s="116">
        <v>1010.5</v>
      </c>
      <c r="H53" s="89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401999</v>
      </c>
      <c r="C54" s="68" t="s">
        <v>319</v>
      </c>
      <c r="D54" s="123">
        <v>46082</v>
      </c>
      <c r="E54" s="65" t="s">
        <v>2</v>
      </c>
      <c r="F54" s="67">
        <v>173</v>
      </c>
      <c r="G54" s="116">
        <v>2021</v>
      </c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402000</v>
      </c>
      <c r="C55" s="68" t="s">
        <v>326</v>
      </c>
      <c r="D55" s="123">
        <v>46143</v>
      </c>
      <c r="E55" s="65" t="s">
        <v>2</v>
      </c>
      <c r="F55" s="67">
        <v>173</v>
      </c>
      <c r="G55" s="116">
        <v>2021</v>
      </c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402004</v>
      </c>
      <c r="C56" s="68" t="s">
        <v>328</v>
      </c>
      <c r="D56" s="123">
        <v>46122</v>
      </c>
      <c r="E56" s="65" t="s">
        <v>2</v>
      </c>
      <c r="F56" s="67">
        <v>173</v>
      </c>
      <c r="G56" s="116">
        <v>2021</v>
      </c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402405</v>
      </c>
      <c r="C57" s="68" t="s">
        <v>330</v>
      </c>
      <c r="D57" s="123">
        <v>46054</v>
      </c>
      <c r="E57" s="65" t="s">
        <v>2</v>
      </c>
      <c r="F57" s="67">
        <v>173</v>
      </c>
      <c r="G57" s="116">
        <v>2021</v>
      </c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500600</v>
      </c>
      <c r="C58" s="68" t="s">
        <v>335</v>
      </c>
      <c r="D58" s="123">
        <v>46054</v>
      </c>
      <c r="E58" s="65" t="s">
        <v>2</v>
      </c>
      <c r="F58" s="67">
        <v>173</v>
      </c>
      <c r="G58" s="116">
        <v>2021</v>
      </c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502000</v>
      </c>
      <c r="C59" s="68" t="s">
        <v>329</v>
      </c>
      <c r="D59" s="123">
        <v>46147</v>
      </c>
      <c r="E59" s="65" t="s">
        <v>2</v>
      </c>
      <c r="F59" s="67">
        <v>173</v>
      </c>
      <c r="G59" s="116">
        <v>2021</v>
      </c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503000</v>
      </c>
      <c r="C60" s="68" t="s">
        <v>332</v>
      </c>
      <c r="D60" s="123">
        <v>42401</v>
      </c>
      <c r="E60" s="65" t="s">
        <v>2</v>
      </c>
      <c r="F60" s="67">
        <v>173</v>
      </c>
      <c r="G60" s="116">
        <v>2021</v>
      </c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504000</v>
      </c>
      <c r="C61" s="68" t="s">
        <v>333</v>
      </c>
      <c r="D61" s="123">
        <v>46054</v>
      </c>
      <c r="E61" s="65" t="s">
        <v>3</v>
      </c>
      <c r="F61" s="67">
        <v>138.4</v>
      </c>
      <c r="G61" s="116">
        <v>1665.6</v>
      </c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505000</v>
      </c>
      <c r="C62" s="68" t="s">
        <v>334</v>
      </c>
      <c r="D62" s="123">
        <v>46054</v>
      </c>
      <c r="E62" s="65" t="s">
        <v>2</v>
      </c>
      <c r="F62" s="67">
        <v>138.4</v>
      </c>
      <c r="G62" s="116">
        <v>1616.8</v>
      </c>
      <c r="H62" s="89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700000</v>
      </c>
      <c r="C63" s="68" t="s">
        <v>347</v>
      </c>
      <c r="D63" s="123">
        <v>46054</v>
      </c>
      <c r="E63" s="65" t="s">
        <v>2</v>
      </c>
      <c r="F63" s="67">
        <v>173</v>
      </c>
      <c r="G63" s="116">
        <v>2021</v>
      </c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>
        <v>800000</v>
      </c>
      <c r="C64" s="68" t="s">
        <v>348</v>
      </c>
      <c r="D64" s="123">
        <v>46082</v>
      </c>
      <c r="E64" s="65" t="s">
        <v>2</v>
      </c>
      <c r="F64" s="67">
        <v>173</v>
      </c>
      <c r="G64" s="116">
        <v>2021</v>
      </c>
      <c r="H64" s="89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1EfSqx4S6zpar8XUDobAITAUfRurDVOcw22d0yAxTwmnAYFi1XFkxE+3ReMl4WzuM2eH0BE1hJ0OYHYNLm9UuQ==" saltValue="0uNmSMsgMg6NghRhvds6JA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E3:E82" xr:uid="{D797CE52-EA86-4D35-8CF3-DC9E1A8BAD82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8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46235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46265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886.49292661607774</v>
      </c>
      <c r="P5" s="15">
        <f>EINSTELLUNG!I13</f>
        <v>8</v>
      </c>
      <c r="Q5" s="14">
        <f>P5-O5</f>
        <v>-878.49292661607774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9099.7900000000009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EINSTELLUNG!L29</f>
        <v>8</v>
      </c>
      <c r="R9" s="248"/>
      <c r="S9" s="19">
        <f>IFERROR(Q9/Q8, 0)</f>
        <v>8.7914116699396353E-4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EINSTELLUNG!I29</f>
        <v>8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8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9075.7900000000009</v>
      </c>
      <c r="R12" s="248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EINSTELLUNG!L13</f>
        <v>8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9067.7900000000009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401589</v>
      </c>
      <c r="C24" s="68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EINSTELLUNG!O13</f>
        <v>8</v>
      </c>
      <c r="R29" s="25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1.8518518518518517E-2</v>
      </c>
      <c r="R31" s="271"/>
    </row>
    <row r="32" spans="1:29" ht="16" customHeight="1">
      <c r="A32" s="61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EINSTELLUNG!C13</f>
        <v>8</v>
      </c>
      <c r="R35" s="244"/>
      <c r="S35" s="244">
        <f>EINSTELLUNG!C29</f>
        <v>8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EINSTELLUNG!D13</f>
        <v>8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-8</v>
      </c>
      <c r="V36" s="245"/>
    </row>
    <row r="37" spans="1:24" ht="16" customHeight="1">
      <c r="A37" s="62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304">
        <f>IF(ISERROR(S36/S35), 0, S36/S35)</f>
        <v>0</v>
      </c>
      <c r="T37" s="305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EINSTELLUNG!F13</f>
        <v>8</v>
      </c>
      <c r="R38" s="286"/>
      <c r="S38" s="286">
        <f>EINSTELLUNG!F29</f>
        <v>8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8.8146596604813461E-4</v>
      </c>
      <c r="R40" s="244"/>
      <c r="S40" s="244">
        <f>IF(Q12=0, 0, S35/Q12)</f>
        <v>8.8146596604813461E-4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8.8146596604813461E-4</v>
      </c>
      <c r="R41" s="286"/>
      <c r="S41" s="286">
        <f>IF(Q12=0, 0, S38/Q12)</f>
        <v>8.8146596604813461E-4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68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401746</v>
      </c>
      <c r="C48" s="68" t="s">
        <v>282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41.85</v>
      </c>
      <c r="I48" s="126">
        <v>46249</v>
      </c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 t="s">
        <v>205</v>
      </c>
    </row>
    <row r="49" spans="1:14" ht="16" customHeight="1">
      <c r="A49" s="62" t="s">
        <v>123</v>
      </c>
      <c r="B49" s="101">
        <v>401747</v>
      </c>
      <c r="C49" s="68" t="s">
        <v>280</v>
      </c>
      <c r="D49" s="123">
        <v>45941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44.64</v>
      </c>
      <c r="I49" s="126">
        <v>46250</v>
      </c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 t="s">
        <v>197</v>
      </c>
    </row>
    <row r="50" spans="1:14" ht="16" customHeight="1">
      <c r="A50" s="61" t="s">
        <v>124</v>
      </c>
      <c r="B50" s="101">
        <v>401748</v>
      </c>
      <c r="C50" s="68" t="s">
        <v>281</v>
      </c>
      <c r="D50" s="123">
        <v>45941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401751</v>
      </c>
      <c r="C51" s="68" t="s">
        <v>284</v>
      </c>
      <c r="D51" s="123">
        <v>45961</v>
      </c>
      <c r="E51" s="65" t="s">
        <v>2</v>
      </c>
      <c r="F51" s="67">
        <v>86.5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401752</v>
      </c>
      <c r="C52" s="68" t="s">
        <v>285</v>
      </c>
      <c r="D52" s="123">
        <v>45986</v>
      </c>
      <c r="E52" s="65" t="s">
        <v>2</v>
      </c>
      <c r="F52" s="67">
        <v>86.5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401999</v>
      </c>
      <c r="C53" s="68" t="s">
        <v>319</v>
      </c>
      <c r="D53" s="123">
        <v>46082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402000</v>
      </c>
      <c r="C54" s="70" t="s">
        <v>326</v>
      </c>
      <c r="D54" s="123">
        <v>46143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402004</v>
      </c>
      <c r="C55" s="68" t="s">
        <v>328</v>
      </c>
      <c r="D55" s="123">
        <v>46122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402405</v>
      </c>
      <c r="C56" s="68" t="s">
        <v>330</v>
      </c>
      <c r="D56" s="123">
        <v>46054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500600</v>
      </c>
      <c r="C57" s="68" t="s">
        <v>335</v>
      </c>
      <c r="D57" s="123">
        <v>46054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502000</v>
      </c>
      <c r="C58" s="68" t="s">
        <v>329</v>
      </c>
      <c r="D58" s="123">
        <v>46147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503000</v>
      </c>
      <c r="C59" s="68" t="s">
        <v>332</v>
      </c>
      <c r="D59" s="123">
        <v>42401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504000</v>
      </c>
      <c r="C60" s="68" t="s">
        <v>333</v>
      </c>
      <c r="D60" s="123">
        <v>46054</v>
      </c>
      <c r="E60" s="65" t="s">
        <v>3</v>
      </c>
      <c r="F60" s="67">
        <v>138.4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>
        <v>505000</v>
      </c>
      <c r="C61" s="68" t="s">
        <v>334</v>
      </c>
      <c r="D61" s="123">
        <v>46054</v>
      </c>
      <c r="E61" s="65" t="s">
        <v>2</v>
      </c>
      <c r="F61" s="67">
        <v>138.4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>
        <v>700000</v>
      </c>
      <c r="C62" s="68" t="s">
        <v>347</v>
      </c>
      <c r="D62" s="123">
        <v>46054</v>
      </c>
      <c r="E62" s="65" t="s">
        <v>2</v>
      </c>
      <c r="F62" s="67">
        <v>173</v>
      </c>
      <c r="G62" s="116"/>
      <c r="H62" s="89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>
        <v>800000</v>
      </c>
      <c r="C63" s="68" t="s">
        <v>348</v>
      </c>
      <c r="D63" s="123">
        <v>46082</v>
      </c>
      <c r="E63" s="65" t="s">
        <v>2</v>
      </c>
      <c r="F63" s="67">
        <v>173</v>
      </c>
      <c r="G63" s="116"/>
      <c r="H63" s="89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D6lvttSirEfLvfdUlgnX2Uy21HZGd2M2Y+FEPe0z+FbYaTWaPnDiW8WY+JC2T7G4nQT//rSQGtbVeH0/SfnrdQ==" saltValue="Nu9nOWebOZfxKwRBaXPeV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  <dataValidation type="list" allowBlank="1" showInputMessage="1" showErrorMessage="1" sqref="E3:E82" xr:uid="{153513FD-9715-4ECE-B997-6B594143A513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9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46266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46295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869.79814457057728</v>
      </c>
      <c r="P5" s="15">
        <f>EINSTELLUNG!I14</f>
        <v>9</v>
      </c>
      <c r="Q5" s="14">
        <f>P5-O5</f>
        <v>-860.79814457057728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8897.9599999999991</v>
      </c>
      <c r="R8" s="248"/>
    </row>
    <row r="9" spans="1:28" ht="16" customHeight="1">
      <c r="A9" s="61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EINSTELLUNG!L30</f>
        <v>9</v>
      </c>
      <c r="R9" s="248"/>
      <c r="S9" s="19">
        <f>IFERROR(Q9/Q8, 0)</f>
        <v>1.0114677971130462E-3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EINSTELLUNG!I30</f>
        <v>9</v>
      </c>
      <c r="R10" s="248"/>
    </row>
    <row r="11" spans="1:28" ht="16" customHeight="1">
      <c r="A11" s="62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9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167</v>
      </c>
      <c r="R12" s="282"/>
    </row>
    <row r="13" spans="1:28" ht="16" customHeight="1">
      <c r="A13" s="61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8703.9599999999991</v>
      </c>
      <c r="R13" s="248"/>
    </row>
    <row r="14" spans="1:28" ht="16" customHeight="1">
      <c r="A14" s="62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EINSTELLUNG!L14</f>
        <v>9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8694.9599999999991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2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1" t="s">
        <v>80</v>
      </c>
      <c r="B21" s="101">
        <v>401558</v>
      </c>
      <c r="C21" s="68" t="s">
        <v>248</v>
      </c>
      <c r="D21" s="123">
        <v>44460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126">
        <v>46275</v>
      </c>
      <c r="J21" s="66">
        <v>4</v>
      </c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 t="s">
        <v>197</v>
      </c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401564</v>
      </c>
      <c r="C22" s="68" t="s">
        <v>252</v>
      </c>
      <c r="D22" s="123">
        <v>44824</v>
      </c>
      <c r="E22" s="65" t="s">
        <v>2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2" t="s">
        <v>82</v>
      </c>
      <c r="B23" s="101">
        <v>401583</v>
      </c>
      <c r="C23" s="68" t="s">
        <v>254</v>
      </c>
      <c r="D23" s="123">
        <v>44900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401589</v>
      </c>
      <c r="C24" s="99" t="s">
        <v>255</v>
      </c>
      <c r="D24" s="123">
        <v>44926</v>
      </c>
      <c r="E24" s="65" t="s">
        <v>10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1" t="s">
        <v>84</v>
      </c>
      <c r="B25" s="101">
        <v>401602</v>
      </c>
      <c r="C25" s="68" t="s">
        <v>256</v>
      </c>
      <c r="D25" s="123">
        <v>45975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2" t="s">
        <v>85</v>
      </c>
      <c r="B26" s="101">
        <v>401605</v>
      </c>
      <c r="C26" s="68" t="s">
        <v>257</v>
      </c>
      <c r="D26" s="123">
        <v>44986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401626</v>
      </c>
      <c r="C27" s="68" t="s">
        <v>258</v>
      </c>
      <c r="D27" s="123">
        <v>45063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401633</v>
      </c>
      <c r="C28" s="68" t="s">
        <v>259</v>
      </c>
      <c r="D28" s="123">
        <v>45089</v>
      </c>
      <c r="E28" s="65" t="s">
        <v>10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401647</v>
      </c>
      <c r="C29" s="68" t="s">
        <v>260</v>
      </c>
      <c r="D29" s="123">
        <v>45182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EINSTELLUNG!O14</f>
        <v>9</v>
      </c>
      <c r="R29" s="252"/>
    </row>
    <row r="30" spans="1:29" ht="16" customHeight="1">
      <c r="A30" s="61" t="s">
        <v>91</v>
      </c>
      <c r="B30" s="101">
        <v>401661</v>
      </c>
      <c r="C30" s="68" t="s">
        <v>261</v>
      </c>
      <c r="D30" s="123">
        <v>45261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401670</v>
      </c>
      <c r="C31" s="70" t="s">
        <v>262</v>
      </c>
      <c r="D31" s="123">
        <v>45358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1.6949152542372881E-2</v>
      </c>
      <c r="R31" s="271"/>
    </row>
    <row r="32" spans="1:29" ht="16" customHeight="1">
      <c r="A32" s="62" t="s">
        <v>94</v>
      </c>
      <c r="B32" s="101">
        <v>401678</v>
      </c>
      <c r="C32" s="68" t="s">
        <v>263</v>
      </c>
      <c r="D32" s="123">
        <v>45414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401690</v>
      </c>
      <c r="C33" s="68" t="s">
        <v>265</v>
      </c>
      <c r="D33" s="123">
        <v>45536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401703</v>
      </c>
      <c r="C34" s="68" t="s">
        <v>266</v>
      </c>
      <c r="D34" s="123">
        <v>45616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101">
        <v>401715</v>
      </c>
      <c r="C35" s="68" t="s">
        <v>268</v>
      </c>
      <c r="D35" s="123">
        <v>45755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EINSTELLUNG!C14</f>
        <v>9</v>
      </c>
      <c r="R35" s="244"/>
      <c r="S35" s="244">
        <f>EINSTELLUNG!C30</f>
        <v>9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401716</v>
      </c>
      <c r="C36" s="68" t="s">
        <v>269</v>
      </c>
      <c r="D36" s="123">
        <v>45800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EINSTELLUNG!D14</f>
        <v>9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-9</v>
      </c>
      <c r="V36" s="245"/>
    </row>
    <row r="37" spans="1:24" ht="16" customHeight="1">
      <c r="A37" s="61" t="s">
        <v>104</v>
      </c>
      <c r="B37" s="101">
        <v>401717</v>
      </c>
      <c r="C37" s="68" t="s">
        <v>270</v>
      </c>
      <c r="D37" s="123">
        <v>45814</v>
      </c>
      <c r="E37" s="65" t="s">
        <v>2</v>
      </c>
      <c r="F37" s="67">
        <v>173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2" t="s">
        <v>106</v>
      </c>
      <c r="B38" s="101">
        <v>401722</v>
      </c>
      <c r="C38" s="68" t="s">
        <v>271</v>
      </c>
      <c r="D38" s="123">
        <v>45848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EINSTELLUNG!F14</f>
        <v>9</v>
      </c>
      <c r="R38" s="286"/>
      <c r="S38" s="286">
        <f>EINSTELLUNG!F30</f>
        <v>9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401723</v>
      </c>
      <c r="C39" s="68" t="s">
        <v>272</v>
      </c>
      <c r="D39" s="123">
        <v>45852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401726</v>
      </c>
      <c r="C40" s="68" t="s">
        <v>273</v>
      </c>
      <c r="D40" s="123">
        <v>45870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1.0340121048350408E-3</v>
      </c>
      <c r="R40" s="244"/>
      <c r="S40" s="244">
        <f>IF(Q13=0, 0, S35/Q13)</f>
        <v>1.0340121048350408E-3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401730</v>
      </c>
      <c r="C41" s="68" t="s">
        <v>275</v>
      </c>
      <c r="D41" s="123">
        <v>45895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1.0340121048350408E-3</v>
      </c>
      <c r="R41" s="286"/>
      <c r="S41" s="286">
        <f>IF(Q13=0, 0, S38/Q13)</f>
        <v>1.0340121048350408E-3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401731</v>
      </c>
      <c r="C42" s="68" t="s">
        <v>274</v>
      </c>
      <c r="D42" s="123">
        <v>45899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401734</v>
      </c>
      <c r="C43" s="70" t="s">
        <v>276</v>
      </c>
      <c r="D43" s="123">
        <v>45904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401736</v>
      </c>
      <c r="C44" s="68" t="s">
        <v>277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401737</v>
      </c>
      <c r="C45" s="68" t="s">
        <v>278</v>
      </c>
      <c r="D45" s="123">
        <v>45906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401738</v>
      </c>
      <c r="C46" s="68" t="s">
        <v>279</v>
      </c>
      <c r="D46" s="123">
        <v>45909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401745</v>
      </c>
      <c r="C47" s="68" t="s">
        <v>283</v>
      </c>
      <c r="D47" s="123">
        <v>45934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401748</v>
      </c>
      <c r="C48" s="68" t="s">
        <v>281</v>
      </c>
      <c r="D48" s="123">
        <v>45941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401751</v>
      </c>
      <c r="C49" s="68" t="s">
        <v>284</v>
      </c>
      <c r="D49" s="123">
        <v>45961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401752</v>
      </c>
      <c r="C50" s="68" t="s">
        <v>285</v>
      </c>
      <c r="D50" s="123">
        <v>45986</v>
      </c>
      <c r="E50" s="65" t="s">
        <v>2</v>
      </c>
      <c r="F50" s="67">
        <v>86.5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401999</v>
      </c>
      <c r="C51" s="68" t="s">
        <v>319</v>
      </c>
      <c r="D51" s="123">
        <v>46082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402000</v>
      </c>
      <c r="C52" s="68" t="s">
        <v>326</v>
      </c>
      <c r="D52" s="123">
        <v>46143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402004</v>
      </c>
      <c r="C53" s="68" t="s">
        <v>328</v>
      </c>
      <c r="D53" s="123">
        <v>46122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402405</v>
      </c>
      <c r="C54" s="68" t="s">
        <v>330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500600</v>
      </c>
      <c r="C55" s="68" t="s">
        <v>335</v>
      </c>
      <c r="D55" s="123">
        <v>46054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502000</v>
      </c>
      <c r="C56" s="68" t="s">
        <v>329</v>
      </c>
      <c r="D56" s="123">
        <v>46147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503000</v>
      </c>
      <c r="C57" s="68" t="s">
        <v>332</v>
      </c>
      <c r="D57" s="123">
        <v>42401</v>
      </c>
      <c r="E57" s="65" t="s">
        <v>2</v>
      </c>
      <c r="F57" s="67">
        <v>173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504000</v>
      </c>
      <c r="C58" s="68" t="s">
        <v>333</v>
      </c>
      <c r="D58" s="123">
        <v>46054</v>
      </c>
      <c r="E58" s="65" t="s">
        <v>3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2" t="s">
        <v>133</v>
      </c>
      <c r="B59" s="101">
        <v>505000</v>
      </c>
      <c r="C59" s="68" t="s">
        <v>334</v>
      </c>
      <c r="D59" s="123">
        <v>46054</v>
      </c>
      <c r="E59" s="65" t="s">
        <v>2</v>
      </c>
      <c r="F59" s="67">
        <v>138.4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700000</v>
      </c>
      <c r="C60" s="68" t="s">
        <v>347</v>
      </c>
      <c r="D60" s="123">
        <v>46054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>
        <v>800000</v>
      </c>
      <c r="C61" s="68" t="s">
        <v>348</v>
      </c>
      <c r="D61" s="123">
        <v>46082</v>
      </c>
      <c r="E61" s="65" t="s">
        <v>2</v>
      </c>
      <c r="F61" s="67">
        <v>173</v>
      </c>
      <c r="G61" s="116"/>
      <c r="H61" s="89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YSvojnG2o8skLwlqV3ypZXuT/c0Ayp93xS3CCuQsH6okzkVabV7MRzXkA/v+8dMdqoEpHHLd8WWS7JvznKI6Vw==" saltValue="pKK9f4XxJn+8+WcpGVYj+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E3:E82" xr:uid="{84995BEA-E394-433A-AA4E-2E93139E968F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14" activePane="bottomLeft" state="frozen"/>
      <selection activeCell="T24" sqref="T24"/>
      <selection pane="bottomLeft" activeCell="B3" sqref="B3:N82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10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46296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46326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853.1033625250767</v>
      </c>
      <c r="P5" s="15">
        <f>EINSTELLUNG!I15</f>
        <v>10</v>
      </c>
      <c r="Q5" s="14">
        <f>P5-O5</f>
        <v>-843.1033625250767</v>
      </c>
      <c r="R5" s="18">
        <f>IFERROR(Q5*Q42, 0)</f>
        <v>0</v>
      </c>
    </row>
    <row r="6" spans="1:28" ht="16" customHeight="1">
      <c r="A6" s="61" t="s">
        <v>55</v>
      </c>
      <c r="B6" s="101">
        <v>401047</v>
      </c>
      <c r="C6" s="68" t="s">
        <v>238</v>
      </c>
      <c r="D6" s="123">
        <v>41154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55.8</v>
      </c>
      <c r="I6" s="126">
        <v>46305</v>
      </c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 t="s">
        <v>205</v>
      </c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401049</v>
      </c>
      <c r="C7" s="68" t="s">
        <v>237</v>
      </c>
      <c r="D7" s="123">
        <v>41130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401051</v>
      </c>
      <c r="C8" s="68" t="s">
        <v>239</v>
      </c>
      <c r="D8" s="123">
        <v>41176</v>
      </c>
      <c r="E8" s="65" t="s">
        <v>4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8723.1</v>
      </c>
      <c r="R8" s="248"/>
    </row>
    <row r="9" spans="1:28" ht="16" customHeight="1">
      <c r="A9" s="62" t="s">
        <v>59</v>
      </c>
      <c r="B9" s="101">
        <v>401089</v>
      </c>
      <c r="C9" s="68" t="s">
        <v>253</v>
      </c>
      <c r="D9" s="123">
        <v>44868</v>
      </c>
      <c r="E9" s="65" t="s">
        <v>3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EINSTELLUNG!L31</f>
        <v>10</v>
      </c>
      <c r="R9" s="248"/>
      <c r="S9" s="19">
        <f>IFERROR(Q9/Q8, 0)</f>
        <v>1.1463814469626623E-3</v>
      </c>
    </row>
    <row r="10" spans="1:28" ht="16" customHeight="1">
      <c r="A10" s="61" t="s">
        <v>61</v>
      </c>
      <c r="B10" s="101">
        <v>401138</v>
      </c>
      <c r="C10" s="68" t="s">
        <v>240</v>
      </c>
      <c r="D10" s="123">
        <v>42006</v>
      </c>
      <c r="E10" s="65" t="s">
        <v>4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EINSTELLUNG!I31</f>
        <v>10</v>
      </c>
      <c r="R10" s="248"/>
    </row>
    <row r="11" spans="1:28" ht="16" customHeight="1">
      <c r="A11" s="61" t="s">
        <v>63</v>
      </c>
      <c r="B11" s="101">
        <v>401197</v>
      </c>
      <c r="C11" s="68" t="s">
        <v>241</v>
      </c>
      <c r="D11" s="123">
        <v>42644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10</v>
      </c>
      <c r="R11" s="248"/>
    </row>
    <row r="12" spans="1:28" ht="16" customHeight="1">
      <c r="A12" s="61" t="s">
        <v>65</v>
      </c>
      <c r="B12" s="101">
        <v>401214</v>
      </c>
      <c r="C12" s="68" t="s">
        <v>267</v>
      </c>
      <c r="D12" s="123">
        <v>45636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-121</v>
      </c>
      <c r="R12" s="282"/>
    </row>
    <row r="13" spans="1:28" ht="16" customHeight="1">
      <c r="A13" s="62" t="s">
        <v>67</v>
      </c>
      <c r="B13" s="101">
        <v>401276</v>
      </c>
      <c r="C13" s="68" t="s">
        <v>242</v>
      </c>
      <c r="D13" s="123">
        <v>43252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8814.1</v>
      </c>
      <c r="R13" s="248"/>
    </row>
    <row r="14" spans="1:28" ht="16" customHeight="1">
      <c r="A14" s="61" t="s">
        <v>69</v>
      </c>
      <c r="B14" s="101">
        <v>401307</v>
      </c>
      <c r="C14" s="68" t="s">
        <v>243</v>
      </c>
      <c r="D14" s="123">
        <v>43571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EINSTELLUNG!L15</f>
        <v>10</v>
      </c>
      <c r="R14" s="248"/>
    </row>
    <row r="15" spans="1:28" ht="16" customHeight="1">
      <c r="A15" s="61" t="s">
        <v>71</v>
      </c>
      <c r="B15" s="101">
        <v>401308</v>
      </c>
      <c r="C15" s="68" t="s">
        <v>244</v>
      </c>
      <c r="D15" s="123">
        <v>43579</v>
      </c>
      <c r="E15" s="65" t="s">
        <v>3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8804.1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401389</v>
      </c>
      <c r="C16" s="68" t="s">
        <v>246</v>
      </c>
      <c r="D16" s="123">
        <v>44384</v>
      </c>
      <c r="E16" s="65" t="s">
        <v>11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401394</v>
      </c>
      <c r="C17" s="68" t="s">
        <v>245</v>
      </c>
      <c r="D17" s="123">
        <v>44379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401432</v>
      </c>
      <c r="C18" s="68" t="s">
        <v>247</v>
      </c>
      <c r="D18" s="123">
        <v>44441</v>
      </c>
      <c r="E18" s="65" t="s">
        <v>2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401479</v>
      </c>
      <c r="C19" s="68" t="s">
        <v>250</v>
      </c>
      <c r="D19" s="123">
        <v>44511</v>
      </c>
      <c r="E19" s="65" t="s">
        <v>6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401481</v>
      </c>
      <c r="C20" s="68" t="s">
        <v>251</v>
      </c>
      <c r="D20" s="123">
        <v>44531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401564</v>
      </c>
      <c r="C21" s="68" t="s">
        <v>252</v>
      </c>
      <c r="D21" s="123">
        <v>44824</v>
      </c>
      <c r="E21" s="65" t="s">
        <v>2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401583</v>
      </c>
      <c r="C22" s="68" t="s">
        <v>254</v>
      </c>
      <c r="D22" s="123">
        <v>44900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401589</v>
      </c>
      <c r="C23" s="68" t="s">
        <v>255</v>
      </c>
      <c r="D23" s="123">
        <v>44926</v>
      </c>
      <c r="E23" s="65" t="s">
        <v>10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401602</v>
      </c>
      <c r="C24" s="68" t="s">
        <v>256</v>
      </c>
      <c r="D24" s="123">
        <v>45975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401605</v>
      </c>
      <c r="C25" s="68" t="s">
        <v>257</v>
      </c>
      <c r="D25" s="123">
        <v>44986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401626</v>
      </c>
      <c r="C26" s="68" t="s">
        <v>258</v>
      </c>
      <c r="D26" s="123">
        <v>45063</v>
      </c>
      <c r="E26" s="65" t="s">
        <v>2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401633</v>
      </c>
      <c r="C27" s="68" t="s">
        <v>259</v>
      </c>
      <c r="D27" s="123">
        <v>45089</v>
      </c>
      <c r="E27" s="65" t="s">
        <v>10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401647</v>
      </c>
      <c r="C28" s="68" t="s">
        <v>260</v>
      </c>
      <c r="D28" s="123">
        <v>45182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401661</v>
      </c>
      <c r="C29" s="68" t="s">
        <v>261</v>
      </c>
      <c r="D29" s="123">
        <v>45261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EINSTELLUNG!O15</f>
        <v>10</v>
      </c>
      <c r="R29" s="252"/>
    </row>
    <row r="30" spans="1:29" ht="16" customHeight="1">
      <c r="A30" s="61" t="s">
        <v>91</v>
      </c>
      <c r="B30" s="101">
        <v>401670</v>
      </c>
      <c r="C30" s="68" t="s">
        <v>262</v>
      </c>
      <c r="D30" s="123">
        <v>45358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401678</v>
      </c>
      <c r="C31" s="70" t="s">
        <v>263</v>
      </c>
      <c r="D31" s="123">
        <v>45414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1.6666666666666666E-2</v>
      </c>
      <c r="R31" s="271"/>
    </row>
    <row r="32" spans="1:29" ht="16" customHeight="1">
      <c r="A32" s="61" t="s">
        <v>94</v>
      </c>
      <c r="B32" s="101">
        <v>401690</v>
      </c>
      <c r="C32" s="68" t="s">
        <v>265</v>
      </c>
      <c r="D32" s="123">
        <v>45536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401703</v>
      </c>
      <c r="C33" s="68" t="s">
        <v>266</v>
      </c>
      <c r="D33" s="123">
        <v>45616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401715</v>
      </c>
      <c r="C34" s="68" t="s">
        <v>268</v>
      </c>
      <c r="D34" s="123">
        <v>45755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401716</v>
      </c>
      <c r="C35" s="68" t="s">
        <v>269</v>
      </c>
      <c r="D35" s="123">
        <v>45800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EINSTELLUNG!C15</f>
        <v>10</v>
      </c>
      <c r="R35" s="244"/>
      <c r="S35" s="244">
        <f>EINSTELLUNG!C31</f>
        <v>10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401717</v>
      </c>
      <c r="C36" s="68" t="s">
        <v>270</v>
      </c>
      <c r="D36" s="123">
        <v>45814</v>
      </c>
      <c r="E36" s="65" t="s">
        <v>2</v>
      </c>
      <c r="F36" s="67">
        <v>173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EINSTELLUNG!D15</f>
        <v>10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-10</v>
      </c>
      <c r="V36" s="245"/>
    </row>
    <row r="37" spans="1:24" ht="16" customHeight="1">
      <c r="A37" s="62" t="s">
        <v>104</v>
      </c>
      <c r="B37" s="101">
        <v>401722</v>
      </c>
      <c r="C37" s="68" t="s">
        <v>271</v>
      </c>
      <c r="D37" s="123">
        <v>45848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401723</v>
      </c>
      <c r="C38" s="68" t="s">
        <v>272</v>
      </c>
      <c r="D38" s="123">
        <v>45852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EINSTELLUNG!F15</f>
        <v>10</v>
      </c>
      <c r="R38" s="286"/>
      <c r="S38" s="286">
        <f>EINSTELLUNG!F31</f>
        <v>10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401726</v>
      </c>
      <c r="C39" s="68" t="s">
        <v>273</v>
      </c>
      <c r="D39" s="123">
        <v>45870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401730</v>
      </c>
      <c r="C40" s="68" t="s">
        <v>275</v>
      </c>
      <c r="D40" s="123">
        <v>45895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1.1345457845951374E-3</v>
      </c>
      <c r="R40" s="244"/>
      <c r="S40" s="244">
        <f>IF(Q13=0, 0, S35/Q13)</f>
        <v>1.1345457845951374E-3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401731</v>
      </c>
      <c r="C41" s="68" t="s">
        <v>274</v>
      </c>
      <c r="D41" s="123">
        <v>45899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1.1345457845951374E-3</v>
      </c>
      <c r="R41" s="286"/>
      <c r="S41" s="286">
        <f>IF(Q13=0, 0, S38/Q13)</f>
        <v>1.1345457845951374E-3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401734</v>
      </c>
      <c r="C42" s="68" t="s">
        <v>276</v>
      </c>
      <c r="D42" s="123">
        <v>45904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401736</v>
      </c>
      <c r="C43" s="70" t="s">
        <v>277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401737</v>
      </c>
      <c r="C44" s="68" t="s">
        <v>278</v>
      </c>
      <c r="D44" s="123">
        <v>45906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401738</v>
      </c>
      <c r="C45" s="68" t="s">
        <v>279</v>
      </c>
      <c r="D45" s="123">
        <v>45909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401745</v>
      </c>
      <c r="C46" s="68" t="s">
        <v>283</v>
      </c>
      <c r="D46" s="123">
        <v>45934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401748</v>
      </c>
      <c r="C47" s="68" t="s">
        <v>281</v>
      </c>
      <c r="D47" s="123">
        <v>45941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401751</v>
      </c>
      <c r="C48" s="68" t="s">
        <v>284</v>
      </c>
      <c r="D48" s="123">
        <v>45961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401752</v>
      </c>
      <c r="C49" s="68" t="s">
        <v>285</v>
      </c>
      <c r="D49" s="123">
        <v>45986</v>
      </c>
      <c r="E49" s="65" t="s">
        <v>2</v>
      </c>
      <c r="F49" s="67">
        <v>86.5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401999</v>
      </c>
      <c r="C50" s="68" t="s">
        <v>319</v>
      </c>
      <c r="D50" s="123">
        <v>46082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402000</v>
      </c>
      <c r="C51" s="68" t="s">
        <v>326</v>
      </c>
      <c r="D51" s="123">
        <v>46143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402004</v>
      </c>
      <c r="C52" s="68" t="s">
        <v>328</v>
      </c>
      <c r="D52" s="123">
        <v>46122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402405</v>
      </c>
      <c r="C53" s="68" t="s">
        <v>330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500600</v>
      </c>
      <c r="C54" s="68" t="s">
        <v>335</v>
      </c>
      <c r="D54" s="123">
        <v>46054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502000</v>
      </c>
      <c r="C55" s="68" t="s">
        <v>329</v>
      </c>
      <c r="D55" s="123">
        <v>46147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503000</v>
      </c>
      <c r="C56" s="68" t="s">
        <v>332</v>
      </c>
      <c r="D56" s="123">
        <v>42401</v>
      </c>
      <c r="E56" s="65" t="s">
        <v>2</v>
      </c>
      <c r="F56" s="67">
        <v>173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504000</v>
      </c>
      <c r="C57" s="68" t="s">
        <v>333</v>
      </c>
      <c r="D57" s="123">
        <v>46054</v>
      </c>
      <c r="E57" s="65" t="s">
        <v>3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505000</v>
      </c>
      <c r="C58" s="68" t="s">
        <v>334</v>
      </c>
      <c r="D58" s="123">
        <v>46054</v>
      </c>
      <c r="E58" s="65" t="s">
        <v>2</v>
      </c>
      <c r="F58" s="67">
        <v>138.4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>
        <v>700000</v>
      </c>
      <c r="C59" s="68" t="s">
        <v>347</v>
      </c>
      <c r="D59" s="123">
        <v>46054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>
        <v>800000</v>
      </c>
      <c r="C60" s="68" t="s">
        <v>348</v>
      </c>
      <c r="D60" s="123">
        <v>46082</v>
      </c>
      <c r="E60" s="65" t="s">
        <v>2</v>
      </c>
      <c r="F60" s="67">
        <v>173</v>
      </c>
      <c r="G60" s="116"/>
      <c r="H60" s="89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MzJuCiunD/2Btz/pTtJjuHEXSbjOY1HoSZ5IeMdzNs8kOAXa2vbmj6l+sNTIvEV0gaxJ6MmdUIy/bGw/TpfNaQ==" saltValue="aDXakhYpvOKBI1TrTJGgu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8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24:P24"/>
    <mergeCell ref="Q24:R24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O20:P20"/>
    <mergeCell ref="O19:P19"/>
    <mergeCell ref="O28:P28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E1:E2"/>
    <mergeCell ref="F1:F2"/>
    <mergeCell ref="G1:G2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  <mergeCell ref="C1:C2"/>
    <mergeCell ref="D1:D2"/>
  </mergeCells>
  <phoneticPr fontId="14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EBB326D2-A993-0B44-9055-7B732149F270}">
      <formula1>KV_DD_OKTOBER_3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list" allowBlank="1" showInputMessage="1" showErrorMessage="1" sqref="F61" xr:uid="{DFDEF5D5-A175-E44C-A136-E10E2C6AF3B8}">
      <formula1>KV_DD_OKTOBER_61</formula1>
    </dataValidation>
    <dataValidation type="list" allowBlank="1" showInputMessage="1" showErrorMessage="1" sqref="F62" xr:uid="{6C8530BE-D5EB-4825-B982-2F84F1B7ADD8}">
      <formula1>KV_DD_OKTOBER_62</formula1>
    </dataValidation>
    <dataValidation type="list" allowBlank="1" showInputMessage="1" showErrorMessage="1" sqref="F63" xr:uid="{5DE59C06-6BA7-446E-AA32-C54C32CB28C1}">
      <formula1>KV_DD_OKTOBER_63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E3:E82" xr:uid="{959CF507-C939-43D2-AF66-52A555E46499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11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46327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46356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836.40858047957613</v>
      </c>
      <c r="P5" s="15">
        <f>EINSTELLUNG!I16</f>
        <v>11</v>
      </c>
      <c r="Q5" s="14">
        <f>P5-O5</f>
        <v>-825.40858047957613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2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8551.9599999999991</v>
      </c>
      <c r="R8" s="248"/>
    </row>
    <row r="9" spans="1:28" ht="16" customHeight="1">
      <c r="A9" s="61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EINSTELLUNG!L32</f>
        <v>11</v>
      </c>
      <c r="R9" s="248"/>
      <c r="S9" s="19">
        <f>IFERROR(Q9/Q8, 0)</f>
        <v>1.2862548468421276E-3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EINSTELLUNG!I32</f>
        <v>11</v>
      </c>
      <c r="R10" s="248"/>
    </row>
    <row r="11" spans="1:28" ht="16" customHeight="1">
      <c r="A11" s="62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11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68</v>
      </c>
      <c r="P12" s="247"/>
      <c r="Q12" s="248">
        <f>Q8-Q9-Q10-Q11</f>
        <v>8518.9599999999991</v>
      </c>
      <c r="R12" s="248"/>
    </row>
    <row r="13" spans="1:28" ht="16" customHeight="1">
      <c r="A13" s="61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70</v>
      </c>
      <c r="P13" s="247"/>
      <c r="Q13" s="248">
        <f>EINSTELLUNG!L16</f>
        <v>11</v>
      </c>
      <c r="R13" s="248"/>
    </row>
    <row r="14" spans="1:28" ht="16" customHeight="1">
      <c r="A14" s="62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72</v>
      </c>
      <c r="P14" s="247"/>
      <c r="Q14" s="248">
        <f>Q12-Q13</f>
        <v>8507.9599999999991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349" t="str">
        <f>IF(Q14&lt;0, "Schlecht! Zu wenig Stunden für Dienstplan.", IF(Q14&gt;0, "Du hast mehr als genug Stunden für Dienstplan.", ""))</f>
        <v>Du hast mehr als genug Stunden für Dienstplan.</v>
      </c>
      <c r="P15" s="349"/>
      <c r="Q15" s="349"/>
      <c r="R15" s="349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2" t="s">
        <v>78</v>
      </c>
      <c r="B20" s="101">
        <v>401564</v>
      </c>
      <c r="C20" s="68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1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2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1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2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  <c r="S27" s="299" t="s">
        <v>87</v>
      </c>
      <c r="T27" s="300"/>
      <c r="U27" s="300"/>
      <c r="V27" s="300"/>
    </row>
    <row r="28" spans="1:29" ht="16" customHeight="1" thickBo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60"/>
      <c r="P28" s="261"/>
      <c r="Q28" s="262"/>
      <c r="R28" s="263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249" t="s">
        <v>90</v>
      </c>
      <c r="P29" s="250"/>
      <c r="Q29" s="251">
        <f>EINSTELLUNG!O16</f>
        <v>11</v>
      </c>
      <c r="R29" s="252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1.7857142857142856E-2</v>
      </c>
      <c r="R31" s="271"/>
    </row>
    <row r="32" spans="1:29" ht="16" customHeight="1">
      <c r="A32" s="62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1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2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EINSTELLUNG!C16</f>
        <v>11</v>
      </c>
      <c r="R35" s="244"/>
      <c r="S35" s="244">
        <f>EINSTELLUNG!C32</f>
        <v>11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EINSTELLUNG!D16</f>
        <v>11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-11</v>
      </c>
      <c r="V36" s="245"/>
    </row>
    <row r="37" spans="1:24" ht="16" customHeight="1">
      <c r="A37" s="61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2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EINSTELLUNG!F16</f>
        <v>11</v>
      </c>
      <c r="R38" s="286"/>
      <c r="S38" s="286">
        <f>EINSTELLUNG!F32</f>
        <v>11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IF(Q12=0, 0, Q35/Q12)</f>
        <v>1.2912374280428598E-3</v>
      </c>
      <c r="R40" s="244"/>
      <c r="S40" s="244">
        <f>IF(Q12=0, 0, S35/Q12)</f>
        <v>1.2912374280428598E-3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IF(Q12=0, 0, Q38/Q12)</f>
        <v>1.2912374280428598E-3</v>
      </c>
      <c r="R41" s="286"/>
      <c r="S41" s="286">
        <f>IF(Q12=0, 0, S38/Q12)</f>
        <v>1.2912374280428598E-3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401737</v>
      </c>
      <c r="C43" s="70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2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1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2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1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2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2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1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700000</v>
      </c>
      <c r="C58" s="68" t="s">
        <v>347</v>
      </c>
      <c r="D58" s="123">
        <v>46054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57.66</v>
      </c>
      <c r="I58" s="126">
        <v>46336</v>
      </c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 t="s">
        <v>205</v>
      </c>
    </row>
    <row r="59" spans="1:14" ht="16" customHeight="1">
      <c r="A59" s="62" t="s">
        <v>133</v>
      </c>
      <c r="B59" s="101">
        <v>800000</v>
      </c>
      <c r="C59" s="68" t="s">
        <v>348</v>
      </c>
      <c r="D59" s="123">
        <v>46082</v>
      </c>
      <c r="E59" s="65" t="s">
        <v>2</v>
      </c>
      <c r="F59" s="67">
        <v>173</v>
      </c>
      <c r="G59" s="116"/>
      <c r="H59" s="89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1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2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2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1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2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1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2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2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1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WukKImlBTioZuyybDnKn1ieRHW2BVWtnW3PtfGrpE71acLqHyxudvzziHviiYhDU6ratZ57DdM95HYNtjQDtAw==" saltValue="5Hj/pMpVaOj7POoW6zbyw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6">
    <mergeCell ref="S40:T40"/>
    <mergeCell ref="U40:V40"/>
    <mergeCell ref="S41:T41"/>
    <mergeCell ref="U41:V41"/>
    <mergeCell ref="Q42:V42"/>
    <mergeCell ref="Q40:R40"/>
    <mergeCell ref="Q41:R41"/>
    <mergeCell ref="S27:V27"/>
    <mergeCell ref="O37:P37"/>
    <mergeCell ref="Q37:R37"/>
    <mergeCell ref="S37:T37"/>
    <mergeCell ref="U37:V37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O27:P27"/>
    <mergeCell ref="S38:T38"/>
    <mergeCell ref="U38:V38"/>
    <mergeCell ref="S39:T39"/>
    <mergeCell ref="U39:V39"/>
    <mergeCell ref="Q39:R39"/>
    <mergeCell ref="Q28:R28"/>
    <mergeCell ref="O29:P29"/>
    <mergeCell ref="Q29:R29"/>
    <mergeCell ref="O38:P38"/>
    <mergeCell ref="Q38:R38"/>
    <mergeCell ref="Q19:R19"/>
    <mergeCell ref="O31:P31"/>
    <mergeCell ref="Q31:R31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0:R20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5:R15"/>
    <mergeCell ref="O17:P17"/>
    <mergeCell ref="Q17:R17"/>
    <mergeCell ref="O18:P18"/>
    <mergeCell ref="Q18:R1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  <mergeCell ref="O8:P8"/>
    <mergeCell ref="Q8:R8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list" allowBlank="1" showInputMessage="1" showErrorMessage="1" sqref="F60" xr:uid="{47952892-4AFA-0B47-9D42-CC8EE620E929}">
      <formula1>KV_DD_NOVEMBER_60</formula1>
    </dataValidation>
    <dataValidation type="list" allowBlank="1" showInputMessage="1" showErrorMessage="1" sqref="F61" xr:uid="{2C730243-BD43-944D-91D2-B1EB14E24247}">
      <formula1>KV_DD_NOVEMBER_61</formula1>
    </dataValidation>
    <dataValidation type="list" allowBlank="1" showInputMessage="1" showErrorMessage="1" sqref="F62" xr:uid="{64E0E7BA-47A0-48AA-99DB-BFECAE248678}">
      <formula1>KV_DD_NOVEMBER_62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E3:E82" xr:uid="{559AE278-6AAE-4EA3-8BA1-1B3FF1E5D66C}">
      <formula1>#REF!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/>
    </sheetView>
  </sheetViews>
  <sheetFormatPr baseColWidth="10" defaultColWidth="9.1640625" defaultRowHeight="16" customHeight="1"/>
  <cols>
    <col min="1" max="1" width="3.83203125" style="9" customWidth="1"/>
    <col min="2" max="2" width="9.1640625" style="9" customWidth="1"/>
    <col min="3" max="3" width="35.6640625" style="1" customWidth="1"/>
    <col min="4" max="4" width="10.83203125" style="1" customWidth="1"/>
    <col min="5" max="5" width="9.6640625" style="1" customWidth="1"/>
    <col min="6" max="6" width="10.6640625" style="1" customWidth="1"/>
    <col min="7" max="7" width="13.6640625" style="1" customWidth="1"/>
    <col min="8" max="8" width="11.6640625" style="1" customWidth="1"/>
    <col min="9" max="9" width="10.83203125" style="1" customWidth="1"/>
    <col min="10" max="10" width="13.6640625" style="1" customWidth="1"/>
    <col min="11" max="11" width="14.6640625" style="1" customWidth="1"/>
    <col min="12" max="12" width="12.6640625" style="12" customWidth="1"/>
    <col min="13" max="13" width="17.83203125" style="1" customWidth="1"/>
    <col min="14" max="14" width="30.83203125" style="1" customWidth="1"/>
    <col min="15" max="15" width="12.6640625" style="1" customWidth="1"/>
    <col min="16" max="16" width="16.6640625" style="1" customWidth="1"/>
    <col min="17" max="17" width="14.6640625" style="1" customWidth="1"/>
    <col min="18" max="18" width="13.6640625" style="1" customWidth="1"/>
    <col min="19" max="19" width="9.6640625" style="1" customWidth="1"/>
    <col min="20" max="20" width="10.6640625" style="1" customWidth="1"/>
    <col min="21" max="21" width="7.6640625" style="1" customWidth="1"/>
    <col min="22" max="27" width="9.1640625" style="1"/>
    <col min="28" max="28" width="10.6640625" style="1" bestFit="1" customWidth="1"/>
    <col min="29" max="16384" width="9.1640625" style="1"/>
  </cols>
  <sheetData>
    <row r="1" spans="1:28" ht="16" customHeight="1">
      <c r="A1" s="59">
        <v>12</v>
      </c>
      <c r="B1" s="216" t="s">
        <v>191</v>
      </c>
      <c r="C1" s="226" t="s">
        <v>40</v>
      </c>
      <c r="D1" s="224" t="s">
        <v>192</v>
      </c>
      <c r="E1" s="224" t="s">
        <v>0</v>
      </c>
      <c r="F1" s="224" t="s">
        <v>41</v>
      </c>
      <c r="G1" s="228" t="s">
        <v>42</v>
      </c>
      <c r="H1" s="230" t="s">
        <v>43</v>
      </c>
      <c r="I1" s="232" t="s">
        <v>193</v>
      </c>
      <c r="J1" s="234" t="s">
        <v>44</v>
      </c>
      <c r="K1" s="236" t="s">
        <v>45</v>
      </c>
      <c r="L1" s="238" t="s">
        <v>46</v>
      </c>
      <c r="M1" s="222" t="s">
        <v>47</v>
      </c>
      <c r="N1" s="217" t="s">
        <v>194</v>
      </c>
      <c r="AB1" s="8">
        <f>DATE(EINSTELLUNG!$C$35,$A$1,1)</f>
        <v>46357</v>
      </c>
    </row>
    <row r="2" spans="1:28" ht="16" customHeight="1" thickBot="1">
      <c r="A2" s="60"/>
      <c r="B2" s="216"/>
      <c r="C2" s="227"/>
      <c r="D2" s="225"/>
      <c r="E2" s="225"/>
      <c r="F2" s="225"/>
      <c r="G2" s="229"/>
      <c r="H2" s="231"/>
      <c r="I2" s="233"/>
      <c r="J2" s="235"/>
      <c r="K2" s="237"/>
      <c r="L2" s="239"/>
      <c r="M2" s="223"/>
      <c r="N2" s="217"/>
      <c r="AB2" s="8">
        <f>EOMONTH(DATE(EINSTELLUNG!$C$35,$A$1,1),0)</f>
        <v>46387</v>
      </c>
    </row>
    <row r="3" spans="1:28" ht="16" customHeight="1">
      <c r="A3" s="61" t="s">
        <v>48</v>
      </c>
      <c r="B3" s="100">
        <v>55</v>
      </c>
      <c r="C3" s="97" t="s">
        <v>331</v>
      </c>
      <c r="D3" s="122">
        <v>46054</v>
      </c>
      <c r="E3" s="73" t="s">
        <v>2</v>
      </c>
      <c r="F3" s="98">
        <v>173</v>
      </c>
      <c r="G3" s="115"/>
      <c r="H3" s="88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25"/>
      <c r="J3" s="75"/>
      <c r="K3" s="91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04">
        <f>IFERROR(IF(OR(ISBLANK(D3),ISBLANK(F3),ISBLANK(G3),ISBLANK(K3)),0,IF(YEAR(D3)&lt;#REF!,IF(ISNUMBER(I3),IF(YEAR(I3)&lt;#REF!,0,IF(OR(YEAR(I3)&gt;#REF!,MONTH(I3)&gt;$A$1),G3,IF(MONTH(I3)&lt;$A$1,0,(G3/DAY(EOMONTH(DATE(#REF!,$A$1,1),0)))*DAY(I3)+K3))),G3+K3),IF(YEAR(D3)=#REF!,IF(MONTH(D3)&lt;$A$1,IF(ISNUMBER(I3),IF(YEAR(I3)&lt;#REF!,0,IF(OR(YEAR(I3)&gt;#REF!,MONTH(I3)&gt;$A$1),G3,IF(MONTH(I3)&lt;$A$1,0,(G3/DAY(EOMONTH(DATE(#REF!,$A$1,1),0)))*DAY(I3)+K3))),G3),IF(MONTH(D3)=$A$1,IF(ISNUMBER(I3),IF(OR(YEAR(I3)&gt;#REF!,MONTH(I3)&gt;$A$1),G3,(G3/DAY(EOMONTH(D3,0)))*(I3-D3+1)+K3),(G3/DAY(EOMONTH(D3,0)))*(DAY(EOMONTH(D3,0))-DAY(D3)+1)+K3),0)),0))),0)</f>
        <v>0</v>
      </c>
      <c r="M3" s="94"/>
      <c r="N3" s="77"/>
      <c r="O3" s="296" t="s">
        <v>49</v>
      </c>
      <c r="P3" s="296" t="s">
        <v>50</v>
      </c>
      <c r="Q3" s="294" t="s">
        <v>51</v>
      </c>
      <c r="R3" s="240" t="s">
        <v>52</v>
      </c>
      <c r="AB3" s="10"/>
    </row>
    <row r="4" spans="1:28" ht="16" customHeight="1">
      <c r="A4" s="61" t="s">
        <v>53</v>
      </c>
      <c r="B4" s="101">
        <v>401006</v>
      </c>
      <c r="C4" s="68" t="s">
        <v>235</v>
      </c>
      <c r="D4" s="123">
        <v>38188</v>
      </c>
      <c r="E4" s="65" t="s">
        <v>13</v>
      </c>
      <c r="F4" s="67">
        <v>173</v>
      </c>
      <c r="G4" s="116"/>
      <c r="H4" s="89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26"/>
      <c r="J4" s="66"/>
      <c r="K4" s="92">
        <f t="shared" si="0"/>
        <v>0</v>
      </c>
      <c r="L4" s="103">
        <f>IFERROR(IF(OR(ISBLANK(D4),ISBLANK(F4),ISBLANK(G4),ISBLANK(K4)),0,IF(YEAR(D4)&lt;#REF!,IF(ISNUMBER(I4),IF(YEAR(I4)&lt;#REF!,0,IF(OR(YEAR(I4)&gt;#REF!,MONTH(I4)&gt;$A$1),G4,IF(MONTH(I4)&lt;$A$1,0,(G4/DAY(EOMONTH(DATE(#REF!,$A$1,1),0)))*DAY(I4)+K4))),G4+K4),IF(YEAR(D4)=#REF!,IF(MONTH(D4)&lt;$A$1,IF(ISNUMBER(I4),IF(YEAR(I4)&lt;#REF!,0,IF(OR(YEAR(I4)&gt;#REF!,MONTH(I4)&gt;$A$1),G4,IF(MONTH(I4)&lt;$A$1,0,(G4/DAY(EOMONTH(DATE(#REF!,$A$1,1),0)))*DAY(I4)+K4))),G4),IF(MONTH(D4)=$A$1,IF(ISNUMBER(I4),IF(OR(YEAR(I4)&gt;#REF!,MONTH(I4)&gt;$A$1),G4,(G4/DAY(EOMONTH(D4,0)))*(I4-D4+1)+K4),(G4/DAY(EOMONTH(D4,0)))*(DAY(EOMONTH(D4,0))-DAY(D4)+1)+K4),0)),0))),0)</f>
        <v>0</v>
      </c>
      <c r="M4" s="95"/>
      <c r="N4" s="78"/>
      <c r="O4" s="297"/>
      <c r="P4" s="297"/>
      <c r="Q4" s="295"/>
      <c r="R4" s="241"/>
    </row>
    <row r="5" spans="1:28" ht="16" customHeight="1">
      <c r="A5" s="62" t="s">
        <v>54</v>
      </c>
      <c r="B5" s="101">
        <v>401010</v>
      </c>
      <c r="C5" s="68" t="s">
        <v>236</v>
      </c>
      <c r="D5" s="123">
        <v>39388</v>
      </c>
      <c r="E5" s="65" t="s">
        <v>5</v>
      </c>
      <c r="F5" s="67">
        <v>173</v>
      </c>
      <c r="G5" s="116"/>
      <c r="H5" s="89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126"/>
      <c r="J5" s="66"/>
      <c r="K5" s="92">
        <f t="shared" si="0"/>
        <v>0</v>
      </c>
      <c r="L5" s="103">
        <f>IFERROR(IF(OR(ISBLANK(D5),ISBLANK(F5),ISBLANK(G5),ISBLANK(K5)),0,IF(YEAR(D5)&lt;#REF!,IF(ISNUMBER(I5),IF(YEAR(I5)&lt;#REF!,0,IF(OR(YEAR(I5)&gt;#REF!,MONTH(I5)&gt;$A$1),G5,IF(MONTH(I5)&lt;$A$1,0,(G5/DAY(EOMONTH(DATE(#REF!,$A$1,1),0)))*DAY(I5)+K5))),G5+K5),IF(YEAR(D5)=#REF!,IF(MONTH(D5)&lt;$A$1,IF(ISNUMBER(I5),IF(YEAR(I5)&lt;#REF!,0,IF(OR(YEAR(I5)&gt;#REF!,MONTH(I5)&gt;$A$1),G5,IF(MONTH(I5)&lt;$A$1,0,(G5/DAY(EOMONTH(DATE(#REF!,$A$1,1),0)))*DAY(I5)+K5))),G5),IF(MONTH(D5)=$A$1,IF(ISNUMBER(I5),IF(OR(YEAR(I5)&gt;#REF!,MONTH(I5)&gt;$A$1),G5,(G5/DAY(EOMONTH(D5,0)))*(I5-D5+1)+K5),(G5/DAY(EOMONTH(D5,0)))*(DAY(EOMONTH(D5,0))-DAY(D5)+1)+K5),0)),0))),0)</f>
        <v>0</v>
      </c>
      <c r="M5" s="95"/>
      <c r="N5" s="78"/>
      <c r="O5" s="76" cm="1">
        <f t="array" ref="O5">SUMPRODUCT((F3:F82/4.310808)/5*2.08)</f>
        <v>819.71379843407556</v>
      </c>
      <c r="P5" s="15">
        <f>EINSTELLUNG!I17</f>
        <v>12</v>
      </c>
      <c r="Q5" s="14">
        <f>P5-O5</f>
        <v>-807.71379843407556</v>
      </c>
      <c r="R5" s="18">
        <f>IFERROR(Q5*Q42, 0)</f>
        <v>0</v>
      </c>
    </row>
    <row r="6" spans="1:28" ht="16" customHeight="1">
      <c r="A6" s="61" t="s">
        <v>55</v>
      </c>
      <c r="B6" s="101">
        <v>401049</v>
      </c>
      <c r="C6" s="68" t="s">
        <v>237</v>
      </c>
      <c r="D6" s="123">
        <v>41130</v>
      </c>
      <c r="E6" s="65" t="s">
        <v>4</v>
      </c>
      <c r="F6" s="67">
        <v>173</v>
      </c>
      <c r="G6" s="116"/>
      <c r="H6" s="89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26"/>
      <c r="J6" s="66"/>
      <c r="K6" s="92">
        <f t="shared" si="0"/>
        <v>0</v>
      </c>
      <c r="L6" s="103">
        <f>IFERROR(IF(OR(ISBLANK(D6),ISBLANK(F6),ISBLANK(G6),ISBLANK(K6)),0,IF(YEAR(D6)&lt;#REF!,IF(ISNUMBER(I6),IF(YEAR(I6)&lt;#REF!,0,IF(OR(YEAR(I6)&gt;#REF!,MONTH(I6)&gt;$A$1),G6,IF(MONTH(I6)&lt;$A$1,0,(G6/DAY(EOMONTH(DATE(#REF!,$A$1,1),0)))*DAY(I6)+K6))),G6+K6),IF(YEAR(D6)=#REF!,IF(MONTH(D6)&lt;$A$1,IF(ISNUMBER(I6),IF(YEAR(I6)&lt;#REF!,0,IF(OR(YEAR(I6)&gt;#REF!,MONTH(I6)&gt;$A$1),G6,IF(MONTH(I6)&lt;$A$1,0,(G6/DAY(EOMONTH(DATE(#REF!,$A$1,1),0)))*DAY(I6)+K6))),G6),IF(MONTH(D6)=$A$1,IF(ISNUMBER(I6),IF(OR(YEAR(I6)&gt;#REF!,MONTH(I6)&gt;$A$1),G6,(G6/DAY(EOMONTH(D6,0)))*(I6-D6+1)+K6),(G6/DAY(EOMONTH(D6,0)))*(DAY(EOMONTH(D6,0))-DAY(D6)+1)+K6),0)),0))),0)</f>
        <v>0</v>
      </c>
      <c r="M6" s="95"/>
      <c r="N6" s="78"/>
      <c r="O6" s="291" t="str">
        <f>IF(Q5&lt;0, "Schlecht! Zu wenig Urlaub abgebaut.", IF(Q5&gt;0, "Gut! Mehr Urlaub abgebaut als aufgebaut.", ""))</f>
        <v>Schlecht! Zu wenig Urlaub abgebaut.</v>
      </c>
      <c r="P6" s="292"/>
      <c r="Q6" s="292"/>
      <c r="R6" s="293"/>
    </row>
    <row r="7" spans="1:28" ht="16" customHeight="1">
      <c r="A7" s="61" t="s">
        <v>56</v>
      </c>
      <c r="B7" s="101">
        <v>401051</v>
      </c>
      <c r="C7" s="68" t="s">
        <v>239</v>
      </c>
      <c r="D7" s="123">
        <v>41176</v>
      </c>
      <c r="E7" s="65" t="s">
        <v>4</v>
      </c>
      <c r="F7" s="67">
        <v>173</v>
      </c>
      <c r="G7" s="116"/>
      <c r="H7" s="89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126"/>
      <c r="J7" s="66"/>
      <c r="K7" s="92">
        <f t="shared" si="0"/>
        <v>0</v>
      </c>
      <c r="L7" s="103">
        <f>IFERROR(IF(OR(ISBLANK(D7),ISBLANK(F7),ISBLANK(G7),ISBLANK(K7)),0,IF(YEAR(D7)&lt;#REF!,IF(ISNUMBER(I7),IF(YEAR(I7)&lt;#REF!,0,IF(OR(YEAR(I7)&gt;#REF!,MONTH(I7)&gt;$A$1),G7,IF(MONTH(I7)&lt;$A$1,0,(G7/DAY(EOMONTH(DATE(#REF!,$A$1,1),0)))*DAY(I7)+K7))),G7+K7),IF(YEAR(D7)=#REF!,IF(MONTH(D7)&lt;$A$1,IF(ISNUMBER(I7),IF(YEAR(I7)&lt;#REF!,0,IF(OR(YEAR(I7)&gt;#REF!,MONTH(I7)&gt;$A$1),G7,IF(MONTH(I7)&lt;$A$1,0,(G7/DAY(EOMONTH(DATE(#REF!,$A$1,1),0)))*DAY(I7)+K7))),G7),IF(MONTH(D7)=$A$1,IF(ISNUMBER(I7),IF(OR(YEAR(I7)&gt;#REF!,MONTH(I7)&gt;$A$1),G7,(G7/DAY(EOMONTH(D7,0)))*(I7-D7+1)+K7),(G7/DAY(EOMONTH(D7,0)))*(DAY(EOMONTH(D7,0))-DAY(D7)+1)+K7),0)),0))),0)</f>
        <v>0</v>
      </c>
      <c r="M7" s="95"/>
      <c r="N7" s="78"/>
    </row>
    <row r="8" spans="1:28" ht="16" customHeight="1">
      <c r="A8" s="61" t="s">
        <v>57</v>
      </c>
      <c r="B8" s="101">
        <v>401089</v>
      </c>
      <c r="C8" s="68" t="s">
        <v>253</v>
      </c>
      <c r="D8" s="123">
        <v>44868</v>
      </c>
      <c r="E8" s="65" t="s">
        <v>3</v>
      </c>
      <c r="F8" s="67">
        <v>173</v>
      </c>
      <c r="G8" s="116"/>
      <c r="H8" s="89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26"/>
      <c r="J8" s="66"/>
      <c r="K8" s="92">
        <f t="shared" si="0"/>
        <v>0</v>
      </c>
      <c r="L8" s="103">
        <f>IFERROR(IF(OR(ISBLANK(D8),ISBLANK(F8),ISBLANK(G8),ISBLANK(K8)),0,IF(YEAR(D8)&lt;#REF!,IF(ISNUMBER(I8),IF(YEAR(I8)&lt;#REF!,0,IF(OR(YEAR(I8)&gt;#REF!,MONTH(I8)&gt;$A$1),G8,IF(MONTH(I8)&lt;$A$1,0,(G8/DAY(EOMONTH(DATE(#REF!,$A$1,1),0)))*DAY(I8)+K8))),G8+K8),IF(YEAR(D8)=#REF!,IF(MONTH(D8)&lt;$A$1,IF(ISNUMBER(I8),IF(YEAR(I8)&lt;#REF!,0,IF(OR(YEAR(I8)&gt;#REF!,MONTH(I8)&gt;$A$1),G8,IF(MONTH(I8)&lt;$A$1,0,(G8/DAY(EOMONTH(DATE(#REF!,$A$1,1),0)))*DAY(I8)+K8))),G8),IF(MONTH(D8)=$A$1,IF(ISNUMBER(I8),IF(OR(YEAR(I8)&gt;#REF!,MONTH(I8)&gt;$A$1),G8,(G8/DAY(EOMONTH(D8,0)))*(I8-D8+1)+K8),(G8/DAY(EOMONTH(D8,0)))*(DAY(EOMONTH(D8,0))-DAY(D8)+1)+K8),0)),0))),0)</f>
        <v>0</v>
      </c>
      <c r="M8" s="95"/>
      <c r="N8" s="78"/>
      <c r="O8" s="246" t="s">
        <v>58</v>
      </c>
      <c r="P8" s="247"/>
      <c r="Q8" s="248">
        <f>SUM(H3:H82)</f>
        <v>8494.2999999999993</v>
      </c>
      <c r="R8" s="248"/>
    </row>
    <row r="9" spans="1:28" ht="16" customHeight="1">
      <c r="A9" s="62" t="s">
        <v>59</v>
      </c>
      <c r="B9" s="101">
        <v>401138</v>
      </c>
      <c r="C9" s="68" t="s">
        <v>240</v>
      </c>
      <c r="D9" s="123">
        <v>42006</v>
      </c>
      <c r="E9" s="65" t="s">
        <v>4</v>
      </c>
      <c r="F9" s="67">
        <v>173</v>
      </c>
      <c r="G9" s="116"/>
      <c r="H9" s="89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126"/>
      <c r="J9" s="66"/>
      <c r="K9" s="92">
        <f t="shared" si="0"/>
        <v>0</v>
      </c>
      <c r="L9" s="103">
        <f>IFERROR(IF(OR(ISBLANK(D9),ISBLANK(F9),ISBLANK(G9),ISBLANK(K9)),0,IF(YEAR(D9)&lt;#REF!,IF(ISNUMBER(I9),IF(YEAR(I9)&lt;#REF!,0,IF(OR(YEAR(I9)&gt;#REF!,MONTH(I9)&gt;$A$1),G9,IF(MONTH(I9)&lt;$A$1,0,(G9/DAY(EOMONTH(DATE(#REF!,$A$1,1),0)))*DAY(I9)+K9))),G9+K9),IF(YEAR(D9)=#REF!,IF(MONTH(D9)&lt;$A$1,IF(ISNUMBER(I9),IF(YEAR(I9)&lt;#REF!,0,IF(OR(YEAR(I9)&gt;#REF!,MONTH(I9)&gt;$A$1),G9,IF(MONTH(I9)&lt;$A$1,0,(G9/DAY(EOMONTH(DATE(#REF!,$A$1,1),0)))*DAY(I9)+K9))),G9),IF(MONTH(D9)=$A$1,IF(ISNUMBER(I9),IF(OR(YEAR(I9)&gt;#REF!,MONTH(I9)&gt;$A$1),G9,(G9/DAY(EOMONTH(D9,0)))*(I9-D9+1)+K9),(G9/DAY(EOMONTH(D9,0)))*(DAY(EOMONTH(D9,0))-DAY(D9)+1)+K9),0)),0))),0)</f>
        <v>0</v>
      </c>
      <c r="M9" s="95"/>
      <c r="N9" s="78"/>
      <c r="O9" s="246" t="s">
        <v>60</v>
      </c>
      <c r="P9" s="247"/>
      <c r="Q9" s="248">
        <f>EINSTELLUNG!L33</f>
        <v>12</v>
      </c>
      <c r="R9" s="248"/>
      <c r="S9" s="19">
        <f>IFERROR(Q9/Q8, 0)</f>
        <v>1.4127120539656006E-3</v>
      </c>
    </row>
    <row r="10" spans="1:28" ht="16" customHeight="1">
      <c r="A10" s="61" t="s">
        <v>61</v>
      </c>
      <c r="B10" s="101">
        <v>401197</v>
      </c>
      <c r="C10" s="68" t="s">
        <v>241</v>
      </c>
      <c r="D10" s="123">
        <v>42644</v>
      </c>
      <c r="E10" s="65" t="s">
        <v>3</v>
      </c>
      <c r="F10" s="67">
        <v>173</v>
      </c>
      <c r="G10" s="116"/>
      <c r="H10" s="89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26"/>
      <c r="J10" s="66"/>
      <c r="K10" s="92">
        <f t="shared" si="0"/>
        <v>0</v>
      </c>
      <c r="L10" s="103">
        <f>IFERROR(IF(OR(ISBLANK(D10),ISBLANK(F10),ISBLANK(G10),ISBLANK(K10)),0,IF(YEAR(D10)&lt;#REF!,IF(ISNUMBER(I10),IF(YEAR(I10)&lt;#REF!,0,IF(OR(YEAR(I10)&gt;#REF!,MONTH(I10)&gt;$A$1),G10,IF(MONTH(I10)&lt;$A$1,0,(G10/DAY(EOMONTH(DATE(#REF!,$A$1,1),0)))*DAY(I10)+K10))),G10+K10),IF(YEAR(D10)=#REF!,IF(MONTH(D10)&lt;$A$1,IF(ISNUMBER(I10),IF(YEAR(I10)&lt;#REF!,0,IF(OR(YEAR(I10)&gt;#REF!,MONTH(I10)&gt;$A$1),G10,IF(MONTH(I10)&lt;$A$1,0,(G10/DAY(EOMONTH(DATE(#REF!,$A$1,1),0)))*DAY(I10)+K10))),G10),IF(MONTH(D10)=$A$1,IF(ISNUMBER(I10),IF(OR(YEAR(I10)&gt;#REF!,MONTH(I10)&gt;$A$1),G10,(G10/DAY(EOMONTH(D10,0)))*(I10-D10+1)+K10),(G10/DAY(EOMONTH(D10,0)))*(DAY(EOMONTH(D10,0))-DAY(D10)+1)+K10),0)),0))),0)</f>
        <v>0</v>
      </c>
      <c r="M10" s="95"/>
      <c r="N10" s="78"/>
      <c r="O10" s="246" t="s">
        <v>62</v>
      </c>
      <c r="P10" s="247"/>
      <c r="Q10" s="248">
        <f>EINSTELLUNG!I33</f>
        <v>12</v>
      </c>
      <c r="R10" s="248"/>
    </row>
    <row r="11" spans="1:28" ht="16" customHeight="1">
      <c r="A11" s="61" t="s">
        <v>63</v>
      </c>
      <c r="B11" s="101">
        <v>401214</v>
      </c>
      <c r="C11" s="68" t="s">
        <v>267</v>
      </c>
      <c r="D11" s="123">
        <v>45636</v>
      </c>
      <c r="E11" s="65" t="s">
        <v>3</v>
      </c>
      <c r="F11" s="67">
        <v>173</v>
      </c>
      <c r="G11" s="116"/>
      <c r="H11" s="89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126"/>
      <c r="J11" s="66"/>
      <c r="K11" s="92">
        <f t="shared" si="0"/>
        <v>0</v>
      </c>
      <c r="L11" s="103">
        <f>IFERROR(IF(OR(ISBLANK(D11),ISBLANK(F11),ISBLANK(G11),ISBLANK(K11)),0,IF(YEAR(D11)&lt;#REF!,IF(ISNUMBER(I11),IF(YEAR(I11)&lt;#REF!,0,IF(OR(YEAR(I11)&gt;#REF!,MONTH(I11)&gt;$A$1),G11,IF(MONTH(I11)&lt;$A$1,0,(G11/DAY(EOMONTH(DATE(#REF!,$A$1,1),0)))*DAY(I11)+K11))),G11+K11),IF(YEAR(D11)=#REF!,IF(MONTH(D11)&lt;$A$1,IF(ISNUMBER(I11),IF(YEAR(I11)&lt;#REF!,0,IF(OR(YEAR(I11)&gt;#REF!,MONTH(I11)&gt;$A$1),G11,IF(MONTH(I11)&lt;$A$1,0,(G11/DAY(EOMONTH(DATE(#REF!,$A$1,1),0)))*DAY(I11)+K11))),G11),IF(MONTH(D11)=$A$1,IF(ISNUMBER(I11),IF(OR(YEAR(I11)&gt;#REF!,MONTH(I11)&gt;$A$1),G11,(G11/DAY(EOMONTH(D11,0)))*(I11-D11+1)+K11),(G11/DAY(EOMONTH(D11,0)))*(DAY(EOMONTH(D11,0))-DAY(D11)+1)+K11),0)),0))),0)</f>
        <v>0</v>
      </c>
      <c r="M11" s="95"/>
      <c r="N11" s="78"/>
      <c r="O11" s="246" t="s">
        <v>64</v>
      </c>
      <c r="P11" s="247"/>
      <c r="Q11" s="248">
        <f>P5</f>
        <v>12</v>
      </c>
      <c r="R11" s="248"/>
    </row>
    <row r="12" spans="1:28" ht="16" customHeight="1">
      <c r="A12" s="61" t="s">
        <v>65</v>
      </c>
      <c r="B12" s="101">
        <v>401276</v>
      </c>
      <c r="C12" s="68" t="s">
        <v>242</v>
      </c>
      <c r="D12" s="123">
        <v>43252</v>
      </c>
      <c r="E12" s="65" t="s">
        <v>3</v>
      </c>
      <c r="F12" s="67">
        <v>173</v>
      </c>
      <c r="G12" s="116"/>
      <c r="H12" s="89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26"/>
      <c r="J12" s="66"/>
      <c r="K12" s="92">
        <f t="shared" si="0"/>
        <v>0</v>
      </c>
      <c r="L12" s="103">
        <f>IFERROR(IF(OR(ISBLANK(D12),ISBLANK(F12),ISBLANK(G12),ISBLANK(K12)),0,IF(YEAR(D12)&lt;#REF!,IF(ISNUMBER(I12),IF(YEAR(I12)&lt;#REF!,0,IF(OR(YEAR(I12)&gt;#REF!,MONTH(I12)&gt;$A$1),G12,IF(MONTH(I12)&lt;$A$1,0,(G12/DAY(EOMONTH(DATE(#REF!,$A$1,1),0)))*DAY(I12)+K12))),G12+K12),IF(YEAR(D12)=#REF!,IF(MONTH(D12)&lt;$A$1,IF(ISNUMBER(I12),IF(YEAR(I12)&lt;#REF!,0,IF(OR(YEAR(I12)&gt;#REF!,MONTH(I12)&gt;$A$1),G12,IF(MONTH(I12)&lt;$A$1,0,(G12/DAY(EOMONTH(DATE(#REF!,$A$1,1),0)))*DAY(I12)+K12))),G12),IF(MONTH(D12)=$A$1,IF(ISNUMBER(I12),IF(OR(YEAR(I12)&gt;#REF!,MONTH(I12)&gt;$A$1),G12,(G12/DAY(EOMONTH(D12,0)))*(I12-D12+1)+K12),(G12/DAY(EOMONTH(D12,0)))*(DAY(EOMONTH(D12,0))-DAY(D12)+1)+K12),0)),0))),0)</f>
        <v>0</v>
      </c>
      <c r="M12" s="95"/>
      <c r="N12" s="78"/>
      <c r="O12" s="246" t="s">
        <v>66</v>
      </c>
      <c r="P12" s="247"/>
      <c r="Q12" s="282">
        <v>-303</v>
      </c>
      <c r="R12" s="282"/>
    </row>
    <row r="13" spans="1:28" ht="16" customHeight="1">
      <c r="A13" s="62" t="s">
        <v>67</v>
      </c>
      <c r="B13" s="101">
        <v>401307</v>
      </c>
      <c r="C13" s="68" t="s">
        <v>243</v>
      </c>
      <c r="D13" s="123">
        <v>43571</v>
      </c>
      <c r="E13" s="65" t="s">
        <v>3</v>
      </c>
      <c r="F13" s="67">
        <v>173</v>
      </c>
      <c r="G13" s="116"/>
      <c r="H13" s="89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126"/>
      <c r="J13" s="66"/>
      <c r="K13" s="92">
        <f t="shared" si="0"/>
        <v>0</v>
      </c>
      <c r="L13" s="103">
        <f>IFERROR(IF(OR(ISBLANK(D13),ISBLANK(F13),ISBLANK(G13),ISBLANK(K13)),0,IF(YEAR(D13)&lt;#REF!,IF(ISNUMBER(I13),IF(YEAR(I13)&lt;#REF!,0,IF(OR(YEAR(I13)&gt;#REF!,MONTH(I13)&gt;$A$1),G13,IF(MONTH(I13)&lt;$A$1,0,(G13/DAY(EOMONTH(DATE(#REF!,$A$1,1),0)))*DAY(I13)+K13))),G13+K13),IF(YEAR(D13)=#REF!,IF(MONTH(D13)&lt;$A$1,IF(ISNUMBER(I13),IF(YEAR(I13)&lt;#REF!,0,IF(OR(YEAR(I13)&gt;#REF!,MONTH(I13)&gt;$A$1),G13,IF(MONTH(I13)&lt;$A$1,0,(G13/DAY(EOMONTH(DATE(#REF!,$A$1,1),0)))*DAY(I13)+K13))),G13),IF(MONTH(D13)=$A$1,IF(ISNUMBER(I13),IF(OR(YEAR(I13)&gt;#REF!,MONTH(I13)&gt;$A$1),G13,(G13/DAY(EOMONTH(D13,0)))*(I13-D13+1)+K13),(G13/DAY(EOMONTH(D13,0)))*(DAY(EOMONTH(D13,0))-DAY(D13)+1)+K13),0)),0))),0)</f>
        <v>0</v>
      </c>
      <c r="M13" s="95"/>
      <c r="N13" s="78"/>
      <c r="O13" s="246" t="s">
        <v>68</v>
      </c>
      <c r="P13" s="247"/>
      <c r="Q13" s="248">
        <f>Q8-Q9-Q10-Q11-Q12</f>
        <v>8761.2999999999993</v>
      </c>
      <c r="R13" s="248"/>
    </row>
    <row r="14" spans="1:28" ht="16" customHeight="1">
      <c r="A14" s="61" t="s">
        <v>69</v>
      </c>
      <c r="B14" s="101">
        <v>401308</v>
      </c>
      <c r="C14" s="68" t="s">
        <v>244</v>
      </c>
      <c r="D14" s="123">
        <v>43579</v>
      </c>
      <c r="E14" s="65" t="s">
        <v>3</v>
      </c>
      <c r="F14" s="67">
        <v>173</v>
      </c>
      <c r="G14" s="116"/>
      <c r="H14" s="89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26"/>
      <c r="J14" s="66"/>
      <c r="K14" s="92">
        <f t="shared" si="0"/>
        <v>0</v>
      </c>
      <c r="L14" s="103">
        <f>IFERROR(IF(OR(ISBLANK(D14),ISBLANK(F14),ISBLANK(G14),ISBLANK(K14)),0,IF(YEAR(D14)&lt;#REF!,IF(ISNUMBER(I14),IF(YEAR(I14)&lt;#REF!,0,IF(OR(YEAR(I14)&gt;#REF!,MONTH(I14)&gt;$A$1),G14,IF(MONTH(I14)&lt;$A$1,0,(G14/DAY(EOMONTH(DATE(#REF!,$A$1,1),0)))*DAY(I14)+K14))),G14+K14),IF(YEAR(D14)=#REF!,IF(MONTH(D14)&lt;$A$1,IF(ISNUMBER(I14),IF(YEAR(I14)&lt;#REF!,0,IF(OR(YEAR(I14)&gt;#REF!,MONTH(I14)&gt;$A$1),G14,IF(MONTH(I14)&lt;$A$1,0,(G14/DAY(EOMONTH(DATE(#REF!,$A$1,1),0)))*DAY(I14)+K14))),G14),IF(MONTH(D14)=$A$1,IF(ISNUMBER(I14),IF(OR(YEAR(I14)&gt;#REF!,MONTH(I14)&gt;$A$1),G14,(G14/DAY(EOMONTH(D14,0)))*(I14-D14+1)+K14),(G14/DAY(EOMONTH(D14,0)))*(DAY(EOMONTH(D14,0))-DAY(D14)+1)+K14),0)),0))),0)</f>
        <v>0</v>
      </c>
      <c r="M14" s="95"/>
      <c r="N14" s="78"/>
      <c r="O14" s="246" t="s">
        <v>70</v>
      </c>
      <c r="P14" s="247"/>
      <c r="Q14" s="248">
        <f>EINSTELLUNG!L17</f>
        <v>12</v>
      </c>
      <c r="R14" s="248"/>
    </row>
    <row r="15" spans="1:28" ht="16" customHeight="1">
      <c r="A15" s="61" t="s">
        <v>71</v>
      </c>
      <c r="B15" s="101">
        <v>401389</v>
      </c>
      <c r="C15" s="68" t="s">
        <v>246</v>
      </c>
      <c r="D15" s="123">
        <v>44384</v>
      </c>
      <c r="E15" s="65" t="s">
        <v>11</v>
      </c>
      <c r="F15" s="67">
        <v>173</v>
      </c>
      <c r="G15" s="116"/>
      <c r="H15" s="89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126"/>
      <c r="J15" s="66"/>
      <c r="K15" s="92">
        <f t="shared" si="0"/>
        <v>0</v>
      </c>
      <c r="L15" s="103">
        <f>IFERROR(IF(OR(ISBLANK(D15),ISBLANK(F15),ISBLANK(G15),ISBLANK(K15)),0,IF(YEAR(D15)&lt;#REF!,IF(ISNUMBER(I15),IF(YEAR(I15)&lt;#REF!,0,IF(OR(YEAR(I15)&gt;#REF!,MONTH(I15)&gt;$A$1),G15,IF(MONTH(I15)&lt;$A$1,0,(G15/DAY(EOMONTH(DATE(#REF!,$A$1,1),0)))*DAY(I15)+K15))),G15+K15),IF(YEAR(D15)=#REF!,IF(MONTH(D15)&lt;$A$1,IF(ISNUMBER(I15),IF(YEAR(I15)&lt;#REF!,0,IF(OR(YEAR(I15)&gt;#REF!,MONTH(I15)&gt;$A$1),G15,IF(MONTH(I15)&lt;$A$1,0,(G15/DAY(EOMONTH(DATE(#REF!,$A$1,1),0)))*DAY(I15)+K15))),G15),IF(MONTH(D15)=$A$1,IF(ISNUMBER(I15),IF(OR(YEAR(I15)&gt;#REF!,MONTH(I15)&gt;$A$1),G15,(G15/DAY(EOMONTH(D15,0)))*(I15-D15+1)+K15),(G15/DAY(EOMONTH(D15,0)))*(DAY(EOMONTH(D15,0))-DAY(D15)+1)+K15),0)),0))),0)</f>
        <v>0</v>
      </c>
      <c r="M15" s="95"/>
      <c r="N15" s="78"/>
      <c r="O15" s="246" t="s">
        <v>72</v>
      </c>
      <c r="P15" s="247"/>
      <c r="Q15" s="248">
        <f>Q13-Q14</f>
        <v>8749.2999999999993</v>
      </c>
      <c r="R15" s="248"/>
      <c r="S15" s="56"/>
      <c r="T15" s="56"/>
      <c r="U15" s="56"/>
    </row>
    <row r="16" spans="1:28" ht="16" customHeight="1">
      <c r="A16" s="61" t="s">
        <v>73</v>
      </c>
      <c r="B16" s="101">
        <v>401394</v>
      </c>
      <c r="C16" s="68" t="s">
        <v>245</v>
      </c>
      <c r="D16" s="123">
        <v>44379</v>
      </c>
      <c r="E16" s="65" t="s">
        <v>2</v>
      </c>
      <c r="F16" s="67">
        <v>173</v>
      </c>
      <c r="G16" s="116"/>
      <c r="H16" s="89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26"/>
      <c r="J16" s="66"/>
      <c r="K16" s="92">
        <f t="shared" si="0"/>
        <v>0</v>
      </c>
      <c r="L16" s="103">
        <f>IFERROR(IF(OR(ISBLANK(D16),ISBLANK(F16),ISBLANK(G16),ISBLANK(K16)),0,IF(YEAR(D16)&lt;#REF!,IF(ISNUMBER(I16),IF(YEAR(I16)&lt;#REF!,0,IF(OR(YEAR(I16)&gt;#REF!,MONTH(I16)&gt;$A$1),G16,IF(MONTH(I16)&lt;$A$1,0,(G16/DAY(EOMONTH(DATE(#REF!,$A$1,1),0)))*DAY(I16)+K16))),G16+K16),IF(YEAR(D16)=#REF!,IF(MONTH(D16)&lt;$A$1,IF(ISNUMBER(I16),IF(YEAR(I16)&lt;#REF!,0,IF(OR(YEAR(I16)&gt;#REF!,MONTH(I16)&gt;$A$1),G16,IF(MONTH(I16)&lt;$A$1,0,(G16/DAY(EOMONTH(DATE(#REF!,$A$1,1),0)))*DAY(I16)+K16))),G16),IF(MONTH(D16)=$A$1,IF(ISNUMBER(I16),IF(OR(YEAR(I16)&gt;#REF!,MONTH(I16)&gt;$A$1),G16,(G16/DAY(EOMONTH(D16,0)))*(I16-D16+1)+K16),(G16/DAY(EOMONTH(D16,0)))*(DAY(EOMONTH(D16,0))-DAY(D16)+1)+K16),0)),0))),0)</f>
        <v>0</v>
      </c>
      <c r="M16" s="95"/>
      <c r="N16" s="78"/>
      <c r="O16" s="298" t="str">
        <f>IF(Q15&lt;0, "Schlecht! Zu wenig Stunden für Dienstplan.", IF(Q15&gt;0, "Du hast mehr als genug Stunden für Dienstplan.", ""))</f>
        <v>Du hast mehr als genug Stunden für Dienstplan.</v>
      </c>
      <c r="P16" s="298"/>
      <c r="Q16" s="298"/>
      <c r="R16" s="298"/>
      <c r="W16" s="12"/>
    </row>
    <row r="17" spans="1:29" ht="16" customHeight="1">
      <c r="A17" s="62" t="s">
        <v>74</v>
      </c>
      <c r="B17" s="101">
        <v>401432</v>
      </c>
      <c r="C17" s="68" t="s">
        <v>247</v>
      </c>
      <c r="D17" s="123">
        <v>44441</v>
      </c>
      <c r="E17" s="65" t="s">
        <v>2</v>
      </c>
      <c r="F17" s="67">
        <v>173</v>
      </c>
      <c r="G17" s="116"/>
      <c r="H17" s="89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126"/>
      <c r="J17" s="66"/>
      <c r="K17" s="92">
        <f t="shared" si="0"/>
        <v>0</v>
      </c>
      <c r="L17" s="103">
        <f>IFERROR(IF(OR(ISBLANK(D17),ISBLANK(F17),ISBLANK(G17),ISBLANK(K17)),0,IF(YEAR(D17)&lt;#REF!,IF(ISNUMBER(I17),IF(YEAR(I17)&lt;#REF!,0,IF(OR(YEAR(I17)&gt;#REF!,MONTH(I17)&gt;$A$1),G17,IF(MONTH(I17)&lt;$A$1,0,(G17/DAY(EOMONTH(DATE(#REF!,$A$1,1),0)))*DAY(I17)+K17))),G17+K17),IF(YEAR(D17)=#REF!,IF(MONTH(D17)&lt;$A$1,IF(ISNUMBER(I17),IF(YEAR(I17)&lt;#REF!,0,IF(OR(YEAR(I17)&gt;#REF!,MONTH(I17)&gt;$A$1),G17,IF(MONTH(I17)&lt;$A$1,0,(G17/DAY(EOMONTH(DATE(#REF!,$A$1,1),0)))*DAY(I17)+K17))),G17),IF(MONTH(D17)=$A$1,IF(ISNUMBER(I17),IF(OR(YEAR(I17)&gt;#REF!,MONTH(I17)&gt;$A$1),G17,(G17/DAY(EOMONTH(D17,0)))*(I17-D17+1)+K17),(G17/DAY(EOMONTH(D17,0)))*(DAY(EOMONTH(D17,0))-DAY(D17)+1)+K17),0)),0))),0)</f>
        <v>0</v>
      </c>
      <c r="M17" s="95"/>
      <c r="N17" s="78"/>
      <c r="O17" s="301" t="s">
        <v>75</v>
      </c>
      <c r="P17" s="302"/>
      <c r="Q17" s="283">
        <f>SUM(L3:L82)</f>
        <v>0</v>
      </c>
      <c r="R17" s="283"/>
      <c r="W17" s="12"/>
    </row>
    <row r="18" spans="1:29" ht="16" customHeight="1">
      <c r="A18" s="61" t="s">
        <v>76</v>
      </c>
      <c r="B18" s="101">
        <v>401479</v>
      </c>
      <c r="C18" s="68" t="s">
        <v>250</v>
      </c>
      <c r="D18" s="123">
        <v>44511</v>
      </c>
      <c r="E18" s="65" t="s">
        <v>6</v>
      </c>
      <c r="F18" s="67">
        <v>173</v>
      </c>
      <c r="G18" s="116"/>
      <c r="H18" s="89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26"/>
      <c r="J18" s="66"/>
      <c r="K18" s="92">
        <f t="shared" si="0"/>
        <v>0</v>
      </c>
      <c r="L18" s="103">
        <f>IFERROR(IF(OR(ISBLANK(D18),ISBLANK(F18),ISBLANK(G18),ISBLANK(K18)),0,IF(YEAR(D18)&lt;#REF!,IF(ISNUMBER(I18),IF(YEAR(I18)&lt;#REF!,0,IF(OR(YEAR(I18)&gt;#REF!,MONTH(I18)&gt;$A$1),G18,IF(MONTH(I18)&lt;$A$1,0,(G18/DAY(EOMONTH(DATE(#REF!,$A$1,1),0)))*DAY(I18)+K18))),G18+K18),IF(YEAR(D18)=#REF!,IF(MONTH(D18)&lt;$A$1,IF(ISNUMBER(I18),IF(YEAR(I18)&lt;#REF!,0,IF(OR(YEAR(I18)&gt;#REF!,MONTH(I18)&gt;$A$1),G18,IF(MONTH(I18)&lt;$A$1,0,(G18/DAY(EOMONTH(DATE(#REF!,$A$1,1),0)))*DAY(I18)+K18))),G18),IF(MONTH(D18)=$A$1,IF(ISNUMBER(I18),IF(OR(YEAR(I18)&gt;#REF!,MONTH(I18)&gt;$A$1),G18,(G18/DAY(EOMONTH(D18,0)))*(I18-D18+1)+K18),(G18/DAY(EOMONTH(D18,0)))*(DAY(EOMONTH(D18,0))-DAY(D18)+1)+K18),0)),0))),0)</f>
        <v>0</v>
      </c>
      <c r="M18" s="95"/>
      <c r="N18" s="78"/>
      <c r="O18" s="324"/>
      <c r="P18" s="344"/>
      <c r="Q18" s="343"/>
      <c r="R18" s="258"/>
    </row>
    <row r="19" spans="1:29" ht="16" customHeight="1">
      <c r="A19" s="61" t="s">
        <v>77</v>
      </c>
      <c r="B19" s="101">
        <v>401481</v>
      </c>
      <c r="C19" s="68" t="s">
        <v>251</v>
      </c>
      <c r="D19" s="123">
        <v>44531</v>
      </c>
      <c r="E19" s="65" t="s">
        <v>2</v>
      </c>
      <c r="F19" s="67">
        <v>173</v>
      </c>
      <c r="G19" s="116"/>
      <c r="H19" s="89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126"/>
      <c r="J19" s="66"/>
      <c r="K19" s="92">
        <f t="shared" si="0"/>
        <v>0</v>
      </c>
      <c r="L19" s="103">
        <f>IFERROR(IF(OR(ISBLANK(D19),ISBLANK(F19),ISBLANK(G19),ISBLANK(K19)),0,IF(YEAR(D19)&lt;#REF!,IF(ISNUMBER(I19),IF(YEAR(I19)&lt;#REF!,0,IF(OR(YEAR(I19)&gt;#REF!,MONTH(I19)&gt;$A$1),G19,IF(MONTH(I19)&lt;$A$1,0,(G19/DAY(EOMONTH(DATE(#REF!,$A$1,1),0)))*DAY(I19)+K19))),G19+K19),IF(YEAR(D19)=#REF!,IF(MONTH(D19)&lt;$A$1,IF(ISNUMBER(I19),IF(YEAR(I19)&lt;#REF!,0,IF(OR(YEAR(I19)&gt;#REF!,MONTH(I19)&gt;$A$1),G19,IF(MONTH(I19)&lt;$A$1,0,(G19/DAY(EOMONTH(DATE(#REF!,$A$1,1),0)))*DAY(I19)+K19))),G19),IF(MONTH(D19)=$A$1,IF(ISNUMBER(I19),IF(OR(YEAR(I19)&gt;#REF!,MONTH(I19)&gt;$A$1),G19,(G19/DAY(EOMONTH(D19,0)))*(I19-D19+1)+K19),(G19/DAY(EOMONTH(D19,0)))*(DAY(EOMONTH(D19,0))-DAY(D19)+1)+K19),0)),0))),0)</f>
        <v>0</v>
      </c>
      <c r="M19" s="95"/>
      <c r="N19" s="78"/>
      <c r="O19" s="324"/>
      <c r="P19" s="344"/>
      <c r="Q19" s="343"/>
      <c r="R19" s="258"/>
    </row>
    <row r="20" spans="1:29" ht="16" customHeight="1">
      <c r="A20" s="61" t="s">
        <v>78</v>
      </c>
      <c r="B20" s="101">
        <v>401564</v>
      </c>
      <c r="C20" s="70" t="s">
        <v>252</v>
      </c>
      <c r="D20" s="123">
        <v>44824</v>
      </c>
      <c r="E20" s="65" t="s">
        <v>2</v>
      </c>
      <c r="F20" s="67">
        <v>173</v>
      </c>
      <c r="G20" s="116"/>
      <c r="H20" s="89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26"/>
      <c r="J20" s="66"/>
      <c r="K20" s="92">
        <f t="shared" si="0"/>
        <v>0</v>
      </c>
      <c r="L20" s="103">
        <f>IFERROR(IF(OR(ISBLANK(D20),ISBLANK(F20),ISBLANK(G20),ISBLANK(K20)),0,IF(YEAR(D20)&lt;#REF!,IF(ISNUMBER(I20),IF(YEAR(I20)&lt;#REF!,0,IF(OR(YEAR(I20)&gt;#REF!,MONTH(I20)&gt;$A$1),G20,IF(MONTH(I20)&lt;$A$1,0,(G20/DAY(EOMONTH(DATE(#REF!,$A$1,1),0)))*DAY(I20)+K20))),G20+K20),IF(YEAR(D20)=#REF!,IF(MONTH(D20)&lt;$A$1,IF(ISNUMBER(I20),IF(YEAR(I20)&lt;#REF!,0,IF(OR(YEAR(I20)&gt;#REF!,MONTH(I20)&gt;$A$1),G20,IF(MONTH(I20)&lt;$A$1,0,(G20/DAY(EOMONTH(DATE(#REF!,$A$1,1),0)))*DAY(I20)+K20))),G20),IF(MONTH(D20)=$A$1,IF(ISNUMBER(I20),IF(OR(YEAR(I20)&gt;#REF!,MONTH(I20)&gt;$A$1),G20,(G20/DAY(EOMONTH(D20,0)))*(I20-D20+1)+K20),(G20/DAY(EOMONTH(D20,0)))*(DAY(EOMONTH(D20,0))-DAY(D20)+1)+K20),0)),0))),0)</f>
        <v>0</v>
      </c>
      <c r="M20" s="95"/>
      <c r="N20" s="78"/>
      <c r="O20" s="324"/>
      <c r="P20" s="344"/>
      <c r="Q20" s="343"/>
      <c r="R20" s="258"/>
    </row>
    <row r="21" spans="1:29" ht="16" customHeight="1">
      <c r="A21" s="62" t="s">
        <v>80</v>
      </c>
      <c r="B21" s="101">
        <v>401583</v>
      </c>
      <c r="C21" s="68" t="s">
        <v>254</v>
      </c>
      <c r="D21" s="123">
        <v>44900</v>
      </c>
      <c r="E21" s="65" t="s">
        <v>10</v>
      </c>
      <c r="F21" s="67">
        <v>173</v>
      </c>
      <c r="G21" s="116"/>
      <c r="H21" s="89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126"/>
      <c r="J21" s="66"/>
      <c r="K21" s="92">
        <f t="shared" si="0"/>
        <v>0</v>
      </c>
      <c r="L21" s="103">
        <f>IFERROR(IF(OR(ISBLANK(D21),ISBLANK(F21),ISBLANK(G21),ISBLANK(K21)),0,IF(YEAR(D21)&lt;#REF!,IF(ISNUMBER(I21),IF(YEAR(I21)&lt;#REF!,0,IF(OR(YEAR(I21)&gt;#REF!,MONTH(I21)&gt;$A$1),G21,IF(MONTH(I21)&lt;$A$1,0,(G21/DAY(EOMONTH(DATE(#REF!,$A$1,1),0)))*DAY(I21)+K21))),G21+K21),IF(YEAR(D21)=#REF!,IF(MONTH(D21)&lt;$A$1,IF(ISNUMBER(I21),IF(YEAR(I21)&lt;#REF!,0,IF(OR(YEAR(I21)&gt;#REF!,MONTH(I21)&gt;$A$1),G21,IF(MONTH(I21)&lt;$A$1,0,(G21/DAY(EOMONTH(DATE(#REF!,$A$1,1),0)))*DAY(I21)+K21))),G21),IF(MONTH(D21)=$A$1,IF(ISNUMBER(I21),IF(OR(YEAR(I21)&gt;#REF!,MONTH(I21)&gt;$A$1),G21,(G21/DAY(EOMONTH(D21,0)))*(I21-D21+1)+K21),(G21/DAY(EOMONTH(D21,0)))*(DAY(EOMONTH(D21,0))-DAY(D21)+1)+K21),0)),0))),0)</f>
        <v>0</v>
      </c>
      <c r="M21" s="95"/>
      <c r="N21" s="78"/>
      <c r="O21" s="324" t="s">
        <v>320</v>
      </c>
      <c r="P21" s="344"/>
      <c r="Q21" s="343">
        <v>5000</v>
      </c>
      <c r="R21" s="258"/>
    </row>
    <row r="22" spans="1:29" ht="16" customHeight="1">
      <c r="A22" s="61" t="s">
        <v>81</v>
      </c>
      <c r="B22" s="101">
        <v>401589</v>
      </c>
      <c r="C22" s="68" t="s">
        <v>255</v>
      </c>
      <c r="D22" s="123">
        <v>44926</v>
      </c>
      <c r="E22" s="65" t="s">
        <v>10</v>
      </c>
      <c r="F22" s="67">
        <v>173</v>
      </c>
      <c r="G22" s="116"/>
      <c r="H22" s="89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26"/>
      <c r="J22" s="66"/>
      <c r="K22" s="92">
        <f t="shared" si="0"/>
        <v>0</v>
      </c>
      <c r="L22" s="103">
        <f>IFERROR(IF(OR(ISBLANK(D22),ISBLANK(F22),ISBLANK(G22),ISBLANK(K22)),0,IF(YEAR(D22)&lt;#REF!,IF(ISNUMBER(I22),IF(YEAR(I22)&lt;#REF!,0,IF(OR(YEAR(I22)&gt;#REF!,MONTH(I22)&gt;$A$1),G22,IF(MONTH(I22)&lt;$A$1,0,(G22/DAY(EOMONTH(DATE(#REF!,$A$1,1),0)))*DAY(I22)+K22))),G22+K22),IF(YEAR(D22)=#REF!,IF(MONTH(D22)&lt;$A$1,IF(ISNUMBER(I22),IF(YEAR(I22)&lt;#REF!,0,IF(OR(YEAR(I22)&gt;#REF!,MONTH(I22)&gt;$A$1),G22,IF(MONTH(I22)&lt;$A$1,0,(G22/DAY(EOMONTH(DATE(#REF!,$A$1,1),0)))*DAY(I22)+K22))),G22),IF(MONTH(D22)=$A$1,IF(ISNUMBER(I22),IF(OR(YEAR(I22)&gt;#REF!,MONTH(I22)&gt;$A$1),G22,(G22/DAY(EOMONTH(D22,0)))*(I22-D22+1)+K22),(G22/DAY(EOMONTH(D22,0)))*(DAY(EOMONTH(D22,0))-DAY(D22)+1)+K22),0)),0))),0)</f>
        <v>0</v>
      </c>
      <c r="M22" s="95"/>
      <c r="N22" s="78"/>
      <c r="O22" s="324"/>
      <c r="P22" s="344"/>
      <c r="Q22" s="343"/>
      <c r="R22" s="258"/>
    </row>
    <row r="23" spans="1:29" ht="16" customHeight="1">
      <c r="A23" s="61" t="s">
        <v>82</v>
      </c>
      <c r="B23" s="101">
        <v>401602</v>
      </c>
      <c r="C23" s="68" t="s">
        <v>256</v>
      </c>
      <c r="D23" s="123">
        <v>45975</v>
      </c>
      <c r="E23" s="65" t="s">
        <v>2</v>
      </c>
      <c r="F23" s="67">
        <v>173</v>
      </c>
      <c r="G23" s="116"/>
      <c r="H23" s="89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126"/>
      <c r="J23" s="66"/>
      <c r="K23" s="92">
        <f t="shared" si="0"/>
        <v>0</v>
      </c>
      <c r="L23" s="103">
        <f>IFERROR(IF(OR(ISBLANK(D23),ISBLANK(F23),ISBLANK(G23),ISBLANK(K23)),0,IF(YEAR(D23)&lt;#REF!,IF(ISNUMBER(I23),IF(YEAR(I23)&lt;#REF!,0,IF(OR(YEAR(I23)&gt;#REF!,MONTH(I23)&gt;$A$1),G23,IF(MONTH(I23)&lt;$A$1,0,(G23/DAY(EOMONTH(DATE(#REF!,$A$1,1),0)))*DAY(I23)+K23))),G23+K23),IF(YEAR(D23)=#REF!,IF(MONTH(D23)&lt;$A$1,IF(ISNUMBER(I23),IF(YEAR(I23)&lt;#REF!,0,IF(OR(YEAR(I23)&gt;#REF!,MONTH(I23)&gt;$A$1),G23,IF(MONTH(I23)&lt;$A$1,0,(G23/DAY(EOMONTH(DATE(#REF!,$A$1,1),0)))*DAY(I23)+K23))),G23),IF(MONTH(D23)=$A$1,IF(ISNUMBER(I23),IF(OR(YEAR(I23)&gt;#REF!,MONTH(I23)&gt;$A$1),G23,(G23/DAY(EOMONTH(D23,0)))*(I23-D23+1)+K23),(G23/DAY(EOMONTH(D23,0)))*(DAY(EOMONTH(D23,0))-DAY(D23)+1)+K23),0)),0))),0)</f>
        <v>0</v>
      </c>
      <c r="M23" s="95"/>
      <c r="N23" s="78"/>
      <c r="O23" s="324"/>
      <c r="P23" s="344"/>
      <c r="Q23" s="343"/>
      <c r="R23" s="258"/>
      <c r="W23" s="12"/>
    </row>
    <row r="24" spans="1:29" ht="16" customHeight="1">
      <c r="A24" s="61" t="s">
        <v>83</v>
      </c>
      <c r="B24" s="101">
        <v>401605</v>
      </c>
      <c r="C24" s="68" t="s">
        <v>257</v>
      </c>
      <c r="D24" s="123">
        <v>44986</v>
      </c>
      <c r="E24" s="65" t="s">
        <v>2</v>
      </c>
      <c r="F24" s="67">
        <v>173</v>
      </c>
      <c r="G24" s="116"/>
      <c r="H24" s="89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26"/>
      <c r="J24" s="66"/>
      <c r="K24" s="92">
        <f t="shared" si="0"/>
        <v>0</v>
      </c>
      <c r="L24" s="103">
        <f>IFERROR(IF(OR(ISBLANK(D24),ISBLANK(F24),ISBLANK(G24),ISBLANK(K24)),0,IF(YEAR(D24)&lt;#REF!,IF(ISNUMBER(I24),IF(YEAR(I24)&lt;#REF!,0,IF(OR(YEAR(I24)&gt;#REF!,MONTH(I24)&gt;$A$1),G24,IF(MONTH(I24)&lt;$A$1,0,(G24/DAY(EOMONTH(DATE(#REF!,$A$1,1),0)))*DAY(I24)+K24))),G24+K24),IF(YEAR(D24)=#REF!,IF(MONTH(D24)&lt;$A$1,IF(ISNUMBER(I24),IF(YEAR(I24)&lt;#REF!,0,IF(OR(YEAR(I24)&gt;#REF!,MONTH(I24)&gt;$A$1),G24,IF(MONTH(I24)&lt;$A$1,0,(G24/DAY(EOMONTH(DATE(#REF!,$A$1,1),0)))*DAY(I24)+K24))),G24),IF(MONTH(D24)=$A$1,IF(ISNUMBER(I24),IF(OR(YEAR(I24)&gt;#REF!,MONTH(I24)&gt;$A$1),G24,(G24/DAY(EOMONTH(D24,0)))*(I24-D24+1)+K24),(G24/DAY(EOMONTH(D24,0)))*(DAY(EOMONTH(D24,0))-DAY(D24)+1)+K24),0)),0))),0)</f>
        <v>0</v>
      </c>
      <c r="M24" s="95"/>
      <c r="N24" s="78"/>
      <c r="O24" s="324"/>
      <c r="P24" s="344"/>
      <c r="Q24" s="343"/>
      <c r="R24" s="258"/>
      <c r="W24" s="12"/>
    </row>
    <row r="25" spans="1:29" ht="16" customHeight="1" thickBot="1">
      <c r="A25" s="62" t="s">
        <v>84</v>
      </c>
      <c r="B25" s="101">
        <v>401626</v>
      </c>
      <c r="C25" s="68" t="s">
        <v>258</v>
      </c>
      <c r="D25" s="123">
        <v>45063</v>
      </c>
      <c r="E25" s="65" t="s">
        <v>2</v>
      </c>
      <c r="F25" s="67">
        <v>173</v>
      </c>
      <c r="G25" s="116"/>
      <c r="H25" s="89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126"/>
      <c r="J25" s="66"/>
      <c r="K25" s="92">
        <f t="shared" si="0"/>
        <v>0</v>
      </c>
      <c r="L25" s="103">
        <f>IFERROR(IF(OR(ISBLANK(D25),ISBLANK(F25),ISBLANK(G25),ISBLANK(K25)),0,IF(YEAR(D25)&lt;#REF!,IF(ISNUMBER(I25),IF(YEAR(I25)&lt;#REF!,0,IF(OR(YEAR(I25)&gt;#REF!,MONTH(I25)&gt;$A$1),G25,IF(MONTH(I25)&lt;$A$1,0,(G25/DAY(EOMONTH(DATE(#REF!,$A$1,1),0)))*DAY(I25)+K25))),G25+K25),IF(YEAR(D25)=#REF!,IF(MONTH(D25)&lt;$A$1,IF(ISNUMBER(I25),IF(YEAR(I25)&lt;#REF!,0,IF(OR(YEAR(I25)&gt;#REF!,MONTH(I25)&gt;$A$1),G25,IF(MONTH(I25)&lt;$A$1,0,(G25/DAY(EOMONTH(DATE(#REF!,$A$1,1),0)))*DAY(I25)+K25))),G25),IF(MONTH(D25)=$A$1,IF(ISNUMBER(I25),IF(OR(YEAR(I25)&gt;#REF!,MONTH(I25)&gt;$A$1),G25,(G25/DAY(EOMONTH(D25,0)))*(I25-D25+1)+K25),(G25/DAY(EOMONTH(D25,0)))*(DAY(EOMONTH(D25,0))-DAY(D25)+1)+K25),0)),0))),0)</f>
        <v>0</v>
      </c>
      <c r="M25" s="95"/>
      <c r="N25" s="78"/>
      <c r="O25" s="314"/>
      <c r="P25" s="345"/>
      <c r="Q25" s="346"/>
      <c r="R25" s="253"/>
    </row>
    <row r="26" spans="1:29" ht="16" customHeight="1">
      <c r="A26" s="61" t="s">
        <v>85</v>
      </c>
      <c r="B26" s="101">
        <v>401633</v>
      </c>
      <c r="C26" s="68" t="s">
        <v>259</v>
      </c>
      <c r="D26" s="123">
        <v>45089</v>
      </c>
      <c r="E26" s="65" t="s">
        <v>10</v>
      </c>
      <c r="F26" s="67">
        <v>173</v>
      </c>
      <c r="G26" s="116"/>
      <c r="H26" s="89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26"/>
      <c r="J26" s="66"/>
      <c r="K26" s="92">
        <f t="shared" si="0"/>
        <v>0</v>
      </c>
      <c r="L26" s="103">
        <f>IFERROR(IF(OR(ISBLANK(D26),ISBLANK(F26),ISBLANK(G26),ISBLANK(K26)),0,IF(YEAR(D26)&lt;#REF!,IF(ISNUMBER(I26),IF(YEAR(I26)&lt;#REF!,0,IF(OR(YEAR(I26)&gt;#REF!,MONTH(I26)&gt;$A$1),G26,IF(MONTH(I26)&lt;$A$1,0,(G26/DAY(EOMONTH(DATE(#REF!,$A$1,1),0)))*DAY(I26)+K26))),G26+K26),IF(YEAR(D26)=#REF!,IF(MONTH(D26)&lt;$A$1,IF(ISNUMBER(I26),IF(YEAR(I26)&lt;#REF!,0,IF(OR(YEAR(I26)&gt;#REF!,MONTH(I26)&gt;$A$1),G26,IF(MONTH(I26)&lt;$A$1,0,(G26/DAY(EOMONTH(DATE(#REF!,$A$1,1),0)))*DAY(I26)+K26))),G26),IF(MONTH(D26)=$A$1,IF(ISNUMBER(I26),IF(OR(YEAR(I26)&gt;#REF!,MONTH(I26)&gt;$A$1),G26,(G26/DAY(EOMONTH(D26,0)))*(I26-D26+1)+K26),(G26/DAY(EOMONTH(D26,0)))*(DAY(EOMONTH(D26,0))-DAY(D26)+1)+K26),0)),0))),0)</f>
        <v>0</v>
      </c>
      <c r="M26" s="95"/>
      <c r="N26" s="78"/>
      <c r="O26" s="266"/>
      <c r="P26" s="267"/>
      <c r="Q26" s="254"/>
      <c r="R26" s="255"/>
    </row>
    <row r="27" spans="1:29" ht="16" customHeight="1">
      <c r="A27" s="61" t="s">
        <v>86</v>
      </c>
      <c r="B27" s="101">
        <v>401647</v>
      </c>
      <c r="C27" s="68" t="s">
        <v>260</v>
      </c>
      <c r="D27" s="123">
        <v>45182</v>
      </c>
      <c r="E27" s="65" t="s">
        <v>2</v>
      </c>
      <c r="F27" s="67">
        <v>173</v>
      </c>
      <c r="G27" s="116"/>
      <c r="H27" s="89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126"/>
      <c r="J27" s="66"/>
      <c r="K27" s="92">
        <f t="shared" si="0"/>
        <v>0</v>
      </c>
      <c r="L27" s="103">
        <f>IFERROR(IF(OR(ISBLANK(D27),ISBLANK(F27),ISBLANK(G27),ISBLANK(K27)),0,IF(YEAR(D27)&lt;#REF!,IF(ISNUMBER(I27),IF(YEAR(I27)&lt;#REF!,0,IF(OR(YEAR(I27)&gt;#REF!,MONTH(I27)&gt;$A$1),G27,IF(MONTH(I27)&lt;$A$1,0,(G27/DAY(EOMONTH(DATE(#REF!,$A$1,1),0)))*DAY(I27)+K27))),G27+K27),IF(YEAR(D27)=#REF!,IF(MONTH(D27)&lt;$A$1,IF(ISNUMBER(I27),IF(YEAR(I27)&lt;#REF!,0,IF(OR(YEAR(I27)&gt;#REF!,MONTH(I27)&gt;$A$1),G27,IF(MONTH(I27)&lt;$A$1,0,(G27/DAY(EOMONTH(DATE(#REF!,$A$1,1),0)))*DAY(I27)+K27))),G27),IF(MONTH(D27)=$A$1,IF(ISNUMBER(I27),IF(OR(YEAR(I27)&gt;#REF!,MONTH(I27)&gt;$A$1),G27,(G27/DAY(EOMONTH(D27,0)))*(I27-D27+1)+K27),(G27/DAY(EOMONTH(D27,0)))*(DAY(EOMONTH(D27,0))-DAY(D27)+1)+K27),0)),0))),0)</f>
        <v>0</v>
      </c>
      <c r="M27" s="95"/>
      <c r="N27" s="78"/>
      <c r="O27" s="256"/>
      <c r="P27" s="257"/>
      <c r="Q27" s="258"/>
      <c r="R27" s="259"/>
    </row>
    <row r="28" spans="1:29" ht="16" customHeight="1">
      <c r="A28" s="61" t="s">
        <v>88</v>
      </c>
      <c r="B28" s="101">
        <v>401661</v>
      </c>
      <c r="C28" s="68" t="s">
        <v>261</v>
      </c>
      <c r="D28" s="123">
        <v>45261</v>
      </c>
      <c r="E28" s="65" t="s">
        <v>2</v>
      </c>
      <c r="F28" s="67">
        <v>173</v>
      </c>
      <c r="G28" s="116"/>
      <c r="H28" s="89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26"/>
      <c r="J28" s="66"/>
      <c r="K28" s="92">
        <f t="shared" si="0"/>
        <v>0</v>
      </c>
      <c r="L28" s="103">
        <f>IFERROR(IF(OR(ISBLANK(D28),ISBLANK(F28),ISBLANK(G28),ISBLANK(K28)),0,IF(YEAR(D28)&lt;#REF!,IF(ISNUMBER(I28),IF(YEAR(I28)&lt;#REF!,0,IF(OR(YEAR(I28)&gt;#REF!,MONTH(I28)&gt;$A$1),G28,IF(MONTH(I28)&lt;$A$1,0,(G28/DAY(EOMONTH(DATE(#REF!,$A$1,1),0)))*DAY(I28)+K28))),G28+K28),IF(YEAR(D28)=#REF!,IF(MONTH(D28)&lt;$A$1,IF(ISNUMBER(I28),IF(YEAR(I28)&lt;#REF!,0,IF(OR(YEAR(I28)&gt;#REF!,MONTH(I28)&gt;$A$1),G28,IF(MONTH(I28)&lt;$A$1,0,(G28/DAY(EOMONTH(DATE(#REF!,$A$1,1),0)))*DAY(I28)+K28))),G28),IF(MONTH(D28)=$A$1,IF(ISNUMBER(I28),IF(OR(YEAR(I28)&gt;#REF!,MONTH(I28)&gt;$A$1),G28,(G28/DAY(EOMONTH(D28,0)))*(I28-D28+1)+K28),(G28/DAY(EOMONTH(D28,0)))*(DAY(EOMONTH(D28,0))-DAY(D28)+1)+K28),0)),0))),0)</f>
        <v>0</v>
      </c>
      <c r="M28" s="95"/>
      <c r="N28" s="78"/>
      <c r="O28" s="256"/>
      <c r="P28" s="257"/>
      <c r="Q28" s="258"/>
      <c r="R28" s="259"/>
    </row>
    <row r="29" spans="1:29" ht="16" customHeight="1" thickBot="1">
      <c r="A29" s="62" t="s">
        <v>89</v>
      </c>
      <c r="B29" s="101">
        <v>401670</v>
      </c>
      <c r="C29" s="68" t="s">
        <v>262</v>
      </c>
      <c r="D29" s="123">
        <v>45358</v>
      </c>
      <c r="E29" s="65" t="s">
        <v>2</v>
      </c>
      <c r="F29" s="67">
        <v>173</v>
      </c>
      <c r="G29" s="116"/>
      <c r="H29" s="89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126"/>
      <c r="J29" s="66"/>
      <c r="K29" s="92">
        <f t="shared" si="0"/>
        <v>0</v>
      </c>
      <c r="L29" s="103">
        <f>IFERROR(IF(OR(ISBLANK(D29),ISBLANK(F29),ISBLANK(G29),ISBLANK(K29)),0,IF(YEAR(D29)&lt;#REF!,IF(ISNUMBER(I29),IF(YEAR(I29)&lt;#REF!,0,IF(OR(YEAR(I29)&gt;#REF!,MONTH(I29)&gt;$A$1),G29,IF(MONTH(I29)&lt;$A$1,0,(G29/DAY(EOMONTH(DATE(#REF!,$A$1,1),0)))*DAY(I29)+K29))),G29+K29),IF(YEAR(D29)=#REF!,IF(MONTH(D29)&lt;$A$1,IF(ISNUMBER(I29),IF(YEAR(I29)&lt;#REF!,0,IF(OR(YEAR(I29)&gt;#REF!,MONTH(I29)&gt;$A$1),G29,IF(MONTH(I29)&lt;$A$1,0,(G29/DAY(EOMONTH(DATE(#REF!,$A$1,1),0)))*DAY(I29)+K29))),G29),IF(MONTH(D29)=$A$1,IF(ISNUMBER(I29),IF(OR(YEAR(I29)&gt;#REF!,MONTH(I29)&gt;$A$1),G29,(G29/DAY(EOMONTH(D29,0)))*(I29-D29+1)+K29),(G29/DAY(EOMONTH(D29,0)))*(DAY(EOMONTH(D29,0))-DAY(D29)+1)+K29),0)),0))),0)</f>
        <v>0</v>
      </c>
      <c r="M29" s="95"/>
      <c r="N29" s="78"/>
      <c r="O29" s="350" t="s">
        <v>90</v>
      </c>
      <c r="P29" s="351"/>
      <c r="Q29" s="352">
        <f>EINSTELLUNG!O17</f>
        <v>12</v>
      </c>
      <c r="R29" s="353"/>
    </row>
    <row r="30" spans="1:29" ht="16" customHeight="1">
      <c r="A30" s="61" t="s">
        <v>91</v>
      </c>
      <c r="B30" s="101">
        <v>401678</v>
      </c>
      <c r="C30" s="68" t="s">
        <v>263</v>
      </c>
      <c r="D30" s="123">
        <v>45414</v>
      </c>
      <c r="E30" s="65" t="s">
        <v>2</v>
      </c>
      <c r="F30" s="67">
        <v>173</v>
      </c>
      <c r="G30" s="116"/>
      <c r="H30" s="89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26"/>
      <c r="J30" s="66"/>
      <c r="K30" s="92">
        <f t="shared" si="0"/>
        <v>0</v>
      </c>
      <c r="L30" s="103">
        <f>IFERROR(IF(OR(ISBLANK(D30),ISBLANK(F30),ISBLANK(G30),ISBLANK(K30)),0,IF(YEAR(D30)&lt;#REF!,IF(ISNUMBER(I30),IF(YEAR(I30)&lt;#REF!,0,IF(OR(YEAR(I30)&gt;#REF!,MONTH(I30)&gt;$A$1),G30,IF(MONTH(I30)&lt;$A$1,0,(G30/DAY(EOMONTH(DATE(#REF!,$A$1,1),0)))*DAY(I30)+K30))),G30+K30),IF(YEAR(D30)=#REF!,IF(MONTH(D30)&lt;$A$1,IF(ISNUMBER(I30),IF(YEAR(I30)&lt;#REF!,0,IF(OR(YEAR(I30)&gt;#REF!,MONTH(I30)&gt;$A$1),G30,IF(MONTH(I30)&lt;$A$1,0,(G30/DAY(EOMONTH(DATE(#REF!,$A$1,1),0)))*DAY(I30)+K30))),G30),IF(MONTH(D30)=$A$1,IF(ISNUMBER(I30),IF(OR(YEAR(I30)&gt;#REF!,MONTH(I30)&gt;$A$1),G30,(G30/DAY(EOMONTH(D30,0)))*(I30-D30+1)+K30),(G30/DAY(EOMONTH(D30,0)))*(DAY(EOMONTH(D30,0))-DAY(D30)+1)+K30),0)),0))),0)</f>
        <v>0</v>
      </c>
      <c r="M30" s="95"/>
      <c r="N30" s="78"/>
      <c r="W30" s="13"/>
      <c r="X30" s="13"/>
      <c r="Y30" s="13"/>
      <c r="Z30" s="13"/>
      <c r="AA30" s="13"/>
      <c r="AB30" s="13"/>
      <c r="AC30" s="13"/>
    </row>
    <row r="31" spans="1:29" ht="16" customHeight="1">
      <c r="A31" s="61" t="s">
        <v>92</v>
      </c>
      <c r="B31" s="101">
        <v>401690</v>
      </c>
      <c r="C31" s="70" t="s">
        <v>265</v>
      </c>
      <c r="D31" s="123">
        <v>45536</v>
      </c>
      <c r="E31" s="65" t="s">
        <v>2</v>
      </c>
      <c r="F31" s="67">
        <v>173</v>
      </c>
      <c r="G31" s="116"/>
      <c r="H31" s="89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126"/>
      <c r="J31" s="66"/>
      <c r="K31" s="92">
        <f t="shared" si="0"/>
        <v>0</v>
      </c>
      <c r="L31" s="103">
        <f>IFERROR(IF(OR(ISBLANK(D31),ISBLANK(F31),ISBLANK(G31),ISBLANK(K31)),0,IF(YEAR(D31)&lt;#REF!,IF(ISNUMBER(I31),IF(YEAR(I31)&lt;#REF!,0,IF(OR(YEAR(I31)&gt;#REF!,MONTH(I31)&gt;$A$1),G31,IF(MONTH(I31)&lt;$A$1,0,(G31/DAY(EOMONTH(DATE(#REF!,$A$1,1),0)))*DAY(I31)+K31))),G31+K31),IF(YEAR(D31)=#REF!,IF(MONTH(D31)&lt;$A$1,IF(ISNUMBER(I31),IF(YEAR(I31)&lt;#REF!,0,IF(OR(YEAR(I31)&gt;#REF!,MONTH(I31)&gt;$A$1),G31,IF(MONTH(I31)&lt;$A$1,0,(G31/DAY(EOMONTH(DATE(#REF!,$A$1,1),0)))*DAY(I31)+K31))),G31),IF(MONTH(D31)=$A$1,IF(ISNUMBER(I31),IF(OR(YEAR(I31)&gt;#REF!,MONTH(I31)&gt;$A$1),G31,(G31/DAY(EOMONTH(D31,0)))*(I31-D31+1)+K31),(G31/DAY(EOMONTH(D31,0)))*(DAY(EOMONTH(D31,0))-DAY(D31)+1)+K31),0)),0))),0)</f>
        <v>0</v>
      </c>
      <c r="M31" s="95"/>
      <c r="N31" s="78"/>
      <c r="O31" s="268">
        <v>0</v>
      </c>
      <c r="P31" s="269"/>
      <c r="Q31" s="270">
        <v>0</v>
      </c>
      <c r="R31" s="271"/>
    </row>
    <row r="32" spans="1:29" ht="16" customHeight="1">
      <c r="A32" s="61" t="s">
        <v>94</v>
      </c>
      <c r="B32" s="101">
        <v>401703</v>
      </c>
      <c r="C32" s="68" t="s">
        <v>266</v>
      </c>
      <c r="D32" s="123">
        <v>45616</v>
      </c>
      <c r="E32" s="65" t="s">
        <v>2</v>
      </c>
      <c r="F32" s="67">
        <v>173</v>
      </c>
      <c r="G32" s="116"/>
      <c r="H32" s="89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26"/>
      <c r="J32" s="66"/>
      <c r="K32" s="92">
        <f t="shared" si="0"/>
        <v>0</v>
      </c>
      <c r="L32" s="103">
        <f>IFERROR(IF(OR(ISBLANK(D32),ISBLANK(F32),ISBLANK(G32),ISBLANK(K32)),0,IF(YEAR(D32)&lt;#REF!,IF(ISNUMBER(I32),IF(YEAR(I32)&lt;#REF!,0,IF(OR(YEAR(I32)&gt;#REF!,MONTH(I32)&gt;$A$1),G32,IF(MONTH(I32)&lt;$A$1,0,(G32/DAY(EOMONTH(DATE(#REF!,$A$1,1),0)))*DAY(I32)+K32))),G32+K32),IF(YEAR(D32)=#REF!,IF(MONTH(D32)&lt;$A$1,IF(ISNUMBER(I32),IF(YEAR(I32)&lt;#REF!,0,IF(OR(YEAR(I32)&gt;#REF!,MONTH(I32)&gt;$A$1),G32,IF(MONTH(I32)&lt;$A$1,0,(G32/DAY(EOMONTH(DATE(#REF!,$A$1,1),0)))*DAY(I32)+K32))),G32),IF(MONTH(D32)=$A$1,IF(ISNUMBER(I32),IF(OR(YEAR(I32)&gt;#REF!,MONTH(I32)&gt;$A$1),G32,(G32/DAY(EOMONTH(D32,0)))*(I32-D32+1)+K32),(G32/DAY(EOMONTH(D32,0)))*(DAY(EOMONTH(D32,0))-DAY(D32)+1)+K32),0)),0))),0)</f>
        <v>0</v>
      </c>
      <c r="M32" s="95"/>
      <c r="N32" s="78"/>
    </row>
    <row r="33" spans="1:24" ht="16" customHeight="1">
      <c r="A33" s="62" t="s">
        <v>95</v>
      </c>
      <c r="B33" s="101">
        <v>401715</v>
      </c>
      <c r="C33" s="68" t="s">
        <v>268</v>
      </c>
      <c r="D33" s="123">
        <v>45755</v>
      </c>
      <c r="E33" s="65" t="s">
        <v>2</v>
      </c>
      <c r="F33" s="67">
        <v>173</v>
      </c>
      <c r="G33" s="116"/>
      <c r="H33" s="89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126"/>
      <c r="J33" s="66"/>
      <c r="K33" s="92">
        <f t="shared" si="0"/>
        <v>0</v>
      </c>
      <c r="L33" s="103">
        <f>IFERROR(IF(OR(ISBLANK(D33),ISBLANK(F33),ISBLANK(G33),ISBLANK(K33)),0,IF(YEAR(D33)&lt;#REF!,IF(ISNUMBER(I33),IF(YEAR(I33)&lt;#REF!,0,IF(OR(YEAR(I33)&gt;#REF!,MONTH(I33)&gt;$A$1),G33,IF(MONTH(I33)&lt;$A$1,0,(G33/DAY(EOMONTH(DATE(#REF!,$A$1,1),0)))*DAY(I33)+K33))),G33+K33),IF(YEAR(D33)=#REF!,IF(MONTH(D33)&lt;$A$1,IF(ISNUMBER(I33),IF(YEAR(I33)&lt;#REF!,0,IF(OR(YEAR(I33)&gt;#REF!,MONTH(I33)&gt;$A$1),G33,IF(MONTH(I33)&lt;$A$1,0,(G33/DAY(EOMONTH(DATE(#REF!,$A$1,1),0)))*DAY(I33)+K33))),G33),IF(MONTH(D33)=$A$1,IF(ISNUMBER(I33),IF(OR(YEAR(I33)&gt;#REF!,MONTH(I33)&gt;$A$1),G33,(G33/DAY(EOMONTH(D33,0)))*(I33-D33+1)+K33),(G33/DAY(EOMONTH(D33,0)))*(DAY(EOMONTH(D33,0))-DAY(D33)+1)+K33),0)),0))),0)</f>
        <v>0</v>
      </c>
      <c r="M33" s="95"/>
      <c r="N33" s="78"/>
      <c r="O33" s="272"/>
      <c r="P33" s="273"/>
      <c r="Q33" s="347" t="str">
        <f>EINSTELLUNG!B3</f>
        <v>Budget Zahlen</v>
      </c>
      <c r="R33" s="347"/>
      <c r="S33" s="348" t="str">
        <f>EINSTELLUNG!B19</f>
        <v>Projection/Aktuell Zahlen</v>
      </c>
      <c r="T33" s="348"/>
      <c r="U33" s="348" t="s">
        <v>98</v>
      </c>
      <c r="V33" s="348"/>
    </row>
    <row r="34" spans="1:24" ht="16" customHeight="1">
      <c r="A34" s="61" t="s">
        <v>99</v>
      </c>
      <c r="B34" s="101">
        <v>401716</v>
      </c>
      <c r="C34" s="68" t="s">
        <v>269</v>
      </c>
      <c r="D34" s="123">
        <v>45800</v>
      </c>
      <c r="E34" s="65" t="s">
        <v>2</v>
      </c>
      <c r="F34" s="67">
        <v>173</v>
      </c>
      <c r="G34" s="116"/>
      <c r="H34" s="89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26"/>
      <c r="J34" s="66"/>
      <c r="K34" s="92">
        <f t="shared" si="0"/>
        <v>0</v>
      </c>
      <c r="L34" s="103">
        <f>IFERROR(IF(OR(ISBLANK(D34),ISBLANK(F34),ISBLANK(G34),ISBLANK(K34)),0,IF(YEAR(D34)&lt;#REF!,IF(ISNUMBER(I34),IF(YEAR(I34)&lt;#REF!,0,IF(OR(YEAR(I34)&gt;#REF!,MONTH(I34)&gt;$A$1),G34,IF(MONTH(I34)&lt;$A$1,0,(G34/DAY(EOMONTH(DATE(#REF!,$A$1,1),0)))*DAY(I34)+K34))),G34+K34),IF(YEAR(D34)=#REF!,IF(MONTH(D34)&lt;$A$1,IF(ISNUMBER(I34),IF(YEAR(I34)&lt;#REF!,0,IF(OR(YEAR(I34)&gt;#REF!,MONTH(I34)&gt;$A$1),G34,IF(MONTH(I34)&lt;$A$1,0,(G34/DAY(EOMONTH(DATE(#REF!,$A$1,1),0)))*DAY(I34)+K34))),G34),IF(MONTH(D34)=$A$1,IF(ISNUMBER(I34),IF(OR(YEAR(I34)&gt;#REF!,MONTH(I34)&gt;$A$1),G34,(G34/DAY(EOMONTH(D34,0)))*(I34-D34+1)+K34),(G34/DAY(EOMONTH(D34,0)))*(DAY(EOMONTH(D34,0))-DAY(D34)+1)+K34),0)),0))),0)</f>
        <v>0</v>
      </c>
      <c r="M34" s="95"/>
      <c r="N34" s="78"/>
      <c r="O34" s="272"/>
      <c r="P34" s="273"/>
      <c r="Q34" s="347"/>
      <c r="R34" s="347"/>
      <c r="S34" s="348"/>
      <c r="T34" s="348"/>
      <c r="U34" s="348"/>
      <c r="V34" s="348"/>
    </row>
    <row r="35" spans="1:24" ht="16" customHeight="1">
      <c r="A35" s="61" t="s">
        <v>100</v>
      </c>
      <c r="B35" s="101">
        <v>401717</v>
      </c>
      <c r="C35" s="68" t="s">
        <v>270</v>
      </c>
      <c r="D35" s="123">
        <v>45814</v>
      </c>
      <c r="E35" s="65" t="s">
        <v>2</v>
      </c>
      <c r="F35" s="67">
        <v>173</v>
      </c>
      <c r="G35" s="116"/>
      <c r="H35" s="89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126"/>
      <c r="J35" s="66"/>
      <c r="K35" s="92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103">
        <f>IFERROR(IF(OR(ISBLANK(D35),ISBLANK(F35),ISBLANK(G35),ISBLANK(K35)),0,IF(YEAR(D35)&lt;#REF!,IF(ISNUMBER(I35),IF(YEAR(I35)&lt;#REF!,0,IF(OR(YEAR(I35)&gt;#REF!,MONTH(I35)&gt;$A$1),G35,IF(MONTH(I35)&lt;$A$1,0,(G35/DAY(EOMONTH(DATE(#REF!,$A$1,1),0)))*DAY(I35)+K35))),G35+K35),IF(YEAR(D35)=#REF!,IF(MONTH(D35)&lt;$A$1,IF(ISNUMBER(I35),IF(YEAR(I35)&lt;#REF!,0,IF(OR(YEAR(I35)&gt;#REF!,MONTH(I35)&gt;$A$1),G35,IF(MONTH(I35)&lt;$A$1,0,(G35/DAY(EOMONTH(DATE(#REF!,$A$1,1),0)))*DAY(I35)+K35))),G35),IF(MONTH(D35)=$A$1,IF(ISNUMBER(I35),IF(OR(YEAR(I35)&gt;#REF!,MONTH(I35)&gt;$A$1),G35,(G35/DAY(EOMONTH(D35,0)))*(I35-D35+1)+K35),(G35/DAY(EOMONTH(D35,0)))*(DAY(EOMONTH(D35,0))-DAY(D35)+1)+K35),0)),0))),0)</f>
        <v>0</v>
      </c>
      <c r="M35" s="95"/>
      <c r="N35" s="78"/>
      <c r="O35" s="242" t="s">
        <v>101</v>
      </c>
      <c r="P35" s="243"/>
      <c r="Q35" s="244">
        <f>EINSTELLUNG!C17</f>
        <v>12</v>
      </c>
      <c r="R35" s="244"/>
      <c r="S35" s="244">
        <f>EINSTELLUNG!C33</f>
        <v>12</v>
      </c>
      <c r="T35" s="244"/>
      <c r="U35" s="245">
        <f>S35-Q35</f>
        <v>0</v>
      </c>
      <c r="V35" s="245"/>
    </row>
    <row r="36" spans="1:24" ht="16" customHeight="1">
      <c r="A36" s="61" t="s">
        <v>102</v>
      </c>
      <c r="B36" s="101">
        <v>401722</v>
      </c>
      <c r="C36" s="68" t="s">
        <v>271</v>
      </c>
      <c r="D36" s="123">
        <v>45848</v>
      </c>
      <c r="E36" s="65" t="s">
        <v>2</v>
      </c>
      <c r="F36" s="67">
        <v>86.5</v>
      </c>
      <c r="G36" s="116"/>
      <c r="H36" s="89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26"/>
      <c r="J36" s="66"/>
      <c r="K36" s="92">
        <f t="shared" si="1"/>
        <v>0</v>
      </c>
      <c r="L36" s="103">
        <f>IFERROR(IF(OR(ISBLANK(D36),ISBLANK(F36),ISBLANK(G36),ISBLANK(K36)),0,IF(YEAR(D36)&lt;#REF!,IF(ISNUMBER(I36),IF(YEAR(I36)&lt;#REF!,0,IF(OR(YEAR(I36)&gt;#REF!,MONTH(I36)&gt;$A$1),G36,IF(MONTH(I36)&lt;$A$1,0,(G36/DAY(EOMONTH(DATE(#REF!,$A$1,1),0)))*DAY(I36)+K36))),G36+K36),IF(YEAR(D36)=#REF!,IF(MONTH(D36)&lt;$A$1,IF(ISNUMBER(I36),IF(YEAR(I36)&lt;#REF!,0,IF(OR(YEAR(I36)&gt;#REF!,MONTH(I36)&gt;$A$1),G36,IF(MONTH(I36)&lt;$A$1,0,(G36/DAY(EOMONTH(DATE(#REF!,$A$1,1),0)))*DAY(I36)+K36))),G36),IF(MONTH(D36)=$A$1,IF(ISNUMBER(I36),IF(OR(YEAR(I36)&gt;#REF!,MONTH(I36)&gt;$A$1),G36,(G36/DAY(EOMONTH(D36,0)))*(I36-D36+1)+K36),(G36/DAY(EOMONTH(D36,0)))*(DAY(EOMONTH(D36,0))-DAY(D36)+1)+K36),0)),0))),0)</f>
        <v>0</v>
      </c>
      <c r="M36" s="95"/>
      <c r="N36" s="78"/>
      <c r="O36" s="242" t="s">
        <v>103</v>
      </c>
      <c r="P36" s="243"/>
      <c r="Q36" s="244">
        <f>EINSTELLUNG!D17</f>
        <v>12</v>
      </c>
      <c r="R36" s="244"/>
      <c r="S36" s="288" cm="1">
        <f t="array" ref="S36">SumMergedCells(Q17:R29)</f>
        <v>0</v>
      </c>
      <c r="T36" s="290"/>
      <c r="U36" s="245">
        <f t="shared" ref="U36:U41" si="2">S36-Q36</f>
        <v>-12</v>
      </c>
      <c r="V36" s="245"/>
    </row>
    <row r="37" spans="1:24" ht="16" customHeight="1">
      <c r="A37" s="62" t="s">
        <v>104</v>
      </c>
      <c r="B37" s="101">
        <v>401723</v>
      </c>
      <c r="C37" s="68" t="s">
        <v>272</v>
      </c>
      <c r="D37" s="123">
        <v>45852</v>
      </c>
      <c r="E37" s="65" t="s">
        <v>2</v>
      </c>
      <c r="F37" s="67">
        <v>86.5</v>
      </c>
      <c r="G37" s="116"/>
      <c r="H37" s="89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126"/>
      <c r="J37" s="66"/>
      <c r="K37" s="92">
        <f t="shared" si="1"/>
        <v>0</v>
      </c>
      <c r="L37" s="103">
        <f>IFERROR(IF(OR(ISBLANK(D37),ISBLANK(F37),ISBLANK(G37),ISBLANK(K37)),0,IF(YEAR(D37)&lt;#REF!,IF(ISNUMBER(I37),IF(YEAR(I37)&lt;#REF!,0,IF(OR(YEAR(I37)&gt;#REF!,MONTH(I37)&gt;$A$1),G37,IF(MONTH(I37)&lt;$A$1,0,(G37/DAY(EOMONTH(DATE(#REF!,$A$1,1),0)))*DAY(I37)+K37))),G37+K37),IF(YEAR(D37)=#REF!,IF(MONTH(D37)&lt;$A$1,IF(ISNUMBER(I37),IF(YEAR(I37)&lt;#REF!,0,IF(OR(YEAR(I37)&gt;#REF!,MONTH(I37)&gt;$A$1),G37,IF(MONTH(I37)&lt;$A$1,0,(G37/DAY(EOMONTH(DATE(#REF!,$A$1,1),0)))*DAY(I37)+K37))),G37),IF(MONTH(D37)=$A$1,IF(ISNUMBER(I37),IF(OR(YEAR(I37)&gt;#REF!,MONTH(I37)&gt;$A$1),G37,(G37/DAY(EOMONTH(D37,0)))*(I37-D37+1)+K37),(G37/DAY(EOMONTH(D37,0)))*(DAY(EOMONTH(D37,0))-DAY(D37)+1)+K37),0)),0))),0)</f>
        <v>0</v>
      </c>
      <c r="M37" s="95"/>
      <c r="N37" s="78"/>
      <c r="O37" s="242" t="s">
        <v>105</v>
      </c>
      <c r="P37" s="243"/>
      <c r="Q37" s="284">
        <f>IF(ISERROR(Q36/Q35), 0, Q36/Q35)</f>
        <v>1</v>
      </c>
      <c r="R37" s="284"/>
      <c r="S37" s="284">
        <f>IF(ISERROR(S36/S35), 0, S36/S35)</f>
        <v>0</v>
      </c>
      <c r="T37" s="284"/>
      <c r="U37" s="285">
        <f t="shared" si="2"/>
        <v>-1</v>
      </c>
      <c r="V37" s="285"/>
    </row>
    <row r="38" spans="1:24" ht="16" customHeight="1">
      <c r="A38" s="61" t="s">
        <v>106</v>
      </c>
      <c r="B38" s="101">
        <v>401726</v>
      </c>
      <c r="C38" s="68" t="s">
        <v>273</v>
      </c>
      <c r="D38" s="123">
        <v>45870</v>
      </c>
      <c r="E38" s="65" t="s">
        <v>2</v>
      </c>
      <c r="F38" s="67">
        <v>86.5</v>
      </c>
      <c r="G38" s="116"/>
      <c r="H38" s="89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26"/>
      <c r="J38" s="66"/>
      <c r="K38" s="92">
        <f t="shared" si="1"/>
        <v>0</v>
      </c>
      <c r="L38" s="103">
        <f>IFERROR(IF(OR(ISBLANK(D38),ISBLANK(F38),ISBLANK(G38),ISBLANK(K38)),0,IF(YEAR(D38)&lt;#REF!,IF(ISNUMBER(I38),IF(YEAR(I38)&lt;#REF!,0,IF(OR(YEAR(I38)&gt;#REF!,MONTH(I38)&gt;$A$1),G38,IF(MONTH(I38)&lt;$A$1,0,(G38/DAY(EOMONTH(DATE(#REF!,$A$1,1),0)))*DAY(I38)+K38))),G38+K38),IF(YEAR(D38)=#REF!,IF(MONTH(D38)&lt;$A$1,IF(ISNUMBER(I38),IF(YEAR(I38)&lt;#REF!,0,IF(OR(YEAR(I38)&gt;#REF!,MONTH(I38)&gt;$A$1),G38,IF(MONTH(I38)&lt;$A$1,0,(G38/DAY(EOMONTH(DATE(#REF!,$A$1,1),0)))*DAY(I38)+K38))),G38),IF(MONTH(D38)=$A$1,IF(ISNUMBER(I38),IF(OR(YEAR(I38)&gt;#REF!,MONTH(I38)&gt;$A$1),G38,(G38/DAY(EOMONTH(D38,0)))*(I38-D38+1)+K38),(G38/DAY(EOMONTH(D38,0)))*(DAY(EOMONTH(D38,0))-DAY(D38)+1)+K38),0)),0))),0)</f>
        <v>0</v>
      </c>
      <c r="M38" s="95"/>
      <c r="N38" s="78"/>
      <c r="O38" s="242" t="s">
        <v>107</v>
      </c>
      <c r="P38" s="243"/>
      <c r="Q38" s="286">
        <f>EINSTELLUNG!F17</f>
        <v>12</v>
      </c>
      <c r="R38" s="286"/>
      <c r="S38" s="286">
        <f>EINSTELLUNG!F33</f>
        <v>12</v>
      </c>
      <c r="T38" s="286"/>
      <c r="U38" s="287">
        <f t="shared" si="2"/>
        <v>0</v>
      </c>
      <c r="V38" s="287"/>
    </row>
    <row r="39" spans="1:24" ht="16" customHeight="1">
      <c r="A39" s="61" t="s">
        <v>108</v>
      </c>
      <c r="B39" s="101">
        <v>401730</v>
      </c>
      <c r="C39" s="68" t="s">
        <v>275</v>
      </c>
      <c r="D39" s="123">
        <v>45895</v>
      </c>
      <c r="E39" s="65" t="s">
        <v>2</v>
      </c>
      <c r="F39" s="67">
        <v>86.5</v>
      </c>
      <c r="G39" s="116"/>
      <c r="H39" s="89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126"/>
      <c r="J39" s="66"/>
      <c r="K39" s="92">
        <f t="shared" si="1"/>
        <v>0</v>
      </c>
      <c r="L39" s="103">
        <f>IFERROR(IF(OR(ISBLANK(D39),ISBLANK(F39),ISBLANK(G39),ISBLANK(K39)),0,IF(YEAR(D39)&lt;#REF!,IF(ISNUMBER(I39),IF(YEAR(I39)&lt;#REF!,0,IF(OR(YEAR(I39)&gt;#REF!,MONTH(I39)&gt;$A$1),G39,IF(MONTH(I39)&lt;$A$1,0,(G39/DAY(EOMONTH(DATE(#REF!,$A$1,1),0)))*DAY(I39)+K39))),G39+K39),IF(YEAR(D39)=#REF!,IF(MONTH(D39)&lt;$A$1,IF(ISNUMBER(I39),IF(YEAR(I39)&lt;#REF!,0,IF(OR(YEAR(I39)&gt;#REF!,MONTH(I39)&gt;$A$1),G39,IF(MONTH(I39)&lt;$A$1,0,(G39/DAY(EOMONTH(DATE(#REF!,$A$1,1),0)))*DAY(I39)+K39))),G39),IF(MONTH(D39)=$A$1,IF(ISNUMBER(I39),IF(OR(YEAR(I39)&gt;#REF!,MONTH(I39)&gt;$A$1),G39,(G39/DAY(EOMONTH(D39,0)))*(I39-D39+1)+K39),(G39/DAY(EOMONTH(D39,0)))*(DAY(EOMONTH(D39,0))-DAY(D39)+1)+K39),0)),0))),0)</f>
        <v>0</v>
      </c>
      <c r="M39" s="95"/>
      <c r="N39" s="78"/>
      <c r="O39" s="242" t="s">
        <v>109</v>
      </c>
      <c r="P39" s="243"/>
      <c r="Q39" s="244">
        <f>IF(Q38=0, 0, Q35/Q38)</f>
        <v>1</v>
      </c>
      <c r="R39" s="244"/>
      <c r="S39" s="244">
        <f>IF(S38=0, 0, S35/S38)</f>
        <v>1</v>
      </c>
      <c r="T39" s="244"/>
      <c r="U39" s="245">
        <f t="shared" si="2"/>
        <v>0</v>
      </c>
      <c r="V39" s="245"/>
    </row>
    <row r="40" spans="1:24" ht="16" customHeight="1">
      <c r="A40" s="61" t="s">
        <v>110</v>
      </c>
      <c r="B40" s="101">
        <v>401731</v>
      </c>
      <c r="C40" s="68" t="s">
        <v>274</v>
      </c>
      <c r="D40" s="123">
        <v>45899</v>
      </c>
      <c r="E40" s="65" t="s">
        <v>2</v>
      </c>
      <c r="F40" s="67">
        <v>86.5</v>
      </c>
      <c r="G40" s="116"/>
      <c r="H40" s="89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26"/>
      <c r="J40" s="66"/>
      <c r="K40" s="92">
        <f t="shared" si="1"/>
        <v>0</v>
      </c>
      <c r="L40" s="103">
        <f>IFERROR(IF(OR(ISBLANK(D40),ISBLANK(F40),ISBLANK(G40),ISBLANK(K40)),0,IF(YEAR(D40)&lt;#REF!,IF(ISNUMBER(I40),IF(YEAR(I40)&lt;#REF!,0,IF(OR(YEAR(I40)&gt;#REF!,MONTH(I40)&gt;$A$1),G40,IF(MONTH(I40)&lt;$A$1,0,(G40/DAY(EOMONTH(DATE(#REF!,$A$1,1),0)))*DAY(I40)+K40))),G40+K40),IF(YEAR(D40)=#REF!,IF(MONTH(D40)&lt;$A$1,IF(ISNUMBER(I40),IF(YEAR(I40)&lt;#REF!,0,IF(OR(YEAR(I40)&gt;#REF!,MONTH(I40)&gt;$A$1),G40,IF(MONTH(I40)&lt;$A$1,0,(G40/DAY(EOMONTH(DATE(#REF!,$A$1,1),0)))*DAY(I40)+K40))),G40),IF(MONTH(D40)=$A$1,IF(ISNUMBER(I40),IF(OR(YEAR(I40)&gt;#REF!,MONTH(I40)&gt;$A$1),G40,(G40/DAY(EOMONTH(D40,0)))*(I40-D40+1)+K40),(G40/DAY(EOMONTH(D40,0)))*(DAY(EOMONTH(D40,0))-DAY(D40)+1)+K40),0)),0))),0)</f>
        <v>0</v>
      </c>
      <c r="M40" s="95"/>
      <c r="N40" s="78"/>
      <c r="O40" s="242" t="s">
        <v>111</v>
      </c>
      <c r="P40" s="243"/>
      <c r="Q40" s="244">
        <f>IF(Q13=0, 0, Q35/Q13)</f>
        <v>1.369659753689521E-3</v>
      </c>
      <c r="R40" s="244"/>
      <c r="S40" s="244">
        <f>IF(Q13=0, 0, S35/Q13)</f>
        <v>1.369659753689521E-3</v>
      </c>
      <c r="T40" s="244"/>
      <c r="U40" s="245">
        <f t="shared" si="2"/>
        <v>0</v>
      </c>
      <c r="V40" s="245"/>
    </row>
    <row r="41" spans="1:24" ht="16" customHeight="1">
      <c r="A41" s="62" t="s">
        <v>112</v>
      </c>
      <c r="B41" s="101">
        <v>401734</v>
      </c>
      <c r="C41" s="68" t="s">
        <v>276</v>
      </c>
      <c r="D41" s="123">
        <v>45904</v>
      </c>
      <c r="E41" s="65" t="s">
        <v>2</v>
      </c>
      <c r="F41" s="67">
        <v>86.5</v>
      </c>
      <c r="G41" s="116"/>
      <c r="H41" s="89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126"/>
      <c r="J41" s="66"/>
      <c r="K41" s="92">
        <f t="shared" si="1"/>
        <v>0</v>
      </c>
      <c r="L41" s="103">
        <f>IFERROR(IF(OR(ISBLANK(D41),ISBLANK(F41),ISBLANK(G41),ISBLANK(K41)),0,IF(YEAR(D41)&lt;#REF!,IF(ISNUMBER(I41),IF(YEAR(I41)&lt;#REF!,0,IF(OR(YEAR(I41)&gt;#REF!,MONTH(I41)&gt;$A$1),G41,IF(MONTH(I41)&lt;$A$1,0,(G41/DAY(EOMONTH(DATE(#REF!,$A$1,1),0)))*DAY(I41)+K41))),G41+K41),IF(YEAR(D41)=#REF!,IF(MONTH(D41)&lt;$A$1,IF(ISNUMBER(I41),IF(YEAR(I41)&lt;#REF!,0,IF(OR(YEAR(I41)&gt;#REF!,MONTH(I41)&gt;$A$1),G41,IF(MONTH(I41)&lt;$A$1,0,(G41/DAY(EOMONTH(DATE(#REF!,$A$1,1),0)))*DAY(I41)+K41))),G41),IF(MONTH(D41)=$A$1,IF(ISNUMBER(I41),IF(OR(YEAR(I41)&gt;#REF!,MONTH(I41)&gt;$A$1),G41,(G41/DAY(EOMONTH(D41,0)))*(I41-D41+1)+K41),(G41/DAY(EOMONTH(D41,0)))*(DAY(EOMONTH(D41,0))-DAY(D41)+1)+K41),0)),0))),0)</f>
        <v>0</v>
      </c>
      <c r="M41" s="95"/>
      <c r="N41" s="78"/>
      <c r="O41" s="242" t="s">
        <v>113</v>
      </c>
      <c r="P41" s="243"/>
      <c r="Q41" s="286">
        <f>IF(Q13=0, 0, Q38/Q13)</f>
        <v>1.369659753689521E-3</v>
      </c>
      <c r="R41" s="286"/>
      <c r="S41" s="286">
        <f>IF(Q13=0, 0, S38/Q13)</f>
        <v>1.369659753689521E-3</v>
      </c>
      <c r="T41" s="286"/>
      <c r="U41" s="287">
        <f t="shared" si="2"/>
        <v>0</v>
      </c>
      <c r="V41" s="287"/>
    </row>
    <row r="42" spans="1:24" ht="16" customHeight="1">
      <c r="A42" s="61" t="s">
        <v>114</v>
      </c>
      <c r="B42" s="101">
        <v>401736</v>
      </c>
      <c r="C42" s="68" t="s">
        <v>277</v>
      </c>
      <c r="D42" s="123">
        <v>45906</v>
      </c>
      <c r="E42" s="65" t="s">
        <v>2</v>
      </c>
      <c r="F42" s="67">
        <v>86.5</v>
      </c>
      <c r="G42" s="116"/>
      <c r="H42" s="89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26"/>
      <c r="J42" s="66"/>
      <c r="K42" s="92">
        <f t="shared" si="1"/>
        <v>0</v>
      </c>
      <c r="L42" s="103">
        <f>IFERROR(IF(OR(ISBLANK(D42),ISBLANK(F42),ISBLANK(G42),ISBLANK(K42)),0,IF(YEAR(D42)&lt;#REF!,IF(ISNUMBER(I42),IF(YEAR(I42)&lt;#REF!,0,IF(OR(YEAR(I42)&gt;#REF!,MONTH(I42)&gt;$A$1),G42,IF(MONTH(I42)&lt;$A$1,0,(G42/DAY(EOMONTH(DATE(#REF!,$A$1,1),0)))*DAY(I42)+K42))),G42+K42),IF(YEAR(D42)=#REF!,IF(MONTH(D42)&lt;$A$1,IF(ISNUMBER(I42),IF(YEAR(I42)&lt;#REF!,0,IF(OR(YEAR(I42)&gt;#REF!,MONTH(I42)&gt;$A$1),G42,IF(MONTH(I42)&lt;$A$1,0,(G42/DAY(EOMONTH(DATE(#REF!,$A$1,1),0)))*DAY(I42)+K42))),G42),IF(MONTH(D42)=$A$1,IF(ISNUMBER(I42),IF(OR(YEAR(I42)&gt;#REF!,MONTH(I42)&gt;$A$1),G42,(G42/DAY(EOMONTH(D42,0)))*(I42-D42+1)+K42),(G42/DAY(EOMONTH(D42,0)))*(DAY(EOMONTH(D42,0))-DAY(D42)+1)+K42),0)),0))),0)</f>
        <v>0</v>
      </c>
      <c r="M42" s="95"/>
      <c r="N42" s="78"/>
      <c r="O42" s="242" t="s">
        <v>115</v>
      </c>
      <c r="P42" s="243"/>
      <c r="Q42" s="288">
        <f>IFERROR(Q17/Q8, 0)</f>
        <v>0</v>
      </c>
      <c r="R42" s="289"/>
      <c r="S42" s="289"/>
      <c r="T42" s="289"/>
      <c r="U42" s="289"/>
      <c r="V42" s="290"/>
    </row>
    <row r="43" spans="1:24" ht="16" customHeight="1">
      <c r="A43" s="61" t="s">
        <v>116</v>
      </c>
      <c r="B43" s="101">
        <v>401737</v>
      </c>
      <c r="C43" s="68" t="s">
        <v>278</v>
      </c>
      <c r="D43" s="123">
        <v>45906</v>
      </c>
      <c r="E43" s="65" t="s">
        <v>2</v>
      </c>
      <c r="F43" s="67">
        <v>86.5</v>
      </c>
      <c r="G43" s="116"/>
      <c r="H43" s="89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126"/>
      <c r="J43" s="66"/>
      <c r="K43" s="92">
        <f t="shared" si="1"/>
        <v>0</v>
      </c>
      <c r="L43" s="103">
        <f>IFERROR(IF(OR(ISBLANK(D43),ISBLANK(F43),ISBLANK(G43),ISBLANK(K43)),0,IF(YEAR(D43)&lt;#REF!,IF(ISNUMBER(I43),IF(YEAR(I43)&lt;#REF!,0,IF(OR(YEAR(I43)&gt;#REF!,MONTH(I43)&gt;$A$1),G43,IF(MONTH(I43)&lt;$A$1,0,(G43/DAY(EOMONTH(DATE(#REF!,$A$1,1),0)))*DAY(I43)+K43))),G43+K43),IF(YEAR(D43)=#REF!,IF(MONTH(D43)&lt;$A$1,IF(ISNUMBER(I43),IF(YEAR(I43)&lt;#REF!,0,IF(OR(YEAR(I43)&gt;#REF!,MONTH(I43)&gt;$A$1),G43,IF(MONTH(I43)&lt;$A$1,0,(G43/DAY(EOMONTH(DATE(#REF!,$A$1,1),0)))*DAY(I43)+K43))),G43),IF(MONTH(D43)=$A$1,IF(ISNUMBER(I43),IF(OR(YEAR(I43)&gt;#REF!,MONTH(I43)&gt;$A$1),G43,(G43/DAY(EOMONTH(D43,0)))*(I43-D43+1)+K43),(G43/DAY(EOMONTH(D43,0)))*(DAY(EOMONTH(D43,0))-DAY(D43)+1)+K43),0)),0))),0)</f>
        <v>0</v>
      </c>
      <c r="M43" s="95"/>
      <c r="N43" s="78"/>
    </row>
    <row r="44" spans="1:24" ht="16" customHeight="1">
      <c r="A44" s="61" t="s">
        <v>117</v>
      </c>
      <c r="B44" s="101">
        <v>401738</v>
      </c>
      <c r="C44" s="68" t="s">
        <v>279</v>
      </c>
      <c r="D44" s="123">
        <v>45909</v>
      </c>
      <c r="E44" s="65" t="s">
        <v>2</v>
      </c>
      <c r="F44" s="67">
        <v>86.5</v>
      </c>
      <c r="G44" s="116"/>
      <c r="H44" s="89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26"/>
      <c r="J44" s="66"/>
      <c r="K44" s="92">
        <f t="shared" si="1"/>
        <v>0</v>
      </c>
      <c r="L44" s="103">
        <f>IFERROR(IF(OR(ISBLANK(D44),ISBLANK(F44),ISBLANK(G44),ISBLANK(K44)),0,IF(YEAR(D44)&lt;#REF!,IF(ISNUMBER(I44),IF(YEAR(I44)&lt;#REF!,0,IF(OR(YEAR(I44)&gt;#REF!,MONTH(I44)&gt;$A$1),G44,IF(MONTH(I44)&lt;$A$1,0,(G44/DAY(EOMONTH(DATE(#REF!,$A$1,1),0)))*DAY(I44)+K44))),G44+K44),IF(YEAR(D44)=#REF!,IF(MONTH(D44)&lt;$A$1,IF(ISNUMBER(I44),IF(YEAR(I44)&lt;#REF!,0,IF(OR(YEAR(I44)&gt;#REF!,MONTH(I44)&gt;$A$1),G44,IF(MONTH(I44)&lt;$A$1,0,(G44/DAY(EOMONTH(DATE(#REF!,$A$1,1),0)))*DAY(I44)+K44))),G44),IF(MONTH(D44)=$A$1,IF(ISNUMBER(I44),IF(OR(YEAR(I44)&gt;#REF!,MONTH(I44)&gt;$A$1),G44,(G44/DAY(EOMONTH(D44,0)))*(I44-D44+1)+K44),(G44/DAY(EOMONTH(D44,0)))*(DAY(EOMONTH(D44,0))-DAY(D44)+1)+K44),0)),0))),0)</f>
        <v>0</v>
      </c>
      <c r="M44" s="95"/>
      <c r="N44" s="78"/>
      <c r="O44" s="53" t="s">
        <v>118</v>
      </c>
      <c r="P44" s="53"/>
      <c r="Q44" s="54"/>
      <c r="R44" s="54"/>
      <c r="S44" s="54"/>
      <c r="T44" s="54"/>
      <c r="U44" s="54"/>
      <c r="V44" s="54"/>
      <c r="W44" s="54"/>
      <c r="X44" s="55"/>
    </row>
    <row r="45" spans="1:24" ht="16" customHeight="1">
      <c r="A45" s="62" t="s">
        <v>119</v>
      </c>
      <c r="B45" s="101">
        <v>401745</v>
      </c>
      <c r="C45" s="68" t="s">
        <v>283</v>
      </c>
      <c r="D45" s="123">
        <v>45934</v>
      </c>
      <c r="E45" s="65" t="s">
        <v>2</v>
      </c>
      <c r="F45" s="67">
        <v>86.5</v>
      </c>
      <c r="G45" s="116"/>
      <c r="H45" s="89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126"/>
      <c r="J45" s="66"/>
      <c r="K45" s="92">
        <f t="shared" si="1"/>
        <v>0</v>
      </c>
      <c r="L45" s="103">
        <f>IFERROR(IF(OR(ISBLANK(D45),ISBLANK(F45),ISBLANK(G45),ISBLANK(K45)),0,IF(YEAR(D45)&lt;#REF!,IF(ISNUMBER(I45),IF(YEAR(I45)&lt;#REF!,0,IF(OR(YEAR(I45)&gt;#REF!,MONTH(I45)&gt;$A$1),G45,IF(MONTH(I45)&lt;$A$1,0,(G45/DAY(EOMONTH(DATE(#REF!,$A$1,1),0)))*DAY(I45)+K45))),G45+K45),IF(YEAR(D45)=#REF!,IF(MONTH(D45)&lt;$A$1,IF(ISNUMBER(I45),IF(YEAR(I45)&lt;#REF!,0,IF(OR(YEAR(I45)&gt;#REF!,MONTH(I45)&gt;$A$1),G45,IF(MONTH(I45)&lt;$A$1,0,(G45/DAY(EOMONTH(DATE(#REF!,$A$1,1),0)))*DAY(I45)+K45))),G45),IF(MONTH(D45)=$A$1,IF(ISNUMBER(I45),IF(OR(YEAR(I45)&gt;#REF!,MONTH(I45)&gt;$A$1),G45,(G45/DAY(EOMONTH(D45,0)))*(I45-D45+1)+K45),(G45/DAY(EOMONTH(D45,0)))*(DAY(EOMONTH(D45,0))-DAY(D45)+1)+K45),0)),0))),0)</f>
        <v>0</v>
      </c>
      <c r="M45" s="95"/>
      <c r="N45" s="78"/>
      <c r="O45" s="47"/>
    </row>
    <row r="46" spans="1:24" ht="16" customHeight="1">
      <c r="A46" s="61" t="s">
        <v>120</v>
      </c>
      <c r="B46" s="101">
        <v>401748</v>
      </c>
      <c r="C46" s="68" t="s">
        <v>281</v>
      </c>
      <c r="D46" s="123">
        <v>45941</v>
      </c>
      <c r="E46" s="65" t="s">
        <v>2</v>
      </c>
      <c r="F46" s="67">
        <v>86.5</v>
      </c>
      <c r="G46" s="116"/>
      <c r="H46" s="89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26"/>
      <c r="J46" s="66"/>
      <c r="K46" s="92">
        <f t="shared" si="1"/>
        <v>0</v>
      </c>
      <c r="L46" s="103">
        <f>IFERROR(IF(OR(ISBLANK(D46),ISBLANK(F46),ISBLANK(G46),ISBLANK(K46)),0,IF(YEAR(D46)&lt;#REF!,IF(ISNUMBER(I46),IF(YEAR(I46)&lt;#REF!,0,IF(OR(YEAR(I46)&gt;#REF!,MONTH(I46)&gt;$A$1),G46,IF(MONTH(I46)&lt;$A$1,0,(G46/DAY(EOMONTH(DATE(#REF!,$A$1,1),0)))*DAY(I46)+K46))),G46+K46),IF(YEAR(D46)=#REF!,IF(MONTH(D46)&lt;$A$1,IF(ISNUMBER(I46),IF(YEAR(I46)&lt;#REF!,0,IF(OR(YEAR(I46)&gt;#REF!,MONTH(I46)&gt;$A$1),G46,IF(MONTH(I46)&lt;$A$1,0,(G46/DAY(EOMONTH(DATE(#REF!,$A$1,1),0)))*DAY(I46)+K46))),G46),IF(MONTH(D46)=$A$1,IF(ISNUMBER(I46),IF(OR(YEAR(I46)&gt;#REF!,MONTH(I46)&gt;$A$1),G46,(G46/DAY(EOMONTH(D46,0)))*(I46-D46+1)+K46),(G46/DAY(EOMONTH(D46,0)))*(DAY(EOMONTH(D46,0))-DAY(D46)+1)+K46),0)),0))),0)</f>
        <v>0</v>
      </c>
      <c r="M46" s="95"/>
      <c r="N46" s="78"/>
    </row>
    <row r="47" spans="1:24" ht="16" customHeight="1">
      <c r="A47" s="61" t="s">
        <v>121</v>
      </c>
      <c r="B47" s="101">
        <v>401751</v>
      </c>
      <c r="C47" s="68" t="s">
        <v>284</v>
      </c>
      <c r="D47" s="123">
        <v>45961</v>
      </c>
      <c r="E47" s="65" t="s">
        <v>2</v>
      </c>
      <c r="F47" s="67">
        <v>86.5</v>
      </c>
      <c r="G47" s="116"/>
      <c r="H47" s="89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126"/>
      <c r="J47" s="66"/>
      <c r="K47" s="92">
        <f t="shared" si="1"/>
        <v>0</v>
      </c>
      <c r="L47" s="103">
        <f>IFERROR(IF(OR(ISBLANK(D47),ISBLANK(F47),ISBLANK(G47),ISBLANK(K47)),0,IF(YEAR(D47)&lt;#REF!,IF(ISNUMBER(I47),IF(YEAR(I47)&lt;#REF!,0,IF(OR(YEAR(I47)&gt;#REF!,MONTH(I47)&gt;$A$1),G47,IF(MONTH(I47)&lt;$A$1,0,(G47/DAY(EOMONTH(DATE(#REF!,$A$1,1),0)))*DAY(I47)+K47))),G47+K47),IF(YEAR(D47)=#REF!,IF(MONTH(D47)&lt;$A$1,IF(ISNUMBER(I47),IF(YEAR(I47)&lt;#REF!,0,IF(OR(YEAR(I47)&gt;#REF!,MONTH(I47)&gt;$A$1),G47,IF(MONTH(I47)&lt;$A$1,0,(G47/DAY(EOMONTH(DATE(#REF!,$A$1,1),0)))*DAY(I47)+K47))),G47),IF(MONTH(D47)=$A$1,IF(ISNUMBER(I47),IF(OR(YEAR(I47)&gt;#REF!,MONTH(I47)&gt;$A$1),G47,(G47/DAY(EOMONTH(D47,0)))*(I47-D47+1)+K47),(G47/DAY(EOMONTH(D47,0)))*(DAY(EOMONTH(D47,0))-DAY(D47)+1)+K47),0)),0))),0)</f>
        <v>0</v>
      </c>
      <c r="M47" s="95"/>
      <c r="N47" s="78"/>
    </row>
    <row r="48" spans="1:24" ht="16" customHeight="1">
      <c r="A48" s="61" t="s">
        <v>122</v>
      </c>
      <c r="B48" s="101">
        <v>401752</v>
      </c>
      <c r="C48" s="68" t="s">
        <v>285</v>
      </c>
      <c r="D48" s="123">
        <v>45986</v>
      </c>
      <c r="E48" s="65" t="s">
        <v>2</v>
      </c>
      <c r="F48" s="67">
        <v>86.5</v>
      </c>
      <c r="G48" s="116"/>
      <c r="H48" s="89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26"/>
      <c r="J48" s="66"/>
      <c r="K48" s="92">
        <f t="shared" si="1"/>
        <v>0</v>
      </c>
      <c r="L48" s="103">
        <f>IFERROR(IF(OR(ISBLANK(D48),ISBLANK(F48),ISBLANK(G48),ISBLANK(K48)),0,IF(YEAR(D48)&lt;#REF!,IF(ISNUMBER(I48),IF(YEAR(I48)&lt;#REF!,0,IF(OR(YEAR(I48)&gt;#REF!,MONTH(I48)&gt;$A$1),G48,IF(MONTH(I48)&lt;$A$1,0,(G48/DAY(EOMONTH(DATE(#REF!,$A$1,1),0)))*DAY(I48)+K48))),G48+K48),IF(YEAR(D48)=#REF!,IF(MONTH(D48)&lt;$A$1,IF(ISNUMBER(I48),IF(YEAR(I48)&lt;#REF!,0,IF(OR(YEAR(I48)&gt;#REF!,MONTH(I48)&gt;$A$1),G48,IF(MONTH(I48)&lt;$A$1,0,(G48/DAY(EOMONTH(DATE(#REF!,$A$1,1),0)))*DAY(I48)+K48))),G48),IF(MONTH(D48)=$A$1,IF(ISNUMBER(I48),IF(OR(YEAR(I48)&gt;#REF!,MONTH(I48)&gt;$A$1),G48,(G48/DAY(EOMONTH(D48,0)))*(I48-D48+1)+K48),(G48/DAY(EOMONTH(D48,0)))*(DAY(EOMONTH(D48,0))-DAY(D48)+1)+K48),0)),0))),0)</f>
        <v>0</v>
      </c>
      <c r="M48" s="95"/>
      <c r="N48" s="78"/>
    </row>
    <row r="49" spans="1:14" ht="16" customHeight="1">
      <c r="A49" s="62" t="s">
        <v>123</v>
      </c>
      <c r="B49" s="101">
        <v>401999</v>
      </c>
      <c r="C49" s="68" t="s">
        <v>319</v>
      </c>
      <c r="D49" s="123">
        <v>46082</v>
      </c>
      <c r="E49" s="65" t="s">
        <v>2</v>
      </c>
      <c r="F49" s="67">
        <v>173</v>
      </c>
      <c r="G49" s="116"/>
      <c r="H49" s="89">
        <f>IF(AND(ISNUMBER(D49),ISNUMBER(F49)),ROUNDDOWN(MIN(IF(OR(ISBLANK(I49),I49=""),EOMONTH(DATE(EINSTELLUNG!$C$35,$A$1,1),0),I49)-MAX(D49,DATE(EINSTELLUNG!$C$35,$A$1,1))+1)/DAY(EOMONTH(DATE(EINSTELLUNG!$C$35,$A$1,1),0))*F49,2),"")</f>
        <v>173</v>
      </c>
      <c r="I49" s="126"/>
      <c r="J49" s="66"/>
      <c r="K49" s="92">
        <f t="shared" si="1"/>
        <v>0</v>
      </c>
      <c r="L49" s="103">
        <f>IFERROR(IF(OR(ISBLANK(D49),ISBLANK(F49),ISBLANK(G49),ISBLANK(K49)),0,IF(YEAR(D49)&lt;#REF!,IF(ISNUMBER(I49),IF(YEAR(I49)&lt;#REF!,0,IF(OR(YEAR(I49)&gt;#REF!,MONTH(I49)&gt;$A$1),G49,IF(MONTH(I49)&lt;$A$1,0,(G49/DAY(EOMONTH(DATE(#REF!,$A$1,1),0)))*DAY(I49)+K49))),G49+K49),IF(YEAR(D49)=#REF!,IF(MONTH(D49)&lt;$A$1,IF(ISNUMBER(I49),IF(YEAR(I49)&lt;#REF!,0,IF(OR(YEAR(I49)&gt;#REF!,MONTH(I49)&gt;$A$1),G49,IF(MONTH(I49)&lt;$A$1,0,(G49/DAY(EOMONTH(DATE(#REF!,$A$1,1),0)))*DAY(I49)+K49))),G49),IF(MONTH(D49)=$A$1,IF(ISNUMBER(I49),IF(OR(YEAR(I49)&gt;#REF!,MONTH(I49)&gt;$A$1),G49,(G49/DAY(EOMONTH(D49,0)))*(I49-D49+1)+K49),(G49/DAY(EOMONTH(D49,0)))*(DAY(EOMONTH(D49,0))-DAY(D49)+1)+K49),0)),0))),0)</f>
        <v>0</v>
      </c>
      <c r="M49" s="95"/>
      <c r="N49" s="78"/>
    </row>
    <row r="50" spans="1:14" ht="16" customHeight="1">
      <c r="A50" s="61" t="s">
        <v>124</v>
      </c>
      <c r="B50" s="101">
        <v>402000</v>
      </c>
      <c r="C50" s="68" t="s">
        <v>326</v>
      </c>
      <c r="D50" s="123">
        <v>46143</v>
      </c>
      <c r="E50" s="65" t="s">
        <v>2</v>
      </c>
      <c r="F50" s="67">
        <v>173</v>
      </c>
      <c r="G50" s="116"/>
      <c r="H50" s="89">
        <f>IF(AND(ISNUMBER(D50),ISNUMBER(F50)),ROUNDDOWN(MIN(IF(OR(ISBLANK(I50),I50=""),EOMONTH(DATE(EINSTELLUNG!$C$35,$A$1,1),0),I50)-MAX(D50,DATE(EINSTELLUNG!$C$35,$A$1,1))+1)/DAY(EOMONTH(DATE(EINSTELLUNG!$C$35,$A$1,1),0))*F50,2),"")</f>
        <v>173</v>
      </c>
      <c r="I50" s="126"/>
      <c r="J50" s="66"/>
      <c r="K50" s="92">
        <f t="shared" si="1"/>
        <v>0</v>
      </c>
      <c r="L50" s="103">
        <f>IFERROR(IF(OR(ISBLANK(D50),ISBLANK(F50),ISBLANK(G50),ISBLANK(K50)),0,IF(YEAR(D50)&lt;#REF!,IF(ISNUMBER(I50),IF(YEAR(I50)&lt;#REF!,0,IF(OR(YEAR(I50)&gt;#REF!,MONTH(I50)&gt;$A$1),G50,IF(MONTH(I50)&lt;$A$1,0,(G50/DAY(EOMONTH(DATE(#REF!,$A$1,1),0)))*DAY(I50)+K50))),G50+K50),IF(YEAR(D50)=#REF!,IF(MONTH(D50)&lt;$A$1,IF(ISNUMBER(I50),IF(YEAR(I50)&lt;#REF!,0,IF(OR(YEAR(I50)&gt;#REF!,MONTH(I50)&gt;$A$1),G50,IF(MONTH(I50)&lt;$A$1,0,(G50/DAY(EOMONTH(DATE(#REF!,$A$1,1),0)))*DAY(I50)+K50))),G50),IF(MONTH(D50)=$A$1,IF(ISNUMBER(I50),IF(OR(YEAR(I50)&gt;#REF!,MONTH(I50)&gt;$A$1),G50,(G50/DAY(EOMONTH(D50,0)))*(I50-D50+1)+K50),(G50/DAY(EOMONTH(D50,0)))*(DAY(EOMONTH(D50,0))-DAY(D50)+1)+K50),0)),0))),0)</f>
        <v>0</v>
      </c>
      <c r="M50" s="95"/>
      <c r="N50" s="78"/>
    </row>
    <row r="51" spans="1:14" ht="16" customHeight="1">
      <c r="A51" s="61" t="s">
        <v>125</v>
      </c>
      <c r="B51" s="101">
        <v>402004</v>
      </c>
      <c r="C51" s="68" t="s">
        <v>328</v>
      </c>
      <c r="D51" s="123">
        <v>46122</v>
      </c>
      <c r="E51" s="65" t="s">
        <v>2</v>
      </c>
      <c r="F51" s="67">
        <v>173</v>
      </c>
      <c r="G51" s="116"/>
      <c r="H51" s="89">
        <f>IF(AND(ISNUMBER(D51),ISNUMBER(F51)),ROUNDDOWN(MIN(IF(OR(ISBLANK(I51),I51=""),EOMONTH(DATE(EINSTELLUNG!$C$35,$A$1,1),0),I51)-MAX(D51,DATE(EINSTELLUNG!$C$35,$A$1,1))+1)/DAY(EOMONTH(DATE(EINSTELLUNG!$C$35,$A$1,1),0))*F51,2),"")</f>
        <v>173</v>
      </c>
      <c r="I51" s="126"/>
      <c r="J51" s="66"/>
      <c r="K51" s="92">
        <f t="shared" si="1"/>
        <v>0</v>
      </c>
      <c r="L51" s="103">
        <f>IFERROR(IF(OR(ISBLANK(D51),ISBLANK(F51),ISBLANK(G51),ISBLANK(K51)),0,IF(YEAR(D51)&lt;#REF!,IF(ISNUMBER(I51),IF(YEAR(I51)&lt;#REF!,0,IF(OR(YEAR(I51)&gt;#REF!,MONTH(I51)&gt;$A$1),G51,IF(MONTH(I51)&lt;$A$1,0,(G51/DAY(EOMONTH(DATE(#REF!,$A$1,1),0)))*DAY(I51)+K51))),G51+K51),IF(YEAR(D51)=#REF!,IF(MONTH(D51)&lt;$A$1,IF(ISNUMBER(I51),IF(YEAR(I51)&lt;#REF!,0,IF(OR(YEAR(I51)&gt;#REF!,MONTH(I51)&gt;$A$1),G51,IF(MONTH(I51)&lt;$A$1,0,(G51/DAY(EOMONTH(DATE(#REF!,$A$1,1),0)))*DAY(I51)+K51))),G51),IF(MONTH(D51)=$A$1,IF(ISNUMBER(I51),IF(OR(YEAR(I51)&gt;#REF!,MONTH(I51)&gt;$A$1),G51,(G51/DAY(EOMONTH(D51,0)))*(I51-D51+1)+K51),(G51/DAY(EOMONTH(D51,0)))*(DAY(EOMONTH(D51,0))-DAY(D51)+1)+K51),0)),0))),0)</f>
        <v>0</v>
      </c>
      <c r="M51" s="95"/>
      <c r="N51" s="78"/>
    </row>
    <row r="52" spans="1:14" ht="16" customHeight="1">
      <c r="A52" s="61" t="s">
        <v>126</v>
      </c>
      <c r="B52" s="101">
        <v>402405</v>
      </c>
      <c r="C52" s="68" t="s">
        <v>330</v>
      </c>
      <c r="D52" s="123">
        <v>46054</v>
      </c>
      <c r="E52" s="65" t="s">
        <v>2</v>
      </c>
      <c r="F52" s="67">
        <v>173</v>
      </c>
      <c r="G52" s="116"/>
      <c r="H52" s="89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26"/>
      <c r="J52" s="66"/>
      <c r="K52" s="92">
        <f t="shared" si="1"/>
        <v>0</v>
      </c>
      <c r="L52" s="103">
        <f>IFERROR(IF(OR(ISBLANK(D52),ISBLANK(F52),ISBLANK(G52),ISBLANK(K52)),0,IF(YEAR(D52)&lt;#REF!,IF(ISNUMBER(I52),IF(YEAR(I52)&lt;#REF!,0,IF(OR(YEAR(I52)&gt;#REF!,MONTH(I52)&gt;$A$1),G52,IF(MONTH(I52)&lt;$A$1,0,(G52/DAY(EOMONTH(DATE(#REF!,$A$1,1),0)))*DAY(I52)+K52))),G52+K52),IF(YEAR(D52)=#REF!,IF(MONTH(D52)&lt;$A$1,IF(ISNUMBER(I52),IF(YEAR(I52)&lt;#REF!,0,IF(OR(YEAR(I52)&gt;#REF!,MONTH(I52)&gt;$A$1),G52,IF(MONTH(I52)&lt;$A$1,0,(G52/DAY(EOMONTH(DATE(#REF!,$A$1,1),0)))*DAY(I52)+K52))),G52),IF(MONTH(D52)=$A$1,IF(ISNUMBER(I52),IF(OR(YEAR(I52)&gt;#REF!,MONTH(I52)&gt;$A$1),G52,(G52/DAY(EOMONTH(D52,0)))*(I52-D52+1)+K52),(G52/DAY(EOMONTH(D52,0)))*(DAY(EOMONTH(D52,0))-DAY(D52)+1)+K52),0)),0))),0)</f>
        <v>0</v>
      </c>
      <c r="M52" s="95"/>
      <c r="N52" s="78"/>
    </row>
    <row r="53" spans="1:14" ht="16" customHeight="1">
      <c r="A53" s="62" t="s">
        <v>127</v>
      </c>
      <c r="B53" s="101">
        <v>500600</v>
      </c>
      <c r="C53" s="68" t="s">
        <v>335</v>
      </c>
      <c r="D53" s="123">
        <v>46054</v>
      </c>
      <c r="E53" s="65" t="s">
        <v>2</v>
      </c>
      <c r="F53" s="67">
        <v>173</v>
      </c>
      <c r="G53" s="116"/>
      <c r="H53" s="89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126"/>
      <c r="J53" s="66"/>
      <c r="K53" s="92">
        <f t="shared" si="1"/>
        <v>0</v>
      </c>
      <c r="L53" s="103">
        <f>IFERROR(IF(OR(ISBLANK(D53),ISBLANK(F53),ISBLANK(G53),ISBLANK(K53)),0,IF(YEAR(D53)&lt;#REF!,IF(ISNUMBER(I53),IF(YEAR(I53)&lt;#REF!,0,IF(OR(YEAR(I53)&gt;#REF!,MONTH(I53)&gt;$A$1),G53,IF(MONTH(I53)&lt;$A$1,0,(G53/DAY(EOMONTH(DATE(#REF!,$A$1,1),0)))*DAY(I53)+K53))),G53+K53),IF(YEAR(D53)=#REF!,IF(MONTH(D53)&lt;$A$1,IF(ISNUMBER(I53),IF(YEAR(I53)&lt;#REF!,0,IF(OR(YEAR(I53)&gt;#REF!,MONTH(I53)&gt;$A$1),G53,IF(MONTH(I53)&lt;$A$1,0,(G53/DAY(EOMONTH(DATE(#REF!,$A$1,1),0)))*DAY(I53)+K53))),G53),IF(MONTH(D53)=$A$1,IF(ISNUMBER(I53),IF(OR(YEAR(I53)&gt;#REF!,MONTH(I53)&gt;$A$1),G53,(G53/DAY(EOMONTH(D53,0)))*(I53-D53+1)+K53),(G53/DAY(EOMONTH(D53,0)))*(DAY(EOMONTH(D53,0))-DAY(D53)+1)+K53),0)),0))),0)</f>
        <v>0</v>
      </c>
      <c r="M53" s="95"/>
      <c r="N53" s="78"/>
    </row>
    <row r="54" spans="1:14" ht="16" customHeight="1">
      <c r="A54" s="61" t="s">
        <v>128</v>
      </c>
      <c r="B54" s="101">
        <v>502000</v>
      </c>
      <c r="C54" s="68" t="s">
        <v>329</v>
      </c>
      <c r="D54" s="123">
        <v>46147</v>
      </c>
      <c r="E54" s="65" t="s">
        <v>2</v>
      </c>
      <c r="F54" s="67">
        <v>173</v>
      </c>
      <c r="G54" s="116"/>
      <c r="H54" s="89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26"/>
      <c r="J54" s="66"/>
      <c r="K54" s="92">
        <f t="shared" si="1"/>
        <v>0</v>
      </c>
      <c r="L54" s="103">
        <f>IFERROR(IF(OR(ISBLANK(D54),ISBLANK(F54),ISBLANK(G54),ISBLANK(K54)),0,IF(YEAR(D54)&lt;#REF!,IF(ISNUMBER(I54),IF(YEAR(I54)&lt;#REF!,0,IF(OR(YEAR(I54)&gt;#REF!,MONTH(I54)&gt;$A$1),G54,IF(MONTH(I54)&lt;$A$1,0,(G54/DAY(EOMONTH(DATE(#REF!,$A$1,1),0)))*DAY(I54)+K54))),G54+K54),IF(YEAR(D54)=#REF!,IF(MONTH(D54)&lt;$A$1,IF(ISNUMBER(I54),IF(YEAR(I54)&lt;#REF!,0,IF(OR(YEAR(I54)&gt;#REF!,MONTH(I54)&gt;$A$1),G54,IF(MONTH(I54)&lt;$A$1,0,(G54/DAY(EOMONTH(DATE(#REF!,$A$1,1),0)))*DAY(I54)+K54))),G54),IF(MONTH(D54)=$A$1,IF(ISNUMBER(I54),IF(OR(YEAR(I54)&gt;#REF!,MONTH(I54)&gt;$A$1),G54,(G54/DAY(EOMONTH(D54,0)))*(I54-D54+1)+K54),(G54/DAY(EOMONTH(D54,0)))*(DAY(EOMONTH(D54,0))-DAY(D54)+1)+K54),0)),0))),0)</f>
        <v>0</v>
      </c>
      <c r="M54" s="95"/>
      <c r="N54" s="78"/>
    </row>
    <row r="55" spans="1:14" ht="16" customHeight="1">
      <c r="A55" s="61" t="s">
        <v>129</v>
      </c>
      <c r="B55" s="101">
        <v>503000</v>
      </c>
      <c r="C55" s="68" t="s">
        <v>332</v>
      </c>
      <c r="D55" s="123">
        <v>42401</v>
      </c>
      <c r="E55" s="65" t="s">
        <v>2</v>
      </c>
      <c r="F55" s="67">
        <v>173</v>
      </c>
      <c r="G55" s="116"/>
      <c r="H55" s="89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126"/>
      <c r="J55" s="66"/>
      <c r="K55" s="92">
        <f t="shared" si="1"/>
        <v>0</v>
      </c>
      <c r="L55" s="103">
        <f>IFERROR(IF(OR(ISBLANK(D55),ISBLANK(F55),ISBLANK(G55),ISBLANK(K55)),0,IF(YEAR(D55)&lt;#REF!,IF(ISNUMBER(I55),IF(YEAR(I55)&lt;#REF!,0,IF(OR(YEAR(I55)&gt;#REF!,MONTH(I55)&gt;$A$1),G55,IF(MONTH(I55)&lt;$A$1,0,(G55/DAY(EOMONTH(DATE(#REF!,$A$1,1),0)))*DAY(I55)+K55))),G55+K55),IF(YEAR(D55)=#REF!,IF(MONTH(D55)&lt;$A$1,IF(ISNUMBER(I55),IF(YEAR(I55)&lt;#REF!,0,IF(OR(YEAR(I55)&gt;#REF!,MONTH(I55)&gt;$A$1),G55,IF(MONTH(I55)&lt;$A$1,0,(G55/DAY(EOMONTH(DATE(#REF!,$A$1,1),0)))*DAY(I55)+K55))),G55),IF(MONTH(D55)=$A$1,IF(ISNUMBER(I55),IF(OR(YEAR(I55)&gt;#REF!,MONTH(I55)&gt;$A$1),G55,(G55/DAY(EOMONTH(D55,0)))*(I55-D55+1)+K55),(G55/DAY(EOMONTH(D55,0)))*(DAY(EOMONTH(D55,0))-DAY(D55)+1)+K55),0)),0))),0)</f>
        <v>0</v>
      </c>
      <c r="M55" s="95"/>
      <c r="N55" s="78"/>
    </row>
    <row r="56" spans="1:14" ht="16" customHeight="1">
      <c r="A56" s="61" t="s">
        <v>130</v>
      </c>
      <c r="B56" s="101">
        <v>504000</v>
      </c>
      <c r="C56" s="68" t="s">
        <v>333</v>
      </c>
      <c r="D56" s="123">
        <v>46054</v>
      </c>
      <c r="E56" s="65" t="s">
        <v>3</v>
      </c>
      <c r="F56" s="67">
        <v>138.4</v>
      </c>
      <c r="G56" s="116"/>
      <c r="H56" s="89">
        <f>IF(AND(ISNUMBER(D56),ISNUMBER(F56)),ROUNDDOWN(MIN(IF(OR(ISBLANK(I56),I56=""),EOMONTH(DATE(EINSTELLUNG!$C$35,$A$1,1),0),I56)-MAX(D56,DATE(EINSTELLUNG!$C$35,$A$1,1))+1)/DAY(EOMONTH(DATE(EINSTELLUNG!$C$35,$A$1,1),0))*F56,2),"")</f>
        <v>138.4</v>
      </c>
      <c r="I56" s="126"/>
      <c r="J56" s="66"/>
      <c r="K56" s="92">
        <f t="shared" si="1"/>
        <v>0</v>
      </c>
      <c r="L56" s="103">
        <f>IFERROR(IF(OR(ISBLANK(D56),ISBLANK(F56),ISBLANK(G56),ISBLANK(K56)),0,IF(YEAR(D56)&lt;#REF!,IF(ISNUMBER(I56),IF(YEAR(I56)&lt;#REF!,0,IF(OR(YEAR(I56)&gt;#REF!,MONTH(I56)&gt;$A$1),G56,IF(MONTH(I56)&lt;$A$1,0,(G56/DAY(EOMONTH(DATE(#REF!,$A$1,1),0)))*DAY(I56)+K56))),G56+K56),IF(YEAR(D56)=#REF!,IF(MONTH(D56)&lt;$A$1,IF(ISNUMBER(I56),IF(YEAR(I56)&lt;#REF!,0,IF(OR(YEAR(I56)&gt;#REF!,MONTH(I56)&gt;$A$1),G56,IF(MONTH(I56)&lt;$A$1,0,(G56/DAY(EOMONTH(DATE(#REF!,$A$1,1),0)))*DAY(I56)+K56))),G56),IF(MONTH(D56)=$A$1,IF(ISNUMBER(I56),IF(OR(YEAR(I56)&gt;#REF!,MONTH(I56)&gt;$A$1),G56,(G56/DAY(EOMONTH(D56,0)))*(I56-D56+1)+K56),(G56/DAY(EOMONTH(D56,0)))*(DAY(EOMONTH(D56,0))-DAY(D56)+1)+K56),0)),0))),0)</f>
        <v>0</v>
      </c>
      <c r="M56" s="95"/>
      <c r="N56" s="78"/>
    </row>
    <row r="57" spans="1:14" ht="16" customHeight="1">
      <c r="A57" s="62" t="s">
        <v>131</v>
      </c>
      <c r="B57" s="101">
        <v>505000</v>
      </c>
      <c r="C57" s="68" t="s">
        <v>334</v>
      </c>
      <c r="D57" s="123">
        <v>46054</v>
      </c>
      <c r="E57" s="65" t="s">
        <v>2</v>
      </c>
      <c r="F57" s="67">
        <v>138.4</v>
      </c>
      <c r="G57" s="116"/>
      <c r="H57" s="89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126"/>
      <c r="J57" s="66"/>
      <c r="K57" s="92">
        <f t="shared" si="1"/>
        <v>0</v>
      </c>
      <c r="L57" s="103">
        <f>IFERROR(IF(OR(ISBLANK(D57),ISBLANK(F57),ISBLANK(G57),ISBLANK(K57)),0,IF(YEAR(D57)&lt;#REF!,IF(ISNUMBER(I57),IF(YEAR(I57)&lt;#REF!,0,IF(OR(YEAR(I57)&gt;#REF!,MONTH(I57)&gt;$A$1),G57,IF(MONTH(I57)&lt;$A$1,0,(G57/DAY(EOMONTH(DATE(#REF!,$A$1,1),0)))*DAY(I57)+K57))),G57+K57),IF(YEAR(D57)=#REF!,IF(MONTH(D57)&lt;$A$1,IF(ISNUMBER(I57),IF(YEAR(I57)&lt;#REF!,0,IF(OR(YEAR(I57)&gt;#REF!,MONTH(I57)&gt;$A$1),G57,IF(MONTH(I57)&lt;$A$1,0,(G57/DAY(EOMONTH(DATE(#REF!,$A$1,1),0)))*DAY(I57)+K57))),G57),IF(MONTH(D57)=$A$1,IF(ISNUMBER(I57),IF(OR(YEAR(I57)&gt;#REF!,MONTH(I57)&gt;$A$1),G57,(G57/DAY(EOMONTH(D57,0)))*(I57-D57+1)+K57),(G57/DAY(EOMONTH(D57,0)))*(DAY(EOMONTH(D57,0))-DAY(D57)+1)+K57),0)),0))),0)</f>
        <v>0</v>
      </c>
      <c r="M57" s="95"/>
      <c r="N57" s="78"/>
    </row>
    <row r="58" spans="1:14" ht="16" customHeight="1">
      <c r="A58" s="61" t="s">
        <v>132</v>
      </c>
      <c r="B58" s="101">
        <v>800000</v>
      </c>
      <c r="C58" s="68" t="s">
        <v>348</v>
      </c>
      <c r="D58" s="123">
        <v>46082</v>
      </c>
      <c r="E58" s="65" t="s">
        <v>2</v>
      </c>
      <c r="F58" s="67">
        <v>173</v>
      </c>
      <c r="G58" s="116"/>
      <c r="H58" s="89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26"/>
      <c r="J58" s="66"/>
      <c r="K58" s="92">
        <f t="shared" si="1"/>
        <v>0</v>
      </c>
      <c r="L58" s="103">
        <f>IFERROR(IF(OR(ISBLANK(D58),ISBLANK(F58),ISBLANK(G58),ISBLANK(K58)),0,IF(YEAR(D58)&lt;#REF!,IF(ISNUMBER(I58),IF(YEAR(I58)&lt;#REF!,0,IF(OR(YEAR(I58)&gt;#REF!,MONTH(I58)&gt;$A$1),G58,IF(MONTH(I58)&lt;$A$1,0,(G58/DAY(EOMONTH(DATE(#REF!,$A$1,1),0)))*DAY(I58)+K58))),G58+K58),IF(YEAR(D58)=#REF!,IF(MONTH(D58)&lt;$A$1,IF(ISNUMBER(I58),IF(YEAR(I58)&lt;#REF!,0,IF(OR(YEAR(I58)&gt;#REF!,MONTH(I58)&gt;$A$1),G58,IF(MONTH(I58)&lt;$A$1,0,(G58/DAY(EOMONTH(DATE(#REF!,$A$1,1),0)))*DAY(I58)+K58))),G58),IF(MONTH(D58)=$A$1,IF(ISNUMBER(I58),IF(OR(YEAR(I58)&gt;#REF!,MONTH(I58)&gt;$A$1),G58,(G58/DAY(EOMONTH(D58,0)))*(I58-D58+1)+K58),(G58/DAY(EOMONTH(D58,0)))*(DAY(EOMONTH(D58,0))-DAY(D58)+1)+K58),0)),0))),0)</f>
        <v>0</v>
      </c>
      <c r="M58" s="95"/>
      <c r="N58" s="78"/>
    </row>
    <row r="59" spans="1:14" ht="16" customHeight="1">
      <c r="A59" s="61" t="s">
        <v>133</v>
      </c>
      <c r="B59" s="101"/>
      <c r="C59" s="68"/>
      <c r="D59" s="123"/>
      <c r="E59" s="65"/>
      <c r="F59" s="67"/>
      <c r="G59" s="116"/>
      <c r="H59" s="89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126"/>
      <c r="J59" s="66"/>
      <c r="K59" s="92">
        <f t="shared" si="1"/>
        <v>0</v>
      </c>
      <c r="L59" s="103">
        <f>IFERROR(IF(OR(ISBLANK(D59),ISBLANK(F59),ISBLANK(G59),ISBLANK(K59)),0,IF(YEAR(D59)&lt;#REF!,IF(ISNUMBER(I59),IF(YEAR(I59)&lt;#REF!,0,IF(OR(YEAR(I59)&gt;#REF!,MONTH(I59)&gt;$A$1),G59,IF(MONTH(I59)&lt;$A$1,0,(G59/DAY(EOMONTH(DATE(#REF!,$A$1,1),0)))*DAY(I59)+K59))),G59+K59),IF(YEAR(D59)=#REF!,IF(MONTH(D59)&lt;$A$1,IF(ISNUMBER(I59),IF(YEAR(I59)&lt;#REF!,0,IF(OR(YEAR(I59)&gt;#REF!,MONTH(I59)&gt;$A$1),G59,IF(MONTH(I59)&lt;$A$1,0,(G59/DAY(EOMONTH(DATE(#REF!,$A$1,1),0)))*DAY(I59)+K59))),G59),IF(MONTH(D59)=$A$1,IF(ISNUMBER(I59),IF(OR(YEAR(I59)&gt;#REF!,MONTH(I59)&gt;$A$1),G59,(G59/DAY(EOMONTH(D59,0)))*(I59-D59+1)+K59),(G59/DAY(EOMONTH(D59,0)))*(DAY(EOMONTH(D59,0))-DAY(D59)+1)+K59),0)),0))),0)</f>
        <v>0</v>
      </c>
      <c r="M59" s="95"/>
      <c r="N59" s="78"/>
    </row>
    <row r="60" spans="1:14" ht="16" customHeight="1">
      <c r="A60" s="61" t="s">
        <v>134</v>
      </c>
      <c r="B60" s="101"/>
      <c r="C60" s="68"/>
      <c r="D60" s="123"/>
      <c r="E60" s="65"/>
      <c r="F60" s="67"/>
      <c r="G60" s="116"/>
      <c r="H60" s="89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26"/>
      <c r="J60" s="66"/>
      <c r="K60" s="92">
        <f t="shared" si="1"/>
        <v>0</v>
      </c>
      <c r="L60" s="103">
        <f>IFERROR(IF(OR(ISBLANK(D60),ISBLANK(F60),ISBLANK(G60),ISBLANK(K60)),0,IF(YEAR(D60)&lt;#REF!,IF(ISNUMBER(I60),IF(YEAR(I60)&lt;#REF!,0,IF(OR(YEAR(I60)&gt;#REF!,MONTH(I60)&gt;$A$1),G60,IF(MONTH(I60)&lt;$A$1,0,(G60/DAY(EOMONTH(DATE(#REF!,$A$1,1),0)))*DAY(I60)+K60))),G60+K60),IF(YEAR(D60)=#REF!,IF(MONTH(D60)&lt;$A$1,IF(ISNUMBER(I60),IF(YEAR(I60)&lt;#REF!,0,IF(OR(YEAR(I60)&gt;#REF!,MONTH(I60)&gt;$A$1),G60,IF(MONTH(I60)&lt;$A$1,0,(G60/DAY(EOMONTH(DATE(#REF!,$A$1,1),0)))*DAY(I60)+K60))),G60),IF(MONTH(D60)=$A$1,IF(ISNUMBER(I60),IF(OR(YEAR(I60)&gt;#REF!,MONTH(I60)&gt;$A$1),G60,(G60/DAY(EOMONTH(D60,0)))*(I60-D60+1)+K60),(G60/DAY(EOMONTH(D60,0)))*(DAY(EOMONTH(D60,0))-DAY(D60)+1)+K60),0)),0))),0)</f>
        <v>0</v>
      </c>
      <c r="M60" s="95"/>
      <c r="N60" s="78"/>
    </row>
    <row r="61" spans="1:14" ht="16" customHeight="1">
      <c r="A61" s="62" t="s">
        <v>135</v>
      </c>
      <c r="B61" s="101"/>
      <c r="C61" s="68"/>
      <c r="D61" s="123"/>
      <c r="E61" s="65"/>
      <c r="F61" s="67"/>
      <c r="G61" s="116"/>
      <c r="H61" s="89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126"/>
      <c r="J61" s="66"/>
      <c r="K61" s="92">
        <f t="shared" si="1"/>
        <v>0</v>
      </c>
      <c r="L61" s="103">
        <f>IFERROR(IF(OR(ISBLANK(D61),ISBLANK(F61),ISBLANK(G61),ISBLANK(K61)),0,IF(YEAR(D61)&lt;#REF!,IF(ISNUMBER(I61),IF(YEAR(I61)&lt;#REF!,0,IF(OR(YEAR(I61)&gt;#REF!,MONTH(I61)&gt;$A$1),G61,IF(MONTH(I61)&lt;$A$1,0,(G61/DAY(EOMONTH(DATE(#REF!,$A$1,1),0)))*DAY(I61)+K61))),G61+K61),IF(YEAR(D61)=#REF!,IF(MONTH(D61)&lt;$A$1,IF(ISNUMBER(I61),IF(YEAR(I61)&lt;#REF!,0,IF(OR(YEAR(I61)&gt;#REF!,MONTH(I61)&gt;$A$1),G61,IF(MONTH(I61)&lt;$A$1,0,(G61/DAY(EOMONTH(DATE(#REF!,$A$1,1),0)))*DAY(I61)+K61))),G61),IF(MONTH(D61)=$A$1,IF(ISNUMBER(I61),IF(OR(YEAR(I61)&gt;#REF!,MONTH(I61)&gt;$A$1),G61,(G61/DAY(EOMONTH(D61,0)))*(I61-D61+1)+K61),(G61/DAY(EOMONTH(D61,0)))*(DAY(EOMONTH(D61,0))-DAY(D61)+1)+K61),0)),0))),0)</f>
        <v>0</v>
      </c>
      <c r="M61" s="95"/>
      <c r="N61" s="78"/>
    </row>
    <row r="62" spans="1:14" ht="16" customHeight="1">
      <c r="A62" s="61" t="s">
        <v>136</v>
      </c>
      <c r="B62" s="101"/>
      <c r="C62" s="68"/>
      <c r="D62" s="123"/>
      <c r="E62" s="65"/>
      <c r="F62" s="67"/>
      <c r="G62" s="116"/>
      <c r="H62" s="89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26"/>
      <c r="J62" s="66"/>
      <c r="K62" s="92">
        <f t="shared" si="1"/>
        <v>0</v>
      </c>
      <c r="L62" s="103">
        <f>IFERROR(IF(OR(ISBLANK(D62),ISBLANK(F62),ISBLANK(G62),ISBLANK(K62)),0,IF(YEAR(D62)&lt;#REF!,IF(ISNUMBER(I62),IF(YEAR(I62)&lt;#REF!,0,IF(OR(YEAR(I62)&gt;#REF!,MONTH(I62)&gt;$A$1),G62,IF(MONTH(I62)&lt;$A$1,0,(G62/DAY(EOMONTH(DATE(#REF!,$A$1,1),0)))*DAY(I62)+K62))),G62+K62),IF(YEAR(D62)=#REF!,IF(MONTH(D62)&lt;$A$1,IF(ISNUMBER(I62),IF(YEAR(I62)&lt;#REF!,0,IF(OR(YEAR(I62)&gt;#REF!,MONTH(I62)&gt;$A$1),G62,IF(MONTH(I62)&lt;$A$1,0,(G62/DAY(EOMONTH(DATE(#REF!,$A$1,1),0)))*DAY(I62)+K62))),G62),IF(MONTH(D62)=$A$1,IF(ISNUMBER(I62),IF(OR(YEAR(I62)&gt;#REF!,MONTH(I62)&gt;$A$1),G62,(G62/DAY(EOMONTH(D62,0)))*(I62-D62+1)+K62),(G62/DAY(EOMONTH(D62,0)))*(DAY(EOMONTH(D62,0))-DAY(D62)+1)+K62),0)),0))),0)</f>
        <v>0</v>
      </c>
      <c r="M62" s="95"/>
      <c r="N62" s="78"/>
    </row>
    <row r="63" spans="1:14" ht="16" customHeight="1">
      <c r="A63" s="61" t="s">
        <v>137</v>
      </c>
      <c r="B63" s="101"/>
      <c r="C63" s="68"/>
      <c r="D63" s="123"/>
      <c r="E63" s="65"/>
      <c r="F63" s="67"/>
      <c r="G63" s="116"/>
      <c r="H63" s="89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126"/>
      <c r="J63" s="66"/>
      <c r="K63" s="92">
        <f t="shared" si="1"/>
        <v>0</v>
      </c>
      <c r="L63" s="103">
        <f>IFERROR(IF(OR(ISBLANK(D63),ISBLANK(F63),ISBLANK(G63),ISBLANK(K63)),0,IF(YEAR(D63)&lt;#REF!,IF(ISNUMBER(I63),IF(YEAR(I63)&lt;#REF!,0,IF(OR(YEAR(I63)&gt;#REF!,MONTH(I63)&gt;$A$1),G63,IF(MONTH(I63)&lt;$A$1,0,(G63/DAY(EOMONTH(DATE(#REF!,$A$1,1),0)))*DAY(I63)+K63))),G63+K63),IF(YEAR(D63)=#REF!,IF(MONTH(D63)&lt;$A$1,IF(ISNUMBER(I63),IF(YEAR(I63)&lt;#REF!,0,IF(OR(YEAR(I63)&gt;#REF!,MONTH(I63)&gt;$A$1),G63,IF(MONTH(I63)&lt;$A$1,0,(G63/DAY(EOMONTH(DATE(#REF!,$A$1,1),0)))*DAY(I63)+K63))),G63),IF(MONTH(D63)=$A$1,IF(ISNUMBER(I63),IF(OR(YEAR(I63)&gt;#REF!,MONTH(I63)&gt;$A$1),G63,(G63/DAY(EOMONTH(D63,0)))*(I63-D63+1)+K63),(G63/DAY(EOMONTH(D63,0)))*(DAY(EOMONTH(D63,0))-DAY(D63)+1)+K63),0)),0))),0)</f>
        <v>0</v>
      </c>
      <c r="M63" s="95"/>
      <c r="N63" s="78"/>
    </row>
    <row r="64" spans="1:14" ht="16" customHeight="1">
      <c r="A64" s="61" t="s">
        <v>138</v>
      </c>
      <c r="B64" s="101"/>
      <c r="C64" s="68"/>
      <c r="D64" s="123"/>
      <c r="E64" s="65"/>
      <c r="F64" s="67"/>
      <c r="G64" s="116"/>
      <c r="H64" s="89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26"/>
      <c r="J64" s="66"/>
      <c r="K64" s="92">
        <f t="shared" si="1"/>
        <v>0</v>
      </c>
      <c r="L64" s="103">
        <f>IFERROR(IF(OR(ISBLANK(D64),ISBLANK(F64),ISBLANK(G64),ISBLANK(K64)),0,IF(YEAR(D64)&lt;#REF!,IF(ISNUMBER(I64),IF(YEAR(I64)&lt;#REF!,0,IF(OR(YEAR(I64)&gt;#REF!,MONTH(I64)&gt;$A$1),G64,IF(MONTH(I64)&lt;$A$1,0,(G64/DAY(EOMONTH(DATE(#REF!,$A$1,1),0)))*DAY(I64)+K64))),G64+K64),IF(YEAR(D64)=#REF!,IF(MONTH(D64)&lt;$A$1,IF(ISNUMBER(I64),IF(YEAR(I64)&lt;#REF!,0,IF(OR(YEAR(I64)&gt;#REF!,MONTH(I64)&gt;$A$1),G64,IF(MONTH(I64)&lt;$A$1,0,(G64/DAY(EOMONTH(DATE(#REF!,$A$1,1),0)))*DAY(I64)+K64))),G64),IF(MONTH(D64)=$A$1,IF(ISNUMBER(I64),IF(OR(YEAR(I64)&gt;#REF!,MONTH(I64)&gt;$A$1),G64,(G64/DAY(EOMONTH(D64,0)))*(I64-D64+1)+K64),(G64/DAY(EOMONTH(D64,0)))*(DAY(EOMONTH(D64,0))-DAY(D64)+1)+K64),0)),0))),0)</f>
        <v>0</v>
      </c>
      <c r="M64" s="95"/>
      <c r="N64" s="78"/>
    </row>
    <row r="65" spans="1:14" ht="16" customHeight="1">
      <c r="A65" s="62" t="s">
        <v>139</v>
      </c>
      <c r="B65" s="101"/>
      <c r="C65" s="68"/>
      <c r="D65" s="123"/>
      <c r="E65" s="65"/>
      <c r="F65" s="67"/>
      <c r="G65" s="116"/>
      <c r="H65" s="89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126"/>
      <c r="J65" s="66"/>
      <c r="K65" s="92">
        <f t="shared" si="1"/>
        <v>0</v>
      </c>
      <c r="L65" s="103">
        <f>IFERROR(IF(OR(ISBLANK(D65),ISBLANK(F65),ISBLANK(G65),ISBLANK(K65)),0,IF(YEAR(D65)&lt;#REF!,IF(ISNUMBER(I65),IF(YEAR(I65)&lt;#REF!,0,IF(OR(YEAR(I65)&gt;#REF!,MONTH(I65)&gt;$A$1),G65,IF(MONTH(I65)&lt;$A$1,0,(G65/DAY(EOMONTH(DATE(#REF!,$A$1,1),0)))*DAY(I65)+K65))),G65+K65),IF(YEAR(D65)=#REF!,IF(MONTH(D65)&lt;$A$1,IF(ISNUMBER(I65),IF(YEAR(I65)&lt;#REF!,0,IF(OR(YEAR(I65)&gt;#REF!,MONTH(I65)&gt;$A$1),G65,IF(MONTH(I65)&lt;$A$1,0,(G65/DAY(EOMONTH(DATE(#REF!,$A$1,1),0)))*DAY(I65)+K65))),G65),IF(MONTH(D65)=$A$1,IF(ISNUMBER(I65),IF(OR(YEAR(I65)&gt;#REF!,MONTH(I65)&gt;$A$1),G65,(G65/DAY(EOMONTH(D65,0)))*(I65-D65+1)+K65),(G65/DAY(EOMONTH(D65,0)))*(DAY(EOMONTH(D65,0))-DAY(D65)+1)+K65),0)),0))),0)</f>
        <v>0</v>
      </c>
      <c r="M65" s="95"/>
      <c r="N65" s="78"/>
    </row>
    <row r="66" spans="1:14" ht="16" customHeight="1">
      <c r="A66" s="61" t="s">
        <v>140</v>
      </c>
      <c r="B66" s="101"/>
      <c r="C66" s="68"/>
      <c r="D66" s="123"/>
      <c r="E66" s="65"/>
      <c r="F66" s="67"/>
      <c r="G66" s="116"/>
      <c r="H66" s="89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26"/>
      <c r="J66" s="66"/>
      <c r="K66" s="92">
        <f t="shared" si="1"/>
        <v>0</v>
      </c>
      <c r="L66" s="103">
        <f>IFERROR(IF(OR(ISBLANK(D66),ISBLANK(F66),ISBLANK(G66),ISBLANK(K66)),0,IF(YEAR(D66)&lt;#REF!,IF(ISNUMBER(I66),IF(YEAR(I66)&lt;#REF!,0,IF(OR(YEAR(I66)&gt;#REF!,MONTH(I66)&gt;$A$1),G66,IF(MONTH(I66)&lt;$A$1,0,(G66/DAY(EOMONTH(DATE(#REF!,$A$1,1),0)))*DAY(I66)+K66))),G66+K66),IF(YEAR(D66)=#REF!,IF(MONTH(D66)&lt;$A$1,IF(ISNUMBER(I66),IF(YEAR(I66)&lt;#REF!,0,IF(OR(YEAR(I66)&gt;#REF!,MONTH(I66)&gt;$A$1),G66,IF(MONTH(I66)&lt;$A$1,0,(G66/DAY(EOMONTH(DATE(#REF!,$A$1,1),0)))*DAY(I66)+K66))),G66),IF(MONTH(D66)=$A$1,IF(ISNUMBER(I66),IF(OR(YEAR(I66)&gt;#REF!,MONTH(I66)&gt;$A$1),G66,(G66/DAY(EOMONTH(D66,0)))*(I66-D66+1)+K66),(G66/DAY(EOMONTH(D66,0)))*(DAY(EOMONTH(D66,0))-DAY(D66)+1)+K66),0)),0))),0)</f>
        <v>0</v>
      </c>
      <c r="M66" s="95"/>
      <c r="N66" s="78"/>
    </row>
    <row r="67" spans="1:14" ht="16" customHeight="1">
      <c r="A67" s="61" t="s">
        <v>141</v>
      </c>
      <c r="B67" s="101"/>
      <c r="C67" s="68"/>
      <c r="D67" s="123"/>
      <c r="E67" s="65"/>
      <c r="F67" s="67"/>
      <c r="G67" s="116"/>
      <c r="H67" s="89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126"/>
      <c r="J67" s="66"/>
      <c r="K67" s="92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103">
        <f>IFERROR(IF(OR(ISBLANK(D67),ISBLANK(F67),ISBLANK(G67),ISBLANK(K67)),0,IF(YEAR(D67)&lt;#REF!,IF(ISNUMBER(I67),IF(YEAR(I67)&lt;#REF!,0,IF(OR(YEAR(I67)&gt;#REF!,MONTH(I67)&gt;$A$1),G67,IF(MONTH(I67)&lt;$A$1,0,(G67/DAY(EOMONTH(DATE(#REF!,$A$1,1),0)))*DAY(I67)+K67))),G67+K67),IF(YEAR(D67)=#REF!,IF(MONTH(D67)&lt;$A$1,IF(ISNUMBER(I67),IF(YEAR(I67)&lt;#REF!,0,IF(OR(YEAR(I67)&gt;#REF!,MONTH(I67)&gt;$A$1),G67,IF(MONTH(I67)&lt;$A$1,0,(G67/DAY(EOMONTH(DATE(#REF!,$A$1,1),0)))*DAY(I67)+K67))),G67),IF(MONTH(D67)=$A$1,IF(ISNUMBER(I67),IF(OR(YEAR(I67)&gt;#REF!,MONTH(I67)&gt;$A$1),G67,(G67/DAY(EOMONTH(D67,0)))*(I67-D67+1)+K67),(G67/DAY(EOMONTH(D67,0)))*(DAY(EOMONTH(D67,0))-DAY(D67)+1)+K67),0)),0))),0)</f>
        <v>0</v>
      </c>
      <c r="M67" s="95"/>
      <c r="N67" s="78"/>
    </row>
    <row r="68" spans="1:14" ht="16" customHeight="1">
      <c r="A68" s="61" t="s">
        <v>142</v>
      </c>
      <c r="B68" s="101"/>
      <c r="C68" s="68"/>
      <c r="D68" s="123"/>
      <c r="E68" s="65"/>
      <c r="F68" s="67"/>
      <c r="G68" s="116"/>
      <c r="H68" s="89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26"/>
      <c r="J68" s="66"/>
      <c r="K68" s="92">
        <f t="shared" si="3"/>
        <v>0</v>
      </c>
      <c r="L68" s="103">
        <f>IFERROR(IF(OR(ISBLANK(D68),ISBLANK(F68),ISBLANK(G68),ISBLANK(K68)),0,IF(YEAR(D68)&lt;#REF!,IF(ISNUMBER(I68),IF(YEAR(I68)&lt;#REF!,0,IF(OR(YEAR(I68)&gt;#REF!,MONTH(I68)&gt;$A$1),G68,IF(MONTH(I68)&lt;$A$1,0,(G68/DAY(EOMONTH(DATE(#REF!,$A$1,1),0)))*DAY(I68)+K68))),G68+K68),IF(YEAR(D68)=#REF!,IF(MONTH(D68)&lt;$A$1,IF(ISNUMBER(I68),IF(YEAR(I68)&lt;#REF!,0,IF(OR(YEAR(I68)&gt;#REF!,MONTH(I68)&gt;$A$1),G68,IF(MONTH(I68)&lt;$A$1,0,(G68/DAY(EOMONTH(DATE(#REF!,$A$1,1),0)))*DAY(I68)+K68))),G68),IF(MONTH(D68)=$A$1,IF(ISNUMBER(I68),IF(OR(YEAR(I68)&gt;#REF!,MONTH(I68)&gt;$A$1),G68,(G68/DAY(EOMONTH(D68,0)))*(I68-D68+1)+K68),(G68/DAY(EOMONTH(D68,0)))*(DAY(EOMONTH(D68,0))-DAY(D68)+1)+K68),0)),0))),0)</f>
        <v>0</v>
      </c>
      <c r="M68" s="95"/>
      <c r="N68" s="78"/>
    </row>
    <row r="69" spans="1:14" ht="16" customHeight="1">
      <c r="A69" s="62" t="s">
        <v>143</v>
      </c>
      <c r="B69" s="101"/>
      <c r="C69" s="68"/>
      <c r="D69" s="123"/>
      <c r="E69" s="65"/>
      <c r="F69" s="67"/>
      <c r="G69" s="116"/>
      <c r="H69" s="89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126"/>
      <c r="J69" s="66"/>
      <c r="K69" s="92">
        <f t="shared" si="3"/>
        <v>0</v>
      </c>
      <c r="L69" s="103">
        <f>IFERROR(IF(OR(ISBLANK(D69),ISBLANK(F69),ISBLANK(G69),ISBLANK(K69)),0,IF(YEAR(D69)&lt;#REF!,IF(ISNUMBER(I69),IF(YEAR(I69)&lt;#REF!,0,IF(OR(YEAR(I69)&gt;#REF!,MONTH(I69)&gt;$A$1),G69,IF(MONTH(I69)&lt;$A$1,0,(G69/DAY(EOMONTH(DATE(#REF!,$A$1,1),0)))*DAY(I69)+K69))),G69+K69),IF(YEAR(D69)=#REF!,IF(MONTH(D69)&lt;$A$1,IF(ISNUMBER(I69),IF(YEAR(I69)&lt;#REF!,0,IF(OR(YEAR(I69)&gt;#REF!,MONTH(I69)&gt;$A$1),G69,IF(MONTH(I69)&lt;$A$1,0,(G69/DAY(EOMONTH(DATE(#REF!,$A$1,1),0)))*DAY(I69)+K69))),G69),IF(MONTH(D69)=$A$1,IF(ISNUMBER(I69),IF(OR(YEAR(I69)&gt;#REF!,MONTH(I69)&gt;$A$1),G69,(G69/DAY(EOMONTH(D69,0)))*(I69-D69+1)+K69),(G69/DAY(EOMONTH(D69,0)))*(DAY(EOMONTH(D69,0))-DAY(D69)+1)+K69),0)),0))),0)</f>
        <v>0</v>
      </c>
      <c r="M69" s="95"/>
      <c r="N69" s="78"/>
    </row>
    <row r="70" spans="1:14" ht="16" customHeight="1">
      <c r="A70" s="61" t="s">
        <v>144</v>
      </c>
      <c r="B70" s="101"/>
      <c r="C70" s="68"/>
      <c r="D70" s="123"/>
      <c r="E70" s="65"/>
      <c r="F70" s="67"/>
      <c r="G70" s="116"/>
      <c r="H70" s="89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26"/>
      <c r="J70" s="66"/>
      <c r="K70" s="92">
        <f t="shared" si="3"/>
        <v>0</v>
      </c>
      <c r="L70" s="103">
        <f>IFERROR(IF(OR(ISBLANK(D70),ISBLANK(F70),ISBLANK(G70),ISBLANK(K70)),0,IF(YEAR(D70)&lt;#REF!,IF(ISNUMBER(I70),IF(YEAR(I70)&lt;#REF!,0,IF(OR(YEAR(I70)&gt;#REF!,MONTH(I70)&gt;$A$1),G70,IF(MONTH(I70)&lt;$A$1,0,(G70/DAY(EOMONTH(DATE(#REF!,$A$1,1),0)))*DAY(I70)+K70))),G70+K70),IF(YEAR(D70)=#REF!,IF(MONTH(D70)&lt;$A$1,IF(ISNUMBER(I70),IF(YEAR(I70)&lt;#REF!,0,IF(OR(YEAR(I70)&gt;#REF!,MONTH(I70)&gt;$A$1),G70,IF(MONTH(I70)&lt;$A$1,0,(G70/DAY(EOMONTH(DATE(#REF!,$A$1,1),0)))*DAY(I70)+K70))),G70),IF(MONTH(D70)=$A$1,IF(ISNUMBER(I70),IF(OR(YEAR(I70)&gt;#REF!,MONTH(I70)&gt;$A$1),G70,(G70/DAY(EOMONTH(D70,0)))*(I70-D70+1)+K70),(G70/DAY(EOMONTH(D70,0)))*(DAY(EOMONTH(D70,0))-DAY(D70)+1)+K70),0)),0))),0)</f>
        <v>0</v>
      </c>
      <c r="M70" s="95"/>
      <c r="N70" s="78"/>
    </row>
    <row r="71" spans="1:14" ht="16" customHeight="1">
      <c r="A71" s="61" t="s">
        <v>145</v>
      </c>
      <c r="B71" s="101"/>
      <c r="C71" s="68"/>
      <c r="D71" s="123"/>
      <c r="E71" s="65"/>
      <c r="F71" s="67"/>
      <c r="G71" s="116"/>
      <c r="H71" s="89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126"/>
      <c r="J71" s="66"/>
      <c r="K71" s="92">
        <f t="shared" si="3"/>
        <v>0</v>
      </c>
      <c r="L71" s="103">
        <f>IFERROR(IF(OR(ISBLANK(D71),ISBLANK(F71),ISBLANK(G71),ISBLANK(K71)),0,IF(YEAR(D71)&lt;#REF!,IF(ISNUMBER(I71),IF(YEAR(I71)&lt;#REF!,0,IF(OR(YEAR(I71)&gt;#REF!,MONTH(I71)&gt;$A$1),G71,IF(MONTH(I71)&lt;$A$1,0,(G71/DAY(EOMONTH(DATE(#REF!,$A$1,1),0)))*DAY(I71)+K71))),G71+K71),IF(YEAR(D71)=#REF!,IF(MONTH(D71)&lt;$A$1,IF(ISNUMBER(I71),IF(YEAR(I71)&lt;#REF!,0,IF(OR(YEAR(I71)&gt;#REF!,MONTH(I71)&gt;$A$1),G71,IF(MONTH(I71)&lt;$A$1,0,(G71/DAY(EOMONTH(DATE(#REF!,$A$1,1),0)))*DAY(I71)+K71))),G71),IF(MONTH(D71)=$A$1,IF(ISNUMBER(I71),IF(OR(YEAR(I71)&gt;#REF!,MONTH(I71)&gt;$A$1),G71,(G71/DAY(EOMONTH(D71,0)))*(I71-D71+1)+K71),(G71/DAY(EOMONTH(D71,0)))*(DAY(EOMONTH(D71,0))-DAY(D71)+1)+K71),0)),0))),0)</f>
        <v>0</v>
      </c>
      <c r="M71" s="95"/>
      <c r="N71" s="78"/>
    </row>
    <row r="72" spans="1:14" ht="16" customHeight="1">
      <c r="A72" s="61" t="s">
        <v>146</v>
      </c>
      <c r="B72" s="101"/>
      <c r="C72" s="68"/>
      <c r="D72" s="123"/>
      <c r="E72" s="65"/>
      <c r="F72" s="67"/>
      <c r="G72" s="116"/>
      <c r="H72" s="89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26"/>
      <c r="J72" s="66"/>
      <c r="K72" s="92">
        <f t="shared" si="3"/>
        <v>0</v>
      </c>
      <c r="L72" s="103">
        <f>IFERROR(IF(OR(ISBLANK(D72),ISBLANK(F72),ISBLANK(G72),ISBLANK(K72)),0,IF(YEAR(D72)&lt;#REF!,IF(ISNUMBER(I72),IF(YEAR(I72)&lt;#REF!,0,IF(OR(YEAR(I72)&gt;#REF!,MONTH(I72)&gt;$A$1),G72,IF(MONTH(I72)&lt;$A$1,0,(G72/DAY(EOMONTH(DATE(#REF!,$A$1,1),0)))*DAY(I72)+K72))),G72+K72),IF(YEAR(D72)=#REF!,IF(MONTH(D72)&lt;$A$1,IF(ISNUMBER(I72),IF(YEAR(I72)&lt;#REF!,0,IF(OR(YEAR(I72)&gt;#REF!,MONTH(I72)&gt;$A$1),G72,IF(MONTH(I72)&lt;$A$1,0,(G72/DAY(EOMONTH(DATE(#REF!,$A$1,1),0)))*DAY(I72)+K72))),G72),IF(MONTH(D72)=$A$1,IF(ISNUMBER(I72),IF(OR(YEAR(I72)&gt;#REF!,MONTH(I72)&gt;$A$1),G72,(G72/DAY(EOMONTH(D72,0)))*(I72-D72+1)+K72),(G72/DAY(EOMONTH(D72,0)))*(DAY(EOMONTH(D72,0))-DAY(D72)+1)+K72),0)),0))),0)</f>
        <v>0</v>
      </c>
      <c r="M72" s="95"/>
      <c r="N72" s="78"/>
    </row>
    <row r="73" spans="1:14" ht="16" customHeight="1">
      <c r="A73" s="62" t="s">
        <v>147</v>
      </c>
      <c r="B73" s="101"/>
      <c r="C73" s="68"/>
      <c r="D73" s="123"/>
      <c r="E73" s="65"/>
      <c r="F73" s="67"/>
      <c r="G73" s="116"/>
      <c r="H73" s="89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126"/>
      <c r="J73" s="66"/>
      <c r="K73" s="92">
        <f t="shared" si="3"/>
        <v>0</v>
      </c>
      <c r="L73" s="103">
        <f>IFERROR(IF(OR(ISBLANK(D73),ISBLANK(F73),ISBLANK(G73),ISBLANK(K73)),0,IF(YEAR(D73)&lt;#REF!,IF(ISNUMBER(I73),IF(YEAR(I73)&lt;#REF!,0,IF(OR(YEAR(I73)&gt;#REF!,MONTH(I73)&gt;$A$1),G73,IF(MONTH(I73)&lt;$A$1,0,(G73/DAY(EOMONTH(DATE(#REF!,$A$1,1),0)))*DAY(I73)+K73))),G73+K73),IF(YEAR(D73)=#REF!,IF(MONTH(D73)&lt;$A$1,IF(ISNUMBER(I73),IF(YEAR(I73)&lt;#REF!,0,IF(OR(YEAR(I73)&gt;#REF!,MONTH(I73)&gt;$A$1),G73,IF(MONTH(I73)&lt;$A$1,0,(G73/DAY(EOMONTH(DATE(#REF!,$A$1,1),0)))*DAY(I73)+K73))),G73),IF(MONTH(D73)=$A$1,IF(ISNUMBER(I73),IF(OR(YEAR(I73)&gt;#REF!,MONTH(I73)&gt;$A$1),G73,(G73/DAY(EOMONTH(D73,0)))*(I73-D73+1)+K73),(G73/DAY(EOMONTH(D73,0)))*(DAY(EOMONTH(D73,0))-DAY(D73)+1)+K73),0)),0))),0)</f>
        <v>0</v>
      </c>
      <c r="M73" s="95"/>
      <c r="N73" s="78"/>
    </row>
    <row r="74" spans="1:14" ht="16" customHeight="1">
      <c r="A74" s="61" t="s">
        <v>148</v>
      </c>
      <c r="B74" s="101"/>
      <c r="C74" s="68"/>
      <c r="D74" s="123"/>
      <c r="E74" s="65"/>
      <c r="F74" s="67"/>
      <c r="G74" s="116"/>
      <c r="H74" s="89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26"/>
      <c r="J74" s="66"/>
      <c r="K74" s="92">
        <f t="shared" si="3"/>
        <v>0</v>
      </c>
      <c r="L74" s="103">
        <f>IFERROR(IF(OR(ISBLANK(D74),ISBLANK(F74),ISBLANK(G74),ISBLANK(K74)),0,IF(YEAR(D74)&lt;#REF!,IF(ISNUMBER(I74),IF(YEAR(I74)&lt;#REF!,0,IF(OR(YEAR(I74)&gt;#REF!,MONTH(I74)&gt;$A$1),G74,IF(MONTH(I74)&lt;$A$1,0,(G74/DAY(EOMONTH(DATE(#REF!,$A$1,1),0)))*DAY(I74)+K74))),G74+K74),IF(YEAR(D74)=#REF!,IF(MONTH(D74)&lt;$A$1,IF(ISNUMBER(I74),IF(YEAR(I74)&lt;#REF!,0,IF(OR(YEAR(I74)&gt;#REF!,MONTH(I74)&gt;$A$1),G74,IF(MONTH(I74)&lt;$A$1,0,(G74/DAY(EOMONTH(DATE(#REF!,$A$1,1),0)))*DAY(I74)+K74))),G74),IF(MONTH(D74)=$A$1,IF(ISNUMBER(I74),IF(OR(YEAR(I74)&gt;#REF!,MONTH(I74)&gt;$A$1),G74,(G74/DAY(EOMONTH(D74,0)))*(I74-D74+1)+K74),(G74/DAY(EOMONTH(D74,0)))*(DAY(EOMONTH(D74,0))-DAY(D74)+1)+K74),0)),0))),0)</f>
        <v>0</v>
      </c>
      <c r="M74" s="95"/>
      <c r="N74" s="78"/>
    </row>
    <row r="75" spans="1:14" ht="16" customHeight="1">
      <c r="A75" s="61" t="s">
        <v>149</v>
      </c>
      <c r="B75" s="101"/>
      <c r="C75" s="68"/>
      <c r="D75" s="123"/>
      <c r="E75" s="65"/>
      <c r="F75" s="67"/>
      <c r="G75" s="116"/>
      <c r="H75" s="89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126"/>
      <c r="J75" s="66"/>
      <c r="K75" s="92">
        <f t="shared" si="3"/>
        <v>0</v>
      </c>
      <c r="L75" s="103">
        <f>IFERROR(IF(OR(ISBLANK(D75),ISBLANK(F75),ISBLANK(G75),ISBLANK(K75)),0,IF(YEAR(D75)&lt;#REF!,IF(ISNUMBER(I75),IF(YEAR(I75)&lt;#REF!,0,IF(OR(YEAR(I75)&gt;#REF!,MONTH(I75)&gt;$A$1),G75,IF(MONTH(I75)&lt;$A$1,0,(G75/DAY(EOMONTH(DATE(#REF!,$A$1,1),0)))*DAY(I75)+K75))),G75+K75),IF(YEAR(D75)=#REF!,IF(MONTH(D75)&lt;$A$1,IF(ISNUMBER(I75),IF(YEAR(I75)&lt;#REF!,0,IF(OR(YEAR(I75)&gt;#REF!,MONTH(I75)&gt;$A$1),G75,IF(MONTH(I75)&lt;$A$1,0,(G75/DAY(EOMONTH(DATE(#REF!,$A$1,1),0)))*DAY(I75)+K75))),G75),IF(MONTH(D75)=$A$1,IF(ISNUMBER(I75),IF(OR(YEAR(I75)&gt;#REF!,MONTH(I75)&gt;$A$1),G75,(G75/DAY(EOMONTH(D75,0)))*(I75-D75+1)+K75),(G75/DAY(EOMONTH(D75,0)))*(DAY(EOMONTH(D75,0))-DAY(D75)+1)+K75),0)),0))),0)</f>
        <v>0</v>
      </c>
      <c r="M75" s="95"/>
      <c r="N75" s="78"/>
    </row>
    <row r="76" spans="1:14" ht="16" customHeight="1">
      <c r="A76" s="61" t="s">
        <v>150</v>
      </c>
      <c r="B76" s="101"/>
      <c r="C76" s="68"/>
      <c r="D76" s="123"/>
      <c r="E76" s="65"/>
      <c r="F76" s="67"/>
      <c r="G76" s="116"/>
      <c r="H76" s="89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26"/>
      <c r="J76" s="66"/>
      <c r="K76" s="92">
        <f t="shared" si="3"/>
        <v>0</v>
      </c>
      <c r="L76" s="103">
        <f>IFERROR(IF(OR(ISBLANK(D76),ISBLANK(F76),ISBLANK(G76),ISBLANK(K76)),0,IF(YEAR(D76)&lt;#REF!,IF(ISNUMBER(I76),IF(YEAR(I76)&lt;#REF!,0,IF(OR(YEAR(I76)&gt;#REF!,MONTH(I76)&gt;$A$1),G76,IF(MONTH(I76)&lt;$A$1,0,(G76/DAY(EOMONTH(DATE(#REF!,$A$1,1),0)))*DAY(I76)+K76))),G76+K76),IF(YEAR(D76)=#REF!,IF(MONTH(D76)&lt;$A$1,IF(ISNUMBER(I76),IF(YEAR(I76)&lt;#REF!,0,IF(OR(YEAR(I76)&gt;#REF!,MONTH(I76)&gt;$A$1),G76,IF(MONTH(I76)&lt;$A$1,0,(G76/DAY(EOMONTH(DATE(#REF!,$A$1,1),0)))*DAY(I76)+K76))),G76),IF(MONTH(D76)=$A$1,IF(ISNUMBER(I76),IF(OR(YEAR(I76)&gt;#REF!,MONTH(I76)&gt;$A$1),G76,(G76/DAY(EOMONTH(D76,0)))*(I76-D76+1)+K76),(G76/DAY(EOMONTH(D76,0)))*(DAY(EOMONTH(D76,0))-DAY(D76)+1)+K76),0)),0))),0)</f>
        <v>0</v>
      </c>
      <c r="M76" s="95"/>
      <c r="N76" s="78"/>
    </row>
    <row r="77" spans="1:14" ht="16" customHeight="1">
      <c r="A77" s="62" t="s">
        <v>151</v>
      </c>
      <c r="B77" s="101"/>
      <c r="C77" s="68"/>
      <c r="D77" s="123"/>
      <c r="E77" s="65"/>
      <c r="F77" s="67"/>
      <c r="G77" s="116"/>
      <c r="H77" s="89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126"/>
      <c r="J77" s="66"/>
      <c r="K77" s="92">
        <f t="shared" si="3"/>
        <v>0</v>
      </c>
      <c r="L77" s="103">
        <f>IFERROR(IF(OR(ISBLANK(D77),ISBLANK(F77),ISBLANK(G77),ISBLANK(K77)),0,IF(YEAR(D77)&lt;#REF!,IF(ISNUMBER(I77),IF(YEAR(I77)&lt;#REF!,0,IF(OR(YEAR(I77)&gt;#REF!,MONTH(I77)&gt;$A$1),G77,IF(MONTH(I77)&lt;$A$1,0,(G77/DAY(EOMONTH(DATE(#REF!,$A$1,1),0)))*DAY(I77)+K77))),G77+K77),IF(YEAR(D77)=#REF!,IF(MONTH(D77)&lt;$A$1,IF(ISNUMBER(I77),IF(YEAR(I77)&lt;#REF!,0,IF(OR(YEAR(I77)&gt;#REF!,MONTH(I77)&gt;$A$1),G77,IF(MONTH(I77)&lt;$A$1,0,(G77/DAY(EOMONTH(DATE(#REF!,$A$1,1),0)))*DAY(I77)+K77))),G77),IF(MONTH(D77)=$A$1,IF(ISNUMBER(I77),IF(OR(YEAR(I77)&gt;#REF!,MONTH(I77)&gt;$A$1),G77,(G77/DAY(EOMONTH(D77,0)))*(I77-D77+1)+K77),(G77/DAY(EOMONTH(D77,0)))*(DAY(EOMONTH(D77,0))-DAY(D77)+1)+K77),0)),0))),0)</f>
        <v>0</v>
      </c>
      <c r="M77" s="95"/>
      <c r="N77" s="78"/>
    </row>
    <row r="78" spans="1:14" ht="16" customHeight="1">
      <c r="A78" s="61" t="s">
        <v>152</v>
      </c>
      <c r="B78" s="101"/>
      <c r="C78" s="68"/>
      <c r="D78" s="123"/>
      <c r="E78" s="65"/>
      <c r="F78" s="67"/>
      <c r="G78" s="116"/>
      <c r="H78" s="89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26"/>
      <c r="J78" s="66"/>
      <c r="K78" s="92">
        <f t="shared" si="3"/>
        <v>0</v>
      </c>
      <c r="L78" s="103">
        <f>IFERROR(IF(OR(ISBLANK(D78),ISBLANK(F78),ISBLANK(G78),ISBLANK(K78)),0,IF(YEAR(D78)&lt;#REF!,IF(ISNUMBER(I78),IF(YEAR(I78)&lt;#REF!,0,IF(OR(YEAR(I78)&gt;#REF!,MONTH(I78)&gt;$A$1),G78,IF(MONTH(I78)&lt;$A$1,0,(G78/DAY(EOMONTH(DATE(#REF!,$A$1,1),0)))*DAY(I78)+K78))),G78+K78),IF(YEAR(D78)=#REF!,IF(MONTH(D78)&lt;$A$1,IF(ISNUMBER(I78),IF(YEAR(I78)&lt;#REF!,0,IF(OR(YEAR(I78)&gt;#REF!,MONTH(I78)&gt;$A$1),G78,IF(MONTH(I78)&lt;$A$1,0,(G78/DAY(EOMONTH(DATE(#REF!,$A$1,1),0)))*DAY(I78)+K78))),G78),IF(MONTH(D78)=$A$1,IF(ISNUMBER(I78),IF(OR(YEAR(I78)&gt;#REF!,MONTH(I78)&gt;$A$1),G78,(G78/DAY(EOMONTH(D78,0)))*(I78-D78+1)+K78),(G78/DAY(EOMONTH(D78,0)))*(DAY(EOMONTH(D78,0))-DAY(D78)+1)+K78),0)),0))),0)</f>
        <v>0</v>
      </c>
      <c r="M78" s="95"/>
      <c r="N78" s="78"/>
    </row>
    <row r="79" spans="1:14" ht="16" customHeight="1">
      <c r="A79" s="61" t="s">
        <v>153</v>
      </c>
      <c r="B79" s="101"/>
      <c r="C79" s="68"/>
      <c r="D79" s="123"/>
      <c r="E79" s="65"/>
      <c r="F79" s="67"/>
      <c r="G79" s="116"/>
      <c r="H79" s="89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126"/>
      <c r="J79" s="66"/>
      <c r="K79" s="92">
        <f t="shared" si="3"/>
        <v>0</v>
      </c>
      <c r="L79" s="103">
        <f>IFERROR(IF(OR(ISBLANK(D79),ISBLANK(F79),ISBLANK(G79),ISBLANK(K79)),0,IF(YEAR(D79)&lt;#REF!,IF(ISNUMBER(I79),IF(YEAR(I79)&lt;#REF!,0,IF(OR(YEAR(I79)&gt;#REF!,MONTH(I79)&gt;$A$1),G79,IF(MONTH(I79)&lt;$A$1,0,(G79/DAY(EOMONTH(DATE(#REF!,$A$1,1),0)))*DAY(I79)+K79))),G79+K79),IF(YEAR(D79)=#REF!,IF(MONTH(D79)&lt;$A$1,IF(ISNUMBER(I79),IF(YEAR(I79)&lt;#REF!,0,IF(OR(YEAR(I79)&gt;#REF!,MONTH(I79)&gt;$A$1),G79,IF(MONTH(I79)&lt;$A$1,0,(G79/DAY(EOMONTH(DATE(#REF!,$A$1,1),0)))*DAY(I79)+K79))),G79),IF(MONTH(D79)=$A$1,IF(ISNUMBER(I79),IF(OR(YEAR(I79)&gt;#REF!,MONTH(I79)&gt;$A$1),G79,(G79/DAY(EOMONTH(D79,0)))*(I79-D79+1)+K79),(G79/DAY(EOMONTH(D79,0)))*(DAY(EOMONTH(D79,0))-DAY(D79)+1)+K79),0)),0))),0)</f>
        <v>0</v>
      </c>
      <c r="M79" s="95"/>
      <c r="N79" s="78"/>
    </row>
    <row r="80" spans="1:14" ht="16" customHeight="1">
      <c r="A80" s="61" t="s">
        <v>154</v>
      </c>
      <c r="B80" s="101"/>
      <c r="C80" s="68"/>
      <c r="D80" s="123"/>
      <c r="E80" s="65"/>
      <c r="F80" s="67"/>
      <c r="G80" s="116"/>
      <c r="H80" s="89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26"/>
      <c r="J80" s="66"/>
      <c r="K80" s="92">
        <f t="shared" si="3"/>
        <v>0</v>
      </c>
      <c r="L80" s="103">
        <f>IFERROR(IF(OR(ISBLANK(D80),ISBLANK(F80),ISBLANK(G80),ISBLANK(K80)),0,IF(YEAR(D80)&lt;#REF!,IF(ISNUMBER(I80),IF(YEAR(I80)&lt;#REF!,0,IF(OR(YEAR(I80)&gt;#REF!,MONTH(I80)&gt;$A$1),G80,IF(MONTH(I80)&lt;$A$1,0,(G80/DAY(EOMONTH(DATE(#REF!,$A$1,1),0)))*DAY(I80)+K80))),G80+K80),IF(YEAR(D80)=#REF!,IF(MONTH(D80)&lt;$A$1,IF(ISNUMBER(I80),IF(YEAR(I80)&lt;#REF!,0,IF(OR(YEAR(I80)&gt;#REF!,MONTH(I80)&gt;$A$1),G80,IF(MONTH(I80)&lt;$A$1,0,(G80/DAY(EOMONTH(DATE(#REF!,$A$1,1),0)))*DAY(I80)+K80))),G80),IF(MONTH(D80)=$A$1,IF(ISNUMBER(I80),IF(OR(YEAR(I80)&gt;#REF!,MONTH(I80)&gt;$A$1),G80,(G80/DAY(EOMONTH(D80,0)))*(I80-D80+1)+K80),(G80/DAY(EOMONTH(D80,0)))*(DAY(EOMONTH(D80,0))-DAY(D80)+1)+K80),0)),0))),0)</f>
        <v>0</v>
      </c>
      <c r="M80" s="95"/>
      <c r="N80" s="78"/>
    </row>
    <row r="81" spans="1:14" ht="16" customHeight="1">
      <c r="A81" s="62" t="s">
        <v>155</v>
      </c>
      <c r="B81" s="101"/>
      <c r="C81" s="68"/>
      <c r="D81" s="123"/>
      <c r="E81" s="65"/>
      <c r="F81" s="67"/>
      <c r="G81" s="116"/>
      <c r="H81" s="89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126"/>
      <c r="J81" s="66"/>
      <c r="K81" s="92">
        <f t="shared" si="3"/>
        <v>0</v>
      </c>
      <c r="L81" s="103">
        <f>IFERROR(IF(OR(ISBLANK(D81),ISBLANK(F81),ISBLANK(G81),ISBLANK(K81)),0,IF(YEAR(D81)&lt;#REF!,IF(ISNUMBER(I81),IF(YEAR(I81)&lt;#REF!,0,IF(OR(YEAR(I81)&gt;#REF!,MONTH(I81)&gt;$A$1),G81,IF(MONTH(I81)&lt;$A$1,0,(G81/DAY(EOMONTH(DATE(#REF!,$A$1,1),0)))*DAY(I81)+K81))),G81+K81),IF(YEAR(D81)=#REF!,IF(MONTH(D81)&lt;$A$1,IF(ISNUMBER(I81),IF(YEAR(I81)&lt;#REF!,0,IF(OR(YEAR(I81)&gt;#REF!,MONTH(I81)&gt;$A$1),G81,IF(MONTH(I81)&lt;$A$1,0,(G81/DAY(EOMONTH(DATE(#REF!,$A$1,1),0)))*DAY(I81)+K81))),G81),IF(MONTH(D81)=$A$1,IF(ISNUMBER(I81),IF(OR(YEAR(I81)&gt;#REF!,MONTH(I81)&gt;$A$1),G81,(G81/DAY(EOMONTH(D81,0)))*(I81-D81+1)+K81),(G81/DAY(EOMONTH(D81,0)))*(DAY(EOMONTH(D81,0))-DAY(D81)+1)+K81),0)),0))),0)</f>
        <v>0</v>
      </c>
      <c r="M81" s="95"/>
      <c r="N81" s="78"/>
    </row>
    <row r="82" spans="1:14" ht="16" customHeight="1" thickBot="1">
      <c r="A82" s="61" t="s">
        <v>156</v>
      </c>
      <c r="B82" s="102"/>
      <c r="C82" s="79"/>
      <c r="D82" s="124"/>
      <c r="E82" s="81"/>
      <c r="F82" s="82"/>
      <c r="G82" s="117"/>
      <c r="H82" s="9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127"/>
      <c r="J82" s="83"/>
      <c r="K82" s="93">
        <f t="shared" si="3"/>
        <v>0</v>
      </c>
      <c r="L82" s="105">
        <f>IFERROR(IF(OR(ISBLANK(D82),ISBLANK(F82),ISBLANK(G82),ISBLANK(K82)),0,IF(YEAR(D82)&lt;#REF!,IF(ISNUMBER(I82),IF(YEAR(I82)&lt;#REF!,0,IF(OR(YEAR(I82)&gt;#REF!,MONTH(I82)&gt;$A$1),G82,IF(MONTH(I82)&lt;$A$1,0,(G82/DAY(EOMONTH(DATE(#REF!,$A$1,1),0)))*DAY(I82)+K82))),G82+K82),IF(YEAR(D82)=#REF!,IF(MONTH(D82)&lt;$A$1,IF(ISNUMBER(I82),IF(YEAR(I82)&lt;#REF!,0,IF(OR(YEAR(I82)&gt;#REF!,MONTH(I82)&gt;$A$1),G82,IF(MONTH(I82)&lt;$A$1,0,(G82/DAY(EOMONTH(DATE(#REF!,$A$1,1),0)))*DAY(I82)+K82))),G82),IF(MONTH(D82)=$A$1,IF(ISNUMBER(I82),IF(OR(YEAR(I82)&gt;#REF!,MONTH(I82)&gt;$A$1),G82,(G82/DAY(EOMONTH(D82,0)))*(I82-D82+1)+K82),(G82/DAY(EOMONTH(D82,0)))*(DAY(EOMONTH(D82,0))-DAY(D82)+1)+K82),0)),0))),0)</f>
        <v>0</v>
      </c>
      <c r="M82" s="96"/>
      <c r="N82" s="84"/>
    </row>
    <row r="83" spans="1:14" ht="16" customHeight="1">
      <c r="A83" s="11"/>
      <c r="B83" s="11"/>
    </row>
  </sheetData>
  <sheetProtection algorithmName="SHA-512" hashValue="rPyO91CY+qkpCf4Efz7nZfSm6eX9fCuKLkfIo0XirYea5SlAkeppWiXs68S4lvQvUTcBNyEPm6r7kx0YrmfQTQ==" saltValue="ZRSVhwA9fJ6WbRd8TNn/L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97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O11:P11"/>
    <mergeCell ref="Q11:R11"/>
    <mergeCell ref="O12:P12"/>
    <mergeCell ref="Q12:R12"/>
    <mergeCell ref="O13:P13"/>
    <mergeCell ref="Q13:R13"/>
    <mergeCell ref="O31:P31"/>
    <mergeCell ref="Q20:R20"/>
    <mergeCell ref="O21:P21"/>
    <mergeCell ref="Q21:R21"/>
    <mergeCell ref="Q19:R19"/>
    <mergeCell ref="Q31:R31"/>
    <mergeCell ref="O29:P29"/>
    <mergeCell ref="Q29:R29"/>
    <mergeCell ref="O8:P8"/>
    <mergeCell ref="Q8:R8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  <mergeCell ref="R3:R4"/>
    <mergeCell ref="O6:R6"/>
  </mergeCells>
  <phoneticPr fontId="14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list" allowBlank="1" showInputMessage="1" showErrorMessage="1" sqref="F59" xr:uid="{DA26B125-7EC3-4A46-BB4A-2238DB541D19}">
      <formula1>KV_DD_DEZEMBER_59</formula1>
    </dataValidation>
    <dataValidation type="list" allowBlank="1" showInputMessage="1" showErrorMessage="1" sqref="F60" xr:uid="{AB7185DF-96B1-4042-8DBF-5B0DD9EF5BD8}">
      <formula1>KV_DD_DEZEMBER_60</formula1>
    </dataValidation>
    <dataValidation type="list" allowBlank="1" showInputMessage="1" showErrorMessage="1" sqref="F61" xr:uid="{A790421C-31CC-D040-8784-0C758D428DE2}">
      <formula1>KV_DD_DEZEMBER_61</formula1>
    </dataValidation>
    <dataValidation type="list" allowBlank="1" showInputMessage="1" showErrorMessage="1" sqref="F62" xr:uid="{75DC9853-77AB-48E7-AB24-6116759F962C}">
      <formula1>KV_DD_DEZEMBER_62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E3:E82" xr:uid="{DB4B2416-4CB4-4A27-9B67-6CAD9EE63F3B}">
      <formula1>#REF!</formula1>
    </dataValidation>
  </dataValidations>
  <pageMargins left="0.75" right="0.75" top="1" bottom="1" header="0.5" footer="0.5"/>
  <pageSetup paperSize="9" orientation="portrait" verticalDpi="597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27"/>
  <sheetViews>
    <sheetView showGridLines="0" zoomScaleNormal="100" workbookViewId="0">
      <selection activeCell="L7" sqref="L7"/>
    </sheetView>
  </sheetViews>
  <sheetFormatPr baseColWidth="10" defaultColWidth="11.5" defaultRowHeight="14"/>
  <cols>
    <col min="1" max="1" width="4.5" style="1" customWidth="1"/>
    <col min="2" max="2" width="11.5" style="1"/>
    <col min="3" max="3" width="17.6640625" style="1" customWidth="1"/>
    <col min="4" max="4" width="17.33203125" style="1" customWidth="1"/>
    <col min="5" max="5" width="14.83203125" style="1" customWidth="1"/>
    <col min="6" max="6" width="17.83203125" style="1" customWidth="1"/>
    <col min="7" max="7" width="19.33203125" style="1" customWidth="1"/>
    <col min="8" max="8" width="15.33203125" style="1" customWidth="1"/>
    <col min="9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55" t="e">
        <f>"FINANZIELL ÜBERSICHT "&amp;#REF!</f>
        <v>#REF!</v>
      </c>
      <c r="C2" s="355"/>
      <c r="D2" s="355"/>
      <c r="E2" s="355"/>
      <c r="F2" s="355"/>
      <c r="G2" s="355"/>
      <c r="H2" s="355"/>
      <c r="I2" s="355"/>
      <c r="J2" s="355"/>
      <c r="K2" s="355"/>
      <c r="L2" s="355"/>
      <c r="M2" s="355"/>
      <c r="N2" s="355"/>
      <c r="O2" s="355"/>
      <c r="P2" s="355"/>
      <c r="Q2" s="355"/>
      <c r="R2" s="2"/>
    </row>
    <row r="3" spans="2:18" ht="15.75" customHeight="1">
      <c r="B3" s="355"/>
      <c r="C3" s="355"/>
      <c r="D3" s="355"/>
      <c r="E3" s="355"/>
      <c r="F3" s="355"/>
      <c r="G3" s="355"/>
      <c r="H3" s="355"/>
      <c r="I3" s="355"/>
      <c r="J3" s="355"/>
      <c r="K3" s="355"/>
      <c r="L3" s="355"/>
      <c r="M3" s="355"/>
      <c r="N3" s="355"/>
      <c r="O3" s="355"/>
      <c r="P3" s="355"/>
      <c r="Q3" s="355"/>
      <c r="R3" s="2"/>
    </row>
    <row r="4" spans="2:18" ht="30" customHeight="1">
      <c r="B4" s="357"/>
      <c r="C4" s="356" t="s">
        <v>18</v>
      </c>
      <c r="D4" s="356"/>
      <c r="E4" s="356"/>
      <c r="F4" s="356" t="s">
        <v>164</v>
      </c>
      <c r="G4" s="356"/>
      <c r="H4" s="356"/>
      <c r="I4" s="356" t="s">
        <v>165</v>
      </c>
      <c r="J4" s="356"/>
      <c r="K4" s="356"/>
      <c r="L4" s="356" t="s">
        <v>166</v>
      </c>
      <c r="M4" s="356" t="s">
        <v>167</v>
      </c>
      <c r="N4" s="358" t="s">
        <v>168</v>
      </c>
      <c r="O4" s="358"/>
      <c r="P4" s="358"/>
      <c r="Q4" s="358" t="s">
        <v>93</v>
      </c>
    </row>
    <row r="5" spans="2:18" ht="30" customHeight="1">
      <c r="B5" s="357"/>
      <c r="C5" s="356"/>
      <c r="D5" s="356"/>
      <c r="E5" s="356"/>
      <c r="F5" s="356"/>
      <c r="G5" s="356"/>
      <c r="H5" s="356"/>
      <c r="I5" s="356"/>
      <c r="J5" s="356"/>
      <c r="K5" s="356"/>
      <c r="L5" s="356"/>
      <c r="M5" s="356"/>
      <c r="N5" s="358"/>
      <c r="O5" s="358"/>
      <c r="P5" s="358"/>
      <c r="Q5" s="358"/>
    </row>
    <row r="6" spans="2:18" ht="30" customHeight="1">
      <c r="B6" s="357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56"/>
      <c r="M6" s="356"/>
      <c r="N6" s="25" t="s">
        <v>172</v>
      </c>
      <c r="O6" s="25" t="s">
        <v>173</v>
      </c>
      <c r="P6" s="26" t="s">
        <v>171</v>
      </c>
      <c r="Q6" s="358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0</v>
      </c>
      <c r="H7" s="48">
        <f>G7-F7</f>
        <v>-1</v>
      </c>
      <c r="I7" s="31">
        <f>EINSTELLUNG!E6</f>
        <v>1</v>
      </c>
      <c r="J7" s="31">
        <f>EINSTELLUNG!E22</f>
        <v>0</v>
      </c>
      <c r="K7" s="32">
        <f>J7-I7</f>
        <v>-1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0</v>
      </c>
      <c r="H8" s="48">
        <f>G8-F8</f>
        <v>-2</v>
      </c>
      <c r="I8" s="31">
        <f>EINSTELLUNG!E7</f>
        <v>1</v>
      </c>
      <c r="J8" s="31">
        <f>EINSTELLUNG!E23</f>
        <v>0</v>
      </c>
      <c r="K8" s="32">
        <f t="shared" ref="K8:K22" si="0">J8-I8</f>
        <v>-1</v>
      </c>
      <c r="L8" s="30">
        <f>Februar!S40</f>
        <v>2.329479209980421E-4</v>
      </c>
      <c r="M8" s="27">
        <f>Februar!S41</f>
        <v>2.329479209980421E-4</v>
      </c>
      <c r="N8" s="27">
        <f>Februar!O5</f>
        <v>842.66960625479021</v>
      </c>
      <c r="O8" s="27">
        <f>Februar!P5</f>
        <v>2</v>
      </c>
      <c r="P8" s="50">
        <f t="shared" ref="P8:P23" si="1">O8-N8</f>
        <v>-840.66960625479021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0</v>
      </c>
      <c r="H9" s="48">
        <f>G9-F9</f>
        <v>-3</v>
      </c>
      <c r="I9" s="31">
        <f>EINSTELLUNG!E8</f>
        <v>1</v>
      </c>
      <c r="J9" s="31">
        <f>EINSTELLUNG!E24</f>
        <v>0</v>
      </c>
      <c r="K9" s="32">
        <f>J9-I9</f>
        <v>-1</v>
      </c>
      <c r="L9" s="30">
        <f>Marz!S40</f>
        <v>3.2467462191640276E-4</v>
      </c>
      <c r="M9" s="27">
        <f>Marz!S41</f>
        <v>3.2467462191640276E-4</v>
      </c>
      <c r="N9" s="27">
        <f>Marz!O5</f>
        <v>861.45075354782682</v>
      </c>
      <c r="O9" s="27">
        <f>Marz!P5</f>
        <v>3</v>
      </c>
      <c r="P9" s="50">
        <f t="shared" si="1"/>
        <v>-858.45075354782682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0</v>
      </c>
      <c r="H10" s="49">
        <f>G10-F10</f>
        <v>-6</v>
      </c>
      <c r="I10" s="35">
        <f>AVERAGE(I7:I9)</f>
        <v>1</v>
      </c>
      <c r="J10" s="35">
        <f>AVERAGE(J7:J9)</f>
        <v>0</v>
      </c>
      <c r="K10" s="36">
        <f>J10-I10</f>
        <v>-1</v>
      </c>
      <c r="L10" s="34">
        <f>AVERAGE(L7:L9)</f>
        <v>2.3036727119456996E-4</v>
      </c>
      <c r="M10" s="29">
        <f>AVERAGE(M7:M9)</f>
        <v>2.3036727119456996E-4</v>
      </c>
      <c r="N10" s="29">
        <f>SUM(N7:N9)</f>
        <v>2428.6739005773393</v>
      </c>
      <c r="O10" s="29">
        <f>SUM(O7:O9)</f>
        <v>6</v>
      </c>
      <c r="P10" s="51">
        <f t="shared" si="1"/>
        <v>-2422.6739005773393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0</v>
      </c>
      <c r="H11" s="48">
        <f>G11-F11</f>
        <v>-4</v>
      </c>
      <c r="I11" s="31">
        <f>EINSTELLUNG!E9</f>
        <v>1</v>
      </c>
      <c r="J11" s="31">
        <f>EINSTELLUNG!E25</f>
        <v>0</v>
      </c>
      <c r="K11" s="32">
        <f t="shared" si="0"/>
        <v>-1</v>
      </c>
      <c r="L11" s="30">
        <f>April!S40</f>
        <v>4.4146212254988527E-4</v>
      </c>
      <c r="M11" s="27">
        <f>April!S41</f>
        <v>4.4146212254988527E-4</v>
      </c>
      <c r="N11" s="27">
        <f>April!O5</f>
        <v>855.94051045650838</v>
      </c>
      <c r="O11" s="27">
        <f>April!P5</f>
        <v>4</v>
      </c>
      <c r="P11" s="50">
        <f t="shared" si="1"/>
        <v>-851.94051045650838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0</v>
      </c>
      <c r="H12" s="48">
        <f t="shared" ref="H12:H23" si="3">G12-F12</f>
        <v>-5</v>
      </c>
      <c r="I12" s="31">
        <f>EINSTELLUNG!E10</f>
        <v>1</v>
      </c>
      <c r="J12" s="31">
        <f>EINSTELLUNG!E26</f>
        <v>0</v>
      </c>
      <c r="K12" s="32">
        <f t="shared" si="0"/>
        <v>-1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0</v>
      </c>
      <c r="H13" s="48">
        <f t="shared" si="3"/>
        <v>-6</v>
      </c>
      <c r="I13" s="31">
        <f>EINSTELLUNG!E11</f>
        <v>1</v>
      </c>
      <c r="J13" s="31">
        <f>EINSTELLUNG!E27</f>
        <v>0</v>
      </c>
      <c r="K13" s="32">
        <f t="shared" si="0"/>
        <v>-1</v>
      </c>
      <c r="L13" s="30">
        <f>Juni!S40</f>
        <v>1.3574660633484163E-2</v>
      </c>
      <c r="M13" s="27">
        <f>Juni!S41</f>
        <v>1.3574660633484163E-2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0</v>
      </c>
      <c r="H14" s="49">
        <f t="shared" si="3"/>
        <v>-15</v>
      </c>
      <c r="I14" s="35">
        <f>AVERAGE(I11:I13)</f>
        <v>1</v>
      </c>
      <c r="J14" s="35">
        <f>AVERAGE(J11:J13)</f>
        <v>0</v>
      </c>
      <c r="K14" s="36">
        <f t="shared" si="0"/>
        <v>-1</v>
      </c>
      <c r="L14" s="34">
        <f>AVERAGE(L11:L13)</f>
        <v>4.8516633953414644E-3</v>
      </c>
      <c r="M14" s="29">
        <f>AVERAGE(M11:M13)</f>
        <v>4.8516633953414644E-3</v>
      </c>
      <c r="N14" s="29">
        <f>SUM(N11:N13)</f>
        <v>2658.1422322682897</v>
      </c>
      <c r="O14" s="29">
        <f>SUM(O11:O13)</f>
        <v>15</v>
      </c>
      <c r="P14" s="51">
        <f t="shared" si="1"/>
        <v>-2643.1422322682897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0</v>
      </c>
      <c r="H15" s="48">
        <f t="shared" si="3"/>
        <v>-7</v>
      </c>
      <c r="I15" s="31">
        <f>EINSTELLUNG!E12</f>
        <v>1</v>
      </c>
      <c r="J15" s="31">
        <f>EINSTELLUNG!E28</f>
        <v>0</v>
      </c>
      <c r="K15" s="32">
        <f t="shared" si="0"/>
        <v>-1</v>
      </c>
      <c r="L15" s="30">
        <f>Juli!S40</f>
        <v>7.637452320476229E-4</v>
      </c>
      <c r="M15" s="27">
        <f>Juli!S41</f>
        <v>7.637452320476229E-4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0</v>
      </c>
      <c r="H16" s="48">
        <f t="shared" si="3"/>
        <v>-8</v>
      </c>
      <c r="I16" s="31">
        <f>EINSTELLUNG!E13</f>
        <v>1</v>
      </c>
      <c r="J16" s="31">
        <f>EINSTELLUNG!E29</f>
        <v>0</v>
      </c>
      <c r="K16" s="32">
        <f t="shared" si="0"/>
        <v>-1</v>
      </c>
      <c r="L16" s="30">
        <f>August!S40</f>
        <v>8.8146596604813461E-4</v>
      </c>
      <c r="M16" s="27">
        <f>August!S41</f>
        <v>8.8146596604813461E-4</v>
      </c>
      <c r="N16" s="27">
        <f>August!O5</f>
        <v>886.49292661607774</v>
      </c>
      <c r="O16" s="27">
        <f>August!P5</f>
        <v>8</v>
      </c>
      <c r="P16" s="50">
        <f t="shared" si="1"/>
        <v>-878.49292661607774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0</v>
      </c>
      <c r="H17" s="48">
        <f t="shared" si="3"/>
        <v>-9</v>
      </c>
      <c r="I17" s="31">
        <f>EINSTELLUNG!E14</f>
        <v>1</v>
      </c>
      <c r="J17" s="31">
        <f>EINSTELLUNG!E30</f>
        <v>0</v>
      </c>
      <c r="K17" s="32">
        <f t="shared" si="0"/>
        <v>-1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0</v>
      </c>
      <c r="H18" s="49">
        <f t="shared" si="3"/>
        <v>-24</v>
      </c>
      <c r="I18" s="35">
        <f>AVERAGE(I15:I17)</f>
        <v>1</v>
      </c>
      <c r="J18" s="35">
        <f>AVERAGE(J15:J17)</f>
        <v>0</v>
      </c>
      <c r="K18" s="36">
        <f t="shared" si="0"/>
        <v>-1</v>
      </c>
      <c r="L18" s="34">
        <f>AVERAGE(L15:L17)</f>
        <v>8.9307443431026602E-4</v>
      </c>
      <c r="M18" s="29">
        <f>AVERAGE(M15:M17)</f>
        <v>8.9307443431026602E-4</v>
      </c>
      <c r="N18" s="29">
        <f>SUM(N15:N17)</f>
        <v>2659.4787798482334</v>
      </c>
      <c r="O18" s="29">
        <f>SUM(O15:O17)</f>
        <v>24</v>
      </c>
      <c r="P18" s="51">
        <f t="shared" si="1"/>
        <v>-2635.4787798482334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0</v>
      </c>
      <c r="H19" s="48">
        <f t="shared" si="3"/>
        <v>-10</v>
      </c>
      <c r="I19" s="31">
        <f>EINSTELLUNG!E15</f>
        <v>1</v>
      </c>
      <c r="J19" s="31">
        <f>EINSTELLUNG!E31</f>
        <v>0</v>
      </c>
      <c r="K19" s="32">
        <f t="shared" si="0"/>
        <v>-1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0</v>
      </c>
      <c r="H20" s="48">
        <f t="shared" si="3"/>
        <v>-11</v>
      </c>
      <c r="I20" s="31">
        <f>EINSTELLUNG!E16</f>
        <v>1</v>
      </c>
      <c r="J20" s="31">
        <f>EINSTELLUNG!E32</f>
        <v>0</v>
      </c>
      <c r="K20" s="32">
        <f t="shared" si="0"/>
        <v>-1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0</v>
      </c>
      <c r="H21" s="48">
        <f t="shared" si="3"/>
        <v>-12</v>
      </c>
      <c r="I21" s="31">
        <f>EINSTELLUNG!E17</f>
        <v>1</v>
      </c>
      <c r="J21" s="31">
        <f>EINSTELLUNG!E33</f>
        <v>0</v>
      </c>
      <c r="K21" s="32">
        <f t="shared" si="0"/>
        <v>-1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0</v>
      </c>
      <c r="H22" s="49">
        <f t="shared" si="3"/>
        <v>-33</v>
      </c>
      <c r="I22" s="35">
        <f>AVERAGE(I19:I21)</f>
        <v>1</v>
      </c>
      <c r="J22" s="35">
        <f>AVERAGE(J19:J21)</f>
        <v>0</v>
      </c>
      <c r="K22" s="36">
        <f t="shared" si="0"/>
        <v>-1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0</v>
      </c>
      <c r="H23" s="49">
        <f t="shared" si="3"/>
        <v>-78</v>
      </c>
      <c r="I23" s="40">
        <f>AVERAGE(I10,I14,I18,I22)</f>
        <v>1</v>
      </c>
      <c r="J23" s="40">
        <f>AVERAGE(J10,J14,J18,J22)</f>
        <v>0</v>
      </c>
      <c r="K23" s="36">
        <f>J23-I23</f>
        <v>-1</v>
      </c>
      <c r="L23" s="39">
        <f>AVERAGE(L22,L18,L14,L10)</f>
        <v>1.8100631890722015E-3</v>
      </c>
      <c r="M23" s="41">
        <f>AVERAGE(M10,M14,M18,M22)</f>
        <v>1.8100631890722017E-3</v>
      </c>
      <c r="N23" s="41">
        <f>SUM(N10,N14,N18,N22)</f>
        <v>10255.52065413259</v>
      </c>
      <c r="O23" s="41">
        <f>SUM(O10,O14,O18,O22)</f>
        <v>78</v>
      </c>
      <c r="P23" s="51">
        <f t="shared" si="1"/>
        <v>-10177.52065413259</v>
      </c>
      <c r="Q23" s="40">
        <f>AVERAGE(Q22,Q18,Q14,Q10)</f>
        <v>1.3070830405357585E-2</v>
      </c>
    </row>
    <row r="24" spans="2:17" ht="15">
      <c r="O24" s="4"/>
    </row>
    <row r="25" spans="2:17">
      <c r="B25" s="354" t="s">
        <v>190</v>
      </c>
      <c r="C25" s="354"/>
      <c r="D25" s="354"/>
      <c r="E25" s="354"/>
    </row>
    <row r="26" spans="2:17">
      <c r="B26" s="354"/>
      <c r="C26" s="354"/>
      <c r="D26" s="354"/>
      <c r="E26" s="354"/>
    </row>
    <row r="27" spans="2:17">
      <c r="B27" s="354"/>
      <c r="C27" s="354"/>
      <c r="D27" s="354"/>
      <c r="E27" s="354"/>
    </row>
  </sheetData>
  <sheetProtection algorithmName="SHA-512" hashValue="ZrUSjtW1otIO8DZNlBnN8Rdzx/96JQR63t9A4t3W8UluFS40v/yHYXsgACD6LWli+wMc3cPe4IjqWurIQYdRBQ==" saltValue="mpeWrRqqiuGp9qrgFWQMfQ==" spinCount="100000" sheet="1" objects="1" scenarios="1" selectLockedCells="1" sort="0" autoFilter="0"/>
  <mergeCells count="10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DaplqkhUYse3rRx7p+Wk2ia/Y8C3+ukxAIUWmlZBHwzJmTcgB02He9tB0B2DJTJUnX3V5O0b+Qdpu8kACkXuug==" saltValue="UuDOKgC6nOPCIvsbYkYHTw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89" customWidth="1"/>
    <col min="2" max="2" width="20.83203125" style="189" customWidth="1"/>
    <col min="3" max="5" width="26.83203125" style="189" customWidth="1"/>
    <col min="6" max="7" width="18.83203125" style="189" customWidth="1"/>
    <col min="8" max="8" width="22.83203125" style="189" customWidth="1"/>
    <col min="9" max="12" width="36.83203125" style="189" customWidth="1"/>
    <col min="13" max="15" width="10.83203125" style="189"/>
    <col min="16" max="19" width="2.83203125" style="189" customWidth="1"/>
    <col min="20" max="16384" width="10.83203125" style="189"/>
  </cols>
  <sheetData>
    <row r="1" spans="1:17" ht="44" customHeight="1">
      <c r="A1" s="366" t="s">
        <v>362</v>
      </c>
      <c r="B1" s="361"/>
      <c r="C1" s="361"/>
      <c r="D1" s="361"/>
      <c r="E1" s="361"/>
      <c r="P1" s="189" t="s">
        <v>217</v>
      </c>
      <c r="Q1" s="189" t="s">
        <v>229</v>
      </c>
    </row>
    <row r="2" spans="1:17" ht="15" customHeight="1">
      <c r="A2" s="190" t="s">
        <v>363</v>
      </c>
      <c r="B2" s="190">
        <v>2026</v>
      </c>
      <c r="C2" s="190" t="s">
        <v>364</v>
      </c>
      <c r="D2" s="193" t="s">
        <v>365</v>
      </c>
      <c r="P2" s="189" t="s">
        <v>289</v>
      </c>
      <c r="Q2" s="189">
        <v>1</v>
      </c>
    </row>
    <row r="3" spans="1:17" ht="15" customHeight="1">
      <c r="P3" s="189" t="s">
        <v>349</v>
      </c>
      <c r="Q3" s="189">
        <v>1</v>
      </c>
    </row>
    <row r="4" spans="1:17" ht="15" customHeight="1" thickBot="1">
      <c r="A4" s="367" t="s">
        <v>366</v>
      </c>
      <c r="B4" s="368"/>
      <c r="C4" s="368"/>
      <c r="D4" s="368"/>
      <c r="E4" s="368"/>
      <c r="P4" s="189" t="s">
        <v>321</v>
      </c>
      <c r="Q4" s="189">
        <v>1</v>
      </c>
    </row>
    <row r="5" spans="1:17" ht="30" customHeight="1">
      <c r="A5" s="375" t="s">
        <v>300</v>
      </c>
      <c r="B5" s="377" t="s">
        <v>360</v>
      </c>
      <c r="C5" s="369" t="s">
        <v>367</v>
      </c>
      <c r="D5" s="370"/>
      <c r="E5" s="371"/>
      <c r="P5" s="189" t="s">
        <v>182</v>
      </c>
      <c r="Q5" s="189">
        <v>1</v>
      </c>
    </row>
    <row r="6" spans="1:17" ht="30" customHeight="1" thickBot="1">
      <c r="A6" s="376"/>
      <c r="B6" s="376"/>
      <c r="C6" s="372"/>
      <c r="D6" s="373"/>
      <c r="E6" s="374"/>
      <c r="P6" s="189" t="s">
        <v>183</v>
      </c>
      <c r="Q6" s="189">
        <v>2</v>
      </c>
    </row>
    <row r="7" spans="1:17" ht="15" customHeight="1">
      <c r="P7" s="189" t="s">
        <v>184</v>
      </c>
      <c r="Q7" s="189">
        <v>1</v>
      </c>
    </row>
    <row r="8" spans="1:17" ht="30" customHeight="1">
      <c r="A8" s="196" t="s">
        <v>223</v>
      </c>
      <c r="B8" s="196" t="s">
        <v>368</v>
      </c>
      <c r="C8" s="196" t="s">
        <v>225</v>
      </c>
      <c r="D8" s="196" t="s">
        <v>369</v>
      </c>
      <c r="E8" s="196" t="s">
        <v>370</v>
      </c>
      <c r="P8" s="189" t="s">
        <v>186</v>
      </c>
      <c r="Q8" s="189">
        <v>1</v>
      </c>
    </row>
    <row r="9" spans="1:17" ht="22" customHeight="1">
      <c r="A9" s="185">
        <v>9</v>
      </c>
      <c r="B9" s="194">
        <v>5.1724137931034482E-2</v>
      </c>
      <c r="C9" s="195">
        <v>8.25</v>
      </c>
      <c r="D9" s="185">
        <v>6</v>
      </c>
      <c r="E9" s="185">
        <v>0</v>
      </c>
      <c r="P9" s="189" t="s">
        <v>187</v>
      </c>
      <c r="Q9" s="189">
        <v>1</v>
      </c>
    </row>
    <row r="11" spans="1:17" ht="15" customHeight="1">
      <c r="A11" s="191" t="s">
        <v>371</v>
      </c>
    </row>
    <row r="12" spans="1:17" ht="22" customHeight="1">
      <c r="A12" s="192" t="s">
        <v>372</v>
      </c>
      <c r="B12" s="192" t="s">
        <v>373</v>
      </c>
      <c r="C12" s="192" t="s">
        <v>374</v>
      </c>
      <c r="D12" s="378" t="s">
        <v>375</v>
      </c>
      <c r="E12" s="378"/>
    </row>
    <row r="13" spans="1:17" ht="57.25" customHeight="1">
      <c r="A13" s="185">
        <v>1</v>
      </c>
      <c r="B13" s="184" t="s">
        <v>230</v>
      </c>
      <c r="C13" s="184" t="s">
        <v>389</v>
      </c>
      <c r="D13" s="364" t="s">
        <v>376</v>
      </c>
      <c r="E13" s="364"/>
    </row>
    <row r="14" spans="1:17" ht="73" customHeight="1">
      <c r="A14" s="185">
        <v>2</v>
      </c>
      <c r="B14" s="184" t="s">
        <v>230</v>
      </c>
      <c r="C14" s="184" t="s">
        <v>390</v>
      </c>
      <c r="D14" s="364" t="s">
        <v>376</v>
      </c>
      <c r="E14" s="364"/>
    </row>
    <row r="15" spans="1:17" ht="73" customHeight="1">
      <c r="A15" s="185">
        <v>3</v>
      </c>
      <c r="B15" s="184" t="s">
        <v>377</v>
      </c>
      <c r="C15" s="184" t="s">
        <v>391</v>
      </c>
      <c r="D15" s="364" t="s">
        <v>378</v>
      </c>
      <c r="E15" s="364"/>
    </row>
    <row r="16" spans="1:17" ht="57.25" customHeight="1">
      <c r="A16" s="185">
        <v>4</v>
      </c>
      <c r="B16" s="184" t="s">
        <v>231</v>
      </c>
      <c r="C16" s="184" t="s">
        <v>392</v>
      </c>
      <c r="D16" s="364" t="s">
        <v>379</v>
      </c>
      <c r="E16" s="364"/>
    </row>
    <row r="17" spans="1:17" ht="57.25" customHeight="1">
      <c r="A17" s="185">
        <v>5</v>
      </c>
      <c r="B17" s="184" t="s">
        <v>377</v>
      </c>
      <c r="C17" s="184" t="s">
        <v>393</v>
      </c>
      <c r="D17" s="364" t="s">
        <v>378</v>
      </c>
      <c r="E17" s="364"/>
    </row>
    <row r="18" spans="1:17" ht="57.25" customHeight="1">
      <c r="A18" s="185">
        <v>6</v>
      </c>
      <c r="B18" s="184" t="s">
        <v>231</v>
      </c>
      <c r="C18" s="184" t="s">
        <v>394</v>
      </c>
      <c r="D18" s="364" t="s">
        <v>379</v>
      </c>
      <c r="E18" s="364"/>
    </row>
    <row r="20" spans="1:17" ht="15" customHeight="1">
      <c r="P20" s="189" t="s">
        <v>222</v>
      </c>
      <c r="Q20" s="189" t="s">
        <v>385</v>
      </c>
    </row>
    <row r="21" spans="1:17" ht="15" customHeight="1">
      <c r="A21" s="191" t="s">
        <v>380</v>
      </c>
      <c r="P21" s="189" t="s">
        <v>323</v>
      </c>
      <c r="Q21" s="189">
        <v>2</v>
      </c>
    </row>
    <row r="22" spans="1:17" ht="41.5" customHeight="1">
      <c r="A22" s="185">
        <v>1</v>
      </c>
      <c r="B22" s="364" t="s">
        <v>381</v>
      </c>
      <c r="C22" s="364"/>
      <c r="D22" s="364"/>
      <c r="E22" s="364"/>
      <c r="P22" s="189" t="s">
        <v>350</v>
      </c>
      <c r="Q22" s="189">
        <v>2</v>
      </c>
    </row>
    <row r="23" spans="1:17" ht="41.5" customHeight="1">
      <c r="A23" s="185">
        <v>2</v>
      </c>
      <c r="B23" s="364" t="s">
        <v>382</v>
      </c>
      <c r="C23" s="364"/>
      <c r="D23" s="364"/>
      <c r="E23" s="364"/>
      <c r="P23" s="189" t="s">
        <v>227</v>
      </c>
      <c r="Q23" s="189">
        <v>2</v>
      </c>
    </row>
    <row r="24" spans="1:17" ht="41.5" customHeight="1">
      <c r="A24" s="185">
        <v>3</v>
      </c>
      <c r="B24" s="364" t="s">
        <v>383</v>
      </c>
      <c r="C24" s="364"/>
      <c r="D24" s="364"/>
      <c r="E24" s="364"/>
      <c r="P24" s="189" t="s">
        <v>386</v>
      </c>
      <c r="Q24" s="189">
        <v>3</v>
      </c>
    </row>
    <row r="25" spans="1:17" ht="41.5" customHeight="1">
      <c r="A25" s="185">
        <v>4</v>
      </c>
      <c r="B25" s="364" t="s">
        <v>384</v>
      </c>
      <c r="C25" s="364"/>
      <c r="D25" s="364"/>
      <c r="E25" s="364"/>
    </row>
    <row r="27" spans="1:17" ht="15" customHeight="1">
      <c r="A27" s="365" t="s">
        <v>387</v>
      </c>
      <c r="B27" s="365"/>
      <c r="C27" s="365"/>
      <c r="D27" s="365"/>
      <c r="E27" s="365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89" t="s">
        <v>194</v>
      </c>
      <c r="S40" s="189" t="s">
        <v>385</v>
      </c>
    </row>
    <row r="41" spans="18:19" ht="18" customHeight="1">
      <c r="R41" s="189" t="s">
        <v>307</v>
      </c>
      <c r="S41" s="189">
        <v>3</v>
      </c>
    </row>
    <row r="42" spans="18:19" ht="18" customHeight="1">
      <c r="R42" s="189" t="s">
        <v>354</v>
      </c>
      <c r="S42" s="189">
        <v>1</v>
      </c>
    </row>
    <row r="43" spans="18:19" ht="18" customHeight="1">
      <c r="R43" s="189" t="s">
        <v>322</v>
      </c>
      <c r="S43" s="189">
        <v>4</v>
      </c>
    </row>
    <row r="44" spans="18:19" ht="18" customHeight="1">
      <c r="R44" s="189" t="s">
        <v>206</v>
      </c>
      <c r="S44" s="189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60" t="s">
        <v>388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</row>
    <row r="63" spans="1:12" ht="15" customHeight="1">
      <c r="A63" s="185" t="s">
        <v>217</v>
      </c>
      <c r="B63" s="185" t="s">
        <v>229</v>
      </c>
      <c r="C63" s="185" t="s">
        <v>233</v>
      </c>
      <c r="D63" s="185" t="s">
        <v>225</v>
      </c>
      <c r="E63" s="185" t="s">
        <v>288</v>
      </c>
      <c r="F63" s="185" t="s">
        <v>323</v>
      </c>
      <c r="G63" s="185" t="s">
        <v>350</v>
      </c>
      <c r="H63" s="185" t="s">
        <v>227</v>
      </c>
      <c r="I63" s="185" t="s">
        <v>308</v>
      </c>
      <c r="J63" s="185" t="s">
        <v>306</v>
      </c>
      <c r="K63" s="185"/>
      <c r="L63" s="185"/>
    </row>
    <row r="64" spans="1:12" ht="42" customHeight="1">
      <c r="A64" s="186" t="s">
        <v>289</v>
      </c>
      <c r="B64" s="186">
        <v>1</v>
      </c>
      <c r="C64" s="187">
        <v>1.9607843137254902E-2</v>
      </c>
      <c r="D64" s="188">
        <v>0.625</v>
      </c>
      <c r="E64" s="188">
        <v>0.625</v>
      </c>
      <c r="F64" s="186">
        <v>0</v>
      </c>
      <c r="G64" s="186">
        <v>0</v>
      </c>
      <c r="H64" s="186">
        <v>0</v>
      </c>
      <c r="I64" s="184" t="s">
        <v>309</v>
      </c>
      <c r="J64" s="364" t="s">
        <v>291</v>
      </c>
      <c r="K64" s="364"/>
      <c r="L64" s="364"/>
    </row>
    <row r="65" spans="1:12" ht="42" customHeight="1">
      <c r="A65" s="186" t="s">
        <v>349</v>
      </c>
      <c r="B65" s="186">
        <v>1</v>
      </c>
      <c r="C65" s="187">
        <v>1.7241379310344827E-2</v>
      </c>
      <c r="D65" s="188">
        <v>0.22499999999999998</v>
      </c>
      <c r="E65" s="188">
        <v>0.22499999999999998</v>
      </c>
      <c r="F65" s="186">
        <v>1</v>
      </c>
      <c r="G65" s="186">
        <v>0</v>
      </c>
      <c r="H65" s="186">
        <v>0</v>
      </c>
      <c r="I65" s="184" t="s">
        <v>361</v>
      </c>
      <c r="J65" s="364" t="s">
        <v>325</v>
      </c>
      <c r="K65" s="364"/>
      <c r="L65" s="364"/>
    </row>
    <row r="66" spans="1:12" ht="42" customHeight="1">
      <c r="A66" s="186" t="s">
        <v>321</v>
      </c>
      <c r="B66" s="186">
        <v>1</v>
      </c>
      <c r="C66" s="187">
        <v>1.6949152542372881E-2</v>
      </c>
      <c r="D66" s="188">
        <v>0.5</v>
      </c>
      <c r="E66" s="188">
        <v>0.5</v>
      </c>
      <c r="F66" s="186">
        <v>1</v>
      </c>
      <c r="G66" s="186">
        <v>0</v>
      </c>
      <c r="H66" s="186">
        <v>0</v>
      </c>
      <c r="I66" s="184" t="s">
        <v>324</v>
      </c>
      <c r="J66" s="364" t="s">
        <v>325</v>
      </c>
      <c r="K66" s="364"/>
      <c r="L66" s="364"/>
    </row>
    <row r="67" spans="1:12" ht="42" customHeight="1">
      <c r="A67" s="186" t="s">
        <v>182</v>
      </c>
      <c r="B67" s="186">
        <v>1</v>
      </c>
      <c r="C67" s="187">
        <v>1.6393442622950821E-2</v>
      </c>
      <c r="D67" s="188">
        <v>1.6500000000000001</v>
      </c>
      <c r="E67" s="188">
        <v>1.6500000000000001</v>
      </c>
      <c r="F67" s="186">
        <v>0</v>
      </c>
      <c r="G67" s="186">
        <v>1</v>
      </c>
      <c r="H67" s="186">
        <v>0</v>
      </c>
      <c r="I67" s="184" t="s">
        <v>359</v>
      </c>
      <c r="J67" s="364" t="s">
        <v>351</v>
      </c>
      <c r="K67" s="364"/>
      <c r="L67" s="364"/>
    </row>
    <row r="68" spans="1:12" ht="42" customHeight="1">
      <c r="A68" s="186" t="s">
        <v>183</v>
      </c>
      <c r="B68" s="186">
        <v>2</v>
      </c>
      <c r="C68" s="187">
        <v>3.3898305084745763E-2</v>
      </c>
      <c r="D68" s="188">
        <v>1.5</v>
      </c>
      <c r="E68" s="188">
        <v>0.75</v>
      </c>
      <c r="F68" s="186">
        <v>0</v>
      </c>
      <c r="G68" s="186">
        <v>0</v>
      </c>
      <c r="H68" s="186">
        <v>1</v>
      </c>
      <c r="I68" s="184" t="s">
        <v>355</v>
      </c>
      <c r="J68" s="364" t="s">
        <v>327</v>
      </c>
      <c r="K68" s="364"/>
      <c r="L68" s="364"/>
    </row>
    <row r="69" spans="1:12" ht="42" customHeight="1">
      <c r="A69" s="186" t="s">
        <v>184</v>
      </c>
      <c r="B69" s="186">
        <v>1</v>
      </c>
      <c r="C69" s="187">
        <v>1.7241379310344827E-2</v>
      </c>
      <c r="D69" s="188">
        <v>0.75</v>
      </c>
      <c r="E69" s="188">
        <v>0.75</v>
      </c>
      <c r="F69" s="186">
        <v>0</v>
      </c>
      <c r="G69" s="186">
        <v>0</v>
      </c>
      <c r="H69" s="186">
        <v>0</v>
      </c>
      <c r="I69" s="184" t="s">
        <v>309</v>
      </c>
      <c r="J69" s="364" t="s">
        <v>291</v>
      </c>
      <c r="K69" s="364"/>
      <c r="L69" s="364"/>
    </row>
    <row r="70" spans="1:12" ht="42" customHeight="1">
      <c r="A70" s="186" t="s">
        <v>186</v>
      </c>
      <c r="B70" s="186">
        <v>1</v>
      </c>
      <c r="C70" s="187">
        <v>1.7543859649122806E-2</v>
      </c>
      <c r="D70" s="188">
        <v>2</v>
      </c>
      <c r="E70" s="188">
        <v>2</v>
      </c>
      <c r="F70" s="186">
        <v>0</v>
      </c>
      <c r="G70" s="186">
        <v>1</v>
      </c>
      <c r="H70" s="186">
        <v>0</v>
      </c>
      <c r="I70" s="184" t="s">
        <v>324</v>
      </c>
      <c r="J70" s="364" t="s">
        <v>351</v>
      </c>
      <c r="K70" s="364"/>
      <c r="L70" s="364"/>
    </row>
    <row r="71" spans="1:12" ht="42" customHeight="1">
      <c r="A71" s="186" t="s">
        <v>187</v>
      </c>
      <c r="B71" s="186">
        <v>1</v>
      </c>
      <c r="C71" s="187">
        <v>1.7857142857142856E-2</v>
      </c>
      <c r="D71" s="188">
        <v>1</v>
      </c>
      <c r="E71" s="188">
        <v>1</v>
      </c>
      <c r="F71" s="186">
        <v>0</v>
      </c>
      <c r="G71" s="186">
        <v>0</v>
      </c>
      <c r="H71" s="186">
        <v>1</v>
      </c>
      <c r="I71" s="184" t="s">
        <v>324</v>
      </c>
      <c r="J71" s="364" t="s">
        <v>327</v>
      </c>
      <c r="K71" s="364"/>
      <c r="L71" s="364"/>
    </row>
    <row r="75" spans="1:12" ht="15" customHeight="1">
      <c r="A75" s="362" t="s">
        <v>310</v>
      </c>
      <c r="B75" s="363"/>
      <c r="C75" s="363"/>
      <c r="D75" s="363"/>
      <c r="E75" s="363"/>
    </row>
    <row r="76" spans="1:12" ht="41.5" customHeight="1">
      <c r="A76" s="192" t="s">
        <v>232</v>
      </c>
      <c r="B76" s="359" t="s">
        <v>234</v>
      </c>
      <c r="C76" s="359"/>
      <c r="D76" s="359"/>
      <c r="E76" s="359"/>
    </row>
    <row r="77" spans="1:12" ht="41.5" customHeight="1">
      <c r="A77" s="192" t="s">
        <v>225</v>
      </c>
      <c r="B77" s="359" t="s">
        <v>311</v>
      </c>
      <c r="C77" s="359"/>
      <c r="D77" s="359"/>
      <c r="E77" s="359"/>
    </row>
    <row r="78" spans="1:12" ht="41.5" customHeight="1">
      <c r="A78" s="192" t="s">
        <v>287</v>
      </c>
      <c r="B78" s="359" t="s">
        <v>312</v>
      </c>
      <c r="C78" s="359"/>
      <c r="D78" s="359"/>
      <c r="E78" s="359"/>
    </row>
    <row r="79" spans="1:12" ht="41.5" customHeight="1">
      <c r="A79" s="192" t="s">
        <v>230</v>
      </c>
      <c r="B79" s="359" t="s">
        <v>313</v>
      </c>
      <c r="C79" s="359"/>
      <c r="D79" s="359"/>
      <c r="E79" s="359"/>
    </row>
    <row r="80" spans="1:12" ht="41.5" customHeight="1">
      <c r="A80" s="192" t="s">
        <v>226</v>
      </c>
      <c r="B80" s="359" t="s">
        <v>314</v>
      </c>
      <c r="C80" s="359"/>
      <c r="D80" s="359"/>
      <c r="E80" s="359"/>
    </row>
    <row r="81" spans="1:5" ht="41.5" customHeight="1">
      <c r="A81" s="192" t="s">
        <v>231</v>
      </c>
      <c r="B81" s="359" t="s">
        <v>315</v>
      </c>
      <c r="C81" s="359"/>
      <c r="D81" s="359"/>
      <c r="E81" s="359"/>
    </row>
    <row r="82" spans="1:5" ht="28" customHeight="1">
      <c r="A82" s="192" t="s">
        <v>228</v>
      </c>
      <c r="B82" s="359" t="s">
        <v>316</v>
      </c>
      <c r="C82" s="359"/>
      <c r="D82" s="359"/>
      <c r="E82" s="359"/>
    </row>
    <row r="83" spans="1:5" ht="28" customHeight="1">
      <c r="A83" s="192" t="s">
        <v>317</v>
      </c>
      <c r="B83" s="359" t="s">
        <v>318</v>
      </c>
      <c r="C83" s="359"/>
      <c r="D83" s="359"/>
      <c r="E83" s="359"/>
    </row>
  </sheetData>
  <sheetProtection algorithmName="SHA-512" hashValue="aJZJZ1olCS7JqXl1wbD0Ps1Fjtec0a+ib8CsvB6Uy+8LXKBUspGGVhsokEqe73jXkluyzfhXvL3v0g65V7Gx3g==" saltValue="Si7WekKvxYWJAyKUskFG1Q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zdWOfxdxGvD6XJTMQ0+pnK+6DN1rx56Iaoi8KQY7euxGcIPUanXYALPZz7zeSGnPI8CQib/H5FxN6ZpHNE6Ag==" saltValue="sy8Uw62C1pHAw3kNb43I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D15"/>
  <sheetViews>
    <sheetView workbookViewId="0"/>
  </sheetViews>
  <sheetFormatPr baseColWidth="10" defaultRowHeight="15"/>
  <sheetData>
    <row r="1" spans="1:940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</row>
    <row r="2" spans="1:940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</row>
    <row r="3" spans="1:940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</row>
    <row r="4" spans="1:940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</row>
    <row r="5" spans="1:940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</row>
    <row r="6" spans="1:940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</row>
    <row r="7" spans="1:940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</row>
    <row r="8" spans="1:940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</row>
    <row r="9" spans="1:940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</row>
    <row r="10" spans="1:940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</row>
    <row r="11" spans="1:940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</row>
    <row r="12" spans="1:940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</row>
    <row r="13" spans="1:940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40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40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sheetProtection algorithmName="SHA-512" hashValue="gN9E4QLrU9zAcEBbIz+cvoX0FBteq9Ow6F3CKtpX0hA0d1gu2kns+NM6xa/y6QWdKuDhpDTyscID1wBnhA4I6w==" saltValue="v8aPRpO1fML2RmZY8N6nVw==" spinCount="100000" sheet="1" objects="1" scenarios="1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3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</sheetData>
  <sheetProtection algorithmName="SHA-512" hashValue="LYVjl5mX88PTd0+aWPK9UK6yGZCYmg41irzAoz5ItRMqCBkZOZ4AK4mDyYMlgf2kbzFsWO2uYfmtdlbH0TI5pw==" saltValue="hHsiRu99+YmIWSiWVvrQA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2026-05-22T07:29:05Z</dcterms:modified>
  <cp:category/>
  <cp:contentStatus/>
</cp:coreProperties>
</file>
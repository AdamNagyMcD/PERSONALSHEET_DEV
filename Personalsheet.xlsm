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DieseArbeitsmappe"/>
  <mc:AlternateContent xmlns:mc="http://schemas.openxmlformats.org/markup-compatibility/2006">
    <mc:Choice Requires="x15">
      <x15ac:absPath xmlns:x15ac="http://schemas.microsoft.com/office/spreadsheetml/2010/11/ac" url="C:\DEV\PERSONALSHEET_DEV\"/>
    </mc:Choice>
  </mc:AlternateContent>
  <xr:revisionPtr revIDLastSave="0" documentId="13_ncr:1_{035FF3AC-7CD3-4EE5-B2B2-12122CE63016}" xr6:coauthVersionLast="47" xr6:coauthVersionMax="47" xr10:uidLastSave="{00000000-0000-0000-0000-000000000000}"/>
  <bookViews>
    <workbookView xWindow="-110" yWindow="-110" windowWidth="38620" windowHeight="21100" tabRatio="677" firstSheet="1" activeTab="1" xr2:uid="{00000000-000D-0000-FFFF-FFFF00000000}"/>
  </bookViews>
  <sheets>
    <sheet name="_ADMIN" sheetId="54" state="veryHidden" r:id="rId1"/>
    <sheet name="LOHNTABELLE" sheetId="46" r:id="rId2"/>
    <sheet name="EINSTELLUNG" sheetId="2" r:id="rId3"/>
    <sheet name="Januar" sheetId="3" r:id="rId4"/>
    <sheet name="Februar" sheetId="25" r:id="rId5"/>
    <sheet name="Marz" sheetId="26" r:id="rId6"/>
    <sheet name="April" sheetId="27" r:id="rId7"/>
    <sheet name="Mai" sheetId="28" r:id="rId8"/>
    <sheet name="Juni" sheetId="37" r:id="rId9"/>
    <sheet name="Juli" sheetId="30" r:id="rId10"/>
    <sheet name="August" sheetId="31" r:id="rId11"/>
    <sheet name="September" sheetId="32" r:id="rId12"/>
    <sheet name="Oktober" sheetId="33" r:id="rId13"/>
    <sheet name="November" sheetId="36" r:id="rId14"/>
    <sheet name="Dezember" sheetId="35" r:id="rId15"/>
    <sheet name="FLUKTUATION_DATEN" sheetId="38" state="veryHidden" r:id="rId16"/>
    <sheet name="Message" sheetId="22" state="veryHidden" r:id="rId17"/>
    <sheet name="KV_DROPDOWN_HELPER" sheetId="49" state="veryHidden" r:id="rId18"/>
    <sheet name="PID_HOUR_OVERRIDES" sheetId="50" state="veryHidden" r:id="rId19"/>
    <sheet name="UBERSICHT" sheetId="15" r:id="rId20"/>
    <sheet name="FLUKTUATION" sheetId="52" r:id="rId21"/>
  </sheets>
  <functionGroups builtInGroupCount="19"/>
  <definedNames>
    <definedName name="_xleta.OR" hidden="1" xlm="1">#NAME?</definedName>
    <definedName name="_xleta.SUM" hidden="1" xlm="1">#NAME?</definedName>
    <definedName name="_xlpm.d" hidden="1" xlm="1">#NAME?</definedName>
    <definedName name="_xlpm.i" hidden="1" xlm="1">#NAME?</definedName>
    <definedName name="_xlpm.w" hidden="1" xlm="1">#NAME?</definedName>
    <definedName name="BG1_10_Hours">#REF!</definedName>
    <definedName name="BG1_10_Wages">#REF!</definedName>
    <definedName name="BG1_15_Hours">#REF!</definedName>
    <definedName name="BG1_15_Wages">#REF!</definedName>
    <definedName name="BG1_5_Hours">#REF!</definedName>
    <definedName name="BG1_5_Wages">#REF!</definedName>
    <definedName name="BG1_Hours">#REF!</definedName>
    <definedName name="BG1_Wages">#REF!</definedName>
    <definedName name="BG2_10_Hours">#REF!</definedName>
    <definedName name="BG2_15_Hours">#REF!</definedName>
    <definedName name="BG2_5_Hours">#REF!</definedName>
    <definedName name="BG2_Hours">#REF!</definedName>
    <definedName name="_xlnm.Print_Area" localSheetId="20">FLUKTUATION!$A$1:$L$82</definedName>
    <definedName name="PID_KV_CODE_LIST">KV_DROPDOWN_HELPER!$AJY$1:$AJY$12</definedName>
    <definedName name="ShowWelcomeMessage">TRUE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61" i="35" l="1"/>
  <c r="K62" i="35"/>
  <c r="K63" i="35"/>
  <c r="K64" i="35"/>
  <c r="K65" i="35"/>
  <c r="K66" i="35"/>
  <c r="K67" i="35"/>
  <c r="K68" i="35"/>
  <c r="K69" i="35"/>
  <c r="K70" i="35"/>
  <c r="K71" i="35"/>
  <c r="K72" i="35"/>
  <c r="K73" i="35"/>
  <c r="K74" i="35"/>
  <c r="K75" i="35"/>
  <c r="K76" i="35"/>
  <c r="K77" i="35"/>
  <c r="K78" i="35"/>
  <c r="K79" i="35"/>
  <c r="K80" i="35"/>
  <c r="K81" i="35"/>
  <c r="K82" i="35"/>
  <c r="G3" i="35"/>
  <c r="G4" i="35"/>
  <c r="G5" i="35"/>
  <c r="G6" i="35"/>
  <c r="G7" i="35"/>
  <c r="G8" i="35"/>
  <c r="G9" i="35"/>
  <c r="G10" i="35"/>
  <c r="G11" i="35"/>
  <c r="G12" i="35"/>
  <c r="G13" i="35"/>
  <c r="G14" i="35"/>
  <c r="G15" i="35"/>
  <c r="G16" i="35"/>
  <c r="G17" i="35"/>
  <c r="G18" i="35"/>
  <c r="G19" i="35"/>
  <c r="G20" i="35"/>
  <c r="G21" i="35"/>
  <c r="G22" i="35"/>
  <c r="G23" i="35"/>
  <c r="G24" i="35"/>
  <c r="G25" i="35"/>
  <c r="G26" i="35"/>
  <c r="G27" i="35"/>
  <c r="G28" i="35"/>
  <c r="G29" i="35"/>
  <c r="G30" i="35"/>
  <c r="G31" i="35"/>
  <c r="G32" i="35"/>
  <c r="G33" i="35"/>
  <c r="G34" i="35"/>
  <c r="G35" i="35"/>
  <c r="G36" i="35"/>
  <c r="G37" i="35"/>
  <c r="G38" i="35"/>
  <c r="G39" i="35"/>
  <c r="G40" i="35"/>
  <c r="G41" i="35"/>
  <c r="G42" i="35"/>
  <c r="G43" i="35"/>
  <c r="G44" i="35"/>
  <c r="G45" i="35"/>
  <c r="G46" i="35"/>
  <c r="G47" i="35"/>
  <c r="G48" i="35"/>
  <c r="G49" i="35"/>
  <c r="G50" i="35"/>
  <c r="G51" i="35"/>
  <c r="G52" i="35"/>
  <c r="G53" i="35"/>
  <c r="G54" i="35"/>
  <c r="G55" i="35"/>
  <c r="G56" i="35"/>
  <c r="G57" i="35"/>
  <c r="G58" i="35"/>
  <c r="G59" i="35"/>
  <c r="G60" i="35"/>
  <c r="G61" i="35"/>
  <c r="G62" i="35"/>
  <c r="G63" i="35"/>
  <c r="G64" i="35"/>
  <c r="G65" i="35"/>
  <c r="G66" i="35"/>
  <c r="G67" i="35"/>
  <c r="G68" i="35"/>
  <c r="G69" i="35"/>
  <c r="G70" i="35"/>
  <c r="G71" i="35"/>
  <c r="G72" i="35"/>
  <c r="G73" i="35"/>
  <c r="G74" i="35"/>
  <c r="G75" i="35"/>
  <c r="G76" i="35"/>
  <c r="G77" i="35"/>
  <c r="G78" i="35"/>
  <c r="G79" i="35"/>
  <c r="G80" i="35"/>
  <c r="G81" i="35"/>
  <c r="G82" i="35"/>
  <c r="H3" i="35"/>
  <c r="H4" i="35"/>
  <c r="H5" i="35"/>
  <c r="H6" i="35"/>
  <c r="H7" i="35"/>
  <c r="H8" i="35"/>
  <c r="H9" i="35"/>
  <c r="H10" i="35"/>
  <c r="H11" i="35"/>
  <c r="H12" i="35"/>
  <c r="H13" i="35"/>
  <c r="H14" i="35"/>
  <c r="H15" i="35"/>
  <c r="H16" i="35"/>
  <c r="H17" i="35"/>
  <c r="H18" i="35"/>
  <c r="H19" i="35"/>
  <c r="H20" i="35"/>
  <c r="H21" i="35"/>
  <c r="H22" i="35"/>
  <c r="H23" i="35"/>
  <c r="H24" i="35"/>
  <c r="H25" i="35"/>
  <c r="H26" i="35"/>
  <c r="H27" i="35"/>
  <c r="H28" i="35"/>
  <c r="H29" i="35"/>
  <c r="H30" i="35"/>
  <c r="H31" i="35"/>
  <c r="H32" i="35"/>
  <c r="H33" i="35"/>
  <c r="H34" i="35"/>
  <c r="H35" i="35"/>
  <c r="H36" i="35"/>
  <c r="H37" i="35"/>
  <c r="H38" i="35"/>
  <c r="H39" i="35"/>
  <c r="H40" i="35"/>
  <c r="H41" i="35"/>
  <c r="H42" i="35"/>
  <c r="H43" i="35"/>
  <c r="H44" i="35"/>
  <c r="H45" i="35"/>
  <c r="H46" i="35"/>
  <c r="H47" i="35"/>
  <c r="H48" i="35"/>
  <c r="H49" i="35"/>
  <c r="H50" i="35"/>
  <c r="H51" i="35"/>
  <c r="H52" i="35"/>
  <c r="H53" i="35"/>
  <c r="H54" i="35"/>
  <c r="H55" i="35"/>
  <c r="H56" i="35"/>
  <c r="H57" i="35"/>
  <c r="H58" i="35"/>
  <c r="H59" i="35"/>
  <c r="H60" i="35"/>
  <c r="H61" i="35"/>
  <c r="H62" i="35"/>
  <c r="H63" i="35"/>
  <c r="H64" i="35"/>
  <c r="H65" i="35"/>
  <c r="H66" i="35"/>
  <c r="H67" i="35"/>
  <c r="H68" i="35"/>
  <c r="H69" i="35"/>
  <c r="H70" i="35"/>
  <c r="H71" i="35"/>
  <c r="H72" i="35"/>
  <c r="H73" i="35"/>
  <c r="H74" i="35"/>
  <c r="H75" i="35"/>
  <c r="H76" i="35"/>
  <c r="H77" i="35"/>
  <c r="H78" i="35"/>
  <c r="H79" i="35"/>
  <c r="H80" i="35"/>
  <c r="H81" i="35"/>
  <c r="H82" i="35"/>
  <c r="K62" i="36"/>
  <c r="K63" i="36"/>
  <c r="K64" i="36"/>
  <c r="K65" i="36"/>
  <c r="K66" i="36"/>
  <c r="K67" i="36"/>
  <c r="K68" i="36"/>
  <c r="K69" i="36"/>
  <c r="K70" i="36"/>
  <c r="K71" i="36"/>
  <c r="K72" i="36"/>
  <c r="K73" i="36"/>
  <c r="K74" i="36"/>
  <c r="K75" i="36"/>
  <c r="K76" i="36"/>
  <c r="K77" i="36"/>
  <c r="K78" i="36"/>
  <c r="K79" i="36"/>
  <c r="K80" i="36"/>
  <c r="K81" i="36"/>
  <c r="K82" i="36"/>
  <c r="G3" i="36"/>
  <c r="G4" i="36"/>
  <c r="G5" i="36"/>
  <c r="G6" i="36"/>
  <c r="G7" i="36"/>
  <c r="G8" i="36"/>
  <c r="G9" i="36"/>
  <c r="G10" i="36"/>
  <c r="G11" i="36"/>
  <c r="G12" i="36"/>
  <c r="G13" i="36"/>
  <c r="G14" i="36"/>
  <c r="G15" i="36"/>
  <c r="G16" i="36"/>
  <c r="G17" i="36"/>
  <c r="G18" i="36"/>
  <c r="G19" i="36"/>
  <c r="G20" i="36"/>
  <c r="G21" i="36"/>
  <c r="G22" i="36"/>
  <c r="G23" i="36"/>
  <c r="G24" i="36"/>
  <c r="G25" i="36"/>
  <c r="G26" i="36"/>
  <c r="G27" i="36"/>
  <c r="G28" i="36"/>
  <c r="G29" i="36"/>
  <c r="G30" i="36"/>
  <c r="G31" i="36"/>
  <c r="G32" i="36"/>
  <c r="G33" i="36"/>
  <c r="G34" i="36"/>
  <c r="G35" i="36"/>
  <c r="G36" i="36"/>
  <c r="G37" i="36"/>
  <c r="G38" i="36"/>
  <c r="G39" i="36"/>
  <c r="G40" i="36"/>
  <c r="G41" i="36"/>
  <c r="G42" i="36"/>
  <c r="G43" i="36"/>
  <c r="G44" i="36"/>
  <c r="G45" i="36"/>
  <c r="G46" i="36"/>
  <c r="G47" i="36"/>
  <c r="G48" i="36"/>
  <c r="G49" i="36"/>
  <c r="G50" i="36"/>
  <c r="G51" i="36"/>
  <c r="G52" i="36"/>
  <c r="G53" i="36"/>
  <c r="G54" i="36"/>
  <c r="G55" i="36"/>
  <c r="G56" i="36"/>
  <c r="G57" i="36"/>
  <c r="G58" i="36"/>
  <c r="G59" i="36"/>
  <c r="G60" i="36"/>
  <c r="G61" i="36"/>
  <c r="G62" i="36"/>
  <c r="G63" i="36"/>
  <c r="G64" i="36"/>
  <c r="G65" i="36"/>
  <c r="G66" i="36"/>
  <c r="G67" i="36"/>
  <c r="G68" i="36"/>
  <c r="G69" i="36"/>
  <c r="G70" i="36"/>
  <c r="G71" i="36"/>
  <c r="G72" i="36"/>
  <c r="G73" i="36"/>
  <c r="G74" i="36"/>
  <c r="G75" i="36"/>
  <c r="G76" i="36"/>
  <c r="G77" i="36"/>
  <c r="G78" i="36"/>
  <c r="G79" i="36"/>
  <c r="G80" i="36"/>
  <c r="G81" i="36"/>
  <c r="G82" i="36"/>
  <c r="H3" i="36"/>
  <c r="H4" i="36"/>
  <c r="H5" i="36"/>
  <c r="H6" i="36"/>
  <c r="H7" i="36"/>
  <c r="H8" i="36"/>
  <c r="H9" i="36"/>
  <c r="H10" i="36"/>
  <c r="H11" i="36"/>
  <c r="H12" i="36"/>
  <c r="H13" i="36"/>
  <c r="H14" i="36"/>
  <c r="H15" i="36"/>
  <c r="H16" i="36"/>
  <c r="H17" i="36"/>
  <c r="H18" i="36"/>
  <c r="H19" i="36"/>
  <c r="H20" i="36"/>
  <c r="H21" i="36"/>
  <c r="H22" i="36"/>
  <c r="H23" i="36"/>
  <c r="H24" i="36"/>
  <c r="H25" i="36"/>
  <c r="H26" i="36"/>
  <c r="H27" i="36"/>
  <c r="H28" i="36"/>
  <c r="H29" i="36"/>
  <c r="H30" i="36"/>
  <c r="H31" i="36"/>
  <c r="H32" i="36"/>
  <c r="H33" i="36"/>
  <c r="H34" i="36"/>
  <c r="H35" i="36"/>
  <c r="H36" i="36"/>
  <c r="H37" i="36"/>
  <c r="H38" i="36"/>
  <c r="H39" i="36"/>
  <c r="H40" i="36"/>
  <c r="H41" i="36"/>
  <c r="H42" i="36"/>
  <c r="H43" i="36"/>
  <c r="H44" i="36"/>
  <c r="H45" i="36"/>
  <c r="H46" i="36"/>
  <c r="H47" i="36"/>
  <c r="H48" i="36"/>
  <c r="H49" i="36"/>
  <c r="H50" i="36"/>
  <c r="H51" i="36"/>
  <c r="H52" i="36"/>
  <c r="H53" i="36"/>
  <c r="H54" i="36"/>
  <c r="H55" i="36"/>
  <c r="H56" i="36"/>
  <c r="H57" i="36"/>
  <c r="H58" i="36"/>
  <c r="H59" i="36"/>
  <c r="H60" i="36"/>
  <c r="H61" i="36"/>
  <c r="H62" i="36"/>
  <c r="H63" i="36"/>
  <c r="H64" i="36"/>
  <c r="H65" i="36"/>
  <c r="H66" i="36"/>
  <c r="H67" i="36"/>
  <c r="H68" i="36"/>
  <c r="H69" i="36"/>
  <c r="H70" i="36"/>
  <c r="H71" i="36"/>
  <c r="H72" i="36"/>
  <c r="H73" i="36"/>
  <c r="H74" i="36"/>
  <c r="H75" i="36"/>
  <c r="H76" i="36"/>
  <c r="H77" i="36"/>
  <c r="H78" i="36"/>
  <c r="H79" i="36"/>
  <c r="H80" i="36"/>
  <c r="H81" i="36"/>
  <c r="H82" i="36"/>
  <c r="K62" i="33"/>
  <c r="K63" i="33"/>
  <c r="K64" i="33"/>
  <c r="K65" i="33"/>
  <c r="K66" i="33"/>
  <c r="K67" i="33"/>
  <c r="K68" i="33"/>
  <c r="K69" i="33"/>
  <c r="K70" i="33"/>
  <c r="K71" i="33"/>
  <c r="K72" i="33"/>
  <c r="K73" i="33"/>
  <c r="K74" i="33"/>
  <c r="K75" i="33"/>
  <c r="K76" i="33"/>
  <c r="K77" i="33"/>
  <c r="K78" i="33"/>
  <c r="K79" i="33"/>
  <c r="K80" i="33"/>
  <c r="K81" i="33"/>
  <c r="K82" i="33"/>
  <c r="G3" i="33"/>
  <c r="G4" i="33"/>
  <c r="G5" i="33"/>
  <c r="G6" i="33"/>
  <c r="G7" i="33"/>
  <c r="G8" i="33"/>
  <c r="G9" i="33"/>
  <c r="G10" i="33"/>
  <c r="G11" i="33"/>
  <c r="G12" i="33"/>
  <c r="G13" i="33"/>
  <c r="G14" i="33"/>
  <c r="G15" i="33"/>
  <c r="G16" i="33"/>
  <c r="G17" i="33"/>
  <c r="G18" i="33"/>
  <c r="G19" i="33"/>
  <c r="G20" i="33"/>
  <c r="G21" i="33"/>
  <c r="G22" i="33"/>
  <c r="G23" i="33"/>
  <c r="G24" i="33"/>
  <c r="G25" i="33"/>
  <c r="G26" i="33"/>
  <c r="G27" i="33"/>
  <c r="G28" i="33"/>
  <c r="G29" i="33"/>
  <c r="G30" i="33"/>
  <c r="G31" i="33"/>
  <c r="G32" i="33"/>
  <c r="G33" i="33"/>
  <c r="G34" i="33"/>
  <c r="G35" i="33"/>
  <c r="G36" i="33"/>
  <c r="G37" i="33"/>
  <c r="G38" i="33"/>
  <c r="G39" i="33"/>
  <c r="G40" i="33"/>
  <c r="G41" i="33"/>
  <c r="G42" i="33"/>
  <c r="G43" i="33"/>
  <c r="G44" i="33"/>
  <c r="G45" i="33"/>
  <c r="G46" i="33"/>
  <c r="G47" i="33"/>
  <c r="G48" i="33"/>
  <c r="G49" i="33"/>
  <c r="G50" i="33"/>
  <c r="G51" i="33"/>
  <c r="G52" i="33"/>
  <c r="G53" i="33"/>
  <c r="G54" i="33"/>
  <c r="G55" i="33"/>
  <c r="G56" i="33"/>
  <c r="G57" i="33"/>
  <c r="G58" i="33"/>
  <c r="G59" i="33"/>
  <c r="G60" i="33"/>
  <c r="G61" i="33"/>
  <c r="G62" i="33"/>
  <c r="G63" i="33"/>
  <c r="G64" i="33"/>
  <c r="G65" i="33"/>
  <c r="G66" i="33"/>
  <c r="G67" i="33"/>
  <c r="G68" i="33"/>
  <c r="G69" i="33"/>
  <c r="G70" i="33"/>
  <c r="G71" i="33"/>
  <c r="G72" i="33"/>
  <c r="G73" i="33"/>
  <c r="G74" i="33"/>
  <c r="G75" i="33"/>
  <c r="G76" i="33"/>
  <c r="G77" i="33"/>
  <c r="G78" i="33"/>
  <c r="G79" i="33"/>
  <c r="G80" i="33"/>
  <c r="G81" i="33"/>
  <c r="G82" i="33"/>
  <c r="H3" i="33"/>
  <c r="H4" i="33"/>
  <c r="H5" i="33"/>
  <c r="H6" i="33"/>
  <c r="H7" i="33"/>
  <c r="H8" i="33"/>
  <c r="H9" i="33"/>
  <c r="H10" i="33"/>
  <c r="H11" i="33"/>
  <c r="H12" i="33"/>
  <c r="H13" i="33"/>
  <c r="H14" i="33"/>
  <c r="H15" i="33"/>
  <c r="H16" i="33"/>
  <c r="H17" i="33"/>
  <c r="H18" i="33"/>
  <c r="H19" i="33"/>
  <c r="H20" i="33"/>
  <c r="H21" i="33"/>
  <c r="H22" i="33"/>
  <c r="H23" i="33"/>
  <c r="H24" i="33"/>
  <c r="H25" i="33"/>
  <c r="H26" i="33"/>
  <c r="H27" i="33"/>
  <c r="H28" i="33"/>
  <c r="H29" i="33"/>
  <c r="H30" i="33"/>
  <c r="H31" i="33"/>
  <c r="H32" i="33"/>
  <c r="H33" i="33"/>
  <c r="H34" i="33"/>
  <c r="H35" i="33"/>
  <c r="H36" i="33"/>
  <c r="H37" i="33"/>
  <c r="H38" i="33"/>
  <c r="H39" i="33"/>
  <c r="H40" i="33"/>
  <c r="H41" i="33"/>
  <c r="H42" i="33"/>
  <c r="H43" i="33"/>
  <c r="H44" i="33"/>
  <c r="H45" i="33"/>
  <c r="H46" i="33"/>
  <c r="H47" i="33"/>
  <c r="H48" i="33"/>
  <c r="H49" i="33"/>
  <c r="H50" i="33"/>
  <c r="H51" i="33"/>
  <c r="H52" i="33"/>
  <c r="H53" i="33"/>
  <c r="H54" i="33"/>
  <c r="H55" i="33"/>
  <c r="H56" i="33"/>
  <c r="H57" i="33"/>
  <c r="H58" i="33"/>
  <c r="H59" i="33"/>
  <c r="H60" i="33"/>
  <c r="H61" i="33"/>
  <c r="H62" i="33"/>
  <c r="H63" i="33"/>
  <c r="H64" i="33"/>
  <c r="H65" i="33"/>
  <c r="H66" i="33"/>
  <c r="H67" i="33"/>
  <c r="H68" i="33"/>
  <c r="H69" i="33"/>
  <c r="H70" i="33"/>
  <c r="H71" i="33"/>
  <c r="H72" i="33"/>
  <c r="H73" i="33"/>
  <c r="H74" i="33"/>
  <c r="H75" i="33"/>
  <c r="H76" i="33"/>
  <c r="H77" i="33"/>
  <c r="H78" i="33"/>
  <c r="H79" i="33"/>
  <c r="H80" i="33"/>
  <c r="H81" i="33"/>
  <c r="H82" i="33"/>
  <c r="K63" i="32"/>
  <c r="K64" i="32"/>
  <c r="K65" i="32"/>
  <c r="K66" i="32"/>
  <c r="K67" i="32"/>
  <c r="K68" i="32"/>
  <c r="K69" i="32"/>
  <c r="K70" i="32"/>
  <c r="K71" i="32"/>
  <c r="K72" i="32"/>
  <c r="K73" i="32"/>
  <c r="K74" i="32"/>
  <c r="K75" i="32"/>
  <c r="K76" i="32"/>
  <c r="K77" i="32"/>
  <c r="K78" i="32"/>
  <c r="K79" i="32"/>
  <c r="K80" i="32"/>
  <c r="K81" i="32"/>
  <c r="K82" i="32"/>
  <c r="G3" i="32"/>
  <c r="G4" i="32"/>
  <c r="G5" i="32"/>
  <c r="G6" i="32"/>
  <c r="G7" i="32"/>
  <c r="G8" i="32"/>
  <c r="G9" i="32"/>
  <c r="G10" i="32"/>
  <c r="G11" i="32"/>
  <c r="G12" i="32"/>
  <c r="G13" i="32"/>
  <c r="G14" i="32"/>
  <c r="G15" i="32"/>
  <c r="G16" i="32"/>
  <c r="G17" i="32"/>
  <c r="G18" i="32"/>
  <c r="G19" i="32"/>
  <c r="G20" i="32"/>
  <c r="G21" i="32"/>
  <c r="G22" i="32"/>
  <c r="G23" i="32"/>
  <c r="G24" i="32"/>
  <c r="G25" i="32"/>
  <c r="G26" i="32"/>
  <c r="G27" i="32"/>
  <c r="G28" i="32"/>
  <c r="G29" i="32"/>
  <c r="G30" i="32"/>
  <c r="G31" i="32"/>
  <c r="G32" i="32"/>
  <c r="G33" i="32"/>
  <c r="G34" i="32"/>
  <c r="G35" i="32"/>
  <c r="G36" i="32"/>
  <c r="G37" i="32"/>
  <c r="G38" i="32"/>
  <c r="G39" i="32"/>
  <c r="G40" i="32"/>
  <c r="G41" i="32"/>
  <c r="G42" i="32"/>
  <c r="G43" i="32"/>
  <c r="G44" i="32"/>
  <c r="G45" i="32"/>
  <c r="G46" i="32"/>
  <c r="G47" i="32"/>
  <c r="G48" i="32"/>
  <c r="G49" i="32"/>
  <c r="G50" i="32"/>
  <c r="G51" i="32"/>
  <c r="G52" i="32"/>
  <c r="G53" i="32"/>
  <c r="G54" i="32"/>
  <c r="G55" i="32"/>
  <c r="G56" i="32"/>
  <c r="G57" i="32"/>
  <c r="G58" i="32"/>
  <c r="G59" i="32"/>
  <c r="G60" i="32"/>
  <c r="G61" i="32"/>
  <c r="G62" i="32"/>
  <c r="G63" i="32"/>
  <c r="G64" i="32"/>
  <c r="G65" i="32"/>
  <c r="G66" i="32"/>
  <c r="G67" i="32"/>
  <c r="G68" i="32"/>
  <c r="G69" i="32"/>
  <c r="G70" i="32"/>
  <c r="G71" i="32"/>
  <c r="G72" i="32"/>
  <c r="G73" i="32"/>
  <c r="G74" i="32"/>
  <c r="G75" i="32"/>
  <c r="G76" i="32"/>
  <c r="G77" i="32"/>
  <c r="G78" i="32"/>
  <c r="G79" i="32"/>
  <c r="G80" i="32"/>
  <c r="G81" i="32"/>
  <c r="G82" i="32"/>
  <c r="H3" i="32"/>
  <c r="H4" i="32"/>
  <c r="H5" i="32"/>
  <c r="H6" i="32"/>
  <c r="H7" i="32"/>
  <c r="H8" i="32"/>
  <c r="H9" i="32"/>
  <c r="H10" i="32"/>
  <c r="H11" i="32"/>
  <c r="H12" i="32"/>
  <c r="H13" i="32"/>
  <c r="H14" i="32"/>
  <c r="H15" i="32"/>
  <c r="H16" i="32"/>
  <c r="H17" i="32"/>
  <c r="H18" i="32"/>
  <c r="H19" i="32"/>
  <c r="H20" i="32"/>
  <c r="H21" i="32"/>
  <c r="H22" i="32"/>
  <c r="H23" i="32"/>
  <c r="H24" i="32"/>
  <c r="H25" i="32"/>
  <c r="H26" i="32"/>
  <c r="H27" i="32"/>
  <c r="H28" i="32"/>
  <c r="H29" i="32"/>
  <c r="H30" i="32"/>
  <c r="H31" i="32"/>
  <c r="H32" i="32"/>
  <c r="H33" i="32"/>
  <c r="H34" i="32"/>
  <c r="H35" i="32"/>
  <c r="H36" i="32"/>
  <c r="H37" i="32"/>
  <c r="H38" i="32"/>
  <c r="H39" i="32"/>
  <c r="H40" i="32"/>
  <c r="H41" i="32"/>
  <c r="H42" i="32"/>
  <c r="H43" i="32"/>
  <c r="H44" i="32"/>
  <c r="H45" i="32"/>
  <c r="H46" i="32"/>
  <c r="H47" i="32"/>
  <c r="H48" i="32"/>
  <c r="H49" i="32"/>
  <c r="H50" i="32"/>
  <c r="H51" i="32"/>
  <c r="H52" i="32"/>
  <c r="H53" i="32"/>
  <c r="H54" i="32"/>
  <c r="H55" i="32"/>
  <c r="H56" i="32"/>
  <c r="H57" i="32"/>
  <c r="H58" i="32"/>
  <c r="H59" i="32"/>
  <c r="H60" i="32"/>
  <c r="H61" i="32"/>
  <c r="H62" i="32"/>
  <c r="H63" i="32"/>
  <c r="H64" i="32"/>
  <c r="H65" i="32"/>
  <c r="H66" i="32"/>
  <c r="H67" i="32"/>
  <c r="H68" i="32"/>
  <c r="H69" i="32"/>
  <c r="H70" i="32"/>
  <c r="H71" i="32"/>
  <c r="H72" i="32"/>
  <c r="H73" i="32"/>
  <c r="H74" i="32"/>
  <c r="H75" i="32"/>
  <c r="H76" i="32"/>
  <c r="H77" i="32"/>
  <c r="H78" i="32"/>
  <c r="H79" i="32"/>
  <c r="H80" i="32"/>
  <c r="H81" i="32"/>
  <c r="H82" i="32"/>
  <c r="K63" i="31"/>
  <c r="K64" i="31"/>
  <c r="K65" i="31"/>
  <c r="K66" i="31"/>
  <c r="K67" i="31"/>
  <c r="K68" i="31"/>
  <c r="K69" i="31"/>
  <c r="K70" i="31"/>
  <c r="K71" i="31"/>
  <c r="K72" i="31"/>
  <c r="K73" i="31"/>
  <c r="K74" i="31"/>
  <c r="K75" i="31"/>
  <c r="K76" i="31"/>
  <c r="K77" i="31"/>
  <c r="K78" i="31"/>
  <c r="K79" i="31"/>
  <c r="K80" i="31"/>
  <c r="K81" i="31"/>
  <c r="K82" i="31"/>
  <c r="G3" i="31"/>
  <c r="G4" i="31"/>
  <c r="G5" i="31"/>
  <c r="G6" i="31"/>
  <c r="G7" i="31"/>
  <c r="G8" i="31"/>
  <c r="G9" i="31"/>
  <c r="G10" i="31"/>
  <c r="G11" i="31"/>
  <c r="G12" i="31"/>
  <c r="G13" i="31"/>
  <c r="G14" i="31"/>
  <c r="G15" i="31"/>
  <c r="G16" i="31"/>
  <c r="G17" i="31"/>
  <c r="G18" i="31"/>
  <c r="G19" i="31"/>
  <c r="G20" i="31"/>
  <c r="G21" i="31"/>
  <c r="G22" i="31"/>
  <c r="G23" i="31"/>
  <c r="G24" i="31"/>
  <c r="G25" i="31"/>
  <c r="G26" i="31"/>
  <c r="G27" i="31"/>
  <c r="G28" i="31"/>
  <c r="G29" i="31"/>
  <c r="G30" i="31"/>
  <c r="G31" i="31"/>
  <c r="G32" i="31"/>
  <c r="G33" i="31"/>
  <c r="G34" i="31"/>
  <c r="G35" i="31"/>
  <c r="G36" i="31"/>
  <c r="G37" i="31"/>
  <c r="G38" i="31"/>
  <c r="G39" i="31"/>
  <c r="G40" i="31"/>
  <c r="G41" i="31"/>
  <c r="G42" i="31"/>
  <c r="G43" i="31"/>
  <c r="G44" i="31"/>
  <c r="G45" i="31"/>
  <c r="G46" i="31"/>
  <c r="G47" i="31"/>
  <c r="G48" i="31"/>
  <c r="G49" i="31"/>
  <c r="G50" i="31"/>
  <c r="G51" i="31"/>
  <c r="G52" i="31"/>
  <c r="G53" i="31"/>
  <c r="G54" i="31"/>
  <c r="G55" i="31"/>
  <c r="G56" i="31"/>
  <c r="G57" i="31"/>
  <c r="G58" i="31"/>
  <c r="G59" i="31"/>
  <c r="G60" i="31"/>
  <c r="G61" i="31"/>
  <c r="G62" i="31"/>
  <c r="G63" i="31"/>
  <c r="G64" i="31"/>
  <c r="G65" i="31"/>
  <c r="G66" i="31"/>
  <c r="G67" i="31"/>
  <c r="G68" i="31"/>
  <c r="G69" i="31"/>
  <c r="G70" i="31"/>
  <c r="G71" i="31"/>
  <c r="G72" i="31"/>
  <c r="G73" i="31"/>
  <c r="G74" i="31"/>
  <c r="G75" i="31"/>
  <c r="G76" i="31"/>
  <c r="G77" i="31"/>
  <c r="G78" i="31"/>
  <c r="G79" i="31"/>
  <c r="G80" i="31"/>
  <c r="G81" i="31"/>
  <c r="G82" i="31"/>
  <c r="H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K64" i="30"/>
  <c r="K65" i="30"/>
  <c r="K66" i="30"/>
  <c r="K67" i="30"/>
  <c r="K68" i="30"/>
  <c r="K69" i="30"/>
  <c r="K70" i="30"/>
  <c r="K71" i="30"/>
  <c r="K72" i="30"/>
  <c r="K73" i="30"/>
  <c r="K74" i="30"/>
  <c r="K75" i="30"/>
  <c r="K76" i="30"/>
  <c r="K77" i="30"/>
  <c r="K78" i="30"/>
  <c r="K79" i="30"/>
  <c r="K80" i="30"/>
  <c r="K81" i="30"/>
  <c r="K82" i="30"/>
  <c r="G3" i="30"/>
  <c r="G4" i="30"/>
  <c r="G5" i="30"/>
  <c r="G6" i="30"/>
  <c r="G7" i="30"/>
  <c r="G8" i="30"/>
  <c r="G9" i="30"/>
  <c r="G10" i="30"/>
  <c r="G11" i="30"/>
  <c r="G12" i="30"/>
  <c r="G13" i="30"/>
  <c r="G14" i="30"/>
  <c r="G15" i="30"/>
  <c r="G16" i="30"/>
  <c r="G17" i="30"/>
  <c r="G18" i="30"/>
  <c r="G19" i="30"/>
  <c r="G20" i="30"/>
  <c r="G21" i="30"/>
  <c r="G22" i="30"/>
  <c r="G23" i="30"/>
  <c r="G24" i="30"/>
  <c r="G25" i="30"/>
  <c r="G26" i="30"/>
  <c r="G27" i="30"/>
  <c r="G28" i="30"/>
  <c r="G29" i="30"/>
  <c r="G30" i="30"/>
  <c r="G31" i="30"/>
  <c r="G32" i="30"/>
  <c r="G33" i="30"/>
  <c r="G34" i="30"/>
  <c r="G35" i="30"/>
  <c r="G36" i="30"/>
  <c r="G37" i="30"/>
  <c r="G38" i="30"/>
  <c r="G39" i="30"/>
  <c r="G40" i="30"/>
  <c r="G41" i="30"/>
  <c r="G42" i="30"/>
  <c r="G43" i="30"/>
  <c r="G44" i="30"/>
  <c r="G45" i="30"/>
  <c r="G46" i="30"/>
  <c r="G47" i="30"/>
  <c r="G48" i="30"/>
  <c r="G49" i="30"/>
  <c r="G50" i="30"/>
  <c r="G51" i="30"/>
  <c r="G52" i="30"/>
  <c r="G53" i="30"/>
  <c r="G54" i="30"/>
  <c r="G55" i="30"/>
  <c r="G56" i="30"/>
  <c r="G57" i="30"/>
  <c r="G58" i="30"/>
  <c r="G59" i="30"/>
  <c r="G60" i="30"/>
  <c r="G61" i="30"/>
  <c r="G62" i="30"/>
  <c r="G63" i="30"/>
  <c r="G64" i="30"/>
  <c r="G65" i="30"/>
  <c r="G66" i="30"/>
  <c r="G67" i="30"/>
  <c r="G68" i="30"/>
  <c r="G69" i="30"/>
  <c r="G70" i="30"/>
  <c r="G71" i="30"/>
  <c r="G72" i="30"/>
  <c r="G73" i="30"/>
  <c r="G74" i="30"/>
  <c r="G75" i="30"/>
  <c r="G76" i="30"/>
  <c r="G77" i="30"/>
  <c r="G78" i="30"/>
  <c r="G79" i="30"/>
  <c r="G80" i="30"/>
  <c r="G81" i="30"/>
  <c r="G82" i="30"/>
  <c r="H3" i="30"/>
  <c r="H4" i="30"/>
  <c r="H5" i="30"/>
  <c r="H6" i="30"/>
  <c r="H7" i="30"/>
  <c r="H8" i="30"/>
  <c r="H9" i="30"/>
  <c r="H10" i="30"/>
  <c r="H11" i="30"/>
  <c r="H12" i="30"/>
  <c r="H13" i="30"/>
  <c r="H14" i="30"/>
  <c r="H15" i="30"/>
  <c r="H16" i="30"/>
  <c r="H17" i="30"/>
  <c r="H18" i="30"/>
  <c r="H19" i="30"/>
  <c r="H20" i="30"/>
  <c r="H21" i="30"/>
  <c r="H22" i="30"/>
  <c r="H23" i="30"/>
  <c r="H24" i="30"/>
  <c r="H25" i="30"/>
  <c r="H26" i="30"/>
  <c r="H27" i="30"/>
  <c r="H28" i="30"/>
  <c r="H29" i="30"/>
  <c r="H30" i="30"/>
  <c r="H31" i="30"/>
  <c r="H32" i="30"/>
  <c r="H33" i="30"/>
  <c r="H34" i="30"/>
  <c r="H35" i="30"/>
  <c r="H36" i="30"/>
  <c r="H37" i="30"/>
  <c r="H38" i="30"/>
  <c r="H39" i="30"/>
  <c r="H40" i="30"/>
  <c r="H41" i="30"/>
  <c r="H42" i="30"/>
  <c r="H43" i="30"/>
  <c r="H44" i="30"/>
  <c r="H45" i="30"/>
  <c r="H46" i="30"/>
  <c r="H47" i="30"/>
  <c r="H48" i="30"/>
  <c r="H49" i="30"/>
  <c r="H50" i="30"/>
  <c r="H51" i="30"/>
  <c r="H52" i="30"/>
  <c r="H53" i="30"/>
  <c r="H54" i="30"/>
  <c r="H55" i="30"/>
  <c r="H56" i="30"/>
  <c r="H57" i="30"/>
  <c r="H58" i="30"/>
  <c r="H59" i="30"/>
  <c r="H60" i="30"/>
  <c r="H61" i="30"/>
  <c r="H62" i="30"/>
  <c r="H63" i="30"/>
  <c r="H64" i="30"/>
  <c r="H65" i="30"/>
  <c r="H66" i="30"/>
  <c r="H67" i="30"/>
  <c r="H68" i="30"/>
  <c r="H69" i="30"/>
  <c r="H70" i="30"/>
  <c r="H71" i="30"/>
  <c r="H72" i="30"/>
  <c r="H73" i="30"/>
  <c r="H74" i="30"/>
  <c r="H75" i="30"/>
  <c r="H76" i="30"/>
  <c r="H77" i="30"/>
  <c r="H78" i="30"/>
  <c r="H79" i="30"/>
  <c r="H80" i="30"/>
  <c r="H81" i="30"/>
  <c r="H82" i="30"/>
  <c r="K65" i="37"/>
  <c r="K66" i="37"/>
  <c r="K67" i="37"/>
  <c r="K68" i="37"/>
  <c r="K69" i="37"/>
  <c r="K70" i="37"/>
  <c r="K71" i="37"/>
  <c r="K72" i="37"/>
  <c r="K73" i="37"/>
  <c r="K74" i="37"/>
  <c r="K75" i="37"/>
  <c r="K76" i="37"/>
  <c r="K77" i="37"/>
  <c r="K78" i="37"/>
  <c r="K79" i="37"/>
  <c r="K80" i="37"/>
  <c r="K81" i="37"/>
  <c r="K82" i="37"/>
  <c r="G3" i="37"/>
  <c r="G4" i="37"/>
  <c r="G5" i="37"/>
  <c r="G6" i="37"/>
  <c r="G7" i="37"/>
  <c r="G8" i="37"/>
  <c r="G9" i="37"/>
  <c r="G10" i="37"/>
  <c r="G11" i="37"/>
  <c r="G12" i="37"/>
  <c r="G13" i="37"/>
  <c r="G14" i="37"/>
  <c r="G15" i="37"/>
  <c r="G16" i="37"/>
  <c r="G17" i="37"/>
  <c r="G18" i="37"/>
  <c r="G19" i="37"/>
  <c r="G20" i="37"/>
  <c r="G21" i="37"/>
  <c r="G22" i="37"/>
  <c r="G23" i="37"/>
  <c r="G24" i="37"/>
  <c r="G25" i="37"/>
  <c r="G26" i="37"/>
  <c r="G27" i="37"/>
  <c r="G28" i="37"/>
  <c r="G29" i="37"/>
  <c r="G30" i="37"/>
  <c r="G31" i="37"/>
  <c r="G32" i="37"/>
  <c r="G33" i="37"/>
  <c r="G34" i="37"/>
  <c r="G35" i="37"/>
  <c r="G36" i="37"/>
  <c r="G37" i="37"/>
  <c r="G38" i="37"/>
  <c r="G39" i="37"/>
  <c r="G40" i="37"/>
  <c r="G41" i="37"/>
  <c r="G42" i="37"/>
  <c r="G43" i="37"/>
  <c r="G44" i="37"/>
  <c r="G45" i="37"/>
  <c r="G46" i="37"/>
  <c r="G47" i="37"/>
  <c r="G48" i="37"/>
  <c r="G49" i="37"/>
  <c r="G50" i="37"/>
  <c r="G51" i="37"/>
  <c r="G52" i="37"/>
  <c r="G53" i="37"/>
  <c r="G54" i="37"/>
  <c r="G55" i="37"/>
  <c r="G56" i="37"/>
  <c r="G57" i="37"/>
  <c r="G58" i="37"/>
  <c r="G59" i="37"/>
  <c r="G60" i="37"/>
  <c r="G61" i="37"/>
  <c r="G62" i="37"/>
  <c r="G63" i="37"/>
  <c r="G64" i="37"/>
  <c r="G65" i="37"/>
  <c r="G66" i="37"/>
  <c r="G67" i="37"/>
  <c r="G68" i="37"/>
  <c r="G69" i="37"/>
  <c r="G70" i="37"/>
  <c r="G71" i="37"/>
  <c r="G72" i="37"/>
  <c r="G73" i="37"/>
  <c r="G74" i="37"/>
  <c r="G75" i="37"/>
  <c r="G76" i="37"/>
  <c r="G77" i="37"/>
  <c r="G78" i="37"/>
  <c r="G79" i="37"/>
  <c r="G80" i="37"/>
  <c r="G81" i="37"/>
  <c r="G82" i="37"/>
  <c r="H3" i="37"/>
  <c r="H4" i="37"/>
  <c r="H5" i="37"/>
  <c r="H6" i="37"/>
  <c r="H7" i="37"/>
  <c r="H8" i="37"/>
  <c r="H9" i="37"/>
  <c r="H10" i="37"/>
  <c r="H11" i="37"/>
  <c r="H12" i="37"/>
  <c r="H13" i="37"/>
  <c r="H14" i="37"/>
  <c r="H15" i="37"/>
  <c r="H16" i="37"/>
  <c r="H17" i="37"/>
  <c r="H18" i="37"/>
  <c r="H19" i="37"/>
  <c r="H20" i="37"/>
  <c r="H21" i="37"/>
  <c r="H22" i="37"/>
  <c r="H23" i="37"/>
  <c r="H24" i="37"/>
  <c r="H25" i="37"/>
  <c r="H26" i="37"/>
  <c r="H27" i="37"/>
  <c r="H28" i="37"/>
  <c r="H29" i="37"/>
  <c r="H30" i="37"/>
  <c r="H31" i="37"/>
  <c r="H32" i="37"/>
  <c r="H33" i="37"/>
  <c r="H34" i="37"/>
  <c r="H35" i="37"/>
  <c r="H36" i="37"/>
  <c r="H37" i="37"/>
  <c r="H38" i="37"/>
  <c r="H39" i="37"/>
  <c r="H40" i="37"/>
  <c r="H41" i="37"/>
  <c r="H42" i="37"/>
  <c r="H43" i="37"/>
  <c r="H44" i="37"/>
  <c r="H45" i="37"/>
  <c r="H46" i="37"/>
  <c r="H47" i="37"/>
  <c r="H48" i="37"/>
  <c r="H49" i="37"/>
  <c r="H50" i="37"/>
  <c r="H51" i="37"/>
  <c r="H52" i="37"/>
  <c r="H53" i="37"/>
  <c r="H54" i="37"/>
  <c r="H55" i="37"/>
  <c r="H56" i="37"/>
  <c r="H57" i="37"/>
  <c r="H58" i="37"/>
  <c r="H59" i="37"/>
  <c r="H60" i="37"/>
  <c r="H61" i="37"/>
  <c r="H62" i="37"/>
  <c r="H63" i="37"/>
  <c r="H64" i="37"/>
  <c r="H65" i="37"/>
  <c r="H66" i="37"/>
  <c r="H67" i="37"/>
  <c r="H68" i="37"/>
  <c r="H69" i="37"/>
  <c r="H70" i="37"/>
  <c r="H71" i="37"/>
  <c r="H72" i="37"/>
  <c r="H73" i="37"/>
  <c r="H74" i="37"/>
  <c r="H75" i="37"/>
  <c r="H76" i="37"/>
  <c r="H77" i="37"/>
  <c r="H78" i="37"/>
  <c r="H79" i="37"/>
  <c r="H80" i="37"/>
  <c r="H81" i="37"/>
  <c r="H82" i="37"/>
  <c r="K67" i="28"/>
  <c r="K68" i="28"/>
  <c r="K69" i="28"/>
  <c r="K70" i="28"/>
  <c r="K71" i="28"/>
  <c r="K72" i="28"/>
  <c r="K73" i="28"/>
  <c r="K74" i="28"/>
  <c r="K75" i="28"/>
  <c r="K76" i="28"/>
  <c r="K77" i="28"/>
  <c r="K78" i="28"/>
  <c r="K79" i="28"/>
  <c r="K80" i="28"/>
  <c r="K81" i="28"/>
  <c r="K82" i="28"/>
  <c r="G3" i="28"/>
  <c r="G4" i="28"/>
  <c r="G5" i="28"/>
  <c r="G6" i="28"/>
  <c r="G7" i="28"/>
  <c r="G8" i="28"/>
  <c r="G9" i="28"/>
  <c r="G10" i="28"/>
  <c r="G11" i="28"/>
  <c r="G12" i="28"/>
  <c r="G13" i="28"/>
  <c r="G14" i="28"/>
  <c r="G15" i="28"/>
  <c r="G16" i="28"/>
  <c r="G17" i="28"/>
  <c r="G18" i="28"/>
  <c r="G19" i="28"/>
  <c r="G20" i="28"/>
  <c r="G21" i="28"/>
  <c r="G22" i="28"/>
  <c r="G23" i="28"/>
  <c r="G24" i="28"/>
  <c r="G25" i="28"/>
  <c r="G26" i="28"/>
  <c r="G27" i="28"/>
  <c r="G28" i="28"/>
  <c r="G29" i="28"/>
  <c r="G30" i="28"/>
  <c r="G31" i="28"/>
  <c r="G32" i="28"/>
  <c r="G33" i="28"/>
  <c r="G34" i="28"/>
  <c r="G35" i="28"/>
  <c r="G36" i="28"/>
  <c r="G37" i="28"/>
  <c r="G38" i="28"/>
  <c r="G39" i="28"/>
  <c r="G40" i="28"/>
  <c r="G41" i="28"/>
  <c r="G42" i="28"/>
  <c r="G43" i="28"/>
  <c r="G44" i="28"/>
  <c r="G45" i="28"/>
  <c r="G46" i="28"/>
  <c r="G47" i="28"/>
  <c r="G48" i="28"/>
  <c r="G49" i="28"/>
  <c r="G50" i="28"/>
  <c r="G51" i="28"/>
  <c r="G52" i="28"/>
  <c r="G53" i="28"/>
  <c r="G54" i="28"/>
  <c r="G55" i="28"/>
  <c r="G56" i="28"/>
  <c r="G57" i="28"/>
  <c r="G58" i="28"/>
  <c r="G59" i="28"/>
  <c r="G60" i="28"/>
  <c r="G61" i="28"/>
  <c r="G62" i="28"/>
  <c r="G63" i="28"/>
  <c r="G64" i="28"/>
  <c r="G65" i="28"/>
  <c r="G66" i="28"/>
  <c r="G67" i="28"/>
  <c r="G68" i="28"/>
  <c r="G69" i="28"/>
  <c r="G70" i="28"/>
  <c r="G71" i="28"/>
  <c r="G72" i="28"/>
  <c r="G73" i="28"/>
  <c r="G74" i="28"/>
  <c r="G75" i="28"/>
  <c r="G76" i="28"/>
  <c r="G77" i="28"/>
  <c r="G78" i="28"/>
  <c r="G79" i="28"/>
  <c r="G80" i="28"/>
  <c r="G81" i="28"/>
  <c r="G82" i="28"/>
  <c r="H3" i="28"/>
  <c r="H4" i="28"/>
  <c r="H5" i="28"/>
  <c r="H6" i="28"/>
  <c r="H7" i="28"/>
  <c r="H8" i="28"/>
  <c r="H9" i="28"/>
  <c r="H10" i="28"/>
  <c r="H11" i="28"/>
  <c r="H12" i="28"/>
  <c r="H13" i="28"/>
  <c r="H14" i="28"/>
  <c r="H15" i="28"/>
  <c r="H16" i="28"/>
  <c r="H17" i="28"/>
  <c r="H18" i="28"/>
  <c r="H19" i="28"/>
  <c r="H20" i="28"/>
  <c r="H21" i="28"/>
  <c r="H22" i="28"/>
  <c r="H23" i="28"/>
  <c r="H24" i="28"/>
  <c r="H25" i="28"/>
  <c r="H26" i="28"/>
  <c r="H27" i="28"/>
  <c r="H28" i="28"/>
  <c r="H29" i="28"/>
  <c r="H30" i="28"/>
  <c r="H31" i="28"/>
  <c r="H32" i="28"/>
  <c r="H33" i="28"/>
  <c r="H34" i="28"/>
  <c r="H35" i="28"/>
  <c r="H36" i="28"/>
  <c r="H37" i="28"/>
  <c r="H38" i="28"/>
  <c r="H39" i="28"/>
  <c r="H40" i="28"/>
  <c r="H41" i="28"/>
  <c r="H42" i="28"/>
  <c r="H43" i="28"/>
  <c r="H44" i="28"/>
  <c r="H45" i="28"/>
  <c r="H46" i="28"/>
  <c r="H47" i="28"/>
  <c r="H48" i="28"/>
  <c r="H49" i="28"/>
  <c r="H50" i="28"/>
  <c r="H51" i="28"/>
  <c r="H52" i="28"/>
  <c r="H53" i="28"/>
  <c r="H54" i="28"/>
  <c r="H55" i="28"/>
  <c r="H56" i="28"/>
  <c r="H57" i="28"/>
  <c r="H58" i="28"/>
  <c r="H59" i="28"/>
  <c r="H60" i="28"/>
  <c r="H61" i="28"/>
  <c r="H62" i="28"/>
  <c r="H63" i="28"/>
  <c r="H64" i="28"/>
  <c r="H65" i="28"/>
  <c r="H66" i="28"/>
  <c r="H67" i="28"/>
  <c r="H68" i="28"/>
  <c r="H69" i="28"/>
  <c r="H70" i="28"/>
  <c r="H71" i="28"/>
  <c r="H72" i="28"/>
  <c r="H73" i="28"/>
  <c r="H74" i="28"/>
  <c r="H75" i="28"/>
  <c r="H76" i="28"/>
  <c r="H77" i="28"/>
  <c r="H78" i="28"/>
  <c r="H79" i="28"/>
  <c r="H80" i="28"/>
  <c r="H81" i="28"/>
  <c r="H82" i="28"/>
  <c r="K66" i="27"/>
  <c r="K67" i="27"/>
  <c r="K68" i="27"/>
  <c r="K69" i="27"/>
  <c r="K70" i="27"/>
  <c r="K71" i="27"/>
  <c r="K72" i="27"/>
  <c r="K73" i="27"/>
  <c r="K74" i="27"/>
  <c r="K75" i="27"/>
  <c r="K76" i="27"/>
  <c r="K77" i="27"/>
  <c r="K78" i="27"/>
  <c r="K79" i="27"/>
  <c r="K80" i="27"/>
  <c r="K81" i="27"/>
  <c r="K82" i="27"/>
  <c r="G3" i="27"/>
  <c r="G4" i="27"/>
  <c r="G5" i="27"/>
  <c r="G6" i="27"/>
  <c r="G7" i="27"/>
  <c r="G8" i="27"/>
  <c r="G9" i="27"/>
  <c r="G10" i="27"/>
  <c r="G11" i="27"/>
  <c r="G12" i="27"/>
  <c r="G13" i="27"/>
  <c r="G14" i="27"/>
  <c r="G15" i="27"/>
  <c r="G16" i="27"/>
  <c r="G17" i="27"/>
  <c r="G18" i="27"/>
  <c r="G19" i="27"/>
  <c r="G20" i="27"/>
  <c r="G21" i="27"/>
  <c r="G22" i="27"/>
  <c r="G23" i="27"/>
  <c r="G24" i="27"/>
  <c r="G25" i="27"/>
  <c r="G26" i="27"/>
  <c r="G27" i="27"/>
  <c r="G28" i="27"/>
  <c r="G29" i="27"/>
  <c r="G30" i="27"/>
  <c r="G31" i="27"/>
  <c r="G32" i="27"/>
  <c r="G33" i="27"/>
  <c r="G34" i="27"/>
  <c r="G35" i="27"/>
  <c r="G36" i="27"/>
  <c r="G37" i="27"/>
  <c r="G38" i="27"/>
  <c r="G39" i="27"/>
  <c r="G40" i="27"/>
  <c r="G41" i="27"/>
  <c r="G42" i="27"/>
  <c r="G43" i="27"/>
  <c r="G44" i="27"/>
  <c r="G45" i="27"/>
  <c r="G46" i="27"/>
  <c r="G47" i="27"/>
  <c r="G48" i="27"/>
  <c r="G49" i="27"/>
  <c r="G50" i="27"/>
  <c r="G51" i="27"/>
  <c r="G52" i="27"/>
  <c r="G53" i="27"/>
  <c r="G54" i="27"/>
  <c r="G55" i="27"/>
  <c r="G56" i="27"/>
  <c r="G57" i="27"/>
  <c r="G58" i="27"/>
  <c r="G59" i="27"/>
  <c r="G60" i="27"/>
  <c r="G61" i="27"/>
  <c r="G62" i="27"/>
  <c r="G63" i="27"/>
  <c r="G64" i="27"/>
  <c r="G65" i="27"/>
  <c r="G66" i="27"/>
  <c r="G67" i="27"/>
  <c r="G68" i="27"/>
  <c r="G69" i="27"/>
  <c r="G70" i="27"/>
  <c r="G71" i="27"/>
  <c r="G72" i="27"/>
  <c r="G73" i="27"/>
  <c r="G74" i="27"/>
  <c r="G75" i="27"/>
  <c r="G76" i="27"/>
  <c r="G77" i="27"/>
  <c r="G78" i="27"/>
  <c r="G79" i="27"/>
  <c r="G80" i="27"/>
  <c r="G81" i="27"/>
  <c r="G82" i="27"/>
  <c r="H3" i="27"/>
  <c r="H4" i="27"/>
  <c r="H5" i="27"/>
  <c r="H6" i="27"/>
  <c r="H7" i="27"/>
  <c r="H8" i="27"/>
  <c r="H9" i="27"/>
  <c r="H10" i="27"/>
  <c r="H11" i="27"/>
  <c r="H12" i="27"/>
  <c r="H13" i="27"/>
  <c r="H14" i="27"/>
  <c r="H15" i="27"/>
  <c r="H16" i="27"/>
  <c r="H17" i="27"/>
  <c r="H18" i="27"/>
  <c r="H19" i="27"/>
  <c r="H20" i="27"/>
  <c r="H21" i="27"/>
  <c r="H22" i="27"/>
  <c r="H23" i="27"/>
  <c r="H24" i="27"/>
  <c r="H25" i="27"/>
  <c r="H26" i="27"/>
  <c r="H27" i="27"/>
  <c r="H28" i="27"/>
  <c r="H29" i="27"/>
  <c r="H30" i="27"/>
  <c r="H31" i="27"/>
  <c r="H32" i="27"/>
  <c r="H33" i="27"/>
  <c r="H34" i="27"/>
  <c r="H35" i="27"/>
  <c r="H36" i="27"/>
  <c r="H37" i="27"/>
  <c r="H38" i="27"/>
  <c r="H39" i="27"/>
  <c r="H40" i="27"/>
  <c r="H41" i="27"/>
  <c r="H42" i="27"/>
  <c r="H43" i="27"/>
  <c r="H44" i="27"/>
  <c r="H45" i="27"/>
  <c r="H46" i="27"/>
  <c r="H47" i="27"/>
  <c r="H48" i="27"/>
  <c r="H49" i="27"/>
  <c r="H50" i="27"/>
  <c r="H51" i="27"/>
  <c r="H52" i="27"/>
  <c r="H53" i="27"/>
  <c r="H54" i="27"/>
  <c r="H55" i="27"/>
  <c r="H56" i="27"/>
  <c r="H57" i="27"/>
  <c r="H58" i="27"/>
  <c r="H59" i="27"/>
  <c r="H60" i="27"/>
  <c r="H61" i="27"/>
  <c r="H62" i="27"/>
  <c r="H63" i="27"/>
  <c r="H64" i="27"/>
  <c r="H65" i="27"/>
  <c r="H66" i="27"/>
  <c r="H67" i="27"/>
  <c r="H68" i="27"/>
  <c r="H69" i="27"/>
  <c r="H70" i="27"/>
  <c r="H71" i="27"/>
  <c r="H72" i="27"/>
  <c r="H73" i="27"/>
  <c r="H74" i="27"/>
  <c r="H75" i="27"/>
  <c r="H76" i="27"/>
  <c r="H77" i="27"/>
  <c r="H78" i="27"/>
  <c r="H79" i="27"/>
  <c r="H80" i="27"/>
  <c r="H81" i="27"/>
  <c r="H82" i="27"/>
  <c r="K66" i="26"/>
  <c r="K67" i="26"/>
  <c r="K68" i="26"/>
  <c r="K69" i="26"/>
  <c r="K70" i="26"/>
  <c r="K71" i="26"/>
  <c r="K72" i="26"/>
  <c r="K73" i="26"/>
  <c r="K74" i="26"/>
  <c r="K75" i="26"/>
  <c r="K76" i="26"/>
  <c r="K77" i="26"/>
  <c r="K78" i="26"/>
  <c r="K79" i="26"/>
  <c r="K80" i="26"/>
  <c r="K81" i="26"/>
  <c r="K82" i="26"/>
  <c r="G3" i="26"/>
  <c r="G4" i="26"/>
  <c r="G5" i="26"/>
  <c r="G6" i="26"/>
  <c r="G7" i="26"/>
  <c r="G8" i="26"/>
  <c r="G9" i="26"/>
  <c r="G10" i="26"/>
  <c r="G11" i="26"/>
  <c r="G12" i="26"/>
  <c r="G13" i="26"/>
  <c r="G14" i="26"/>
  <c r="G15" i="26"/>
  <c r="G16" i="26"/>
  <c r="G17" i="26"/>
  <c r="G18" i="26"/>
  <c r="G19" i="26"/>
  <c r="G20" i="26"/>
  <c r="G21" i="26"/>
  <c r="G22" i="26"/>
  <c r="G23" i="26"/>
  <c r="G24" i="26"/>
  <c r="G25" i="26"/>
  <c r="G26" i="26"/>
  <c r="G27" i="26"/>
  <c r="G28" i="26"/>
  <c r="G29" i="26"/>
  <c r="G30" i="26"/>
  <c r="G31" i="26"/>
  <c r="G32" i="26"/>
  <c r="G33" i="26"/>
  <c r="G34" i="26"/>
  <c r="G35" i="26"/>
  <c r="G36" i="26"/>
  <c r="G37" i="26"/>
  <c r="G38" i="26"/>
  <c r="G39" i="26"/>
  <c r="G40" i="26"/>
  <c r="G41" i="26"/>
  <c r="G42" i="26"/>
  <c r="G43" i="26"/>
  <c r="G44" i="26"/>
  <c r="G45" i="26"/>
  <c r="G46" i="26"/>
  <c r="G47" i="26"/>
  <c r="G48" i="26"/>
  <c r="G49" i="26"/>
  <c r="G50" i="26"/>
  <c r="G51" i="26"/>
  <c r="G52" i="26"/>
  <c r="G53" i="26"/>
  <c r="G54" i="26"/>
  <c r="G55" i="26"/>
  <c r="G56" i="26"/>
  <c r="G57" i="26"/>
  <c r="G58" i="26"/>
  <c r="G59" i="26"/>
  <c r="G60" i="26"/>
  <c r="G61" i="26"/>
  <c r="G62" i="26"/>
  <c r="G63" i="26"/>
  <c r="G64" i="26"/>
  <c r="G65" i="26"/>
  <c r="G66" i="26"/>
  <c r="G67" i="26"/>
  <c r="G68" i="26"/>
  <c r="G69" i="26"/>
  <c r="G70" i="26"/>
  <c r="G71" i="26"/>
  <c r="G72" i="26"/>
  <c r="G73" i="26"/>
  <c r="G74" i="26"/>
  <c r="G75" i="26"/>
  <c r="G76" i="26"/>
  <c r="G77" i="26"/>
  <c r="G78" i="26"/>
  <c r="G79" i="26"/>
  <c r="G80" i="26"/>
  <c r="G81" i="26"/>
  <c r="G82" i="26"/>
  <c r="H3" i="26"/>
  <c r="H4" i="26"/>
  <c r="H5" i="26"/>
  <c r="H6" i="26"/>
  <c r="H7" i="26"/>
  <c r="H8" i="26"/>
  <c r="H9" i="26"/>
  <c r="H10" i="26"/>
  <c r="H11" i="26"/>
  <c r="H12" i="26"/>
  <c r="H13" i="26"/>
  <c r="H14" i="26"/>
  <c r="H15" i="26"/>
  <c r="H16" i="26"/>
  <c r="H17" i="26"/>
  <c r="H18" i="26"/>
  <c r="H19" i="26"/>
  <c r="H20" i="26"/>
  <c r="H21" i="26"/>
  <c r="H22" i="26"/>
  <c r="H23" i="26"/>
  <c r="H24" i="26"/>
  <c r="H25" i="26"/>
  <c r="H26" i="26"/>
  <c r="H27" i="26"/>
  <c r="H28" i="26"/>
  <c r="H29" i="26"/>
  <c r="H30" i="26"/>
  <c r="H31" i="26"/>
  <c r="H32" i="26"/>
  <c r="H33" i="26"/>
  <c r="H34" i="26"/>
  <c r="H35" i="26"/>
  <c r="H36" i="26"/>
  <c r="H37" i="26"/>
  <c r="H38" i="26"/>
  <c r="H39" i="26"/>
  <c r="H40" i="26"/>
  <c r="H41" i="26"/>
  <c r="H42" i="26"/>
  <c r="H43" i="26"/>
  <c r="H44" i="26"/>
  <c r="H45" i="26"/>
  <c r="H46" i="26"/>
  <c r="H47" i="26"/>
  <c r="H48" i="26"/>
  <c r="H49" i="26"/>
  <c r="H50" i="26"/>
  <c r="H51" i="26"/>
  <c r="H52" i="26"/>
  <c r="H53" i="26"/>
  <c r="H54" i="26"/>
  <c r="H55" i="26"/>
  <c r="H56" i="26"/>
  <c r="H57" i="26"/>
  <c r="H58" i="26"/>
  <c r="H59" i="26"/>
  <c r="H60" i="26"/>
  <c r="H61" i="26"/>
  <c r="H62" i="26"/>
  <c r="H63" i="26"/>
  <c r="H64" i="26"/>
  <c r="H65" i="26"/>
  <c r="H66" i="26"/>
  <c r="H67" i="26"/>
  <c r="H68" i="26"/>
  <c r="H69" i="26"/>
  <c r="H70" i="26"/>
  <c r="H71" i="26"/>
  <c r="H72" i="26"/>
  <c r="H73" i="26"/>
  <c r="H74" i="26"/>
  <c r="H75" i="26"/>
  <c r="H76" i="26"/>
  <c r="H77" i="26"/>
  <c r="H78" i="26"/>
  <c r="H79" i="26"/>
  <c r="H80" i="26"/>
  <c r="H81" i="26"/>
  <c r="H82" i="26"/>
  <c r="K65" i="25"/>
  <c r="K66" i="25"/>
  <c r="K67" i="25"/>
  <c r="K68" i="25"/>
  <c r="K69" i="25"/>
  <c r="K70" i="25"/>
  <c r="K71" i="25"/>
  <c r="K72" i="25"/>
  <c r="K73" i="25"/>
  <c r="K74" i="25"/>
  <c r="K75" i="25"/>
  <c r="K76" i="25"/>
  <c r="K77" i="25"/>
  <c r="K78" i="25"/>
  <c r="K79" i="25"/>
  <c r="K80" i="25"/>
  <c r="K81" i="25"/>
  <c r="K82" i="25"/>
  <c r="G3" i="25"/>
  <c r="G4" i="25"/>
  <c r="G5" i="25"/>
  <c r="G6" i="25"/>
  <c r="G7" i="25"/>
  <c r="G8" i="25"/>
  <c r="G9" i="25"/>
  <c r="G10" i="25"/>
  <c r="G11" i="25"/>
  <c r="G12" i="25"/>
  <c r="G13" i="25"/>
  <c r="G14" i="25"/>
  <c r="G15" i="25"/>
  <c r="G16" i="25"/>
  <c r="G17" i="25"/>
  <c r="G18" i="25"/>
  <c r="G19" i="25"/>
  <c r="G20" i="25"/>
  <c r="G21" i="25"/>
  <c r="G22" i="25"/>
  <c r="G23" i="25"/>
  <c r="G24" i="25"/>
  <c r="G25" i="25"/>
  <c r="G26" i="25"/>
  <c r="G27" i="25"/>
  <c r="G28" i="25"/>
  <c r="G29" i="25"/>
  <c r="G30" i="25"/>
  <c r="G31" i="25"/>
  <c r="G32" i="25"/>
  <c r="G33" i="25"/>
  <c r="G34" i="25"/>
  <c r="G35" i="25"/>
  <c r="G36" i="25"/>
  <c r="G37" i="25"/>
  <c r="G38" i="25"/>
  <c r="G39" i="25"/>
  <c r="G40" i="25"/>
  <c r="G41" i="25"/>
  <c r="G42" i="25"/>
  <c r="G43" i="25"/>
  <c r="G44" i="25"/>
  <c r="G45" i="25"/>
  <c r="G46" i="25"/>
  <c r="G47" i="25"/>
  <c r="G48" i="25"/>
  <c r="G49" i="25"/>
  <c r="G50" i="25"/>
  <c r="G51" i="25"/>
  <c r="G52" i="25"/>
  <c r="G53" i="25"/>
  <c r="G54" i="25"/>
  <c r="G55" i="25"/>
  <c r="G56" i="25"/>
  <c r="G57" i="25"/>
  <c r="G58" i="25"/>
  <c r="G59" i="25"/>
  <c r="G60" i="25"/>
  <c r="G61" i="25"/>
  <c r="G62" i="25"/>
  <c r="G63" i="25"/>
  <c r="G64" i="25"/>
  <c r="G65" i="25"/>
  <c r="G66" i="25"/>
  <c r="G67" i="25"/>
  <c r="G68" i="25"/>
  <c r="G69" i="25"/>
  <c r="G70" i="25"/>
  <c r="G71" i="25"/>
  <c r="G72" i="25"/>
  <c r="G73" i="25"/>
  <c r="G74" i="25"/>
  <c r="G75" i="25"/>
  <c r="G76" i="25"/>
  <c r="G77" i="25"/>
  <c r="G78" i="25"/>
  <c r="G79" i="25"/>
  <c r="G80" i="25"/>
  <c r="G81" i="25"/>
  <c r="G82" i="25"/>
  <c r="H3" i="25"/>
  <c r="H4" i="25"/>
  <c r="H5" i="25"/>
  <c r="H6" i="25"/>
  <c r="H7" i="25"/>
  <c r="H8" i="25"/>
  <c r="H9" i="25"/>
  <c r="H10" i="25"/>
  <c r="H11" i="25"/>
  <c r="H12" i="25"/>
  <c r="H13" i="25"/>
  <c r="H14" i="25"/>
  <c r="H15" i="25"/>
  <c r="H16" i="25"/>
  <c r="H17" i="25"/>
  <c r="H18" i="25"/>
  <c r="H19" i="25"/>
  <c r="H20" i="25"/>
  <c r="H21" i="25"/>
  <c r="H22" i="25"/>
  <c r="H23" i="25"/>
  <c r="H24" i="25"/>
  <c r="H25" i="25"/>
  <c r="H26" i="25"/>
  <c r="H27" i="25"/>
  <c r="H28" i="25"/>
  <c r="H29" i="25"/>
  <c r="H30" i="25"/>
  <c r="H31" i="25"/>
  <c r="H32" i="25"/>
  <c r="H33" i="25"/>
  <c r="H34" i="25"/>
  <c r="H35" i="25"/>
  <c r="H36" i="25"/>
  <c r="H37" i="25"/>
  <c r="H38" i="25"/>
  <c r="H39" i="25"/>
  <c r="H40" i="25"/>
  <c r="H41" i="25"/>
  <c r="H42" i="25"/>
  <c r="H43" i="25"/>
  <c r="H44" i="25"/>
  <c r="H45" i="25"/>
  <c r="H46" i="25"/>
  <c r="H47" i="25"/>
  <c r="H48" i="25"/>
  <c r="H49" i="25"/>
  <c r="H50" i="25"/>
  <c r="H51" i="25"/>
  <c r="H52" i="25"/>
  <c r="H53" i="25"/>
  <c r="H54" i="25"/>
  <c r="H55" i="25"/>
  <c r="H56" i="25"/>
  <c r="H57" i="25"/>
  <c r="H58" i="25"/>
  <c r="H59" i="25"/>
  <c r="H60" i="25"/>
  <c r="H61" i="25"/>
  <c r="H62" i="25"/>
  <c r="H63" i="25"/>
  <c r="H64" i="25"/>
  <c r="H65" i="25"/>
  <c r="H66" i="25"/>
  <c r="H67" i="25"/>
  <c r="H68" i="25"/>
  <c r="H69" i="25"/>
  <c r="H70" i="25"/>
  <c r="H71" i="25"/>
  <c r="H72" i="25"/>
  <c r="H73" i="25"/>
  <c r="H74" i="25"/>
  <c r="H75" i="25"/>
  <c r="H76" i="25"/>
  <c r="H77" i="25"/>
  <c r="H78" i="25"/>
  <c r="H79" i="25"/>
  <c r="H80" i="25"/>
  <c r="H81" i="25"/>
  <c r="H82" i="25"/>
  <c r="J22" i="15"/>
  <c r="G22" i="15"/>
  <c r="J18" i="15"/>
  <c r="G18" i="15"/>
  <c r="J14" i="15"/>
  <c r="G14" i="15"/>
  <c r="J10" i="15"/>
  <c r="G10" i="15"/>
  <c r="F21" i="15"/>
  <c r="F20" i="15"/>
  <c r="F19" i="15"/>
  <c r="F17" i="15"/>
  <c r="F16" i="15"/>
  <c r="F15" i="15"/>
  <c r="F13" i="15"/>
  <c r="F12" i="15"/>
  <c r="F11" i="15"/>
  <c r="F9" i="15"/>
  <c r="F8" i="15"/>
  <c r="F7" i="15"/>
  <c r="K56" i="3"/>
  <c r="K57" i="3"/>
  <c r="K58" i="3"/>
  <c r="K59" i="3"/>
  <c r="K60" i="3"/>
  <c r="K61" i="3"/>
  <c r="K62" i="3"/>
  <c r="K63" i="3"/>
  <c r="K64" i="3"/>
  <c r="K65" i="3"/>
  <c r="K66" i="3"/>
  <c r="K67" i="3"/>
  <c r="K68" i="3"/>
  <c r="K69" i="3"/>
  <c r="K70" i="3"/>
  <c r="K71" i="3"/>
  <c r="K72" i="3"/>
  <c r="K73" i="3"/>
  <c r="K74" i="3"/>
  <c r="K75" i="3"/>
  <c r="K76" i="3"/>
  <c r="K77" i="3"/>
  <c r="K78" i="3"/>
  <c r="K79" i="3"/>
  <c r="K80" i="3"/>
  <c r="K81" i="3"/>
  <c r="K82" i="3"/>
  <c r="H3" i="3"/>
  <c r="H4" i="3"/>
  <c r="H5" i="3"/>
  <c r="H6" i="3"/>
  <c r="H7" i="3"/>
  <c r="H8" i="3"/>
  <c r="H9" i="3"/>
  <c r="H10" i="3"/>
  <c r="H11" i="3"/>
  <c r="H12" i="3"/>
  <c r="H13" i="3"/>
  <c r="H14" i="3"/>
  <c r="H15" i="3"/>
  <c r="H16" i="3"/>
  <c r="H17" i="3"/>
  <c r="H18" i="3"/>
  <c r="H19" i="3"/>
  <c r="H20" i="3"/>
  <c r="H21" i="3"/>
  <c r="H22" i="3"/>
  <c r="H23" i="3"/>
  <c r="H24" i="3"/>
  <c r="H25" i="3"/>
  <c r="H26" i="3"/>
  <c r="H27" i="3"/>
  <c r="H28" i="3"/>
  <c r="H29" i="3"/>
  <c r="H30" i="3"/>
  <c r="H31" i="3"/>
  <c r="H32" i="3"/>
  <c r="H33" i="3"/>
  <c r="H34"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H65" i="3"/>
  <c r="H66" i="3"/>
  <c r="H67" i="3"/>
  <c r="H68" i="3"/>
  <c r="H69" i="3"/>
  <c r="H70" i="3"/>
  <c r="H71" i="3"/>
  <c r="H72" i="3"/>
  <c r="H73" i="3"/>
  <c r="H74" i="3"/>
  <c r="H75" i="3"/>
  <c r="H76" i="3"/>
  <c r="H77" i="3"/>
  <c r="H78" i="3"/>
  <c r="H79" i="3"/>
  <c r="H80" i="3"/>
  <c r="H81" i="3"/>
  <c r="H82" i="3"/>
  <c r="G3" i="3"/>
  <c r="G4" i="3"/>
  <c r="G5" i="3"/>
  <c r="G6" i="3"/>
  <c r="G7" i="3"/>
  <c r="G8" i="3"/>
  <c r="G9" i="3"/>
  <c r="G10" i="3"/>
  <c r="G11" i="3"/>
  <c r="G12" i="3"/>
  <c r="G13" i="3"/>
  <c r="G14" i="3"/>
  <c r="G15" i="3"/>
  <c r="G16" i="3"/>
  <c r="G17" i="3"/>
  <c r="G18" i="3"/>
  <c r="G19" i="3"/>
  <c r="G20" i="3"/>
  <c r="G21" i="3"/>
  <c r="G22" i="3"/>
  <c r="G23" i="3"/>
  <c r="G24" i="3"/>
  <c r="G25" i="3"/>
  <c r="G26" i="3"/>
  <c r="G27" i="3"/>
  <c r="G28" i="3"/>
  <c r="G29" i="3"/>
  <c r="G30" i="3"/>
  <c r="G31" i="3"/>
  <c r="G32" i="3"/>
  <c r="G33" i="3"/>
  <c r="G34" i="3"/>
  <c r="G35" i="3"/>
  <c r="G36" i="3"/>
  <c r="G37" i="3"/>
  <c r="G38" i="3"/>
  <c r="G39" i="3"/>
  <c r="G40" i="3"/>
  <c r="G41" i="3"/>
  <c r="G42" i="3"/>
  <c r="G43" i="3"/>
  <c r="G44" i="3"/>
  <c r="G45" i="3"/>
  <c r="G46" i="3"/>
  <c r="G47" i="3"/>
  <c r="G48" i="3"/>
  <c r="G49" i="3"/>
  <c r="G50" i="3"/>
  <c r="G51" i="3"/>
  <c r="G52" i="3"/>
  <c r="G53" i="3"/>
  <c r="G54" i="3"/>
  <c r="G55" i="3"/>
  <c r="G56" i="3"/>
  <c r="G57" i="3"/>
  <c r="G58" i="3"/>
  <c r="G59" i="3"/>
  <c r="G60" i="3"/>
  <c r="G61" i="3"/>
  <c r="G62" i="3"/>
  <c r="G63" i="3"/>
  <c r="G64" i="3"/>
  <c r="G65" i="3"/>
  <c r="G66" i="3"/>
  <c r="G67" i="3"/>
  <c r="G68" i="3"/>
  <c r="G69" i="3"/>
  <c r="G70" i="3"/>
  <c r="G71" i="3"/>
  <c r="G72" i="3"/>
  <c r="G73" i="3"/>
  <c r="G74" i="3"/>
  <c r="G75" i="3"/>
  <c r="G76" i="3"/>
  <c r="G77" i="3"/>
  <c r="G78" i="3"/>
  <c r="G79" i="3"/>
  <c r="G80" i="3"/>
  <c r="G81" i="3"/>
  <c r="G82" i="3"/>
  <c r="I5" i="46"/>
  <c r="J5" i="46"/>
  <c r="I6" i="46"/>
  <c r="J6" i="46"/>
  <c r="I7" i="46"/>
  <c r="J7" i="46"/>
  <c r="I8" i="46"/>
  <c r="J8" i="46"/>
  <c r="I9" i="46"/>
  <c r="J9" i="46"/>
  <c r="I10" i="46"/>
  <c r="J10" i="46"/>
  <c r="I11" i="46"/>
  <c r="J11" i="46"/>
  <c r="I12" i="46"/>
  <c r="J12" i="46"/>
  <c r="I13" i="46"/>
  <c r="J13" i="46"/>
  <c r="I14" i="46"/>
  <c r="J14" i="46"/>
  <c r="I15" i="46"/>
  <c r="J15" i="46"/>
  <c r="I16" i="46"/>
  <c r="J16" i="46"/>
  <c r="I17" i="46"/>
  <c r="J17" i="46"/>
  <c r="I18" i="46"/>
  <c r="J18" i="46"/>
  <c r="I19" i="46"/>
  <c r="J19" i="46"/>
  <c r="I20" i="46"/>
  <c r="J20" i="46"/>
  <c r="I21" i="46"/>
  <c r="J21" i="46"/>
  <c r="I22" i="46"/>
  <c r="J22" i="46"/>
  <c r="I23" i="46"/>
  <c r="J23" i="46"/>
  <c r="I24" i="46"/>
  <c r="J24" i="46"/>
  <c r="I25" i="46"/>
  <c r="J25" i="46"/>
  <c r="I26" i="46"/>
  <c r="J26" i="46"/>
  <c r="I27" i="46"/>
  <c r="J27" i="46"/>
  <c r="I28" i="46"/>
  <c r="J28" i="46"/>
  <c r="I29" i="46"/>
  <c r="J29" i="46"/>
  <c r="I30" i="46"/>
  <c r="J30" i="46"/>
  <c r="I31" i="46"/>
  <c r="J31" i="46"/>
  <c r="I32" i="46"/>
  <c r="J32" i="46"/>
  <c r="I33" i="46"/>
  <c r="J33" i="46"/>
  <c r="I34" i="46"/>
  <c r="J34" i="46"/>
  <c r="I35" i="46"/>
  <c r="J35" i="46"/>
  <c r="I36" i="46"/>
  <c r="J36" i="46"/>
  <c r="I37" i="46"/>
  <c r="J37" i="46"/>
  <c r="I38" i="46"/>
  <c r="J38" i="46"/>
  <c r="I39" i="46"/>
  <c r="J39" i="46"/>
  <c r="I40" i="46"/>
  <c r="J40" i="46"/>
  <c r="I41" i="46"/>
  <c r="J41" i="46"/>
  <c r="I42" i="46"/>
  <c r="J42" i="46"/>
  <c r="I43" i="46"/>
  <c r="J43" i="46"/>
  <c r="I44" i="46"/>
  <c r="J44" i="46"/>
  <c r="I45" i="46"/>
  <c r="J45" i="46"/>
  <c r="I46" i="46"/>
  <c r="J46" i="46"/>
  <c r="I47" i="46"/>
  <c r="J47" i="46"/>
  <c r="I48" i="46"/>
  <c r="J48" i="46"/>
  <c r="I49" i="46"/>
  <c r="J49" i="46"/>
  <c r="I50" i="46"/>
  <c r="J50" i="46"/>
  <c r="I51" i="46"/>
  <c r="J51" i="46"/>
  <c r="I52" i="46"/>
  <c r="J52" i="46"/>
  <c r="I53" i="46"/>
  <c r="J53" i="46"/>
  <c r="I54" i="46"/>
  <c r="J54" i="46"/>
  <c r="I55" i="46"/>
  <c r="J55" i="46"/>
  <c r="I56" i="46"/>
  <c r="J56" i="46"/>
  <c r="I57" i="46"/>
  <c r="J57" i="46"/>
  <c r="I58" i="46"/>
  <c r="J58" i="46"/>
  <c r="I59" i="46"/>
  <c r="J59" i="46"/>
  <c r="I60" i="46"/>
  <c r="J60" i="46"/>
  <c r="I61" i="46"/>
  <c r="J61" i="46"/>
  <c r="I62" i="46"/>
  <c r="J62" i="46"/>
  <c r="I63" i="46"/>
  <c r="J63" i="46"/>
  <c r="I64" i="46"/>
  <c r="J64" i="46"/>
  <c r="I65" i="46"/>
  <c r="J65" i="46"/>
  <c r="I66" i="46"/>
  <c r="J66" i="46"/>
  <c r="I67" i="46"/>
  <c r="J67" i="46"/>
  <c r="I68" i="46"/>
  <c r="J68" i="46"/>
  <c r="I69" i="46"/>
  <c r="J69" i="46"/>
  <c r="I70" i="46"/>
  <c r="J70" i="46"/>
  <c r="I71" i="46"/>
  <c r="J71" i="46"/>
  <c r="I72" i="46"/>
  <c r="J72" i="46"/>
  <c r="I73" i="46"/>
  <c r="J73" i="46"/>
  <c r="I74" i="46"/>
  <c r="J74" i="46"/>
  <c r="I75" i="46"/>
  <c r="J75" i="46"/>
  <c r="I76" i="46"/>
  <c r="J76" i="46"/>
  <c r="I77" i="46"/>
  <c r="J77" i="46"/>
  <c r="I78" i="46"/>
  <c r="J78" i="46"/>
  <c r="I79" i="46"/>
  <c r="J79" i="46"/>
  <c r="I80" i="46"/>
  <c r="J80" i="46"/>
  <c r="I81" i="46"/>
  <c r="J81" i="46"/>
  <c r="I82" i="46"/>
  <c r="J82" i="46"/>
  <c r="I83" i="46"/>
  <c r="J83" i="46"/>
  <c r="I84" i="46"/>
  <c r="J84" i="46"/>
  <c r="I85" i="46"/>
  <c r="J85" i="46"/>
  <c r="I86" i="46"/>
  <c r="J86" i="46"/>
  <c r="I87" i="46"/>
  <c r="J87" i="46"/>
  <c r="I88" i="46"/>
  <c r="J88" i="46"/>
  <c r="I89" i="46"/>
  <c r="J89" i="46"/>
  <c r="I90" i="46"/>
  <c r="J90" i="46"/>
  <c r="I91" i="46"/>
  <c r="J91" i="46"/>
  <c r="I92" i="46"/>
  <c r="J92" i="46"/>
  <c r="I93" i="46"/>
  <c r="J93" i="46"/>
  <c r="I94" i="46"/>
  <c r="J94" i="46"/>
  <c r="I95" i="46"/>
  <c r="J95" i="46"/>
  <c r="I96" i="46"/>
  <c r="J96" i="46"/>
  <c r="I97" i="46"/>
  <c r="J97" i="46"/>
  <c r="I98" i="46"/>
  <c r="J98" i="46"/>
  <c r="I99" i="46"/>
  <c r="J99" i="46"/>
  <c r="I100" i="46"/>
  <c r="J100" i="46"/>
  <c r="I101" i="46"/>
  <c r="J101" i="46"/>
  <c r="I102" i="46"/>
  <c r="J102" i="46"/>
  <c r="I103" i="46"/>
  <c r="J103" i="46"/>
  <c r="I104" i="46"/>
  <c r="J104" i="46"/>
  <c r="I105" i="46"/>
  <c r="J105" i="46"/>
  <c r="I106" i="46"/>
  <c r="J106" i="46"/>
  <c r="I107" i="46"/>
  <c r="J107" i="46"/>
  <c r="I108" i="46"/>
  <c r="J108" i="46"/>
  <c r="I109" i="46"/>
  <c r="J109" i="46"/>
  <c r="I110" i="46"/>
  <c r="J110" i="46"/>
  <c r="I111" i="46"/>
  <c r="J111" i="46"/>
  <c r="I112" i="46"/>
  <c r="J112" i="46"/>
  <c r="I113" i="46"/>
  <c r="J113" i="46"/>
  <c r="I114" i="46"/>
  <c r="J114" i="46"/>
  <c r="I115" i="46"/>
  <c r="J115" i="46"/>
  <c r="I116" i="46"/>
  <c r="J116" i="46"/>
  <c r="I117" i="46"/>
  <c r="J117" i="46"/>
  <c r="I118" i="46"/>
  <c r="J118" i="46"/>
  <c r="I119" i="46"/>
  <c r="J119" i="46"/>
  <c r="I120" i="46"/>
  <c r="J120" i="46"/>
  <c r="I121" i="46"/>
  <c r="J121" i="46"/>
  <c r="I122" i="46"/>
  <c r="J122" i="46"/>
  <c r="I123" i="46"/>
  <c r="J123" i="46"/>
  <c r="I124" i="46"/>
  <c r="J124" i="46"/>
  <c r="I125" i="46"/>
  <c r="J125" i="46"/>
  <c r="I126" i="46"/>
  <c r="J126" i="46"/>
  <c r="I127" i="46"/>
  <c r="J127" i="46"/>
  <c r="I128" i="46"/>
  <c r="J128" i="46"/>
  <c r="I129" i="46"/>
  <c r="J129" i="46"/>
  <c r="I130" i="46"/>
  <c r="J130" i="46"/>
  <c r="I131" i="46"/>
  <c r="J131" i="46"/>
  <c r="I132" i="46"/>
  <c r="J132" i="46"/>
  <c r="I133" i="46"/>
  <c r="J133" i="46"/>
  <c r="I134" i="46"/>
  <c r="J134" i="46"/>
  <c r="I135" i="46"/>
  <c r="J135" i="46"/>
  <c r="I136" i="46"/>
  <c r="J136" i="46"/>
  <c r="I137" i="46"/>
  <c r="J137" i="46"/>
  <c r="I138" i="46"/>
  <c r="J138" i="46"/>
  <c r="I139" i="46"/>
  <c r="J139" i="46"/>
  <c r="I140" i="46"/>
  <c r="J140" i="46"/>
  <c r="I141" i="46"/>
  <c r="J141" i="46"/>
  <c r="I142" i="46"/>
  <c r="J142" i="46"/>
  <c r="I143" i="46"/>
  <c r="J143" i="46"/>
  <c r="I144" i="46"/>
  <c r="J144" i="46"/>
  <c r="I145" i="46"/>
  <c r="J145" i="46"/>
  <c r="I146" i="46"/>
  <c r="J146" i="46"/>
  <c r="I147" i="46"/>
  <c r="J147" i="46"/>
  <c r="I148" i="46"/>
  <c r="J148" i="46"/>
  <c r="I149" i="46"/>
  <c r="J149" i="46"/>
  <c r="I150" i="46"/>
  <c r="J150" i="46"/>
  <c r="I151" i="46"/>
  <c r="J151" i="46"/>
  <c r="I152" i="46"/>
  <c r="J152" i="46"/>
  <c r="I153" i="46"/>
  <c r="J153" i="46"/>
  <c r="I154" i="46"/>
  <c r="J154" i="46"/>
  <c r="I155" i="46"/>
  <c r="J155" i="46"/>
  <c r="I156" i="46"/>
  <c r="J156" i="46"/>
  <c r="I157" i="46"/>
  <c r="J157" i="46"/>
  <c r="I158" i="46"/>
  <c r="J158" i="46"/>
  <c r="I159" i="46"/>
  <c r="J159" i="46"/>
  <c r="I160" i="46"/>
  <c r="J160" i="46"/>
  <c r="I161" i="46"/>
  <c r="J161" i="46"/>
  <c r="I162" i="46"/>
  <c r="J162" i="46"/>
  <c r="I163" i="46"/>
  <c r="J163" i="46"/>
  <c r="I164" i="46"/>
  <c r="J164" i="46"/>
  <c r="I165" i="46"/>
  <c r="J165" i="46"/>
  <c r="I167" i="46"/>
  <c r="J167" i="46"/>
  <c r="I168" i="46"/>
  <c r="J168" i="46"/>
  <c r="I169" i="46"/>
  <c r="J169" i="46"/>
  <c r="I170" i="46"/>
  <c r="J170" i="46"/>
  <c r="I171" i="46"/>
  <c r="J171" i="46"/>
  <c r="I172" i="46"/>
  <c r="J172" i="46"/>
  <c r="I173" i="46"/>
  <c r="J173" i="46"/>
  <c r="I174" i="46"/>
  <c r="J174" i="46"/>
  <c r="I175" i="46"/>
  <c r="J175" i="46"/>
  <c r="I176" i="46"/>
  <c r="J176" i="46"/>
  <c r="I177" i="46"/>
  <c r="J177" i="46"/>
  <c r="I178" i="46"/>
  <c r="J178" i="46"/>
  <c r="I179" i="46"/>
  <c r="J179" i="46"/>
  <c r="I180" i="46"/>
  <c r="J180" i="46"/>
  <c r="I181" i="46"/>
  <c r="J181" i="46"/>
  <c r="I182" i="46"/>
  <c r="J182" i="46"/>
  <c r="I183" i="46"/>
  <c r="J183" i="46"/>
  <c r="I184" i="46"/>
  <c r="J184" i="46"/>
  <c r="I185" i="46"/>
  <c r="J185" i="46"/>
  <c r="I186" i="46"/>
  <c r="J186" i="46"/>
  <c r="I187" i="46"/>
  <c r="J187" i="46"/>
  <c r="I188" i="46"/>
  <c r="J188" i="46"/>
  <c r="I189" i="46"/>
  <c r="J189" i="46"/>
  <c r="I190" i="46"/>
  <c r="J190" i="46"/>
  <c r="I191" i="46"/>
  <c r="J191" i="46"/>
  <c r="I192" i="46"/>
  <c r="J192" i="46"/>
  <c r="I193" i="46"/>
  <c r="J193" i="46"/>
  <c r="I194" i="46"/>
  <c r="J194" i="46"/>
  <c r="I195" i="46"/>
  <c r="J195" i="46"/>
  <c r="I196" i="46"/>
  <c r="J196" i="46"/>
  <c r="I197" i="46"/>
  <c r="J197" i="46"/>
  <c r="I198" i="46"/>
  <c r="J198" i="46"/>
  <c r="I199" i="46"/>
  <c r="J199" i="46"/>
  <c r="I200" i="46"/>
  <c r="J200" i="46"/>
  <c r="I201" i="46"/>
  <c r="J201" i="46"/>
  <c r="I202" i="46"/>
  <c r="J202" i="46"/>
  <c r="I203" i="46"/>
  <c r="J203" i="46"/>
  <c r="I204" i="46"/>
  <c r="J204" i="46"/>
  <c r="I205" i="46"/>
  <c r="J205" i="46"/>
  <c r="I206" i="46"/>
  <c r="J206" i="46"/>
  <c r="I207" i="46"/>
  <c r="J207" i="46"/>
  <c r="I208" i="46"/>
  <c r="J208" i="46"/>
  <c r="I209" i="46"/>
  <c r="J209" i="46"/>
  <c r="I210" i="46"/>
  <c r="J210" i="46"/>
  <c r="I211" i="46"/>
  <c r="J211" i="46"/>
  <c r="I212" i="46"/>
  <c r="J212" i="46"/>
  <c r="I213" i="46"/>
  <c r="J213" i="46"/>
  <c r="I214" i="46"/>
  <c r="J214" i="46"/>
  <c r="I215" i="46"/>
  <c r="J215" i="46"/>
  <c r="I216" i="46"/>
  <c r="J216" i="46"/>
  <c r="I217" i="46"/>
  <c r="J217" i="46"/>
  <c r="I218" i="46"/>
  <c r="J218" i="46"/>
  <c r="I219" i="46"/>
  <c r="J219" i="46"/>
  <c r="I220" i="46"/>
  <c r="J220" i="46"/>
  <c r="I221" i="46"/>
  <c r="J221" i="46"/>
  <c r="I222" i="46"/>
  <c r="J222" i="46"/>
  <c r="I223" i="46"/>
  <c r="J223" i="46"/>
  <c r="I224" i="46"/>
  <c r="J224" i="46"/>
  <c r="I225" i="46"/>
  <c r="J225" i="46"/>
  <c r="I226" i="46"/>
  <c r="J226" i="46"/>
  <c r="I227" i="46"/>
  <c r="J227" i="46"/>
  <c r="I228" i="46"/>
  <c r="J228" i="46"/>
  <c r="I229" i="46"/>
  <c r="J229" i="46"/>
  <c r="I230" i="46"/>
  <c r="J230" i="46"/>
  <c r="I231" i="46"/>
  <c r="J231" i="46"/>
  <c r="I232" i="46"/>
  <c r="J232" i="46"/>
  <c r="I233" i="46"/>
  <c r="J233" i="46"/>
  <c r="I234" i="46"/>
  <c r="J234" i="46"/>
  <c r="I235" i="46"/>
  <c r="J235" i="46"/>
  <c r="I236" i="46"/>
  <c r="J236" i="46"/>
  <c r="I237" i="46"/>
  <c r="J237" i="46"/>
  <c r="I238" i="46"/>
  <c r="J238" i="46"/>
  <c r="I239" i="46"/>
  <c r="J239" i="46"/>
  <c r="I240" i="46"/>
  <c r="J240" i="46"/>
  <c r="I241" i="46"/>
  <c r="J241" i="46"/>
  <c r="I242" i="46"/>
  <c r="J242" i="46"/>
  <c r="I243" i="46"/>
  <c r="J243" i="46"/>
  <c r="I244" i="46"/>
  <c r="J244" i="46"/>
  <c r="I245" i="46"/>
  <c r="J245" i="46"/>
  <c r="I246" i="46"/>
  <c r="J246" i="46"/>
  <c r="I247" i="46"/>
  <c r="J247" i="46"/>
  <c r="I248" i="46"/>
  <c r="J248" i="46"/>
  <c r="I249" i="46"/>
  <c r="J249" i="46"/>
  <c r="I250" i="46"/>
  <c r="J250" i="46"/>
  <c r="I251" i="46"/>
  <c r="J251" i="46"/>
  <c r="I252" i="46"/>
  <c r="J252" i="46"/>
  <c r="I253" i="46"/>
  <c r="J253" i="46"/>
  <c r="I254" i="46"/>
  <c r="J254" i="46"/>
  <c r="I255" i="46"/>
  <c r="J255" i="46"/>
  <c r="I256" i="46"/>
  <c r="J256" i="46"/>
  <c r="I257" i="46"/>
  <c r="J257" i="46"/>
  <c r="I258" i="46"/>
  <c r="J258" i="46"/>
  <c r="I259" i="46"/>
  <c r="J259" i="46"/>
  <c r="I260" i="46"/>
  <c r="J260" i="46"/>
  <c r="I261" i="46"/>
  <c r="J261" i="46"/>
  <c r="I262" i="46"/>
  <c r="J262" i="46"/>
  <c r="I263" i="46"/>
  <c r="J263" i="46"/>
  <c r="I264" i="46"/>
  <c r="J264" i="46"/>
  <c r="I265" i="46"/>
  <c r="J265" i="46"/>
  <c r="I266" i="46"/>
  <c r="J266" i="46"/>
  <c r="I267" i="46"/>
  <c r="J267" i="46"/>
  <c r="I268" i="46"/>
  <c r="J268" i="46"/>
  <c r="I269" i="46"/>
  <c r="J269" i="46"/>
  <c r="I270" i="46"/>
  <c r="J270" i="46"/>
  <c r="I271" i="46"/>
  <c r="J271" i="46"/>
  <c r="I272" i="46"/>
  <c r="J272" i="46"/>
  <c r="I273" i="46"/>
  <c r="J273" i="46"/>
  <c r="I274" i="46"/>
  <c r="J274" i="46"/>
  <c r="I275" i="46"/>
  <c r="J275" i="46"/>
  <c r="I276" i="46"/>
  <c r="J276" i="46"/>
  <c r="I277" i="46"/>
  <c r="J277" i="46"/>
  <c r="I278" i="46"/>
  <c r="J278" i="46"/>
  <c r="I279" i="46"/>
  <c r="J279" i="46"/>
  <c r="I280" i="46"/>
  <c r="J280" i="46"/>
  <c r="I281" i="46"/>
  <c r="J281" i="46"/>
  <c r="I282" i="46"/>
  <c r="J282" i="46"/>
  <c r="I283" i="46"/>
  <c r="J283" i="46"/>
  <c r="I284" i="46"/>
  <c r="J284" i="46"/>
  <c r="I285" i="46"/>
  <c r="J285" i="46"/>
  <c r="I286" i="46"/>
  <c r="J286" i="46"/>
  <c r="I287" i="46"/>
  <c r="J287" i="46"/>
  <c r="I288" i="46"/>
  <c r="J288" i="46"/>
  <c r="I289" i="46"/>
  <c r="J289" i="46"/>
  <c r="I290" i="46"/>
  <c r="J290" i="46"/>
  <c r="I291" i="46"/>
  <c r="J291" i="46"/>
  <c r="I292" i="46"/>
  <c r="J292" i="46"/>
  <c r="I293" i="46"/>
  <c r="J293" i="46"/>
  <c r="I294" i="46"/>
  <c r="J294" i="46"/>
  <c r="I295" i="46"/>
  <c r="J295" i="46"/>
  <c r="I296" i="46"/>
  <c r="J296" i="46"/>
  <c r="I297" i="46"/>
  <c r="J297" i="46"/>
  <c r="I298" i="46"/>
  <c r="J298" i="46"/>
  <c r="I299" i="46"/>
  <c r="J299" i="46"/>
  <c r="I300" i="46"/>
  <c r="J300" i="46"/>
  <c r="I301" i="46"/>
  <c r="J301" i="46"/>
  <c r="I302" i="46"/>
  <c r="J302" i="46"/>
  <c r="I303" i="46"/>
  <c r="J303" i="46"/>
  <c r="I304" i="46"/>
  <c r="J304" i="46"/>
  <c r="I305" i="46"/>
  <c r="J305" i="46"/>
  <c r="I306" i="46"/>
  <c r="J306" i="46"/>
  <c r="I307" i="46"/>
  <c r="J307" i="46"/>
  <c r="I308" i="46"/>
  <c r="J308" i="46"/>
  <c r="I309" i="46"/>
  <c r="J309" i="46"/>
  <c r="I310" i="46"/>
  <c r="J310" i="46"/>
  <c r="I311" i="46"/>
  <c r="J311" i="46"/>
  <c r="I312" i="46"/>
  <c r="J312" i="46"/>
  <c r="I313" i="46"/>
  <c r="J313" i="46"/>
  <c r="I314" i="46"/>
  <c r="J314" i="46"/>
  <c r="I315" i="46"/>
  <c r="J315" i="46"/>
  <c r="I316" i="46"/>
  <c r="J316" i="46"/>
  <c r="I317" i="46"/>
  <c r="J317" i="46"/>
  <c r="I318" i="46"/>
  <c r="J318" i="46"/>
  <c r="I319" i="46"/>
  <c r="J319" i="46"/>
  <c r="I320" i="46"/>
  <c r="J320" i="46"/>
  <c r="I321" i="46"/>
  <c r="J321" i="46"/>
  <c r="I322" i="46"/>
  <c r="J322" i="46"/>
  <c r="I323" i="46"/>
  <c r="J323" i="46"/>
  <c r="I324" i="46"/>
  <c r="J324" i="46"/>
  <c r="D25" i="2"/>
  <c r="D24" i="2"/>
  <c r="K3" i="35" l="1"/>
  <c r="K4" i="35"/>
  <c r="K5" i="35"/>
  <c r="K6" i="35"/>
  <c r="K7" i="35"/>
  <c r="K8" i="35"/>
  <c r="K9" i="35"/>
  <c r="K10" i="35"/>
  <c r="K11" i="35"/>
  <c r="K12" i="35"/>
  <c r="K13" i="35"/>
  <c r="K14" i="35"/>
  <c r="K15" i="35"/>
  <c r="K18" i="35"/>
  <c r="K21" i="35"/>
  <c r="K24" i="35"/>
  <c r="K28" i="35"/>
  <c r="K38" i="35"/>
  <c r="K44" i="35"/>
  <c r="K49" i="35"/>
  <c r="K55" i="35"/>
  <c r="K34" i="36"/>
  <c r="K43" i="36"/>
  <c r="K51" i="36"/>
  <c r="K58" i="36"/>
  <c r="K16" i="33"/>
  <c r="K29" i="33"/>
  <c r="K37" i="33"/>
  <c r="K48" i="33"/>
  <c r="K6" i="32"/>
  <c r="K22" i="32"/>
  <c r="K31" i="32"/>
  <c r="K55" i="32"/>
  <c r="K43" i="31"/>
  <c r="K60" i="31"/>
  <c r="K33" i="30"/>
  <c r="K53" i="30"/>
  <c r="K27" i="37"/>
  <c r="K41" i="37"/>
  <c r="K59" i="37"/>
  <c r="K30" i="36"/>
  <c r="K37" i="36"/>
  <c r="K42" i="36"/>
  <c r="K53" i="36"/>
  <c r="K13" i="33"/>
  <c r="K25" i="33"/>
  <c r="K34" i="33"/>
  <c r="K44" i="33"/>
  <c r="K53" i="33"/>
  <c r="K12" i="32"/>
  <c r="K25" i="32"/>
  <c r="K54" i="32"/>
  <c r="K41" i="31"/>
  <c r="K61" i="31"/>
  <c r="K37" i="30"/>
  <c r="K49" i="30"/>
  <c r="K10" i="37"/>
  <c r="K32" i="37"/>
  <c r="K44" i="37"/>
  <c r="K64" i="26"/>
  <c r="K3" i="36"/>
  <c r="K4" i="36"/>
  <c r="K5" i="36"/>
  <c r="K6" i="36"/>
  <c r="K7" i="36"/>
  <c r="K8" i="36"/>
  <c r="K9" i="36"/>
  <c r="K10" i="36"/>
  <c r="K11" i="36"/>
  <c r="K12" i="36"/>
  <c r="K13" i="36"/>
  <c r="K14" i="36"/>
  <c r="K15" i="36"/>
  <c r="K16" i="36"/>
  <c r="K17" i="36"/>
  <c r="K18" i="36"/>
  <c r="K19" i="36"/>
  <c r="K20" i="36"/>
  <c r="K21" i="36"/>
  <c r="K22" i="36"/>
  <c r="K23" i="36"/>
  <c r="K24" i="36"/>
  <c r="K25" i="36"/>
  <c r="K33" i="36"/>
  <c r="K38" i="36"/>
  <c r="K44" i="36"/>
  <c r="K50" i="36"/>
  <c r="K55" i="36"/>
  <c r="K21" i="33"/>
  <c r="K32" i="33"/>
  <c r="K41" i="33"/>
  <c r="K56" i="33"/>
  <c r="K5" i="32"/>
  <c r="K20" i="32"/>
  <c r="K47" i="32"/>
  <c r="K56" i="32"/>
  <c r="K39" i="31"/>
  <c r="K53" i="31"/>
  <c r="K40" i="30"/>
  <c r="K48" i="30"/>
  <c r="K24" i="37"/>
  <c r="K35" i="37"/>
  <c r="K8" i="33"/>
  <c r="K20" i="33"/>
  <c r="K31" i="33"/>
  <c r="K43" i="33"/>
  <c r="K52" i="33"/>
  <c r="K7" i="32"/>
  <c r="K19" i="32"/>
  <c r="K46" i="32"/>
  <c r="K58" i="32"/>
  <c r="K44" i="31"/>
  <c r="K56" i="31"/>
  <c r="K34" i="30"/>
  <c r="K57" i="30"/>
  <c r="K29" i="37"/>
  <c r="K46" i="37"/>
  <c r="K8" i="27"/>
  <c r="K3" i="33"/>
  <c r="K4" i="33"/>
  <c r="K5" i="33"/>
  <c r="K6" i="33"/>
  <c r="K9" i="33"/>
  <c r="K18" i="33"/>
  <c r="K22" i="33"/>
  <c r="K35" i="33"/>
  <c r="K42" i="33"/>
  <c r="K8" i="32"/>
  <c r="K18" i="32"/>
  <c r="K24" i="32"/>
  <c r="K49" i="32"/>
  <c r="K61" i="32"/>
  <c r="K40" i="31"/>
  <c r="K54" i="31"/>
  <c r="K32" i="30"/>
  <c r="K47" i="30"/>
  <c r="K63" i="30"/>
  <c r="K25" i="37"/>
  <c r="K39" i="37"/>
  <c r="K57" i="37"/>
  <c r="K65" i="26"/>
  <c r="K58" i="33"/>
  <c r="K59" i="33"/>
  <c r="K60" i="33"/>
  <c r="K61" i="33"/>
  <c r="K15" i="32"/>
  <c r="K29" i="32"/>
  <c r="K53" i="32"/>
  <c r="K42" i="31"/>
  <c r="K62" i="31"/>
  <c r="K43" i="30"/>
  <c r="K61" i="30"/>
  <c r="K8" i="37"/>
  <c r="K31" i="37"/>
  <c r="K42" i="37"/>
  <c r="K60" i="37"/>
  <c r="K3" i="32"/>
  <c r="K60" i="32"/>
  <c r="K51" i="31"/>
  <c r="K30" i="30"/>
  <c r="K56" i="30"/>
  <c r="K19" i="37"/>
  <c r="K50" i="37"/>
  <c r="K32" i="32"/>
  <c r="K33" i="32"/>
  <c r="K34" i="32"/>
  <c r="K35" i="32"/>
  <c r="K36" i="32"/>
  <c r="K37" i="32"/>
  <c r="K38" i="32"/>
  <c r="K39" i="32"/>
  <c r="K40" i="32"/>
  <c r="K41" i="32"/>
  <c r="K42" i="32"/>
  <c r="K43" i="32"/>
  <c r="K44" i="32"/>
  <c r="K45" i="32"/>
  <c r="K57" i="31"/>
  <c r="K12" i="37"/>
  <c r="K6" i="27"/>
  <c r="K3" i="31"/>
  <c r="K45" i="30"/>
  <c r="K21" i="37"/>
  <c r="K56" i="37"/>
  <c r="K6" i="31"/>
  <c r="K7" i="31"/>
  <c r="K8" i="31"/>
  <c r="K9" i="31"/>
  <c r="K10" i="31"/>
  <c r="K11" i="31"/>
  <c r="K12" i="31"/>
  <c r="K13" i="31"/>
  <c r="K14" i="31"/>
  <c r="K15" i="31"/>
  <c r="K16" i="31"/>
  <c r="K17" i="31"/>
  <c r="K18" i="31"/>
  <c r="K19" i="31"/>
  <c r="K20" i="31"/>
  <c r="K21" i="31"/>
  <c r="K22" i="31"/>
  <c r="K23" i="31"/>
  <c r="K24" i="31"/>
  <c r="K25" i="31"/>
  <c r="K26" i="31"/>
  <c r="K27" i="31"/>
  <c r="K28" i="31"/>
  <c r="K29" i="31"/>
  <c r="K30" i="31"/>
  <c r="K31" i="31"/>
  <c r="K32" i="31"/>
  <c r="K33" i="31"/>
  <c r="K34" i="31"/>
  <c r="K35" i="31"/>
  <c r="K36" i="31"/>
  <c r="K37" i="31"/>
  <c r="K38" i="31"/>
  <c r="K47" i="31"/>
  <c r="K38" i="30"/>
  <c r="K62" i="30"/>
  <c r="K20" i="37"/>
  <c r="K38" i="37"/>
  <c r="K59" i="26"/>
  <c r="K41" i="30"/>
  <c r="K16" i="37"/>
  <c r="K54" i="37"/>
  <c r="K3" i="30"/>
  <c r="K4" i="30"/>
  <c r="K5" i="30"/>
  <c r="K6" i="30"/>
  <c r="K7" i="30"/>
  <c r="K8" i="30"/>
  <c r="K9" i="30"/>
  <c r="K10" i="30"/>
  <c r="K11" i="30"/>
  <c r="K12" i="30"/>
  <c r="K13" i="30"/>
  <c r="K14" i="30"/>
  <c r="K15" i="30"/>
  <c r="K16" i="30"/>
  <c r="K17" i="30"/>
  <c r="K18" i="30"/>
  <c r="K19" i="30"/>
  <c r="K20" i="30"/>
  <c r="K21" i="30"/>
  <c r="K22" i="30"/>
  <c r="K23" i="30"/>
  <c r="K24" i="30"/>
  <c r="K25" i="30"/>
  <c r="K26" i="30"/>
  <c r="K27" i="30"/>
  <c r="K28" i="30"/>
  <c r="K29" i="30"/>
  <c r="K7" i="37"/>
  <c r="K40" i="37"/>
  <c r="K5" i="27"/>
  <c r="K23" i="37"/>
  <c r="K43" i="37"/>
  <c r="K63" i="26"/>
  <c r="K3" i="37"/>
  <c r="K4" i="37"/>
  <c r="K5" i="37"/>
  <c r="K6" i="37"/>
  <c r="K14" i="37"/>
  <c r="K49" i="37"/>
  <c r="K4" i="27"/>
  <c r="K61" i="37"/>
  <c r="K62" i="37"/>
  <c r="K63" i="37"/>
  <c r="K64" i="37"/>
  <c r="K3" i="28"/>
  <c r="K6" i="28"/>
  <c r="K8" i="28"/>
  <c r="K9" i="28"/>
  <c r="K11" i="28"/>
  <c r="K14" i="28"/>
  <c r="K16" i="28"/>
  <c r="K18" i="28"/>
  <c r="K20" i="28"/>
  <c r="K22" i="28"/>
  <c r="K24" i="28"/>
  <c r="K26" i="28"/>
  <c r="K28" i="28"/>
  <c r="K30" i="28"/>
  <c r="K32" i="28"/>
  <c r="K33" i="28"/>
  <c r="K61" i="26"/>
  <c r="K4" i="28"/>
  <c r="K5" i="28"/>
  <c r="K7" i="28"/>
  <c r="K10" i="28"/>
  <c r="K12" i="28"/>
  <c r="K13" i="28"/>
  <c r="K15" i="28"/>
  <c r="K17" i="28"/>
  <c r="K19" i="28"/>
  <c r="K21" i="28"/>
  <c r="K23" i="28"/>
  <c r="K25" i="28"/>
  <c r="K27" i="28"/>
  <c r="K29" i="28"/>
  <c r="K31" i="28"/>
  <c r="K34" i="28"/>
  <c r="K62" i="26"/>
  <c r="K35" i="28"/>
  <c r="K36" i="28"/>
  <c r="K37" i="28"/>
  <c r="K38" i="28"/>
  <c r="K39" i="28"/>
  <c r="K40" i="28"/>
  <c r="K41" i="28"/>
  <c r="K42" i="28"/>
  <c r="K43" i="28"/>
  <c r="K44" i="28"/>
  <c r="K45" i="28"/>
  <c r="K46" i="28"/>
  <c r="K47" i="28"/>
  <c r="K48" i="28"/>
  <c r="K49" i="28"/>
  <c r="K50" i="28"/>
  <c r="K51" i="28"/>
  <c r="K52" i="28"/>
  <c r="K53" i="28"/>
  <c r="K54" i="28"/>
  <c r="K55" i="28"/>
  <c r="K56" i="28"/>
  <c r="K57" i="28"/>
  <c r="K58" i="28"/>
  <c r="K59" i="28"/>
  <c r="K60" i="28"/>
  <c r="K61" i="28"/>
  <c r="K62" i="28"/>
  <c r="K63" i="28"/>
  <c r="K64" i="28"/>
  <c r="K65" i="28"/>
  <c r="K66" i="28"/>
  <c r="K7" i="27"/>
  <c r="K9" i="27"/>
  <c r="K10" i="27"/>
  <c r="K11" i="27"/>
  <c r="K12" i="27"/>
  <c r="K13" i="27"/>
  <c r="K14" i="27"/>
  <c r="K15" i="27"/>
  <c r="K16" i="27"/>
  <c r="K17" i="27"/>
  <c r="K18" i="27"/>
  <c r="K19" i="27"/>
  <c r="K20" i="27"/>
  <c r="K21" i="27"/>
  <c r="K22" i="27"/>
  <c r="K23" i="27"/>
  <c r="K24" i="27"/>
  <c r="K25" i="27"/>
  <c r="K26" i="27"/>
  <c r="K27" i="27"/>
  <c r="K28" i="27"/>
  <c r="K29" i="27"/>
  <c r="K30" i="27"/>
  <c r="K31" i="27"/>
  <c r="K32" i="27"/>
  <c r="K33" i="27"/>
  <c r="K34" i="27"/>
  <c r="K35" i="27"/>
  <c r="K36" i="27"/>
  <c r="K37" i="27"/>
  <c r="K38" i="27"/>
  <c r="K39" i="27"/>
  <c r="K40" i="27"/>
  <c r="K41" i="27"/>
  <c r="K42" i="27"/>
  <c r="K43" i="27"/>
  <c r="K44" i="27"/>
  <c r="K45" i="27"/>
  <c r="K46" i="27"/>
  <c r="K47" i="27"/>
  <c r="K48" i="27"/>
  <c r="K49" i="27"/>
  <c r="K50" i="27"/>
  <c r="K51" i="27"/>
  <c r="K52" i="27"/>
  <c r="K53" i="27"/>
  <c r="K54" i="27"/>
  <c r="K55" i="27"/>
  <c r="K56" i="27"/>
  <c r="K57" i="27"/>
  <c r="K58" i="27"/>
  <c r="K59" i="27"/>
  <c r="K60" i="27"/>
  <c r="K61" i="27"/>
  <c r="K62" i="27"/>
  <c r="K63" i="27"/>
  <c r="K64" i="27"/>
  <c r="K65" i="27"/>
  <c r="K3" i="26"/>
  <c r="K4" i="26"/>
  <c r="K5" i="26"/>
  <c r="K6" i="26"/>
  <c r="K7" i="26"/>
  <c r="K8" i="26"/>
  <c r="K9" i="26"/>
  <c r="K10" i="26"/>
  <c r="K11" i="26"/>
  <c r="K12" i="26"/>
  <c r="K13" i="26"/>
  <c r="K14" i="26"/>
  <c r="K15" i="26"/>
  <c r="K16" i="26"/>
  <c r="K17" i="26"/>
  <c r="K18" i="26"/>
  <c r="K19" i="26"/>
  <c r="K20" i="26"/>
  <c r="K21" i="26"/>
  <c r="K22" i="26"/>
  <c r="K23" i="26"/>
  <c r="K24" i="26"/>
  <c r="K25" i="26"/>
  <c r="K26" i="26"/>
  <c r="K27" i="26"/>
  <c r="K28" i="26"/>
  <c r="K29" i="26"/>
  <c r="K30" i="26"/>
  <c r="K31" i="26"/>
  <c r="K32" i="26"/>
  <c r="K33" i="26"/>
  <c r="K34" i="26"/>
  <c r="K35" i="26"/>
  <c r="K36" i="26"/>
  <c r="K37" i="26"/>
  <c r="K38" i="26"/>
  <c r="K39" i="26"/>
  <c r="K40" i="26"/>
  <c r="K41" i="26"/>
  <c r="K42" i="26"/>
  <c r="K43" i="26"/>
  <c r="K44" i="26"/>
  <c r="K45" i="26"/>
  <c r="K46" i="26"/>
  <c r="K47" i="26"/>
  <c r="K48" i="26"/>
  <c r="K49" i="26"/>
  <c r="K50" i="26"/>
  <c r="K51" i="26"/>
  <c r="K52" i="26"/>
  <c r="K53" i="26"/>
  <c r="K54" i="26"/>
  <c r="K55" i="26"/>
  <c r="K56" i="26"/>
  <c r="K57" i="26"/>
  <c r="K58" i="26"/>
  <c r="K44" i="30"/>
  <c r="K59" i="30"/>
  <c r="K30" i="37"/>
  <c r="K45" i="37"/>
  <c r="K31" i="30"/>
  <c r="K51" i="30"/>
  <c r="K15" i="37"/>
  <c r="K37" i="37"/>
  <c r="K23" i="35"/>
  <c r="K39" i="35"/>
  <c r="K57" i="35"/>
  <c r="K12" i="33"/>
  <c r="K54" i="33"/>
  <c r="K59" i="31"/>
  <c r="K16" i="35"/>
  <c r="K27" i="35"/>
  <c r="K36" i="35"/>
  <c r="K48" i="35"/>
  <c r="K35" i="36"/>
  <c r="K47" i="36"/>
  <c r="K60" i="36"/>
  <c r="K14" i="33"/>
  <c r="K30" i="33"/>
  <c r="K47" i="33"/>
  <c r="K16" i="32"/>
  <c r="K50" i="32"/>
  <c r="K46" i="31"/>
  <c r="K39" i="30"/>
  <c r="K9" i="37"/>
  <c r="K33" i="37"/>
  <c r="K17" i="35"/>
  <c r="K25" i="35"/>
  <c r="K32" i="35"/>
  <c r="K40" i="35"/>
  <c r="K53" i="35"/>
  <c r="K29" i="36"/>
  <c r="K40" i="36"/>
  <c r="K59" i="36"/>
  <c r="K24" i="33"/>
  <c r="K46" i="33"/>
  <c r="K14" i="32"/>
  <c r="K26" i="32"/>
  <c r="K57" i="32"/>
  <c r="K45" i="31"/>
  <c r="K42" i="30"/>
  <c r="K13" i="37"/>
  <c r="K52" i="37"/>
  <c r="K60" i="26"/>
  <c r="K19" i="35"/>
  <c r="K33" i="35"/>
  <c r="K42" i="35"/>
  <c r="K56" i="35"/>
  <c r="K27" i="36"/>
  <c r="K49" i="36"/>
  <c r="K10" i="33"/>
  <c r="K33" i="33"/>
  <c r="K50" i="33"/>
  <c r="K9" i="32"/>
  <c r="K27" i="32"/>
  <c r="K52" i="31"/>
  <c r="K58" i="30"/>
  <c r="K18" i="37"/>
  <c r="K53" i="37"/>
  <c r="K3" i="27"/>
  <c r="K20" i="35"/>
  <c r="K31" i="35"/>
  <c r="K41" i="35"/>
  <c r="K54" i="35"/>
  <c r="K36" i="36"/>
  <c r="K46" i="36"/>
  <c r="K56" i="36"/>
  <c r="K7" i="33"/>
  <c r="K19" i="33"/>
  <c r="K38" i="33"/>
  <c r="K55" i="33"/>
  <c r="K10" i="32"/>
  <c r="K48" i="32"/>
  <c r="K50" i="31"/>
  <c r="K50" i="30"/>
  <c r="K11" i="37"/>
  <c r="K48" i="37"/>
  <c r="K22" i="35"/>
  <c r="K37" i="35"/>
  <c r="K50" i="35"/>
  <c r="K60" i="35"/>
  <c r="K26" i="36"/>
  <c r="K52" i="36"/>
  <c r="K23" i="33"/>
  <c r="K40" i="33"/>
  <c r="K4" i="32"/>
  <c r="K23" i="32"/>
  <c r="K62" i="32"/>
  <c r="K49" i="31"/>
  <c r="K52" i="30"/>
  <c r="K22" i="37"/>
  <c r="K55" i="37"/>
  <c r="K26" i="35"/>
  <c r="K46" i="35"/>
  <c r="K58" i="35"/>
  <c r="K28" i="36"/>
  <c r="K45" i="36"/>
  <c r="K57" i="36"/>
  <c r="K11" i="33"/>
  <c r="K26" i="33"/>
  <c r="K49" i="33"/>
  <c r="K17" i="32"/>
  <c r="K51" i="32"/>
  <c r="K48" i="31"/>
  <c r="K55" i="30"/>
  <c r="K17" i="37"/>
  <c r="K47" i="37"/>
  <c r="K29" i="35"/>
  <c r="K34" i="35"/>
  <c r="K45" i="35"/>
  <c r="K51" i="35"/>
  <c r="K59" i="35"/>
  <c r="K32" i="36"/>
  <c r="K39" i="36"/>
  <c r="K48" i="36"/>
  <c r="K61" i="36"/>
  <c r="K17" i="33"/>
  <c r="K28" i="33"/>
  <c r="K36" i="33"/>
  <c r="K45" i="33"/>
  <c r="K57" i="33"/>
  <c r="K13" i="32"/>
  <c r="K28" i="32"/>
  <c r="K59" i="32"/>
  <c r="K4" i="31"/>
  <c r="K55" i="31"/>
  <c r="K35" i="30"/>
  <c r="K46" i="30"/>
  <c r="K60" i="30"/>
  <c r="K26" i="37"/>
  <c r="K34" i="37"/>
  <c r="K58" i="37"/>
  <c r="K30" i="35"/>
  <c r="K35" i="35"/>
  <c r="K43" i="35"/>
  <c r="K47" i="35"/>
  <c r="K52" i="35"/>
  <c r="K31" i="36"/>
  <c r="K41" i="36"/>
  <c r="K54" i="36"/>
  <c r="K15" i="33"/>
  <c r="K27" i="33"/>
  <c r="K39" i="33"/>
  <c r="K51" i="33"/>
  <c r="K11" i="32"/>
  <c r="K21" i="32"/>
  <c r="K30" i="32"/>
  <c r="K52" i="32"/>
  <c r="K5" i="31"/>
  <c r="K58" i="31"/>
  <c r="K36" i="30"/>
  <c r="K54" i="30"/>
  <c r="K28" i="37"/>
  <c r="K36" i="37"/>
  <c r="K51" i="37"/>
  <c r="K54" i="25"/>
  <c r="K63" i="25"/>
  <c r="K51" i="25"/>
  <c r="K61" i="25"/>
  <c r="K57" i="25"/>
  <c r="K53" i="25"/>
  <c r="K44" i="25"/>
  <c r="K50" i="25"/>
  <c r="K58" i="25"/>
  <c r="K52" i="25"/>
  <c r="K46" i="25"/>
  <c r="K59" i="25"/>
  <c r="K45" i="25"/>
  <c r="K43" i="25"/>
  <c r="K48" i="25"/>
  <c r="K60" i="25"/>
  <c r="K3" i="25"/>
  <c r="K4" i="25"/>
  <c r="K5" i="25"/>
  <c r="K6" i="25"/>
  <c r="K7" i="25"/>
  <c r="K8" i="25"/>
  <c r="K9" i="25"/>
  <c r="K10" i="25"/>
  <c r="K11" i="25"/>
  <c r="K12" i="25"/>
  <c r="K13" i="25"/>
  <c r="K14" i="25"/>
  <c r="K15" i="25"/>
  <c r="K16" i="25"/>
  <c r="K17" i="25"/>
  <c r="K18" i="25"/>
  <c r="K19" i="25"/>
  <c r="K20" i="25"/>
  <c r="K21" i="25"/>
  <c r="K22" i="25"/>
  <c r="K23" i="25"/>
  <c r="K24" i="25"/>
  <c r="K25" i="25"/>
  <c r="K26" i="25"/>
  <c r="K27" i="25"/>
  <c r="K28" i="25"/>
  <c r="K29" i="25"/>
  <c r="K30" i="25"/>
  <c r="K31" i="25"/>
  <c r="K32" i="25"/>
  <c r="K33" i="25"/>
  <c r="K34" i="25"/>
  <c r="K35" i="25"/>
  <c r="K36" i="25"/>
  <c r="K37" i="25"/>
  <c r="K38" i="25"/>
  <c r="K39" i="25"/>
  <c r="K40" i="25"/>
  <c r="K41" i="25"/>
  <c r="K42" i="25"/>
  <c r="K55" i="25"/>
  <c r="K56" i="25"/>
  <c r="K62" i="25"/>
  <c r="K47" i="25"/>
  <c r="K49" i="25"/>
  <c r="K64" i="25"/>
  <c r="J23" i="15"/>
  <c r="G23" i="15"/>
  <c r="F22" i="15"/>
  <c r="F18" i="15"/>
  <c r="F14" i="15"/>
  <c r="F10" i="15"/>
  <c r="F23" i="15" s="1"/>
  <c r="H21" i="15"/>
  <c r="H20" i="15"/>
  <c r="H19" i="15"/>
  <c r="H17" i="15"/>
  <c r="H16" i="15"/>
  <c r="H15" i="15"/>
  <c r="H13" i="15"/>
  <c r="H12" i="15"/>
  <c r="H11" i="15"/>
  <c r="H9" i="15"/>
  <c r="H8" i="15"/>
  <c r="H7" i="15"/>
  <c r="K5" i="3"/>
  <c r="K6" i="3"/>
  <c r="K4" i="3"/>
  <c r="K7" i="3"/>
  <c r="K8" i="3"/>
  <c r="K3" i="3"/>
  <c r="K9" i="3"/>
  <c r="K10" i="3"/>
  <c r="K11" i="3"/>
  <c r="K12" i="3"/>
  <c r="K13" i="3"/>
  <c r="K14" i="3"/>
  <c r="K15" i="3"/>
  <c r="K16" i="3"/>
  <c r="K17" i="3"/>
  <c r="K18" i="3"/>
  <c r="K19" i="3"/>
  <c r="K20" i="3"/>
  <c r="K21" i="3"/>
  <c r="K22" i="3"/>
  <c r="K23" i="3"/>
  <c r="K24" i="3"/>
  <c r="K25" i="3"/>
  <c r="K26" i="3"/>
  <c r="K27" i="3"/>
  <c r="K28" i="3"/>
  <c r="K29" i="3"/>
  <c r="K30" i="3"/>
  <c r="K31" i="3"/>
  <c r="K32" i="3"/>
  <c r="K33" i="3"/>
  <c r="K34" i="3"/>
  <c r="K35" i="3"/>
  <c r="K36" i="3"/>
  <c r="K37" i="3"/>
  <c r="K38" i="3"/>
  <c r="K39" i="3"/>
  <c r="K40" i="3"/>
  <c r="K41" i="3"/>
  <c r="K42" i="3"/>
  <c r="K43" i="3"/>
  <c r="K44" i="3"/>
  <c r="K45" i="3"/>
  <c r="K46" i="3"/>
  <c r="K47" i="3"/>
  <c r="K48" i="3"/>
  <c r="K49" i="3"/>
  <c r="K50" i="3"/>
  <c r="K51" i="3"/>
  <c r="K52" i="3"/>
  <c r="K53" i="3"/>
  <c r="K54" i="3"/>
  <c r="K55" i="3"/>
  <c r="L58" i="3"/>
  <c r="L62" i="3"/>
  <c r="L66" i="3"/>
  <c r="L74" i="3"/>
  <c r="L78" i="3"/>
  <c r="L56" i="3"/>
  <c r="L64" i="3"/>
  <c r="L70" i="3"/>
  <c r="L72" i="3"/>
  <c r="L80" i="3"/>
  <c r="L82" i="3"/>
  <c r="L81" i="3"/>
  <c r="L65" i="3"/>
  <c r="L79" i="3"/>
  <c r="L71" i="3"/>
  <c r="L63" i="3"/>
  <c r="L77" i="3"/>
  <c r="L69" i="3"/>
  <c r="L61" i="3"/>
  <c r="L76" i="3"/>
  <c r="L68" i="3"/>
  <c r="L60" i="3"/>
  <c r="L75" i="3"/>
  <c r="L67" i="3"/>
  <c r="L59" i="3"/>
  <c r="L74" i="25"/>
  <c r="L80" i="25"/>
  <c r="L72" i="25"/>
  <c r="L82" i="25"/>
  <c r="L66" i="25"/>
  <c r="L79" i="25"/>
  <c r="L71" i="25"/>
  <c r="L73" i="25"/>
  <c r="L81" i="25"/>
  <c r="L78" i="25"/>
  <c r="L70" i="25"/>
  <c r="L77" i="25"/>
  <c r="L69" i="25"/>
  <c r="L65" i="25"/>
  <c r="L76" i="25"/>
  <c r="L68" i="25"/>
  <c r="L75" i="25"/>
  <c r="L67" i="25"/>
  <c r="H23" i="15" l="1"/>
  <c r="H22" i="15"/>
  <c r="H18" i="15"/>
  <c r="H14" i="15"/>
  <c r="H10" i="15"/>
  <c r="L49" i="3"/>
  <c r="L49" i="25"/>
  <c r="L6" i="25"/>
  <c r="L24" i="3"/>
  <c r="L16" i="3"/>
  <c r="L45" i="25"/>
  <c r="L19" i="25"/>
  <c r="L47" i="25"/>
  <c r="L22" i="25"/>
  <c r="L23" i="25"/>
  <c r="L31" i="25"/>
  <c r="L50" i="25"/>
  <c r="L43" i="25"/>
  <c r="L44" i="25"/>
  <c r="L15" i="25"/>
  <c r="L5" i="25"/>
  <c r="L35" i="25"/>
  <c r="L48" i="25"/>
  <c r="L42" i="25"/>
  <c r="L12" i="25"/>
  <c r="L4" i="25"/>
  <c r="L59" i="25"/>
  <c r="L46" i="25"/>
  <c r="L41" i="3"/>
  <c r="L9" i="3"/>
  <c r="L31" i="3"/>
  <c r="L30" i="3"/>
  <c r="L50" i="3"/>
  <c r="L42" i="3"/>
  <c r="L34" i="3"/>
  <c r="L26" i="3"/>
  <c r="L18" i="3"/>
  <c r="L10" i="3"/>
  <c r="L33" i="3"/>
  <c r="L32" i="3"/>
  <c r="L15" i="3"/>
  <c r="L46" i="3"/>
  <c r="L38" i="3"/>
  <c r="L14" i="3"/>
  <c r="L53" i="3"/>
  <c r="L45" i="3"/>
  <c r="L37" i="3"/>
  <c r="L29" i="3"/>
  <c r="L21" i="3"/>
  <c r="L13" i="3"/>
  <c r="L5" i="3"/>
  <c r="L25" i="3"/>
  <c r="L23" i="3"/>
  <c r="L6" i="3"/>
  <c r="L52" i="3"/>
  <c r="L44" i="3"/>
  <c r="L36" i="3"/>
  <c r="L28" i="3"/>
  <c r="L20" i="3"/>
  <c r="L38" i="25"/>
  <c r="L9" i="25"/>
  <c r="L12" i="3"/>
  <c r="L4" i="3"/>
  <c r="L17" i="3"/>
  <c r="L48" i="3"/>
  <c r="L40" i="3"/>
  <c r="L8" i="3"/>
  <c r="L55" i="3"/>
  <c r="L47" i="3"/>
  <c r="L39" i="3"/>
  <c r="L7" i="3"/>
  <c r="L54" i="3"/>
  <c r="L22" i="3"/>
  <c r="L51" i="3"/>
  <c r="L43" i="3"/>
  <c r="L35" i="3"/>
  <c r="L27" i="3"/>
  <c r="L19" i="3"/>
  <c r="L11" i="3"/>
  <c r="L3" i="3"/>
  <c r="L63" i="25"/>
  <c r="L58" i="25"/>
  <c r="L25" i="25"/>
  <c r="L64" i="25"/>
  <c r="L39" i="25"/>
  <c r="L28" i="25"/>
  <c r="L55" i="25"/>
  <c r="L8" i="25"/>
  <c r="L30" i="25"/>
  <c r="L32" i="25"/>
  <c r="L33" i="25"/>
  <c r="L20" i="25"/>
  <c r="L37" i="25"/>
  <c r="L16" i="25"/>
  <c r="L62" i="25"/>
  <c r="L21" i="25"/>
  <c r="L14" i="25"/>
  <c r="L51" i="25"/>
  <c r="L10" i="25"/>
  <c r="L17" i="25"/>
  <c r="L7" i="25"/>
  <c r="L53" i="25"/>
  <c r="L40" i="25"/>
  <c r="L57" i="25"/>
  <c r="L54" i="25"/>
  <c r="L13" i="25"/>
  <c r="L61" i="25"/>
  <c r="L56" i="25"/>
  <c r="L52" i="25"/>
  <c r="L29" i="25"/>
  <c r="L60" i="25"/>
  <c r="L27" i="25"/>
  <c r="L26" i="25"/>
  <c r="L36" i="25"/>
  <c r="L18" i="25"/>
  <c r="L11" i="25"/>
  <c r="L41" i="25"/>
  <c r="L34" i="25"/>
  <c r="L24" i="25"/>
  <c r="L3" i="25"/>
  <c r="L67" i="26"/>
  <c r="L66" i="26"/>
  <c r="L68" i="26"/>
  <c r="L66" i="27"/>
  <c r="L71" i="26"/>
  <c r="L72" i="26"/>
  <c r="L76" i="26"/>
  <c r="L77" i="26"/>
  <c r="L82" i="26"/>
  <c r="L25" i="26"/>
  <c r="L54" i="26"/>
  <c r="L23" i="26"/>
  <c r="L19" i="26"/>
  <c r="L31" i="26"/>
  <c r="L62" i="26"/>
  <c r="L29" i="26"/>
  <c r="L26" i="26"/>
  <c r="L24" i="26"/>
  <c r="L69" i="26"/>
  <c r="L75" i="26"/>
  <c r="L78" i="26"/>
  <c r="L81" i="26"/>
  <c r="L79" i="26"/>
  <c r="L74" i="26"/>
  <c r="L73" i="26"/>
  <c r="L70" i="26"/>
  <c r="L80" i="26"/>
  <c r="L73" i="3"/>
  <c r="L57" i="3"/>
  <c r="L82" i="28"/>
  <c r="L81" i="28"/>
  <c r="L22" i="26"/>
  <c r="L39" i="26"/>
  <c r="L68" i="27"/>
  <c r="L67" i="27"/>
  <c r="L69" i="28"/>
  <c r="L68" i="28"/>
  <c r="L80" i="28"/>
  <c r="L72" i="27"/>
  <c r="L69" i="27"/>
  <c r="L77" i="27"/>
  <c r="L74" i="27"/>
  <c r="L71" i="27"/>
  <c r="L70" i="27"/>
  <c r="L73" i="27"/>
  <c r="L76" i="27"/>
  <c r="L39" i="37"/>
  <c r="L14" i="37"/>
  <c r="L16" i="37"/>
  <c r="L53" i="37"/>
  <c r="L41" i="37"/>
  <c r="L49" i="26"/>
  <c r="L9" i="26"/>
  <c r="L57" i="26"/>
  <c r="L55" i="26"/>
  <c r="L45" i="26"/>
  <c r="L8" i="26"/>
  <c r="L27" i="26"/>
  <c r="L4" i="26"/>
  <c r="L17" i="26"/>
  <c r="L11" i="26"/>
  <c r="L28" i="26"/>
  <c r="L21" i="26"/>
  <c r="L50" i="26"/>
  <c r="L59" i="26"/>
  <c r="L53" i="26"/>
  <c r="L40" i="26"/>
  <c r="L65" i="26"/>
  <c r="L58" i="26"/>
  <c r="L13" i="26"/>
  <c r="L14" i="26"/>
  <c r="L35" i="26"/>
  <c r="L20" i="26"/>
  <c r="L30" i="26"/>
  <c r="L43" i="26"/>
  <c r="L44" i="26"/>
  <c r="L56" i="26"/>
  <c r="L5" i="26"/>
  <c r="L42" i="26"/>
  <c r="L63" i="26"/>
  <c r="L6" i="26"/>
  <c r="L41" i="26"/>
  <c r="L47" i="26"/>
  <c r="L38" i="26"/>
  <c r="L37" i="26"/>
  <c r="L3" i="26"/>
  <c r="L32" i="26"/>
  <c r="L16" i="26"/>
  <c r="L36" i="26"/>
  <c r="L15" i="26"/>
  <c r="L10" i="26"/>
  <c r="L48" i="26"/>
  <c r="L64" i="26"/>
  <c r="L18" i="26"/>
  <c r="L46" i="26"/>
  <c r="L33" i="26"/>
  <c r="L52" i="26"/>
  <c r="L7" i="26"/>
  <c r="L61" i="26"/>
  <c r="L12" i="26"/>
  <c r="L51" i="26"/>
  <c r="L60" i="26"/>
  <c r="L34" i="26"/>
  <c r="L21" i="37"/>
  <c r="L82" i="27"/>
  <c r="L80" i="27"/>
  <c r="L78" i="30"/>
  <c r="L80" i="30"/>
  <c r="L81" i="30"/>
  <c r="L82" i="30"/>
  <c r="L79" i="30"/>
  <c r="L12" i="27"/>
  <c r="L81" i="27"/>
  <c r="L78" i="27"/>
  <c r="L79" i="27"/>
  <c r="L34" i="27"/>
  <c r="L44" i="37"/>
  <c r="L34" i="37"/>
  <c r="L64" i="37"/>
  <c r="L38" i="37"/>
  <c r="L13" i="37"/>
  <c r="L9" i="37"/>
  <c r="L47" i="37"/>
  <c r="L52" i="37"/>
  <c r="L37" i="37"/>
  <c r="L76" i="30"/>
  <c r="L65" i="30"/>
  <c r="L66" i="30"/>
  <c r="L73" i="28"/>
  <c r="L78" i="28"/>
  <c r="L74" i="28"/>
  <c r="L72" i="28"/>
  <c r="L79" i="28"/>
  <c r="L71" i="28"/>
  <c r="L77" i="28"/>
  <c r="L70" i="28"/>
  <c r="L76" i="28"/>
  <c r="L75" i="28"/>
  <c r="L67" i="28"/>
  <c r="L75" i="27"/>
  <c r="L7" i="37"/>
  <c r="L45" i="37"/>
  <c r="L46" i="37"/>
  <c r="L10" i="37"/>
  <c r="L54" i="37"/>
  <c r="L63" i="37"/>
  <c r="L36" i="37"/>
  <c r="L40" i="37"/>
  <c r="L30" i="37"/>
  <c r="L58" i="37"/>
  <c r="L59" i="37"/>
  <c r="L55" i="37"/>
  <c r="L64" i="30"/>
  <c r="L67" i="30"/>
  <c r="L70" i="30"/>
  <c r="L73" i="30"/>
  <c r="L68" i="30"/>
  <c r="L69" i="30"/>
  <c r="L72" i="30"/>
  <c r="L77" i="30"/>
  <c r="L75" i="30"/>
  <c r="L74" i="30"/>
  <c r="L71" i="30"/>
  <c r="L65" i="37"/>
  <c r="L66" i="37"/>
  <c r="L79" i="37"/>
  <c r="L68" i="37"/>
  <c r="L78" i="37"/>
  <c r="L67" i="37"/>
  <c r="L80" i="37"/>
  <c r="L70" i="37"/>
  <c r="L69" i="37"/>
  <c r="L9" i="28"/>
  <c r="L49" i="37"/>
  <c r="L50" i="37"/>
  <c r="L27" i="37"/>
  <c r="L24" i="37"/>
  <c r="L56" i="37"/>
  <c r="L60" i="37"/>
  <c r="L62" i="37"/>
  <c r="L3" i="37"/>
  <c r="L4" i="37"/>
  <c r="L5" i="37"/>
  <c r="L6" i="37"/>
  <c r="L15" i="37"/>
  <c r="L22" i="37"/>
  <c r="L23" i="37"/>
  <c r="L28" i="37"/>
  <c r="L25" i="37"/>
  <c r="L32" i="37"/>
  <c r="L29" i="37"/>
  <c r="L19" i="37"/>
  <c r="L33" i="37"/>
  <c r="L35" i="37"/>
  <c r="L8" i="37"/>
  <c r="L17" i="37"/>
  <c r="L42" i="37"/>
  <c r="L43" i="37"/>
  <c r="L48" i="37"/>
  <c r="L51" i="37"/>
  <c r="L26" i="37"/>
  <c r="L11" i="37"/>
  <c r="L31" i="37"/>
  <c r="L57" i="37"/>
  <c r="L61" i="37"/>
  <c r="L18" i="37"/>
  <c r="L12" i="37"/>
  <c r="L20" i="37"/>
  <c r="L76" i="37"/>
  <c r="L77" i="37"/>
  <c r="L82" i="37"/>
  <c r="L71" i="37"/>
  <c r="L72" i="37"/>
  <c r="L73" i="37"/>
  <c r="L74" i="37"/>
  <c r="L75" i="37"/>
  <c r="L81" i="37"/>
  <c r="L54" i="28"/>
  <c r="L38" i="28"/>
  <c r="L55" i="28"/>
  <c r="L34" i="28"/>
  <c r="L45" i="28"/>
  <c r="L23" i="28"/>
  <c r="L19" i="28"/>
  <c r="L32" i="28"/>
  <c r="L30" i="28"/>
  <c r="L16" i="28"/>
  <c r="L49" i="28"/>
  <c r="L51" i="28"/>
  <c r="L4" i="28"/>
  <c r="L20" i="28"/>
  <c r="L35" i="28"/>
  <c r="L41" i="28"/>
  <c r="L21" i="28"/>
  <c r="L64" i="28"/>
  <c r="L37" i="28"/>
  <c r="L10" i="28"/>
  <c r="L22" i="28"/>
  <c r="L24" i="28"/>
  <c r="L7" i="28"/>
  <c r="L46" i="28"/>
  <c r="L58" i="28"/>
  <c r="L62" i="28"/>
  <c r="L12" i="28"/>
  <c r="L39" i="28"/>
  <c r="L29" i="28"/>
  <c r="L42" i="28"/>
  <c r="L63" i="28"/>
  <c r="L26" i="28"/>
  <c r="L33" i="28"/>
  <c r="L60" i="28"/>
  <c r="L13" i="28"/>
  <c r="L66" i="28"/>
  <c r="L43" i="28"/>
  <c r="L5" i="28"/>
  <c r="L56" i="28"/>
  <c r="L17" i="28"/>
  <c r="L59" i="28"/>
  <c r="L31" i="28"/>
  <c r="L27" i="28"/>
  <c r="L28" i="28"/>
  <c r="L48" i="28"/>
  <c r="L40" i="28"/>
  <c r="L14" i="28"/>
  <c r="L50" i="28"/>
  <c r="L52" i="28"/>
  <c r="L11" i="28"/>
  <c r="L57" i="28"/>
  <c r="L36" i="28"/>
  <c r="L3" i="28"/>
  <c r="L53" i="28"/>
  <c r="L18" i="28"/>
  <c r="L65" i="28"/>
  <c r="L44" i="28"/>
  <c r="L15" i="28"/>
  <c r="L61" i="28"/>
  <c r="L6" i="28"/>
  <c r="L25" i="28"/>
  <c r="L8" i="28"/>
  <c r="L47" i="28"/>
  <c r="L18" i="27"/>
  <c r="L20" i="27"/>
  <c r="L63" i="27"/>
  <c r="L22" i="27"/>
  <c r="L9" i="27"/>
  <c r="L57" i="27"/>
  <c r="L14" i="27"/>
  <c r="L30" i="27"/>
  <c r="L60" i="27"/>
  <c r="L43" i="27"/>
  <c r="L16" i="27"/>
  <c r="L51" i="27"/>
  <c r="L10" i="27"/>
  <c r="L11" i="27"/>
  <c r="L7" i="27"/>
  <c r="L59" i="27"/>
  <c r="L42" i="27"/>
  <c r="L26" i="27"/>
  <c r="L27" i="27"/>
  <c r="L56" i="27"/>
  <c r="L47" i="27"/>
  <c r="L40" i="27"/>
  <c r="L25" i="27"/>
  <c r="L49" i="27"/>
  <c r="L13" i="27"/>
  <c r="L23" i="27"/>
  <c r="L8" i="27"/>
  <c r="L50" i="27"/>
  <c r="L31" i="27"/>
  <c r="L6" i="27"/>
  <c r="L15" i="27"/>
  <c r="L48" i="27"/>
  <c r="L64" i="27"/>
  <c r="L46" i="27"/>
  <c r="L24" i="27"/>
  <c r="L53" i="27"/>
  <c r="L54" i="27"/>
  <c r="L61" i="27"/>
  <c r="L55" i="27"/>
  <c r="L19" i="27"/>
  <c r="L32" i="27"/>
  <c r="L37" i="27"/>
  <c r="L38" i="27"/>
  <c r="L44" i="27"/>
  <c r="L58" i="27"/>
  <c r="L52" i="27"/>
  <c r="L5" i="27"/>
  <c r="L28" i="27"/>
  <c r="L62" i="27"/>
  <c r="L45" i="27"/>
  <c r="L39" i="27"/>
  <c r="L33" i="27"/>
  <c r="L65" i="27"/>
  <c r="L17" i="27"/>
  <c r="L21" i="27"/>
  <c r="L29" i="27"/>
  <c r="L36" i="27"/>
  <c r="L4" i="27"/>
  <c r="L35" i="27"/>
  <c r="L41" i="27"/>
  <c r="L3" i="27"/>
  <c r="L28" i="30"/>
  <c r="L38" i="30"/>
  <c r="L41" i="30"/>
  <c r="L43" i="30"/>
  <c r="L17" i="30"/>
  <c r="L54" i="30"/>
  <c r="L51" i="30"/>
  <c r="L35" i="30"/>
  <c r="L16" i="30"/>
  <c r="L11" i="30"/>
  <c r="L42" i="30"/>
  <c r="L22" i="30"/>
  <c r="L44" i="30"/>
  <c r="L62" i="30"/>
  <c r="L7" i="30"/>
  <c r="L3" i="30"/>
  <c r="L52" i="30"/>
  <c r="L20" i="30"/>
  <c r="L14" i="30"/>
  <c r="L46" i="30"/>
  <c r="L19" i="30"/>
  <c r="L32" i="30"/>
  <c r="L21" i="30"/>
  <c r="L45" i="30"/>
  <c r="L13" i="30"/>
  <c r="L15" i="30"/>
  <c r="L6" i="30"/>
  <c r="L60" i="30"/>
  <c r="L36" i="30"/>
  <c r="L27" i="30"/>
  <c r="L10" i="30"/>
  <c r="L26" i="30"/>
  <c r="L4" i="30"/>
  <c r="L12" i="30"/>
  <c r="L33" i="30"/>
  <c r="L63" i="30"/>
  <c r="L18" i="30"/>
  <c r="L47" i="30"/>
  <c r="L9" i="30"/>
  <c r="L49" i="30"/>
  <c r="L40" i="30"/>
  <c r="L30" i="30"/>
  <c r="L25" i="30"/>
  <c r="L29" i="30"/>
  <c r="L8" i="30"/>
  <c r="L39" i="30"/>
  <c r="L56" i="30"/>
  <c r="L50" i="30"/>
  <c r="L31" i="30"/>
  <c r="L24" i="30"/>
  <c r="L57" i="30"/>
  <c r="L59" i="30"/>
  <c r="L5" i="30"/>
  <c r="L37" i="30"/>
  <c r="L48" i="30"/>
  <c r="L53" i="30"/>
  <c r="L23" i="30"/>
  <c r="L61" i="30"/>
  <c r="L55" i="30"/>
  <c r="L34" i="30"/>
  <c r="L58" i="30"/>
  <c r="L49" i="35"/>
  <c r="L60" i="35"/>
  <c r="L62" i="35"/>
  <c r="L63" i="35"/>
  <c r="L65" i="35"/>
  <c r="L66" i="35"/>
  <c r="L67" i="35"/>
  <c r="L68" i="35"/>
  <c r="L69" i="35"/>
  <c r="L70" i="35"/>
  <c r="L71" i="35"/>
  <c r="L72" i="35"/>
  <c r="L73" i="35"/>
  <c r="L74" i="35"/>
  <c r="L75" i="35"/>
  <c r="L77" i="35"/>
  <c r="L79" i="35"/>
  <c r="L81" i="35"/>
  <c r="L82" i="35"/>
  <c r="L63" i="32"/>
  <c r="L64" i="32"/>
  <c r="L65" i="32"/>
  <c r="L66" i="32"/>
  <c r="L67" i="32"/>
  <c r="L68" i="32"/>
  <c r="L69" i="32"/>
  <c r="L70" i="32"/>
  <c r="L71" i="32"/>
  <c r="L73" i="32"/>
  <c r="L74" i="32"/>
  <c r="L75" i="32"/>
  <c r="L76" i="32"/>
  <c r="L77" i="32"/>
  <c r="L78" i="32"/>
  <c r="L79" i="32"/>
  <c r="L81" i="32"/>
  <c r="L82" i="32"/>
  <c r="L64" i="31"/>
  <c r="L65" i="31"/>
  <c r="L66" i="31"/>
  <c r="L68" i="31"/>
  <c r="L69" i="31"/>
  <c r="L70" i="31"/>
  <c r="L72" i="31"/>
  <c r="L73" i="31"/>
  <c r="L74" i="31"/>
  <c r="L76" i="31"/>
  <c r="L77" i="31"/>
  <c r="L78" i="31"/>
  <c r="L79" i="31"/>
  <c r="L80" i="31"/>
  <c r="L81" i="31"/>
  <c r="L82" i="31"/>
  <c r="L78" i="35"/>
  <c r="L80" i="35"/>
  <c r="L72" i="32"/>
  <c r="L80" i="32"/>
  <c r="L63" i="31"/>
  <c r="L67" i="31"/>
  <c r="L75" i="31"/>
  <c r="L54" i="35"/>
  <c r="L64" i="35"/>
  <c r="L76" i="35"/>
  <c r="L71" i="31"/>
  <c r="S35" i="26"/>
  <c r="Q29" i="26"/>
  <c r="S35" i="3"/>
  <c r="Q29" i="3"/>
  <c r="S35" i="35"/>
  <c r="Q29" i="35"/>
  <c r="S35" i="36"/>
  <c r="Q29" i="36"/>
  <c r="S35" i="33"/>
  <c r="Q29" i="33"/>
  <c r="S35" i="32"/>
  <c r="Q29" i="32"/>
  <c r="S35" i="31"/>
  <c r="Q29" i="31"/>
  <c r="S35" i="30"/>
  <c r="Q29" i="30"/>
  <c r="S35" i="37"/>
  <c r="Q29" i="37"/>
  <c r="S35" i="28"/>
  <c r="Q29" i="28"/>
  <c r="S35" i="27"/>
  <c r="Q29" i="27"/>
  <c r="S35" i="25"/>
  <c r="Q29" i="25"/>
  <c r="L16" i="35" l="1"/>
  <c r="L31" i="35"/>
  <c r="L44" i="35"/>
  <c r="L51" i="35"/>
  <c r="L20" i="35"/>
  <c r="L45" i="35"/>
  <c r="L57" i="35"/>
  <c r="L27" i="35"/>
  <c r="L29" i="35"/>
  <c r="L59" i="35"/>
  <c r="L24" i="35"/>
  <c r="L40" i="35"/>
  <c r="L19" i="35"/>
  <c r="L26" i="35"/>
  <c r="L30" i="35"/>
  <c r="L58" i="35"/>
  <c r="L15" i="35"/>
  <c r="L23" i="35"/>
  <c r="L21" i="35"/>
  <c r="L50" i="35"/>
  <c r="L34" i="35"/>
  <c r="L36" i="35"/>
  <c r="L61" i="35"/>
  <c r="L12" i="35"/>
  <c r="L48" i="35"/>
  <c r="L32" i="35"/>
  <c r="L53" i="35"/>
  <c r="L52" i="35"/>
  <c r="L22" i="35"/>
  <c r="L9" i="35"/>
  <c r="L33" i="35"/>
  <c r="L41" i="35"/>
  <c r="L18" i="35"/>
  <c r="L56" i="35"/>
  <c r="L46" i="35"/>
  <c r="L37" i="35"/>
  <c r="L13" i="35"/>
  <c r="L47" i="35"/>
  <c r="L6" i="35"/>
  <c r="L35" i="35"/>
  <c r="L55" i="35"/>
  <c r="L7" i="35"/>
  <c r="L43" i="35"/>
  <c r="L28" i="35"/>
  <c r="L11" i="35"/>
  <c r="L25" i="35"/>
  <c r="L14" i="35"/>
  <c r="L38" i="35"/>
  <c r="L42" i="35"/>
  <c r="L17" i="35"/>
  <c r="L10" i="35"/>
  <c r="L8" i="35"/>
  <c r="L39" i="35"/>
  <c r="L5" i="35"/>
  <c r="L4" i="35"/>
  <c r="L3" i="35"/>
  <c r="L61" i="36"/>
  <c r="L52" i="36"/>
  <c r="L9" i="36"/>
  <c r="L33" i="36"/>
  <c r="L41" i="36"/>
  <c r="L24" i="36"/>
  <c r="L57" i="36"/>
  <c r="L56" i="36"/>
  <c r="L49" i="36"/>
  <c r="L36" i="36"/>
  <c r="L50" i="36"/>
  <c r="L46" i="36"/>
  <c r="L37" i="36"/>
  <c r="L13" i="36"/>
  <c r="L47" i="36"/>
  <c r="L6" i="36"/>
  <c r="L35" i="36"/>
  <c r="L55" i="36"/>
  <c r="L28" i="36"/>
  <c r="L11" i="36"/>
  <c r="L25" i="36"/>
  <c r="L14" i="36"/>
  <c r="L48" i="36"/>
  <c r="L16" i="36"/>
  <c r="L42" i="36"/>
  <c r="L17" i="36"/>
  <c r="L10" i="36"/>
  <c r="L8" i="36"/>
  <c r="L39" i="36"/>
  <c r="L58" i="36"/>
  <c r="L40" i="36"/>
  <c r="L54" i="36"/>
  <c r="L19" i="36"/>
  <c r="L31" i="36"/>
  <c r="L26" i="36"/>
  <c r="L44" i="36"/>
  <c r="L30" i="36"/>
  <c r="L4" i="36"/>
  <c r="L12" i="36"/>
  <c r="L59" i="36"/>
  <c r="L15" i="36"/>
  <c r="L20" i="36"/>
  <c r="L23" i="36"/>
  <c r="L45" i="36"/>
  <c r="L21" i="36"/>
  <c r="L3" i="36"/>
  <c r="L58" i="31"/>
  <c r="L35" i="31"/>
  <c r="L50" i="31"/>
  <c r="L37" i="31"/>
  <c r="L58" i="32"/>
  <c r="L35" i="32"/>
  <c r="L50" i="32"/>
  <c r="L37" i="32"/>
  <c r="L16" i="31"/>
  <c r="L38" i="31"/>
  <c r="L48" i="31"/>
  <c r="L36" i="31"/>
  <c r="L16" i="32"/>
  <c r="L38" i="32"/>
  <c r="L48" i="32"/>
  <c r="L36" i="32"/>
  <c r="L51" i="31"/>
  <c r="L44" i="31"/>
  <c r="L31" i="31"/>
  <c r="L14" i="31"/>
  <c r="L51" i="32"/>
  <c r="L44" i="32"/>
  <c r="L31" i="32"/>
  <c r="L14" i="32"/>
  <c r="L56" i="31"/>
  <c r="L12" i="31"/>
  <c r="L49" i="31"/>
  <c r="L15" i="31"/>
  <c r="L56" i="32"/>
  <c r="L12" i="32"/>
  <c r="L49" i="32"/>
  <c r="L15" i="32"/>
  <c r="L59" i="31"/>
  <c r="L28" i="31"/>
  <c r="L8" i="31"/>
  <c r="L59" i="32"/>
  <c r="L28" i="32"/>
  <c r="L8" i="32"/>
  <c r="L47" i="31"/>
  <c r="L13" i="31"/>
  <c r="L20" i="31"/>
  <c r="L47" i="32"/>
  <c r="L13" i="32"/>
  <c r="L20" i="32"/>
  <c r="L23" i="31"/>
  <c r="L29" i="31"/>
  <c r="L41" i="31"/>
  <c r="L23" i="32"/>
  <c r="L29" i="32"/>
  <c r="L41" i="32"/>
  <c r="L60" i="31"/>
  <c r="L25" i="31"/>
  <c r="L6" i="31"/>
  <c r="L60" i="32"/>
  <c r="L25" i="32"/>
  <c r="L6" i="32"/>
  <c r="L52" i="31"/>
  <c r="L61" i="31"/>
  <c r="L43" i="31"/>
  <c r="L19" i="31"/>
  <c r="L10" i="31"/>
  <c r="L27" i="31"/>
  <c r="L7" i="31"/>
  <c r="L11" i="31"/>
  <c r="L52" i="32"/>
  <c r="L61" i="32"/>
  <c r="L43" i="32"/>
  <c r="L19" i="32"/>
  <c r="L10" i="32"/>
  <c r="L27" i="32"/>
  <c r="L7" i="32"/>
  <c r="L11" i="32"/>
  <c r="L62" i="31"/>
  <c r="L53" i="31"/>
  <c r="L30" i="31"/>
  <c r="L32" i="31"/>
  <c r="L34" i="31"/>
  <c r="L45" i="31"/>
  <c r="L18" i="31"/>
  <c r="L5" i="31"/>
  <c r="L62" i="32"/>
  <c r="L53" i="32"/>
  <c r="L30" i="32"/>
  <c r="L32" i="32"/>
  <c r="L34" i="32"/>
  <c r="L45" i="32"/>
  <c r="L18" i="32"/>
  <c r="L5" i="32"/>
  <c r="L55" i="31"/>
  <c r="L54" i="31"/>
  <c r="L26" i="31"/>
  <c r="L22" i="31"/>
  <c r="L24" i="31"/>
  <c r="L46" i="31"/>
  <c r="L17" i="31"/>
  <c r="L4" i="31"/>
  <c r="L55" i="32"/>
  <c r="L54" i="32"/>
  <c r="L26" i="32"/>
  <c r="L22" i="32"/>
  <c r="L24" i="32"/>
  <c r="L46" i="32"/>
  <c r="L17" i="32"/>
  <c r="L4" i="32"/>
  <c r="L39" i="31"/>
  <c r="L57" i="31"/>
  <c r="L33" i="31"/>
  <c r="L9" i="31"/>
  <c r="L21" i="31"/>
  <c r="L42" i="31"/>
  <c r="L40" i="31"/>
  <c r="L3" i="31"/>
  <c r="L39" i="32"/>
  <c r="L57" i="32"/>
  <c r="L33" i="32"/>
  <c r="L9" i="32"/>
  <c r="L21" i="32"/>
  <c r="L42" i="32"/>
  <c r="L40" i="32"/>
  <c r="L3" i="32"/>
  <c r="L56" i="33"/>
  <c r="L9" i="33"/>
  <c r="L41" i="33"/>
  <c r="L38" i="36"/>
  <c r="L46" i="33"/>
  <c r="L13" i="33"/>
  <c r="L6" i="33"/>
  <c r="L59" i="33"/>
  <c r="L24" i="33"/>
  <c r="L40" i="33"/>
  <c r="L51" i="33"/>
  <c r="L42" i="33"/>
  <c r="L10" i="33"/>
  <c r="L39" i="33"/>
  <c r="L16" i="33"/>
  <c r="L37" i="33"/>
  <c r="L47" i="33"/>
  <c r="L35" i="33"/>
  <c r="L53" i="36"/>
  <c r="L55" i="33"/>
  <c r="L12" i="33"/>
  <c r="L48" i="33"/>
  <c r="L32" i="33"/>
  <c r="L22" i="36"/>
  <c r="L18" i="36"/>
  <c r="L38" i="33"/>
  <c r="L22" i="33"/>
  <c r="L33" i="33"/>
  <c r="L18" i="33"/>
  <c r="L60" i="33"/>
  <c r="L17" i="33"/>
  <c r="L8" i="33"/>
  <c r="L5" i="33"/>
  <c r="L57" i="33"/>
  <c r="L58" i="33"/>
  <c r="L34" i="33"/>
  <c r="L27" i="33"/>
  <c r="L49" i="33"/>
  <c r="L29" i="33"/>
  <c r="L36" i="33"/>
  <c r="L34" i="36"/>
  <c r="L50" i="33"/>
  <c r="L7" i="33"/>
  <c r="L43" i="33"/>
  <c r="L28" i="33"/>
  <c r="L11" i="33"/>
  <c r="L25" i="33"/>
  <c r="L14" i="33"/>
  <c r="L7" i="36"/>
  <c r="L43" i="36"/>
  <c r="L61" i="33"/>
  <c r="L52" i="33"/>
  <c r="L19" i="33"/>
  <c r="L31" i="33"/>
  <c r="L26" i="33"/>
  <c r="L44" i="33"/>
  <c r="L30" i="33"/>
  <c r="L4" i="33"/>
  <c r="L51" i="36"/>
  <c r="L54" i="33"/>
  <c r="L53" i="33"/>
  <c r="L15" i="33"/>
  <c r="L20" i="33"/>
  <c r="L23" i="33"/>
  <c r="L45" i="33"/>
  <c r="L21" i="33"/>
  <c r="L3" i="33"/>
  <c r="L60" i="36"/>
  <c r="L76" i="36"/>
  <c r="L68" i="36"/>
  <c r="L70" i="36"/>
  <c r="L78" i="33"/>
  <c r="L70" i="33"/>
  <c r="L62" i="33"/>
  <c r="L75" i="36"/>
  <c r="L67" i="36"/>
  <c r="L80" i="33"/>
  <c r="L62" i="36"/>
  <c r="L77" i="33"/>
  <c r="L69" i="33"/>
  <c r="L82" i="36"/>
  <c r="L74" i="36"/>
  <c r="L66" i="36"/>
  <c r="L79" i="33"/>
  <c r="L76" i="33"/>
  <c r="L68" i="33"/>
  <c r="L81" i="36"/>
  <c r="L73" i="36"/>
  <c r="L65" i="36"/>
  <c r="L72" i="33"/>
  <c r="L75" i="33"/>
  <c r="L67" i="33"/>
  <c r="L64" i="36"/>
  <c r="L71" i="33"/>
  <c r="L82" i="33"/>
  <c r="L74" i="33"/>
  <c r="L66" i="33"/>
  <c r="L71" i="36"/>
  <c r="L63" i="36"/>
  <c r="L64" i="33"/>
  <c r="L80" i="36"/>
  <c r="L81" i="33"/>
  <c r="L73" i="33"/>
  <c r="L65" i="33"/>
  <c r="L78" i="36"/>
  <c r="L63" i="33"/>
  <c r="L79" i="36"/>
  <c r="L77" i="36"/>
  <c r="L69" i="36"/>
  <c r="L72" i="36"/>
  <c r="L27" i="36"/>
  <c r="L29" i="36"/>
  <c r="L32" i="36"/>
  <c r="L5" i="36"/>
  <c r="B23" i="15"/>
  <c r="B2" i="15"/>
  <c r="E35" i="15"/>
  <c r="E34" i="15"/>
  <c r="E33" i="15"/>
  <c r="E32" i="15"/>
  <c r="B28" i="15"/>
  <c r="AB2" i="35"/>
  <c r="AB1" i="35"/>
  <c r="AB2" i="36"/>
  <c r="AB1" i="36"/>
  <c r="AB2" i="33"/>
  <c r="AB1" i="33"/>
  <c r="AB2" i="32"/>
  <c r="AB1" i="32"/>
  <c r="AB2" i="31"/>
  <c r="AB1" i="31"/>
  <c r="AB2" i="30"/>
  <c r="AB1" i="30"/>
  <c r="AB2" i="37"/>
  <c r="AB1" i="37"/>
  <c r="AB2" i="28"/>
  <c r="AB1" i="28"/>
  <c r="AB2" i="27"/>
  <c r="AB1" i="27"/>
  <c r="AB2" i="26"/>
  <c r="AB1" i="26"/>
  <c r="AB2" i="25"/>
  <c r="AB1" i="25"/>
  <c r="AB2" i="3"/>
  <c r="AB1" i="3"/>
  <c r="Q14" i="37"/>
  <c r="S38" i="37"/>
  <c r="Q38" i="37"/>
  <c r="Q36" i="37"/>
  <c r="Q35" i="37"/>
  <c r="Q9" i="37"/>
  <c r="Q10" i="37"/>
  <c r="P5" i="37"/>
  <c r="S33" i="37"/>
  <c r="Q33" i="37"/>
  <c r="O5" i="37" a="1"/>
  <c r="Q10" i="33"/>
  <c r="Q10" i="30"/>
  <c r="Q10" i="3"/>
  <c r="Q10" i="35"/>
  <c r="Q9" i="35"/>
  <c r="Q9" i="33"/>
  <c r="Q10" i="32"/>
  <c r="Q9" i="32"/>
  <c r="S38" i="27"/>
  <c r="Q38" i="27"/>
  <c r="Q35" i="27"/>
  <c r="Q9" i="27"/>
  <c r="Q9" i="3"/>
  <c r="Q17" i="26" l="1"/>
  <c r="Q17" i="31"/>
  <c r="Q17" i="32"/>
  <c r="Q17" i="36"/>
  <c r="Q17" i="37"/>
  <c r="Q17" i="28"/>
  <c r="Q17" i="27"/>
  <c r="Q17" i="30"/>
  <c r="Q17" i="33"/>
  <c r="Q17" i="35"/>
  <c r="Q17" i="25"/>
  <c r="Q37" i="37"/>
  <c r="E11" i="2" s="1"/>
  <c r="I13" i="15" s="1"/>
  <c r="K13" i="15" s="1"/>
  <c r="Q39" i="37"/>
  <c r="U35" i="37"/>
  <c r="Q8" i="37"/>
  <c r="Q11" i="37"/>
  <c r="O13" i="15"/>
  <c r="S39" i="37"/>
  <c r="U38" i="37"/>
  <c r="Q40" i="37"/>
  <c r="S40" i="37"/>
  <c r="Q41" i="37"/>
  <c r="S41" i="37"/>
  <c r="Q9" i="30"/>
  <c r="S36" i="35"/>
  <c r="S36" i="27"/>
  <c r="S36" i="26"/>
  <c r="S36" i="28"/>
  <c r="S36" i="33"/>
  <c r="S36" i="30"/>
  <c r="S36" i="37"/>
  <c r="S36" i="36"/>
  <c r="S36" i="31"/>
  <c r="S36" i="32"/>
  <c r="S36" i="25"/>
  <c r="S37" i="32" l="1"/>
  <c r="S37" i="25"/>
  <c r="S37" i="26"/>
  <c r="S37" i="27"/>
  <c r="S37" i="30"/>
  <c r="S37" i="28"/>
  <c r="S37" i="37"/>
  <c r="S37" i="36"/>
  <c r="S37" i="35"/>
  <c r="S37" i="33"/>
  <c r="S37" i="31"/>
  <c r="U39" i="37"/>
  <c r="Q13" i="37"/>
  <c r="S9" i="37"/>
  <c r="U40" i="37"/>
  <c r="L13" i="15"/>
  <c r="U41" i="37"/>
  <c r="M13" i="15"/>
  <c r="Q14" i="35"/>
  <c r="Q14" i="33"/>
  <c r="Q14" i="32"/>
  <c r="Q14" i="3"/>
  <c r="Q14" i="27"/>
  <c r="Q14" i="30"/>
  <c r="Q36" i="27"/>
  <c r="Q37" i="27" s="1"/>
  <c r="Q15" i="37" l="1"/>
  <c r="O16" i="37" s="1"/>
  <c r="Q10" i="27"/>
  <c r="Q42" i="37" l="1"/>
  <c r="D21" i="15"/>
  <c r="D20" i="15"/>
  <c r="D19" i="15"/>
  <c r="D17" i="15"/>
  <c r="D16" i="15"/>
  <c r="D15" i="15"/>
  <c r="D13" i="15"/>
  <c r="D12" i="15"/>
  <c r="D11" i="15"/>
  <c r="D9" i="15"/>
  <c r="D8" i="15"/>
  <c r="D7" i="15"/>
  <c r="S38" i="35"/>
  <c r="Q38" i="35"/>
  <c r="Q36" i="35"/>
  <c r="Q35" i="35"/>
  <c r="P5" i="35"/>
  <c r="Q11" i="35" s="1"/>
  <c r="S38" i="36"/>
  <c r="Q38" i="36"/>
  <c r="Q36" i="36"/>
  <c r="Q35" i="36"/>
  <c r="Q13" i="36"/>
  <c r="Q10" i="36"/>
  <c r="Q9" i="36"/>
  <c r="P5" i="36"/>
  <c r="O20" i="15" s="1"/>
  <c r="S38" i="33"/>
  <c r="Q38" i="33"/>
  <c r="Q36" i="33"/>
  <c r="Q35" i="33"/>
  <c r="P5" i="33"/>
  <c r="O5" i="32" a="1"/>
  <c r="S38" i="32"/>
  <c r="Q38" i="32"/>
  <c r="Q36" i="32"/>
  <c r="Q35" i="32"/>
  <c r="P5" i="32"/>
  <c r="S38" i="31"/>
  <c r="Q38" i="31"/>
  <c r="Q36" i="31"/>
  <c r="Q35" i="31"/>
  <c r="Q13" i="31"/>
  <c r="Q10" i="31"/>
  <c r="Q9" i="31"/>
  <c r="P5" i="31"/>
  <c r="Q11" i="31" s="1"/>
  <c r="S38" i="30"/>
  <c r="Q38" i="30"/>
  <c r="Q36" i="30"/>
  <c r="Q35" i="30"/>
  <c r="U35" i="27"/>
  <c r="O5" i="25" a="1"/>
  <c r="P5" i="30"/>
  <c r="S38" i="28"/>
  <c r="Q38" i="28"/>
  <c r="Q36" i="28"/>
  <c r="Q35" i="28"/>
  <c r="Q13" i="28"/>
  <c r="Q10" i="28"/>
  <c r="Q9" i="28"/>
  <c r="P5" i="28"/>
  <c r="O12" i="15" s="1"/>
  <c r="P5" i="27"/>
  <c r="S38" i="26"/>
  <c r="Q38" i="26"/>
  <c r="Q36" i="26"/>
  <c r="Q35" i="26"/>
  <c r="Q14" i="26"/>
  <c r="Q10" i="26"/>
  <c r="Q9" i="26"/>
  <c r="P5" i="26"/>
  <c r="O9" i="15" s="1"/>
  <c r="S38" i="25"/>
  <c r="Q38" i="25"/>
  <c r="Q36" i="25"/>
  <c r="Q35" i="25"/>
  <c r="Q13" i="25"/>
  <c r="Q10" i="25"/>
  <c r="Q9" i="25"/>
  <c r="P5" i="25"/>
  <c r="O8" i="15" s="1"/>
  <c r="S33" i="35"/>
  <c r="Q33" i="35"/>
  <c r="O5" i="35" a="1"/>
  <c r="S33" i="36"/>
  <c r="Q33" i="36"/>
  <c r="O5" i="36" a="1"/>
  <c r="S33" i="33"/>
  <c r="Q33" i="33"/>
  <c r="O5" i="33" a="1"/>
  <c r="S33" i="32"/>
  <c r="Q33" i="32"/>
  <c r="S33" i="31"/>
  <c r="Q33" i="31"/>
  <c r="O5" i="31" a="1"/>
  <c r="S33" i="30"/>
  <c r="Q33" i="30"/>
  <c r="O5" i="30" a="1"/>
  <c r="S33" i="28"/>
  <c r="Q33" i="28"/>
  <c r="O5" i="28" a="1"/>
  <c r="S33" i="27"/>
  <c r="Q33" i="27"/>
  <c r="O5" i="27" a="1"/>
  <c r="S33" i="26"/>
  <c r="Q33" i="26"/>
  <c r="O5" i="26" a="1"/>
  <c r="Q37" i="33" l="1"/>
  <c r="Q37" i="28"/>
  <c r="E10" i="2" s="1"/>
  <c r="I12" i="15" s="1"/>
  <c r="K12" i="15" s="1"/>
  <c r="Q37" i="25"/>
  <c r="E7" i="2" s="1"/>
  <c r="I8" i="15" s="1"/>
  <c r="K8" i="15" s="1"/>
  <c r="Q37" i="35"/>
  <c r="E17" i="2" s="1"/>
  <c r="I21" i="15" s="1"/>
  <c r="K21" i="15" s="1"/>
  <c r="Q37" i="26"/>
  <c r="E8" i="2" s="1"/>
  <c r="I9" i="15" s="1"/>
  <c r="K9" i="15" s="1"/>
  <c r="Q37" i="32"/>
  <c r="E14" i="2" s="1"/>
  <c r="I17" i="15" s="1"/>
  <c r="K17" i="15" s="1"/>
  <c r="Q37" i="36"/>
  <c r="E16" i="2" s="1"/>
  <c r="I20" i="15" s="1"/>
  <c r="K20" i="15" s="1"/>
  <c r="Q37" i="30"/>
  <c r="E12" i="2" s="1"/>
  <c r="I15" i="15" s="1"/>
  <c r="Q37" i="31"/>
  <c r="E13" i="2" s="1"/>
  <c r="I16" i="15" s="1"/>
  <c r="K16" i="15" s="1"/>
  <c r="U36" i="37"/>
  <c r="Q11" i="26"/>
  <c r="Q39" i="26"/>
  <c r="U38" i="35"/>
  <c r="Q39" i="32"/>
  <c r="S39" i="28"/>
  <c r="O11" i="15"/>
  <c r="Q11" i="27"/>
  <c r="U38" i="33"/>
  <c r="U38" i="36"/>
  <c r="U38" i="31"/>
  <c r="U38" i="27"/>
  <c r="U38" i="25"/>
  <c r="Q39" i="28"/>
  <c r="U38" i="28"/>
  <c r="U38" i="30"/>
  <c r="U38" i="26"/>
  <c r="U35" i="25"/>
  <c r="U38" i="32"/>
  <c r="Q11" i="36"/>
  <c r="O19" i="15"/>
  <c r="Q11" i="33"/>
  <c r="O17" i="15"/>
  <c r="Q11" i="32"/>
  <c r="U35" i="36"/>
  <c r="U35" i="31"/>
  <c r="U35" i="35"/>
  <c r="U35" i="33"/>
  <c r="U35" i="32"/>
  <c r="U35" i="28"/>
  <c r="U35" i="26"/>
  <c r="U35" i="30"/>
  <c r="S39" i="25"/>
  <c r="O15" i="15"/>
  <c r="Q11" i="30"/>
  <c r="O21" i="15"/>
  <c r="O16" i="15"/>
  <c r="Q11" i="28"/>
  <c r="Q11" i="25"/>
  <c r="E9" i="2"/>
  <c r="I11" i="15" s="1"/>
  <c r="Q39" i="35"/>
  <c r="Q39" i="36"/>
  <c r="S39" i="36"/>
  <c r="Q39" i="33"/>
  <c r="Q39" i="31"/>
  <c r="Q39" i="30"/>
  <c r="Q39" i="27"/>
  <c r="S39" i="27"/>
  <c r="Q39" i="25"/>
  <c r="S39" i="35"/>
  <c r="S39" i="33"/>
  <c r="S39" i="32"/>
  <c r="S39" i="31"/>
  <c r="S39" i="30"/>
  <c r="S39" i="26"/>
  <c r="K15" i="15" l="1"/>
  <c r="I18" i="15"/>
  <c r="K18" i="15" s="1"/>
  <c r="K11" i="15"/>
  <c r="I14" i="15"/>
  <c r="K14" i="15" s="1"/>
  <c r="E15" i="2"/>
  <c r="I19" i="15" s="1"/>
  <c r="U39" i="26"/>
  <c r="U37" i="37"/>
  <c r="U39" i="32"/>
  <c r="U39" i="28"/>
  <c r="U39" i="25"/>
  <c r="U39" i="35"/>
  <c r="U39" i="36"/>
  <c r="U39" i="33"/>
  <c r="U39" i="31"/>
  <c r="U39" i="27"/>
  <c r="U39" i="30"/>
  <c r="K19" i="15" l="1"/>
  <c r="I22" i="15"/>
  <c r="K22" i="15" s="1"/>
  <c r="S38" i="3"/>
  <c r="Q38" i="3"/>
  <c r="Q36" i="3"/>
  <c r="Q35" i="3"/>
  <c r="Q37" i="3" l="1"/>
  <c r="E6" i="2" s="1"/>
  <c r="I7" i="15" s="1"/>
  <c r="U38" i="3"/>
  <c r="U35" i="3"/>
  <c r="S39" i="3"/>
  <c r="Q39" i="3"/>
  <c r="K7" i="15" l="1"/>
  <c r="I10" i="15"/>
  <c r="U39" i="3"/>
  <c r="Q8" i="3"/>
  <c r="Q8" i="35"/>
  <c r="Q8" i="32"/>
  <c r="Q8" i="33"/>
  <c r="Q8" i="27"/>
  <c r="S9" i="27" s="1"/>
  <c r="Q8" i="30"/>
  <c r="S9" i="30" s="1"/>
  <c r="Q8" i="31"/>
  <c r="S9" i="31" s="1"/>
  <c r="Q8" i="25"/>
  <c r="Q8" i="36"/>
  <c r="Q8" i="28"/>
  <c r="Q8" i="26"/>
  <c r="Q13" i="26" s="1"/>
  <c r="K10" i="15" l="1"/>
  <c r="I23" i="15"/>
  <c r="K23" i="15" s="1"/>
  <c r="Q15" i="26"/>
  <c r="Q41" i="26"/>
  <c r="S9" i="3"/>
  <c r="Q13" i="27"/>
  <c r="D32" i="15" s="1"/>
  <c r="Q13" i="30"/>
  <c r="Q13" i="33"/>
  <c r="S9" i="33"/>
  <c r="S9" i="32"/>
  <c r="Q13" i="32"/>
  <c r="Q13" i="35"/>
  <c r="S9" i="35"/>
  <c r="Q12" i="31"/>
  <c r="S9" i="26"/>
  <c r="S9" i="36"/>
  <c r="Q12" i="36"/>
  <c r="Q12" i="28"/>
  <c r="S9" i="28"/>
  <c r="S9" i="25"/>
  <c r="D33" i="15" l="1"/>
  <c r="D35" i="15"/>
  <c r="F35" i="15" s="1"/>
  <c r="J35" i="15" s="1"/>
  <c r="D34" i="15"/>
  <c r="Q42" i="25"/>
  <c r="Q42" i="27"/>
  <c r="G32" i="15" s="1"/>
  <c r="Q42" i="26"/>
  <c r="Q15" i="27"/>
  <c r="F32" i="15" s="1"/>
  <c r="S40" i="30"/>
  <c r="S40" i="27"/>
  <c r="Q41" i="27"/>
  <c r="Q40" i="27"/>
  <c r="S41" i="27"/>
  <c r="S41" i="30"/>
  <c r="Q15" i="30"/>
  <c r="F33" i="15" s="1"/>
  <c r="S41" i="28"/>
  <c r="S40" i="28"/>
  <c r="Q41" i="28"/>
  <c r="Q40" i="28"/>
  <c r="Q40" i="30"/>
  <c r="Q15" i="35"/>
  <c r="O16" i="35" s="1"/>
  <c r="S40" i="35"/>
  <c r="Q41" i="35"/>
  <c r="S41" i="35"/>
  <c r="Q40" i="35"/>
  <c r="Q41" i="33"/>
  <c r="S40" i="33"/>
  <c r="S41" i="33"/>
  <c r="Q15" i="33"/>
  <c r="F34" i="15" s="1"/>
  <c r="Q40" i="33"/>
  <c r="Q41" i="30"/>
  <c r="S41" i="32"/>
  <c r="Q41" i="32"/>
  <c r="S40" i="32"/>
  <c r="Q15" i="32"/>
  <c r="O16" i="32" s="1"/>
  <c r="Q40" i="32"/>
  <c r="Q41" i="31"/>
  <c r="Q14" i="31"/>
  <c r="O15" i="31" s="1"/>
  <c r="Q40" i="31"/>
  <c r="S40" i="31"/>
  <c r="S41" i="31"/>
  <c r="Q40" i="26"/>
  <c r="O16" i="26"/>
  <c r="S40" i="26"/>
  <c r="S41" i="26"/>
  <c r="Q14" i="36"/>
  <c r="O15" i="36" s="1"/>
  <c r="S40" i="36"/>
  <c r="S41" i="36"/>
  <c r="Q41" i="36"/>
  <c r="Q40" i="36"/>
  <c r="Q14" i="28"/>
  <c r="O15" i="28" s="1"/>
  <c r="S41" i="25"/>
  <c r="Q41" i="25"/>
  <c r="Q40" i="25"/>
  <c r="Q14" i="25"/>
  <c r="O15" i="25" s="1"/>
  <c r="S40" i="25"/>
  <c r="H35" i="15" l="1"/>
  <c r="J32" i="15"/>
  <c r="H32" i="15"/>
  <c r="I32" i="15" s="1"/>
  <c r="J33" i="15"/>
  <c r="H33" i="15"/>
  <c r="J34" i="15"/>
  <c r="H34" i="15"/>
  <c r="O16" i="33"/>
  <c r="O16" i="27"/>
  <c r="O16" i="30"/>
  <c r="U40" i="31"/>
  <c r="U41" i="26"/>
  <c r="U40" i="26"/>
  <c r="L17" i="15"/>
  <c r="U40" i="32"/>
  <c r="M19" i="15"/>
  <c r="U41" i="33"/>
  <c r="L21" i="15"/>
  <c r="U40" i="35"/>
  <c r="M17" i="15"/>
  <c r="U41" i="32"/>
  <c r="L16" i="15"/>
  <c r="M12" i="15"/>
  <c r="U41" i="28"/>
  <c r="M21" i="15"/>
  <c r="U41" i="35"/>
  <c r="M16" i="15"/>
  <c r="U41" i="31"/>
  <c r="L20" i="15"/>
  <c r="U40" i="36"/>
  <c r="M20" i="15"/>
  <c r="U41" i="36"/>
  <c r="L12" i="15"/>
  <c r="U40" i="28"/>
  <c r="L15" i="15"/>
  <c r="U40" i="30"/>
  <c r="L11" i="15"/>
  <c r="U40" i="27"/>
  <c r="L19" i="15"/>
  <c r="U40" i="33"/>
  <c r="M11" i="15"/>
  <c r="U41" i="27"/>
  <c r="M15" i="15"/>
  <c r="U41" i="30"/>
  <c r="U36" i="27"/>
  <c r="U36" i="26"/>
  <c r="M8" i="15"/>
  <c r="U41" i="25"/>
  <c r="L8" i="15"/>
  <c r="U40" i="25"/>
  <c r="U36" i="25"/>
  <c r="M9" i="15"/>
  <c r="L9" i="15"/>
  <c r="C20" i="15"/>
  <c r="C21" i="15"/>
  <c r="C19" i="15"/>
  <c r="C16" i="15"/>
  <c r="C17" i="15"/>
  <c r="C15" i="15"/>
  <c r="C12" i="15"/>
  <c r="C13" i="15"/>
  <c r="C11" i="15"/>
  <c r="C8" i="15"/>
  <c r="C9" i="15"/>
  <c r="C7" i="15"/>
  <c r="D23" i="2" l="1"/>
  <c r="U37" i="27"/>
  <c r="U37" i="26"/>
  <c r="U37" i="25"/>
  <c r="E8" i="15"/>
  <c r="E11" i="15"/>
  <c r="E21" i="15"/>
  <c r="D22" i="15"/>
  <c r="E20" i="15"/>
  <c r="E17" i="15"/>
  <c r="D18" i="15"/>
  <c r="D14" i="15"/>
  <c r="C22" i="15"/>
  <c r="E19" i="15"/>
  <c r="C18" i="15"/>
  <c r="E16" i="15"/>
  <c r="E15" i="15"/>
  <c r="E13" i="15"/>
  <c r="E12" i="15"/>
  <c r="C14" i="15"/>
  <c r="E7" i="15"/>
  <c r="C10" i="15"/>
  <c r="E9" i="15"/>
  <c r="D10" i="15"/>
  <c r="E14" i="15" l="1"/>
  <c r="C23" i="15"/>
  <c r="E18" i="15"/>
  <c r="E22" i="15"/>
  <c r="E10" i="15"/>
  <c r="D23" i="15"/>
  <c r="Q42" i="28" l="1"/>
  <c r="Q42" i="33"/>
  <c r="G34" i="15" s="1"/>
  <c r="I34" i="15" s="1"/>
  <c r="Q42" i="32"/>
  <c r="Q42" i="31"/>
  <c r="Q42" i="35"/>
  <c r="G35" i="15" s="1"/>
  <c r="I35" i="15" s="1"/>
  <c r="Q42" i="30"/>
  <c r="G33" i="15" s="1"/>
  <c r="I33" i="15" s="1"/>
  <c r="Q42" i="36"/>
  <c r="D27" i="2"/>
  <c r="E23" i="15"/>
  <c r="O5" i="3" a="1"/>
  <c r="U36" i="35" l="1"/>
  <c r="U36" i="36"/>
  <c r="U36" i="33"/>
  <c r="U36" i="32"/>
  <c r="U36" i="31"/>
  <c r="U36" i="30"/>
  <c r="U36" i="28"/>
  <c r="P5" i="3"/>
  <c r="Q17" i="3" l="1"/>
  <c r="D26" i="2"/>
  <c r="D30" i="2"/>
  <c r="D29" i="2"/>
  <c r="D28" i="2"/>
  <c r="D31" i="2"/>
  <c r="D33" i="2"/>
  <c r="D32" i="2"/>
  <c r="O7" i="15"/>
  <c r="Q11" i="3"/>
  <c r="Q13" i="3" s="1"/>
  <c r="U37" i="35"/>
  <c r="U37" i="36"/>
  <c r="U37" i="33"/>
  <c r="U37" i="32"/>
  <c r="U37" i="31"/>
  <c r="U37" i="30"/>
  <c r="U37" i="28"/>
  <c r="O14" i="15"/>
  <c r="S36" i="3"/>
  <c r="S37" i="3" l="1"/>
  <c r="Q42" i="3"/>
  <c r="Q15" i="3"/>
  <c r="O16" i="3" s="1"/>
  <c r="S41" i="3"/>
  <c r="Q41" i="3"/>
  <c r="Q40" i="3"/>
  <c r="S40" i="3"/>
  <c r="O10" i="15"/>
  <c r="O18" i="15"/>
  <c r="O22" i="15"/>
  <c r="D22" i="2" l="1"/>
  <c r="U36" i="3"/>
  <c r="L7" i="15"/>
  <c r="U40" i="3"/>
  <c r="M7" i="15"/>
  <c r="U41" i="3"/>
  <c r="O23" i="15"/>
  <c r="U37" i="3" l="1"/>
  <c r="M18" i="15"/>
  <c r="M22" i="15"/>
  <c r="M10" i="15"/>
  <c r="L10" i="15"/>
  <c r="L18" i="15"/>
  <c r="L22" i="15"/>
  <c r="L14" i="15" l="1"/>
  <c r="L23" i="15" s="1"/>
  <c r="M14" i="15"/>
  <c r="M23" i="15" s="1"/>
  <c r="N15" i="15" l="1"/>
  <c r="Q5" i="30"/>
  <c r="N16" i="15"/>
  <c r="P16" i="15" s="1"/>
  <c r="Q5" i="31"/>
  <c r="N7" i="15"/>
  <c r="Q5" i="3"/>
  <c r="N17" i="15"/>
  <c r="P17" i="15" s="1"/>
  <c r="Q5" i="32"/>
  <c r="Q5" i="25"/>
  <c r="N8" i="15"/>
  <c r="P8" i="15" s="1"/>
  <c r="N19" i="15"/>
  <c r="Q5" i="33"/>
  <c r="N20" i="15"/>
  <c r="P20" i="15" s="1"/>
  <c r="Q5" i="36"/>
  <c r="Q5" i="26"/>
  <c r="N9" i="15"/>
  <c r="P9" i="15" s="1"/>
  <c r="N11" i="15"/>
  <c r="P11" i="15" s="1"/>
  <c r="Q5" i="27"/>
  <c r="N21" i="15"/>
  <c r="P21" i="15" s="1"/>
  <c r="Q5" i="35"/>
  <c r="N13" i="15"/>
  <c r="P13" i="15" s="1"/>
  <c r="Q5" i="37"/>
  <c r="N12" i="15"/>
  <c r="Q5" i="28"/>
  <c r="O6" i="32" l="1"/>
  <c r="R5" i="32"/>
  <c r="O6" i="3"/>
  <c r="R5" i="3"/>
  <c r="O6" i="35"/>
  <c r="R5" i="35"/>
  <c r="O6" i="37"/>
  <c r="R5" i="37"/>
  <c r="N10" i="15"/>
  <c r="P10" i="15" s="1"/>
  <c r="P7" i="15"/>
  <c r="O6" i="31"/>
  <c r="R5" i="31"/>
  <c r="N22" i="15"/>
  <c r="P22" i="15" s="1"/>
  <c r="P19" i="15"/>
  <c r="O6" i="30"/>
  <c r="R5" i="30"/>
  <c r="O6" i="26"/>
  <c r="R5" i="26"/>
  <c r="O6" i="36"/>
  <c r="R5" i="36"/>
  <c r="O6" i="33"/>
  <c r="R5" i="33"/>
  <c r="O6" i="27"/>
  <c r="R5" i="27"/>
  <c r="O6" i="25"/>
  <c r="R5" i="25"/>
  <c r="P15" i="15"/>
  <c r="N18" i="15"/>
  <c r="P18" i="15" s="1"/>
  <c r="O6" i="28"/>
  <c r="R5" i="28"/>
  <c r="P12" i="15"/>
  <c r="N14" i="15"/>
  <c r="P14" i="15" l="1"/>
  <c r="N23" i="15"/>
  <c r="P23" i="1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<sst xmlns="http://schemas.openxmlformats.org/spreadsheetml/2006/main" count="4570" uniqueCount="415">
  <si>
    <t>KV Gruppe</t>
  </si>
  <si>
    <t>Monatslohn</t>
  </si>
  <si>
    <t>BG1</t>
  </si>
  <si>
    <t>BG1_5</t>
  </si>
  <si>
    <t>BG1_10</t>
  </si>
  <si>
    <t>BG1_15</t>
  </si>
  <si>
    <t>BG2</t>
  </si>
  <si>
    <t>BG2_5</t>
  </si>
  <si>
    <t>BG2_10</t>
  </si>
  <si>
    <t>BG2_15</t>
  </si>
  <si>
    <t>BG3</t>
  </si>
  <si>
    <t>BG3_5</t>
  </si>
  <si>
    <t>BG3_10</t>
  </si>
  <si>
    <t>BG3_15</t>
  </si>
  <si>
    <t>URLAUB ABBAU</t>
  </si>
  <si>
    <t>MUSTERDIENSTPLAN STUNDEN</t>
  </si>
  <si>
    <t>NACHTZUSCHLÄGE</t>
  </si>
  <si>
    <t>SALES</t>
  </si>
  <si>
    <t>CREW LABOR</t>
  </si>
  <si>
    <t>CREW LABOR %</t>
  </si>
  <si>
    <t>GUEST COUNT</t>
  </si>
  <si>
    <t>monatlich/stunden</t>
  </si>
  <si>
    <t>monatlich/eurowert</t>
  </si>
  <si>
    <t>Jänner:</t>
  </si>
  <si>
    <t>Februar:</t>
  </si>
  <si>
    <t>Febuar:</t>
  </si>
  <si>
    <t>März:</t>
  </si>
  <si>
    <t>April:</t>
  </si>
  <si>
    <t>Mai:</t>
  </si>
  <si>
    <t>Juni:</t>
  </si>
  <si>
    <t>Juli:</t>
  </si>
  <si>
    <t>August:</t>
  </si>
  <si>
    <t>September:</t>
  </si>
  <si>
    <t>Oktober:</t>
  </si>
  <si>
    <t>November:</t>
  </si>
  <si>
    <t>Dezember:</t>
  </si>
  <si>
    <t>Projection/Aktuell Zahlen</t>
  </si>
  <si>
    <t>FEIERTAGSTUNDEN</t>
  </si>
  <si>
    <t>KRANKSTUNDEN</t>
  </si>
  <si>
    <t>Name</t>
  </si>
  <si>
    <t>Stunden</t>
  </si>
  <si>
    <t>Lohn</t>
  </si>
  <si>
    <t>Aktuelle Stunden</t>
  </si>
  <si>
    <t>Offene Urlaubstage</t>
  </si>
  <si>
    <t>Urlaub in €</t>
  </si>
  <si>
    <t>Letztes Gehalt</t>
  </si>
  <si>
    <t>Bemerkung</t>
  </si>
  <si>
    <t>U-Aufbau</t>
  </si>
  <si>
    <t>U-Abbau</t>
  </si>
  <si>
    <t>Diff.</t>
  </si>
  <si>
    <t>Diff. (€)</t>
  </si>
  <si>
    <t>2.</t>
  </si>
  <si>
    <t>3.</t>
  </si>
  <si>
    <t>4.</t>
  </si>
  <si>
    <t>5.</t>
  </si>
  <si>
    <t>6.</t>
  </si>
  <si>
    <t>Gesamt Crew Stunden:</t>
  </si>
  <si>
    <t>7.</t>
  </si>
  <si>
    <t>Krankstunden:</t>
  </si>
  <si>
    <t>8.</t>
  </si>
  <si>
    <t>Feiertagstunden:</t>
  </si>
  <si>
    <t>9.</t>
  </si>
  <si>
    <t>Urlaubsstunden:</t>
  </si>
  <si>
    <t>10.</t>
  </si>
  <si>
    <t>Vormonat +/- Stunden</t>
  </si>
  <si>
    <t>11.</t>
  </si>
  <si>
    <t>Verfügbare Stunden für DPL:</t>
  </si>
  <si>
    <t>12.</t>
  </si>
  <si>
    <t>Musterdienstplan Stunden:</t>
  </si>
  <si>
    <t>13.</t>
  </si>
  <si>
    <t>Stunden Differenz:</t>
  </si>
  <si>
    <t>14.</t>
  </si>
  <si>
    <t>15.</t>
  </si>
  <si>
    <t>Reine Laborcost:</t>
  </si>
  <si>
    <t>16.</t>
  </si>
  <si>
    <t>17.</t>
  </si>
  <si>
    <t>18.</t>
  </si>
  <si>
    <t>19.</t>
  </si>
  <si>
    <t>20.</t>
  </si>
  <si>
    <t>21.</t>
  </si>
  <si>
    <t>22.</t>
  </si>
  <si>
    <t>23.</t>
  </si>
  <si>
    <t>24.</t>
  </si>
  <si>
    <t>25.</t>
  </si>
  <si>
    <t>Die Zellen werden nicht mitkopiert.</t>
  </si>
  <si>
    <t>26.</t>
  </si>
  <si>
    <t>27.</t>
  </si>
  <si>
    <t>Nachtzuschlag:</t>
  </si>
  <si>
    <t>28.</t>
  </si>
  <si>
    <t>29.</t>
  </si>
  <si>
    <t>FLUKTUATION</t>
  </si>
  <si>
    <t>30.</t>
  </si>
  <si>
    <t>31.</t>
  </si>
  <si>
    <t>Budget</t>
  </si>
  <si>
    <t>Aktuell/Projection</t>
  </si>
  <si>
    <t>Differenz</t>
  </si>
  <si>
    <t>32.</t>
  </si>
  <si>
    <t>33.</t>
  </si>
  <si>
    <t>Sales</t>
  </si>
  <si>
    <t>34.</t>
  </si>
  <si>
    <t>Crew Labor Summe</t>
  </si>
  <si>
    <t>35.</t>
  </si>
  <si>
    <t>Crew Labor Prozent</t>
  </si>
  <si>
    <t>36.</t>
  </si>
  <si>
    <t>Guest Count (GC)</t>
  </si>
  <si>
    <t>37.</t>
  </si>
  <si>
    <t>Durchschnittverkauf (AVG)</t>
  </si>
  <si>
    <t>38.</t>
  </si>
  <si>
    <t>Sales Produktivität</t>
  </si>
  <si>
    <t>39.</t>
  </si>
  <si>
    <t>GC's Produktivität</t>
  </si>
  <si>
    <t>40.</t>
  </si>
  <si>
    <t>AVG Bruttolohn</t>
  </si>
  <si>
    <t>41.</t>
  </si>
  <si>
    <t>42.</t>
  </si>
  <si>
    <t>Wähle das Eintrittsdatum eines bestimmten Mitarbeiters aus, und du erfährst, seit wann er im Unternehmen tätig ist:</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</si>
  <si>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</si>
  <si>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</si>
  <si>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</si>
  <si>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</si>
  <si>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</si>
  <si>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</si>
  <si>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</si>
  <si>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</si>
  <si>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</si>
  <si>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</si>
  <si>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</si>
  <si>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</si>
  <si>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</si>
  <si>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</si>
  <si>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</si>
  <si>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</si>
  <si>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</si>
  <si>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</si>
  <si>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</si>
  <si>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</si>
  <si>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</si>
  <si>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</si>
  <si>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</si>
  <si>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</si>
  <si>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</si>
  <si>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</si>
  <si>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</si>
  <si>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</si>
  <si>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</si>
  <si>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</si>
  <si>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</si>
  <si>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</si>
  <si>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</si>
  <si>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</si>
  <si>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</si>
  <si>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</si>
  <si>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</si>
  <si>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</si>
  <si>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CREW LABOR SUMME</t>
  </si>
  <si>
    <t>CREW LABOR PROZENT</t>
  </si>
  <si>
    <t>PRODUKTIVITÄT SALES</t>
  </si>
  <si>
    <t>PRODUKTIVITÄT GC`S</t>
  </si>
  <si>
    <t>URLAUB</t>
  </si>
  <si>
    <t>BUDGET</t>
  </si>
  <si>
    <t>IST</t>
  </si>
  <si>
    <t>DIFFERENZ</t>
  </si>
  <si>
    <t>AUFBAU</t>
  </si>
  <si>
    <t>ABBAU</t>
  </si>
  <si>
    <t>Jänner</t>
  </si>
  <si>
    <t>Febuar</t>
  </si>
  <si>
    <t>März</t>
  </si>
  <si>
    <t>Q1</t>
  </si>
  <si>
    <t>April</t>
  </si>
  <si>
    <t>Mai</t>
  </si>
  <si>
    <t>Juni</t>
  </si>
  <si>
    <t>Q2</t>
  </si>
  <si>
    <t>Juli</t>
  </si>
  <si>
    <t>August</t>
  </si>
  <si>
    <t>September</t>
  </si>
  <si>
    <t>Q3</t>
  </si>
  <si>
    <t>Oktober</t>
  </si>
  <si>
    <t>November</t>
  </si>
  <si>
    <t>Dezember</t>
  </si>
  <si>
    <t>Q4</t>
  </si>
  <si>
    <t>Personal ID</t>
  </si>
  <si>
    <t>Eintritts-datum</t>
  </si>
  <si>
    <t>Austritts-datum</t>
  </si>
  <si>
    <t>Austrittsgrund</t>
  </si>
  <si>
    <t>Einvernehmliche Auflösung</t>
  </si>
  <si>
    <t>Karenz</t>
  </si>
  <si>
    <t>Dienstgeber Kündigung</t>
  </si>
  <si>
    <t>Gewicht</t>
  </si>
  <si>
    <t>Storetransfer</t>
  </si>
  <si>
    <t>Beförderung</t>
  </si>
  <si>
    <t>Nicht eingetreten</t>
  </si>
  <si>
    <t>Befristung Ende</t>
  </si>
  <si>
    <t>Probezeit beendet</t>
  </si>
  <si>
    <t>Berechtigter vorzeitiger Austritt</t>
  </si>
  <si>
    <t>Dienstnehmer Kündigung</t>
  </si>
  <si>
    <t>Unberechtigter vorzeitiger Austritt</t>
  </si>
  <si>
    <t>Sonstiges</t>
  </si>
  <si>
    <t>Betriebszugehörigkeit</t>
  </si>
  <si>
    <t>Faktor</t>
  </si>
  <si>
    <t>0-30 Tage</t>
  </si>
  <si>
    <t>31-90 Tage</t>
  </si>
  <si>
    <t>91-180 Tage</t>
  </si>
  <si>
    <t>181-365 Tage</t>
  </si>
  <si>
    <t>1-2 Jahre</t>
  </si>
  <si>
    <t>2-5 Jahre</t>
  </si>
  <si>
    <t>5+ Jahre</t>
  </si>
  <si>
    <t>Monat</t>
  </si>
  <si>
    <t>Eintrittsdatum</t>
  </si>
  <si>
    <t>Austrittsdatum</t>
  </si>
  <si>
    <t>Grund-Gewicht</t>
  </si>
  <si>
    <t>Zeit-Faktor</t>
  </si>
  <si>
    <t>Kategorie</t>
  </si>
  <si>
    <t>Austritte gesamt</t>
  </si>
  <si>
    <t>Tage im Unternehmen</t>
  </si>
  <si>
    <t>Verlust-Score</t>
  </si>
  <si>
    <t>Verlust erfahrener Mitarbeiter</t>
  </si>
  <si>
    <t>Wichtige Austritte</t>
  </si>
  <si>
    <t>Neutrale Bewegung</t>
  </si>
  <si>
    <t>Austritte</t>
  </si>
  <si>
    <t>Austritt in den ersten 90 Tagen</t>
  </si>
  <si>
    <t>Wichtiger Austritt</t>
  </si>
  <si>
    <t>Aktuelle Jahresfluktuation</t>
  </si>
  <si>
    <t>Fluktuation %</t>
  </si>
  <si>
    <t>Zeigt die Fluktuation vom Jahresbeginn bis zum aktuellen Auswertungsmonat. Der Wert wird nicht auf das ganze Jahr hochgerechnet.</t>
  </si>
  <si>
    <t>KNEISSL Erna</t>
  </si>
  <si>
    <t>SUN Sovanmealy</t>
  </si>
  <si>
    <t>PHOO-IN Sunari</t>
  </si>
  <si>
    <t>DELIC Snjezana</t>
  </si>
  <si>
    <t>NOU Satyaroth</t>
  </si>
  <si>
    <t>PRAHER Meraflor</t>
  </si>
  <si>
    <t>SAHBAZ Refika</t>
  </si>
  <si>
    <t>MINEVA Kremena</t>
  </si>
  <si>
    <t>MATEI Elena</t>
  </si>
  <si>
    <t>HEGEDUS Nikolett</t>
  </si>
  <si>
    <t>MOISA Marian</t>
  </si>
  <si>
    <t>SENG Dalin</t>
  </si>
  <si>
    <t>MILETIC Nikolina</t>
  </si>
  <si>
    <t>PAIOR Imre-Oliver</t>
  </si>
  <si>
    <t>DUCA Melinda</t>
  </si>
  <si>
    <t>DJEKANOVIC Obrenka</t>
  </si>
  <si>
    <t>SAFI Najeeb</t>
  </si>
  <si>
    <t>JUNDANG Akson</t>
  </si>
  <si>
    <t>TURSUNOVIC Dzemila</t>
  </si>
  <si>
    <t>AL ALI Yaser</t>
  </si>
  <si>
    <t>PATAKI Barbara</t>
  </si>
  <si>
    <t>CORIC Marko</t>
  </si>
  <si>
    <t>SALAMON Jozsefne</t>
  </si>
  <si>
    <t>DECSI Ferenc</t>
  </si>
  <si>
    <t>SALA Dorina-Daniela</t>
  </si>
  <si>
    <t>TINCA Alexandra</t>
  </si>
  <si>
    <t>SZABO Greta</t>
  </si>
  <si>
    <t>SAFI Fahim</t>
  </si>
  <si>
    <t>ALIPOUR Mohsen</t>
  </si>
  <si>
    <t>ZDRENDEA Mariana-Rodica</t>
  </si>
  <si>
    <t>SHEGIWAL Mosawir</t>
  </si>
  <si>
    <t>VOJNIKOVIC Alma</t>
  </si>
  <si>
    <t>ALALI ALSHEKH Jawad</t>
  </si>
  <si>
    <t>NIYAZI Faisal</t>
  </si>
  <si>
    <t>HOVHANNISYAN Tigran</t>
  </si>
  <si>
    <t>KHAN Imran</t>
  </si>
  <si>
    <t>JMO Mohammed</t>
  </si>
  <si>
    <t>PUTRO Arian</t>
  </si>
  <si>
    <t>PUTRO Majlinda</t>
  </si>
  <si>
    <t>VAJGEL Alexandra</t>
  </si>
  <si>
    <t>SAFI Sharafat</t>
  </si>
  <si>
    <t>KHALEQYAR Faisal</t>
  </si>
  <si>
    <t>ADAMEK Mischelle</t>
  </si>
  <si>
    <t>TURGUT Zehra</t>
  </si>
  <si>
    <t>SHAJU Aneeta</t>
  </si>
  <si>
    <t>PATTIKKADAN Swalih</t>
  </si>
  <si>
    <t>AHANIAN Taron</t>
  </si>
  <si>
    <t>YARI Rahmatullah</t>
  </si>
  <si>
    <t>RAUFI Saberullah</t>
  </si>
  <si>
    <t>SAFIZADEH Parwan</t>
  </si>
  <si>
    <t>PANAGIOTIDOU Sousanna</t>
  </si>
  <si>
    <t>Durchschnittlicher Verlust-Score</t>
  </si>
  <si>
    <t>Durchschnitt</t>
  </si>
  <si>
    <t>Januar</t>
  </si>
  <si>
    <t>Normaler Austritt</t>
  </si>
  <si>
    <t>Austritt vorhanden, aktuell nicht kritisch. Entwicklung beobachten.</t>
  </si>
  <si>
    <t>KV-SCHEMA PFLEGE</t>
  </si>
  <si>
    <t>Basis / bis 5 Jahre</t>
  </si>
  <si>
    <t>5 bis 10 Jahre</t>
  </si>
  <si>
    <t>10 bis 15 Jahre</t>
  </si>
  <si>
    <t>über 15 Jahre</t>
  </si>
  <si>
    <t>KV-Periode</t>
  </si>
  <si>
    <t>KV-Gruppe</t>
  </si>
  <si>
    <t>Monatsstunden</t>
  </si>
  <si>
    <t>Status</t>
  </si>
  <si>
    <t>KV-Code</t>
  </si>
  <si>
    <t>BG1_Basis</t>
  </si>
  <si>
    <t>BG2_Basis</t>
  </si>
  <si>
    <t>BG3_Basis</t>
  </si>
  <si>
    <t>KV 2025/2026</t>
  </si>
  <si>
    <t>Monats-Hinweis</t>
  </si>
  <si>
    <t>teszt karcsi</t>
  </si>
  <si>
    <t>asd</t>
  </si>
  <si>
    <t>Erste 90 Tage</t>
  </si>
  <si>
    <t>Rigo Janos</t>
  </si>
  <si>
    <t>Aprilisban Jottem</t>
  </si>
  <si>
    <t>Majus Mate</t>
  </si>
  <si>
    <t>Vadiuj Test</t>
  </si>
  <si>
    <t>Marika</t>
  </si>
  <si>
    <t>Janoska</t>
  </si>
  <si>
    <t>Ferike</t>
  </si>
  <si>
    <t>Janika</t>
  </si>
  <si>
    <t>GERGO</t>
  </si>
  <si>
    <t>Year</t>
  </si>
  <si>
    <t>Month</t>
  </si>
  <si>
    <t>EmployeeKey</t>
  </si>
  <si>
    <t>Field</t>
  </si>
  <si>
    <t>Value</t>
  </si>
  <si>
    <t>Agika</t>
  </si>
  <si>
    <t>Pityuka</t>
  </si>
  <si>
    <t>Februar</t>
  </si>
  <si>
    <t>AKTUELLES JAHR</t>
  </si>
  <si>
    <t>F</t>
  </si>
  <si>
    <t>Jahr</t>
  </si>
  <si>
    <t>Stand</t>
  </si>
  <si>
    <t>Auf einen Blick</t>
  </si>
  <si>
    <t>Jahresfluktuation</t>
  </si>
  <si>
    <t>Kritische Austritte</t>
  </si>
  <si>
    <t>Daten offen</t>
  </si>
  <si>
    <t>Nr.</t>
  </si>
  <si>
    <t>Problem</t>
  </si>
  <si>
    <t>Wo nachschauen</t>
  </si>
  <si>
    <t>Empfehlungen</t>
  </si>
  <si>
    <t>Anzahl</t>
  </si>
  <si>
    <t>Normal</t>
  </si>
  <si>
    <t>Diagramme</t>
  </si>
  <si>
    <t>Zeitraum</t>
  </si>
  <si>
    <t>Mai-Jun-Jul</t>
  </si>
  <si>
    <t>Aug-Sep-Okt</t>
  </si>
  <si>
    <t>Neutrale Bewegungen</t>
  </si>
  <si>
    <t>Karenz (1)</t>
  </si>
  <si>
    <t>Nur neutrale Bewegungen. Kein direkter Handlungsbedarf.</t>
  </si>
  <si>
    <t>Neutral</t>
  </si>
  <si>
    <t>Endmonat</t>
  </si>
  <si>
    <t>Muster</t>
  </si>
  <si>
    <t>Lohn/h</t>
  </si>
  <si>
    <t>Std</t>
  </si>
  <si>
    <t>EUR</t>
  </si>
  <si>
    <t>Status / Hinweis</t>
  </si>
  <si>
    <t>Jänner Verfügbar Plan (nächstes Jahr):</t>
  </si>
  <si>
    <t>Jänner Muster Plan (nächstes Jahr):</t>
  </si>
  <si>
    <t>Verfügbar</t>
  </si>
  <si>
    <t>Feb-Mär-Apr</t>
  </si>
  <si>
    <t>Nov-Dez-Jän</t>
  </si>
  <si>
    <t>Jän (Plan)</t>
  </si>
  <si>
    <t>Überstunden EUR = Überstunden Std x AVG Lohn/h x 1,5 (Spalte G aus Schlussmonat Q42). Nur bei negativem Schluss (rote Differenz). Positive Differenz = Reserve ohne EUR-Kosten.</t>
  </si>
  <si>
    <t>EINSTELLUNG - Zentrale Konfiguration</t>
  </si>
  <si>
    <t>Jede Zeile = 3 Monate bis zum Schlussmonat. Differenz rot = zu wenig Stunden (Überstunden-Risiko), gelb = Reserve. Überstunden-EUR nutzt den AVG Bruttolohn/h aus dem Schlussmonat (Monatsblatt Q42). Nur Jänner-Plan (nächstes Jahr) sind die weissen Felder (E30, I30) manuell editierbar.</t>
  </si>
  <si>
    <t>Gültig ab</t>
  </si>
  <si>
    <t>Gültig bis</t>
  </si>
  <si>
    <t>Beschäftigungsdauer</t>
  </si>
  <si>
    <t>Prüfung</t>
  </si>
  <si>
    <t>KV 2025/2026   |   gültig von 01.05.2025 bis 30.04.2026</t>
  </si>
  <si>
    <t>800000|PITYUKA</t>
  </si>
  <si>
    <t xml:space="preserve">Asadadad </t>
  </si>
  <si>
    <t>asdasd</t>
  </si>
  <si>
    <t>Fluktuation - Übersicht für die Restaurantleitung</t>
  </si>
  <si>
    <t>Sofort prüfen</t>
  </si>
  <si>
    <t>Nächster Schritt</t>
  </si>
  <si>
    <t>Monat Februar, Name: GERGO, Grund: Einvernehmliche Auflösung</t>
  </si>
  <si>
    <t>Onboarding, Training und erste Dienstpläne für neue Mitarbeiter prüfen.</t>
  </si>
  <si>
    <t>Monat März, Name: PANAGIOTIDOU Sousanna, Grund: Dienstnehmer Kündigung</t>
  </si>
  <si>
    <t>Monat Mai, Name: SHEGIWAL Mosawir, Grund: Dienstnehmer Kündigung</t>
  </si>
  <si>
    <t>Austrittsgrund und Teamsituation mit der Führung besprechen.</t>
  </si>
  <si>
    <t>Erste 90 Tage stärken: Recruiting, Einarbeitung, Buddy-System, Training und die ersten Dienstpläne gezielt verbessern.</t>
  </si>
  <si>
    <t>Wichtige Austritte analysieren: Austrittsgrund, Arbeitsklima, Kommunikation und Führung im betroffenen Bereich besprechen.</t>
  </si>
  <si>
    <t>Monatsübersicht im Detail</t>
  </si>
  <si>
    <t>Austrittsgründe</t>
  </si>
  <si>
    <t>Dienstgeber Kündigung (1)</t>
  </si>
  <si>
    <t>Einvernehmliche Auflösung (1)</t>
  </si>
  <si>
    <t>Austritt in den ersten 90 Tagen. Onboarding, Training und erste Dienstpläne prüfen.</t>
  </si>
  <si>
    <t>Wichtiger Austritt. Arbeitsklima, Führung und Kommunikation prüfen.</t>
  </si>
  <si>
    <t>Kurz erklärt</t>
  </si>
  <si>
    <t>Der Verlust-Score zeigt, wie schwer ein Austritt für das Restaurant bewertet wird. Er besteht aus Austrittsgrund und Dauer der Betriebszugehörigkeit.</t>
  </si>
  <si>
    <t>Durchschnittlicher Verlust-Score pro Austritt. Je höher der Wert, desto schwerer wiegen die Austritte im Durchschnitt.</t>
  </si>
  <si>
    <t>Ein Austritt kurz nach Eintritt. Das kann auf Recruiting, Onboarding, Training oder erste Dienstpläne hinweisen.</t>
  </si>
  <si>
    <t>Ein erfahrener Mitarbeiter verlässt das Restaurant. Das bedeutet meist Wissensverlust, Stabilitätsverlust und höheren Nachbesetzungsaufwand.</t>
  </si>
  <si>
    <t>Ein Austritt mit erhöhtem Verlust-Score. Die Bewertung entsteht automatisch aus Austrittsgrund und Betriebszugehörigkeit.</t>
  </si>
  <si>
    <t>Storetransfer, Beförderung, Karenz oder Nicht eingetreten werden nicht negativ bewertet.</t>
  </si>
  <si>
    <t>Unvollständiger Austritt</t>
  </si>
  <si>
    <t>Der Austrittsgrund fehlt oder ist unbekannt. Diese Austritte müssen geprüft und ergänzt werden.</t>
  </si>
  <si>
    <t>a</t>
  </si>
  <si>
    <t>Erfahrener Mitarbeiter ausgeschieden</t>
  </si>
  <si>
    <t>Exit-Gespräch auswerten, Wissensübergabe und Nachbesetzung planen.</t>
  </si>
  <si>
    <t>Erfahrene Mitarbeiter halten: Exit-Gespräche auswerten, Entwicklungsgespräche planen, Schichtplanung und Führung im Team prüfen.</t>
  </si>
  <si>
    <t>Erfahrene MA</t>
  </si>
  <si>
    <t>Dienstnehmer Kündigung (1), Dienstgeber Kündigung (1)</t>
  </si>
  <si>
    <t>Erfahrener Mitarbeiter ausgeschieden. Mitarbeiterbindung und Teamstabilität prüfen.</t>
  </si>
  <si>
    <t>Gesamt</t>
  </si>
  <si>
    <t>Unberechtigter vorzeitiger Austritt (1)</t>
  </si>
  <si>
    <t>© Adam Nagy · McOpCo · Personalsheet 2026</t>
  </si>
  <si>
    <t>Kritisch</t>
  </si>
  <si>
    <t>Monat Juli, Name: PAIOR Imre-Oliver, Grund: Unberechtigter vorzeitiger Austritt</t>
  </si>
  <si>
    <t>Verlust-Score senken: Häufige Austrittsgründe sammeln und konkrete Maßnahmen zur Mitarbeiterbindung ableiten.</t>
  </si>
  <si>
    <t>ja</t>
  </si>
  <si>
    <t>Monat Januar, Name: ja, Grund: Dienstnehmer Kündigung</t>
  </si>
  <si>
    <t>Fluktuation beobachten: Die bisherige Jahresfluktuation liegt über 8 Prozent. Personalplanung und Nachbesetzungen frühzeitig abstimmen.</t>
  </si>
  <si>
    <t>1.</t>
  </si>
  <si>
    <t>PID_EIGEN</t>
  </si>
  <si>
    <t>KV 2026/2027</t>
  </si>
  <si>
    <t>KV 2026/2027   |   gültig von 01.05.2026 bis 30.04.2027</t>
  </si>
  <si>
    <t>Monat April, Name: MOISA Marian, Grund: Einvernehmliche Auflösung</t>
  </si>
  <si>
    <t>SAHBAZ Refikas</t>
  </si>
  <si>
    <t>Piros Paprika</t>
  </si>
  <si>
    <t>Betriebszugehörigkeit: 9 Jahre und 8 Monate</t>
  </si>
  <si>
    <t>Personalsheet â€” Admin</t>
  </si>
  <si>
    <t>Alt+F8 â†’ PID_ToggleAdminSheet  |  Nur Entwickler / Release</t>
  </si>
  <si>
    <t>Jahr:</t>
  </si>
  <si>
    <t>Excel:</t>
  </si>
  <si>
    <t>Die Fluktuation ist kritisch. Es gibt 10 Austritte, davon 5 mit erhöhtem Risiko. Verlust-Score: 8,95. Sofort Maßnahmen prüfen.</t>
  </si>
  <si>
    <t>18.06.2026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</si>
</sst>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64" formatCode="_(* #,##0.00_);_(* \(#,##0.00\);_(* &quot;-&quot;??_);_(@_)"/>
    <numFmt numFmtId="165" formatCode="_(&quot;€&quot;* #,##0.00_);_(&quot;€&quot;* \(#,##0.00\);_(&quot;€&quot;* &quot;-&quot;??_);_(@_)"/>
    <numFmt numFmtId="166" formatCode="&quot;€&quot;\ #,##0.00"/>
    <numFmt numFmtId="167" formatCode="#,##0.00\ &quot;€&quot;"/>
    <numFmt numFmtId="168" formatCode="dd/mm/yyyy;@"/>
    <numFmt numFmtId="169" formatCode="dd\.mm\.yyyy"/>
    <numFmt numFmtId="170" formatCode="&quot;€&quot;\ #,##0.00;\-&quot;€&quot;\ #,##0.00;;@"/>
  </numFmts>
  <fonts count="62">
    <font>
      <sz val="11"/>
      <color theme="1"/>
      <name val="Calibri"/>
      <family val="2"/>
      <scheme val="minor"/>
    </font>
    <font>
      <sz val="12"/>
      <color theme="1"/>
      <name val="Calibri"/>
      <family val="2"/>
      <scheme val="minor"/>
    </font>
    <font>
      <b/>
      <sz val="11"/>
      <color theme="1"/>
      <name val="Calibri"/>
      <family val="2"/>
      <scheme val="minor"/>
    </font>
    <font>
      <sz val="11"/>
      <color theme="1"/>
      <name val="Speedee"/>
      <family val="2"/>
    </font>
    <font>
      <b/>
      <sz val="11"/>
      <color theme="1"/>
      <name val="Speedee"/>
      <family val="2"/>
    </font>
    <font>
      <b/>
      <sz val="12"/>
      <color theme="1"/>
      <name val="Speedee"/>
      <family val="2"/>
    </font>
    <font>
      <i/>
      <sz val="11"/>
      <color theme="1"/>
      <name val="Speedee"/>
      <family val="2"/>
    </font>
    <font>
      <b/>
      <sz val="20"/>
      <color theme="1"/>
      <name val="Speedee"/>
      <family val="2"/>
    </font>
    <font>
      <b/>
      <i/>
      <sz val="12"/>
      <color theme="1"/>
      <name val="Calibri"/>
      <family val="2"/>
      <scheme val="minor"/>
    </font>
    <font>
      <sz val="8"/>
      <name val="Calibri"/>
      <family val="2"/>
      <scheme val="minor"/>
    </font>
    <font>
      <b/>
      <i/>
      <sz val="11"/>
      <color rgb="FFFF0000"/>
      <name val="Calibri"/>
      <family val="2"/>
      <scheme val="minor"/>
    </font>
    <font>
      <sz val="10"/>
      <name val="Arial"/>
      <family val="2"/>
    </font>
    <font>
      <b/>
      <sz val="11"/>
      <color rgb="FF000000"/>
      <name val="Speedee"/>
      <family val="2"/>
    </font>
    <font>
      <sz val="11"/>
      <color theme="0"/>
      <name val="Speedee"/>
      <family val="2"/>
    </font>
    <font>
      <sz val="11"/>
      <color theme="5"/>
      <name val="Calibri"/>
      <family val="2"/>
      <scheme val="minor"/>
    </font>
    <font>
      <sz val="8"/>
      <color theme="0" tint="-0.249977111117893"/>
      <name val="Calibri"/>
      <family val="2"/>
      <scheme val="minor"/>
    </font>
    <font>
      <sz val="8"/>
      <color theme="0" tint="-0.249977111117893"/>
      <name val="Speedee"/>
      <family val="2"/>
    </font>
    <font>
      <sz val="11"/>
      <color rgb="FF000000"/>
      <name val="Calibri"/>
      <family val="2"/>
      <scheme val="minor"/>
    </font>
    <font>
      <b/>
      <sz val="13"/>
      <color rgb="FF000000"/>
      <name val="Calibri"/>
      <family val="2"/>
      <scheme val="minor"/>
    </font>
    <font>
      <sz val="10"/>
      <color theme="1"/>
      <name val="Arial"/>
      <family val="2"/>
    </font>
    <font>
      <sz val="11"/>
      <color rgb="FF000000"/>
      <name val="Speedee"/>
    </font>
    <font>
      <b/>
      <sz val="11"/>
      <color theme="1"/>
      <name val="Speedee"/>
    </font>
    <font>
      <b/>
      <sz val="13"/>
      <color rgb="FFFFFFFF"/>
      <name val="Speedee"/>
    </font>
    <font>
      <i/>
      <sz val="9"/>
      <color rgb="FF595959"/>
      <name val="Speedee"/>
    </font>
    <font>
      <b/>
      <sz val="10"/>
      <color rgb="FF1F4E79"/>
      <name val="Speedee"/>
    </font>
    <font>
      <b/>
      <sz val="13"/>
      <color rgb="FFFFFFFF"/>
      <name val="Calibri"/>
      <family val="2"/>
      <scheme val="minor"/>
    </font>
    <font>
      <sz val="11"/>
      <color rgb="FF1F4E79"/>
      <name val="Calibri"/>
      <family val="2"/>
      <scheme val="minor"/>
    </font>
    <font>
      <b/>
      <sz val="10"/>
      <color rgb="FF1F4E79"/>
      <name val="Calibri"/>
      <family val="2"/>
      <scheme val="minor"/>
    </font>
    <font>
      <sz val="10"/>
      <color rgb="FF1F4E79"/>
      <name val="Calibri"/>
      <family val="2"/>
      <scheme val="minor"/>
    </font>
    <font>
      <sz val="10"/>
      <color rgb="FF000000"/>
      <name val="Calibri"/>
      <family val="2"/>
      <scheme val="minor"/>
    </font>
    <font>
      <b/>
      <sz val="13"/>
      <color rgb="FFFFFFFF"/>
      <name val="Calibri"/>
      <family val="2"/>
    </font>
    <font>
      <b/>
      <sz val="10"/>
      <color rgb="FF1F4E79"/>
      <name val="Calibri"/>
      <family val="2"/>
    </font>
    <font>
      <sz val="10"/>
      <color rgb="FF000000"/>
      <name val="Calibri"/>
      <family val="2"/>
    </font>
    <font>
      <b/>
      <sz val="9"/>
      <color rgb="FF1F4E79"/>
      <name val="Calibri"/>
      <family val="2"/>
      <scheme val="minor"/>
    </font>
    <font>
      <b/>
      <i/>
      <sz val="9"/>
      <color rgb="FF1F4E79"/>
      <name val="Calibri"/>
      <family val="2"/>
      <scheme val="minor"/>
    </font>
    <font>
      <b/>
      <sz val="9"/>
      <color rgb="FF1F4E79"/>
      <name val="Speedee"/>
    </font>
    <font>
      <sz val="10"/>
      <color rgb="FF2C3E50"/>
      <name val="Calibri"/>
      <family val="2"/>
    </font>
    <font>
      <b/>
      <sz val="13"/>
      <color rgb="FFFFFFFF"/>
      <name val="Arial"/>
      <family val="2"/>
    </font>
    <font>
      <sz val="12"/>
      <color rgb="FF000000"/>
      <name val="Speedee"/>
    </font>
    <font>
      <i/>
      <sz val="12"/>
      <color rgb="FF000000"/>
      <name val="Speedee"/>
    </font>
    <font>
      <i/>
      <sz val="11"/>
      <color rgb="FF000000"/>
      <name val="Speedee"/>
    </font>
    <font>
      <sz val="11"/>
      <color rgb="FF1F4E79"/>
      <name val="Speedee"/>
    </font>
    <font>
      <b/>
      <i/>
      <sz val="11"/>
      <color rgb="FF1F4E79"/>
      <name val="Speedee"/>
    </font>
    <font>
      <sz val="9"/>
      <color rgb="FF1F4E79"/>
      <name val="Speedee"/>
    </font>
    <font>
      <b/>
      <sz val="10"/>
      <color rgb="FF1F4E79"/>
      <name val="Arial"/>
      <family val="2"/>
    </font>
    <font>
      <sz val="7"/>
      <color rgb="FF6E8094"/>
      <name val="Calibri"/>
      <family val="2"/>
    </font>
    <font>
      <sz val="8"/>
      <color rgb="FF6E8094"/>
      <name val="Calibri"/>
      <family val="2"/>
    </font>
    <font>
      <b/>
      <sz val="11"/>
      <color rgb="FF9C0006"/>
      <name val="Calibri"/>
      <family val="2"/>
      <scheme val="minor"/>
    </font>
    <font>
      <sz val="10"/>
      <color rgb="FF1F4E79"/>
      <name val="Arial"/>
      <family val="2"/>
    </font>
    <font>
      <b/>
      <sz val="11"/>
      <color rgb="FF1F4E79"/>
      <name val="Speedee"/>
    </font>
    <font>
      <sz val="9"/>
      <color rgb="FF000000"/>
      <name val="Speedee"/>
    </font>
    <font>
      <sz val="8"/>
      <color rgb="FF000000"/>
      <name val="Speedee"/>
    </font>
    <font>
      <i/>
      <sz val="10"/>
      <color rgb="FF000000"/>
      <name val="Speedee"/>
    </font>
    <font>
      <sz val="10"/>
      <color rgb="FF000000"/>
      <name val="Speedee"/>
    </font>
    <font>
      <b/>
      <sz val="8"/>
      <color rgb="FF595959"/>
      <name val="Speedee"/>
    </font>
    <font>
      <b/>
      <sz val="9"/>
      <color rgb="FFDDEBF7"/>
      <name val="Speedee"/>
    </font>
    <font>
      <b/>
      <sz val="16"/>
      <color rgb="FF1F3864"/>
      <name val="Calibri"/>
      <family val="2"/>
      <scheme val="minor"/>
    </font>
    <font>
      <sz val="9"/>
      <color rgb="FF5A6C7D"/>
      <name val="Calibri"/>
      <family val="2"/>
      <scheme val="minor"/>
    </font>
    <font>
      <sz val="9"/>
      <color rgb="FF465569"/>
      <name val="Calibri"/>
      <family val="2"/>
      <scheme val="minor"/>
    </font>
    <font>
      <b/>
      <sz val="11"/>
      <color rgb="FF1F3864"/>
      <name val="Calibri"/>
      <family val="2"/>
      <scheme val="minor"/>
    </font>
    <font>
      <sz val="11"/>
      <color rgb="FF5A6C7D"/>
      <name val="Calibri"/>
      <family val="2"/>
      <scheme val="minor"/>
    </font>
    <font>
      <sz val="8"/>
      <color rgb="FF6E8094"/>
      <name val="Calibri"/>
      <family val="2"/>
      <scheme val="minor"/>
    </font>
  </fonts>
  <fills count="11">
    <fill>
      <patternFill patternType="none"/>
    </fill>
    <fill>
      <patternFill patternType="gray125"/>
    </fill>
    <fill>
      <patternFill patternType="solid">
        <fgColor rgb="FFFFFFFF"/>
        <bgColor indexed="64"/>
      </patternFill>
    </fill>
    <fill>
      <patternFill patternType="solid">
        <fgColor theme="0"/>
        <bgColor indexed="64"/>
      </patternFill>
    </fill>
    <fill>
      <patternFill patternType="solid">
        <fgColor rgb="FFDDEBF7"/>
        <bgColor indexed="64"/>
      </patternFill>
    </fill>
    <fill>
      <patternFill patternType="solid">
        <fgColor rgb="FF1F4E79"/>
        <bgColor indexed="64"/>
      </patternFill>
    </fill>
    <fill>
      <patternFill patternType="solid">
        <fgColor rgb="FFF2F2F2"/>
        <bgColor indexed="64"/>
      </patternFill>
    </fill>
    <fill>
      <patternFill patternType="solid">
        <fgColor rgb="FFFFF2CC"/>
        <bgColor indexed="64"/>
      </patternFill>
    </fill>
    <fill>
      <patternFill patternType="solid">
        <fgColor rgb="FFF8F8F8"/>
        <bgColor indexed="64"/>
      </patternFill>
    </fill>
    <fill>
      <patternFill patternType="solid">
        <fgColor rgb="FFF5F5F5"/>
        <bgColor indexed="64"/>
      </patternFill>
    </fill>
    <fill>
      <patternFill patternType="solid">
        <fgColor rgb="FFFFC7CE"/>
        <bgColor indexed="64"/>
      </patternFill>
    </fill>
  </fills>
  <borders count="69">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diagonal/>
    </border>
    <border>
      <left style="thin">
        <color indexed="64"/>
      </left>
      <right/>
      <top style="thin">
        <color indexed="64"/>
      </top>
      <bottom/>
      <diagonal/>
    </border>
    <border>
      <left/>
      <right/>
      <top/>
      <bottom style="thin">
        <color indexed="64"/>
      </bottom>
      <diagonal/>
    </border>
    <border>
      <left/>
      <right/>
      <top style="thin">
        <color indexed="64"/>
      </top>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medium">
        <color rgb="FF1F4E79"/>
      </left>
      <right/>
      <top/>
      <bottom/>
      <diagonal/>
    </border>
    <border>
      <left/>
      <right style="medium">
        <color rgb="FF1F4E79"/>
      </right>
      <top/>
      <bottom/>
      <diagonal/>
    </border>
    <border>
      <left style="medium">
        <color rgb="FF1F4E79"/>
      </left>
      <right/>
      <top style="medium">
        <color rgb="FF1F4E79"/>
      </top>
      <bottom/>
      <diagonal/>
    </border>
    <border>
      <left/>
      <right/>
      <top style="medium">
        <color rgb="FF1F4E79"/>
      </top>
      <bottom/>
      <diagonal/>
    </border>
    <border>
      <left/>
      <right style="medium">
        <color rgb="FF1F4E79"/>
      </right>
      <top style="medium">
        <color rgb="FF1F4E79"/>
      </top>
      <bottom/>
      <diagonal/>
    </border>
    <border>
      <left style="medium">
        <color rgb="FF1F4E79"/>
      </left>
      <right/>
      <top/>
      <bottom style="medium">
        <color rgb="FF1F4E79"/>
      </bottom>
      <diagonal/>
    </border>
    <border>
      <left/>
      <right/>
      <top/>
      <bottom style="medium">
        <color rgb="FF1F4E79"/>
      </bottom>
      <diagonal/>
    </border>
    <border>
      <left/>
      <right style="medium">
        <color rgb="FF1F4E79"/>
      </right>
      <top/>
      <bottom style="medium">
        <color rgb="FF1F4E79"/>
      </bottom>
      <diagonal/>
    </border>
    <border>
      <left style="medium">
        <color rgb="FFFFC000"/>
      </left>
      <right style="medium">
        <color rgb="FFFFC000"/>
      </right>
      <top style="medium">
        <color rgb="FFFFC000"/>
      </top>
      <bottom style="medium">
        <color rgb="FFFFC000"/>
      </bottom>
      <diagonal/>
    </border>
    <border>
      <left style="thin">
        <color rgb="FFB4B4B4"/>
      </left>
      <right style="thin">
        <color rgb="FFB4B4B4"/>
      </right>
      <top style="thin">
        <color rgb="FFB4B4B4"/>
      </top>
      <bottom style="thin">
        <color rgb="FFB4B4B4"/>
      </bottom>
      <diagonal/>
    </border>
    <border>
      <left style="thin">
        <color rgb="FFB4B4B4"/>
      </left>
      <right/>
      <top style="thin">
        <color rgb="FFB4B4B4"/>
      </top>
      <bottom style="thin">
        <color rgb="FFB4B4B4"/>
      </bottom>
      <diagonal/>
    </border>
    <border>
      <left style="medium">
        <color rgb="FF1F4E79"/>
      </left>
      <right style="thin">
        <color rgb="FFB4B4B4"/>
      </right>
      <top style="thin">
        <color rgb="FFB4B4B4"/>
      </top>
      <bottom style="thin">
        <color rgb="FFB4B4B4"/>
      </bottom>
      <diagonal/>
    </border>
    <border>
      <left style="medium">
        <color rgb="FF1F4E79"/>
      </left>
      <right style="thin">
        <color rgb="FFB4B4B4"/>
      </right>
      <top style="medium">
        <color rgb="FF1F4E79"/>
      </top>
      <bottom style="thin">
        <color rgb="FFB4B4B4"/>
      </bottom>
      <diagonal/>
    </border>
    <border>
      <left style="thin">
        <color rgb="FFB4B4B4"/>
      </left>
      <right style="thin">
        <color rgb="FFB4B4B4"/>
      </right>
      <top style="medium">
        <color rgb="FF1F4E79"/>
      </top>
      <bottom style="thin">
        <color rgb="FFB4B4B4"/>
      </bottom>
      <diagonal/>
    </border>
    <border>
      <left style="medium">
        <color rgb="FF1F4E79"/>
      </left>
      <right style="thin">
        <color rgb="FFB4B4B4"/>
      </right>
      <top style="thin">
        <color rgb="FFB4B4B4"/>
      </top>
      <bottom style="medium">
        <color rgb="FF1F4E79"/>
      </bottom>
      <diagonal/>
    </border>
    <border>
      <left style="thin">
        <color rgb="FFB4B4B4"/>
      </left>
      <right style="thin">
        <color rgb="FFB4B4B4"/>
      </right>
      <top style="thin">
        <color rgb="FFB4B4B4"/>
      </top>
      <bottom style="medium">
        <color rgb="FF1F4E79"/>
      </bottom>
      <diagonal/>
    </border>
    <border>
      <left style="thin">
        <color rgb="FFB4B4B4"/>
      </left>
      <right style="medium">
        <color rgb="FF1F4E79"/>
      </right>
      <top style="thin">
        <color rgb="FFB4B4B4"/>
      </top>
      <bottom style="medium">
        <color rgb="FF1F4E79"/>
      </bottom>
      <diagonal/>
    </border>
    <border>
      <left style="thin">
        <color rgb="FFB4B4B4"/>
      </left>
      <right/>
      <top style="thin">
        <color rgb="FFB4B4B4"/>
      </top>
      <bottom style="medium">
        <color rgb="FF1F4E79"/>
      </bottom>
      <diagonal/>
    </border>
    <border>
      <left style="medium">
        <color rgb="FF1F4E79"/>
      </left>
      <right/>
      <top style="thin">
        <color rgb="FFB4B4B4"/>
      </top>
      <bottom style="medium">
        <color rgb="FF1F4E79"/>
      </bottom>
      <diagonal/>
    </border>
    <border>
      <left style="thin">
        <color rgb="FFB4B4B4"/>
      </left>
      <right style="thin">
        <color rgb="FFB4B4B4"/>
      </right>
      <top/>
      <bottom style="thin">
        <color rgb="FFB4B4B4"/>
      </bottom>
      <diagonal/>
    </border>
    <border>
      <left style="thin">
        <color rgb="FFB4B4B4"/>
      </left>
      <right/>
      <top/>
      <bottom style="thin">
        <color rgb="FFB4B4B4"/>
      </bottom>
      <diagonal/>
    </border>
    <border>
      <left style="thin">
        <color rgb="FFB4B4B4"/>
      </left>
      <right style="medium">
        <color rgb="FF1F4E79"/>
      </right>
      <top style="thin">
        <color rgb="FFB4B4B4"/>
      </top>
      <bottom style="thin">
        <color rgb="FFB4B4B4"/>
      </bottom>
      <diagonal/>
    </border>
    <border>
      <left/>
      <right/>
      <top style="thin">
        <color rgb="FFB4B4B4"/>
      </top>
      <bottom style="medium">
        <color rgb="FF1F4E79"/>
      </bottom>
      <diagonal/>
    </border>
    <border>
      <left style="thin">
        <color rgb="FFB4B4B4"/>
      </left>
      <right style="medium">
        <color rgb="FF1F4E79"/>
      </right>
      <top style="medium">
        <color rgb="FF1F4E79"/>
      </top>
      <bottom style="thin">
        <color rgb="FFB4B4B4"/>
      </bottom>
      <diagonal/>
    </border>
    <border>
      <left style="medium">
        <color rgb="FF1F4E79"/>
      </left>
      <right/>
      <top style="medium">
        <color rgb="FF1F4E79"/>
      </top>
      <bottom style="medium">
        <color rgb="FF1F4E79"/>
      </bottom>
      <diagonal/>
    </border>
    <border>
      <left/>
      <right/>
      <top style="medium">
        <color rgb="FF1F4E79"/>
      </top>
      <bottom style="medium">
        <color rgb="FF1F4E79"/>
      </bottom>
      <diagonal/>
    </border>
    <border>
      <left/>
      <right style="medium">
        <color rgb="FF1F4E79"/>
      </right>
      <top style="medium">
        <color rgb="FF1F4E79"/>
      </top>
      <bottom style="medium">
        <color rgb="FF1F4E79"/>
      </bottom>
      <diagonal/>
    </border>
    <border>
      <left style="medium">
        <color rgb="FF1F4E79"/>
      </left>
      <right/>
      <top style="medium">
        <color rgb="FF1F4E79"/>
      </top>
      <bottom style="thin">
        <color rgb="FFB4B4B4"/>
      </bottom>
      <diagonal/>
    </border>
    <border>
      <left/>
      <right/>
      <top style="medium">
        <color rgb="FF1F4E79"/>
      </top>
      <bottom style="thin">
        <color rgb="FFB4B4B4"/>
      </bottom>
      <diagonal/>
    </border>
    <border>
      <left/>
      <right style="medium">
        <color rgb="FF1F4E79"/>
      </right>
      <top style="medium">
        <color rgb="FF1F4E79"/>
      </top>
      <bottom style="thin">
        <color rgb="FFB4B4B4"/>
      </bottom>
      <diagonal/>
    </border>
    <border>
      <left style="medium">
        <color rgb="FF1F4E79"/>
      </left>
      <right/>
      <top style="thin">
        <color rgb="FFB4B4B4"/>
      </top>
      <bottom style="thin">
        <color rgb="FFB4B4B4"/>
      </bottom>
      <diagonal/>
    </border>
    <border>
      <left/>
      <right/>
      <top style="thin">
        <color rgb="FFB4B4B4"/>
      </top>
      <bottom style="thin">
        <color rgb="FFB4B4B4"/>
      </bottom>
      <diagonal/>
    </border>
    <border>
      <left/>
      <right style="medium">
        <color rgb="FF1F4E79"/>
      </right>
      <top style="thin">
        <color rgb="FFB4B4B4"/>
      </top>
      <bottom style="thin">
        <color rgb="FFB4B4B4"/>
      </bottom>
      <diagonal/>
    </border>
    <border>
      <left/>
      <right style="medium">
        <color rgb="FF1F4E79"/>
      </right>
      <top style="thin">
        <color rgb="FFB4B4B4"/>
      </top>
      <bottom style="medium">
        <color rgb="FF1F4E79"/>
      </bottom>
      <diagonal/>
    </border>
    <border>
      <left style="medium">
        <color rgb="FF1F4E79"/>
      </left>
      <right style="thin">
        <color rgb="FFB4B4B4"/>
      </right>
      <top style="medium">
        <color rgb="FF1F4E79"/>
      </top>
      <bottom style="medium">
        <color rgb="FF1F4E79"/>
      </bottom>
      <diagonal/>
    </border>
    <border>
      <left style="thin">
        <color rgb="FFB4B4B4"/>
      </left>
      <right style="medium">
        <color rgb="FF1F4E79"/>
      </right>
      <top style="medium">
        <color rgb="FF1F4E79"/>
      </top>
      <bottom style="medium">
        <color rgb="FF1F4E79"/>
      </bottom>
      <diagonal/>
    </border>
    <border>
      <left style="medium">
        <color rgb="FF1F4E79"/>
      </left>
      <right style="thin">
        <color rgb="FFB4B4B4"/>
      </right>
      <top style="thin">
        <color rgb="FFB4B4B4"/>
      </top>
      <bottom/>
      <diagonal/>
    </border>
    <border>
      <left style="thin">
        <color rgb="FFB4B4B4"/>
      </left>
      <right style="thin">
        <color rgb="FFB4B4B4"/>
      </right>
      <top style="thin">
        <color rgb="FFB4B4B4"/>
      </top>
      <bottom/>
      <diagonal/>
    </border>
    <border>
      <left style="thin">
        <color rgb="FFB4B4B4"/>
      </left>
      <right style="medium">
        <color rgb="FF1F4E79"/>
      </right>
      <top style="thin">
        <color rgb="FFB4B4B4"/>
      </top>
      <bottom/>
      <diagonal/>
    </border>
    <border>
      <left style="thin">
        <color rgb="FFB4B4B4"/>
      </left>
      <right style="thin">
        <color rgb="FFB4B4B4"/>
      </right>
      <top style="medium">
        <color rgb="FF1F4E79"/>
      </top>
      <bottom style="medium">
        <color rgb="FF1F4E79"/>
      </bottom>
      <diagonal/>
    </border>
    <border>
      <left style="thin">
        <color rgb="FFB4B4B4"/>
      </left>
      <right/>
      <top style="medium">
        <color rgb="FF1F4E79"/>
      </top>
      <bottom style="thin">
        <color rgb="FFB4B4B4"/>
      </bottom>
      <diagonal/>
    </border>
    <border>
      <left style="thin">
        <color rgb="FFB4B4B4"/>
      </left>
      <right style="thin">
        <color rgb="FFB4B4B4"/>
      </right>
      <top/>
      <bottom/>
      <diagonal/>
    </border>
    <border>
      <left style="thin">
        <color rgb="FFB4B4B4"/>
      </left>
      <right style="medium">
        <color rgb="FF1F4E79"/>
      </right>
      <top/>
      <bottom/>
      <diagonal/>
    </border>
    <border>
      <left style="medium">
        <color rgb="FF1F4E79"/>
      </left>
      <right style="thin">
        <color rgb="FFB4B4B4"/>
      </right>
      <top/>
      <bottom/>
      <diagonal/>
    </border>
    <border>
      <left style="thin">
        <color rgb="FFB4B4B4"/>
      </left>
      <right style="thin">
        <color rgb="FFB4B4B4"/>
      </right>
      <top style="medium">
        <color rgb="FF1F4E79"/>
      </top>
      <bottom/>
      <diagonal/>
    </border>
    <border>
      <left style="medium">
        <color rgb="FF1F4E79"/>
      </left>
      <right style="thin">
        <color rgb="FFB4B4B4"/>
      </right>
      <top style="medium">
        <color rgb="FF1F4E79"/>
      </top>
      <bottom/>
      <diagonal/>
    </border>
    <border>
      <left style="thin">
        <color rgb="FFB4B4B4"/>
      </left>
      <right style="medium">
        <color rgb="FF1F4E79"/>
      </right>
      <top style="medium">
        <color rgb="FF1F4E79"/>
      </top>
      <bottom/>
      <diagonal/>
    </border>
    <border>
      <left/>
      <right style="thin">
        <color indexed="64"/>
      </right>
      <top/>
      <bottom style="medium">
        <color rgb="FF1F4E79"/>
      </bottom>
      <diagonal/>
    </border>
    <border>
      <left style="thin">
        <color indexed="64"/>
      </left>
      <right/>
      <top/>
      <bottom style="medium">
        <color rgb="FF1F4E79"/>
      </bottom>
      <diagonal/>
    </border>
    <border>
      <left/>
      <right style="thin">
        <color rgb="FFB4B4B4"/>
      </right>
      <top style="medium">
        <color rgb="FF1F4E79"/>
      </top>
      <bottom style="thin">
        <color rgb="FFB4B4B4"/>
      </bottom>
      <diagonal/>
    </border>
    <border>
      <left/>
      <right style="thin">
        <color rgb="FFB4B4B4"/>
      </right>
      <top style="thin">
        <color rgb="FFB4B4B4"/>
      </top>
      <bottom style="thin">
        <color rgb="FFB4B4B4"/>
      </bottom>
      <diagonal/>
    </border>
    <border>
      <left/>
      <right style="thin">
        <color rgb="FFB4B4B4"/>
      </right>
      <top style="thin">
        <color rgb="FFB4B4B4"/>
      </top>
      <bottom/>
      <diagonal/>
    </border>
    <border>
      <left/>
      <right style="thin">
        <color rgb="FFB4B4B4"/>
      </right>
      <top style="thin">
        <color rgb="FFB4B4B4"/>
      </top>
      <bottom style="medium">
        <color rgb="FF1F4E79"/>
      </bottom>
      <diagonal/>
    </border>
    <border>
      <left/>
      <right style="thin">
        <color rgb="FFB4B4B4"/>
      </right>
      <top style="medium">
        <color rgb="FF1F4E79"/>
      </top>
      <bottom style="medium">
        <color rgb="FF1F4E79"/>
      </bottom>
      <diagonal/>
    </border>
    <border>
      <left/>
      <right style="thin">
        <color rgb="FFB4B4B4"/>
      </right>
      <top/>
      <bottom/>
      <diagonal/>
    </border>
    <border>
      <left style="thin">
        <color rgb="FFB4B4B4"/>
      </left>
      <right/>
      <top/>
      <bottom/>
      <diagonal/>
    </border>
    <border>
      <left style="medium">
        <color rgb="FF1F4E79"/>
      </left>
      <right style="thin">
        <color rgb="FF1F4E79"/>
      </right>
      <top style="thin">
        <color rgb="FF1F4E79"/>
      </top>
      <bottom style="thin">
        <color rgb="FF1F4E79"/>
      </bottom>
      <diagonal/>
    </border>
    <border>
      <left style="thin">
        <color indexed="64"/>
      </left>
      <right/>
      <top/>
      <bottom/>
      <diagonal/>
    </border>
    <border>
      <left/>
      <right style="thin">
        <color indexed="64"/>
      </right>
      <top/>
      <bottom/>
      <diagonal/>
    </border>
  </borders>
  <cellStyleXfs count="6">
    <xf numFmtId="0" fontId="0" fillId="0" borderId="0"/>
    <xf numFmtId="0" fontId="11" fillId="0" borderId="0"/>
    <xf numFmtId="164" fontId="11" fillId="0" borderId="0" applyFont="0" applyFill="0" applyBorder="0" applyAlignment="0" applyProtection="0"/>
    <xf numFmtId="9" fontId="11" fillId="0" borderId="0" applyFont="0" applyFill="0" applyBorder="0" applyAlignment="0" applyProtection="0"/>
    <xf numFmtId="165" fontId="11" fillId="0" borderId="0" applyFont="0" applyFill="0" applyBorder="0" applyAlignment="0" applyProtection="0"/>
    <xf numFmtId="0" fontId="1" fillId="0" borderId="0"/>
  </cellStyleXfs>
  <cellXfs count="431">
    <xf numFmtId="0" fontId="0" fillId="0" borderId="0" xfId="0"/>
    <xf numFmtId="0" fontId="2" fillId="0" borderId="0" xfId="0" applyFont="1" applyAlignment="1">
      <alignment horizontal="center" vertical="center"/>
    </xf>
    <xf numFmtId="169" fontId="2" fillId="0" borderId="0" xfId="0" applyNumberFormat="1" applyFont="1" applyAlignment="1">
      <alignment horizontal="center" vertical="center"/>
    </xf>
    <xf numFmtId="169" fontId="0" fillId="0" borderId="0" xfId="0" applyNumberFormat="1"/>
    <xf numFmtId="2" fontId="2" fillId="0" borderId="0" xfId="0" applyNumberFormat="1" applyFont="1" applyAlignment="1">
      <alignment horizontal="center" vertical="center"/>
    </xf>
    <xf numFmtId="2" fontId="0" fillId="0" borderId="0" xfId="0" applyNumberFormat="1"/>
    <xf numFmtId="0" fontId="19" fillId="0" borderId="0" xfId="0" applyFont="1"/>
    <xf numFmtId="166" fontId="19" fillId="0" borderId="0" xfId="0" applyNumberFormat="1" applyFont="1"/>
    <xf numFmtId="0" fontId="27" fillId="4" borderId="0" xfId="0" applyFont="1" applyFill="1" applyAlignment="1">
      <alignment horizontal="center" vertical="center" wrapText="1"/>
    </xf>
    <xf numFmtId="0" fontId="27" fillId="4" borderId="22" xfId="0" applyFont="1" applyFill="1" applyBorder="1" applyAlignment="1">
      <alignment horizontal="center" vertical="center" wrapText="1"/>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166" fontId="29" fillId="2" borderId="21" xfId="0" applyNumberFormat="1" applyFont="1" applyFill="1" applyBorder="1" applyAlignment="1" applyProtection="1">
      <alignment horizontal="center" vertical="center"/>
      <protection locked="0"/>
    </xf>
    <xf numFmtId="166" fontId="29" fillId="2" borderId="19" xfId="0" applyNumberFormat="1" applyFont="1" applyFill="1" applyBorder="1" applyAlignment="1" applyProtection="1">
      <alignment horizontal="center" vertical="center"/>
      <protection locked="0"/>
    </xf>
    <xf numFmtId="3" fontId="29" fillId="2" borderId="31" xfId="0" applyNumberFormat="1" applyFont="1" applyFill="1" applyBorder="1" applyAlignment="1" applyProtection="1">
      <alignment horizontal="center" vertical="center"/>
      <protection locked="0"/>
    </xf>
    <xf numFmtId="2" fontId="29" fillId="2" borderId="31" xfId="0" applyNumberFormat="1" applyFont="1" applyFill="1" applyBorder="1" applyAlignment="1" applyProtection="1">
      <alignment horizontal="center" vertical="center"/>
      <protection locked="0"/>
    </xf>
    <xf numFmtId="1" fontId="29" fillId="2" borderId="45" xfId="0" applyNumberFormat="1" applyFont="1" applyFill="1" applyBorder="1" applyAlignment="1" applyProtection="1">
      <alignment horizontal="center" vertical="center"/>
      <protection locked="0"/>
    </xf>
    <xf numFmtId="166" fontId="29" fillId="2" borderId="24" xfId="0" applyNumberFormat="1" applyFont="1" applyFill="1" applyBorder="1" applyAlignment="1" applyProtection="1">
      <alignment horizontal="center" vertical="center"/>
      <protection locked="0"/>
    </xf>
    <xf numFmtId="166" fontId="29" fillId="2" borderId="25" xfId="0" applyNumberFormat="1" applyFont="1" applyFill="1" applyBorder="1" applyAlignment="1" applyProtection="1">
      <alignment horizontal="center" vertical="center"/>
      <protection locked="0"/>
    </xf>
    <xf numFmtId="3" fontId="29" fillId="2" borderId="26" xfId="0" applyNumberFormat="1" applyFont="1" applyFill="1" applyBorder="1" applyAlignment="1" applyProtection="1">
      <alignment horizontal="center" vertical="center"/>
      <protection locked="0"/>
    </xf>
    <xf numFmtId="2" fontId="29" fillId="2" borderId="26" xfId="0" applyNumberFormat="1" applyFont="1" applyFill="1" applyBorder="1" applyAlignment="1" applyProtection="1">
      <alignment horizontal="center" vertical="center"/>
      <protection locked="0"/>
    </xf>
    <xf numFmtId="4" fontId="20" fillId="2" borderId="18" xfId="0" applyNumberFormat="1" applyFont="1" applyFill="1" applyBorder="1" applyAlignment="1" applyProtection="1">
      <alignment horizontal="center" vertical="center"/>
      <protection locked="0"/>
    </xf>
    <xf numFmtId="0" fontId="26" fillId="7" borderId="25" xfId="0" applyFont="1" applyFill="1" applyBorder="1" applyAlignment="1">
      <alignment horizontal="left" vertical="center" wrapText="1"/>
    </xf>
    <xf numFmtId="0" fontId="26" fillId="7" borderId="24" xfId="0" applyFont="1" applyFill="1" applyBorder="1" applyAlignment="1">
      <alignment horizontal="center" vertical="center"/>
    </xf>
    <xf numFmtId="2" fontId="26" fillId="7" borderId="25" xfId="0" applyNumberFormat="1" applyFont="1" applyFill="1" applyBorder="1" applyAlignment="1">
      <alignment horizontal="center" vertical="center"/>
    </xf>
    <xf numFmtId="0" fontId="26" fillId="7" borderId="25" xfId="0" applyFont="1" applyFill="1" applyBorder="1" applyAlignment="1">
      <alignment horizontal="center" vertical="center"/>
    </xf>
    <xf numFmtId="0" fontId="33" fillId="7" borderId="21" xfId="0" applyFont="1" applyFill="1" applyBorder="1" applyAlignment="1">
      <alignment horizontal="left" vertical="center"/>
    </xf>
    <xf numFmtId="0" fontId="26" fillId="7" borderId="19" xfId="0" applyFont="1" applyFill="1" applyBorder="1" applyAlignment="1">
      <alignment horizontal="left" vertical="center" wrapText="1"/>
    </xf>
    <xf numFmtId="0" fontId="33" fillId="7" borderId="24" xfId="0" applyFont="1" applyFill="1" applyBorder="1" applyAlignment="1">
      <alignment horizontal="left" vertical="center"/>
    </xf>
    <xf numFmtId="0" fontId="33" fillId="7" borderId="22" xfId="0" applyFont="1" applyFill="1" applyBorder="1" applyAlignment="1">
      <alignment horizontal="left" vertical="center"/>
    </xf>
    <xf numFmtId="0" fontId="33" fillId="7" borderId="21" xfId="0" applyFont="1" applyFill="1" applyBorder="1" applyAlignment="1">
      <alignment horizontal="left" vertical="center" wrapText="1"/>
    </xf>
    <xf numFmtId="0" fontId="17" fillId="7" borderId="19" xfId="0" applyFont="1" applyFill="1" applyBorder="1" applyAlignment="1">
      <alignment horizontal="center" vertical="center" wrapText="1"/>
    </xf>
    <xf numFmtId="10" fontId="17" fillId="7" borderId="19" xfId="0" applyNumberFormat="1" applyFont="1" applyFill="1" applyBorder="1" applyAlignment="1">
      <alignment horizontal="center" vertical="center" wrapText="1"/>
    </xf>
    <xf numFmtId="2" fontId="17" fillId="7" borderId="19" xfId="0" applyNumberFormat="1" applyFont="1" applyFill="1" applyBorder="1" applyAlignment="1">
      <alignment horizontal="center" vertical="center" wrapText="1"/>
    </xf>
    <xf numFmtId="0" fontId="17" fillId="7" borderId="19" xfId="0" applyFont="1" applyFill="1" applyBorder="1" applyAlignment="1">
      <alignment horizontal="left" vertical="center" wrapText="1"/>
    </xf>
    <xf numFmtId="0" fontId="33" fillId="7" borderId="24" xfId="0" applyFont="1" applyFill="1" applyBorder="1" applyAlignment="1">
      <alignment horizontal="left" vertical="center" wrapText="1"/>
    </xf>
    <xf numFmtId="0" fontId="38" fillId="8" borderId="22" xfId="0" applyFont="1" applyFill="1" applyBorder="1" applyAlignment="1" applyProtection="1">
      <alignment horizontal="left"/>
      <protection locked="0"/>
    </xf>
    <xf numFmtId="0" fontId="20" fillId="8" borderId="23" xfId="0" applyFont="1" applyFill="1" applyBorder="1" applyAlignment="1" applyProtection="1">
      <alignment horizontal="left"/>
      <protection locked="0"/>
    </xf>
    <xf numFmtId="14" fontId="20" fillId="8" borderId="23" xfId="0" applyNumberFormat="1" applyFont="1" applyFill="1" applyBorder="1" applyAlignment="1" applyProtection="1">
      <alignment horizontal="center"/>
      <protection locked="0"/>
    </xf>
    <xf numFmtId="0" fontId="20" fillId="8" borderId="23" xfId="0" applyFont="1" applyFill="1" applyBorder="1" applyAlignment="1" applyProtection="1">
      <alignment horizontal="center"/>
      <protection locked="0"/>
    </xf>
    <xf numFmtId="2" fontId="38" fillId="8" borderId="23" xfId="0" applyNumberFormat="1" applyFont="1" applyFill="1" applyBorder="1" applyAlignment="1" applyProtection="1">
      <alignment horizontal="center"/>
      <protection locked="0"/>
    </xf>
    <xf numFmtId="168" fontId="20" fillId="8" borderId="23" xfId="0" applyNumberFormat="1" applyFont="1" applyFill="1" applyBorder="1" applyAlignment="1" applyProtection="1">
      <alignment horizontal="center"/>
      <protection locked="0"/>
    </xf>
    <xf numFmtId="166" fontId="20" fillId="8" borderId="23" xfId="0" applyNumberFormat="1" applyFont="1" applyFill="1" applyBorder="1" applyAlignment="1" applyProtection="1">
      <alignment horizontal="center"/>
      <protection locked="0"/>
    </xf>
    <xf numFmtId="49" fontId="40" fillId="8" borderId="23" xfId="0" applyNumberFormat="1" applyFont="1" applyFill="1" applyBorder="1" applyAlignment="1" applyProtection="1">
      <alignment horizontal="left"/>
      <protection locked="0"/>
    </xf>
    <xf numFmtId="0" fontId="38" fillId="2" borderId="21" xfId="0" applyFont="1" applyFill="1" applyBorder="1" applyAlignment="1" applyProtection="1">
      <alignment horizontal="left"/>
      <protection locked="0"/>
    </xf>
    <xf numFmtId="0" fontId="20" fillId="2" borderId="19" xfId="0" applyFont="1" applyFill="1" applyBorder="1" applyAlignment="1" applyProtection="1">
      <alignment horizontal="left"/>
      <protection locked="0"/>
    </xf>
    <xf numFmtId="14" fontId="20" fillId="2" borderId="19" xfId="0" applyNumberFormat="1" applyFont="1" applyFill="1" applyBorder="1" applyAlignment="1" applyProtection="1">
      <alignment horizontal="center"/>
      <protection locked="0"/>
    </xf>
    <xf numFmtId="0" fontId="20" fillId="2" borderId="19" xfId="0" applyFont="1" applyFill="1" applyBorder="1" applyAlignment="1" applyProtection="1">
      <alignment horizontal="center"/>
      <protection locked="0"/>
    </xf>
    <xf numFmtId="2" fontId="20" fillId="2" borderId="19" xfId="0" applyNumberFormat="1" applyFont="1" applyFill="1" applyBorder="1" applyAlignment="1" applyProtection="1">
      <alignment horizontal="center"/>
      <protection locked="0"/>
    </xf>
    <xf numFmtId="168" fontId="20" fillId="2" borderId="19" xfId="0" applyNumberFormat="1" applyFont="1" applyFill="1" applyBorder="1" applyAlignment="1" applyProtection="1">
      <alignment horizontal="center"/>
      <protection locked="0"/>
    </xf>
    <xf numFmtId="166" fontId="20" fillId="2" borderId="19" xfId="0" applyNumberFormat="1" applyFont="1" applyFill="1" applyBorder="1" applyAlignment="1" applyProtection="1">
      <alignment horizontal="center"/>
      <protection locked="0"/>
    </xf>
    <xf numFmtId="49" fontId="40" fillId="2" borderId="19" xfId="0" applyNumberFormat="1" applyFont="1" applyFill="1" applyBorder="1" applyAlignment="1" applyProtection="1">
      <alignment horizontal="left"/>
      <protection locked="0"/>
    </xf>
    <xf numFmtId="0" fontId="38" fillId="8" borderId="21" xfId="0" applyFont="1" applyFill="1" applyBorder="1" applyAlignment="1" applyProtection="1">
      <alignment horizontal="left"/>
      <protection locked="0"/>
    </xf>
    <xf numFmtId="0" fontId="20" fillId="8" borderId="19" xfId="0" applyFont="1" applyFill="1" applyBorder="1" applyAlignment="1" applyProtection="1">
      <alignment horizontal="left"/>
      <protection locked="0"/>
    </xf>
    <xf numFmtId="14" fontId="20" fillId="8" borderId="19" xfId="0" applyNumberFormat="1" applyFont="1" applyFill="1" applyBorder="1" applyAlignment="1" applyProtection="1">
      <alignment horizontal="center"/>
      <protection locked="0"/>
    </xf>
    <xf numFmtId="0" fontId="20" fillId="8" borderId="19" xfId="0" applyFont="1" applyFill="1" applyBorder="1" applyAlignment="1" applyProtection="1">
      <alignment horizontal="center"/>
      <protection locked="0"/>
    </xf>
    <xf numFmtId="2" fontId="20" fillId="8" borderId="19" xfId="0" applyNumberFormat="1" applyFont="1" applyFill="1" applyBorder="1" applyAlignment="1" applyProtection="1">
      <alignment horizontal="center"/>
      <protection locked="0"/>
    </xf>
    <xf numFmtId="168" fontId="20" fillId="8" borderId="19" xfId="0" applyNumberFormat="1" applyFont="1" applyFill="1" applyBorder="1" applyAlignment="1" applyProtection="1">
      <alignment horizontal="center"/>
      <protection locked="0"/>
    </xf>
    <xf numFmtId="166" fontId="20" fillId="8" borderId="19" xfId="0" applyNumberFormat="1" applyFont="1" applyFill="1" applyBorder="1" applyAlignment="1" applyProtection="1">
      <alignment horizontal="center"/>
      <protection locked="0"/>
    </xf>
    <xf numFmtId="49" fontId="40" fillId="8" borderId="19" xfId="0" applyNumberFormat="1" applyFont="1" applyFill="1" applyBorder="1" applyAlignment="1" applyProtection="1">
      <alignment horizontal="left"/>
      <protection locked="0"/>
    </xf>
    <xf numFmtId="11" fontId="20" fillId="2" borderId="19" xfId="0" applyNumberFormat="1" applyFont="1" applyFill="1" applyBorder="1" applyAlignment="1" applyProtection="1">
      <alignment horizontal="left"/>
      <protection locked="0"/>
    </xf>
    <xf numFmtId="0" fontId="38" fillId="2" borderId="24" xfId="0" applyFont="1" applyFill="1" applyBorder="1" applyAlignment="1" applyProtection="1">
      <alignment horizontal="left"/>
      <protection locked="0"/>
    </xf>
    <xf numFmtId="0" fontId="20" fillId="2" borderId="25" xfId="0" applyFont="1" applyFill="1" applyBorder="1" applyAlignment="1" applyProtection="1">
      <alignment horizontal="left"/>
      <protection locked="0"/>
    </xf>
    <xf numFmtId="168" fontId="20" fillId="2" borderId="25" xfId="0" applyNumberFormat="1" applyFont="1" applyFill="1" applyBorder="1" applyAlignment="1" applyProtection="1">
      <alignment horizontal="center"/>
      <protection locked="0"/>
    </xf>
    <xf numFmtId="0" fontId="20" fillId="2" borderId="25" xfId="0" applyFont="1" applyFill="1" applyBorder="1" applyAlignment="1" applyProtection="1">
      <alignment horizontal="center"/>
      <protection locked="0"/>
    </xf>
    <xf numFmtId="2" fontId="20" fillId="2" borderId="25" xfId="0" applyNumberFormat="1" applyFont="1" applyFill="1" applyBorder="1" applyAlignment="1" applyProtection="1">
      <alignment horizontal="center"/>
      <protection locked="0"/>
    </xf>
    <xf numFmtId="166" fontId="20" fillId="2" borderId="25" xfId="0" applyNumberFormat="1" applyFont="1" applyFill="1" applyBorder="1" applyAlignment="1" applyProtection="1">
      <alignment horizontal="center"/>
      <protection locked="0"/>
    </xf>
    <xf numFmtId="49" fontId="40" fillId="2" borderId="25" xfId="0" applyNumberFormat="1" applyFont="1" applyFill="1" applyBorder="1" applyAlignment="1" applyProtection="1">
      <alignment horizontal="left"/>
      <protection locked="0"/>
    </xf>
    <xf numFmtId="2" fontId="20" fillId="8" borderId="23" xfId="0" applyNumberFormat="1" applyFont="1" applyFill="1" applyBorder="1" applyAlignment="1" applyProtection="1">
      <alignment horizontal="center"/>
      <protection locked="0"/>
    </xf>
    <xf numFmtId="2" fontId="38" fillId="2" borderId="19" xfId="0" applyNumberFormat="1" applyFont="1" applyFill="1" applyBorder="1" applyAlignment="1" applyProtection="1">
      <alignment horizontal="center"/>
      <protection locked="0"/>
    </xf>
    <xf numFmtId="11" fontId="20" fillId="8" borderId="19" xfId="0" applyNumberFormat="1" applyFont="1" applyFill="1" applyBorder="1" applyAlignment="1" applyProtection="1">
      <alignment horizontal="left"/>
      <protection locked="0"/>
    </xf>
    <xf numFmtId="0" fontId="44" fillId="4" borderId="3" xfId="0" applyFont="1" applyFill="1" applyBorder="1" applyAlignment="1">
      <alignment horizontal="center" vertical="center" wrapText="1"/>
    </xf>
    <xf numFmtId="166" fontId="44" fillId="4" borderId="3" xfId="0" applyNumberFormat="1" applyFont="1" applyFill="1" applyBorder="1" applyAlignment="1">
      <alignment horizontal="center" vertical="center" wrapText="1"/>
    </xf>
    <xf numFmtId="49" fontId="39" fillId="8" borderId="33" xfId="0" applyNumberFormat="1" applyFont="1" applyFill="1" applyBorder="1" applyAlignment="1" applyProtection="1">
      <alignment horizontal="left" vertical="top" wrapText="1"/>
      <protection locked="0"/>
    </xf>
    <xf numFmtId="49" fontId="39" fillId="2" borderId="31" xfId="0" applyNumberFormat="1" applyFont="1" applyFill="1" applyBorder="1" applyAlignment="1" applyProtection="1">
      <alignment horizontal="left" vertical="top" wrapText="1"/>
      <protection locked="0"/>
    </xf>
    <xf numFmtId="49" fontId="39" fillId="8" borderId="31" xfId="0" applyNumberFormat="1" applyFont="1" applyFill="1" applyBorder="1" applyAlignment="1" applyProtection="1">
      <alignment horizontal="left" vertical="top" wrapText="1"/>
      <protection locked="0"/>
    </xf>
    <xf numFmtId="49" fontId="39" fillId="2" borderId="20" xfId="0" applyNumberFormat="1" applyFont="1" applyFill="1" applyBorder="1" applyAlignment="1" applyProtection="1">
      <alignment horizontal="left" vertical="top" wrapText="1"/>
      <protection locked="0"/>
    </xf>
    <xf numFmtId="49" fontId="39" fillId="8" borderId="20" xfId="0" applyNumberFormat="1" applyFont="1" applyFill="1" applyBorder="1" applyAlignment="1" applyProtection="1">
      <alignment horizontal="left" vertical="top" wrapText="1"/>
      <protection locked="0"/>
    </xf>
    <xf numFmtId="49" fontId="39" fillId="2" borderId="26" xfId="0" applyNumberFormat="1" applyFont="1" applyFill="1" applyBorder="1" applyAlignment="1" applyProtection="1">
      <alignment horizontal="left" vertical="top" wrapText="1"/>
      <protection locked="0"/>
    </xf>
    <xf numFmtId="0" fontId="29" fillId="7" borderId="25" xfId="0" applyFont="1" applyFill="1" applyBorder="1" applyAlignment="1">
      <alignment horizontal="center" vertical="center" wrapText="1"/>
    </xf>
    <xf numFmtId="10" fontId="29" fillId="7" borderId="25" xfId="0" applyNumberFormat="1" applyFont="1" applyFill="1" applyBorder="1" applyAlignment="1">
      <alignment horizontal="center" vertical="center" wrapText="1"/>
    </xf>
    <xf numFmtId="2" fontId="29" fillId="7" borderId="25" xfId="0" applyNumberFormat="1" applyFont="1" applyFill="1" applyBorder="1" applyAlignment="1">
      <alignment horizontal="center" vertical="center" wrapText="1"/>
    </xf>
    <xf numFmtId="0" fontId="29" fillId="7" borderId="25" xfId="0" applyFont="1" applyFill="1" applyBorder="1" applyAlignment="1">
      <alignment horizontal="left" vertical="center" wrapText="1"/>
    </xf>
    <xf numFmtId="0" fontId="29" fillId="7" borderId="26" xfId="0" applyFont="1" applyFill="1" applyBorder="1" applyAlignment="1">
      <alignment horizontal="left" vertical="center" wrapText="1"/>
    </xf>
    <xf numFmtId="0" fontId="46" fillId="0" borderId="0" xfId="0" applyFont="1" applyAlignment="1">
      <alignment horizontal="right" vertical="center"/>
    </xf>
    <xf numFmtId="0" fontId="26" fillId="7" borderId="26" xfId="0" applyFont="1" applyFill="1" applyBorder="1" applyAlignment="1">
      <alignment horizontal="center" vertical="center"/>
    </xf>
    <xf numFmtId="2" fontId="48" fillId="4" borderId="54" xfId="0" applyNumberFormat="1" applyFont="1" applyFill="1" applyBorder="1" applyAlignment="1" applyProtection="1">
      <alignment horizontal="center" vertical="center" wrapText="1"/>
      <protection locked="0"/>
    </xf>
    <xf numFmtId="166" fontId="48" fillId="4" borderId="54" xfId="0" applyNumberFormat="1" applyFont="1" applyFill="1" applyBorder="1" applyAlignment="1" applyProtection="1">
      <alignment horizontal="center" vertical="center" wrapText="1"/>
      <protection locked="0"/>
    </xf>
    <xf numFmtId="2" fontId="48" fillId="4" borderId="47" xfId="0" applyNumberFormat="1" applyFont="1" applyFill="1" applyBorder="1" applyAlignment="1" applyProtection="1">
      <alignment horizontal="center" vertical="center" wrapText="1"/>
      <protection locked="0"/>
    </xf>
    <xf numFmtId="166" fontId="48" fillId="4" borderId="47" xfId="0" applyNumberFormat="1" applyFont="1" applyFill="1" applyBorder="1" applyAlignment="1" applyProtection="1">
      <alignment horizontal="center" vertical="center" wrapText="1"/>
      <protection locked="0"/>
    </xf>
    <xf numFmtId="2" fontId="48" fillId="2" borderId="54" xfId="0" applyNumberFormat="1" applyFont="1" applyFill="1" applyBorder="1" applyAlignment="1" applyProtection="1">
      <alignment horizontal="center" vertical="center" wrapText="1"/>
      <protection locked="0"/>
    </xf>
    <xf numFmtId="166" fontId="48" fillId="2" borderId="54" xfId="0" applyNumberFormat="1" applyFont="1" applyFill="1" applyBorder="1" applyAlignment="1" applyProtection="1">
      <alignment horizontal="center" vertical="center" wrapText="1"/>
      <protection locked="0"/>
    </xf>
    <xf numFmtId="2" fontId="48" fillId="2" borderId="47" xfId="0" applyNumberFormat="1" applyFont="1" applyFill="1" applyBorder="1" applyAlignment="1" applyProtection="1">
      <alignment horizontal="center" vertical="center" wrapText="1"/>
      <protection locked="0"/>
    </xf>
    <xf numFmtId="166" fontId="48" fillId="2" borderId="47" xfId="0" applyNumberFormat="1" applyFont="1" applyFill="1" applyBorder="1" applyAlignment="1" applyProtection="1">
      <alignment horizontal="center" vertical="center" wrapText="1"/>
      <protection locked="0"/>
    </xf>
    <xf numFmtId="2" fontId="48" fillId="7" borderId="54" xfId="0" applyNumberFormat="1" applyFont="1" applyFill="1" applyBorder="1" applyAlignment="1" applyProtection="1">
      <alignment horizontal="center" vertical="center" wrapText="1"/>
      <protection locked="0"/>
    </xf>
    <xf numFmtId="166" fontId="48" fillId="7" borderId="54" xfId="0" applyNumberFormat="1" applyFont="1" applyFill="1" applyBorder="1" applyAlignment="1" applyProtection="1">
      <alignment horizontal="center" vertical="center" wrapText="1"/>
      <protection locked="0"/>
    </xf>
    <xf numFmtId="2" fontId="48" fillId="7" borderId="47" xfId="0" applyNumberFormat="1" applyFont="1" applyFill="1" applyBorder="1" applyAlignment="1" applyProtection="1">
      <alignment horizontal="center" vertical="center" wrapText="1"/>
      <protection locked="0"/>
    </xf>
    <xf numFmtId="166" fontId="48" fillId="7" borderId="47" xfId="0" applyNumberFormat="1" applyFont="1" applyFill="1" applyBorder="1" applyAlignment="1" applyProtection="1">
      <alignment horizontal="center" vertical="center" wrapText="1"/>
      <protection locked="0"/>
    </xf>
    <xf numFmtId="2" fontId="48" fillId="7" borderId="25" xfId="0" applyNumberFormat="1" applyFont="1" applyFill="1" applyBorder="1" applyAlignment="1" applyProtection="1">
      <alignment horizontal="center" vertical="center" wrapText="1"/>
      <protection locked="0"/>
    </xf>
    <xf numFmtId="166" fontId="48" fillId="7" borderId="25" xfId="0" applyNumberFormat="1" applyFont="1" applyFill="1" applyBorder="1" applyAlignment="1" applyProtection="1">
      <alignment horizontal="center" vertical="center" wrapText="1"/>
      <protection locked="0"/>
    </xf>
    <xf numFmtId="0" fontId="38" fillId="8" borderId="23" xfId="0" applyFont="1" applyFill="1" applyBorder="1" applyAlignment="1" applyProtection="1">
      <alignment horizontal="left"/>
      <protection locked="0"/>
    </xf>
    <xf numFmtId="0" fontId="38" fillId="2" borderId="19" xfId="0" applyFont="1" applyFill="1" applyBorder="1" applyAlignment="1" applyProtection="1">
      <alignment horizontal="left"/>
      <protection locked="0"/>
    </xf>
    <xf numFmtId="0" fontId="38" fillId="8" borderId="19" xfId="0" applyFont="1" applyFill="1" applyBorder="1" applyAlignment="1" applyProtection="1">
      <alignment horizontal="left"/>
      <protection locked="0"/>
    </xf>
    <xf numFmtId="0" fontId="38" fillId="2" borderId="25" xfId="0" applyFont="1" applyFill="1" applyBorder="1" applyAlignment="1" applyProtection="1">
      <alignment horizontal="left"/>
      <protection locked="0"/>
    </xf>
    <xf numFmtId="169" fontId="48" fillId="4" borderId="54" xfId="0" applyNumberFormat="1" applyFont="1" applyFill="1" applyBorder="1" applyAlignment="1">
      <alignment horizontal="center" vertical="center" wrapText="1"/>
    </xf>
    <xf numFmtId="0" fontId="48" fillId="4" borderId="54" xfId="0" applyFont="1" applyFill="1" applyBorder="1" applyAlignment="1">
      <alignment horizontal="center" vertical="center" wrapText="1"/>
    </xf>
    <xf numFmtId="0" fontId="48" fillId="4" borderId="54" xfId="0" applyFont="1" applyFill="1" applyBorder="1" applyAlignment="1">
      <alignment horizontal="center" vertical="center"/>
    </xf>
    <xf numFmtId="169" fontId="48" fillId="4" borderId="47" xfId="0" applyNumberFormat="1" applyFont="1" applyFill="1" applyBorder="1" applyAlignment="1">
      <alignment horizontal="center" vertical="center" wrapText="1"/>
    </xf>
    <xf numFmtId="0" fontId="48" fillId="4" borderId="47" xfId="0" applyFont="1" applyFill="1" applyBorder="1" applyAlignment="1">
      <alignment horizontal="center" vertical="center" wrapText="1"/>
    </xf>
    <xf numFmtId="0" fontId="48" fillId="4" borderId="47" xfId="0" applyFont="1" applyFill="1" applyBorder="1" applyAlignment="1">
      <alignment horizontal="center" vertical="center"/>
    </xf>
    <xf numFmtId="169" fontId="48" fillId="2" borderId="54" xfId="0" applyNumberFormat="1" applyFont="1" applyFill="1" applyBorder="1" applyAlignment="1">
      <alignment horizontal="center" vertical="center" wrapText="1"/>
    </xf>
    <xf numFmtId="0" fontId="48" fillId="2" borderId="54" xfId="0" applyFont="1" applyFill="1" applyBorder="1" applyAlignment="1">
      <alignment horizontal="center" vertical="center" wrapText="1"/>
    </xf>
    <xf numFmtId="0" fontId="48" fillId="2" borderId="54" xfId="0" applyFont="1" applyFill="1" applyBorder="1" applyAlignment="1">
      <alignment horizontal="center" vertical="center"/>
    </xf>
    <xf numFmtId="169" fontId="48" fillId="2" borderId="47" xfId="0" applyNumberFormat="1" applyFont="1" applyFill="1" applyBorder="1" applyAlignment="1">
      <alignment horizontal="center" vertical="center" wrapText="1"/>
    </xf>
    <xf numFmtId="0" fontId="48" fillId="2" borderId="47" xfId="0" applyFont="1" applyFill="1" applyBorder="1" applyAlignment="1">
      <alignment horizontal="center" vertical="center" wrapText="1"/>
    </xf>
    <xf numFmtId="0" fontId="48" fillId="2" borderId="47" xfId="0" applyFont="1" applyFill="1" applyBorder="1" applyAlignment="1">
      <alignment horizontal="center" vertical="center"/>
    </xf>
    <xf numFmtId="169" fontId="48" fillId="7" borderId="54" xfId="0" applyNumberFormat="1" applyFont="1" applyFill="1" applyBorder="1" applyAlignment="1">
      <alignment horizontal="center" vertical="center" wrapText="1"/>
    </xf>
    <xf numFmtId="0" fontId="48" fillId="7" borderId="54" xfId="0" applyFont="1" applyFill="1" applyBorder="1" applyAlignment="1">
      <alignment horizontal="center" vertical="center" wrapText="1"/>
    </xf>
    <xf numFmtId="0" fontId="48" fillId="7" borderId="54" xfId="0" applyFont="1" applyFill="1" applyBorder="1" applyAlignment="1">
      <alignment horizontal="center" vertical="center"/>
    </xf>
    <xf numFmtId="169" fontId="48" fillId="7" borderId="47" xfId="0" applyNumberFormat="1" applyFont="1" applyFill="1" applyBorder="1" applyAlignment="1">
      <alignment horizontal="center" vertical="center" wrapText="1"/>
    </xf>
    <xf numFmtId="0" fontId="48" fillId="7" borderId="47" xfId="0" applyFont="1" applyFill="1" applyBorder="1" applyAlignment="1">
      <alignment horizontal="center" vertical="center" wrapText="1"/>
    </xf>
    <xf numFmtId="0" fontId="48" fillId="7" borderId="47" xfId="0" applyFont="1" applyFill="1" applyBorder="1" applyAlignment="1">
      <alignment horizontal="center" vertical="center"/>
    </xf>
    <xf numFmtId="49" fontId="48" fillId="4" borderId="55" xfId="0" applyNumberFormat="1" applyFont="1" applyFill="1" applyBorder="1" applyAlignment="1">
      <alignment horizontal="center" vertical="center" wrapText="1"/>
    </xf>
    <xf numFmtId="49" fontId="48" fillId="4" borderId="46" xfId="0" applyNumberFormat="1" applyFont="1" applyFill="1" applyBorder="1" applyAlignment="1">
      <alignment horizontal="center" vertical="center" wrapText="1"/>
    </xf>
    <xf numFmtId="49" fontId="48" fillId="2" borderId="55" xfId="0" applyNumberFormat="1" applyFont="1" applyFill="1" applyBorder="1" applyAlignment="1">
      <alignment horizontal="center" vertical="center" wrapText="1"/>
    </xf>
    <xf numFmtId="49" fontId="48" fillId="2" borderId="46" xfId="0" applyNumberFormat="1" applyFont="1" applyFill="1" applyBorder="1" applyAlignment="1">
      <alignment horizontal="center" vertical="center" wrapText="1"/>
    </xf>
    <xf numFmtId="49" fontId="48" fillId="7" borderId="55" xfId="0" applyNumberFormat="1" applyFont="1" applyFill="1" applyBorder="1" applyAlignment="1">
      <alignment horizontal="center" vertical="center" wrapText="1"/>
    </xf>
    <xf numFmtId="49" fontId="48" fillId="7" borderId="46" xfId="0" applyNumberFormat="1" applyFont="1" applyFill="1" applyBorder="1" applyAlignment="1">
      <alignment horizontal="center" vertical="center" wrapText="1"/>
    </xf>
    <xf numFmtId="0" fontId="48" fillId="4" borderId="56" xfId="0" applyFont="1" applyFill="1" applyBorder="1" applyAlignment="1">
      <alignment horizontal="center" vertical="center"/>
    </xf>
    <xf numFmtId="0" fontId="48" fillId="4" borderId="48" xfId="0" applyFont="1" applyFill="1" applyBorder="1" applyAlignment="1">
      <alignment horizontal="center" vertical="center"/>
    </xf>
    <xf numFmtId="0" fontId="48" fillId="2" borderId="56" xfId="0" applyFont="1" applyFill="1" applyBorder="1" applyAlignment="1">
      <alignment horizontal="center" vertical="center"/>
    </xf>
    <xf numFmtId="0" fontId="48" fillId="2" borderId="48" xfId="0" applyFont="1" applyFill="1" applyBorder="1" applyAlignment="1">
      <alignment horizontal="center" vertical="center"/>
    </xf>
    <xf numFmtId="0" fontId="48" fillId="7" borderId="56" xfId="0" applyFont="1" applyFill="1" applyBorder="1" applyAlignment="1">
      <alignment horizontal="center" vertical="center"/>
    </xf>
    <xf numFmtId="0" fontId="48" fillId="7" borderId="48" xfId="0" applyFont="1" applyFill="1" applyBorder="1" applyAlignment="1">
      <alignment horizontal="center" vertical="center"/>
    </xf>
    <xf numFmtId="49" fontId="48" fillId="7" borderId="24" xfId="0" applyNumberFormat="1" applyFont="1" applyFill="1" applyBorder="1" applyAlignment="1">
      <alignment horizontal="center" vertical="center" wrapText="1"/>
    </xf>
    <xf numFmtId="169" fontId="48" fillId="7" borderId="25" xfId="0" applyNumberFormat="1" applyFont="1" applyFill="1" applyBorder="1" applyAlignment="1">
      <alignment horizontal="center" vertical="center" wrapText="1"/>
    </xf>
    <xf numFmtId="0" fontId="48" fillId="7" borderId="25" xfId="0" applyFont="1" applyFill="1" applyBorder="1" applyAlignment="1">
      <alignment horizontal="center" vertical="center" wrapText="1"/>
    </xf>
    <xf numFmtId="0" fontId="48" fillId="7" borderId="25" xfId="0" applyFont="1" applyFill="1" applyBorder="1" applyAlignment="1">
      <alignment horizontal="center" vertical="center"/>
    </xf>
    <xf numFmtId="0" fontId="48" fillId="7" borderId="26" xfId="0" applyFont="1" applyFill="1" applyBorder="1" applyAlignment="1">
      <alignment horizontal="center" vertical="center"/>
    </xf>
    <xf numFmtId="0" fontId="58" fillId="0" borderId="0" xfId="0" applyFont="1"/>
    <xf numFmtId="2" fontId="38" fillId="8" borderId="19" xfId="0" applyNumberFormat="1" applyFont="1" applyFill="1" applyBorder="1" applyAlignment="1" applyProtection="1">
      <alignment horizontal="center"/>
      <protection locked="0"/>
    </xf>
    <xf numFmtId="0" fontId="3" fillId="0" borderId="0" xfId="0" applyFont="1"/>
    <xf numFmtId="0" fontId="45" fillId="0" borderId="0" xfId="0" applyFont="1" applyAlignment="1">
      <alignment horizontal="right" vertical="center"/>
    </xf>
    <xf numFmtId="168" fontId="13" fillId="0" borderId="0" xfId="0" applyNumberFormat="1" applyFont="1"/>
    <xf numFmtId="0" fontId="46" fillId="0" borderId="6" xfId="0" applyFont="1" applyBorder="1" applyAlignment="1">
      <alignment horizontal="right" vertical="center"/>
    </xf>
    <xf numFmtId="49" fontId="54" fillId="0" borderId="22" xfId="0" applyNumberFormat="1" applyFont="1" applyBorder="1" applyAlignment="1">
      <alignment horizontal="center" vertical="center"/>
    </xf>
    <xf numFmtId="166" fontId="41" fillId="7" borderId="23" xfId="0" applyNumberFormat="1" applyFont="1" applyFill="1" applyBorder="1" applyAlignment="1">
      <alignment horizontal="center" vertical="center"/>
    </xf>
    <xf numFmtId="2" fontId="41" fillId="7" borderId="23" xfId="0" applyNumberFormat="1" applyFont="1" applyFill="1" applyBorder="1" applyAlignment="1">
      <alignment horizontal="center" vertical="center"/>
    </xf>
    <xf numFmtId="170" fontId="41" fillId="7" borderId="23" xfId="0" applyNumberFormat="1" applyFont="1" applyFill="1" applyBorder="1" applyAlignment="1">
      <alignment horizontal="center" vertical="center"/>
    </xf>
    <xf numFmtId="0" fontId="20" fillId="2" borderId="0" xfId="0" applyFont="1" applyFill="1" applyAlignment="1">
      <alignment vertical="center"/>
    </xf>
    <xf numFmtId="0" fontId="13" fillId="0" borderId="0" xfId="0" applyFont="1"/>
    <xf numFmtId="49" fontId="54" fillId="0" borderId="21" xfId="0" applyNumberFormat="1" applyFont="1" applyBorder="1" applyAlignment="1">
      <alignment horizontal="center" vertical="center"/>
    </xf>
    <xf numFmtId="166" fontId="41" fillId="7" borderId="19" xfId="0" applyNumberFormat="1" applyFont="1" applyFill="1" applyBorder="1" applyAlignment="1">
      <alignment horizontal="center" vertical="center"/>
    </xf>
    <xf numFmtId="2" fontId="41" fillId="7" borderId="19" xfId="0" applyNumberFormat="1" applyFont="1" applyFill="1" applyBorder="1" applyAlignment="1">
      <alignment horizontal="center" vertical="center"/>
    </xf>
    <xf numFmtId="170" fontId="41" fillId="7" borderId="19" xfId="0" applyNumberFormat="1" applyFont="1" applyFill="1" applyBorder="1" applyAlignment="1">
      <alignment horizontal="center" vertical="center"/>
    </xf>
    <xf numFmtId="2" fontId="35" fillId="4" borderId="9" xfId="0" applyNumberFormat="1" applyFont="1" applyFill="1" applyBorder="1" applyAlignment="1">
      <alignment horizontal="center" vertical="center" wrapText="1"/>
    </xf>
    <xf numFmtId="2" fontId="35" fillId="4" borderId="1" xfId="0" applyNumberFormat="1" applyFont="1" applyFill="1" applyBorder="1" applyAlignment="1">
      <alignment horizontal="center" vertical="center" wrapText="1"/>
    </xf>
    <xf numFmtId="167" fontId="35" fillId="4" borderId="1" xfId="0" applyNumberFormat="1" applyFont="1" applyFill="1" applyBorder="1" applyAlignment="1">
      <alignment horizontal="center" vertical="center" wrapText="1"/>
    </xf>
    <xf numFmtId="10" fontId="50" fillId="2" borderId="9" xfId="0" applyNumberFormat="1" applyFont="1" applyFill="1" applyBorder="1" applyAlignment="1">
      <alignment horizontal="center" vertical="center" wrapText="1"/>
    </xf>
    <xf numFmtId="2" fontId="41" fillId="7" borderId="25" xfId="0" applyNumberFormat="1" applyFont="1" applyFill="1" applyBorder="1" applyAlignment="1">
      <alignment horizontal="center" vertical="center"/>
    </xf>
    <xf numFmtId="0" fontId="40" fillId="2" borderId="0" xfId="0" applyFont="1" applyFill="1" applyAlignment="1">
      <alignment vertical="center"/>
    </xf>
    <xf numFmtId="0" fontId="49" fillId="2" borderId="0" xfId="0" applyFont="1" applyFill="1" applyAlignment="1">
      <alignment horizontal="left" vertical="center" wrapText="1"/>
    </xf>
    <xf numFmtId="0" fontId="4" fillId="0" borderId="0" xfId="0" applyFont="1"/>
    <xf numFmtId="0" fontId="6" fillId="0" borderId="0" xfId="0" applyFont="1"/>
    <xf numFmtId="0" fontId="20" fillId="2" borderId="0" xfId="0" applyFont="1" applyFill="1" applyAlignment="1">
      <alignment horizontal="left" vertical="top" wrapText="1"/>
    </xf>
    <xf numFmtId="49" fontId="54" fillId="0" borderId="24" xfId="0" applyNumberFormat="1" applyFont="1" applyBorder="1" applyAlignment="1">
      <alignment horizontal="center" vertical="center"/>
    </xf>
    <xf numFmtId="166" fontId="41" fillId="7" borderId="25" xfId="0" applyNumberFormat="1" applyFont="1" applyFill="1" applyBorder="1" applyAlignment="1">
      <alignment horizontal="center" vertical="center"/>
    </xf>
    <xf numFmtId="170" fontId="41" fillId="7" borderId="25" xfId="0" applyNumberFormat="1" applyFont="1" applyFill="1" applyBorder="1" applyAlignment="1">
      <alignment horizontal="center" vertical="center"/>
    </xf>
    <xf numFmtId="16" fontId="4" fillId="0" borderId="0" xfId="0" applyNumberFormat="1" applyFont="1" applyAlignment="1">
      <alignment horizontal="right"/>
    </xf>
    <xf numFmtId="0" fontId="4" fillId="0" borderId="0" xfId="0" applyFont="1" applyAlignment="1">
      <alignment horizontal="right"/>
    </xf>
    <xf numFmtId="10" fontId="50" fillId="2" borderId="66" xfId="0" applyNumberFormat="1" applyFont="1" applyFill="1" applyBorder="1" applyAlignment="1">
      <alignment horizontal="center" vertical="center" wrapText="1"/>
    </xf>
    <xf numFmtId="0" fontId="3" fillId="3" borderId="0" xfId="0" applyFont="1" applyFill="1"/>
    <xf numFmtId="0" fontId="36" fillId="0" borderId="6" xfId="0" applyFont="1" applyBorder="1" applyAlignment="1">
      <alignment horizontal="left" vertical="top" wrapText="1"/>
    </xf>
    <xf numFmtId="166" fontId="36" fillId="0" borderId="6" xfId="0" applyNumberFormat="1" applyFont="1" applyBorder="1" applyAlignment="1">
      <alignment horizontal="left" vertical="top" wrapText="1"/>
    </xf>
    <xf numFmtId="0" fontId="19" fillId="0" borderId="6" xfId="0" applyFont="1" applyBorder="1" applyAlignment="1">
      <alignment horizontal="left" vertical="center" wrapText="1"/>
    </xf>
    <xf numFmtId="49" fontId="54" fillId="0" borderId="0" xfId="0" applyNumberFormat="1" applyFont="1" applyAlignment="1">
      <alignment horizontal="center"/>
    </xf>
    <xf numFmtId="0" fontId="5" fillId="0" borderId="0" xfId="0" applyFont="1" applyAlignment="1">
      <alignment horizontal="center" wrapText="1"/>
    </xf>
    <xf numFmtId="166" fontId="4" fillId="0" borderId="0" xfId="0" applyNumberFormat="1" applyFont="1" applyAlignment="1">
      <alignment horizontal="center"/>
    </xf>
    <xf numFmtId="10" fontId="4" fillId="0" borderId="0" xfId="0" applyNumberFormat="1" applyFont="1" applyAlignment="1">
      <alignment horizontal="center"/>
    </xf>
    <xf numFmtId="2" fontId="4" fillId="0" borderId="0" xfId="0" applyNumberFormat="1" applyFont="1" applyAlignment="1">
      <alignment horizontal="center"/>
    </xf>
    <xf numFmtId="166" fontId="4" fillId="0" borderId="0" xfId="0" applyNumberFormat="1" applyFont="1"/>
    <xf numFmtId="0" fontId="17" fillId="0" borderId="0" xfId="0" applyFont="1" applyAlignment="1">
      <alignment vertical="center"/>
    </xf>
    <xf numFmtId="10" fontId="17" fillId="0" borderId="25" xfId="0" applyNumberFormat="1" applyFont="1" applyBorder="1" applyAlignment="1">
      <alignment horizontal="center" vertical="center"/>
    </xf>
    <xf numFmtId="0" fontId="8" fillId="0" borderId="0" xfId="0" applyFont="1" applyAlignment="1">
      <alignment vertical="center"/>
    </xf>
    <xf numFmtId="0" fontId="0" fillId="0" borderId="0" xfId="0" applyAlignment="1">
      <alignment vertical="center"/>
    </xf>
    <xf numFmtId="0" fontId="33" fillId="7" borderId="8" xfId="0" applyFont="1" applyFill="1" applyBorder="1" applyAlignment="1">
      <alignment horizontal="center" vertical="center" wrapText="1"/>
    </xf>
    <xf numFmtId="0" fontId="33" fillId="7" borderId="22" xfId="0" applyFont="1" applyFill="1" applyBorder="1" applyAlignment="1">
      <alignment horizontal="center" vertical="center" wrapText="1"/>
    </xf>
    <xf numFmtId="0" fontId="33" fillId="7" borderId="23" xfId="0" applyFont="1" applyFill="1" applyBorder="1" applyAlignment="1">
      <alignment horizontal="center" vertical="center" wrapText="1"/>
    </xf>
    <xf numFmtId="0" fontId="33" fillId="7" borderId="33" xfId="0" applyFont="1" applyFill="1" applyBorder="1" applyAlignment="1">
      <alignment horizontal="center" vertical="center" wrapText="1"/>
    </xf>
    <xf numFmtId="10" fontId="28" fillId="7" borderId="19" xfId="0" applyNumberFormat="1" applyFont="1" applyFill="1" applyBorder="1" applyAlignment="1">
      <alignment horizontal="center" vertical="center"/>
    </xf>
    <xf numFmtId="10" fontId="28" fillId="7" borderId="25" xfId="0" applyNumberFormat="1" applyFont="1" applyFill="1" applyBorder="1" applyAlignment="1">
      <alignment horizontal="center" vertical="center"/>
    </xf>
    <xf numFmtId="0" fontId="14" fillId="0" borderId="0" xfId="0" applyFont="1" applyAlignment="1">
      <alignment vertical="center" wrapText="1"/>
    </xf>
    <xf numFmtId="166" fontId="28" fillId="7" borderId="19" xfId="0" applyNumberFormat="1" applyFont="1" applyFill="1" applyBorder="1" applyAlignment="1">
      <alignment horizontal="center" vertical="center"/>
    </xf>
    <xf numFmtId="0" fontId="10" fillId="0" borderId="0" xfId="0" applyFont="1" applyAlignment="1">
      <alignment vertical="center" wrapText="1"/>
    </xf>
    <xf numFmtId="166" fontId="28" fillId="7" borderId="25" xfId="0" applyNumberFormat="1" applyFont="1" applyFill="1" applyBorder="1" applyAlignment="1">
      <alignment horizontal="center" vertical="center"/>
    </xf>
    <xf numFmtId="0" fontId="15" fillId="0" borderId="0" xfId="5" applyFont="1" applyAlignment="1">
      <alignment vertical="center" wrapText="1"/>
    </xf>
    <xf numFmtId="0" fontId="33" fillId="7" borderId="22" xfId="5" applyFont="1" applyFill="1" applyBorder="1" applyAlignment="1">
      <alignment horizontal="center" vertical="center" wrapText="1"/>
    </xf>
    <xf numFmtId="0" fontId="33" fillId="7" borderId="33" xfId="5" applyFont="1" applyFill="1" applyBorder="1" applyAlignment="1">
      <alignment horizontal="center" vertical="center" wrapText="1"/>
    </xf>
    <xf numFmtId="0" fontId="33" fillId="7" borderId="21" xfId="5" applyFont="1" applyFill="1" applyBorder="1" applyAlignment="1">
      <alignment horizontal="left" vertical="center" wrapText="1"/>
    </xf>
    <xf numFmtId="2" fontId="29" fillId="2" borderId="31" xfId="5" applyNumberFormat="1" applyFont="1" applyFill="1" applyBorder="1" applyAlignment="1">
      <alignment horizontal="center" vertical="center"/>
    </xf>
    <xf numFmtId="0" fontId="33" fillId="7" borderId="24" xfId="5" applyFont="1" applyFill="1" applyBorder="1" applyAlignment="1">
      <alignment horizontal="left" vertical="center" wrapText="1"/>
    </xf>
    <xf numFmtId="2" fontId="29" fillId="2" borderId="26" xfId="5" applyNumberFormat="1" applyFont="1" applyFill="1" applyBorder="1" applyAlignment="1">
      <alignment horizontal="center" vertical="center"/>
    </xf>
    <xf numFmtId="0" fontId="1" fillId="0" borderId="0" xfId="5" applyAlignment="1">
      <alignment vertical="center"/>
    </xf>
    <xf numFmtId="0" fontId="33" fillId="7" borderId="8" xfId="0" applyFont="1" applyFill="1" applyBorder="1" applyAlignment="1">
      <alignment horizontal="left" vertical="center"/>
    </xf>
    <xf numFmtId="2" fontId="33" fillId="7" borderId="21" xfId="0" applyNumberFormat="1" applyFont="1" applyFill="1" applyBorder="1" applyAlignment="1">
      <alignment horizontal="left" vertical="center"/>
    </xf>
    <xf numFmtId="2" fontId="33" fillId="7" borderId="24" xfId="0" applyNumberFormat="1" applyFont="1" applyFill="1" applyBorder="1" applyAlignment="1">
      <alignment horizontal="left" vertical="center"/>
    </xf>
    <xf numFmtId="0" fontId="33" fillId="7" borderId="44" xfId="0" applyFont="1" applyFill="1" applyBorder="1" applyAlignment="1">
      <alignment horizontal="left" vertical="center" wrapText="1"/>
    </xf>
    <xf numFmtId="0" fontId="37" fillId="5" borderId="0" xfId="0" applyFont="1" applyFill="1" applyAlignment="1">
      <alignment horizontal="center" vertical="center" wrapText="1"/>
    </xf>
    <xf numFmtId="0" fontId="46" fillId="0" borderId="0" xfId="0" applyFont="1" applyAlignment="1">
      <alignment horizontal="left" vertical="center"/>
    </xf>
    <xf numFmtId="49" fontId="44" fillId="4" borderId="53" xfId="0" applyNumberFormat="1" applyFont="1" applyFill="1" applyBorder="1" applyAlignment="1">
      <alignment horizontal="center" vertical="center" wrapText="1"/>
    </xf>
    <xf numFmtId="169" fontId="44" fillId="4" borderId="51" xfId="0" applyNumberFormat="1" applyFont="1" applyFill="1" applyBorder="1" applyAlignment="1">
      <alignment horizontal="center" vertical="center" wrapText="1"/>
    </xf>
    <xf numFmtId="0" fontId="44" fillId="4" borderId="51" xfId="0" applyFont="1" applyFill="1" applyBorder="1" applyAlignment="1">
      <alignment horizontal="center" vertical="center" wrapText="1"/>
    </xf>
    <xf numFmtId="2" fontId="44" fillId="4" borderId="51" xfId="0" applyNumberFormat="1" applyFont="1" applyFill="1" applyBorder="1" applyAlignment="1">
      <alignment horizontal="center" vertical="center" wrapText="1"/>
    </xf>
    <xf numFmtId="166" fontId="44" fillId="4" borderId="51" xfId="0" applyNumberFormat="1" applyFont="1" applyFill="1" applyBorder="1" applyAlignment="1">
      <alignment horizontal="center" vertical="center" wrapText="1"/>
    </xf>
    <xf numFmtId="0" fontId="44" fillId="4" borderId="52" xfId="0" applyFont="1" applyFill="1" applyBorder="1" applyAlignment="1">
      <alignment horizontal="center" vertical="center" wrapText="1"/>
    </xf>
    <xf numFmtId="49" fontId="44" fillId="4" borderId="55" xfId="0" applyNumberFormat="1" applyFont="1" applyFill="1" applyBorder="1" applyAlignment="1">
      <alignment horizontal="center" vertical="center" wrapText="1"/>
    </xf>
    <xf numFmtId="169" fontId="44" fillId="4" borderId="54" xfId="0" applyNumberFormat="1" applyFont="1" applyFill="1" applyBorder="1" applyAlignment="1">
      <alignment horizontal="center" vertical="center" wrapText="1"/>
    </xf>
    <xf numFmtId="0" fontId="44" fillId="4" borderId="54" xfId="0" applyFont="1" applyFill="1" applyBorder="1" applyAlignment="1">
      <alignment horizontal="center" vertical="center" wrapText="1"/>
    </xf>
    <xf numFmtId="2" fontId="44" fillId="4" borderId="54" xfId="0" applyNumberFormat="1" applyFont="1" applyFill="1" applyBorder="1" applyAlignment="1">
      <alignment horizontal="center" vertical="center" wrapText="1"/>
    </xf>
    <xf numFmtId="166" fontId="44" fillId="4" borderId="54" xfId="0" applyNumberFormat="1" applyFont="1" applyFill="1" applyBorder="1" applyAlignment="1">
      <alignment horizontal="center" vertical="center" wrapText="1"/>
    </xf>
    <xf numFmtId="0" fontId="44" fillId="4" borderId="56" xfId="0" applyFont="1" applyFill="1" applyBorder="1" applyAlignment="1">
      <alignment horizontal="center" vertical="center" wrapText="1"/>
    </xf>
    <xf numFmtId="0" fontId="56" fillId="0" borderId="0" xfId="0" applyFont="1"/>
    <xf numFmtId="0" fontId="59" fillId="0" borderId="0" xfId="0" applyFont="1"/>
    <xf numFmtId="0" fontId="57" fillId="0" borderId="0" xfId="0" applyFont="1"/>
    <xf numFmtId="0" fontId="60" fillId="0" borderId="0" xfId="0" applyFont="1"/>
    <xf numFmtId="0" fontId="25" fillId="5" borderId="0" xfId="0" applyFont="1" applyFill="1" applyAlignment="1">
      <alignment horizontal="center" vertical="center" wrapText="1"/>
    </xf>
    <xf numFmtId="0" fontId="25" fillId="5" borderId="1" xfId="0" applyFont="1" applyFill="1" applyBorder="1" applyAlignment="1">
      <alignment horizontal="center" vertical="center" wrapText="1"/>
    </xf>
    <xf numFmtId="0" fontId="25" fillId="5" borderId="3" xfId="0" applyFont="1" applyFill="1" applyBorder="1" applyAlignment="1">
      <alignment horizontal="center" vertical="center" wrapText="1"/>
    </xf>
    <xf numFmtId="0" fontId="34" fillId="7" borderId="22" xfId="0" applyFont="1" applyFill="1" applyBorder="1" applyAlignment="1">
      <alignment horizontal="center" vertical="center" wrapText="1"/>
    </xf>
    <xf numFmtId="0" fontId="34" fillId="7" borderId="33" xfId="0" applyFont="1" applyFill="1" applyBorder="1" applyAlignment="1">
      <alignment horizontal="center" vertical="center" wrapText="1"/>
    </xf>
    <xf numFmtId="0" fontId="46" fillId="0" borderId="0" xfId="0" applyFont="1" applyAlignment="1">
      <alignment horizontal="right" vertical="center"/>
    </xf>
    <xf numFmtId="0" fontId="25" fillId="5" borderId="5" xfId="0" applyFont="1" applyFill="1" applyBorder="1" applyAlignment="1">
      <alignment horizontal="center" vertical="center" wrapText="1"/>
    </xf>
    <xf numFmtId="0" fontId="25" fillId="5" borderId="7" xfId="0" applyFont="1" applyFill="1" applyBorder="1" applyAlignment="1">
      <alignment horizontal="center" vertical="center" wrapText="1"/>
    </xf>
    <xf numFmtId="0" fontId="25" fillId="5" borderId="4" xfId="0" applyFont="1" applyFill="1" applyBorder="1" applyAlignment="1">
      <alignment horizontal="center" vertical="center" wrapText="1"/>
    </xf>
    <xf numFmtId="0" fontId="25" fillId="5" borderId="67" xfId="0" applyFont="1" applyFill="1" applyBorder="1" applyAlignment="1">
      <alignment horizontal="center" vertical="center" wrapText="1"/>
    </xf>
    <xf numFmtId="0" fontId="25" fillId="5" borderId="68" xfId="0" applyFont="1" applyFill="1" applyBorder="1" applyAlignment="1">
      <alignment horizontal="center" vertical="center" wrapText="1"/>
    </xf>
    <xf numFmtId="0" fontId="35" fillId="4" borderId="7" xfId="0" applyFont="1" applyFill="1" applyBorder="1" applyAlignment="1">
      <alignment horizontal="center" vertical="center" wrapText="1"/>
    </xf>
    <xf numFmtId="0" fontId="35" fillId="4" borderId="6" xfId="0" applyFont="1" applyFill="1" applyBorder="1" applyAlignment="1">
      <alignment horizontal="center" vertical="center" wrapText="1"/>
    </xf>
    <xf numFmtId="166" fontId="20" fillId="2" borderId="20" xfId="0" applyNumberFormat="1" applyFont="1" applyFill="1" applyBorder="1" applyAlignment="1">
      <alignment horizontal="center" vertical="center"/>
    </xf>
    <xf numFmtId="166" fontId="20" fillId="2" borderId="31" xfId="0" applyNumberFormat="1" applyFont="1" applyFill="1" applyBorder="1" applyAlignment="1">
      <alignment horizontal="center" vertical="center"/>
    </xf>
    <xf numFmtId="0" fontId="43" fillId="7" borderId="24" xfId="0" applyFont="1" applyFill="1" applyBorder="1" applyAlignment="1">
      <alignment horizontal="center" vertical="center"/>
    </xf>
    <xf numFmtId="0" fontId="43" fillId="7" borderId="25" xfId="0" applyFont="1" applyFill="1" applyBorder="1" applyAlignment="1">
      <alignment horizontal="center" vertical="center"/>
    </xf>
    <xf numFmtId="2" fontId="41" fillId="7" borderId="25" xfId="0" applyNumberFormat="1" applyFont="1" applyFill="1" applyBorder="1" applyAlignment="1">
      <alignment horizontal="center" vertical="center"/>
    </xf>
    <xf numFmtId="2" fontId="41" fillId="7" borderId="26" xfId="0" applyNumberFormat="1" applyFont="1" applyFill="1" applyBorder="1" applyAlignment="1">
      <alignment horizontal="center" vertical="center"/>
    </xf>
    <xf numFmtId="0" fontId="35" fillId="2" borderId="53" xfId="0" applyFont="1" applyFill="1" applyBorder="1" applyAlignment="1">
      <alignment horizontal="center" vertical="center" wrapText="1"/>
    </xf>
    <xf numFmtId="0" fontId="35" fillId="2" borderId="51" xfId="0" applyFont="1" applyFill="1" applyBorder="1" applyAlignment="1">
      <alignment horizontal="center" vertical="center" wrapText="1"/>
    </xf>
    <xf numFmtId="0" fontId="35" fillId="2" borderId="65" xfId="0" applyFont="1" applyFill="1" applyBorder="1" applyAlignment="1">
      <alignment horizontal="center" vertical="center" wrapText="1"/>
    </xf>
    <xf numFmtId="0" fontId="52" fillId="2" borderId="0" xfId="0" applyFont="1" applyFill="1" applyAlignment="1">
      <alignment horizontal="center" vertical="center"/>
    </xf>
    <xf numFmtId="0" fontId="35" fillId="7" borderId="21" xfId="0" applyFont="1" applyFill="1" applyBorder="1" applyAlignment="1">
      <alignment horizontal="left" vertical="center" indent="1"/>
    </xf>
    <xf numFmtId="0" fontId="35" fillId="7" borderId="19" xfId="0" applyFont="1" applyFill="1" applyBorder="1" applyAlignment="1">
      <alignment horizontal="left" vertical="center" indent="1"/>
    </xf>
    <xf numFmtId="0" fontId="43" fillId="7" borderId="22" xfId="0" applyFont="1" applyFill="1" applyBorder="1" applyAlignment="1">
      <alignment horizontal="center" vertical="center"/>
    </xf>
    <xf numFmtId="0" fontId="43" fillId="7" borderId="23" xfId="0" applyFont="1" applyFill="1" applyBorder="1" applyAlignment="1">
      <alignment horizontal="center" vertical="center"/>
    </xf>
    <xf numFmtId="2" fontId="41" fillId="7" borderId="23" xfId="0" applyNumberFormat="1" applyFont="1" applyFill="1" applyBorder="1" applyAlignment="1">
      <alignment horizontal="center" vertical="center"/>
    </xf>
    <xf numFmtId="2" fontId="41" fillId="7" borderId="33" xfId="0" applyNumberFormat="1" applyFont="1" applyFill="1" applyBorder="1" applyAlignment="1">
      <alignment horizontal="center" vertical="center"/>
    </xf>
    <xf numFmtId="0" fontId="43" fillId="7" borderId="21" xfId="0" applyFont="1" applyFill="1" applyBorder="1" applyAlignment="1">
      <alignment horizontal="center" vertical="center"/>
    </xf>
    <xf numFmtId="0" fontId="43" fillId="7" borderId="19" xfId="0" applyFont="1" applyFill="1" applyBorder="1" applyAlignment="1">
      <alignment horizontal="center" vertical="center"/>
    </xf>
    <xf numFmtId="166" fontId="41" fillId="7" borderId="19" xfId="0" applyNumberFormat="1" applyFont="1" applyFill="1" applyBorder="1" applyAlignment="1">
      <alignment horizontal="center" vertical="center"/>
    </xf>
    <xf numFmtId="166" fontId="41" fillId="7" borderId="31" xfId="0" applyNumberFormat="1" applyFont="1" applyFill="1" applyBorder="1" applyAlignment="1">
      <alignment horizontal="center" vertical="center"/>
    </xf>
    <xf numFmtId="2" fontId="20" fillId="2" borderId="19" xfId="0" applyNumberFormat="1" applyFont="1" applyFill="1" applyBorder="1" applyAlignment="1" applyProtection="1">
      <alignment horizontal="center" vertical="center"/>
      <protection locked="0"/>
    </xf>
    <xf numFmtId="2" fontId="20" fillId="2" borderId="31" xfId="0" applyNumberFormat="1" applyFont="1" applyFill="1" applyBorder="1" applyAlignment="1" applyProtection="1">
      <alignment horizontal="center" vertical="center"/>
      <protection locked="0"/>
    </xf>
    <xf numFmtId="166" fontId="41" fillId="7" borderId="50" xfId="0" applyNumberFormat="1" applyFont="1" applyFill="1" applyBorder="1" applyAlignment="1">
      <alignment horizontal="center" vertical="center"/>
    </xf>
    <xf numFmtId="166" fontId="41" fillId="7" borderId="33" xfId="0" applyNumberFormat="1" applyFont="1" applyFill="1" applyBorder="1" applyAlignment="1">
      <alignment horizontal="center" vertical="center"/>
    </xf>
    <xf numFmtId="0" fontId="43" fillId="7" borderId="46" xfId="0" applyFont="1" applyFill="1" applyBorder="1" applyAlignment="1">
      <alignment horizontal="center" vertical="center"/>
    </xf>
    <xf numFmtId="0" fontId="43" fillId="7" borderId="47" xfId="0" applyFont="1" applyFill="1" applyBorder="1" applyAlignment="1">
      <alignment horizontal="center" vertical="center"/>
    </xf>
    <xf numFmtId="166" fontId="41" fillId="7" borderId="47" xfId="0" applyNumberFormat="1" applyFont="1" applyFill="1" applyBorder="1" applyAlignment="1">
      <alignment horizontal="center" vertical="center"/>
    </xf>
    <xf numFmtId="166" fontId="41" fillId="7" borderId="48" xfId="0" applyNumberFormat="1" applyFont="1" applyFill="1" applyBorder="1" applyAlignment="1">
      <alignment horizontal="center" vertical="center"/>
    </xf>
    <xf numFmtId="0" fontId="51" fillId="2" borderId="4" xfId="0" applyFont="1" applyFill="1" applyBorder="1" applyAlignment="1">
      <alignment horizontal="center" vertical="center" wrapText="1"/>
    </xf>
    <xf numFmtId="0" fontId="51" fillId="2" borderId="3" xfId="0" applyFont="1" applyFill="1" applyBorder="1" applyAlignment="1">
      <alignment horizontal="center" vertical="center" wrapText="1"/>
    </xf>
    <xf numFmtId="0" fontId="51" fillId="2" borderId="5" xfId="0" applyFont="1" applyFill="1" applyBorder="1" applyAlignment="1">
      <alignment horizontal="center" vertical="center" wrapText="1"/>
    </xf>
    <xf numFmtId="2" fontId="41" fillId="7" borderId="19" xfId="0" applyNumberFormat="1" applyFont="1" applyFill="1" applyBorder="1" applyAlignment="1">
      <alignment horizontal="center" vertical="center"/>
    </xf>
    <xf numFmtId="2" fontId="41" fillId="7" borderId="31" xfId="0" applyNumberFormat="1" applyFont="1" applyFill="1" applyBorder="1" applyAlignment="1">
      <alignment horizontal="center" vertical="center"/>
    </xf>
    <xf numFmtId="2" fontId="4" fillId="0" borderId="0" xfId="0" applyNumberFormat="1" applyFont="1" applyAlignment="1">
      <alignment horizontal="center"/>
    </xf>
    <xf numFmtId="0" fontId="35" fillId="4" borderId="4" xfId="0" applyFont="1" applyFill="1" applyBorder="1" applyAlignment="1">
      <alignment horizontal="center" vertical="center" wrapText="1"/>
    </xf>
    <xf numFmtId="0" fontId="35" fillId="4" borderId="2" xfId="0" applyFont="1" applyFill="1" applyBorder="1" applyAlignment="1">
      <alignment horizontal="center" vertical="center" wrapText="1"/>
    </xf>
    <xf numFmtId="166" fontId="4" fillId="0" borderId="0" xfId="0" applyNumberFormat="1" applyFont="1" applyAlignment="1">
      <alignment horizontal="center"/>
    </xf>
    <xf numFmtId="0" fontId="50" fillId="2" borderId="0" xfId="0" applyFont="1" applyFill="1" applyAlignment="1">
      <alignment horizontal="left" wrapText="1"/>
    </xf>
    <xf numFmtId="0" fontId="24" fillId="2" borderId="0" xfId="0" applyFont="1" applyFill="1" applyAlignment="1">
      <alignment horizontal="left" vertical="center" wrapText="1"/>
    </xf>
    <xf numFmtId="0" fontId="53" fillId="2" borderId="0" xfId="0" applyFont="1" applyFill="1" applyAlignment="1">
      <alignment horizontal="left" vertical="center" wrapText="1"/>
    </xf>
    <xf numFmtId="10" fontId="41" fillId="7" borderId="19" xfId="0" applyNumberFormat="1" applyFont="1" applyFill="1" applyBorder="1" applyAlignment="1">
      <alignment horizontal="center" vertical="center"/>
    </xf>
    <xf numFmtId="10" fontId="41" fillId="7" borderId="31" xfId="0" applyNumberFormat="1" applyFont="1" applyFill="1" applyBorder="1" applyAlignment="1">
      <alignment horizontal="center" vertical="center"/>
    </xf>
    <xf numFmtId="0" fontId="35" fillId="4" borderId="23" xfId="0" applyFont="1" applyFill="1" applyBorder="1" applyAlignment="1">
      <alignment horizontal="center" vertical="center" wrapText="1"/>
    </xf>
    <xf numFmtId="0" fontId="35" fillId="4" borderId="19" xfId="0" applyFont="1" applyFill="1" applyBorder="1" applyAlignment="1">
      <alignment horizontal="center" vertical="center" wrapText="1"/>
    </xf>
    <xf numFmtId="0" fontId="35" fillId="4" borderId="33" xfId="0" applyFont="1" applyFill="1" applyBorder="1" applyAlignment="1">
      <alignment horizontal="center" vertical="center" wrapText="1"/>
    </xf>
    <xf numFmtId="0" fontId="35" fillId="4" borderId="31" xfId="0" applyFont="1" applyFill="1" applyBorder="1" applyAlignment="1">
      <alignment horizontal="center" vertical="center" wrapText="1"/>
    </xf>
    <xf numFmtId="10" fontId="41" fillId="7" borderId="49" xfId="0" applyNumberFormat="1" applyFont="1" applyFill="1" applyBorder="1" applyAlignment="1">
      <alignment horizontal="center" vertical="center"/>
    </xf>
    <xf numFmtId="2" fontId="41" fillId="7" borderId="45" xfId="0" applyNumberFormat="1" applyFont="1" applyFill="1" applyBorder="1" applyAlignment="1">
      <alignment horizontal="center" vertical="center"/>
    </xf>
    <xf numFmtId="1" fontId="35" fillId="4" borderId="22" xfId="0" applyNumberFormat="1" applyFont="1" applyFill="1" applyBorder="1" applyAlignment="1">
      <alignment horizontal="center" vertical="center" wrapText="1"/>
    </xf>
    <xf numFmtId="1" fontId="35" fillId="4" borderId="46" xfId="0" applyNumberFormat="1" applyFont="1" applyFill="1" applyBorder="1" applyAlignment="1">
      <alignment horizontal="center" vertical="center" wrapText="1"/>
    </xf>
    <xf numFmtId="0" fontId="5" fillId="0" borderId="0" xfId="0" applyFont="1" applyAlignment="1">
      <alignment horizontal="center" wrapText="1"/>
    </xf>
    <xf numFmtId="10" fontId="4" fillId="0" borderId="0" xfId="0" applyNumberFormat="1" applyFont="1" applyAlignment="1">
      <alignment horizontal="center"/>
    </xf>
    <xf numFmtId="0" fontId="20" fillId="2" borderId="22" xfId="0" applyFont="1" applyFill="1" applyBorder="1" applyAlignment="1">
      <alignment vertical="center"/>
    </xf>
    <xf numFmtId="0" fontId="20" fillId="2" borderId="23" xfId="0" applyFont="1" applyFill="1" applyBorder="1" applyAlignment="1">
      <alignment vertical="center"/>
    </xf>
    <xf numFmtId="0" fontId="20" fillId="2" borderId="21" xfId="0" applyFont="1" applyFill="1" applyBorder="1" applyAlignment="1">
      <alignment vertical="center"/>
    </xf>
    <xf numFmtId="0" fontId="20" fillId="2" borderId="19" xfId="0" applyFont="1" applyFill="1" applyBorder="1" applyAlignment="1">
      <alignment vertical="center"/>
    </xf>
    <xf numFmtId="0" fontId="35" fillId="4" borderId="47" xfId="0" applyFont="1" applyFill="1" applyBorder="1" applyAlignment="1">
      <alignment horizontal="center" vertical="center" wrapText="1"/>
    </xf>
    <xf numFmtId="166" fontId="41" fillId="7" borderId="27" xfId="0" applyNumberFormat="1" applyFont="1" applyFill="1" applyBorder="1" applyAlignment="1">
      <alignment horizontal="center" vertical="center"/>
    </xf>
    <xf numFmtId="166" fontId="41" fillId="7" borderId="26" xfId="0" applyNumberFormat="1" applyFont="1" applyFill="1" applyBorder="1" applyAlignment="1">
      <alignment horizontal="center" vertical="center"/>
    </xf>
    <xf numFmtId="1" fontId="55" fillId="4" borderId="0" xfId="0" applyNumberFormat="1" applyFont="1" applyFill="1" applyAlignment="1">
      <alignment horizontal="center" vertical="center" wrapText="1"/>
    </xf>
    <xf numFmtId="0" fontId="35" fillId="4" borderId="48" xfId="0" applyFont="1" applyFill="1" applyBorder="1" applyAlignment="1">
      <alignment horizontal="center" vertical="center" wrapText="1"/>
    </xf>
    <xf numFmtId="10" fontId="43" fillId="7" borderId="44" xfId="0" applyNumberFormat="1" applyFont="1" applyFill="1" applyBorder="1" applyAlignment="1">
      <alignment horizontal="center" vertical="center"/>
    </xf>
    <xf numFmtId="0" fontId="43" fillId="7" borderId="49" xfId="0" applyFont="1" applyFill="1" applyBorder="1" applyAlignment="1">
      <alignment horizontal="center" vertical="center"/>
    </xf>
    <xf numFmtId="1" fontId="55" fillId="4" borderId="22" xfId="0" applyNumberFormat="1" applyFont="1" applyFill="1" applyBorder="1" applyAlignment="1">
      <alignment horizontal="center" vertical="center" wrapText="1"/>
    </xf>
    <xf numFmtId="0" fontId="35" fillId="2" borderId="12" xfId="0" applyFont="1" applyFill="1" applyBorder="1" applyAlignment="1">
      <alignment horizontal="center" vertical="center" wrapText="1"/>
    </xf>
    <xf numFmtId="0" fontId="35" fillId="2" borderId="13" xfId="0" applyFont="1" applyFill="1" applyBorder="1" applyAlignment="1">
      <alignment horizontal="center" vertical="center" wrapText="1"/>
    </xf>
    <xf numFmtId="1" fontId="35" fillId="4" borderId="23" xfId="0" applyNumberFormat="1" applyFont="1" applyFill="1" applyBorder="1" applyAlignment="1">
      <alignment horizontal="center" vertical="center" wrapText="1"/>
    </xf>
    <xf numFmtId="1" fontId="35" fillId="4" borderId="47" xfId="0" applyNumberFormat="1" applyFont="1" applyFill="1" applyBorder="1" applyAlignment="1">
      <alignment horizontal="center" vertical="center" wrapText="1"/>
    </xf>
    <xf numFmtId="0" fontId="43" fillId="7" borderId="61" xfId="0" applyFont="1" applyFill="1" applyBorder="1" applyAlignment="1">
      <alignment horizontal="center" vertical="center"/>
    </xf>
    <xf numFmtId="0" fontId="43" fillId="7" borderId="60" xfId="0" applyFont="1" applyFill="1" applyBorder="1" applyAlignment="1">
      <alignment horizontal="center" vertical="center"/>
    </xf>
    <xf numFmtId="0" fontId="35" fillId="7" borderId="60" xfId="0" applyFont="1" applyFill="1" applyBorder="1" applyAlignment="1">
      <alignment horizontal="left" vertical="center" indent="1"/>
    </xf>
    <xf numFmtId="10" fontId="43" fillId="7" borderId="63" xfId="0" applyNumberFormat="1" applyFont="1" applyFill="1" applyBorder="1" applyAlignment="1">
      <alignment horizontal="center" vertical="center"/>
    </xf>
    <xf numFmtId="0" fontId="20" fillId="2" borderId="59" xfId="0" applyFont="1" applyFill="1" applyBorder="1" applyAlignment="1">
      <alignment vertical="center"/>
    </xf>
    <xf numFmtId="0" fontId="20" fillId="2" borderId="60" xfId="0" applyFont="1" applyFill="1" applyBorder="1" applyAlignment="1">
      <alignment vertical="center"/>
    </xf>
    <xf numFmtId="0" fontId="43" fillId="7" borderId="62" xfId="0" applyFont="1" applyFill="1" applyBorder="1" applyAlignment="1">
      <alignment horizontal="center" vertical="center"/>
    </xf>
    <xf numFmtId="0" fontId="42" fillId="2" borderId="64" xfId="0" applyFont="1" applyFill="1" applyBorder="1" applyAlignment="1">
      <alignment horizontal="left" vertical="center" wrapText="1" indent="1"/>
    </xf>
    <xf numFmtId="0" fontId="42" fillId="2" borderId="51" xfId="0" applyFont="1" applyFill="1" applyBorder="1" applyAlignment="1">
      <alignment horizontal="left" vertical="center" wrapText="1" indent="1"/>
    </xf>
    <xf numFmtId="0" fontId="42" fillId="2" borderId="65" xfId="0" applyFont="1" applyFill="1" applyBorder="1" applyAlignment="1">
      <alignment horizontal="left" vertical="center" wrapText="1" indent="1"/>
    </xf>
    <xf numFmtId="0" fontId="43" fillId="7" borderId="59" xfId="0" applyFont="1" applyFill="1" applyBorder="1" applyAlignment="1">
      <alignment horizontal="center" vertical="center"/>
    </xf>
    <xf numFmtId="2" fontId="41" fillId="7" borderId="20" xfId="0" applyNumberFormat="1" applyFont="1" applyFill="1" applyBorder="1" applyAlignment="1">
      <alignment horizontal="center" vertical="center"/>
    </xf>
    <xf numFmtId="2" fontId="41" fillId="7" borderId="42" xfId="0" applyNumberFormat="1" applyFont="1" applyFill="1" applyBorder="1" applyAlignment="1">
      <alignment horizontal="center" vertical="center"/>
    </xf>
    <xf numFmtId="0" fontId="35" fillId="2" borderId="64" xfId="0" applyFont="1" applyFill="1" applyBorder="1" applyAlignment="1">
      <alignment horizontal="center" vertical="center" wrapText="1"/>
    </xf>
    <xf numFmtId="0" fontId="35" fillId="2" borderId="10" xfId="0" applyFont="1" applyFill="1" applyBorder="1" applyAlignment="1">
      <alignment horizontal="center" vertical="center" wrapText="1"/>
    </xf>
    <xf numFmtId="0" fontId="35" fillId="2" borderId="0" xfId="0" applyFont="1" applyFill="1" applyAlignment="1">
      <alignment horizontal="center" vertical="center" wrapText="1"/>
    </xf>
    <xf numFmtId="0" fontId="17" fillId="7" borderId="19" xfId="0" applyFont="1" applyFill="1" applyBorder="1" applyAlignment="1">
      <alignment horizontal="left" vertical="center" wrapText="1"/>
    </xf>
    <xf numFmtId="0" fontId="17" fillId="7" borderId="31" xfId="0" applyFont="1" applyFill="1" applyBorder="1" applyAlignment="1">
      <alignment horizontal="left" vertical="center" wrapText="1"/>
    </xf>
    <xf numFmtId="0" fontId="17" fillId="7" borderId="25" xfId="0" applyFont="1" applyFill="1" applyBorder="1" applyAlignment="1">
      <alignment horizontal="left" vertical="center" wrapText="1"/>
    </xf>
    <xf numFmtId="0" fontId="17" fillId="7" borderId="26" xfId="0" applyFont="1" applyFill="1" applyBorder="1" applyAlignment="1">
      <alignment horizontal="left" vertical="center" wrapText="1"/>
    </xf>
    <xf numFmtId="0" fontId="27" fillId="4" borderId="22" xfId="0" applyFont="1" applyFill="1" applyBorder="1" applyAlignment="1">
      <alignment horizontal="left" vertical="center" wrapText="1"/>
    </xf>
    <xf numFmtId="0" fontId="27" fillId="4" borderId="23" xfId="0" applyFont="1" applyFill="1" applyBorder="1" applyAlignment="1">
      <alignment horizontal="left" vertical="center" wrapText="1"/>
    </xf>
    <xf numFmtId="0" fontId="27" fillId="4" borderId="33" xfId="0" applyFont="1" applyFill="1" applyBorder="1" applyAlignment="1">
      <alignment horizontal="left" vertical="center" wrapText="1"/>
    </xf>
    <xf numFmtId="0" fontId="27" fillId="4" borderId="0" xfId="0" applyFont="1" applyFill="1" applyAlignment="1">
      <alignment horizontal="left" vertical="center" wrapText="1"/>
    </xf>
    <xf numFmtId="0" fontId="26" fillId="7" borderId="19" xfId="0" applyFont="1" applyFill="1" applyBorder="1" applyAlignment="1">
      <alignment horizontal="left" vertical="center" wrapText="1"/>
    </xf>
    <xf numFmtId="0" fontId="26" fillId="7" borderId="31" xfId="0" applyFont="1" applyFill="1" applyBorder="1" applyAlignment="1">
      <alignment horizontal="left" vertical="center" wrapText="1"/>
    </xf>
    <xf numFmtId="0" fontId="26" fillId="7" borderId="23" xfId="0" applyFont="1" applyFill="1" applyBorder="1" applyAlignment="1">
      <alignment horizontal="left" vertical="center" wrapText="1"/>
    </xf>
    <xf numFmtId="0" fontId="26" fillId="7" borderId="33" xfId="0" applyFont="1" applyFill="1" applyBorder="1" applyAlignment="1">
      <alignment horizontal="left" vertical="center" wrapText="1"/>
    </xf>
    <xf numFmtId="0" fontId="26" fillId="7" borderId="25" xfId="0" applyFont="1" applyFill="1" applyBorder="1" applyAlignment="1">
      <alignment horizontal="left" vertical="center" wrapText="1"/>
    </xf>
    <xf numFmtId="0" fontId="26" fillId="7" borderId="26" xfId="0" applyFont="1" applyFill="1" applyBorder="1" applyAlignment="1">
      <alignment horizontal="left" vertical="center" wrapText="1"/>
    </xf>
    <xf numFmtId="0" fontId="27" fillId="4" borderId="22" xfId="0" applyFont="1" applyFill="1" applyBorder="1" applyAlignment="1">
      <alignment horizontal="center" vertical="center" wrapText="1"/>
    </xf>
    <xf numFmtId="0" fontId="27" fillId="4" borderId="24" xfId="0" applyFont="1" applyFill="1" applyBorder="1" applyAlignment="1">
      <alignment horizontal="center" vertical="center" wrapText="1"/>
    </xf>
    <xf numFmtId="0" fontId="47" fillId="10" borderId="23" xfId="0" applyFont="1" applyFill="1" applyBorder="1" applyAlignment="1">
      <alignment horizontal="center" vertical="center"/>
    </xf>
    <xf numFmtId="0" fontId="17" fillId="0" borderId="25" xfId="0" applyFont="1" applyBorder="1" applyAlignment="1">
      <alignment horizontal="center" vertical="center"/>
    </xf>
    <xf numFmtId="0" fontId="27" fillId="4" borderId="23" xfId="0" applyFont="1" applyFill="1" applyBorder="1" applyAlignment="1">
      <alignment horizontal="center" vertical="center" wrapText="1"/>
    </xf>
    <xf numFmtId="0" fontId="27" fillId="4" borderId="33" xfId="0" applyFont="1" applyFill="1" applyBorder="1" applyAlignment="1">
      <alignment horizontal="center" vertical="center" wrapText="1"/>
    </xf>
    <xf numFmtId="0" fontId="18" fillId="0" borderId="0" xfId="0" applyFont="1" applyAlignment="1">
      <alignment vertical="center"/>
    </xf>
    <xf numFmtId="0" fontId="30" fillId="5" borderId="5" xfId="0" applyFont="1" applyFill="1" applyBorder="1" applyAlignment="1" applyProtection="1">
      <alignment horizontal="center" vertical="center" wrapText="1"/>
    </xf>
    <xf numFmtId="0" fontId="30" fillId="5" borderId="7" xfId="0" applyFont="1" applyFill="1" applyBorder="1" applyAlignment="1" applyProtection="1">
      <alignment horizontal="center" vertical="center" wrapText="1"/>
    </xf>
    <xf numFmtId="0" fontId="30" fillId="5" borderId="4" xfId="0" applyFont="1" applyFill="1" applyBorder="1" applyAlignment="1" applyProtection="1">
      <alignment horizontal="center" vertical="center" wrapText="1"/>
    </xf>
    <xf numFmtId="0" fontId="7" fillId="0" borderId="0" xfId="0" applyFont="1" applyAlignment="1" applyProtection="1">
      <alignment vertical="center"/>
    </xf>
    <xf numFmtId="0" fontId="46" fillId="0" borderId="0" xfId="0" applyFont="1" applyAlignment="1" applyProtection="1">
      <alignment horizontal="right" vertical="center"/>
    </xf>
    <xf numFmtId="0" fontId="3" fillId="0" borderId="0" xfId="0" applyFont="1" applyProtection="1"/>
    <xf numFmtId="0" fontId="30" fillId="5" borderId="58" xfId="0" applyFont="1" applyFill="1" applyBorder="1" applyAlignment="1" applyProtection="1">
      <alignment horizontal="center" vertical="center" wrapText="1"/>
    </xf>
    <xf numFmtId="0" fontId="30" fillId="5" borderId="16" xfId="0" applyFont="1" applyFill="1" applyBorder="1" applyAlignment="1" applyProtection="1">
      <alignment horizontal="center" vertical="center" wrapText="1"/>
    </xf>
    <xf numFmtId="0" fontId="30" fillId="5" borderId="57" xfId="0" applyFont="1" applyFill="1" applyBorder="1" applyAlignment="1" applyProtection="1">
      <alignment horizontal="center" vertical="center" wrapText="1"/>
    </xf>
    <xf numFmtId="0" fontId="31" fillId="4" borderId="22" xfId="0" applyFont="1" applyFill="1" applyBorder="1" applyAlignment="1" applyProtection="1">
      <alignment horizontal="center" vertical="center" wrapText="1"/>
    </xf>
    <xf numFmtId="0" fontId="31" fillId="4" borderId="23" xfId="0" applyFont="1" applyFill="1" applyBorder="1" applyAlignment="1" applyProtection="1">
      <alignment horizontal="center" vertical="center" wrapText="1"/>
    </xf>
    <xf numFmtId="0" fontId="31" fillId="4" borderId="33" xfId="0" applyFont="1" applyFill="1" applyBorder="1" applyAlignment="1" applyProtection="1">
      <alignment horizontal="center" vertical="center" wrapText="1"/>
    </xf>
    <xf numFmtId="0" fontId="31" fillId="4" borderId="2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1" fillId="4" borderId="31" xfId="0" applyFont="1" applyFill="1" applyBorder="1" applyAlignment="1" applyProtection="1">
      <alignment horizontal="center" vertical="center" wrapText="1"/>
    </xf>
    <xf numFmtId="0" fontId="31" fillId="4" borderId="19" xfId="0" applyFont="1" applyFill="1" applyBorder="1" applyAlignment="1" applyProtection="1">
      <alignment horizontal="center" vertical="center" wrapText="1"/>
    </xf>
    <xf numFmtId="0" fontId="32" fillId="2" borderId="21" xfId="0" applyFont="1" applyFill="1" applyBorder="1" applyAlignment="1" applyProtection="1">
      <alignment horizontal="center" vertical="center"/>
    </xf>
    <xf numFmtId="166" fontId="32" fillId="2" borderId="19" xfId="0" applyNumberFormat="1" applyFont="1" applyFill="1" applyBorder="1" applyAlignment="1" applyProtection="1">
      <alignment horizontal="center" vertical="center"/>
    </xf>
    <xf numFmtId="10" fontId="32" fillId="2" borderId="19" xfId="0" applyNumberFormat="1" applyFont="1" applyFill="1" applyBorder="1" applyAlignment="1" applyProtection="1">
      <alignment horizontal="center" vertical="center"/>
    </xf>
    <xf numFmtId="4" fontId="32" fillId="2" borderId="19" xfId="0" applyNumberFormat="1" applyFont="1" applyFill="1" applyBorder="1" applyAlignment="1" applyProtection="1">
      <alignment horizontal="center" vertical="center"/>
    </xf>
    <xf numFmtId="10" fontId="32" fillId="2" borderId="31" xfId="0" applyNumberFormat="1" applyFont="1" applyFill="1" applyBorder="1" applyAlignment="1" applyProtection="1">
      <alignment horizontal="center" vertical="center"/>
    </xf>
    <xf numFmtId="0" fontId="32" fillId="8" borderId="21" xfId="0" applyFont="1" applyFill="1" applyBorder="1" applyAlignment="1" applyProtection="1">
      <alignment horizontal="center" vertical="center"/>
    </xf>
    <xf numFmtId="166" fontId="32" fillId="8" borderId="19" xfId="0" applyNumberFormat="1" applyFont="1" applyFill="1" applyBorder="1" applyAlignment="1" applyProtection="1">
      <alignment horizontal="center" vertical="center"/>
    </xf>
    <xf numFmtId="10" fontId="32" fillId="8" borderId="19" xfId="0" applyNumberFormat="1" applyFont="1" applyFill="1" applyBorder="1" applyAlignment="1" applyProtection="1">
      <alignment horizontal="center" vertical="center"/>
    </xf>
    <xf numFmtId="4" fontId="32" fillId="8" borderId="19" xfId="0" applyNumberFormat="1" applyFont="1" applyFill="1" applyBorder="1" applyAlignment="1" applyProtection="1">
      <alignment horizontal="center" vertical="center"/>
    </xf>
    <xf numFmtId="10" fontId="32" fillId="8" borderId="31" xfId="0" applyNumberFormat="1" applyFont="1" applyFill="1" applyBorder="1" applyAlignment="1" applyProtection="1">
      <alignment horizontal="center" vertical="center"/>
    </xf>
    <xf numFmtId="0" fontId="31" fillId="7" borderId="21" xfId="0" applyFont="1" applyFill="1" applyBorder="1" applyAlignment="1" applyProtection="1">
      <alignment horizontal="center" vertical="center"/>
    </xf>
    <xf numFmtId="166" fontId="31" fillId="7" borderId="19" xfId="0" applyNumberFormat="1" applyFont="1" applyFill="1" applyBorder="1" applyAlignment="1" applyProtection="1">
      <alignment horizontal="center" vertical="center"/>
    </xf>
    <xf numFmtId="10" fontId="31" fillId="7" borderId="19" xfId="0" applyNumberFormat="1" applyFont="1" applyFill="1" applyBorder="1" applyAlignment="1" applyProtection="1">
      <alignment horizontal="center" vertical="center"/>
    </xf>
    <xf numFmtId="4" fontId="31" fillId="7" borderId="19" xfId="0" applyNumberFormat="1" applyFont="1" applyFill="1" applyBorder="1" applyAlignment="1" applyProtection="1">
      <alignment horizontal="center" vertical="center"/>
    </xf>
    <xf numFmtId="10" fontId="31" fillId="7" borderId="31" xfId="0" applyNumberFormat="1" applyFont="1" applyFill="1" applyBorder="1" applyAlignment="1" applyProtection="1">
      <alignment horizontal="center" vertical="center"/>
    </xf>
    <xf numFmtId="0" fontId="31" fillId="7" borderId="24" xfId="0" applyFont="1" applyFill="1" applyBorder="1" applyAlignment="1" applyProtection="1">
      <alignment horizontal="center" vertical="center"/>
    </xf>
    <xf numFmtId="166" fontId="31" fillId="7" borderId="25" xfId="0" applyNumberFormat="1" applyFont="1" applyFill="1" applyBorder="1" applyAlignment="1" applyProtection="1">
      <alignment horizontal="center" vertical="center"/>
    </xf>
    <xf numFmtId="10" fontId="31" fillId="7" borderId="25" xfId="0" applyNumberFormat="1" applyFont="1" applyFill="1" applyBorder="1" applyAlignment="1" applyProtection="1">
      <alignment horizontal="center" vertical="center"/>
    </xf>
    <xf numFmtId="4" fontId="31" fillId="7" borderId="25" xfId="0" applyNumberFormat="1" applyFont="1" applyFill="1" applyBorder="1" applyAlignment="1" applyProtection="1">
      <alignment horizontal="center" vertical="center"/>
    </xf>
    <xf numFmtId="10" fontId="31" fillId="7" borderId="26" xfId="0" applyNumberFormat="1" applyFont="1" applyFill="1" applyBorder="1" applyAlignment="1" applyProtection="1">
      <alignment horizontal="center" vertical="center"/>
    </xf>
    <xf numFmtId="0" fontId="46" fillId="0" borderId="0" xfId="0" applyFont="1" applyAlignment="1" applyProtection="1">
      <alignment horizontal="left" vertical="center"/>
    </xf>
    <xf numFmtId="0" fontId="12" fillId="2" borderId="0" xfId="0" applyFont="1" applyFill="1" applyProtection="1"/>
    <xf numFmtId="0" fontId="16" fillId="0" borderId="0" xfId="0" applyFont="1" applyAlignment="1" applyProtection="1">
      <alignment horizontal="center" vertical="center" wrapText="1"/>
    </xf>
    <xf numFmtId="0" fontId="22" fillId="5" borderId="12" xfId="0" applyFont="1" applyFill="1" applyBorder="1" applyAlignment="1" applyProtection="1">
      <alignment horizontal="center" vertical="center" wrapText="1"/>
    </xf>
    <xf numFmtId="0" fontId="22" fillId="5" borderId="13" xfId="0" applyFont="1" applyFill="1" applyBorder="1" applyAlignment="1" applyProtection="1">
      <alignment horizontal="center" vertical="center" wrapText="1"/>
    </xf>
    <xf numFmtId="0" fontId="22" fillId="5" borderId="14" xfId="0" applyFont="1" applyFill="1" applyBorder="1" applyAlignment="1" applyProtection="1">
      <alignment horizontal="center" vertical="center" wrapText="1"/>
    </xf>
    <xf numFmtId="0" fontId="23" fillId="6" borderId="10" xfId="0" applyFont="1" applyFill="1" applyBorder="1" applyAlignment="1" applyProtection="1">
      <alignment horizontal="left" vertical="center" wrapText="1"/>
    </xf>
    <xf numFmtId="0" fontId="23" fillId="6" borderId="0" xfId="0" applyFont="1" applyFill="1" applyAlignment="1" applyProtection="1">
      <alignment horizontal="left" vertical="center" wrapText="1"/>
    </xf>
    <xf numFmtId="0" fontId="23" fillId="6" borderId="11" xfId="0" applyFont="1" applyFill="1" applyBorder="1" applyAlignment="1" applyProtection="1">
      <alignment horizontal="left" vertical="center" wrapText="1"/>
    </xf>
    <xf numFmtId="0" fontId="35" fillId="7" borderId="15"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wrapText="1"/>
    </xf>
    <xf numFmtId="0" fontId="35" fillId="7" borderId="16" xfId="0" applyFont="1" applyFill="1" applyBorder="1" applyAlignment="1" applyProtection="1">
      <alignment horizontal="center" vertical="center"/>
    </xf>
    <xf numFmtId="0" fontId="35" fillId="7" borderId="17" xfId="0" applyFont="1" applyFill="1" applyBorder="1" applyAlignment="1" applyProtection="1">
      <alignment horizontal="center" vertical="center"/>
    </xf>
    <xf numFmtId="0" fontId="24" fillId="4" borderId="22" xfId="0" applyFont="1" applyFill="1" applyBorder="1" applyAlignment="1" applyProtection="1">
      <alignment horizontal="center" vertical="center"/>
    </xf>
    <xf numFmtId="0" fontId="24" fillId="4" borderId="23" xfId="0" applyFont="1" applyFill="1" applyBorder="1" applyAlignment="1" applyProtection="1">
      <alignment horizontal="center" vertical="center"/>
    </xf>
    <xf numFmtId="0" fontId="24" fillId="4" borderId="29" xfId="0" applyFont="1" applyFill="1" applyBorder="1" applyAlignment="1" applyProtection="1">
      <alignment horizontal="center" vertical="center"/>
    </xf>
    <xf numFmtId="0" fontId="24" fillId="4" borderId="30" xfId="0" applyFont="1" applyFill="1" applyBorder="1" applyAlignment="1" applyProtection="1">
      <alignment horizontal="center" vertical="center"/>
    </xf>
    <xf numFmtId="0" fontId="24" fillId="4" borderId="37" xfId="0" applyFont="1" applyFill="1" applyBorder="1" applyAlignment="1" applyProtection="1">
      <alignment horizontal="center" vertical="center"/>
    </xf>
    <xf numFmtId="0" fontId="24" fillId="4" borderId="38" xfId="0" applyFont="1" applyFill="1" applyBorder="1" applyAlignment="1" applyProtection="1">
      <alignment horizontal="center" vertical="center"/>
    </xf>
    <xf numFmtId="0" fontId="24" fillId="4" borderId="39" xfId="0" applyFont="1" applyFill="1" applyBorder="1" applyAlignment="1" applyProtection="1">
      <alignment horizontal="center" vertical="center"/>
    </xf>
    <xf numFmtId="0" fontId="21" fillId="0" borderId="0" xfId="0" applyFont="1" applyProtection="1"/>
    <xf numFmtId="0" fontId="20" fillId="0" borderId="21" xfId="0" applyFont="1" applyBorder="1" applyAlignment="1" applyProtection="1">
      <alignment horizontal="center" vertical="center"/>
    </xf>
    <xf numFmtId="0" fontId="20" fillId="0" borderId="19" xfId="0" applyFont="1" applyBorder="1" applyAlignment="1" applyProtection="1">
      <alignment horizontal="center" vertical="center"/>
    </xf>
    <xf numFmtId="4" fontId="20" fillId="0" borderId="19" xfId="0" applyNumberFormat="1" applyFont="1" applyBorder="1" applyAlignment="1" applyProtection="1">
      <alignment horizontal="center" vertical="center"/>
    </xf>
    <xf numFmtId="166" fontId="20" fillId="0" borderId="19" xfId="0" applyNumberFormat="1" applyFont="1" applyBorder="1" applyAlignment="1" applyProtection="1">
      <alignment horizontal="center" vertical="center"/>
    </xf>
    <xf numFmtId="166" fontId="20" fillId="0" borderId="20" xfId="0" applyNumberFormat="1" applyFont="1" applyBorder="1" applyAlignment="1" applyProtection="1">
      <alignment horizontal="center" vertical="center"/>
    </xf>
    <xf numFmtId="0" fontId="20" fillId="0" borderId="40" xfId="0" applyFont="1" applyBorder="1" applyAlignment="1" applyProtection="1">
      <alignment horizontal="center" vertical="center" wrapText="1"/>
    </xf>
    <xf numFmtId="0" fontId="20" fillId="0" borderId="41" xfId="0" applyFont="1" applyBorder="1" applyAlignment="1" applyProtection="1">
      <alignment horizontal="center" vertical="center" wrapText="1"/>
    </xf>
    <xf numFmtId="0" fontId="20" fillId="0" borderId="42" xfId="0" applyFont="1" applyBorder="1" applyAlignment="1" applyProtection="1">
      <alignment horizontal="center" vertical="center" wrapText="1"/>
    </xf>
    <xf numFmtId="0" fontId="20" fillId="8" borderId="21" xfId="0" applyFont="1" applyFill="1" applyBorder="1" applyAlignment="1" applyProtection="1">
      <alignment horizontal="center" vertical="center"/>
    </xf>
    <xf numFmtId="0" fontId="20" fillId="8" borderId="19" xfId="0" applyFont="1" applyFill="1" applyBorder="1" applyAlignment="1" applyProtection="1">
      <alignment horizontal="center" vertical="center"/>
    </xf>
    <xf numFmtId="4" fontId="20" fillId="8" borderId="19" xfId="0" applyNumberFormat="1" applyFont="1" applyFill="1" applyBorder="1" applyAlignment="1" applyProtection="1">
      <alignment horizontal="center" vertical="center"/>
    </xf>
    <xf numFmtId="166" fontId="20" fillId="8" borderId="19" xfId="0" applyNumberFormat="1" applyFont="1" applyFill="1" applyBorder="1" applyAlignment="1" applyProtection="1">
      <alignment horizontal="center" vertical="center"/>
    </xf>
    <xf numFmtId="166" fontId="20" fillId="8" borderId="20" xfId="0" applyNumberFormat="1" applyFont="1" applyFill="1" applyBorder="1" applyAlignment="1" applyProtection="1">
      <alignment horizontal="center" vertical="center"/>
    </xf>
    <xf numFmtId="0" fontId="20" fillId="8" borderId="40" xfId="0" applyFont="1" applyFill="1" applyBorder="1" applyAlignment="1" applyProtection="1">
      <alignment horizontal="center" vertical="center" wrapText="1"/>
    </xf>
    <xf numFmtId="0" fontId="20" fillId="8" borderId="41" xfId="0" applyFont="1" applyFill="1" applyBorder="1" applyAlignment="1" applyProtection="1">
      <alignment horizontal="center" vertical="center" wrapText="1"/>
    </xf>
    <xf numFmtId="0" fontId="20" fillId="8" borderId="42" xfId="0" applyFont="1" applyFill="1" applyBorder="1" applyAlignment="1" applyProtection="1">
      <alignment horizontal="center" vertical="center" wrapText="1"/>
    </xf>
    <xf numFmtId="0" fontId="20" fillId="8" borderId="24" xfId="0" applyFont="1" applyFill="1" applyBorder="1" applyAlignment="1" applyProtection="1">
      <alignment horizontal="center" vertical="center"/>
    </xf>
    <xf numFmtId="0" fontId="20" fillId="8" borderId="25" xfId="0" applyFont="1" applyFill="1" applyBorder="1" applyAlignment="1" applyProtection="1">
      <alignment horizontal="center" vertical="center"/>
    </xf>
    <xf numFmtId="4" fontId="20" fillId="8" borderId="25" xfId="0" applyNumberFormat="1" applyFont="1" applyFill="1" applyBorder="1" applyAlignment="1" applyProtection="1">
      <alignment horizontal="center" vertical="center"/>
    </xf>
    <xf numFmtId="166" fontId="20" fillId="8" borderId="25" xfId="0" applyNumberFormat="1" applyFont="1" applyFill="1" applyBorder="1" applyAlignment="1" applyProtection="1">
      <alignment horizontal="center" vertical="center"/>
    </xf>
    <xf numFmtId="166" fontId="20" fillId="8" borderId="27" xfId="0" applyNumberFormat="1" applyFont="1" applyFill="1" applyBorder="1" applyAlignment="1" applyProtection="1">
      <alignment horizontal="center" vertical="center"/>
    </xf>
    <xf numFmtId="0" fontId="20" fillId="8" borderId="28" xfId="0" applyFont="1" applyFill="1" applyBorder="1" applyAlignment="1" applyProtection="1">
      <alignment horizontal="center" vertical="center" wrapText="1"/>
    </xf>
    <xf numFmtId="0" fontId="20" fillId="8" borderId="32" xfId="0" applyFont="1" applyFill="1" applyBorder="1" applyAlignment="1" applyProtection="1">
      <alignment horizontal="center" vertical="center" wrapText="1"/>
    </xf>
    <xf numFmtId="0" fontId="20" fillId="8" borderId="43" xfId="0" applyFont="1" applyFill="1" applyBorder="1" applyAlignment="1" applyProtection="1">
      <alignment horizontal="center" vertical="center" wrapText="1"/>
    </xf>
    <xf numFmtId="0" fontId="23" fillId="9" borderId="34" xfId="0" applyFont="1" applyFill="1" applyBorder="1" applyAlignment="1" applyProtection="1">
      <alignment horizontal="left" vertical="center" wrapText="1"/>
    </xf>
    <xf numFmtId="0" fontId="23" fillId="9" borderId="35" xfId="0" applyFont="1" applyFill="1" applyBorder="1" applyAlignment="1" applyProtection="1">
      <alignment horizontal="left" vertical="center" wrapText="1"/>
    </xf>
    <xf numFmtId="0" fontId="23" fillId="9" borderId="36" xfId="0" applyFont="1" applyFill="1" applyBorder="1" applyAlignment="1" applyProtection="1">
      <alignment horizontal="left" vertical="center" wrapText="1"/>
    </xf>
    <xf numFmtId="0" fontId="20" fillId="0" borderId="0" xfId="0" applyFont="1" applyAlignment="1" applyProtection="1">
      <alignment vertical="center"/>
    </xf>
    <xf numFmtId="0" fontId="45" fillId="0" borderId="0" xfId="0" applyFont="1" applyAlignment="1" applyProtection="1">
      <alignment horizontal="right" vertical="center"/>
    </xf>
    <xf numFmtId="0" fontId="0" fillId="0" borderId="0" xfId="0" applyFont="1"/>
    <xf numFmtId="0" fontId="61" fillId="0" borderId="0" xfId="0" applyFont="1" applyFill="1" applyAlignment="1" applyProtection="1">
      <alignment horizontal="left" vertical="center"/>
    </xf>
  </cellXfs>
  <cellStyles count="6">
    <cellStyle name="Komma 2" xfId="2" xr:uid="{9A15DB16-AC56-4B1C-B1FA-109392DA5A8C}"/>
    <cellStyle name="Prozent 2" xfId="3" xr:uid="{C99D48E9-F77D-4B3C-B4F4-10BC43930501}"/>
    <cellStyle name="Standard" xfId="0" builtinId="0"/>
    <cellStyle name="Standard 2" xfId="1" xr:uid="{BD246245-DCE4-4353-B148-E05A0212ECE0}"/>
    <cellStyle name="Standard 3" xfId="5" xr:uid="{09EAA06B-F081-E740-9498-6059285E22C5}"/>
    <cellStyle name="Währung 2" xfId="4" xr:uid="{D1EEB12E-973F-4E9B-93F6-7C6840E4AB66}"/>
  </cellStyles>
  <dxfs count="1">
    <dxf>
      <font>
        <b/>
        <i val="0"/>
        <color rgb="FF006100"/>
      </font>
      <fill>
        <patternFill>
          <bgColor rgb="FFC6EFCE"/>
        </patternFill>
      </fill>
    </dxf>
  </dxfs>
  <tableStyles count="0" defaultTableStyle="TableStyleMedium9" defaultPivotStyle="PivotStyleLight16"/>
  <colors>
    <mruColors>
      <color rgb="FF1F4E79"/>
      <color rgb="FFFFF2CC"/>
      <color rgb="FFDDEBF7"/>
      <color rgb="FFA3B7CC"/>
      <color rgb="FFF2DDDC"/>
      <color rgb="FFE9EFB3"/>
      <color rgb="FFE3C567"/>
      <color rgb="FFFFFF00"/>
      <color rgb="FFD6D6D6"/>
      <color rgb="FFD1BFA5"/>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pro Monat</a:t>
            </a:r>
          </a:p>
        </c:rich>
      </c:tx>
      <c:overlay val="0"/>
    </c:title>
    <c:autoTitleDeleted val="0"/>
    <c:plotArea>
      <c:layout/>
      <c:barChart>
        <c:barDir val="col"/>
        <c:grouping val="clustered"/>
        <c:varyColors val="0"/>
        <c:ser>
          <c:idx val="0"/>
          <c:order val="0"/>
          <c:tx>
            <c:v>Austritte</c:v>
          </c:tx>
          <c:invertIfNegative val="0"/>
          <c:cat>
            <c:strRef>
              <c:f>FLUKTUATION!$P$2:$P$9</c:f>
              <c:strCache>
                <c:ptCount val="8"/>
                <c:pt idx="0">
                  <c:v>Januar</c:v>
                </c:pt>
                <c:pt idx="1">
                  <c:v>Februar</c:v>
                </c:pt>
                <c:pt idx="2">
                  <c:v>April</c:v>
                </c:pt>
                <c:pt idx="3">
                  <c:v>Mai</c:v>
                </c:pt>
                <c:pt idx="4">
                  <c:v>Juni</c:v>
                </c:pt>
                <c:pt idx="5">
                  <c:v>Juli</c:v>
                </c:pt>
                <c:pt idx="6">
                  <c:v>September</c:v>
                </c:pt>
                <c:pt idx="7">
                  <c:v>Oktober</c:v>
                </c:pt>
              </c:strCache>
            </c:strRef>
          </c:cat>
          <c:val>
            <c:numRef>
              <c:f>FLUKTUATION!$Q$2:$Q$9</c:f>
              <c:numCache>
                <c:formatCode>General</c:formatCode>
                <c:ptCount val="8"/>
                <c:pt idx="0">
                  <c:v>2</c:v>
                </c:pt>
                <c:pt idx="1">
                  <c:v>1</c:v>
                </c:pt>
                <c:pt idx="2">
                  <c:v>1</c:v>
                </c:pt>
                <c:pt idx="3">
                  <c:v>2</c:v>
                </c:pt>
                <c:pt idx="4">
                  <c:v>1</c:v>
                </c:pt>
                <c:pt idx="5">
                  <c:v>1</c:v>
                </c:pt>
                <c:pt idx="6">
                  <c:v>1</c:v>
                </c:pt>
                <c:pt idx="7">
                  <c:v>1</c:v>
                </c:pt>
              </c:numCache>
            </c:numRef>
          </c:val>
          <c:extLst>
            <c:ext xmlns:c16="http://schemas.microsoft.com/office/drawing/2014/chart" uri="{C3380CC4-5D6E-409C-BE32-E72D297353CC}">
              <c16:uniqueId val="{00000000-69D0-4761-879D-911D8B842CCA}"/>
            </c:ext>
          </c:extLst>
        </c:ser>
        <c:dLbls>
          <c:showLegendKey val="0"/>
          <c:showVal val="0"/>
          <c:showCatName val="0"/>
          <c:showSerName val="0"/>
          <c:showPercent val="0"/>
          <c:showBubbleSize val="0"/>
        </c:dLbls>
        <c:gapWidth val="150"/>
        <c:axId val="330565695"/>
        <c:axId val="330566175"/>
      </c:barChart>
      <c:catAx>
        <c:axId val="330565695"/>
        <c:scaling>
          <c:orientation val="minMax"/>
        </c:scaling>
        <c:delete val="0"/>
        <c:axPos val="b"/>
        <c:numFmt formatCode="General" sourceLinked="1"/>
        <c:majorTickMark val="out"/>
        <c:minorTickMark val="none"/>
        <c:tickLblPos val="nextTo"/>
        <c:crossAx val="330566175"/>
        <c:crosses val="autoZero"/>
        <c:auto val="1"/>
        <c:lblAlgn val="ctr"/>
        <c:lblOffset val="100"/>
        <c:noMultiLvlLbl val="0"/>
      </c:catAx>
      <c:valAx>
        <c:axId val="330566175"/>
        <c:scaling>
          <c:orientation val="minMax"/>
        </c:scaling>
        <c:delete val="0"/>
        <c:axPos val="l"/>
        <c:majorGridlines/>
        <c:numFmt formatCode="General" sourceLinked="1"/>
        <c:majorTickMark val="out"/>
        <c:minorTickMark val="none"/>
        <c:tickLblPos val="nextTo"/>
        <c:crossAx val="330565695"/>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Kategorie</a:t>
            </a:r>
          </a:p>
        </c:rich>
      </c:tx>
      <c:overlay val="0"/>
    </c:title>
    <c:autoTitleDeleted val="0"/>
    <c:plotArea>
      <c:layout/>
      <c:pieChart>
        <c:varyColors val="1"/>
        <c:ser>
          <c:idx val="0"/>
          <c:order val="0"/>
          <c:tx>
            <c:v>Kategorien</c:v>
          </c:tx>
          <c:cat>
            <c:strRef>
              <c:f>FLUKTUATION!$P$21:$P$25</c:f>
              <c:strCache>
                <c:ptCount val="5"/>
                <c:pt idx="0">
                  <c:v>Erste 90 Tage</c:v>
                </c:pt>
                <c:pt idx="1">
                  <c:v>Erfahrene MA</c:v>
                </c:pt>
                <c:pt idx="2">
                  <c:v>Wichtige Austritte</c:v>
                </c:pt>
                <c:pt idx="3">
                  <c:v>Normal</c:v>
                </c:pt>
                <c:pt idx="4">
                  <c:v>Neutral</c:v>
                </c:pt>
              </c:strCache>
            </c:strRef>
          </c:cat>
          <c:val>
            <c:numRef>
              <c:f>FLUKTUATION!$Q$21:$Q$25</c:f>
              <c:numCache>
                <c:formatCode>General</c:formatCode>
                <c:ptCount val="5"/>
                <c:pt idx="0">
                  <c:v>1</c:v>
                </c:pt>
                <c:pt idx="1">
                  <c:v>3</c:v>
                </c:pt>
                <c:pt idx="2">
                  <c:v>1</c:v>
                </c:pt>
                <c:pt idx="3">
                  <c:v>4</c:v>
                </c:pt>
                <c:pt idx="4">
                  <c:v>1</c:v>
                </c:pt>
              </c:numCache>
            </c:numRef>
          </c:val>
          <c:extLst>
            <c:ext xmlns:c16="http://schemas.microsoft.com/office/drawing/2014/chart" uri="{C3380CC4-5D6E-409C-BE32-E72D297353CC}">
              <c16:uniqueId val="{00000000-C77D-4018-B4D6-90FFA08006C3}"/>
            </c:ext>
          </c:extLst>
        </c:ser>
        <c:dLbls>
          <c:showLegendKey val="0"/>
          <c:showVal val="0"/>
          <c:showCatName val="0"/>
          <c:showSerName val="0"/>
          <c:showPercent val="0"/>
          <c:showBubbleSize val="0"/>
          <c:showLeaderLines val="1"/>
        </c:dLbls>
        <c:firstSliceAng val="0"/>
      </c:pieChart>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de-DE"/>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de-DE"/>
              <a:t>Austritte nach Austrittsgrund</a:t>
            </a:r>
          </a:p>
        </c:rich>
      </c:tx>
      <c:overlay val="0"/>
    </c:title>
    <c:autoTitleDeleted val="0"/>
    <c:plotArea>
      <c:layout/>
      <c:barChart>
        <c:barDir val="bar"/>
        <c:grouping val="clustered"/>
        <c:varyColors val="0"/>
        <c:ser>
          <c:idx val="0"/>
          <c:order val="0"/>
          <c:tx>
            <c:v>Austritte</c:v>
          </c:tx>
          <c:invertIfNegative val="0"/>
          <c:cat>
            <c:strRef>
              <c:f>FLUKTUATION!$R$41:$R$45</c:f>
              <c:strCache>
                <c:ptCount val="5"/>
                <c:pt idx="0">
                  <c:v>Dienstnehmer Kündigung</c:v>
                </c:pt>
                <c:pt idx="1">
                  <c:v>Dienstgeber Kündigung</c:v>
                </c:pt>
                <c:pt idx="2">
                  <c:v>Einvernehmliche Auflösung</c:v>
                </c:pt>
                <c:pt idx="3">
                  <c:v>Karenz</c:v>
                </c:pt>
                <c:pt idx="4">
                  <c:v>Unberechtigter vorzeitiger Austritt</c:v>
                </c:pt>
              </c:strCache>
            </c:strRef>
          </c:cat>
          <c:val>
            <c:numRef>
              <c:f>FLUKTUATION!$S$41:$S$45</c:f>
              <c:numCache>
                <c:formatCode>General</c:formatCode>
                <c:ptCount val="5"/>
                <c:pt idx="0">
                  <c:v>3</c:v>
                </c:pt>
                <c:pt idx="1">
                  <c:v>3</c:v>
                </c:pt>
                <c:pt idx="2">
                  <c:v>2</c:v>
                </c:pt>
                <c:pt idx="3">
                  <c:v>1</c:v>
                </c:pt>
                <c:pt idx="4">
                  <c:v>2</c:v>
                </c:pt>
              </c:numCache>
            </c:numRef>
          </c:val>
          <c:extLst>
            <c:ext xmlns:c16="http://schemas.microsoft.com/office/drawing/2014/chart" uri="{C3380CC4-5D6E-409C-BE32-E72D297353CC}">
              <c16:uniqueId val="{00000000-3813-45CF-B94B-6808EC864009}"/>
            </c:ext>
          </c:extLst>
        </c:ser>
        <c:dLbls>
          <c:showLegendKey val="0"/>
          <c:showVal val="0"/>
          <c:showCatName val="0"/>
          <c:showSerName val="0"/>
          <c:showPercent val="0"/>
          <c:showBubbleSize val="0"/>
        </c:dLbls>
        <c:gapWidth val="150"/>
        <c:axId val="319698671"/>
        <c:axId val="319696751"/>
      </c:barChart>
      <c:catAx>
        <c:axId val="319698671"/>
        <c:scaling>
          <c:orientation val="minMax"/>
        </c:scaling>
        <c:delete val="0"/>
        <c:axPos val="l"/>
        <c:numFmt formatCode="General" sourceLinked="1"/>
        <c:majorTickMark val="out"/>
        <c:minorTickMark val="none"/>
        <c:tickLblPos val="nextTo"/>
        <c:crossAx val="319696751"/>
        <c:crosses val="autoZero"/>
        <c:auto val="1"/>
        <c:lblAlgn val="ctr"/>
        <c:lblOffset val="100"/>
        <c:noMultiLvlLbl val="0"/>
      </c:catAx>
      <c:valAx>
        <c:axId val="319696751"/>
        <c:scaling>
          <c:orientation val="minMax"/>
        </c:scaling>
        <c:delete val="0"/>
        <c:axPos val="b"/>
        <c:majorGridlines/>
        <c:numFmt formatCode="General" sourceLinked="1"/>
        <c:majorTickMark val="out"/>
        <c:minorTickMark val="none"/>
        <c:tickLblPos val="nextTo"/>
        <c:crossAx val="319698671"/>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8740157499999996" l="0.7" r="0.7" t="0.78740157499999996" header="0.3" footer="0.3"/>
    <c:pageSetup/>
  </c:printSettings>
</c:chartSpace>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6.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absolute">
    <xdr:from>
      <xdr:col>1</xdr:col>
      <xdr:colOff>0</xdr:colOff>
      <xdr:row>4</xdr:row>
      <xdr:rowOff>0</xdr:rowOff>
    </xdr:from>
    <xdr:to>
      <xdr:col>2</xdr:col>
      <xdr:colOff>298450</xdr:colOff>
      <xdr:row>6</xdr:row>
      <xdr:rowOff>12700</xdr:rowOff>
    </xdr:to>
    <xdr:sp macro="PID_AdminRunSmokeCheck" textlink="">
      <xdr:nvSpPr>
        <xdr:cNvPr id="16" name="btn_Admin_Smoke">
          <a:extLst>
            <a:ext uri="{FF2B5EF4-FFF2-40B4-BE49-F238E27FC236}">
              <a16:creationId xmlns:a16="http://schemas.microsoft.com/office/drawing/2014/main" id="{115CAD47-35D2-1E75-E7E6-5D989A1E492B}"/>
            </a:ext>
          </a:extLst>
        </xdr:cNvPr>
        <xdr:cNvSpPr/>
      </xdr:nvSpPr>
      <xdr:spPr>
        <a:xfrm>
          <a:off x="1841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Smoke Check</a:t>
          </a:r>
        </a:p>
      </xdr:txBody>
    </xdr:sp>
    <xdr:clientData/>
  </xdr:twoCellAnchor>
  <xdr:twoCellAnchor editAs="absolute">
    <xdr:from>
      <xdr:col>2</xdr:col>
      <xdr:colOff>476250</xdr:colOff>
      <xdr:row>4</xdr:row>
      <xdr:rowOff>0</xdr:rowOff>
    </xdr:from>
    <xdr:to>
      <xdr:col>3</xdr:col>
      <xdr:colOff>774700</xdr:colOff>
      <xdr:row>6</xdr:row>
      <xdr:rowOff>12700</xdr:rowOff>
    </xdr:to>
    <xdr:sp macro="PID_AdminRunFullRefresh" textlink="">
      <xdr:nvSpPr>
        <xdr:cNvPr id="17" name="btn_Admin_Refresh">
          <a:extLst>
            <a:ext uri="{FF2B5EF4-FFF2-40B4-BE49-F238E27FC236}">
              <a16:creationId xmlns:a16="http://schemas.microsoft.com/office/drawing/2014/main" id="{AD0E6C9A-FB3C-5EB3-CC36-D6FB01E95307}"/>
            </a:ext>
          </a:extLst>
        </xdr:cNvPr>
        <xdr:cNvSpPr/>
      </xdr:nvSpPr>
      <xdr:spPr>
        <a:xfrm>
          <a:off x="2241550" y="819150"/>
          <a:ext cx="1879600" cy="3810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Full Refresh</a:t>
          </a:r>
        </a:p>
      </xdr:txBody>
    </xdr:sp>
    <xdr:clientData/>
  </xdr:twoCellAnchor>
  <xdr:twoCellAnchor editAs="absolute">
    <xdr:from>
      <xdr:col>1</xdr:col>
      <xdr:colOff>0</xdr:colOff>
      <xdr:row>6</xdr:row>
      <xdr:rowOff>139700</xdr:rowOff>
    </xdr:from>
    <xdr:to>
      <xdr:col>2</xdr:col>
      <xdr:colOff>298450</xdr:colOff>
      <xdr:row>8</xdr:row>
      <xdr:rowOff>152400</xdr:rowOff>
    </xdr:to>
    <xdr:sp macro="PID_AdminRunQuickCheck" textlink="">
      <xdr:nvSpPr>
        <xdr:cNvPr id="18" name="btn_Admin_Quick">
          <a:extLst>
            <a:ext uri="{FF2B5EF4-FFF2-40B4-BE49-F238E27FC236}">
              <a16:creationId xmlns:a16="http://schemas.microsoft.com/office/drawing/2014/main" id="{12BAECAC-CF43-AA6F-13EA-DAB34D5E5DDB}"/>
            </a:ext>
          </a:extLst>
        </xdr:cNvPr>
        <xdr:cNvSpPr/>
      </xdr:nvSpPr>
      <xdr:spPr>
        <a:xfrm>
          <a:off x="1841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Quick Check</a:t>
          </a:r>
        </a:p>
      </xdr:txBody>
    </xdr:sp>
    <xdr:clientData/>
  </xdr:twoCellAnchor>
  <xdr:twoCellAnchor editAs="absolute">
    <xdr:from>
      <xdr:col>2</xdr:col>
      <xdr:colOff>476250</xdr:colOff>
      <xdr:row>6</xdr:row>
      <xdr:rowOff>139700</xdr:rowOff>
    </xdr:from>
    <xdr:to>
      <xdr:col>3</xdr:col>
      <xdr:colOff>774700</xdr:colOff>
      <xdr:row>8</xdr:row>
      <xdr:rowOff>152400</xdr:rowOff>
    </xdr:to>
    <xdr:sp macro="PID_AdminRunFormatMonths" textlink="">
      <xdr:nvSpPr>
        <xdr:cNvPr id="19" name="btn_Admin_Format">
          <a:extLst>
            <a:ext uri="{FF2B5EF4-FFF2-40B4-BE49-F238E27FC236}">
              <a16:creationId xmlns:a16="http://schemas.microsoft.com/office/drawing/2014/main" id="{F07F9082-81B8-4B98-3971-964B84E6B207}"/>
            </a:ext>
          </a:extLst>
        </xdr:cNvPr>
        <xdr:cNvSpPr/>
      </xdr:nvSpPr>
      <xdr:spPr>
        <a:xfrm>
          <a:off x="2241550" y="1327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Format Monate</a:t>
          </a:r>
        </a:p>
      </xdr:txBody>
    </xdr:sp>
    <xdr:clientData/>
  </xdr:twoCellAnchor>
  <xdr:twoCellAnchor editAs="absolute">
    <xdr:from>
      <xdr:col>1</xdr:col>
      <xdr:colOff>0</xdr:colOff>
      <xdr:row>9</xdr:row>
      <xdr:rowOff>95250</xdr:rowOff>
    </xdr:from>
    <xdr:to>
      <xdr:col>2</xdr:col>
      <xdr:colOff>298450</xdr:colOff>
      <xdr:row>11</xdr:row>
      <xdr:rowOff>107950</xdr:rowOff>
    </xdr:to>
    <xdr:sp macro="ResetAndImportVBAFiles" textlink="">
      <xdr:nvSpPr>
        <xdr:cNvPr id="20" name="btn_Admin_Import">
          <a:extLst>
            <a:ext uri="{FF2B5EF4-FFF2-40B4-BE49-F238E27FC236}">
              <a16:creationId xmlns:a16="http://schemas.microsoft.com/office/drawing/2014/main" id="{86EE0A4A-803A-C284-E038-1FA1F33C1351}"/>
            </a:ext>
          </a:extLst>
        </xdr:cNvPr>
        <xdr:cNvSpPr/>
      </xdr:nvSpPr>
      <xdr:spPr>
        <a:xfrm>
          <a:off x="1841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VBA Import</a:t>
          </a:r>
        </a:p>
      </xdr:txBody>
    </xdr:sp>
    <xdr:clientData/>
  </xdr:twoCellAnchor>
  <xdr:twoCellAnchor editAs="absolute">
    <xdr:from>
      <xdr:col>2</xdr:col>
      <xdr:colOff>476250</xdr:colOff>
      <xdr:row>9</xdr:row>
      <xdr:rowOff>95250</xdr:rowOff>
    </xdr:from>
    <xdr:to>
      <xdr:col>3</xdr:col>
      <xdr:colOff>774700</xdr:colOff>
      <xdr:row>11</xdr:row>
      <xdr:rowOff>107950</xdr:rowOff>
    </xdr:to>
    <xdr:sp macro="PID_AdminRunPerfBaseline" textlink="">
      <xdr:nvSpPr>
        <xdr:cNvPr id="21" name="btn_Admin_Perf">
          <a:extLst>
            <a:ext uri="{FF2B5EF4-FFF2-40B4-BE49-F238E27FC236}">
              <a16:creationId xmlns:a16="http://schemas.microsoft.com/office/drawing/2014/main" id="{27372C9D-E55C-A3BD-C92E-BAAB92501335}"/>
            </a:ext>
          </a:extLst>
        </xdr:cNvPr>
        <xdr:cNvSpPr/>
      </xdr:nvSpPr>
      <xdr:spPr>
        <a:xfrm>
          <a:off x="2241550" y="1835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Perf. Baseline</a:t>
          </a:r>
        </a:p>
      </xdr:txBody>
    </xdr:sp>
    <xdr:clientData/>
  </xdr:twoCellAnchor>
  <xdr:twoCellAnchor editAs="absolute">
    <xdr:from>
      <xdr:col>1</xdr:col>
      <xdr:colOff>0</xdr:colOff>
      <xdr:row>12</xdr:row>
      <xdr:rowOff>50800</xdr:rowOff>
    </xdr:from>
    <xdr:to>
      <xdr:col>2</xdr:col>
      <xdr:colOff>298450</xdr:colOff>
      <xdr:row>14</xdr:row>
      <xdr:rowOff>63500</xdr:rowOff>
    </xdr:to>
    <xdr:sp macro="PID_AdminRunProtectAll" textlink="">
      <xdr:nvSpPr>
        <xdr:cNvPr id="22" name="btn_Admin_Protect">
          <a:extLst>
            <a:ext uri="{FF2B5EF4-FFF2-40B4-BE49-F238E27FC236}">
              <a16:creationId xmlns:a16="http://schemas.microsoft.com/office/drawing/2014/main" id="{3CE0B468-1DF7-A31C-8332-B5A756676BC1}"/>
            </a:ext>
          </a:extLst>
        </xdr:cNvPr>
        <xdr:cNvSpPr/>
      </xdr:nvSpPr>
      <xdr:spPr>
        <a:xfrm>
          <a:off x="184150" y="2343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AN</a:t>
          </a:r>
        </a:p>
      </xdr:txBody>
    </xdr:sp>
    <xdr:clientData/>
  </xdr:twoCellAnchor>
  <xdr:twoCellAnchor editAs="absolute">
    <xdr:from>
      <xdr:col>2</xdr:col>
      <xdr:colOff>476250</xdr:colOff>
      <xdr:row>12</xdr:row>
      <xdr:rowOff>50800</xdr:rowOff>
    </xdr:from>
    <xdr:to>
      <xdr:col>3</xdr:col>
      <xdr:colOff>774700</xdr:colOff>
      <xdr:row>14</xdr:row>
      <xdr:rowOff>63500</xdr:rowOff>
    </xdr:to>
    <xdr:sp macro="PID_AdminRunUnprotectAll" textlink="">
      <xdr:nvSpPr>
        <xdr:cNvPr id="23" name="btn_Admin_Unprotect">
          <a:extLst>
            <a:ext uri="{FF2B5EF4-FFF2-40B4-BE49-F238E27FC236}">
              <a16:creationId xmlns:a16="http://schemas.microsoft.com/office/drawing/2014/main" id="{C936C298-3883-3CC1-2ECD-B04DE7E615CA}"/>
            </a:ext>
          </a:extLst>
        </xdr:cNvPr>
        <xdr:cNvSpPr/>
      </xdr:nvSpPr>
      <xdr:spPr>
        <a:xfrm>
          <a:off x="2241550" y="2343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Schutz AUS</a:t>
          </a:r>
        </a:p>
      </xdr:txBody>
    </xdr:sp>
    <xdr:clientData/>
  </xdr:twoCellAnchor>
  <xdr:twoCellAnchor editAs="absolute">
    <xdr:from>
      <xdr:col>1</xdr:col>
      <xdr:colOff>0</xdr:colOff>
      <xdr:row>15</xdr:row>
      <xdr:rowOff>6350</xdr:rowOff>
    </xdr:from>
    <xdr:to>
      <xdr:col>2</xdr:col>
      <xdr:colOff>298450</xdr:colOff>
      <xdr:row>17</xdr:row>
      <xdr:rowOff>19050</xdr:rowOff>
    </xdr:to>
    <xdr:sp macro="PID_AdminShowTechSheets" textlink="">
      <xdr:nvSpPr>
        <xdr:cNvPr id="24" name="btn_Admin_ShowTech">
          <a:extLst>
            <a:ext uri="{FF2B5EF4-FFF2-40B4-BE49-F238E27FC236}">
              <a16:creationId xmlns:a16="http://schemas.microsoft.com/office/drawing/2014/main" id="{3FB43F00-4519-44FF-F3E0-0D686CFF1465}"/>
            </a:ext>
          </a:extLst>
        </xdr:cNvPr>
        <xdr:cNvSpPr/>
      </xdr:nvSpPr>
      <xdr:spPr>
        <a:xfrm>
          <a:off x="1841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zeigen</a:t>
          </a:r>
        </a:p>
      </xdr:txBody>
    </xdr:sp>
    <xdr:clientData/>
  </xdr:twoCellAnchor>
  <xdr:twoCellAnchor editAs="absolute">
    <xdr:from>
      <xdr:col>2</xdr:col>
      <xdr:colOff>476250</xdr:colOff>
      <xdr:row>15</xdr:row>
      <xdr:rowOff>6350</xdr:rowOff>
    </xdr:from>
    <xdr:to>
      <xdr:col>3</xdr:col>
      <xdr:colOff>774700</xdr:colOff>
      <xdr:row>17</xdr:row>
      <xdr:rowOff>19050</xdr:rowOff>
    </xdr:to>
    <xdr:sp macro="PID_AdminHideTechSheets" textlink="">
      <xdr:nvSpPr>
        <xdr:cNvPr id="25" name="btn_Admin_HideTech">
          <a:extLst>
            <a:ext uri="{FF2B5EF4-FFF2-40B4-BE49-F238E27FC236}">
              <a16:creationId xmlns:a16="http://schemas.microsoft.com/office/drawing/2014/main" id="{B8B32721-1040-8A46-71E0-2938B01DF3BB}"/>
            </a:ext>
          </a:extLst>
        </xdr:cNvPr>
        <xdr:cNvSpPr/>
      </xdr:nvSpPr>
      <xdr:spPr>
        <a:xfrm>
          <a:off x="2241550" y="2851150"/>
          <a:ext cx="1879600" cy="3810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Tech-Bl. verbergen</a:t>
          </a:r>
        </a:p>
      </xdr:txBody>
    </xdr:sp>
    <xdr:clientData/>
  </xdr:twoCellAnchor>
  <xdr:twoCellAnchor editAs="absolute">
    <xdr:from>
      <xdr:col>1</xdr:col>
      <xdr:colOff>0</xdr:colOff>
      <xdr:row>17</xdr:row>
      <xdr:rowOff>146050</xdr:rowOff>
    </xdr:from>
    <xdr:to>
      <xdr:col>2</xdr:col>
      <xdr:colOff>298450</xdr:colOff>
      <xdr:row>19</xdr:row>
      <xdr:rowOff>158750</xdr:rowOff>
    </xdr:to>
    <xdr:sp macro="PID_AdminRunRebuildLohn" textlink="">
      <xdr:nvSpPr>
        <xdr:cNvPr id="26" name="btn_Admin_Lohn">
          <a:extLst>
            <a:ext uri="{FF2B5EF4-FFF2-40B4-BE49-F238E27FC236}">
              <a16:creationId xmlns:a16="http://schemas.microsoft.com/office/drawing/2014/main" id="{20B7E6DE-7563-CF14-C408-DEA0CE155EEE}"/>
            </a:ext>
          </a:extLst>
        </xdr:cNvPr>
        <xdr:cNvSpPr/>
      </xdr:nvSpPr>
      <xdr:spPr>
        <a:xfrm>
          <a:off x="1841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LOHNTABELLE</a:t>
          </a:r>
        </a:p>
      </xdr:txBody>
    </xdr:sp>
    <xdr:clientData/>
  </xdr:twoCellAnchor>
  <xdr:twoCellAnchor editAs="absolute">
    <xdr:from>
      <xdr:col>2</xdr:col>
      <xdr:colOff>476250</xdr:colOff>
      <xdr:row>17</xdr:row>
      <xdr:rowOff>146050</xdr:rowOff>
    </xdr:from>
    <xdr:to>
      <xdr:col>3</xdr:col>
      <xdr:colOff>774700</xdr:colOff>
      <xdr:row>19</xdr:row>
      <xdr:rowOff>158750</xdr:rowOff>
    </xdr:to>
    <xdr:sp macro="PID_AdminResetHourOverrideLog" textlink="">
      <xdr:nvSpPr>
        <xdr:cNvPr id="27" name="btn_Admin_ResetHours">
          <a:extLst>
            <a:ext uri="{FF2B5EF4-FFF2-40B4-BE49-F238E27FC236}">
              <a16:creationId xmlns:a16="http://schemas.microsoft.com/office/drawing/2014/main" id="{48EF14ED-A2D0-D20D-6AAD-27F29C516109}"/>
            </a:ext>
          </a:extLst>
        </xdr:cNvPr>
        <xdr:cNvSpPr/>
      </xdr:nvSpPr>
      <xdr:spPr>
        <a:xfrm>
          <a:off x="2241550" y="3359150"/>
          <a:ext cx="1879600" cy="3810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Stunden-Log</a:t>
          </a:r>
        </a:p>
      </xdr:txBody>
    </xdr:sp>
    <xdr:clientData/>
  </xdr:twoCellAnchor>
  <xdr:twoCellAnchor editAs="absolute">
    <xdr:from>
      <xdr:col>1</xdr:col>
      <xdr:colOff>0</xdr:colOff>
      <xdr:row>20</xdr:row>
      <xdr:rowOff>101600</xdr:rowOff>
    </xdr:from>
    <xdr:to>
      <xdr:col>2</xdr:col>
      <xdr:colOff>298450</xdr:colOff>
      <xdr:row>22</xdr:row>
      <xdr:rowOff>114300</xdr:rowOff>
    </xdr:to>
    <xdr:sp macro="PID_AdminOpenSmokeSheet" textlink="">
      <xdr:nvSpPr>
        <xdr:cNvPr id="28" name="btn_Admin_SmokeSheet">
          <a:extLst>
            <a:ext uri="{FF2B5EF4-FFF2-40B4-BE49-F238E27FC236}">
              <a16:creationId xmlns:a16="http://schemas.microsoft.com/office/drawing/2014/main" id="{A000DAA8-9A49-EA7A-1288-C24A2DEEB544}"/>
            </a:ext>
          </a:extLst>
        </xdr:cNvPr>
        <xdr:cNvSpPr/>
      </xdr:nvSpPr>
      <xdr:spPr>
        <a:xfrm>
          <a:off x="1841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SYSTEM_CHECK</a:t>
          </a:r>
        </a:p>
      </xdr:txBody>
    </xdr:sp>
    <xdr:clientData/>
  </xdr:twoCellAnchor>
  <xdr:twoCellAnchor editAs="absolute">
    <xdr:from>
      <xdr:col>2</xdr:col>
      <xdr:colOff>476250</xdr:colOff>
      <xdr:row>20</xdr:row>
      <xdr:rowOff>101600</xdr:rowOff>
    </xdr:from>
    <xdr:to>
      <xdr:col>3</xdr:col>
      <xdr:colOff>774700</xdr:colOff>
      <xdr:row>22</xdr:row>
      <xdr:rowOff>114300</xdr:rowOff>
    </xdr:to>
    <xdr:sp macro="PID_AdminHidePanel" textlink="">
      <xdr:nvSpPr>
        <xdr:cNvPr id="29" name="btn_Admin_Hide">
          <a:extLst>
            <a:ext uri="{FF2B5EF4-FFF2-40B4-BE49-F238E27FC236}">
              <a16:creationId xmlns:a16="http://schemas.microsoft.com/office/drawing/2014/main" id="{3469C79C-FE55-5EC7-A894-C75ED8E22F07}"/>
            </a:ext>
          </a:extLst>
        </xdr:cNvPr>
        <xdr:cNvSpPr/>
      </xdr:nvSpPr>
      <xdr:spPr>
        <a:xfrm>
          <a:off x="2241550" y="3867150"/>
          <a:ext cx="1879600" cy="3810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Admin verbergen</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63500</xdr:colOff>
      <xdr:row>1</xdr:row>
      <xdr:rowOff>44450</xdr:rowOff>
    </xdr:from>
    <xdr:to>
      <xdr:col>2</xdr:col>
      <xdr:colOff>885826</xdr:colOff>
      <xdr:row>1</xdr:row>
      <xdr:rowOff>260350</xdr:rowOff>
    </xdr:to>
    <xdr:sp macro="AddNewKVPeriodOnTop" textlink="">
      <xdr:nvSpPr>
        <xdr:cNvPr id="2" name="btn_AddNewKVPeriodOnTop">
          <a:extLst>
            <a:ext uri="{FF2B5EF4-FFF2-40B4-BE49-F238E27FC236}">
              <a16:creationId xmlns:a16="http://schemas.microsoft.com/office/drawing/2014/main" id="{3564EA8B-2B11-A017-B37A-095AB3D27A9A}"/>
            </a:ext>
          </a:extLst>
        </xdr:cNvPr>
        <xdr:cNvSpPr/>
      </xdr:nvSpPr>
      <xdr:spPr>
        <a:xfrm>
          <a:off x="63500" y="298450"/>
          <a:ext cx="3209925" cy="2159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1) Neue Periode</a:t>
          </a:r>
        </a:p>
      </xdr:txBody>
    </xdr:sp>
    <xdr:clientData/>
  </xdr:twoCellAnchor>
  <xdr:twoCellAnchor editAs="absolute">
    <xdr:from>
      <xdr:col>2</xdr:col>
      <xdr:colOff>949326</xdr:colOff>
      <xdr:row>1</xdr:row>
      <xdr:rowOff>44450</xdr:rowOff>
    </xdr:from>
    <xdr:to>
      <xdr:col>5</xdr:col>
      <xdr:colOff>874182</xdr:colOff>
      <xdr:row>1</xdr:row>
      <xdr:rowOff>260350</xdr:rowOff>
    </xdr:to>
    <xdr:sp macro="AddCustomKVMonatsstunden" textlink="">
      <xdr:nvSpPr>
        <xdr:cNvPr id="3" name="btn_AddCustomKVMonatsstunden">
          <a:extLst>
            <a:ext uri="{FF2B5EF4-FFF2-40B4-BE49-F238E27FC236}">
              <a16:creationId xmlns:a16="http://schemas.microsoft.com/office/drawing/2014/main" id="{C24C570C-4C73-3606-19B4-B08B825F37B4}"/>
            </a:ext>
          </a:extLst>
        </xdr:cNvPr>
        <xdr:cNvSpPr/>
      </xdr:nvSpPr>
      <xdr:spPr>
        <a:xfrm>
          <a:off x="3336925" y="298450"/>
          <a:ext cx="3209925" cy="215900"/>
        </a:xfrm>
        <a:prstGeom prst="roundRect">
          <a:avLst>
            <a:gd name="adj" fmla="val 16000"/>
          </a:avLst>
        </a:prstGeom>
        <a:solidFill>
          <a:srgbClr val="DDEBF7"/>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2) Eigene Stunden</a:t>
          </a:r>
        </a:p>
      </xdr:txBody>
    </xdr:sp>
    <xdr:clientData/>
  </xdr:twoCellAnchor>
  <xdr:twoCellAnchor editAs="absolute">
    <xdr:from>
      <xdr:col>5</xdr:col>
      <xdr:colOff>937682</xdr:colOff>
      <xdr:row>1</xdr:row>
      <xdr:rowOff>44450</xdr:rowOff>
    </xdr:from>
    <xdr:to>
      <xdr:col>8</xdr:col>
      <xdr:colOff>111124</xdr:colOff>
      <xdr:row>1</xdr:row>
      <xdr:rowOff>260350</xdr:rowOff>
    </xdr:to>
    <xdr:sp macro="DeleteSelectedKVPeriods" textlink="">
      <xdr:nvSpPr>
        <xdr:cNvPr id="4" name="btn_DeleteKVPeriods">
          <a:extLst>
            <a:ext uri="{FF2B5EF4-FFF2-40B4-BE49-F238E27FC236}">
              <a16:creationId xmlns:a16="http://schemas.microsoft.com/office/drawing/2014/main" id="{B572570C-6187-05B9-D0BE-8CA2E8C48D2C}"/>
            </a:ext>
          </a:extLst>
        </xdr:cNvPr>
        <xdr:cNvSpPr/>
      </xdr:nvSpPr>
      <xdr:spPr>
        <a:xfrm>
          <a:off x="6610350" y="298450"/>
          <a:ext cx="3209925" cy="215900"/>
        </a:xfrm>
        <a:prstGeom prst="roundRect">
          <a:avLst>
            <a:gd name="adj" fmla="val 16000"/>
          </a:avLst>
        </a:prstGeom>
        <a:solidFill>
          <a:srgbClr val="FFF2CC"/>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3) Alte Periode löschen</a:t>
          </a:r>
        </a:p>
      </xdr:txBody>
    </xdr:sp>
    <xdr:clientData/>
  </xdr:twoCellAnchor>
  <xdr:twoCellAnchor editAs="absolute">
    <xdr:from>
      <xdr:col>8</xdr:col>
      <xdr:colOff>111124</xdr:colOff>
      <xdr:row>1</xdr:row>
      <xdr:rowOff>44450</xdr:rowOff>
    </xdr:from>
    <xdr:to>
      <xdr:col>9</xdr:col>
      <xdr:colOff>1574801</xdr:colOff>
      <xdr:row>1</xdr:row>
      <xdr:rowOff>260350</xdr:rowOff>
    </xdr:to>
    <xdr:sp macro="DeleteCustomKVMonatsstunden" textlink="">
      <xdr:nvSpPr>
        <xdr:cNvPr id="5" name="btn_DeleteCustomKVMonatsstunden">
          <a:extLst>
            <a:ext uri="{FF2B5EF4-FFF2-40B4-BE49-F238E27FC236}">
              <a16:creationId xmlns:a16="http://schemas.microsoft.com/office/drawing/2014/main" id="{D1379986-60FF-A4B9-0818-1D340436594C}"/>
            </a:ext>
          </a:extLst>
        </xdr:cNvPr>
        <xdr:cNvSpPr/>
      </xdr:nvSpPr>
      <xdr:spPr>
        <a:xfrm>
          <a:off x="9883775" y="298450"/>
          <a:ext cx="3209925" cy="215900"/>
        </a:xfrm>
        <a:prstGeom prst="roundRect">
          <a:avLst>
            <a:gd name="adj" fmla="val 16000"/>
          </a:avLst>
        </a:prstGeom>
        <a:solidFill>
          <a:srgbClr val="F8F8F8"/>
        </a:solidFill>
        <a:ln w="9525">
          <a:solidFill>
            <a:srgbClr val="1F4E79"/>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1F4E79"/>
              </a:solidFill>
              <a:latin typeface="Calibri" panose="020F0502020204030204" pitchFamily="34" charset="0"/>
            </a:rPr>
            <a:t>4) Stunde löschen</a:t>
          </a: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A50712D4-2554-C7B7-C461-4B4683FEFC00}"/>
            </a:ext>
          </a:extLst>
        </xdr:cNvPr>
        <xdr:cNvSpPr/>
      </xdr:nvSpPr>
      <xdr:spPr>
        <a:xfrm>
          <a:off x="1522095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CBD84E76-9592-4B2E-A72B-780142AFAA1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A227C7E-68EF-195D-ECDC-61F75D71C09C}"/>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965E14F4-42E5-443E-BE9E-32D5BE75956A}"/>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3935C03F-996F-9902-94D2-5E4F54BD0B9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DB19571-57EA-46CD-A333-A38D408950D4}"/>
            </a:ext>
          </a:extLst>
        </xdr:cNvPr>
        <xdr:cNvSpPr/>
      </xdr:nvSpPr>
      <xdr:spPr>
        <a:xfrm>
          <a:off x="190500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165100</xdr:colOff>
      <xdr:row>0</xdr:row>
      <xdr:rowOff>50800</xdr:rowOff>
    </xdr:from>
    <xdr:to>
      <xdr:col>17</xdr:col>
      <xdr:colOff>590550</xdr:colOff>
      <xdr:row>1</xdr:row>
      <xdr:rowOff>127000</xdr:rowOff>
    </xdr:to>
    <xdr:sp macro="CopyData" textlink="">
      <xdr:nvSpPr>
        <xdr:cNvPr id="4" name="btn_CopyDataMonth">
          <a:extLst>
            <a:ext uri="{FF2B5EF4-FFF2-40B4-BE49-F238E27FC236}">
              <a16:creationId xmlns:a16="http://schemas.microsoft.com/office/drawing/2014/main" id="{9D674794-68F2-E482-8B22-DF6A9A218916}"/>
            </a:ext>
          </a:extLst>
        </xdr:cNvPr>
        <xdr:cNvSpPr/>
      </xdr:nvSpPr>
      <xdr:spPr>
        <a:xfrm>
          <a:off x="153543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7EFEC6BD-B8D6-40AB-A5C4-0CEFE39E0E27}"/>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4" name="btn_CopyDataMonth">
          <a:extLst>
            <a:ext uri="{FF2B5EF4-FFF2-40B4-BE49-F238E27FC236}">
              <a16:creationId xmlns:a16="http://schemas.microsoft.com/office/drawing/2014/main" id="{76D81E31-0F8C-34D3-A374-5519AB3CF02A}"/>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34F42C4E-3211-C149-83A2-6E9C8B6712F0}"/>
            </a:ext>
          </a:extLst>
        </xdr:cNvPr>
        <xdr:cNvSpPr/>
      </xdr:nvSpPr>
      <xdr:spPr>
        <a:xfrm>
          <a:off x="188531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647AEB7-7890-052C-0881-EDD2543B97B0}"/>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8AAF8835-C08B-4BEC-B025-348B6E52485D}"/>
            </a:ext>
          </a:extLst>
        </xdr:cNvPr>
        <xdr:cNvSpPr/>
      </xdr:nvSpPr>
      <xdr:spPr>
        <a:xfrm>
          <a:off x="189420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878FFB45-85A3-B563-6795-A0F5E83453DE}"/>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1817145-B0AC-4265-85C7-5E9D9C29F707}"/>
            </a:ext>
          </a:extLst>
        </xdr:cNvPr>
        <xdr:cNvSpPr/>
      </xdr:nvSpPr>
      <xdr:spPr>
        <a:xfrm>
          <a:off x="189992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23891325-B764-BF99-B6DD-8ABEF31C5DA5}"/>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25B27030-DD97-4D72-9458-0299F688273A}"/>
            </a:ext>
          </a:extLst>
        </xdr:cNvPr>
        <xdr:cNvSpPr/>
      </xdr:nvSpPr>
      <xdr:spPr>
        <a:xfrm>
          <a:off x="18910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FC5364F6-85FE-6548-9B59-3F6E3BB98C0B}"/>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42F424AA-DF50-45B3-AE82-AD894B46ABBD}"/>
            </a:ext>
          </a:extLst>
        </xdr:cNvPr>
        <xdr:cNvSpPr/>
      </xdr:nvSpPr>
      <xdr:spPr>
        <a:xfrm>
          <a:off x="1892935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C3FD2B71-5694-B0E0-193D-4CC3657958D2}"/>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44450</xdr:colOff>
      <xdr:row>25</xdr:row>
      <xdr:rowOff>0</xdr:rowOff>
    </xdr:from>
    <xdr:to>
      <xdr:col>18</xdr:col>
      <xdr:colOff>171450</xdr:colOff>
      <xdr:row>27</xdr:row>
      <xdr:rowOff>196850</xdr:rowOff>
    </xdr:to>
    <xdr:sp macro="" textlink="">
      <xdr:nvSpPr>
        <xdr:cNvPr id="2" name="Geschweifte Klammer rechts 1">
          <a:extLst>
            <a:ext uri="{FF2B5EF4-FFF2-40B4-BE49-F238E27FC236}">
              <a16:creationId xmlns:a16="http://schemas.microsoft.com/office/drawing/2014/main" id="{DE0AD477-D6CF-42DF-AF13-33A5F85CE1EF}"/>
            </a:ext>
          </a:extLst>
        </xdr:cNvPr>
        <xdr:cNvSpPr/>
      </xdr:nvSpPr>
      <xdr:spPr>
        <a:xfrm>
          <a:off x="19037300" y="5080000"/>
          <a:ext cx="127000" cy="603250"/>
        </a:xfrm>
        <a:prstGeom prst="rightBrace">
          <a:avLst/>
        </a:prstGeom>
      </xdr:spPr>
      <xdr:style>
        <a:lnRef idx="1">
          <a:schemeClr val="dk1"/>
        </a:lnRef>
        <a:fillRef idx="0">
          <a:schemeClr val="dk1"/>
        </a:fillRef>
        <a:effectRef idx="0">
          <a:schemeClr val="dk1"/>
        </a:effectRef>
        <a:fontRef idx="minor">
          <a:schemeClr val="tx1"/>
        </a:fontRef>
      </xdr:style>
      <xdr:txBody>
        <a:bodyPr vertOverflow="clip" horzOverflow="clip" rtlCol="0" anchor="t"/>
        <a:lstStyle/>
        <a:p>
          <a:pPr algn="l"/>
          <a:endParaRPr lang="de-DE" sz="1100"/>
        </a:p>
      </xdr:txBody>
    </xdr:sp>
    <xdr:clientData/>
  </xdr:twoCellAnchor>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09FF025A-BCAE-C2C6-0229-D20CCEB01381}"/>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14</xdr:col>
      <xdr:colOff>76200</xdr:colOff>
      <xdr:row>0</xdr:row>
      <xdr:rowOff>50800</xdr:rowOff>
    </xdr:from>
    <xdr:to>
      <xdr:col>17</xdr:col>
      <xdr:colOff>501650</xdr:colOff>
      <xdr:row>1</xdr:row>
      <xdr:rowOff>127000</xdr:rowOff>
    </xdr:to>
    <xdr:sp macro="CopyData" textlink="">
      <xdr:nvSpPr>
        <xdr:cNvPr id="3" name="btn_CopyDataMonth">
          <a:extLst>
            <a:ext uri="{FF2B5EF4-FFF2-40B4-BE49-F238E27FC236}">
              <a16:creationId xmlns:a16="http://schemas.microsoft.com/office/drawing/2014/main" id="{DBC22AED-880F-8DCF-3BA6-3A9C389E14AD}"/>
            </a:ext>
          </a:extLst>
        </xdr:cNvPr>
        <xdr:cNvSpPr/>
      </xdr:nvSpPr>
      <xdr:spPr>
        <a:xfrm>
          <a:off x="15265400" y="50800"/>
          <a:ext cx="3492500" cy="304800"/>
        </a:xfrm>
        <a:prstGeom prst="roundRect">
          <a:avLst>
            <a:gd name="adj" fmla="val 16000"/>
          </a:avLst>
        </a:prstGeom>
        <a:solidFill>
          <a:srgbClr val="1F4E79"/>
        </a:solidFill>
        <a:ln w="9525">
          <a:solidFill>
            <a:srgbClr val="183A5A"/>
          </a:solidFill>
        </a:ln>
        <a:effectLst>
          <a:outerShdw blurRad="25400" dist="37357" dir="2700000"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lIns="38100" tIns="12700" rIns="38100" bIns="12700" rtlCol="0" anchor="ctr"/>
        <a:lstStyle/>
        <a:p>
          <a:pPr algn="ctr"/>
          <a:r>
            <a:rPr lang="de-DE" sz="800" b="1">
              <a:solidFill>
                <a:srgbClr val="FFFFFF"/>
              </a:solidFill>
              <a:latin typeface="Calibri" panose="020F0502020204030204" pitchFamily="34" charset="0"/>
            </a:rPr>
            <a:t>Aktualisierung des restlichen Jahres</a:t>
          </a:r>
        </a:p>
      </xdr:txBody>
    </xdr:sp>
    <xdr:clientData/>
  </xdr:twoCellAnchor>
</xdr:wsDr>
</file>

<file path=xl/drawings/drawing15.xml><?xml version="1.0" encoding="utf-8"?>
<xdr:wsDr xmlns:xdr="http://schemas.openxmlformats.org/drawingml/2006/spreadsheetDrawing" xmlns:a="http://schemas.openxmlformats.org/drawingml/2006/main">
  <xdr:twoCellAnchor editAs="oneCell">
    <xdr:from>
      <xdr:col>1</xdr:col>
      <xdr:colOff>152854</xdr:colOff>
      <xdr:row>3</xdr:row>
      <xdr:rowOff>352713</xdr:rowOff>
    </xdr:from>
    <xdr:to>
      <xdr:col>1</xdr:col>
      <xdr:colOff>708025</xdr:colOff>
      <xdr:row>5</xdr:row>
      <xdr:rowOff>92363</xdr:rowOff>
    </xdr:to>
    <xdr:pic>
      <xdr:nvPicPr>
        <xdr:cNvPr id="3" name="Grafik 2">
          <a:extLst>
            <a:ext uri="{FF2B5EF4-FFF2-40B4-BE49-F238E27FC236}">
              <a16:creationId xmlns:a16="http://schemas.microsoft.com/office/drawing/2014/main" id="{00000000-0008-0000-0D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flipH="1">
          <a:off x="499218" y="941531"/>
          <a:ext cx="555171" cy="476250"/>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xdr:from>
      <xdr:col>0</xdr:col>
      <xdr:colOff>0</xdr:colOff>
      <xdr:row>28</xdr:row>
      <xdr:rowOff>0</xdr:rowOff>
    </xdr:from>
    <xdr:to>
      <xdr:col>2</xdr:col>
      <xdr:colOff>1206500</xdr:colOff>
      <xdr:row>42</xdr:row>
      <xdr:rowOff>0</xdr:rowOff>
    </xdr:to>
    <xdr:graphicFrame macro="">
      <xdr:nvGraphicFramePr>
        <xdr:cNvPr id="5" name="Diagramm 4">
          <a:extLst>
            <a:ext uri="{FF2B5EF4-FFF2-40B4-BE49-F238E27FC236}">
              <a16:creationId xmlns:a16="http://schemas.microsoft.com/office/drawing/2014/main" id="{3A0D56B1-A57D-9D96-CD86-BD8950C244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xdr:col>
      <xdr:colOff>1409700</xdr:colOff>
      <xdr:row>28</xdr:row>
      <xdr:rowOff>0</xdr:rowOff>
    </xdr:from>
    <xdr:to>
      <xdr:col>4</xdr:col>
      <xdr:colOff>1498600</xdr:colOff>
      <xdr:row>42</xdr:row>
      <xdr:rowOff>0</xdr:rowOff>
    </xdr:to>
    <xdr:graphicFrame macro="">
      <xdr:nvGraphicFramePr>
        <xdr:cNvPr id="6" name="Diagramm 5">
          <a:extLst>
            <a:ext uri="{FF2B5EF4-FFF2-40B4-BE49-F238E27FC236}">
              <a16:creationId xmlns:a16="http://schemas.microsoft.com/office/drawing/2014/main" id="{D66D20A1-6890-DC59-AA91-F674B3BB16D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0</xdr:colOff>
      <xdr:row>42</xdr:row>
      <xdr:rowOff>152400</xdr:rowOff>
    </xdr:from>
    <xdr:to>
      <xdr:col>4</xdr:col>
      <xdr:colOff>1498600</xdr:colOff>
      <xdr:row>56</xdr:row>
      <xdr:rowOff>152400</xdr:rowOff>
    </xdr:to>
    <xdr:graphicFrame macro="">
      <xdr:nvGraphicFramePr>
        <xdr:cNvPr id="7" name="Diagramm 6">
          <a:extLst>
            <a:ext uri="{FF2B5EF4-FFF2-40B4-BE49-F238E27FC236}">
              <a16:creationId xmlns:a16="http://schemas.microsoft.com/office/drawing/2014/main" id="{15EF5763-1454-5221-3C27-45B16728A7B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EDADBB-1A01-456F-8D74-E7A7C1E408EF}">
  <sheetPr codeName="Tabelle18">
    <tabColor rgb="FFC00000"/>
  </sheetPr>
  <dimension ref="B1:E3"/>
  <sheetViews>
    <sheetView workbookViewId="0">
      <selection activeCell="H18" sqref="H18"/>
    </sheetView>
  </sheetViews>
  <sheetFormatPr baseColWidth="10" defaultRowHeight="14.5"/>
  <cols>
    <col min="1" max="1" width="2.6328125" style="429" customWidth="1"/>
    <col min="2" max="5" width="22.6328125" style="429" customWidth="1"/>
    <col min="6" max="16384" width="10.90625" style="429"/>
  </cols>
  <sheetData>
    <row r="1" spans="2:5" ht="21">
      <c r="B1" s="221" t="s">
        <v>409</v>
      </c>
      <c r="C1" s="222"/>
      <c r="D1" s="222"/>
      <c r="E1" s="222"/>
    </row>
    <row r="2" spans="2:5">
      <c r="B2" s="223" t="s">
        <v>410</v>
      </c>
      <c r="C2" s="224"/>
      <c r="D2" s="224"/>
      <c r="E2" s="224"/>
    </row>
    <row r="3" spans="2:5">
      <c r="B3" s="139" t="s">
        <v>411</v>
      </c>
      <c r="C3" s="139">
        <v>2026</v>
      </c>
      <c r="D3" s="139" t="s">
        <v>412</v>
      </c>
      <c r="E3" s="139">
        <v>16</v>
      </c>
    </row>
  </sheetData>
  <mergeCells count="2">
    <mergeCell ref="B1:E1"/>
    <mergeCell ref="B2:E2"/>
  </mergeCells>
  <pageMargins left="0.7" right="0.7" top="0.78740157499999996" bottom="0.78740157499999996"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7E50DC-6A2C-6747-BC8B-D9AA73B73494}">
  <sheetPr codeName="Tabelle20"/>
  <dimension ref="A1:O324"/>
  <sheetViews>
    <sheetView showGridLines="0" tabSelected="1" zoomScale="120" zoomScaleNormal="120" workbookViewId="0">
      <pane ySplit="3" topLeftCell="A4" activePane="bottomLeft" state="frozen"/>
      <selection pane="bottomLeft" activeCell="M16" sqref="M16"/>
    </sheetView>
  </sheetViews>
  <sheetFormatPr baseColWidth="10" defaultRowHeight="18" customHeight="1"/>
  <cols>
    <col min="1" max="1" width="16.6328125" style="6" customWidth="1"/>
    <col min="2" max="4" width="14.6328125" style="6" customWidth="1"/>
    <col min="5" max="5" width="13.6328125" style="6" customWidth="1"/>
    <col min="6" max="6" width="25.6328125" style="6" customWidth="1"/>
    <col min="7" max="7" width="13.6328125" style="6" customWidth="1"/>
    <col min="8" max="8" width="14.6328125" style="7" customWidth="1"/>
    <col min="9" max="9" width="22.81640625" style="6" customWidth="1"/>
    <col min="10" max="10" width="24.81640625" style="6" customWidth="1"/>
    <col min="11" max="11" width="3.6328125" hidden="1" customWidth="1"/>
    <col min="12" max="14" width="18.81640625" customWidth="1"/>
    <col min="27" max="29" width="0" hidden="1" customWidth="1"/>
  </cols>
  <sheetData>
    <row r="1" spans="1:15" ht="20" customHeight="1">
      <c r="A1" s="207" t="s">
        <v>280</v>
      </c>
      <c r="B1" s="207"/>
      <c r="C1" s="207"/>
      <c r="D1" s="207"/>
      <c r="E1" s="207"/>
      <c r="F1" s="207"/>
      <c r="G1" s="207"/>
      <c r="H1" s="207"/>
      <c r="I1" s="207"/>
      <c r="J1" s="207"/>
    </row>
    <row r="2" spans="1:15" ht="24" customHeight="1">
      <c r="A2" s="172"/>
      <c r="B2" s="172"/>
      <c r="C2" s="172"/>
      <c r="D2" s="172"/>
      <c r="E2" s="172"/>
      <c r="F2" s="172"/>
      <c r="G2" s="172"/>
      <c r="H2" s="173"/>
      <c r="I2" s="174"/>
      <c r="J2" s="174"/>
      <c r="L2" s="208" t="s">
        <v>394</v>
      </c>
      <c r="M2" s="208"/>
      <c r="N2" s="208"/>
      <c r="O2" s="84"/>
    </row>
    <row r="3" spans="1:15" ht="18" customHeight="1" thickBot="1">
      <c r="A3" s="71" t="s">
        <v>285</v>
      </c>
      <c r="B3" s="71" t="s">
        <v>352</v>
      </c>
      <c r="C3" s="71" t="s">
        <v>353</v>
      </c>
      <c r="D3" s="71" t="s">
        <v>289</v>
      </c>
      <c r="E3" s="71" t="s">
        <v>286</v>
      </c>
      <c r="F3" s="71" t="s">
        <v>354</v>
      </c>
      <c r="G3" s="71" t="s">
        <v>287</v>
      </c>
      <c r="H3" s="72" t="s">
        <v>1</v>
      </c>
      <c r="I3" s="71" t="s">
        <v>288</v>
      </c>
      <c r="J3" s="71" t="s">
        <v>355</v>
      </c>
    </row>
    <row r="4" spans="1:15" ht="24" customHeight="1" thickBot="1">
      <c r="A4" s="215" t="s">
        <v>404</v>
      </c>
      <c r="B4" s="216"/>
      <c r="C4" s="216"/>
      <c r="D4" s="217"/>
      <c r="E4" s="217"/>
      <c r="F4" s="217"/>
      <c r="G4" s="218"/>
      <c r="H4" s="219"/>
      <c r="I4" s="217"/>
      <c r="J4" s="220"/>
    </row>
    <row r="5" spans="1:15" ht="24" customHeight="1">
      <c r="A5" s="122" t="s">
        <v>403</v>
      </c>
      <c r="B5" s="104">
        <v>46143</v>
      </c>
      <c r="C5" s="104">
        <v>46507</v>
      </c>
      <c r="D5" s="105" t="s">
        <v>290</v>
      </c>
      <c r="E5" s="105" t="s">
        <v>2</v>
      </c>
      <c r="F5" s="105" t="s">
        <v>281</v>
      </c>
      <c r="G5" s="86">
        <v>173</v>
      </c>
      <c r="H5" s="87">
        <v>2900</v>
      </c>
      <c r="I5" s="106" t="str">
        <f t="shared" ref="I5:I36" si="0">IF($A5="","",IF(OR($B5="",$C5="",$D5="",$E5="",$F5=""),"Stammdaten fehlen",IF(AND($G5="",$H5=""),"Werte fehlen",IF($G5="","Monatsstunden fehlen",IF($H5="","Monatslohn fehlt","OK")))))</f>
        <v>OK</v>
      </c>
      <c r="J5" s="128" t="str">
        <f t="shared" ref="J5:J36" si="1">IF($G5="","",IF(COUNTIFS($A:$A,$A5,$D:$D,$D5,$G:$G,$G5)&gt;1,"Doppelte Monatsstunden",""))</f>
        <v/>
      </c>
    </row>
    <row r="6" spans="1:15" ht="24" customHeight="1">
      <c r="A6" s="123" t="s">
        <v>403</v>
      </c>
      <c r="B6" s="107">
        <v>46143</v>
      </c>
      <c r="C6" s="107">
        <v>46507</v>
      </c>
      <c r="D6" s="108" t="s">
        <v>290</v>
      </c>
      <c r="E6" s="108" t="s">
        <v>2</v>
      </c>
      <c r="F6" s="108" t="s">
        <v>281</v>
      </c>
      <c r="G6" s="88">
        <v>172</v>
      </c>
      <c r="H6" s="89">
        <v>3452</v>
      </c>
      <c r="I6" s="109" t="str">
        <f t="shared" si="0"/>
        <v>OK</v>
      </c>
      <c r="J6" s="129" t="str">
        <f t="shared" si="1"/>
        <v/>
      </c>
      <c r="K6" t="s">
        <v>402</v>
      </c>
    </row>
    <row r="7" spans="1:15" ht="24" customHeight="1">
      <c r="A7" s="123" t="s">
        <v>403</v>
      </c>
      <c r="B7" s="107">
        <v>46143</v>
      </c>
      <c r="C7" s="107">
        <v>46507</v>
      </c>
      <c r="D7" s="108" t="s">
        <v>290</v>
      </c>
      <c r="E7" s="108" t="s">
        <v>2</v>
      </c>
      <c r="F7" s="108" t="s">
        <v>281</v>
      </c>
      <c r="G7" s="88">
        <v>170</v>
      </c>
      <c r="H7" s="89">
        <v>4321</v>
      </c>
      <c r="I7" s="109" t="str">
        <f t="shared" si="0"/>
        <v>OK</v>
      </c>
      <c r="J7" s="129" t="str">
        <f t="shared" si="1"/>
        <v/>
      </c>
      <c r="K7" t="s">
        <v>402</v>
      </c>
    </row>
    <row r="8" spans="1:15" ht="24" customHeight="1">
      <c r="A8" s="123" t="s">
        <v>403</v>
      </c>
      <c r="B8" s="107">
        <v>46143</v>
      </c>
      <c r="C8" s="107">
        <v>46507</v>
      </c>
      <c r="D8" s="108" t="s">
        <v>290</v>
      </c>
      <c r="E8" s="108" t="s">
        <v>2</v>
      </c>
      <c r="F8" s="108" t="s">
        <v>281</v>
      </c>
      <c r="G8" s="88">
        <v>166</v>
      </c>
      <c r="H8" s="89">
        <v>2454</v>
      </c>
      <c r="I8" s="109" t="str">
        <f t="shared" si="0"/>
        <v>OK</v>
      </c>
      <c r="J8" s="129" t="str">
        <f t="shared" si="1"/>
        <v/>
      </c>
      <c r="K8" t="s">
        <v>402</v>
      </c>
    </row>
    <row r="9" spans="1:15" ht="24" customHeight="1">
      <c r="A9" s="123" t="s">
        <v>403</v>
      </c>
      <c r="B9" s="107">
        <v>46143</v>
      </c>
      <c r="C9" s="107">
        <v>46507</v>
      </c>
      <c r="D9" s="108" t="s">
        <v>290</v>
      </c>
      <c r="E9" s="108" t="s">
        <v>2</v>
      </c>
      <c r="F9" s="108" t="s">
        <v>281</v>
      </c>
      <c r="G9" s="88">
        <v>151.38</v>
      </c>
      <c r="H9" s="89">
        <v>2500</v>
      </c>
      <c r="I9" s="109" t="str">
        <f t="shared" si="0"/>
        <v>OK</v>
      </c>
      <c r="J9" s="129" t="str">
        <f t="shared" si="1"/>
        <v/>
      </c>
    </row>
    <row r="10" spans="1:15" ht="24" customHeight="1">
      <c r="A10" s="123" t="s">
        <v>403</v>
      </c>
      <c r="B10" s="107">
        <v>46143</v>
      </c>
      <c r="C10" s="107">
        <v>46507</v>
      </c>
      <c r="D10" s="108" t="s">
        <v>290</v>
      </c>
      <c r="E10" s="108" t="s">
        <v>2</v>
      </c>
      <c r="F10" s="108" t="s">
        <v>281</v>
      </c>
      <c r="G10" s="88">
        <v>138.4</v>
      </c>
      <c r="H10" s="89">
        <v>2400</v>
      </c>
      <c r="I10" s="109" t="str">
        <f t="shared" si="0"/>
        <v>OK</v>
      </c>
      <c r="J10" s="129" t="str">
        <f t="shared" si="1"/>
        <v/>
      </c>
    </row>
    <row r="11" spans="1:15" ht="24" customHeight="1">
      <c r="A11" s="123" t="s">
        <v>403</v>
      </c>
      <c r="B11" s="107">
        <v>46143</v>
      </c>
      <c r="C11" s="107">
        <v>46507</v>
      </c>
      <c r="D11" s="108" t="s">
        <v>290</v>
      </c>
      <c r="E11" s="108" t="s">
        <v>2</v>
      </c>
      <c r="F11" s="108" t="s">
        <v>281</v>
      </c>
      <c r="G11" s="88">
        <v>129.75</v>
      </c>
      <c r="H11" s="89">
        <v>2300</v>
      </c>
      <c r="I11" s="109" t="str">
        <f t="shared" si="0"/>
        <v>OK</v>
      </c>
      <c r="J11" s="129" t="str">
        <f t="shared" si="1"/>
        <v/>
      </c>
    </row>
    <row r="12" spans="1:15" ht="24" customHeight="1">
      <c r="A12" s="123" t="s">
        <v>403</v>
      </c>
      <c r="B12" s="107">
        <v>46143</v>
      </c>
      <c r="C12" s="107">
        <v>46507</v>
      </c>
      <c r="D12" s="108" t="s">
        <v>290</v>
      </c>
      <c r="E12" s="108" t="s">
        <v>2</v>
      </c>
      <c r="F12" s="108" t="s">
        <v>281</v>
      </c>
      <c r="G12" s="88">
        <v>108.13</v>
      </c>
      <c r="H12" s="89">
        <v>2200</v>
      </c>
      <c r="I12" s="109" t="str">
        <f t="shared" si="0"/>
        <v>OK</v>
      </c>
      <c r="J12" s="129" t="str">
        <f t="shared" si="1"/>
        <v/>
      </c>
    </row>
    <row r="13" spans="1:15" ht="24" customHeight="1">
      <c r="A13" s="123" t="s">
        <v>403</v>
      </c>
      <c r="B13" s="107">
        <v>46143</v>
      </c>
      <c r="C13" s="107">
        <v>46507</v>
      </c>
      <c r="D13" s="108" t="s">
        <v>290</v>
      </c>
      <c r="E13" s="108" t="s">
        <v>2</v>
      </c>
      <c r="F13" s="108" t="s">
        <v>281</v>
      </c>
      <c r="G13" s="88">
        <v>105</v>
      </c>
      <c r="H13" s="89">
        <v>2333</v>
      </c>
      <c r="I13" s="109" t="str">
        <f t="shared" si="0"/>
        <v>OK</v>
      </c>
      <c r="J13" s="129" t="str">
        <f t="shared" si="1"/>
        <v/>
      </c>
    </row>
    <row r="14" spans="1:15" ht="24" customHeight="1">
      <c r="A14" s="123" t="s">
        <v>403</v>
      </c>
      <c r="B14" s="107">
        <v>46143</v>
      </c>
      <c r="C14" s="107">
        <v>46507</v>
      </c>
      <c r="D14" s="108" t="s">
        <v>290</v>
      </c>
      <c r="E14" s="108" t="s">
        <v>2</v>
      </c>
      <c r="F14" s="108" t="s">
        <v>281</v>
      </c>
      <c r="G14" s="88">
        <v>103.8</v>
      </c>
      <c r="H14" s="89">
        <v>2222</v>
      </c>
      <c r="I14" s="109" t="str">
        <f t="shared" si="0"/>
        <v>OK</v>
      </c>
      <c r="J14" s="129" t="str">
        <f t="shared" si="1"/>
        <v/>
      </c>
    </row>
    <row r="15" spans="1:15" ht="24" customHeight="1">
      <c r="A15" s="123" t="s">
        <v>403</v>
      </c>
      <c r="B15" s="107">
        <v>46143</v>
      </c>
      <c r="C15" s="107">
        <v>46507</v>
      </c>
      <c r="D15" s="108" t="s">
        <v>290</v>
      </c>
      <c r="E15" s="108" t="s">
        <v>2</v>
      </c>
      <c r="F15" s="108" t="s">
        <v>281</v>
      </c>
      <c r="G15" s="88">
        <v>86.5</v>
      </c>
      <c r="H15" s="89">
        <v>2152</v>
      </c>
      <c r="I15" s="109" t="str">
        <f t="shared" si="0"/>
        <v>OK</v>
      </c>
      <c r="J15" s="129" t="str">
        <f t="shared" si="1"/>
        <v/>
      </c>
    </row>
    <row r="16" spans="1:15" ht="24" customHeight="1">
      <c r="A16" s="123" t="s">
        <v>403</v>
      </c>
      <c r="B16" s="107">
        <v>46143</v>
      </c>
      <c r="C16" s="107">
        <v>46507</v>
      </c>
      <c r="D16" s="108" t="s">
        <v>290</v>
      </c>
      <c r="E16" s="108" t="s">
        <v>2</v>
      </c>
      <c r="F16" s="108" t="s">
        <v>281</v>
      </c>
      <c r="G16" s="88">
        <v>69.2</v>
      </c>
      <c r="H16" s="89">
        <v>2654</v>
      </c>
      <c r="I16" s="109" t="str">
        <f t="shared" si="0"/>
        <v>OK</v>
      </c>
      <c r="J16" s="129" t="str">
        <f t="shared" si="1"/>
        <v/>
      </c>
    </row>
    <row r="17" spans="1:11" ht="24" customHeight="1">
      <c r="A17" s="123" t="s">
        <v>403</v>
      </c>
      <c r="B17" s="107">
        <v>46143</v>
      </c>
      <c r="C17" s="107">
        <v>46507</v>
      </c>
      <c r="D17" s="108" t="s">
        <v>290</v>
      </c>
      <c r="E17" s="108" t="s">
        <v>2</v>
      </c>
      <c r="F17" s="108" t="s">
        <v>281</v>
      </c>
      <c r="G17" s="88">
        <v>51.9</v>
      </c>
      <c r="H17" s="89">
        <v>2120</v>
      </c>
      <c r="I17" s="109" t="str">
        <f t="shared" si="0"/>
        <v>OK</v>
      </c>
      <c r="J17" s="129" t="str">
        <f t="shared" si="1"/>
        <v/>
      </c>
    </row>
    <row r="18" spans="1:11" ht="24" customHeight="1">
      <c r="A18" s="123" t="s">
        <v>403</v>
      </c>
      <c r="B18" s="107">
        <v>46143</v>
      </c>
      <c r="C18" s="107">
        <v>46507</v>
      </c>
      <c r="D18" s="108" t="s">
        <v>290</v>
      </c>
      <c r="E18" s="108" t="s">
        <v>2</v>
      </c>
      <c r="F18" s="108" t="s">
        <v>281</v>
      </c>
      <c r="G18" s="88">
        <v>47.58</v>
      </c>
      <c r="H18" s="89">
        <v>2562</v>
      </c>
      <c r="I18" s="109" t="str">
        <f t="shared" si="0"/>
        <v>OK</v>
      </c>
      <c r="J18" s="129" t="str">
        <f t="shared" si="1"/>
        <v/>
      </c>
    </row>
    <row r="19" spans="1:11" ht="24" customHeight="1">
      <c r="A19" s="123" t="s">
        <v>403</v>
      </c>
      <c r="B19" s="107">
        <v>46143</v>
      </c>
      <c r="C19" s="107">
        <v>46507</v>
      </c>
      <c r="D19" s="108" t="s">
        <v>290</v>
      </c>
      <c r="E19" s="108" t="s">
        <v>2</v>
      </c>
      <c r="F19" s="108" t="s">
        <v>281</v>
      </c>
      <c r="G19" s="88">
        <v>43.25</v>
      </c>
      <c r="H19" s="89">
        <v>2021</v>
      </c>
      <c r="I19" s="109" t="str">
        <f t="shared" si="0"/>
        <v>OK</v>
      </c>
      <c r="J19" s="129" t="str">
        <f t="shared" si="1"/>
        <v/>
      </c>
    </row>
    <row r="20" spans="1:11" ht="24" customHeight="1">
      <c r="A20" s="123" t="s">
        <v>403</v>
      </c>
      <c r="B20" s="107">
        <v>46143</v>
      </c>
      <c r="C20" s="107">
        <v>46507</v>
      </c>
      <c r="D20" s="108" t="s">
        <v>290</v>
      </c>
      <c r="E20" s="108" t="s">
        <v>2</v>
      </c>
      <c r="F20" s="108" t="s">
        <v>281</v>
      </c>
      <c r="G20" s="88">
        <v>40</v>
      </c>
      <c r="H20" s="89">
        <v>600</v>
      </c>
      <c r="I20" s="109" t="str">
        <f t="shared" si="0"/>
        <v>OK</v>
      </c>
      <c r="J20" s="129" t="str">
        <f t="shared" si="1"/>
        <v/>
      </c>
      <c r="K20" t="s">
        <v>402</v>
      </c>
    </row>
    <row r="21" spans="1:11" ht="24" customHeight="1">
      <c r="A21" s="123" t="s">
        <v>403</v>
      </c>
      <c r="B21" s="107">
        <v>46143</v>
      </c>
      <c r="C21" s="107">
        <v>46507</v>
      </c>
      <c r="D21" s="108" t="s">
        <v>290</v>
      </c>
      <c r="E21" s="108" t="s">
        <v>2</v>
      </c>
      <c r="F21" s="108" t="s">
        <v>281</v>
      </c>
      <c r="G21" s="88">
        <v>39</v>
      </c>
      <c r="H21" s="89">
        <v>444</v>
      </c>
      <c r="I21" s="109" t="str">
        <f t="shared" si="0"/>
        <v>OK</v>
      </c>
      <c r="J21" s="129" t="str">
        <f t="shared" si="1"/>
        <v/>
      </c>
      <c r="K21" t="s">
        <v>402</v>
      </c>
    </row>
    <row r="22" spans="1:11" ht="24" customHeight="1" thickBot="1">
      <c r="A22" s="123" t="s">
        <v>403</v>
      </c>
      <c r="B22" s="107">
        <v>46143</v>
      </c>
      <c r="C22" s="107">
        <v>46507</v>
      </c>
      <c r="D22" s="108" t="s">
        <v>290</v>
      </c>
      <c r="E22" s="108" t="s">
        <v>2</v>
      </c>
      <c r="F22" s="108" t="s">
        <v>281</v>
      </c>
      <c r="G22" s="88">
        <v>34.6</v>
      </c>
      <c r="H22" s="89">
        <v>1254</v>
      </c>
      <c r="I22" s="109" t="str">
        <f t="shared" si="0"/>
        <v>OK</v>
      </c>
      <c r="J22" s="129" t="str">
        <f t="shared" si="1"/>
        <v/>
      </c>
    </row>
    <row r="23" spans="1:11" ht="24" customHeight="1">
      <c r="A23" s="122" t="s">
        <v>403</v>
      </c>
      <c r="B23" s="104">
        <v>46143</v>
      </c>
      <c r="C23" s="104">
        <v>46507</v>
      </c>
      <c r="D23" s="105" t="s">
        <v>3</v>
      </c>
      <c r="E23" s="105" t="s">
        <v>2</v>
      </c>
      <c r="F23" s="105" t="s">
        <v>282</v>
      </c>
      <c r="G23" s="86">
        <v>173</v>
      </c>
      <c r="H23" s="87"/>
      <c r="I23" s="106" t="str">
        <f t="shared" si="0"/>
        <v>Monatslohn fehlt</v>
      </c>
      <c r="J23" s="128" t="str">
        <f t="shared" si="1"/>
        <v/>
      </c>
    </row>
    <row r="24" spans="1:11" ht="24" customHeight="1">
      <c r="A24" s="123" t="s">
        <v>403</v>
      </c>
      <c r="B24" s="107">
        <v>46143</v>
      </c>
      <c r="C24" s="107">
        <v>46507</v>
      </c>
      <c r="D24" s="108" t="s">
        <v>3</v>
      </c>
      <c r="E24" s="108" t="s">
        <v>2</v>
      </c>
      <c r="F24" s="108" t="s">
        <v>282</v>
      </c>
      <c r="G24" s="88">
        <v>151.38</v>
      </c>
      <c r="H24" s="89"/>
      <c r="I24" s="109" t="str">
        <f t="shared" si="0"/>
        <v>Monatslohn fehlt</v>
      </c>
      <c r="J24" s="129" t="str">
        <f t="shared" si="1"/>
        <v/>
      </c>
    </row>
    <row r="25" spans="1:11" ht="24" customHeight="1">
      <c r="A25" s="123" t="s">
        <v>403</v>
      </c>
      <c r="B25" s="107">
        <v>46143</v>
      </c>
      <c r="C25" s="107">
        <v>46507</v>
      </c>
      <c r="D25" s="108" t="s">
        <v>3</v>
      </c>
      <c r="E25" s="108" t="s">
        <v>2</v>
      </c>
      <c r="F25" s="108" t="s">
        <v>282</v>
      </c>
      <c r="G25" s="88">
        <v>138.4</v>
      </c>
      <c r="H25" s="89"/>
      <c r="I25" s="109" t="str">
        <f t="shared" si="0"/>
        <v>Monatslohn fehlt</v>
      </c>
      <c r="J25" s="129" t="str">
        <f t="shared" si="1"/>
        <v/>
      </c>
    </row>
    <row r="26" spans="1:11" ht="24" customHeight="1">
      <c r="A26" s="123" t="s">
        <v>403</v>
      </c>
      <c r="B26" s="107">
        <v>46143</v>
      </c>
      <c r="C26" s="107">
        <v>46507</v>
      </c>
      <c r="D26" s="108" t="s">
        <v>3</v>
      </c>
      <c r="E26" s="108" t="s">
        <v>2</v>
      </c>
      <c r="F26" s="108" t="s">
        <v>282</v>
      </c>
      <c r="G26" s="88">
        <v>129.75</v>
      </c>
      <c r="H26" s="89"/>
      <c r="I26" s="109" t="str">
        <f t="shared" si="0"/>
        <v>Monatslohn fehlt</v>
      </c>
      <c r="J26" s="129" t="str">
        <f t="shared" si="1"/>
        <v/>
      </c>
    </row>
    <row r="27" spans="1:11" ht="24" customHeight="1">
      <c r="A27" s="123" t="s">
        <v>403</v>
      </c>
      <c r="B27" s="107">
        <v>46143</v>
      </c>
      <c r="C27" s="107">
        <v>46507</v>
      </c>
      <c r="D27" s="108" t="s">
        <v>3</v>
      </c>
      <c r="E27" s="108" t="s">
        <v>2</v>
      </c>
      <c r="F27" s="108" t="s">
        <v>282</v>
      </c>
      <c r="G27" s="88">
        <v>108.13</v>
      </c>
      <c r="H27" s="89"/>
      <c r="I27" s="109" t="str">
        <f t="shared" si="0"/>
        <v>Monatslohn fehlt</v>
      </c>
      <c r="J27" s="129" t="str">
        <f t="shared" si="1"/>
        <v/>
      </c>
    </row>
    <row r="28" spans="1:11" ht="24" customHeight="1">
      <c r="A28" s="123" t="s">
        <v>403</v>
      </c>
      <c r="B28" s="107">
        <v>46143</v>
      </c>
      <c r="C28" s="107">
        <v>46507</v>
      </c>
      <c r="D28" s="108" t="s">
        <v>3</v>
      </c>
      <c r="E28" s="108" t="s">
        <v>2</v>
      </c>
      <c r="F28" s="108" t="s">
        <v>282</v>
      </c>
      <c r="G28" s="88">
        <v>103.8</v>
      </c>
      <c r="H28" s="89"/>
      <c r="I28" s="109" t="str">
        <f t="shared" si="0"/>
        <v>Monatslohn fehlt</v>
      </c>
      <c r="J28" s="129" t="str">
        <f t="shared" si="1"/>
        <v/>
      </c>
    </row>
    <row r="29" spans="1:11" ht="24" customHeight="1">
      <c r="A29" s="123" t="s">
        <v>403</v>
      </c>
      <c r="B29" s="107">
        <v>46143</v>
      </c>
      <c r="C29" s="107">
        <v>46507</v>
      </c>
      <c r="D29" s="108" t="s">
        <v>3</v>
      </c>
      <c r="E29" s="108" t="s">
        <v>2</v>
      </c>
      <c r="F29" s="108" t="s">
        <v>282</v>
      </c>
      <c r="G29" s="88">
        <v>86.5</v>
      </c>
      <c r="H29" s="89"/>
      <c r="I29" s="109" t="str">
        <f t="shared" si="0"/>
        <v>Monatslohn fehlt</v>
      </c>
      <c r="J29" s="129" t="str">
        <f t="shared" si="1"/>
        <v/>
      </c>
    </row>
    <row r="30" spans="1:11" ht="24" customHeight="1">
      <c r="A30" s="123" t="s">
        <v>403</v>
      </c>
      <c r="B30" s="107">
        <v>46143</v>
      </c>
      <c r="C30" s="107">
        <v>46507</v>
      </c>
      <c r="D30" s="108" t="s">
        <v>3</v>
      </c>
      <c r="E30" s="108" t="s">
        <v>2</v>
      </c>
      <c r="F30" s="108" t="s">
        <v>282</v>
      </c>
      <c r="G30" s="88">
        <v>69.2</v>
      </c>
      <c r="H30" s="89"/>
      <c r="I30" s="109" t="str">
        <f t="shared" si="0"/>
        <v>Monatslohn fehlt</v>
      </c>
      <c r="J30" s="129" t="str">
        <f t="shared" si="1"/>
        <v/>
      </c>
    </row>
    <row r="31" spans="1:11" ht="24" customHeight="1">
      <c r="A31" s="123" t="s">
        <v>403</v>
      </c>
      <c r="B31" s="107">
        <v>46143</v>
      </c>
      <c r="C31" s="107">
        <v>46507</v>
      </c>
      <c r="D31" s="108" t="s">
        <v>3</v>
      </c>
      <c r="E31" s="108" t="s">
        <v>2</v>
      </c>
      <c r="F31" s="108" t="s">
        <v>282</v>
      </c>
      <c r="G31" s="88">
        <v>51.9</v>
      </c>
      <c r="H31" s="89"/>
      <c r="I31" s="109" t="str">
        <f t="shared" si="0"/>
        <v>Monatslohn fehlt</v>
      </c>
      <c r="J31" s="129" t="str">
        <f t="shared" si="1"/>
        <v/>
      </c>
    </row>
    <row r="32" spans="1:11" ht="24" customHeight="1">
      <c r="A32" s="123" t="s">
        <v>403</v>
      </c>
      <c r="B32" s="107">
        <v>46143</v>
      </c>
      <c r="C32" s="107">
        <v>46507</v>
      </c>
      <c r="D32" s="108" t="s">
        <v>3</v>
      </c>
      <c r="E32" s="108" t="s">
        <v>2</v>
      </c>
      <c r="F32" s="108" t="s">
        <v>282</v>
      </c>
      <c r="G32" s="88">
        <v>47.58</v>
      </c>
      <c r="H32" s="89"/>
      <c r="I32" s="109" t="str">
        <f t="shared" si="0"/>
        <v>Monatslohn fehlt</v>
      </c>
      <c r="J32" s="129" t="str">
        <f t="shared" si="1"/>
        <v/>
      </c>
    </row>
    <row r="33" spans="1:10" ht="24" customHeight="1">
      <c r="A33" s="123" t="s">
        <v>403</v>
      </c>
      <c r="B33" s="107">
        <v>46143</v>
      </c>
      <c r="C33" s="107">
        <v>46507</v>
      </c>
      <c r="D33" s="108" t="s">
        <v>3</v>
      </c>
      <c r="E33" s="108" t="s">
        <v>2</v>
      </c>
      <c r="F33" s="108" t="s">
        <v>282</v>
      </c>
      <c r="G33" s="88">
        <v>43.25</v>
      </c>
      <c r="H33" s="89"/>
      <c r="I33" s="109" t="str">
        <f t="shared" si="0"/>
        <v>Monatslohn fehlt</v>
      </c>
      <c r="J33" s="129" t="str">
        <f t="shared" si="1"/>
        <v/>
      </c>
    </row>
    <row r="34" spans="1:10" ht="24" customHeight="1">
      <c r="A34" s="123" t="s">
        <v>403</v>
      </c>
      <c r="B34" s="107">
        <v>46143</v>
      </c>
      <c r="C34" s="107">
        <v>46507</v>
      </c>
      <c r="D34" s="108" t="s">
        <v>3</v>
      </c>
      <c r="E34" s="108" t="s">
        <v>2</v>
      </c>
      <c r="F34" s="108" t="s">
        <v>282</v>
      </c>
      <c r="G34" s="88">
        <v>34.6</v>
      </c>
      <c r="H34" s="89"/>
      <c r="I34" s="109" t="str">
        <f t="shared" si="0"/>
        <v>Monatslohn fehlt</v>
      </c>
      <c r="J34" s="129" t="str">
        <f t="shared" si="1"/>
        <v/>
      </c>
    </row>
    <row r="35" spans="1:10" ht="24" customHeight="1" thickBot="1">
      <c r="A35" s="123" t="s">
        <v>403</v>
      </c>
      <c r="B35" s="107">
        <v>46143</v>
      </c>
      <c r="C35" s="107">
        <v>46507</v>
      </c>
      <c r="D35" s="108" t="s">
        <v>3</v>
      </c>
      <c r="E35" s="108" t="s">
        <v>2</v>
      </c>
      <c r="F35" s="108" t="s">
        <v>282</v>
      </c>
      <c r="G35" s="88">
        <v>32.01</v>
      </c>
      <c r="H35" s="89"/>
      <c r="I35" s="109" t="str">
        <f t="shared" si="0"/>
        <v>Monatslohn fehlt</v>
      </c>
      <c r="J35" s="129" t="str">
        <f t="shared" si="1"/>
        <v/>
      </c>
    </row>
    <row r="36" spans="1:10" ht="24" customHeight="1">
      <c r="A36" s="122" t="s">
        <v>403</v>
      </c>
      <c r="B36" s="104">
        <v>46143</v>
      </c>
      <c r="C36" s="104">
        <v>46507</v>
      </c>
      <c r="D36" s="105" t="s">
        <v>4</v>
      </c>
      <c r="E36" s="105" t="s">
        <v>2</v>
      </c>
      <c r="F36" s="105" t="s">
        <v>283</v>
      </c>
      <c r="G36" s="86">
        <v>173</v>
      </c>
      <c r="H36" s="87"/>
      <c r="I36" s="106" t="str">
        <f t="shared" si="0"/>
        <v>Monatslohn fehlt</v>
      </c>
      <c r="J36" s="128" t="str">
        <f t="shared" si="1"/>
        <v/>
      </c>
    </row>
    <row r="37" spans="1:10" ht="24" customHeight="1">
      <c r="A37" s="123" t="s">
        <v>403</v>
      </c>
      <c r="B37" s="107">
        <v>46143</v>
      </c>
      <c r="C37" s="107">
        <v>46507</v>
      </c>
      <c r="D37" s="108" t="s">
        <v>4</v>
      </c>
      <c r="E37" s="108" t="s">
        <v>2</v>
      </c>
      <c r="F37" s="108" t="s">
        <v>283</v>
      </c>
      <c r="G37" s="88">
        <v>151.38</v>
      </c>
      <c r="H37" s="89"/>
      <c r="I37" s="109" t="str">
        <f t="shared" ref="I37:I68" si="2">IF($A37="","",IF(OR($B37="",$C37="",$D37="",$E37="",$F37=""),"Stammdaten fehlen",IF(AND($G37="",$H37=""),"Werte fehlen",IF($G37="","Monatsstunden fehlen",IF($H37="","Monatslohn fehlt","OK")))))</f>
        <v>Monatslohn fehlt</v>
      </c>
      <c r="J37" s="129" t="str">
        <f t="shared" ref="J37:J68" si="3">IF($G37="","",IF(COUNTIFS($A:$A,$A37,$D:$D,$D37,$G:$G,$G37)&gt;1,"Doppelte Monatsstunden",""))</f>
        <v/>
      </c>
    </row>
    <row r="38" spans="1:10" ht="24" customHeight="1">
      <c r="A38" s="123" t="s">
        <v>403</v>
      </c>
      <c r="B38" s="107">
        <v>46143</v>
      </c>
      <c r="C38" s="107">
        <v>46507</v>
      </c>
      <c r="D38" s="108" t="s">
        <v>4</v>
      </c>
      <c r="E38" s="108" t="s">
        <v>2</v>
      </c>
      <c r="F38" s="108" t="s">
        <v>283</v>
      </c>
      <c r="G38" s="88">
        <v>138.4</v>
      </c>
      <c r="H38" s="89"/>
      <c r="I38" s="109" t="str">
        <f t="shared" si="2"/>
        <v>Monatslohn fehlt</v>
      </c>
      <c r="J38" s="129" t="str">
        <f t="shared" si="3"/>
        <v/>
      </c>
    </row>
    <row r="39" spans="1:10" ht="24" customHeight="1">
      <c r="A39" s="123" t="s">
        <v>403</v>
      </c>
      <c r="B39" s="107">
        <v>46143</v>
      </c>
      <c r="C39" s="107">
        <v>46507</v>
      </c>
      <c r="D39" s="108" t="s">
        <v>4</v>
      </c>
      <c r="E39" s="108" t="s">
        <v>2</v>
      </c>
      <c r="F39" s="108" t="s">
        <v>283</v>
      </c>
      <c r="G39" s="88">
        <v>129.75</v>
      </c>
      <c r="H39" s="89"/>
      <c r="I39" s="109" t="str">
        <f t="shared" si="2"/>
        <v>Monatslohn fehlt</v>
      </c>
      <c r="J39" s="129" t="str">
        <f t="shared" si="3"/>
        <v/>
      </c>
    </row>
    <row r="40" spans="1:10" ht="24" customHeight="1">
      <c r="A40" s="123" t="s">
        <v>403</v>
      </c>
      <c r="B40" s="107">
        <v>46143</v>
      </c>
      <c r="C40" s="107">
        <v>46507</v>
      </c>
      <c r="D40" s="108" t="s">
        <v>4</v>
      </c>
      <c r="E40" s="108" t="s">
        <v>2</v>
      </c>
      <c r="F40" s="108" t="s">
        <v>283</v>
      </c>
      <c r="G40" s="88">
        <v>108.13</v>
      </c>
      <c r="H40" s="89"/>
      <c r="I40" s="109" t="str">
        <f t="shared" si="2"/>
        <v>Monatslohn fehlt</v>
      </c>
      <c r="J40" s="129" t="str">
        <f t="shared" si="3"/>
        <v/>
      </c>
    </row>
    <row r="41" spans="1:10" ht="24" customHeight="1">
      <c r="A41" s="123" t="s">
        <v>403</v>
      </c>
      <c r="B41" s="107">
        <v>46143</v>
      </c>
      <c r="C41" s="107">
        <v>46507</v>
      </c>
      <c r="D41" s="108" t="s">
        <v>4</v>
      </c>
      <c r="E41" s="108" t="s">
        <v>2</v>
      </c>
      <c r="F41" s="108" t="s">
        <v>283</v>
      </c>
      <c r="G41" s="88">
        <v>103.8</v>
      </c>
      <c r="H41" s="89"/>
      <c r="I41" s="109" t="str">
        <f t="shared" si="2"/>
        <v>Monatslohn fehlt</v>
      </c>
      <c r="J41" s="129" t="str">
        <f t="shared" si="3"/>
        <v/>
      </c>
    </row>
    <row r="42" spans="1:10" ht="24" customHeight="1">
      <c r="A42" s="123" t="s">
        <v>403</v>
      </c>
      <c r="B42" s="107">
        <v>46143</v>
      </c>
      <c r="C42" s="107">
        <v>46507</v>
      </c>
      <c r="D42" s="108" t="s">
        <v>4</v>
      </c>
      <c r="E42" s="108" t="s">
        <v>2</v>
      </c>
      <c r="F42" s="108" t="s">
        <v>283</v>
      </c>
      <c r="G42" s="88">
        <v>86.5</v>
      </c>
      <c r="H42" s="89"/>
      <c r="I42" s="109" t="str">
        <f t="shared" si="2"/>
        <v>Monatslohn fehlt</v>
      </c>
      <c r="J42" s="129" t="str">
        <f t="shared" si="3"/>
        <v/>
      </c>
    </row>
    <row r="43" spans="1:10" ht="24" customHeight="1">
      <c r="A43" s="123" t="s">
        <v>403</v>
      </c>
      <c r="B43" s="107">
        <v>46143</v>
      </c>
      <c r="C43" s="107">
        <v>46507</v>
      </c>
      <c r="D43" s="108" t="s">
        <v>4</v>
      </c>
      <c r="E43" s="108" t="s">
        <v>2</v>
      </c>
      <c r="F43" s="108" t="s">
        <v>283</v>
      </c>
      <c r="G43" s="88">
        <v>69.2</v>
      </c>
      <c r="H43" s="89"/>
      <c r="I43" s="109" t="str">
        <f t="shared" si="2"/>
        <v>Monatslohn fehlt</v>
      </c>
      <c r="J43" s="129" t="str">
        <f t="shared" si="3"/>
        <v/>
      </c>
    </row>
    <row r="44" spans="1:10" ht="24" customHeight="1">
      <c r="A44" s="123" t="s">
        <v>403</v>
      </c>
      <c r="B44" s="107">
        <v>46143</v>
      </c>
      <c r="C44" s="107">
        <v>46507</v>
      </c>
      <c r="D44" s="108" t="s">
        <v>4</v>
      </c>
      <c r="E44" s="108" t="s">
        <v>2</v>
      </c>
      <c r="F44" s="108" t="s">
        <v>283</v>
      </c>
      <c r="G44" s="88">
        <v>51.9</v>
      </c>
      <c r="H44" s="89"/>
      <c r="I44" s="109" t="str">
        <f t="shared" si="2"/>
        <v>Monatslohn fehlt</v>
      </c>
      <c r="J44" s="129" t="str">
        <f t="shared" si="3"/>
        <v/>
      </c>
    </row>
    <row r="45" spans="1:10" ht="24" customHeight="1">
      <c r="A45" s="123" t="s">
        <v>403</v>
      </c>
      <c r="B45" s="107">
        <v>46143</v>
      </c>
      <c r="C45" s="107">
        <v>46507</v>
      </c>
      <c r="D45" s="108" t="s">
        <v>4</v>
      </c>
      <c r="E45" s="108" t="s">
        <v>2</v>
      </c>
      <c r="F45" s="108" t="s">
        <v>283</v>
      </c>
      <c r="G45" s="88">
        <v>47.58</v>
      </c>
      <c r="H45" s="89"/>
      <c r="I45" s="109" t="str">
        <f t="shared" si="2"/>
        <v>Monatslohn fehlt</v>
      </c>
      <c r="J45" s="129" t="str">
        <f t="shared" si="3"/>
        <v/>
      </c>
    </row>
    <row r="46" spans="1:10" ht="24" customHeight="1">
      <c r="A46" s="123" t="s">
        <v>403</v>
      </c>
      <c r="B46" s="107">
        <v>46143</v>
      </c>
      <c r="C46" s="107">
        <v>46507</v>
      </c>
      <c r="D46" s="108" t="s">
        <v>4</v>
      </c>
      <c r="E46" s="108" t="s">
        <v>2</v>
      </c>
      <c r="F46" s="108" t="s">
        <v>283</v>
      </c>
      <c r="G46" s="88">
        <v>43.25</v>
      </c>
      <c r="H46" s="89"/>
      <c r="I46" s="109" t="str">
        <f t="shared" si="2"/>
        <v>Monatslohn fehlt</v>
      </c>
      <c r="J46" s="129" t="str">
        <f t="shared" si="3"/>
        <v/>
      </c>
    </row>
    <row r="47" spans="1:10" ht="24" customHeight="1">
      <c r="A47" s="123" t="s">
        <v>403</v>
      </c>
      <c r="B47" s="107">
        <v>46143</v>
      </c>
      <c r="C47" s="107">
        <v>46507</v>
      </c>
      <c r="D47" s="108" t="s">
        <v>4</v>
      </c>
      <c r="E47" s="108" t="s">
        <v>2</v>
      </c>
      <c r="F47" s="108" t="s">
        <v>283</v>
      </c>
      <c r="G47" s="88">
        <v>34.6</v>
      </c>
      <c r="H47" s="89"/>
      <c r="I47" s="109" t="str">
        <f t="shared" si="2"/>
        <v>Monatslohn fehlt</v>
      </c>
      <c r="J47" s="129" t="str">
        <f t="shared" si="3"/>
        <v/>
      </c>
    </row>
    <row r="48" spans="1:10" ht="24" customHeight="1" thickBot="1">
      <c r="A48" s="123" t="s">
        <v>403</v>
      </c>
      <c r="B48" s="107">
        <v>46143</v>
      </c>
      <c r="C48" s="107">
        <v>46507</v>
      </c>
      <c r="D48" s="108" t="s">
        <v>4</v>
      </c>
      <c r="E48" s="108" t="s">
        <v>2</v>
      </c>
      <c r="F48" s="108" t="s">
        <v>283</v>
      </c>
      <c r="G48" s="88">
        <v>32.01</v>
      </c>
      <c r="H48" s="89"/>
      <c r="I48" s="109" t="str">
        <f t="shared" si="2"/>
        <v>Monatslohn fehlt</v>
      </c>
      <c r="J48" s="129" t="str">
        <f t="shared" si="3"/>
        <v/>
      </c>
    </row>
    <row r="49" spans="1:10" ht="24" customHeight="1">
      <c r="A49" s="122" t="s">
        <v>403</v>
      </c>
      <c r="B49" s="104">
        <v>46143</v>
      </c>
      <c r="C49" s="104">
        <v>46507</v>
      </c>
      <c r="D49" s="105" t="s">
        <v>5</v>
      </c>
      <c r="E49" s="105" t="s">
        <v>2</v>
      </c>
      <c r="F49" s="105" t="s">
        <v>284</v>
      </c>
      <c r="G49" s="86">
        <v>173</v>
      </c>
      <c r="H49" s="87"/>
      <c r="I49" s="106" t="str">
        <f t="shared" si="2"/>
        <v>Monatslohn fehlt</v>
      </c>
      <c r="J49" s="128" t="str">
        <f t="shared" si="3"/>
        <v/>
      </c>
    </row>
    <row r="50" spans="1:10" ht="24" customHeight="1">
      <c r="A50" s="123" t="s">
        <v>403</v>
      </c>
      <c r="B50" s="107">
        <v>46143</v>
      </c>
      <c r="C50" s="107">
        <v>46507</v>
      </c>
      <c r="D50" s="108" t="s">
        <v>5</v>
      </c>
      <c r="E50" s="108" t="s">
        <v>2</v>
      </c>
      <c r="F50" s="108" t="s">
        <v>284</v>
      </c>
      <c r="G50" s="88">
        <v>151.38</v>
      </c>
      <c r="H50" s="89"/>
      <c r="I50" s="109" t="str">
        <f t="shared" si="2"/>
        <v>Monatslohn fehlt</v>
      </c>
      <c r="J50" s="129" t="str">
        <f t="shared" si="3"/>
        <v/>
      </c>
    </row>
    <row r="51" spans="1:10" ht="24" customHeight="1">
      <c r="A51" s="123" t="s">
        <v>403</v>
      </c>
      <c r="B51" s="107">
        <v>46143</v>
      </c>
      <c r="C51" s="107">
        <v>46507</v>
      </c>
      <c r="D51" s="108" t="s">
        <v>5</v>
      </c>
      <c r="E51" s="108" t="s">
        <v>2</v>
      </c>
      <c r="F51" s="108" t="s">
        <v>284</v>
      </c>
      <c r="G51" s="88">
        <v>138.4</v>
      </c>
      <c r="H51" s="89"/>
      <c r="I51" s="109" t="str">
        <f t="shared" si="2"/>
        <v>Monatslohn fehlt</v>
      </c>
      <c r="J51" s="129" t="str">
        <f t="shared" si="3"/>
        <v/>
      </c>
    </row>
    <row r="52" spans="1:10" ht="24" customHeight="1">
      <c r="A52" s="123" t="s">
        <v>403</v>
      </c>
      <c r="B52" s="107">
        <v>46143</v>
      </c>
      <c r="C52" s="107">
        <v>46507</v>
      </c>
      <c r="D52" s="108" t="s">
        <v>5</v>
      </c>
      <c r="E52" s="108" t="s">
        <v>2</v>
      </c>
      <c r="F52" s="108" t="s">
        <v>284</v>
      </c>
      <c r="G52" s="88">
        <v>129.75</v>
      </c>
      <c r="H52" s="89"/>
      <c r="I52" s="109" t="str">
        <f t="shared" si="2"/>
        <v>Monatslohn fehlt</v>
      </c>
      <c r="J52" s="129" t="str">
        <f t="shared" si="3"/>
        <v/>
      </c>
    </row>
    <row r="53" spans="1:10" ht="24" customHeight="1">
      <c r="A53" s="123" t="s">
        <v>403</v>
      </c>
      <c r="B53" s="107">
        <v>46143</v>
      </c>
      <c r="C53" s="107">
        <v>46507</v>
      </c>
      <c r="D53" s="108" t="s">
        <v>5</v>
      </c>
      <c r="E53" s="108" t="s">
        <v>2</v>
      </c>
      <c r="F53" s="108" t="s">
        <v>284</v>
      </c>
      <c r="G53" s="88">
        <v>108.13</v>
      </c>
      <c r="H53" s="89"/>
      <c r="I53" s="109" t="str">
        <f t="shared" si="2"/>
        <v>Monatslohn fehlt</v>
      </c>
      <c r="J53" s="129" t="str">
        <f t="shared" si="3"/>
        <v/>
      </c>
    </row>
    <row r="54" spans="1:10" ht="24" customHeight="1">
      <c r="A54" s="123" t="s">
        <v>403</v>
      </c>
      <c r="B54" s="107">
        <v>46143</v>
      </c>
      <c r="C54" s="107">
        <v>46507</v>
      </c>
      <c r="D54" s="108" t="s">
        <v>5</v>
      </c>
      <c r="E54" s="108" t="s">
        <v>2</v>
      </c>
      <c r="F54" s="108" t="s">
        <v>284</v>
      </c>
      <c r="G54" s="88">
        <v>103.8</v>
      </c>
      <c r="H54" s="89"/>
      <c r="I54" s="109" t="str">
        <f t="shared" si="2"/>
        <v>Monatslohn fehlt</v>
      </c>
      <c r="J54" s="129" t="str">
        <f t="shared" si="3"/>
        <v/>
      </c>
    </row>
    <row r="55" spans="1:10" ht="24" customHeight="1">
      <c r="A55" s="123" t="s">
        <v>403</v>
      </c>
      <c r="B55" s="107">
        <v>46143</v>
      </c>
      <c r="C55" s="107">
        <v>46507</v>
      </c>
      <c r="D55" s="108" t="s">
        <v>5</v>
      </c>
      <c r="E55" s="108" t="s">
        <v>2</v>
      </c>
      <c r="F55" s="108" t="s">
        <v>284</v>
      </c>
      <c r="G55" s="88">
        <v>86.5</v>
      </c>
      <c r="H55" s="89"/>
      <c r="I55" s="109" t="str">
        <f t="shared" si="2"/>
        <v>Monatslohn fehlt</v>
      </c>
      <c r="J55" s="129" t="str">
        <f t="shared" si="3"/>
        <v/>
      </c>
    </row>
    <row r="56" spans="1:10" ht="24" customHeight="1">
      <c r="A56" s="123" t="s">
        <v>403</v>
      </c>
      <c r="B56" s="107">
        <v>46143</v>
      </c>
      <c r="C56" s="107">
        <v>46507</v>
      </c>
      <c r="D56" s="108" t="s">
        <v>5</v>
      </c>
      <c r="E56" s="108" t="s">
        <v>2</v>
      </c>
      <c r="F56" s="108" t="s">
        <v>284</v>
      </c>
      <c r="G56" s="88">
        <v>69.2</v>
      </c>
      <c r="H56" s="89"/>
      <c r="I56" s="109" t="str">
        <f t="shared" si="2"/>
        <v>Monatslohn fehlt</v>
      </c>
      <c r="J56" s="129" t="str">
        <f t="shared" si="3"/>
        <v/>
      </c>
    </row>
    <row r="57" spans="1:10" ht="24" customHeight="1">
      <c r="A57" s="123" t="s">
        <v>403</v>
      </c>
      <c r="B57" s="107">
        <v>46143</v>
      </c>
      <c r="C57" s="107">
        <v>46507</v>
      </c>
      <c r="D57" s="108" t="s">
        <v>5</v>
      </c>
      <c r="E57" s="108" t="s">
        <v>2</v>
      </c>
      <c r="F57" s="108" t="s">
        <v>284</v>
      </c>
      <c r="G57" s="88">
        <v>51.9</v>
      </c>
      <c r="H57" s="89"/>
      <c r="I57" s="109" t="str">
        <f t="shared" si="2"/>
        <v>Monatslohn fehlt</v>
      </c>
      <c r="J57" s="129" t="str">
        <f t="shared" si="3"/>
        <v/>
      </c>
    </row>
    <row r="58" spans="1:10" ht="24" customHeight="1">
      <c r="A58" s="123" t="s">
        <v>403</v>
      </c>
      <c r="B58" s="107">
        <v>46143</v>
      </c>
      <c r="C58" s="107">
        <v>46507</v>
      </c>
      <c r="D58" s="108" t="s">
        <v>5</v>
      </c>
      <c r="E58" s="108" t="s">
        <v>2</v>
      </c>
      <c r="F58" s="108" t="s">
        <v>284</v>
      </c>
      <c r="G58" s="88">
        <v>47.58</v>
      </c>
      <c r="H58" s="89"/>
      <c r="I58" s="109" t="str">
        <f t="shared" si="2"/>
        <v>Monatslohn fehlt</v>
      </c>
      <c r="J58" s="129" t="str">
        <f t="shared" si="3"/>
        <v/>
      </c>
    </row>
    <row r="59" spans="1:10" ht="24" customHeight="1">
      <c r="A59" s="123" t="s">
        <v>403</v>
      </c>
      <c r="B59" s="107">
        <v>46143</v>
      </c>
      <c r="C59" s="107">
        <v>46507</v>
      </c>
      <c r="D59" s="108" t="s">
        <v>5</v>
      </c>
      <c r="E59" s="108" t="s">
        <v>2</v>
      </c>
      <c r="F59" s="108" t="s">
        <v>284</v>
      </c>
      <c r="G59" s="88">
        <v>43.25</v>
      </c>
      <c r="H59" s="89"/>
      <c r="I59" s="109" t="str">
        <f t="shared" si="2"/>
        <v>Monatslohn fehlt</v>
      </c>
      <c r="J59" s="129" t="str">
        <f t="shared" si="3"/>
        <v/>
      </c>
    </row>
    <row r="60" spans="1:10" ht="24" customHeight="1">
      <c r="A60" s="123" t="s">
        <v>403</v>
      </c>
      <c r="B60" s="107">
        <v>46143</v>
      </c>
      <c r="C60" s="107">
        <v>46507</v>
      </c>
      <c r="D60" s="108" t="s">
        <v>5</v>
      </c>
      <c r="E60" s="108" t="s">
        <v>2</v>
      </c>
      <c r="F60" s="108" t="s">
        <v>284</v>
      </c>
      <c r="G60" s="88">
        <v>34.6</v>
      </c>
      <c r="H60" s="89"/>
      <c r="I60" s="109" t="str">
        <f t="shared" si="2"/>
        <v>Monatslohn fehlt</v>
      </c>
      <c r="J60" s="129" t="str">
        <f t="shared" si="3"/>
        <v/>
      </c>
    </row>
    <row r="61" spans="1:10" ht="24" customHeight="1" thickBot="1">
      <c r="A61" s="123" t="s">
        <v>403</v>
      </c>
      <c r="B61" s="107">
        <v>46143</v>
      </c>
      <c r="C61" s="107">
        <v>46507</v>
      </c>
      <c r="D61" s="108" t="s">
        <v>5</v>
      </c>
      <c r="E61" s="108" t="s">
        <v>2</v>
      </c>
      <c r="F61" s="108" t="s">
        <v>284</v>
      </c>
      <c r="G61" s="88">
        <v>32.01</v>
      </c>
      <c r="H61" s="89"/>
      <c r="I61" s="109" t="str">
        <f t="shared" si="2"/>
        <v>Monatslohn fehlt</v>
      </c>
      <c r="J61" s="129" t="str">
        <f t="shared" si="3"/>
        <v/>
      </c>
    </row>
    <row r="62" spans="1:10" ht="24" customHeight="1">
      <c r="A62" s="124" t="s">
        <v>403</v>
      </c>
      <c r="B62" s="110">
        <v>46143</v>
      </c>
      <c r="C62" s="110">
        <v>46507</v>
      </c>
      <c r="D62" s="111" t="s">
        <v>291</v>
      </c>
      <c r="E62" s="111" t="s">
        <v>6</v>
      </c>
      <c r="F62" s="111" t="s">
        <v>281</v>
      </c>
      <c r="G62" s="90">
        <v>173</v>
      </c>
      <c r="H62" s="91"/>
      <c r="I62" s="112" t="str">
        <f t="shared" si="2"/>
        <v>Monatslohn fehlt</v>
      </c>
      <c r="J62" s="130" t="str">
        <f t="shared" si="3"/>
        <v/>
      </c>
    </row>
    <row r="63" spans="1:10" ht="24" customHeight="1">
      <c r="A63" s="125" t="s">
        <v>403</v>
      </c>
      <c r="B63" s="113">
        <v>46143</v>
      </c>
      <c r="C63" s="113">
        <v>46507</v>
      </c>
      <c r="D63" s="114" t="s">
        <v>291</v>
      </c>
      <c r="E63" s="114" t="s">
        <v>6</v>
      </c>
      <c r="F63" s="114" t="s">
        <v>281</v>
      </c>
      <c r="G63" s="92">
        <v>151.38</v>
      </c>
      <c r="H63" s="93"/>
      <c r="I63" s="115" t="str">
        <f t="shared" si="2"/>
        <v>Monatslohn fehlt</v>
      </c>
      <c r="J63" s="131" t="str">
        <f t="shared" si="3"/>
        <v/>
      </c>
    </row>
    <row r="64" spans="1:10" ht="24" customHeight="1">
      <c r="A64" s="125" t="s">
        <v>403</v>
      </c>
      <c r="B64" s="113">
        <v>46143</v>
      </c>
      <c r="C64" s="113">
        <v>46507</v>
      </c>
      <c r="D64" s="114" t="s">
        <v>291</v>
      </c>
      <c r="E64" s="114" t="s">
        <v>6</v>
      </c>
      <c r="F64" s="114" t="s">
        <v>281</v>
      </c>
      <c r="G64" s="92">
        <v>138.4</v>
      </c>
      <c r="H64" s="93"/>
      <c r="I64" s="115" t="str">
        <f t="shared" si="2"/>
        <v>Monatslohn fehlt</v>
      </c>
      <c r="J64" s="131" t="str">
        <f t="shared" si="3"/>
        <v/>
      </c>
    </row>
    <row r="65" spans="1:10" ht="24" customHeight="1">
      <c r="A65" s="125" t="s">
        <v>403</v>
      </c>
      <c r="B65" s="113">
        <v>46143</v>
      </c>
      <c r="C65" s="113">
        <v>46507</v>
      </c>
      <c r="D65" s="114" t="s">
        <v>291</v>
      </c>
      <c r="E65" s="114" t="s">
        <v>6</v>
      </c>
      <c r="F65" s="114" t="s">
        <v>281</v>
      </c>
      <c r="G65" s="92">
        <v>129.75</v>
      </c>
      <c r="H65" s="93"/>
      <c r="I65" s="115" t="str">
        <f t="shared" si="2"/>
        <v>Monatslohn fehlt</v>
      </c>
      <c r="J65" s="131" t="str">
        <f t="shared" si="3"/>
        <v/>
      </c>
    </row>
    <row r="66" spans="1:10" ht="24" customHeight="1">
      <c r="A66" s="125" t="s">
        <v>403</v>
      </c>
      <c r="B66" s="113">
        <v>46143</v>
      </c>
      <c r="C66" s="113">
        <v>46507</v>
      </c>
      <c r="D66" s="114" t="s">
        <v>291</v>
      </c>
      <c r="E66" s="114" t="s">
        <v>6</v>
      </c>
      <c r="F66" s="114" t="s">
        <v>281</v>
      </c>
      <c r="G66" s="92">
        <v>108.13</v>
      </c>
      <c r="H66" s="93"/>
      <c r="I66" s="115" t="str">
        <f t="shared" si="2"/>
        <v>Monatslohn fehlt</v>
      </c>
      <c r="J66" s="131" t="str">
        <f t="shared" si="3"/>
        <v/>
      </c>
    </row>
    <row r="67" spans="1:10" ht="24" customHeight="1">
      <c r="A67" s="125" t="s">
        <v>403</v>
      </c>
      <c r="B67" s="113">
        <v>46143</v>
      </c>
      <c r="C67" s="113">
        <v>46507</v>
      </c>
      <c r="D67" s="114" t="s">
        <v>291</v>
      </c>
      <c r="E67" s="114" t="s">
        <v>6</v>
      </c>
      <c r="F67" s="114" t="s">
        <v>281</v>
      </c>
      <c r="G67" s="92">
        <v>103.8</v>
      </c>
      <c r="H67" s="93"/>
      <c r="I67" s="115" t="str">
        <f t="shared" si="2"/>
        <v>Monatslohn fehlt</v>
      </c>
      <c r="J67" s="131" t="str">
        <f t="shared" si="3"/>
        <v/>
      </c>
    </row>
    <row r="68" spans="1:10" ht="24" customHeight="1">
      <c r="A68" s="125" t="s">
        <v>403</v>
      </c>
      <c r="B68" s="113">
        <v>46143</v>
      </c>
      <c r="C68" s="113">
        <v>46507</v>
      </c>
      <c r="D68" s="114" t="s">
        <v>291</v>
      </c>
      <c r="E68" s="114" t="s">
        <v>6</v>
      </c>
      <c r="F68" s="114" t="s">
        <v>281</v>
      </c>
      <c r="G68" s="92">
        <v>86.5</v>
      </c>
      <c r="H68" s="93"/>
      <c r="I68" s="115" t="str">
        <f t="shared" si="2"/>
        <v>Monatslohn fehlt</v>
      </c>
      <c r="J68" s="131" t="str">
        <f t="shared" si="3"/>
        <v/>
      </c>
    </row>
    <row r="69" spans="1:10" ht="24" customHeight="1">
      <c r="A69" s="125" t="s">
        <v>403</v>
      </c>
      <c r="B69" s="113">
        <v>46143</v>
      </c>
      <c r="C69" s="113">
        <v>46507</v>
      </c>
      <c r="D69" s="114" t="s">
        <v>291</v>
      </c>
      <c r="E69" s="114" t="s">
        <v>6</v>
      </c>
      <c r="F69" s="114" t="s">
        <v>281</v>
      </c>
      <c r="G69" s="92">
        <v>69.2</v>
      </c>
      <c r="H69" s="93"/>
      <c r="I69" s="115" t="str">
        <f t="shared" ref="I69:I100" si="4">IF($A69="","",IF(OR($B69="",$C69="",$D69="",$E69="",$F69=""),"Stammdaten fehlen",IF(AND($G69="",$H69=""),"Werte fehlen",IF($G69="","Monatsstunden fehlen",IF($H69="","Monatslohn fehlt","OK")))))</f>
        <v>Monatslohn fehlt</v>
      </c>
      <c r="J69" s="131" t="str">
        <f t="shared" ref="J69:J100" si="5">IF($G69="","",IF(COUNTIFS($A:$A,$A69,$D:$D,$D69,$G:$G,$G69)&gt;1,"Doppelte Monatsstunden",""))</f>
        <v/>
      </c>
    </row>
    <row r="70" spans="1:10" ht="24" customHeight="1">
      <c r="A70" s="125" t="s">
        <v>403</v>
      </c>
      <c r="B70" s="113">
        <v>46143</v>
      </c>
      <c r="C70" s="113">
        <v>46507</v>
      </c>
      <c r="D70" s="114" t="s">
        <v>291</v>
      </c>
      <c r="E70" s="114" t="s">
        <v>6</v>
      </c>
      <c r="F70" s="114" t="s">
        <v>281</v>
      </c>
      <c r="G70" s="92">
        <v>51.9</v>
      </c>
      <c r="H70" s="93"/>
      <c r="I70" s="115" t="str">
        <f t="shared" si="4"/>
        <v>Monatslohn fehlt</v>
      </c>
      <c r="J70" s="131" t="str">
        <f t="shared" si="5"/>
        <v/>
      </c>
    </row>
    <row r="71" spans="1:10" ht="24" customHeight="1">
      <c r="A71" s="125" t="s">
        <v>403</v>
      </c>
      <c r="B71" s="113">
        <v>46143</v>
      </c>
      <c r="C71" s="113">
        <v>46507</v>
      </c>
      <c r="D71" s="114" t="s">
        <v>291</v>
      </c>
      <c r="E71" s="114" t="s">
        <v>6</v>
      </c>
      <c r="F71" s="114" t="s">
        <v>281</v>
      </c>
      <c r="G71" s="92">
        <v>47.58</v>
      </c>
      <c r="H71" s="93"/>
      <c r="I71" s="115" t="str">
        <f t="shared" si="4"/>
        <v>Monatslohn fehlt</v>
      </c>
      <c r="J71" s="131" t="str">
        <f t="shared" si="5"/>
        <v/>
      </c>
    </row>
    <row r="72" spans="1:10" ht="24" customHeight="1">
      <c r="A72" s="125" t="s">
        <v>403</v>
      </c>
      <c r="B72" s="113">
        <v>46143</v>
      </c>
      <c r="C72" s="113">
        <v>46507</v>
      </c>
      <c r="D72" s="114" t="s">
        <v>291</v>
      </c>
      <c r="E72" s="114" t="s">
        <v>6</v>
      </c>
      <c r="F72" s="114" t="s">
        <v>281</v>
      </c>
      <c r="G72" s="92">
        <v>43.25</v>
      </c>
      <c r="H72" s="93"/>
      <c r="I72" s="115" t="str">
        <f t="shared" si="4"/>
        <v>Monatslohn fehlt</v>
      </c>
      <c r="J72" s="131" t="str">
        <f t="shared" si="5"/>
        <v/>
      </c>
    </row>
    <row r="73" spans="1:10" ht="24" customHeight="1">
      <c r="A73" s="125" t="s">
        <v>403</v>
      </c>
      <c r="B73" s="113">
        <v>46143</v>
      </c>
      <c r="C73" s="113">
        <v>46507</v>
      </c>
      <c r="D73" s="114" t="s">
        <v>291</v>
      </c>
      <c r="E73" s="114" t="s">
        <v>6</v>
      </c>
      <c r="F73" s="114" t="s">
        <v>281</v>
      </c>
      <c r="G73" s="92">
        <v>34.6</v>
      </c>
      <c r="H73" s="93"/>
      <c r="I73" s="115" t="str">
        <f t="shared" si="4"/>
        <v>Monatslohn fehlt</v>
      </c>
      <c r="J73" s="131" t="str">
        <f t="shared" si="5"/>
        <v/>
      </c>
    </row>
    <row r="74" spans="1:10" ht="24" customHeight="1" thickBot="1">
      <c r="A74" s="125" t="s">
        <v>403</v>
      </c>
      <c r="B74" s="113">
        <v>46143</v>
      </c>
      <c r="C74" s="113">
        <v>46507</v>
      </c>
      <c r="D74" s="114" t="s">
        <v>291</v>
      </c>
      <c r="E74" s="114" t="s">
        <v>6</v>
      </c>
      <c r="F74" s="114" t="s">
        <v>281</v>
      </c>
      <c r="G74" s="92">
        <v>32.01</v>
      </c>
      <c r="H74" s="93"/>
      <c r="I74" s="115" t="str">
        <f t="shared" si="4"/>
        <v>Monatslohn fehlt</v>
      </c>
      <c r="J74" s="131" t="str">
        <f t="shared" si="5"/>
        <v/>
      </c>
    </row>
    <row r="75" spans="1:10" ht="24" customHeight="1">
      <c r="A75" s="124" t="s">
        <v>403</v>
      </c>
      <c r="B75" s="110">
        <v>46143</v>
      </c>
      <c r="C75" s="110">
        <v>46507</v>
      </c>
      <c r="D75" s="111" t="s">
        <v>7</v>
      </c>
      <c r="E75" s="111" t="s">
        <v>6</v>
      </c>
      <c r="F75" s="111" t="s">
        <v>282</v>
      </c>
      <c r="G75" s="90">
        <v>173</v>
      </c>
      <c r="H75" s="91"/>
      <c r="I75" s="112" t="str">
        <f t="shared" si="4"/>
        <v>Monatslohn fehlt</v>
      </c>
      <c r="J75" s="130" t="str">
        <f t="shared" si="5"/>
        <v/>
      </c>
    </row>
    <row r="76" spans="1:10" ht="24" customHeight="1">
      <c r="A76" s="125" t="s">
        <v>403</v>
      </c>
      <c r="B76" s="113">
        <v>46143</v>
      </c>
      <c r="C76" s="113">
        <v>46507</v>
      </c>
      <c r="D76" s="114" t="s">
        <v>7</v>
      </c>
      <c r="E76" s="114" t="s">
        <v>6</v>
      </c>
      <c r="F76" s="114" t="s">
        <v>282</v>
      </c>
      <c r="G76" s="92">
        <v>151.38</v>
      </c>
      <c r="H76" s="93"/>
      <c r="I76" s="115" t="str">
        <f t="shared" si="4"/>
        <v>Monatslohn fehlt</v>
      </c>
      <c r="J76" s="131" t="str">
        <f t="shared" si="5"/>
        <v/>
      </c>
    </row>
    <row r="77" spans="1:10" ht="24" customHeight="1">
      <c r="A77" s="125" t="s">
        <v>403</v>
      </c>
      <c r="B77" s="113">
        <v>46143</v>
      </c>
      <c r="C77" s="113">
        <v>46507</v>
      </c>
      <c r="D77" s="114" t="s">
        <v>7</v>
      </c>
      <c r="E77" s="114" t="s">
        <v>6</v>
      </c>
      <c r="F77" s="114" t="s">
        <v>282</v>
      </c>
      <c r="G77" s="92">
        <v>138.4</v>
      </c>
      <c r="H77" s="93"/>
      <c r="I77" s="115" t="str">
        <f t="shared" si="4"/>
        <v>Monatslohn fehlt</v>
      </c>
      <c r="J77" s="131" t="str">
        <f t="shared" si="5"/>
        <v/>
      </c>
    </row>
    <row r="78" spans="1:10" ht="24" customHeight="1">
      <c r="A78" s="125" t="s">
        <v>403</v>
      </c>
      <c r="B78" s="113">
        <v>46143</v>
      </c>
      <c r="C78" s="113">
        <v>46507</v>
      </c>
      <c r="D78" s="114" t="s">
        <v>7</v>
      </c>
      <c r="E78" s="114" t="s">
        <v>6</v>
      </c>
      <c r="F78" s="114" t="s">
        <v>282</v>
      </c>
      <c r="G78" s="92">
        <v>129.75</v>
      </c>
      <c r="H78" s="93"/>
      <c r="I78" s="115" t="str">
        <f t="shared" si="4"/>
        <v>Monatslohn fehlt</v>
      </c>
      <c r="J78" s="131" t="str">
        <f t="shared" si="5"/>
        <v/>
      </c>
    </row>
    <row r="79" spans="1:10" ht="24" customHeight="1">
      <c r="A79" s="125" t="s">
        <v>403</v>
      </c>
      <c r="B79" s="113">
        <v>46143</v>
      </c>
      <c r="C79" s="113">
        <v>46507</v>
      </c>
      <c r="D79" s="114" t="s">
        <v>7</v>
      </c>
      <c r="E79" s="114" t="s">
        <v>6</v>
      </c>
      <c r="F79" s="114" t="s">
        <v>282</v>
      </c>
      <c r="G79" s="92">
        <v>108.13</v>
      </c>
      <c r="H79" s="93"/>
      <c r="I79" s="115" t="str">
        <f t="shared" si="4"/>
        <v>Monatslohn fehlt</v>
      </c>
      <c r="J79" s="131" t="str">
        <f t="shared" si="5"/>
        <v/>
      </c>
    </row>
    <row r="80" spans="1:10" ht="24" customHeight="1">
      <c r="A80" s="125" t="s">
        <v>403</v>
      </c>
      <c r="B80" s="113">
        <v>46143</v>
      </c>
      <c r="C80" s="113">
        <v>46507</v>
      </c>
      <c r="D80" s="114" t="s">
        <v>7</v>
      </c>
      <c r="E80" s="114" t="s">
        <v>6</v>
      </c>
      <c r="F80" s="114" t="s">
        <v>282</v>
      </c>
      <c r="G80" s="92">
        <v>103.8</v>
      </c>
      <c r="H80" s="93"/>
      <c r="I80" s="115" t="str">
        <f t="shared" si="4"/>
        <v>Monatslohn fehlt</v>
      </c>
      <c r="J80" s="131" t="str">
        <f t="shared" si="5"/>
        <v/>
      </c>
    </row>
    <row r="81" spans="1:10" ht="24" customHeight="1">
      <c r="A81" s="125" t="s">
        <v>403</v>
      </c>
      <c r="B81" s="113">
        <v>46143</v>
      </c>
      <c r="C81" s="113">
        <v>46507</v>
      </c>
      <c r="D81" s="114" t="s">
        <v>7</v>
      </c>
      <c r="E81" s="114" t="s">
        <v>6</v>
      </c>
      <c r="F81" s="114" t="s">
        <v>282</v>
      </c>
      <c r="G81" s="92">
        <v>86.5</v>
      </c>
      <c r="H81" s="93"/>
      <c r="I81" s="115" t="str">
        <f t="shared" si="4"/>
        <v>Monatslohn fehlt</v>
      </c>
      <c r="J81" s="131" t="str">
        <f t="shared" si="5"/>
        <v/>
      </c>
    </row>
    <row r="82" spans="1:10" ht="24" customHeight="1">
      <c r="A82" s="125" t="s">
        <v>403</v>
      </c>
      <c r="B82" s="113">
        <v>46143</v>
      </c>
      <c r="C82" s="113">
        <v>46507</v>
      </c>
      <c r="D82" s="114" t="s">
        <v>7</v>
      </c>
      <c r="E82" s="114" t="s">
        <v>6</v>
      </c>
      <c r="F82" s="114" t="s">
        <v>282</v>
      </c>
      <c r="G82" s="92">
        <v>69.2</v>
      </c>
      <c r="H82" s="93"/>
      <c r="I82" s="115" t="str">
        <f t="shared" si="4"/>
        <v>Monatslohn fehlt</v>
      </c>
      <c r="J82" s="131" t="str">
        <f t="shared" si="5"/>
        <v/>
      </c>
    </row>
    <row r="83" spans="1:10" ht="24" customHeight="1">
      <c r="A83" s="125" t="s">
        <v>403</v>
      </c>
      <c r="B83" s="113">
        <v>46143</v>
      </c>
      <c r="C83" s="113">
        <v>46507</v>
      </c>
      <c r="D83" s="114" t="s">
        <v>7</v>
      </c>
      <c r="E83" s="114" t="s">
        <v>6</v>
      </c>
      <c r="F83" s="114" t="s">
        <v>282</v>
      </c>
      <c r="G83" s="92">
        <v>51.9</v>
      </c>
      <c r="H83" s="93"/>
      <c r="I83" s="115" t="str">
        <f t="shared" si="4"/>
        <v>Monatslohn fehlt</v>
      </c>
      <c r="J83" s="131" t="str">
        <f t="shared" si="5"/>
        <v/>
      </c>
    </row>
    <row r="84" spans="1:10" ht="24" customHeight="1">
      <c r="A84" s="125" t="s">
        <v>403</v>
      </c>
      <c r="B84" s="113">
        <v>46143</v>
      </c>
      <c r="C84" s="113">
        <v>46507</v>
      </c>
      <c r="D84" s="114" t="s">
        <v>7</v>
      </c>
      <c r="E84" s="114" t="s">
        <v>6</v>
      </c>
      <c r="F84" s="114" t="s">
        <v>282</v>
      </c>
      <c r="G84" s="92">
        <v>47.58</v>
      </c>
      <c r="H84" s="93"/>
      <c r="I84" s="115" t="str">
        <f t="shared" si="4"/>
        <v>Monatslohn fehlt</v>
      </c>
      <c r="J84" s="131" t="str">
        <f t="shared" si="5"/>
        <v/>
      </c>
    </row>
    <row r="85" spans="1:10" ht="24" customHeight="1">
      <c r="A85" s="125" t="s">
        <v>403</v>
      </c>
      <c r="B85" s="113">
        <v>46143</v>
      </c>
      <c r="C85" s="113">
        <v>46507</v>
      </c>
      <c r="D85" s="114" t="s">
        <v>7</v>
      </c>
      <c r="E85" s="114" t="s">
        <v>6</v>
      </c>
      <c r="F85" s="114" t="s">
        <v>282</v>
      </c>
      <c r="G85" s="92">
        <v>43.25</v>
      </c>
      <c r="H85" s="93"/>
      <c r="I85" s="115" t="str">
        <f t="shared" si="4"/>
        <v>Monatslohn fehlt</v>
      </c>
      <c r="J85" s="131" t="str">
        <f t="shared" si="5"/>
        <v/>
      </c>
    </row>
    <row r="86" spans="1:10" ht="24" customHeight="1">
      <c r="A86" s="125" t="s">
        <v>403</v>
      </c>
      <c r="B86" s="113">
        <v>46143</v>
      </c>
      <c r="C86" s="113">
        <v>46507</v>
      </c>
      <c r="D86" s="114" t="s">
        <v>7</v>
      </c>
      <c r="E86" s="114" t="s">
        <v>6</v>
      </c>
      <c r="F86" s="114" t="s">
        <v>282</v>
      </c>
      <c r="G86" s="92">
        <v>34.6</v>
      </c>
      <c r="H86" s="93"/>
      <c r="I86" s="115" t="str">
        <f t="shared" si="4"/>
        <v>Monatslohn fehlt</v>
      </c>
      <c r="J86" s="131" t="str">
        <f t="shared" si="5"/>
        <v/>
      </c>
    </row>
    <row r="87" spans="1:10" ht="24" customHeight="1" thickBot="1">
      <c r="A87" s="125" t="s">
        <v>403</v>
      </c>
      <c r="B87" s="113">
        <v>46143</v>
      </c>
      <c r="C87" s="113">
        <v>46507</v>
      </c>
      <c r="D87" s="114" t="s">
        <v>7</v>
      </c>
      <c r="E87" s="114" t="s">
        <v>6</v>
      </c>
      <c r="F87" s="114" t="s">
        <v>282</v>
      </c>
      <c r="G87" s="92">
        <v>32.01</v>
      </c>
      <c r="H87" s="93"/>
      <c r="I87" s="115" t="str">
        <f t="shared" si="4"/>
        <v>Monatslohn fehlt</v>
      </c>
      <c r="J87" s="131" t="str">
        <f t="shared" si="5"/>
        <v/>
      </c>
    </row>
    <row r="88" spans="1:10" ht="24" customHeight="1">
      <c r="A88" s="124" t="s">
        <v>403</v>
      </c>
      <c r="B88" s="110">
        <v>46143</v>
      </c>
      <c r="C88" s="110">
        <v>46507</v>
      </c>
      <c r="D88" s="111" t="s">
        <v>8</v>
      </c>
      <c r="E88" s="111" t="s">
        <v>6</v>
      </c>
      <c r="F88" s="111" t="s">
        <v>283</v>
      </c>
      <c r="G88" s="90">
        <v>173</v>
      </c>
      <c r="H88" s="91"/>
      <c r="I88" s="112" t="str">
        <f t="shared" si="4"/>
        <v>Monatslohn fehlt</v>
      </c>
      <c r="J88" s="130" t="str">
        <f t="shared" si="5"/>
        <v/>
      </c>
    </row>
    <row r="89" spans="1:10" ht="24" customHeight="1">
      <c r="A89" s="125" t="s">
        <v>403</v>
      </c>
      <c r="B89" s="113">
        <v>46143</v>
      </c>
      <c r="C89" s="113">
        <v>46507</v>
      </c>
      <c r="D89" s="114" t="s">
        <v>8</v>
      </c>
      <c r="E89" s="114" t="s">
        <v>6</v>
      </c>
      <c r="F89" s="114" t="s">
        <v>283</v>
      </c>
      <c r="G89" s="92">
        <v>151.38</v>
      </c>
      <c r="H89" s="93"/>
      <c r="I89" s="115" t="str">
        <f t="shared" si="4"/>
        <v>Monatslohn fehlt</v>
      </c>
      <c r="J89" s="131" t="str">
        <f t="shared" si="5"/>
        <v/>
      </c>
    </row>
    <row r="90" spans="1:10" ht="24" customHeight="1">
      <c r="A90" s="125" t="s">
        <v>403</v>
      </c>
      <c r="B90" s="113">
        <v>46143</v>
      </c>
      <c r="C90" s="113">
        <v>46507</v>
      </c>
      <c r="D90" s="114" t="s">
        <v>8</v>
      </c>
      <c r="E90" s="114" t="s">
        <v>6</v>
      </c>
      <c r="F90" s="114" t="s">
        <v>283</v>
      </c>
      <c r="G90" s="92">
        <v>138.4</v>
      </c>
      <c r="H90" s="93"/>
      <c r="I90" s="115" t="str">
        <f t="shared" si="4"/>
        <v>Monatslohn fehlt</v>
      </c>
      <c r="J90" s="131" t="str">
        <f t="shared" si="5"/>
        <v/>
      </c>
    </row>
    <row r="91" spans="1:10" ht="24" customHeight="1">
      <c r="A91" s="125" t="s">
        <v>403</v>
      </c>
      <c r="B91" s="113">
        <v>46143</v>
      </c>
      <c r="C91" s="113">
        <v>46507</v>
      </c>
      <c r="D91" s="114" t="s">
        <v>8</v>
      </c>
      <c r="E91" s="114" t="s">
        <v>6</v>
      </c>
      <c r="F91" s="114" t="s">
        <v>283</v>
      </c>
      <c r="G91" s="92">
        <v>129.75</v>
      </c>
      <c r="H91" s="93"/>
      <c r="I91" s="115" t="str">
        <f t="shared" si="4"/>
        <v>Monatslohn fehlt</v>
      </c>
      <c r="J91" s="131" t="str">
        <f t="shared" si="5"/>
        <v/>
      </c>
    </row>
    <row r="92" spans="1:10" ht="24" customHeight="1">
      <c r="A92" s="125" t="s">
        <v>403</v>
      </c>
      <c r="B92" s="113">
        <v>46143</v>
      </c>
      <c r="C92" s="113">
        <v>46507</v>
      </c>
      <c r="D92" s="114" t="s">
        <v>8</v>
      </c>
      <c r="E92" s="114" t="s">
        <v>6</v>
      </c>
      <c r="F92" s="114" t="s">
        <v>283</v>
      </c>
      <c r="G92" s="92">
        <v>108.13</v>
      </c>
      <c r="H92" s="93"/>
      <c r="I92" s="115" t="str">
        <f t="shared" si="4"/>
        <v>Monatslohn fehlt</v>
      </c>
      <c r="J92" s="131" t="str">
        <f t="shared" si="5"/>
        <v/>
      </c>
    </row>
    <row r="93" spans="1:10" ht="24" customHeight="1">
      <c r="A93" s="125" t="s">
        <v>403</v>
      </c>
      <c r="B93" s="113">
        <v>46143</v>
      </c>
      <c r="C93" s="113">
        <v>46507</v>
      </c>
      <c r="D93" s="114" t="s">
        <v>8</v>
      </c>
      <c r="E93" s="114" t="s">
        <v>6</v>
      </c>
      <c r="F93" s="114" t="s">
        <v>283</v>
      </c>
      <c r="G93" s="92">
        <v>103.8</v>
      </c>
      <c r="H93" s="93"/>
      <c r="I93" s="115" t="str">
        <f t="shared" si="4"/>
        <v>Monatslohn fehlt</v>
      </c>
      <c r="J93" s="131" t="str">
        <f t="shared" si="5"/>
        <v/>
      </c>
    </row>
    <row r="94" spans="1:10" ht="24" customHeight="1">
      <c r="A94" s="125" t="s">
        <v>403</v>
      </c>
      <c r="B94" s="113">
        <v>46143</v>
      </c>
      <c r="C94" s="113">
        <v>46507</v>
      </c>
      <c r="D94" s="114" t="s">
        <v>8</v>
      </c>
      <c r="E94" s="114" t="s">
        <v>6</v>
      </c>
      <c r="F94" s="114" t="s">
        <v>283</v>
      </c>
      <c r="G94" s="92">
        <v>86.5</v>
      </c>
      <c r="H94" s="93"/>
      <c r="I94" s="115" t="str">
        <f t="shared" si="4"/>
        <v>Monatslohn fehlt</v>
      </c>
      <c r="J94" s="131" t="str">
        <f t="shared" si="5"/>
        <v/>
      </c>
    </row>
    <row r="95" spans="1:10" ht="24" customHeight="1">
      <c r="A95" s="125" t="s">
        <v>403</v>
      </c>
      <c r="B95" s="113">
        <v>46143</v>
      </c>
      <c r="C95" s="113">
        <v>46507</v>
      </c>
      <c r="D95" s="114" t="s">
        <v>8</v>
      </c>
      <c r="E95" s="114" t="s">
        <v>6</v>
      </c>
      <c r="F95" s="114" t="s">
        <v>283</v>
      </c>
      <c r="G95" s="92">
        <v>69.2</v>
      </c>
      <c r="H95" s="93"/>
      <c r="I95" s="115" t="str">
        <f t="shared" si="4"/>
        <v>Monatslohn fehlt</v>
      </c>
      <c r="J95" s="131" t="str">
        <f t="shared" si="5"/>
        <v/>
      </c>
    </row>
    <row r="96" spans="1:10" ht="24" customHeight="1">
      <c r="A96" s="125" t="s">
        <v>403</v>
      </c>
      <c r="B96" s="113">
        <v>46143</v>
      </c>
      <c r="C96" s="113">
        <v>46507</v>
      </c>
      <c r="D96" s="114" t="s">
        <v>8</v>
      </c>
      <c r="E96" s="114" t="s">
        <v>6</v>
      </c>
      <c r="F96" s="114" t="s">
        <v>283</v>
      </c>
      <c r="G96" s="92">
        <v>51.9</v>
      </c>
      <c r="H96" s="93"/>
      <c r="I96" s="115" t="str">
        <f t="shared" si="4"/>
        <v>Monatslohn fehlt</v>
      </c>
      <c r="J96" s="131" t="str">
        <f t="shared" si="5"/>
        <v/>
      </c>
    </row>
    <row r="97" spans="1:10" ht="24" customHeight="1">
      <c r="A97" s="125" t="s">
        <v>403</v>
      </c>
      <c r="B97" s="113">
        <v>46143</v>
      </c>
      <c r="C97" s="113">
        <v>46507</v>
      </c>
      <c r="D97" s="114" t="s">
        <v>8</v>
      </c>
      <c r="E97" s="114" t="s">
        <v>6</v>
      </c>
      <c r="F97" s="114" t="s">
        <v>283</v>
      </c>
      <c r="G97" s="92">
        <v>47.58</v>
      </c>
      <c r="H97" s="93"/>
      <c r="I97" s="115" t="str">
        <f t="shared" si="4"/>
        <v>Monatslohn fehlt</v>
      </c>
      <c r="J97" s="131" t="str">
        <f t="shared" si="5"/>
        <v/>
      </c>
    </row>
    <row r="98" spans="1:10" ht="24" customHeight="1">
      <c r="A98" s="125" t="s">
        <v>403</v>
      </c>
      <c r="B98" s="113">
        <v>46143</v>
      </c>
      <c r="C98" s="113">
        <v>46507</v>
      </c>
      <c r="D98" s="114" t="s">
        <v>8</v>
      </c>
      <c r="E98" s="114" t="s">
        <v>6</v>
      </c>
      <c r="F98" s="114" t="s">
        <v>283</v>
      </c>
      <c r="G98" s="92">
        <v>43.25</v>
      </c>
      <c r="H98" s="93"/>
      <c r="I98" s="115" t="str">
        <f t="shared" si="4"/>
        <v>Monatslohn fehlt</v>
      </c>
      <c r="J98" s="131" t="str">
        <f t="shared" si="5"/>
        <v/>
      </c>
    </row>
    <row r="99" spans="1:10" ht="24" customHeight="1">
      <c r="A99" s="125" t="s">
        <v>403</v>
      </c>
      <c r="B99" s="113">
        <v>46143</v>
      </c>
      <c r="C99" s="113">
        <v>46507</v>
      </c>
      <c r="D99" s="114" t="s">
        <v>8</v>
      </c>
      <c r="E99" s="114" t="s">
        <v>6</v>
      </c>
      <c r="F99" s="114" t="s">
        <v>283</v>
      </c>
      <c r="G99" s="92">
        <v>34.6</v>
      </c>
      <c r="H99" s="93"/>
      <c r="I99" s="115" t="str">
        <f t="shared" si="4"/>
        <v>Monatslohn fehlt</v>
      </c>
      <c r="J99" s="131" t="str">
        <f t="shared" si="5"/>
        <v/>
      </c>
    </row>
    <row r="100" spans="1:10" ht="24" customHeight="1" thickBot="1">
      <c r="A100" s="125" t="s">
        <v>403</v>
      </c>
      <c r="B100" s="113">
        <v>46143</v>
      </c>
      <c r="C100" s="113">
        <v>46507</v>
      </c>
      <c r="D100" s="114" t="s">
        <v>8</v>
      </c>
      <c r="E100" s="114" t="s">
        <v>6</v>
      </c>
      <c r="F100" s="114" t="s">
        <v>283</v>
      </c>
      <c r="G100" s="92">
        <v>32.01</v>
      </c>
      <c r="H100" s="93"/>
      <c r="I100" s="115" t="str">
        <f t="shared" si="4"/>
        <v>Monatslohn fehlt</v>
      </c>
      <c r="J100" s="131" t="str">
        <f t="shared" si="5"/>
        <v/>
      </c>
    </row>
    <row r="101" spans="1:10" ht="24" customHeight="1">
      <c r="A101" s="124" t="s">
        <v>403</v>
      </c>
      <c r="B101" s="110">
        <v>46143</v>
      </c>
      <c r="C101" s="110">
        <v>46507</v>
      </c>
      <c r="D101" s="111" t="s">
        <v>9</v>
      </c>
      <c r="E101" s="111" t="s">
        <v>6</v>
      </c>
      <c r="F101" s="111" t="s">
        <v>284</v>
      </c>
      <c r="G101" s="90">
        <v>173</v>
      </c>
      <c r="H101" s="91"/>
      <c r="I101" s="112" t="str">
        <f t="shared" ref="I101:I132" si="6">IF($A101="","",IF(OR($B101="",$C101="",$D101="",$E101="",$F101=""),"Stammdaten fehlen",IF(AND($G101="",$H101=""),"Werte fehlen",IF($G101="","Monatsstunden fehlen",IF($H101="","Monatslohn fehlt","OK")))))</f>
        <v>Monatslohn fehlt</v>
      </c>
      <c r="J101" s="130" t="str">
        <f t="shared" ref="J101:J132" si="7">IF($G101="","",IF(COUNTIFS($A:$A,$A101,$D:$D,$D101,$G:$G,$G101)&gt;1,"Doppelte Monatsstunden",""))</f>
        <v/>
      </c>
    </row>
    <row r="102" spans="1:10" ht="24" customHeight="1">
      <c r="A102" s="125" t="s">
        <v>403</v>
      </c>
      <c r="B102" s="113">
        <v>46143</v>
      </c>
      <c r="C102" s="113">
        <v>46507</v>
      </c>
      <c r="D102" s="114" t="s">
        <v>9</v>
      </c>
      <c r="E102" s="114" t="s">
        <v>6</v>
      </c>
      <c r="F102" s="114" t="s">
        <v>284</v>
      </c>
      <c r="G102" s="92">
        <v>151.38</v>
      </c>
      <c r="H102" s="93"/>
      <c r="I102" s="115" t="str">
        <f t="shared" si="6"/>
        <v>Monatslohn fehlt</v>
      </c>
      <c r="J102" s="131" t="str">
        <f t="shared" si="7"/>
        <v/>
      </c>
    </row>
    <row r="103" spans="1:10" ht="24" customHeight="1">
      <c r="A103" s="125" t="s">
        <v>403</v>
      </c>
      <c r="B103" s="113">
        <v>46143</v>
      </c>
      <c r="C103" s="113">
        <v>46507</v>
      </c>
      <c r="D103" s="114" t="s">
        <v>9</v>
      </c>
      <c r="E103" s="114" t="s">
        <v>6</v>
      </c>
      <c r="F103" s="114" t="s">
        <v>284</v>
      </c>
      <c r="G103" s="92">
        <v>138.4</v>
      </c>
      <c r="H103" s="93"/>
      <c r="I103" s="115" t="str">
        <f t="shared" si="6"/>
        <v>Monatslohn fehlt</v>
      </c>
      <c r="J103" s="131" t="str">
        <f t="shared" si="7"/>
        <v/>
      </c>
    </row>
    <row r="104" spans="1:10" ht="24" customHeight="1">
      <c r="A104" s="125" t="s">
        <v>403</v>
      </c>
      <c r="B104" s="113">
        <v>46143</v>
      </c>
      <c r="C104" s="113">
        <v>46507</v>
      </c>
      <c r="D104" s="114" t="s">
        <v>9</v>
      </c>
      <c r="E104" s="114" t="s">
        <v>6</v>
      </c>
      <c r="F104" s="114" t="s">
        <v>284</v>
      </c>
      <c r="G104" s="92">
        <v>129.75</v>
      </c>
      <c r="H104" s="93"/>
      <c r="I104" s="115" t="str">
        <f t="shared" si="6"/>
        <v>Monatslohn fehlt</v>
      </c>
      <c r="J104" s="131" t="str">
        <f t="shared" si="7"/>
        <v/>
      </c>
    </row>
    <row r="105" spans="1:10" ht="24" customHeight="1">
      <c r="A105" s="125" t="s">
        <v>403</v>
      </c>
      <c r="B105" s="113">
        <v>46143</v>
      </c>
      <c r="C105" s="113">
        <v>46507</v>
      </c>
      <c r="D105" s="114" t="s">
        <v>9</v>
      </c>
      <c r="E105" s="114" t="s">
        <v>6</v>
      </c>
      <c r="F105" s="114" t="s">
        <v>284</v>
      </c>
      <c r="G105" s="92">
        <v>108.13</v>
      </c>
      <c r="H105" s="93"/>
      <c r="I105" s="115" t="str">
        <f t="shared" si="6"/>
        <v>Monatslohn fehlt</v>
      </c>
      <c r="J105" s="131" t="str">
        <f t="shared" si="7"/>
        <v/>
      </c>
    </row>
    <row r="106" spans="1:10" ht="24" customHeight="1">
      <c r="A106" s="125" t="s">
        <v>403</v>
      </c>
      <c r="B106" s="113">
        <v>46143</v>
      </c>
      <c r="C106" s="113">
        <v>46507</v>
      </c>
      <c r="D106" s="114" t="s">
        <v>9</v>
      </c>
      <c r="E106" s="114" t="s">
        <v>6</v>
      </c>
      <c r="F106" s="114" t="s">
        <v>284</v>
      </c>
      <c r="G106" s="92">
        <v>103.8</v>
      </c>
      <c r="H106" s="93"/>
      <c r="I106" s="115" t="str">
        <f t="shared" si="6"/>
        <v>Monatslohn fehlt</v>
      </c>
      <c r="J106" s="131" t="str">
        <f t="shared" si="7"/>
        <v/>
      </c>
    </row>
    <row r="107" spans="1:10" ht="24" customHeight="1">
      <c r="A107" s="125" t="s">
        <v>403</v>
      </c>
      <c r="B107" s="113">
        <v>46143</v>
      </c>
      <c r="C107" s="113">
        <v>46507</v>
      </c>
      <c r="D107" s="114" t="s">
        <v>9</v>
      </c>
      <c r="E107" s="114" t="s">
        <v>6</v>
      </c>
      <c r="F107" s="114" t="s">
        <v>284</v>
      </c>
      <c r="G107" s="92">
        <v>86.5</v>
      </c>
      <c r="H107" s="93"/>
      <c r="I107" s="115" t="str">
        <f t="shared" si="6"/>
        <v>Monatslohn fehlt</v>
      </c>
      <c r="J107" s="131" t="str">
        <f t="shared" si="7"/>
        <v/>
      </c>
    </row>
    <row r="108" spans="1:10" ht="24" customHeight="1">
      <c r="A108" s="125" t="s">
        <v>403</v>
      </c>
      <c r="B108" s="113">
        <v>46143</v>
      </c>
      <c r="C108" s="113">
        <v>46507</v>
      </c>
      <c r="D108" s="114" t="s">
        <v>9</v>
      </c>
      <c r="E108" s="114" t="s">
        <v>6</v>
      </c>
      <c r="F108" s="114" t="s">
        <v>284</v>
      </c>
      <c r="G108" s="92">
        <v>69.2</v>
      </c>
      <c r="H108" s="93"/>
      <c r="I108" s="115" t="str">
        <f t="shared" si="6"/>
        <v>Monatslohn fehlt</v>
      </c>
      <c r="J108" s="131" t="str">
        <f t="shared" si="7"/>
        <v/>
      </c>
    </row>
    <row r="109" spans="1:10" ht="24" customHeight="1">
      <c r="A109" s="125" t="s">
        <v>403</v>
      </c>
      <c r="B109" s="113">
        <v>46143</v>
      </c>
      <c r="C109" s="113">
        <v>46507</v>
      </c>
      <c r="D109" s="114" t="s">
        <v>9</v>
      </c>
      <c r="E109" s="114" t="s">
        <v>6</v>
      </c>
      <c r="F109" s="114" t="s">
        <v>284</v>
      </c>
      <c r="G109" s="92">
        <v>51.9</v>
      </c>
      <c r="H109" s="93"/>
      <c r="I109" s="115" t="str">
        <f t="shared" si="6"/>
        <v>Monatslohn fehlt</v>
      </c>
      <c r="J109" s="131" t="str">
        <f t="shared" si="7"/>
        <v/>
      </c>
    </row>
    <row r="110" spans="1:10" ht="24" customHeight="1">
      <c r="A110" s="125" t="s">
        <v>403</v>
      </c>
      <c r="B110" s="113">
        <v>46143</v>
      </c>
      <c r="C110" s="113">
        <v>46507</v>
      </c>
      <c r="D110" s="114" t="s">
        <v>9</v>
      </c>
      <c r="E110" s="114" t="s">
        <v>6</v>
      </c>
      <c r="F110" s="114" t="s">
        <v>284</v>
      </c>
      <c r="G110" s="92">
        <v>47.58</v>
      </c>
      <c r="H110" s="93"/>
      <c r="I110" s="115" t="str">
        <f t="shared" si="6"/>
        <v>Monatslohn fehlt</v>
      </c>
      <c r="J110" s="131" t="str">
        <f t="shared" si="7"/>
        <v/>
      </c>
    </row>
    <row r="111" spans="1:10" ht="24" customHeight="1">
      <c r="A111" s="125" t="s">
        <v>403</v>
      </c>
      <c r="B111" s="113">
        <v>46143</v>
      </c>
      <c r="C111" s="113">
        <v>46507</v>
      </c>
      <c r="D111" s="114" t="s">
        <v>9</v>
      </c>
      <c r="E111" s="114" t="s">
        <v>6</v>
      </c>
      <c r="F111" s="114" t="s">
        <v>284</v>
      </c>
      <c r="G111" s="92">
        <v>43.25</v>
      </c>
      <c r="H111" s="93"/>
      <c r="I111" s="115" t="str">
        <f t="shared" si="6"/>
        <v>Monatslohn fehlt</v>
      </c>
      <c r="J111" s="131" t="str">
        <f t="shared" si="7"/>
        <v/>
      </c>
    </row>
    <row r="112" spans="1:10" ht="24" customHeight="1">
      <c r="A112" s="125" t="s">
        <v>403</v>
      </c>
      <c r="B112" s="113">
        <v>46143</v>
      </c>
      <c r="C112" s="113">
        <v>46507</v>
      </c>
      <c r="D112" s="114" t="s">
        <v>9</v>
      </c>
      <c r="E112" s="114" t="s">
        <v>6</v>
      </c>
      <c r="F112" s="114" t="s">
        <v>284</v>
      </c>
      <c r="G112" s="92">
        <v>34.6</v>
      </c>
      <c r="H112" s="93"/>
      <c r="I112" s="115" t="str">
        <f t="shared" si="6"/>
        <v>Monatslohn fehlt</v>
      </c>
      <c r="J112" s="131" t="str">
        <f t="shared" si="7"/>
        <v/>
      </c>
    </row>
    <row r="113" spans="1:10" ht="24" customHeight="1" thickBot="1">
      <c r="A113" s="125" t="s">
        <v>403</v>
      </c>
      <c r="B113" s="113">
        <v>46143</v>
      </c>
      <c r="C113" s="113">
        <v>46507</v>
      </c>
      <c r="D113" s="114" t="s">
        <v>9</v>
      </c>
      <c r="E113" s="114" t="s">
        <v>6</v>
      </c>
      <c r="F113" s="114" t="s">
        <v>284</v>
      </c>
      <c r="G113" s="92">
        <v>32.01</v>
      </c>
      <c r="H113" s="93"/>
      <c r="I113" s="115" t="str">
        <f t="shared" si="6"/>
        <v>Monatslohn fehlt</v>
      </c>
      <c r="J113" s="131" t="str">
        <f t="shared" si="7"/>
        <v/>
      </c>
    </row>
    <row r="114" spans="1:10" ht="24" customHeight="1">
      <c r="A114" s="126" t="s">
        <v>403</v>
      </c>
      <c r="B114" s="116">
        <v>46143</v>
      </c>
      <c r="C114" s="116">
        <v>46507</v>
      </c>
      <c r="D114" s="117" t="s">
        <v>292</v>
      </c>
      <c r="E114" s="117" t="s">
        <v>10</v>
      </c>
      <c r="F114" s="117" t="s">
        <v>281</v>
      </c>
      <c r="G114" s="94">
        <v>173</v>
      </c>
      <c r="H114" s="95"/>
      <c r="I114" s="118" t="str">
        <f t="shared" si="6"/>
        <v>Monatslohn fehlt</v>
      </c>
      <c r="J114" s="132" t="str">
        <f t="shared" si="7"/>
        <v/>
      </c>
    </row>
    <row r="115" spans="1:10" ht="24" customHeight="1">
      <c r="A115" s="127" t="s">
        <v>403</v>
      </c>
      <c r="B115" s="119">
        <v>46143</v>
      </c>
      <c r="C115" s="119">
        <v>46507</v>
      </c>
      <c r="D115" s="120" t="s">
        <v>292</v>
      </c>
      <c r="E115" s="120" t="s">
        <v>10</v>
      </c>
      <c r="F115" s="120" t="s">
        <v>281</v>
      </c>
      <c r="G115" s="96">
        <v>151.38</v>
      </c>
      <c r="H115" s="97"/>
      <c r="I115" s="121" t="str">
        <f t="shared" si="6"/>
        <v>Monatslohn fehlt</v>
      </c>
      <c r="J115" s="133" t="str">
        <f t="shared" si="7"/>
        <v/>
      </c>
    </row>
    <row r="116" spans="1:10" ht="24" customHeight="1">
      <c r="A116" s="127" t="s">
        <v>403</v>
      </c>
      <c r="B116" s="119">
        <v>46143</v>
      </c>
      <c r="C116" s="119">
        <v>46507</v>
      </c>
      <c r="D116" s="120" t="s">
        <v>292</v>
      </c>
      <c r="E116" s="120" t="s">
        <v>10</v>
      </c>
      <c r="F116" s="120" t="s">
        <v>281</v>
      </c>
      <c r="G116" s="96">
        <v>138.4</v>
      </c>
      <c r="H116" s="97"/>
      <c r="I116" s="121" t="str">
        <f t="shared" si="6"/>
        <v>Monatslohn fehlt</v>
      </c>
      <c r="J116" s="133" t="str">
        <f t="shared" si="7"/>
        <v/>
      </c>
    </row>
    <row r="117" spans="1:10" ht="24" customHeight="1">
      <c r="A117" s="127" t="s">
        <v>403</v>
      </c>
      <c r="B117" s="119">
        <v>46143</v>
      </c>
      <c r="C117" s="119">
        <v>46507</v>
      </c>
      <c r="D117" s="120" t="s">
        <v>292</v>
      </c>
      <c r="E117" s="120" t="s">
        <v>10</v>
      </c>
      <c r="F117" s="120" t="s">
        <v>281</v>
      </c>
      <c r="G117" s="96">
        <v>129.75</v>
      </c>
      <c r="H117" s="97"/>
      <c r="I117" s="121" t="str">
        <f t="shared" si="6"/>
        <v>Monatslohn fehlt</v>
      </c>
      <c r="J117" s="133" t="str">
        <f t="shared" si="7"/>
        <v/>
      </c>
    </row>
    <row r="118" spans="1:10" ht="24" customHeight="1">
      <c r="A118" s="127" t="s">
        <v>403</v>
      </c>
      <c r="B118" s="119">
        <v>46143</v>
      </c>
      <c r="C118" s="119">
        <v>46507</v>
      </c>
      <c r="D118" s="120" t="s">
        <v>292</v>
      </c>
      <c r="E118" s="120" t="s">
        <v>10</v>
      </c>
      <c r="F118" s="120" t="s">
        <v>281</v>
      </c>
      <c r="G118" s="96">
        <v>108.13</v>
      </c>
      <c r="H118" s="97"/>
      <c r="I118" s="121" t="str">
        <f t="shared" si="6"/>
        <v>Monatslohn fehlt</v>
      </c>
      <c r="J118" s="133" t="str">
        <f t="shared" si="7"/>
        <v/>
      </c>
    </row>
    <row r="119" spans="1:10" ht="24" customHeight="1">
      <c r="A119" s="127" t="s">
        <v>403</v>
      </c>
      <c r="B119" s="119">
        <v>46143</v>
      </c>
      <c r="C119" s="119">
        <v>46507</v>
      </c>
      <c r="D119" s="120" t="s">
        <v>292</v>
      </c>
      <c r="E119" s="120" t="s">
        <v>10</v>
      </c>
      <c r="F119" s="120" t="s">
        <v>281</v>
      </c>
      <c r="G119" s="96">
        <v>103.8</v>
      </c>
      <c r="H119" s="97"/>
      <c r="I119" s="121" t="str">
        <f t="shared" si="6"/>
        <v>Monatslohn fehlt</v>
      </c>
      <c r="J119" s="133" t="str">
        <f t="shared" si="7"/>
        <v/>
      </c>
    </row>
    <row r="120" spans="1:10" ht="24" customHeight="1">
      <c r="A120" s="127" t="s">
        <v>403</v>
      </c>
      <c r="B120" s="119">
        <v>46143</v>
      </c>
      <c r="C120" s="119">
        <v>46507</v>
      </c>
      <c r="D120" s="120" t="s">
        <v>292</v>
      </c>
      <c r="E120" s="120" t="s">
        <v>10</v>
      </c>
      <c r="F120" s="120" t="s">
        <v>281</v>
      </c>
      <c r="G120" s="96">
        <v>86.5</v>
      </c>
      <c r="H120" s="97"/>
      <c r="I120" s="121" t="str">
        <f t="shared" si="6"/>
        <v>Monatslohn fehlt</v>
      </c>
      <c r="J120" s="133" t="str">
        <f t="shared" si="7"/>
        <v/>
      </c>
    </row>
    <row r="121" spans="1:10" ht="24" customHeight="1">
      <c r="A121" s="127" t="s">
        <v>403</v>
      </c>
      <c r="B121" s="119">
        <v>46143</v>
      </c>
      <c r="C121" s="119">
        <v>46507</v>
      </c>
      <c r="D121" s="120" t="s">
        <v>292</v>
      </c>
      <c r="E121" s="120" t="s">
        <v>10</v>
      </c>
      <c r="F121" s="120" t="s">
        <v>281</v>
      </c>
      <c r="G121" s="96">
        <v>69.2</v>
      </c>
      <c r="H121" s="97"/>
      <c r="I121" s="121" t="str">
        <f t="shared" si="6"/>
        <v>Monatslohn fehlt</v>
      </c>
      <c r="J121" s="133" t="str">
        <f t="shared" si="7"/>
        <v/>
      </c>
    </row>
    <row r="122" spans="1:10" ht="24" customHeight="1">
      <c r="A122" s="127" t="s">
        <v>403</v>
      </c>
      <c r="B122" s="119">
        <v>46143</v>
      </c>
      <c r="C122" s="119">
        <v>46507</v>
      </c>
      <c r="D122" s="120" t="s">
        <v>292</v>
      </c>
      <c r="E122" s="120" t="s">
        <v>10</v>
      </c>
      <c r="F122" s="120" t="s">
        <v>281</v>
      </c>
      <c r="G122" s="96">
        <v>51.9</v>
      </c>
      <c r="H122" s="97"/>
      <c r="I122" s="121" t="str">
        <f t="shared" si="6"/>
        <v>Monatslohn fehlt</v>
      </c>
      <c r="J122" s="133" t="str">
        <f t="shared" si="7"/>
        <v/>
      </c>
    </row>
    <row r="123" spans="1:10" ht="24" customHeight="1">
      <c r="A123" s="127" t="s">
        <v>403</v>
      </c>
      <c r="B123" s="119">
        <v>46143</v>
      </c>
      <c r="C123" s="119">
        <v>46507</v>
      </c>
      <c r="D123" s="120" t="s">
        <v>292</v>
      </c>
      <c r="E123" s="120" t="s">
        <v>10</v>
      </c>
      <c r="F123" s="120" t="s">
        <v>281</v>
      </c>
      <c r="G123" s="96">
        <v>47.58</v>
      </c>
      <c r="H123" s="97"/>
      <c r="I123" s="121" t="str">
        <f t="shared" si="6"/>
        <v>Monatslohn fehlt</v>
      </c>
      <c r="J123" s="133" t="str">
        <f t="shared" si="7"/>
        <v/>
      </c>
    </row>
    <row r="124" spans="1:10" ht="24" customHeight="1">
      <c r="A124" s="127" t="s">
        <v>403</v>
      </c>
      <c r="B124" s="119">
        <v>46143</v>
      </c>
      <c r="C124" s="119">
        <v>46507</v>
      </c>
      <c r="D124" s="120" t="s">
        <v>292</v>
      </c>
      <c r="E124" s="120" t="s">
        <v>10</v>
      </c>
      <c r="F124" s="120" t="s">
        <v>281</v>
      </c>
      <c r="G124" s="96">
        <v>43.25</v>
      </c>
      <c r="H124" s="97"/>
      <c r="I124" s="121" t="str">
        <f t="shared" si="6"/>
        <v>Monatslohn fehlt</v>
      </c>
      <c r="J124" s="133" t="str">
        <f t="shared" si="7"/>
        <v/>
      </c>
    </row>
    <row r="125" spans="1:10" ht="24" customHeight="1">
      <c r="A125" s="127" t="s">
        <v>403</v>
      </c>
      <c r="B125" s="119">
        <v>46143</v>
      </c>
      <c r="C125" s="119">
        <v>46507</v>
      </c>
      <c r="D125" s="120" t="s">
        <v>292</v>
      </c>
      <c r="E125" s="120" t="s">
        <v>10</v>
      </c>
      <c r="F125" s="120" t="s">
        <v>281</v>
      </c>
      <c r="G125" s="96">
        <v>34.6</v>
      </c>
      <c r="H125" s="97"/>
      <c r="I125" s="121" t="str">
        <f t="shared" si="6"/>
        <v>Monatslohn fehlt</v>
      </c>
      <c r="J125" s="133" t="str">
        <f t="shared" si="7"/>
        <v/>
      </c>
    </row>
    <row r="126" spans="1:10" ht="24" customHeight="1" thickBot="1">
      <c r="A126" s="127" t="s">
        <v>403</v>
      </c>
      <c r="B126" s="119">
        <v>46143</v>
      </c>
      <c r="C126" s="119">
        <v>46507</v>
      </c>
      <c r="D126" s="120" t="s">
        <v>292</v>
      </c>
      <c r="E126" s="120" t="s">
        <v>10</v>
      </c>
      <c r="F126" s="120" t="s">
        <v>281</v>
      </c>
      <c r="G126" s="96">
        <v>32.01</v>
      </c>
      <c r="H126" s="97"/>
      <c r="I126" s="121" t="str">
        <f t="shared" si="6"/>
        <v>Monatslohn fehlt</v>
      </c>
      <c r="J126" s="133" t="str">
        <f t="shared" si="7"/>
        <v/>
      </c>
    </row>
    <row r="127" spans="1:10" ht="24" customHeight="1">
      <c r="A127" s="126" t="s">
        <v>403</v>
      </c>
      <c r="B127" s="116">
        <v>46143</v>
      </c>
      <c r="C127" s="116">
        <v>46507</v>
      </c>
      <c r="D127" s="117" t="s">
        <v>11</v>
      </c>
      <c r="E127" s="117" t="s">
        <v>10</v>
      </c>
      <c r="F127" s="117" t="s">
        <v>282</v>
      </c>
      <c r="G127" s="94">
        <v>173</v>
      </c>
      <c r="H127" s="95"/>
      <c r="I127" s="118" t="str">
        <f t="shared" si="6"/>
        <v>Monatslohn fehlt</v>
      </c>
      <c r="J127" s="132" t="str">
        <f t="shared" si="7"/>
        <v/>
      </c>
    </row>
    <row r="128" spans="1:10" ht="24" customHeight="1">
      <c r="A128" s="127" t="s">
        <v>403</v>
      </c>
      <c r="B128" s="119">
        <v>46143</v>
      </c>
      <c r="C128" s="119">
        <v>46507</v>
      </c>
      <c r="D128" s="120" t="s">
        <v>11</v>
      </c>
      <c r="E128" s="120" t="s">
        <v>10</v>
      </c>
      <c r="F128" s="120" t="s">
        <v>282</v>
      </c>
      <c r="G128" s="96">
        <v>151.38</v>
      </c>
      <c r="H128" s="97"/>
      <c r="I128" s="121" t="str">
        <f t="shared" si="6"/>
        <v>Monatslohn fehlt</v>
      </c>
      <c r="J128" s="133" t="str">
        <f t="shared" si="7"/>
        <v/>
      </c>
    </row>
    <row r="129" spans="1:10" ht="24" customHeight="1">
      <c r="A129" s="127" t="s">
        <v>403</v>
      </c>
      <c r="B129" s="119">
        <v>46143</v>
      </c>
      <c r="C129" s="119">
        <v>46507</v>
      </c>
      <c r="D129" s="120" t="s">
        <v>11</v>
      </c>
      <c r="E129" s="120" t="s">
        <v>10</v>
      </c>
      <c r="F129" s="120" t="s">
        <v>282</v>
      </c>
      <c r="G129" s="96">
        <v>138.4</v>
      </c>
      <c r="H129" s="97"/>
      <c r="I129" s="121" t="str">
        <f t="shared" si="6"/>
        <v>Monatslohn fehlt</v>
      </c>
      <c r="J129" s="133" t="str">
        <f t="shared" si="7"/>
        <v/>
      </c>
    </row>
    <row r="130" spans="1:10" ht="24" customHeight="1">
      <c r="A130" s="127" t="s">
        <v>403</v>
      </c>
      <c r="B130" s="119">
        <v>46143</v>
      </c>
      <c r="C130" s="119">
        <v>46507</v>
      </c>
      <c r="D130" s="120" t="s">
        <v>11</v>
      </c>
      <c r="E130" s="120" t="s">
        <v>10</v>
      </c>
      <c r="F130" s="120" t="s">
        <v>282</v>
      </c>
      <c r="G130" s="96">
        <v>129.75</v>
      </c>
      <c r="H130" s="97"/>
      <c r="I130" s="121" t="str">
        <f t="shared" si="6"/>
        <v>Monatslohn fehlt</v>
      </c>
      <c r="J130" s="133" t="str">
        <f t="shared" si="7"/>
        <v/>
      </c>
    </row>
    <row r="131" spans="1:10" ht="24" customHeight="1">
      <c r="A131" s="127" t="s">
        <v>403</v>
      </c>
      <c r="B131" s="119">
        <v>46143</v>
      </c>
      <c r="C131" s="119">
        <v>46507</v>
      </c>
      <c r="D131" s="120" t="s">
        <v>11</v>
      </c>
      <c r="E131" s="120" t="s">
        <v>10</v>
      </c>
      <c r="F131" s="120" t="s">
        <v>282</v>
      </c>
      <c r="G131" s="96">
        <v>108.13</v>
      </c>
      <c r="H131" s="97"/>
      <c r="I131" s="121" t="str">
        <f t="shared" si="6"/>
        <v>Monatslohn fehlt</v>
      </c>
      <c r="J131" s="133" t="str">
        <f t="shared" si="7"/>
        <v/>
      </c>
    </row>
    <row r="132" spans="1:10" ht="24" customHeight="1">
      <c r="A132" s="127" t="s">
        <v>403</v>
      </c>
      <c r="B132" s="119">
        <v>46143</v>
      </c>
      <c r="C132" s="119">
        <v>46507</v>
      </c>
      <c r="D132" s="120" t="s">
        <v>11</v>
      </c>
      <c r="E132" s="120" t="s">
        <v>10</v>
      </c>
      <c r="F132" s="120" t="s">
        <v>282</v>
      </c>
      <c r="G132" s="96">
        <v>103.8</v>
      </c>
      <c r="H132" s="97"/>
      <c r="I132" s="121" t="str">
        <f t="shared" si="6"/>
        <v>Monatslohn fehlt</v>
      </c>
      <c r="J132" s="133" t="str">
        <f t="shared" si="7"/>
        <v/>
      </c>
    </row>
    <row r="133" spans="1:10" ht="24" customHeight="1">
      <c r="A133" s="127" t="s">
        <v>403</v>
      </c>
      <c r="B133" s="119">
        <v>46143</v>
      </c>
      <c r="C133" s="119">
        <v>46507</v>
      </c>
      <c r="D133" s="120" t="s">
        <v>11</v>
      </c>
      <c r="E133" s="120" t="s">
        <v>10</v>
      </c>
      <c r="F133" s="120" t="s">
        <v>282</v>
      </c>
      <c r="G133" s="96">
        <v>86.5</v>
      </c>
      <c r="H133" s="97"/>
      <c r="I133" s="121" t="str">
        <f t="shared" ref="I133:I165" si="8">IF($A133="","",IF(OR($B133="",$C133="",$D133="",$E133="",$F133=""),"Stammdaten fehlen",IF(AND($G133="",$H133=""),"Werte fehlen",IF($G133="","Monatsstunden fehlen",IF($H133="","Monatslohn fehlt","OK")))))</f>
        <v>Monatslohn fehlt</v>
      </c>
      <c r="J133" s="133" t="str">
        <f t="shared" ref="J133:J165" si="9">IF($G133="","",IF(COUNTIFS($A:$A,$A133,$D:$D,$D133,$G:$G,$G133)&gt;1,"Doppelte Monatsstunden",""))</f>
        <v/>
      </c>
    </row>
    <row r="134" spans="1:10" ht="24" customHeight="1">
      <c r="A134" s="127" t="s">
        <v>403</v>
      </c>
      <c r="B134" s="119">
        <v>46143</v>
      </c>
      <c r="C134" s="119">
        <v>46507</v>
      </c>
      <c r="D134" s="120" t="s">
        <v>11</v>
      </c>
      <c r="E134" s="120" t="s">
        <v>10</v>
      </c>
      <c r="F134" s="120" t="s">
        <v>282</v>
      </c>
      <c r="G134" s="96">
        <v>69.2</v>
      </c>
      <c r="H134" s="97"/>
      <c r="I134" s="121" t="str">
        <f t="shared" si="8"/>
        <v>Monatslohn fehlt</v>
      </c>
      <c r="J134" s="133" t="str">
        <f t="shared" si="9"/>
        <v/>
      </c>
    </row>
    <row r="135" spans="1:10" ht="24" customHeight="1">
      <c r="A135" s="127" t="s">
        <v>403</v>
      </c>
      <c r="B135" s="119">
        <v>46143</v>
      </c>
      <c r="C135" s="119">
        <v>46507</v>
      </c>
      <c r="D135" s="120" t="s">
        <v>11</v>
      </c>
      <c r="E135" s="120" t="s">
        <v>10</v>
      </c>
      <c r="F135" s="120" t="s">
        <v>282</v>
      </c>
      <c r="G135" s="96">
        <v>51.9</v>
      </c>
      <c r="H135" s="97"/>
      <c r="I135" s="121" t="str">
        <f t="shared" si="8"/>
        <v>Monatslohn fehlt</v>
      </c>
      <c r="J135" s="133" t="str">
        <f t="shared" si="9"/>
        <v/>
      </c>
    </row>
    <row r="136" spans="1:10" ht="24" customHeight="1">
      <c r="A136" s="127" t="s">
        <v>403</v>
      </c>
      <c r="B136" s="119">
        <v>46143</v>
      </c>
      <c r="C136" s="119">
        <v>46507</v>
      </c>
      <c r="D136" s="120" t="s">
        <v>11</v>
      </c>
      <c r="E136" s="120" t="s">
        <v>10</v>
      </c>
      <c r="F136" s="120" t="s">
        <v>282</v>
      </c>
      <c r="G136" s="96">
        <v>47.58</v>
      </c>
      <c r="H136" s="97"/>
      <c r="I136" s="121" t="str">
        <f t="shared" si="8"/>
        <v>Monatslohn fehlt</v>
      </c>
      <c r="J136" s="133" t="str">
        <f t="shared" si="9"/>
        <v/>
      </c>
    </row>
    <row r="137" spans="1:10" ht="24" customHeight="1">
      <c r="A137" s="127" t="s">
        <v>403</v>
      </c>
      <c r="B137" s="119">
        <v>46143</v>
      </c>
      <c r="C137" s="119">
        <v>46507</v>
      </c>
      <c r="D137" s="120" t="s">
        <v>11</v>
      </c>
      <c r="E137" s="120" t="s">
        <v>10</v>
      </c>
      <c r="F137" s="120" t="s">
        <v>282</v>
      </c>
      <c r="G137" s="96">
        <v>43.25</v>
      </c>
      <c r="H137" s="97"/>
      <c r="I137" s="121" t="str">
        <f t="shared" si="8"/>
        <v>Monatslohn fehlt</v>
      </c>
      <c r="J137" s="133" t="str">
        <f t="shared" si="9"/>
        <v/>
      </c>
    </row>
    <row r="138" spans="1:10" ht="24" customHeight="1">
      <c r="A138" s="127" t="s">
        <v>403</v>
      </c>
      <c r="B138" s="119">
        <v>46143</v>
      </c>
      <c r="C138" s="119">
        <v>46507</v>
      </c>
      <c r="D138" s="120" t="s">
        <v>11</v>
      </c>
      <c r="E138" s="120" t="s">
        <v>10</v>
      </c>
      <c r="F138" s="120" t="s">
        <v>282</v>
      </c>
      <c r="G138" s="96">
        <v>34.6</v>
      </c>
      <c r="H138" s="97"/>
      <c r="I138" s="121" t="str">
        <f t="shared" si="8"/>
        <v>Monatslohn fehlt</v>
      </c>
      <c r="J138" s="133" t="str">
        <f t="shared" si="9"/>
        <v/>
      </c>
    </row>
    <row r="139" spans="1:10" ht="24" customHeight="1" thickBot="1">
      <c r="A139" s="127" t="s">
        <v>403</v>
      </c>
      <c r="B139" s="119">
        <v>46143</v>
      </c>
      <c r="C139" s="119">
        <v>46507</v>
      </c>
      <c r="D139" s="120" t="s">
        <v>11</v>
      </c>
      <c r="E139" s="120" t="s">
        <v>10</v>
      </c>
      <c r="F139" s="120" t="s">
        <v>282</v>
      </c>
      <c r="G139" s="96">
        <v>32.01</v>
      </c>
      <c r="H139" s="97"/>
      <c r="I139" s="121" t="str">
        <f t="shared" si="8"/>
        <v>Monatslohn fehlt</v>
      </c>
      <c r="J139" s="133" t="str">
        <f t="shared" si="9"/>
        <v/>
      </c>
    </row>
    <row r="140" spans="1:10" ht="24" customHeight="1">
      <c r="A140" s="126" t="s">
        <v>403</v>
      </c>
      <c r="B140" s="116">
        <v>46143</v>
      </c>
      <c r="C140" s="116">
        <v>46507</v>
      </c>
      <c r="D140" s="117" t="s">
        <v>12</v>
      </c>
      <c r="E140" s="117" t="s">
        <v>10</v>
      </c>
      <c r="F140" s="117" t="s">
        <v>283</v>
      </c>
      <c r="G140" s="94">
        <v>173</v>
      </c>
      <c r="H140" s="95"/>
      <c r="I140" s="118" t="str">
        <f t="shared" si="8"/>
        <v>Monatslohn fehlt</v>
      </c>
      <c r="J140" s="132" t="str">
        <f t="shared" si="9"/>
        <v/>
      </c>
    </row>
    <row r="141" spans="1:10" ht="24" customHeight="1">
      <c r="A141" s="127" t="s">
        <v>403</v>
      </c>
      <c r="B141" s="119">
        <v>46143</v>
      </c>
      <c r="C141" s="119">
        <v>46507</v>
      </c>
      <c r="D141" s="120" t="s">
        <v>12</v>
      </c>
      <c r="E141" s="120" t="s">
        <v>10</v>
      </c>
      <c r="F141" s="120" t="s">
        <v>283</v>
      </c>
      <c r="G141" s="96">
        <v>151.38</v>
      </c>
      <c r="H141" s="97"/>
      <c r="I141" s="121" t="str">
        <f t="shared" si="8"/>
        <v>Monatslohn fehlt</v>
      </c>
      <c r="J141" s="133" t="str">
        <f t="shared" si="9"/>
        <v/>
      </c>
    </row>
    <row r="142" spans="1:10" ht="24" customHeight="1">
      <c r="A142" s="127" t="s">
        <v>403</v>
      </c>
      <c r="B142" s="119">
        <v>46143</v>
      </c>
      <c r="C142" s="119">
        <v>46507</v>
      </c>
      <c r="D142" s="120" t="s">
        <v>12</v>
      </c>
      <c r="E142" s="120" t="s">
        <v>10</v>
      </c>
      <c r="F142" s="120" t="s">
        <v>283</v>
      </c>
      <c r="G142" s="96">
        <v>138.4</v>
      </c>
      <c r="H142" s="97"/>
      <c r="I142" s="121" t="str">
        <f t="shared" si="8"/>
        <v>Monatslohn fehlt</v>
      </c>
      <c r="J142" s="133" t="str">
        <f t="shared" si="9"/>
        <v/>
      </c>
    </row>
    <row r="143" spans="1:10" ht="24" customHeight="1">
      <c r="A143" s="127" t="s">
        <v>403</v>
      </c>
      <c r="B143" s="119">
        <v>46143</v>
      </c>
      <c r="C143" s="119">
        <v>46507</v>
      </c>
      <c r="D143" s="120" t="s">
        <v>12</v>
      </c>
      <c r="E143" s="120" t="s">
        <v>10</v>
      </c>
      <c r="F143" s="120" t="s">
        <v>283</v>
      </c>
      <c r="G143" s="96">
        <v>129.75</v>
      </c>
      <c r="H143" s="97"/>
      <c r="I143" s="121" t="str">
        <f t="shared" si="8"/>
        <v>Monatslohn fehlt</v>
      </c>
      <c r="J143" s="133" t="str">
        <f t="shared" si="9"/>
        <v/>
      </c>
    </row>
    <row r="144" spans="1:10" ht="24" customHeight="1">
      <c r="A144" s="127" t="s">
        <v>403</v>
      </c>
      <c r="B144" s="119">
        <v>46143</v>
      </c>
      <c r="C144" s="119">
        <v>46507</v>
      </c>
      <c r="D144" s="120" t="s">
        <v>12</v>
      </c>
      <c r="E144" s="120" t="s">
        <v>10</v>
      </c>
      <c r="F144" s="120" t="s">
        <v>283</v>
      </c>
      <c r="G144" s="96">
        <v>108.13</v>
      </c>
      <c r="H144" s="97"/>
      <c r="I144" s="121" t="str">
        <f t="shared" si="8"/>
        <v>Monatslohn fehlt</v>
      </c>
      <c r="J144" s="133" t="str">
        <f t="shared" si="9"/>
        <v/>
      </c>
    </row>
    <row r="145" spans="1:10" ht="24" customHeight="1">
      <c r="A145" s="127" t="s">
        <v>403</v>
      </c>
      <c r="B145" s="119">
        <v>46143</v>
      </c>
      <c r="C145" s="119">
        <v>46507</v>
      </c>
      <c r="D145" s="120" t="s">
        <v>12</v>
      </c>
      <c r="E145" s="120" t="s">
        <v>10</v>
      </c>
      <c r="F145" s="120" t="s">
        <v>283</v>
      </c>
      <c r="G145" s="96">
        <v>103.8</v>
      </c>
      <c r="H145" s="97"/>
      <c r="I145" s="121" t="str">
        <f t="shared" si="8"/>
        <v>Monatslohn fehlt</v>
      </c>
      <c r="J145" s="133" t="str">
        <f t="shared" si="9"/>
        <v/>
      </c>
    </row>
    <row r="146" spans="1:10" ht="24" customHeight="1">
      <c r="A146" s="127" t="s">
        <v>403</v>
      </c>
      <c r="B146" s="119">
        <v>46143</v>
      </c>
      <c r="C146" s="119">
        <v>46507</v>
      </c>
      <c r="D146" s="120" t="s">
        <v>12</v>
      </c>
      <c r="E146" s="120" t="s">
        <v>10</v>
      </c>
      <c r="F146" s="120" t="s">
        <v>283</v>
      </c>
      <c r="G146" s="96">
        <v>86.5</v>
      </c>
      <c r="H146" s="97"/>
      <c r="I146" s="121" t="str">
        <f t="shared" si="8"/>
        <v>Monatslohn fehlt</v>
      </c>
      <c r="J146" s="133" t="str">
        <f t="shared" si="9"/>
        <v/>
      </c>
    </row>
    <row r="147" spans="1:10" ht="24" customHeight="1">
      <c r="A147" s="127" t="s">
        <v>403</v>
      </c>
      <c r="B147" s="119">
        <v>46143</v>
      </c>
      <c r="C147" s="119">
        <v>46507</v>
      </c>
      <c r="D147" s="120" t="s">
        <v>12</v>
      </c>
      <c r="E147" s="120" t="s">
        <v>10</v>
      </c>
      <c r="F147" s="120" t="s">
        <v>283</v>
      </c>
      <c r="G147" s="96">
        <v>69.2</v>
      </c>
      <c r="H147" s="97"/>
      <c r="I147" s="121" t="str">
        <f t="shared" si="8"/>
        <v>Monatslohn fehlt</v>
      </c>
      <c r="J147" s="133" t="str">
        <f t="shared" si="9"/>
        <v/>
      </c>
    </row>
    <row r="148" spans="1:10" ht="24" customHeight="1">
      <c r="A148" s="127" t="s">
        <v>403</v>
      </c>
      <c r="B148" s="119">
        <v>46143</v>
      </c>
      <c r="C148" s="119">
        <v>46507</v>
      </c>
      <c r="D148" s="120" t="s">
        <v>12</v>
      </c>
      <c r="E148" s="120" t="s">
        <v>10</v>
      </c>
      <c r="F148" s="120" t="s">
        <v>283</v>
      </c>
      <c r="G148" s="96">
        <v>51.9</v>
      </c>
      <c r="H148" s="97"/>
      <c r="I148" s="121" t="str">
        <f t="shared" si="8"/>
        <v>Monatslohn fehlt</v>
      </c>
      <c r="J148" s="133" t="str">
        <f t="shared" si="9"/>
        <v/>
      </c>
    </row>
    <row r="149" spans="1:10" ht="24" customHeight="1">
      <c r="A149" s="127" t="s">
        <v>403</v>
      </c>
      <c r="B149" s="119">
        <v>46143</v>
      </c>
      <c r="C149" s="119">
        <v>46507</v>
      </c>
      <c r="D149" s="120" t="s">
        <v>12</v>
      </c>
      <c r="E149" s="120" t="s">
        <v>10</v>
      </c>
      <c r="F149" s="120" t="s">
        <v>283</v>
      </c>
      <c r="G149" s="96">
        <v>47.58</v>
      </c>
      <c r="H149" s="97"/>
      <c r="I149" s="121" t="str">
        <f t="shared" si="8"/>
        <v>Monatslohn fehlt</v>
      </c>
      <c r="J149" s="133" t="str">
        <f t="shared" si="9"/>
        <v/>
      </c>
    </row>
    <row r="150" spans="1:10" ht="24" customHeight="1">
      <c r="A150" s="127" t="s">
        <v>403</v>
      </c>
      <c r="B150" s="119">
        <v>46143</v>
      </c>
      <c r="C150" s="119">
        <v>46507</v>
      </c>
      <c r="D150" s="120" t="s">
        <v>12</v>
      </c>
      <c r="E150" s="120" t="s">
        <v>10</v>
      </c>
      <c r="F150" s="120" t="s">
        <v>283</v>
      </c>
      <c r="G150" s="96">
        <v>43.25</v>
      </c>
      <c r="H150" s="97"/>
      <c r="I150" s="121" t="str">
        <f t="shared" si="8"/>
        <v>Monatslohn fehlt</v>
      </c>
      <c r="J150" s="133" t="str">
        <f t="shared" si="9"/>
        <v/>
      </c>
    </row>
    <row r="151" spans="1:10" ht="24" customHeight="1">
      <c r="A151" s="127" t="s">
        <v>403</v>
      </c>
      <c r="B151" s="119">
        <v>46143</v>
      </c>
      <c r="C151" s="119">
        <v>46507</v>
      </c>
      <c r="D151" s="120" t="s">
        <v>12</v>
      </c>
      <c r="E151" s="120" t="s">
        <v>10</v>
      </c>
      <c r="F151" s="120" t="s">
        <v>283</v>
      </c>
      <c r="G151" s="96">
        <v>34.6</v>
      </c>
      <c r="H151" s="97"/>
      <c r="I151" s="121" t="str">
        <f t="shared" si="8"/>
        <v>Monatslohn fehlt</v>
      </c>
      <c r="J151" s="133" t="str">
        <f t="shared" si="9"/>
        <v/>
      </c>
    </row>
    <row r="152" spans="1:10" ht="24" customHeight="1" thickBot="1">
      <c r="A152" s="127" t="s">
        <v>403</v>
      </c>
      <c r="B152" s="119">
        <v>46143</v>
      </c>
      <c r="C152" s="119">
        <v>46507</v>
      </c>
      <c r="D152" s="120" t="s">
        <v>12</v>
      </c>
      <c r="E152" s="120" t="s">
        <v>10</v>
      </c>
      <c r="F152" s="120" t="s">
        <v>283</v>
      </c>
      <c r="G152" s="96">
        <v>32.01</v>
      </c>
      <c r="H152" s="97"/>
      <c r="I152" s="121" t="str">
        <f t="shared" si="8"/>
        <v>Monatslohn fehlt</v>
      </c>
      <c r="J152" s="133" t="str">
        <f t="shared" si="9"/>
        <v/>
      </c>
    </row>
    <row r="153" spans="1:10" ht="24" customHeight="1">
      <c r="A153" s="126" t="s">
        <v>403</v>
      </c>
      <c r="B153" s="116">
        <v>46143</v>
      </c>
      <c r="C153" s="116">
        <v>46507</v>
      </c>
      <c r="D153" s="117" t="s">
        <v>13</v>
      </c>
      <c r="E153" s="117" t="s">
        <v>10</v>
      </c>
      <c r="F153" s="117" t="s">
        <v>284</v>
      </c>
      <c r="G153" s="94">
        <v>173</v>
      </c>
      <c r="H153" s="95"/>
      <c r="I153" s="118" t="str">
        <f t="shared" si="8"/>
        <v>Monatslohn fehlt</v>
      </c>
      <c r="J153" s="132" t="str">
        <f t="shared" si="9"/>
        <v/>
      </c>
    </row>
    <row r="154" spans="1:10" ht="24" customHeight="1">
      <c r="A154" s="127" t="s">
        <v>403</v>
      </c>
      <c r="B154" s="119">
        <v>46143</v>
      </c>
      <c r="C154" s="119">
        <v>46507</v>
      </c>
      <c r="D154" s="120" t="s">
        <v>13</v>
      </c>
      <c r="E154" s="120" t="s">
        <v>10</v>
      </c>
      <c r="F154" s="120" t="s">
        <v>284</v>
      </c>
      <c r="G154" s="96">
        <v>151.38</v>
      </c>
      <c r="H154" s="97"/>
      <c r="I154" s="121" t="str">
        <f t="shared" si="8"/>
        <v>Monatslohn fehlt</v>
      </c>
      <c r="J154" s="133" t="str">
        <f t="shared" si="9"/>
        <v/>
      </c>
    </row>
    <row r="155" spans="1:10" ht="24" customHeight="1">
      <c r="A155" s="127" t="s">
        <v>403</v>
      </c>
      <c r="B155" s="119">
        <v>46143</v>
      </c>
      <c r="C155" s="119">
        <v>46507</v>
      </c>
      <c r="D155" s="120" t="s">
        <v>13</v>
      </c>
      <c r="E155" s="120" t="s">
        <v>10</v>
      </c>
      <c r="F155" s="120" t="s">
        <v>284</v>
      </c>
      <c r="G155" s="96">
        <v>138.4</v>
      </c>
      <c r="H155" s="97"/>
      <c r="I155" s="121" t="str">
        <f t="shared" si="8"/>
        <v>Monatslohn fehlt</v>
      </c>
      <c r="J155" s="133" t="str">
        <f t="shared" si="9"/>
        <v/>
      </c>
    </row>
    <row r="156" spans="1:10" ht="24" customHeight="1">
      <c r="A156" s="127" t="s">
        <v>403</v>
      </c>
      <c r="B156" s="119">
        <v>46143</v>
      </c>
      <c r="C156" s="119">
        <v>46507</v>
      </c>
      <c r="D156" s="120" t="s">
        <v>13</v>
      </c>
      <c r="E156" s="120" t="s">
        <v>10</v>
      </c>
      <c r="F156" s="120" t="s">
        <v>284</v>
      </c>
      <c r="G156" s="96">
        <v>129.75</v>
      </c>
      <c r="H156" s="97"/>
      <c r="I156" s="121" t="str">
        <f t="shared" si="8"/>
        <v>Monatslohn fehlt</v>
      </c>
      <c r="J156" s="133" t="str">
        <f t="shared" si="9"/>
        <v/>
      </c>
    </row>
    <row r="157" spans="1:10" ht="24" customHeight="1">
      <c r="A157" s="127" t="s">
        <v>403</v>
      </c>
      <c r="B157" s="119">
        <v>46143</v>
      </c>
      <c r="C157" s="119">
        <v>46507</v>
      </c>
      <c r="D157" s="120" t="s">
        <v>13</v>
      </c>
      <c r="E157" s="120" t="s">
        <v>10</v>
      </c>
      <c r="F157" s="120" t="s">
        <v>284</v>
      </c>
      <c r="G157" s="96">
        <v>108.13</v>
      </c>
      <c r="H157" s="97"/>
      <c r="I157" s="121" t="str">
        <f t="shared" si="8"/>
        <v>Monatslohn fehlt</v>
      </c>
      <c r="J157" s="133" t="str">
        <f t="shared" si="9"/>
        <v/>
      </c>
    </row>
    <row r="158" spans="1:10" ht="24" customHeight="1">
      <c r="A158" s="127" t="s">
        <v>403</v>
      </c>
      <c r="B158" s="119">
        <v>46143</v>
      </c>
      <c r="C158" s="119">
        <v>46507</v>
      </c>
      <c r="D158" s="120" t="s">
        <v>13</v>
      </c>
      <c r="E158" s="120" t="s">
        <v>10</v>
      </c>
      <c r="F158" s="120" t="s">
        <v>284</v>
      </c>
      <c r="G158" s="96">
        <v>103.8</v>
      </c>
      <c r="H158" s="97"/>
      <c r="I158" s="121" t="str">
        <f t="shared" si="8"/>
        <v>Monatslohn fehlt</v>
      </c>
      <c r="J158" s="133" t="str">
        <f t="shared" si="9"/>
        <v/>
      </c>
    </row>
    <row r="159" spans="1:10" ht="24" customHeight="1">
      <c r="A159" s="127" t="s">
        <v>403</v>
      </c>
      <c r="B159" s="119">
        <v>46143</v>
      </c>
      <c r="C159" s="119">
        <v>46507</v>
      </c>
      <c r="D159" s="120" t="s">
        <v>13</v>
      </c>
      <c r="E159" s="120" t="s">
        <v>10</v>
      </c>
      <c r="F159" s="120" t="s">
        <v>284</v>
      </c>
      <c r="G159" s="96">
        <v>86.5</v>
      </c>
      <c r="H159" s="97"/>
      <c r="I159" s="121" t="str">
        <f t="shared" si="8"/>
        <v>Monatslohn fehlt</v>
      </c>
      <c r="J159" s="133" t="str">
        <f t="shared" si="9"/>
        <v/>
      </c>
    </row>
    <row r="160" spans="1:10" ht="24" customHeight="1">
      <c r="A160" s="127" t="s">
        <v>403</v>
      </c>
      <c r="B160" s="119">
        <v>46143</v>
      </c>
      <c r="C160" s="119">
        <v>46507</v>
      </c>
      <c r="D160" s="120" t="s">
        <v>13</v>
      </c>
      <c r="E160" s="120" t="s">
        <v>10</v>
      </c>
      <c r="F160" s="120" t="s">
        <v>284</v>
      </c>
      <c r="G160" s="96">
        <v>69.2</v>
      </c>
      <c r="H160" s="97"/>
      <c r="I160" s="121" t="str">
        <f t="shared" si="8"/>
        <v>Monatslohn fehlt</v>
      </c>
      <c r="J160" s="133" t="str">
        <f t="shared" si="9"/>
        <v/>
      </c>
    </row>
    <row r="161" spans="1:11" ht="24" customHeight="1">
      <c r="A161" s="127" t="s">
        <v>403</v>
      </c>
      <c r="B161" s="119">
        <v>46143</v>
      </c>
      <c r="C161" s="119">
        <v>46507</v>
      </c>
      <c r="D161" s="120" t="s">
        <v>13</v>
      </c>
      <c r="E161" s="120" t="s">
        <v>10</v>
      </c>
      <c r="F161" s="120" t="s">
        <v>284</v>
      </c>
      <c r="G161" s="96">
        <v>51.9</v>
      </c>
      <c r="H161" s="97"/>
      <c r="I161" s="121" t="str">
        <f t="shared" si="8"/>
        <v>Monatslohn fehlt</v>
      </c>
      <c r="J161" s="133" t="str">
        <f t="shared" si="9"/>
        <v/>
      </c>
    </row>
    <row r="162" spans="1:11" ht="24" customHeight="1">
      <c r="A162" s="127" t="s">
        <v>403</v>
      </c>
      <c r="B162" s="119">
        <v>46143</v>
      </c>
      <c r="C162" s="119">
        <v>46507</v>
      </c>
      <c r="D162" s="120" t="s">
        <v>13</v>
      </c>
      <c r="E162" s="120" t="s">
        <v>10</v>
      </c>
      <c r="F162" s="120" t="s">
        <v>284</v>
      </c>
      <c r="G162" s="96">
        <v>47.58</v>
      </c>
      <c r="H162" s="97"/>
      <c r="I162" s="121" t="str">
        <f t="shared" si="8"/>
        <v>Monatslohn fehlt</v>
      </c>
      <c r="J162" s="133" t="str">
        <f t="shared" si="9"/>
        <v/>
      </c>
    </row>
    <row r="163" spans="1:11" ht="24" customHeight="1">
      <c r="A163" s="127" t="s">
        <v>403</v>
      </c>
      <c r="B163" s="119">
        <v>46143</v>
      </c>
      <c r="C163" s="119">
        <v>46507</v>
      </c>
      <c r="D163" s="120" t="s">
        <v>13</v>
      </c>
      <c r="E163" s="120" t="s">
        <v>10</v>
      </c>
      <c r="F163" s="120" t="s">
        <v>284</v>
      </c>
      <c r="G163" s="96">
        <v>43.25</v>
      </c>
      <c r="H163" s="97"/>
      <c r="I163" s="121" t="str">
        <f t="shared" si="8"/>
        <v>Monatslohn fehlt</v>
      </c>
      <c r="J163" s="133" t="str">
        <f t="shared" si="9"/>
        <v/>
      </c>
    </row>
    <row r="164" spans="1:11" ht="24" customHeight="1">
      <c r="A164" s="127" t="s">
        <v>403</v>
      </c>
      <c r="B164" s="119">
        <v>46143</v>
      </c>
      <c r="C164" s="119">
        <v>46507</v>
      </c>
      <c r="D164" s="120" t="s">
        <v>13</v>
      </c>
      <c r="E164" s="120" t="s">
        <v>10</v>
      </c>
      <c r="F164" s="120" t="s">
        <v>284</v>
      </c>
      <c r="G164" s="96">
        <v>34.6</v>
      </c>
      <c r="H164" s="97"/>
      <c r="I164" s="121" t="str">
        <f t="shared" si="8"/>
        <v>Monatslohn fehlt</v>
      </c>
      <c r="J164" s="133" t="str">
        <f t="shared" si="9"/>
        <v/>
      </c>
    </row>
    <row r="165" spans="1:11" ht="24" customHeight="1" thickBot="1">
      <c r="A165" s="134" t="s">
        <v>403</v>
      </c>
      <c r="B165" s="135">
        <v>46143</v>
      </c>
      <c r="C165" s="135">
        <v>46507</v>
      </c>
      <c r="D165" s="136" t="s">
        <v>13</v>
      </c>
      <c r="E165" s="136" t="s">
        <v>10</v>
      </c>
      <c r="F165" s="136" t="s">
        <v>284</v>
      </c>
      <c r="G165" s="98">
        <v>32.01</v>
      </c>
      <c r="H165" s="99"/>
      <c r="I165" s="137" t="str">
        <f t="shared" si="8"/>
        <v>Monatslohn fehlt</v>
      </c>
      <c r="J165" s="138" t="str">
        <f t="shared" si="9"/>
        <v/>
      </c>
    </row>
    <row r="166" spans="1:11" ht="24" customHeight="1" thickBot="1">
      <c r="A166" s="209" t="s">
        <v>356</v>
      </c>
      <c r="B166" s="210"/>
      <c r="C166" s="210"/>
      <c r="D166" s="211"/>
      <c r="E166" s="211"/>
      <c r="F166" s="211"/>
      <c r="G166" s="212"/>
      <c r="H166" s="213"/>
      <c r="I166" s="211"/>
      <c r="J166" s="214"/>
    </row>
    <row r="167" spans="1:11" ht="24" customHeight="1">
      <c r="A167" s="122" t="s">
        <v>293</v>
      </c>
      <c r="B167" s="104">
        <v>45778</v>
      </c>
      <c r="C167" s="104">
        <v>46142</v>
      </c>
      <c r="D167" s="105" t="s">
        <v>290</v>
      </c>
      <c r="E167" s="105" t="s">
        <v>2</v>
      </c>
      <c r="F167" s="105" t="s">
        <v>281</v>
      </c>
      <c r="G167" s="86">
        <v>173</v>
      </c>
      <c r="H167" s="87">
        <v>2021</v>
      </c>
      <c r="I167" s="106" t="str">
        <f t="shared" ref="I167:I198" si="10">IF($A167="","",IF(OR($B167="",$C167="",$D167="",$E167="",$F167=""),"Stammdaten fehlen",IF(AND($G167="",$H167=""),"Werte fehlen",IF($G167="","Monatsstunden fehlen",IF($H167="","Monatslohn fehlt","OK")))))</f>
        <v>OK</v>
      </c>
      <c r="J167" s="128" t="str">
        <f t="shared" ref="J167:J198" si="11">IF($G167="","",IF(COUNTIFS($A:$A,$A167,$D:$D,$D167,$G:$G,$G167)&gt;1,"Doppelte Monatsstunden",""))</f>
        <v/>
      </c>
    </row>
    <row r="168" spans="1:11" ht="24" customHeight="1">
      <c r="A168" s="123" t="s">
        <v>293</v>
      </c>
      <c r="B168" s="107">
        <v>45778</v>
      </c>
      <c r="C168" s="107">
        <v>46142</v>
      </c>
      <c r="D168" s="108" t="s">
        <v>290</v>
      </c>
      <c r="E168" s="108" t="s">
        <v>2</v>
      </c>
      <c r="F168" s="108" t="s">
        <v>281</v>
      </c>
      <c r="G168" s="88">
        <v>169</v>
      </c>
      <c r="H168" s="89">
        <v>2000</v>
      </c>
      <c r="I168" s="109" t="str">
        <f t="shared" si="10"/>
        <v>OK</v>
      </c>
      <c r="J168" s="129" t="str">
        <f t="shared" si="11"/>
        <v/>
      </c>
      <c r="K168" t="s">
        <v>402</v>
      </c>
    </row>
    <row r="169" spans="1:11" ht="24" customHeight="1">
      <c r="A169" s="123" t="s">
        <v>293</v>
      </c>
      <c r="B169" s="107">
        <v>45778</v>
      </c>
      <c r="C169" s="107">
        <v>46142</v>
      </c>
      <c r="D169" s="108" t="s">
        <v>290</v>
      </c>
      <c r="E169" s="108" t="s">
        <v>2</v>
      </c>
      <c r="F169" s="108" t="s">
        <v>281</v>
      </c>
      <c r="G169" s="88">
        <v>151.38</v>
      </c>
      <c r="H169" s="89">
        <v>1768.38</v>
      </c>
      <c r="I169" s="109" t="str">
        <f t="shared" si="10"/>
        <v>OK</v>
      </c>
      <c r="J169" s="129" t="str">
        <f t="shared" si="11"/>
        <v/>
      </c>
    </row>
    <row r="170" spans="1:11" ht="24" customHeight="1">
      <c r="A170" s="123" t="s">
        <v>293</v>
      </c>
      <c r="B170" s="107">
        <v>45778</v>
      </c>
      <c r="C170" s="107">
        <v>46142</v>
      </c>
      <c r="D170" s="108" t="s">
        <v>290</v>
      </c>
      <c r="E170" s="108" t="s">
        <v>2</v>
      </c>
      <c r="F170" s="108" t="s">
        <v>281</v>
      </c>
      <c r="G170" s="88">
        <v>138.4</v>
      </c>
      <c r="H170" s="89">
        <v>1616.8</v>
      </c>
      <c r="I170" s="109" t="str">
        <f t="shared" si="10"/>
        <v>OK</v>
      </c>
      <c r="J170" s="129" t="str">
        <f t="shared" si="11"/>
        <v/>
      </c>
    </row>
    <row r="171" spans="1:11" ht="24" customHeight="1">
      <c r="A171" s="123" t="s">
        <v>293</v>
      </c>
      <c r="B171" s="107">
        <v>45778</v>
      </c>
      <c r="C171" s="107">
        <v>46142</v>
      </c>
      <c r="D171" s="108" t="s">
        <v>290</v>
      </c>
      <c r="E171" s="108" t="s">
        <v>2</v>
      </c>
      <c r="F171" s="108" t="s">
        <v>281</v>
      </c>
      <c r="G171" s="88">
        <v>129.75</v>
      </c>
      <c r="H171" s="89">
        <v>1515.75</v>
      </c>
      <c r="I171" s="109" t="str">
        <f t="shared" si="10"/>
        <v>OK</v>
      </c>
      <c r="J171" s="129" t="str">
        <f t="shared" si="11"/>
        <v/>
      </c>
    </row>
    <row r="172" spans="1:11" ht="24" customHeight="1">
      <c r="A172" s="123" t="s">
        <v>293</v>
      </c>
      <c r="B172" s="107">
        <v>45778</v>
      </c>
      <c r="C172" s="107">
        <v>46142</v>
      </c>
      <c r="D172" s="108" t="s">
        <v>290</v>
      </c>
      <c r="E172" s="108" t="s">
        <v>2</v>
      </c>
      <c r="F172" s="108" t="s">
        <v>281</v>
      </c>
      <c r="G172" s="88">
        <v>108.13</v>
      </c>
      <c r="H172" s="89">
        <v>1263.1300000000001</v>
      </c>
      <c r="I172" s="109" t="str">
        <f t="shared" si="10"/>
        <v>OK</v>
      </c>
      <c r="J172" s="129" t="str">
        <f t="shared" si="11"/>
        <v/>
      </c>
    </row>
    <row r="173" spans="1:11" ht="24" customHeight="1">
      <c r="A173" s="123" t="s">
        <v>293</v>
      </c>
      <c r="B173" s="107">
        <v>45778</v>
      </c>
      <c r="C173" s="107">
        <v>46142</v>
      </c>
      <c r="D173" s="108" t="s">
        <v>290</v>
      </c>
      <c r="E173" s="108" t="s">
        <v>2</v>
      </c>
      <c r="F173" s="108" t="s">
        <v>281</v>
      </c>
      <c r="G173" s="88">
        <v>103.8</v>
      </c>
      <c r="H173" s="89">
        <v>1212.5999999999999</v>
      </c>
      <c r="I173" s="109" t="str">
        <f t="shared" si="10"/>
        <v>OK</v>
      </c>
      <c r="J173" s="129" t="str">
        <f t="shared" si="11"/>
        <v/>
      </c>
    </row>
    <row r="174" spans="1:11" ht="24" customHeight="1">
      <c r="A174" s="123" t="s">
        <v>293</v>
      </c>
      <c r="B174" s="107">
        <v>45778</v>
      </c>
      <c r="C174" s="107">
        <v>46142</v>
      </c>
      <c r="D174" s="108" t="s">
        <v>290</v>
      </c>
      <c r="E174" s="108" t="s">
        <v>2</v>
      </c>
      <c r="F174" s="108" t="s">
        <v>281</v>
      </c>
      <c r="G174" s="88">
        <v>86.5</v>
      </c>
      <c r="H174" s="89">
        <v>1010.5</v>
      </c>
      <c r="I174" s="109" t="str">
        <f t="shared" si="10"/>
        <v>OK</v>
      </c>
      <c r="J174" s="129" t="str">
        <f t="shared" si="11"/>
        <v/>
      </c>
    </row>
    <row r="175" spans="1:11" ht="24" customHeight="1">
      <c r="A175" s="123" t="s">
        <v>293</v>
      </c>
      <c r="B175" s="107">
        <v>45778</v>
      </c>
      <c r="C175" s="107">
        <v>46142</v>
      </c>
      <c r="D175" s="108" t="s">
        <v>290</v>
      </c>
      <c r="E175" s="108" t="s">
        <v>2</v>
      </c>
      <c r="F175" s="108" t="s">
        <v>281</v>
      </c>
      <c r="G175" s="88">
        <v>69.2</v>
      </c>
      <c r="H175" s="89">
        <v>808.4</v>
      </c>
      <c r="I175" s="109" t="str">
        <f t="shared" si="10"/>
        <v>OK</v>
      </c>
      <c r="J175" s="129" t="str">
        <f t="shared" si="11"/>
        <v/>
      </c>
    </row>
    <row r="176" spans="1:11" ht="24" customHeight="1">
      <c r="A176" s="123" t="s">
        <v>293</v>
      </c>
      <c r="B176" s="107">
        <v>45778</v>
      </c>
      <c r="C176" s="107">
        <v>46142</v>
      </c>
      <c r="D176" s="108" t="s">
        <v>290</v>
      </c>
      <c r="E176" s="108" t="s">
        <v>2</v>
      </c>
      <c r="F176" s="108" t="s">
        <v>281</v>
      </c>
      <c r="G176" s="88">
        <v>55</v>
      </c>
      <c r="H176" s="89">
        <v>666</v>
      </c>
      <c r="I176" s="109" t="str">
        <f t="shared" si="10"/>
        <v>OK</v>
      </c>
      <c r="J176" s="129" t="str">
        <f t="shared" si="11"/>
        <v/>
      </c>
      <c r="K176" t="s">
        <v>402</v>
      </c>
    </row>
    <row r="177" spans="1:10" ht="24" customHeight="1">
      <c r="A177" s="123" t="s">
        <v>293</v>
      </c>
      <c r="B177" s="107">
        <v>45778</v>
      </c>
      <c r="C177" s="107">
        <v>46142</v>
      </c>
      <c r="D177" s="108" t="s">
        <v>290</v>
      </c>
      <c r="E177" s="108" t="s">
        <v>2</v>
      </c>
      <c r="F177" s="108" t="s">
        <v>281</v>
      </c>
      <c r="G177" s="88">
        <v>51.9</v>
      </c>
      <c r="H177" s="89">
        <v>606.29999999999995</v>
      </c>
      <c r="I177" s="109" t="str">
        <f t="shared" si="10"/>
        <v>OK</v>
      </c>
      <c r="J177" s="129" t="str">
        <f t="shared" si="11"/>
        <v/>
      </c>
    </row>
    <row r="178" spans="1:10" ht="24" customHeight="1">
      <c r="A178" s="123" t="s">
        <v>293</v>
      </c>
      <c r="B178" s="107">
        <v>45778</v>
      </c>
      <c r="C178" s="107">
        <v>46142</v>
      </c>
      <c r="D178" s="108" t="s">
        <v>290</v>
      </c>
      <c r="E178" s="108" t="s">
        <v>2</v>
      </c>
      <c r="F178" s="108" t="s">
        <v>281</v>
      </c>
      <c r="G178" s="88">
        <v>47.58</v>
      </c>
      <c r="H178" s="89">
        <v>555.78</v>
      </c>
      <c r="I178" s="109" t="str">
        <f t="shared" si="10"/>
        <v>OK</v>
      </c>
      <c r="J178" s="129" t="str">
        <f t="shared" si="11"/>
        <v/>
      </c>
    </row>
    <row r="179" spans="1:10" ht="24" customHeight="1">
      <c r="A179" s="123" t="s">
        <v>293</v>
      </c>
      <c r="B179" s="107">
        <v>45778</v>
      </c>
      <c r="C179" s="107">
        <v>46142</v>
      </c>
      <c r="D179" s="108" t="s">
        <v>290</v>
      </c>
      <c r="E179" s="108" t="s">
        <v>2</v>
      </c>
      <c r="F179" s="108" t="s">
        <v>281</v>
      </c>
      <c r="G179" s="88">
        <v>43.25</v>
      </c>
      <c r="H179" s="89">
        <v>505.25</v>
      </c>
      <c r="I179" s="109" t="str">
        <f t="shared" si="10"/>
        <v>OK</v>
      </c>
      <c r="J179" s="129" t="str">
        <f t="shared" si="11"/>
        <v/>
      </c>
    </row>
    <row r="180" spans="1:10" ht="24" customHeight="1">
      <c r="A180" s="123" t="s">
        <v>293</v>
      </c>
      <c r="B180" s="107">
        <v>45778</v>
      </c>
      <c r="C180" s="107">
        <v>46142</v>
      </c>
      <c r="D180" s="108" t="s">
        <v>290</v>
      </c>
      <c r="E180" s="108" t="s">
        <v>2</v>
      </c>
      <c r="F180" s="108" t="s">
        <v>281</v>
      </c>
      <c r="G180" s="88">
        <v>34.6</v>
      </c>
      <c r="H180" s="89">
        <v>404.2</v>
      </c>
      <c r="I180" s="109" t="str">
        <f t="shared" si="10"/>
        <v>OK</v>
      </c>
      <c r="J180" s="129" t="str">
        <f t="shared" si="11"/>
        <v/>
      </c>
    </row>
    <row r="181" spans="1:10" ht="24" customHeight="1" thickBot="1">
      <c r="A181" s="123" t="s">
        <v>293</v>
      </c>
      <c r="B181" s="107">
        <v>45778</v>
      </c>
      <c r="C181" s="107">
        <v>46142</v>
      </c>
      <c r="D181" s="108" t="s">
        <v>290</v>
      </c>
      <c r="E181" s="108" t="s">
        <v>2</v>
      </c>
      <c r="F181" s="108" t="s">
        <v>281</v>
      </c>
      <c r="G181" s="88">
        <v>32.01</v>
      </c>
      <c r="H181" s="89">
        <v>373.89</v>
      </c>
      <c r="I181" s="109" t="str">
        <f t="shared" si="10"/>
        <v>OK</v>
      </c>
      <c r="J181" s="129" t="str">
        <f t="shared" si="11"/>
        <v/>
      </c>
    </row>
    <row r="182" spans="1:10" ht="24" customHeight="1">
      <c r="A182" s="122" t="s">
        <v>293</v>
      </c>
      <c r="B182" s="104">
        <v>45778</v>
      </c>
      <c r="C182" s="104">
        <v>46142</v>
      </c>
      <c r="D182" s="105" t="s">
        <v>3</v>
      </c>
      <c r="E182" s="105" t="s">
        <v>2</v>
      </c>
      <c r="F182" s="105" t="s">
        <v>282</v>
      </c>
      <c r="G182" s="86">
        <v>173</v>
      </c>
      <c r="H182" s="87">
        <v>2082</v>
      </c>
      <c r="I182" s="106" t="str">
        <f t="shared" si="10"/>
        <v>OK</v>
      </c>
      <c r="J182" s="128" t="str">
        <f t="shared" si="11"/>
        <v/>
      </c>
    </row>
    <row r="183" spans="1:10" ht="24" customHeight="1">
      <c r="A183" s="123" t="s">
        <v>293</v>
      </c>
      <c r="B183" s="107">
        <v>45778</v>
      </c>
      <c r="C183" s="107">
        <v>46142</v>
      </c>
      <c r="D183" s="108" t="s">
        <v>3</v>
      </c>
      <c r="E183" s="108" t="s">
        <v>2</v>
      </c>
      <c r="F183" s="108" t="s">
        <v>282</v>
      </c>
      <c r="G183" s="88">
        <v>151.38</v>
      </c>
      <c r="H183" s="89">
        <v>1821.75</v>
      </c>
      <c r="I183" s="109" t="str">
        <f t="shared" si="10"/>
        <v>OK</v>
      </c>
      <c r="J183" s="129" t="str">
        <f t="shared" si="11"/>
        <v/>
      </c>
    </row>
    <row r="184" spans="1:10" ht="24" customHeight="1">
      <c r="A184" s="123" t="s">
        <v>293</v>
      </c>
      <c r="B184" s="107">
        <v>45778</v>
      </c>
      <c r="C184" s="107">
        <v>46142</v>
      </c>
      <c r="D184" s="108" t="s">
        <v>3</v>
      </c>
      <c r="E184" s="108" t="s">
        <v>2</v>
      </c>
      <c r="F184" s="108" t="s">
        <v>282</v>
      </c>
      <c r="G184" s="88">
        <v>138.4</v>
      </c>
      <c r="H184" s="89">
        <v>1665.6</v>
      </c>
      <c r="I184" s="109" t="str">
        <f t="shared" si="10"/>
        <v>OK</v>
      </c>
      <c r="J184" s="129" t="str">
        <f t="shared" si="11"/>
        <v/>
      </c>
    </row>
    <row r="185" spans="1:10" ht="24" customHeight="1">
      <c r="A185" s="123" t="s">
        <v>293</v>
      </c>
      <c r="B185" s="107">
        <v>45778</v>
      </c>
      <c r="C185" s="107">
        <v>46142</v>
      </c>
      <c r="D185" s="108" t="s">
        <v>3</v>
      </c>
      <c r="E185" s="108" t="s">
        <v>2</v>
      </c>
      <c r="F185" s="108" t="s">
        <v>282</v>
      </c>
      <c r="G185" s="88">
        <v>129.75</v>
      </c>
      <c r="H185" s="89">
        <v>1561.5</v>
      </c>
      <c r="I185" s="109" t="str">
        <f t="shared" si="10"/>
        <v>OK</v>
      </c>
      <c r="J185" s="129" t="str">
        <f t="shared" si="11"/>
        <v/>
      </c>
    </row>
    <row r="186" spans="1:10" ht="24" customHeight="1">
      <c r="A186" s="123" t="s">
        <v>293</v>
      </c>
      <c r="B186" s="107">
        <v>45778</v>
      </c>
      <c r="C186" s="107">
        <v>46142</v>
      </c>
      <c r="D186" s="108" t="s">
        <v>3</v>
      </c>
      <c r="E186" s="108" t="s">
        <v>2</v>
      </c>
      <c r="F186" s="108" t="s">
        <v>282</v>
      </c>
      <c r="G186" s="88">
        <v>108.13</v>
      </c>
      <c r="H186" s="89">
        <v>1301.25</v>
      </c>
      <c r="I186" s="109" t="str">
        <f t="shared" si="10"/>
        <v>OK</v>
      </c>
      <c r="J186" s="129" t="str">
        <f t="shared" si="11"/>
        <v/>
      </c>
    </row>
    <row r="187" spans="1:10" ht="24" customHeight="1">
      <c r="A187" s="123" t="s">
        <v>293</v>
      </c>
      <c r="B187" s="107">
        <v>45778</v>
      </c>
      <c r="C187" s="107">
        <v>46142</v>
      </c>
      <c r="D187" s="108" t="s">
        <v>3</v>
      </c>
      <c r="E187" s="108" t="s">
        <v>2</v>
      </c>
      <c r="F187" s="108" t="s">
        <v>282</v>
      </c>
      <c r="G187" s="88">
        <v>103.8</v>
      </c>
      <c r="H187" s="89">
        <v>1249.2</v>
      </c>
      <c r="I187" s="109" t="str">
        <f t="shared" si="10"/>
        <v>OK</v>
      </c>
      <c r="J187" s="129" t="str">
        <f t="shared" si="11"/>
        <v/>
      </c>
    </row>
    <row r="188" spans="1:10" ht="24" customHeight="1">
      <c r="A188" s="123" t="s">
        <v>293</v>
      </c>
      <c r="B188" s="107">
        <v>45778</v>
      </c>
      <c r="C188" s="107">
        <v>46142</v>
      </c>
      <c r="D188" s="108" t="s">
        <v>3</v>
      </c>
      <c r="E188" s="108" t="s">
        <v>2</v>
      </c>
      <c r="F188" s="108" t="s">
        <v>282</v>
      </c>
      <c r="G188" s="88">
        <v>86.5</v>
      </c>
      <c r="H188" s="89">
        <v>1041.2</v>
      </c>
      <c r="I188" s="109" t="str">
        <f t="shared" si="10"/>
        <v>OK</v>
      </c>
      <c r="J188" s="129" t="str">
        <f t="shared" si="11"/>
        <v/>
      </c>
    </row>
    <row r="189" spans="1:10" ht="24" customHeight="1">
      <c r="A189" s="123" t="s">
        <v>293</v>
      </c>
      <c r="B189" s="107">
        <v>45778</v>
      </c>
      <c r="C189" s="107">
        <v>46142</v>
      </c>
      <c r="D189" s="108" t="s">
        <v>3</v>
      </c>
      <c r="E189" s="108" t="s">
        <v>2</v>
      </c>
      <c r="F189" s="108" t="s">
        <v>282</v>
      </c>
      <c r="G189" s="88">
        <v>69.2</v>
      </c>
      <c r="H189" s="89">
        <v>832.8</v>
      </c>
      <c r="I189" s="109" t="str">
        <f t="shared" si="10"/>
        <v>OK</v>
      </c>
      <c r="J189" s="129" t="str">
        <f t="shared" si="11"/>
        <v/>
      </c>
    </row>
    <row r="190" spans="1:10" ht="24" customHeight="1">
      <c r="A190" s="123" t="s">
        <v>293</v>
      </c>
      <c r="B190" s="107">
        <v>45778</v>
      </c>
      <c r="C190" s="107">
        <v>46142</v>
      </c>
      <c r="D190" s="108" t="s">
        <v>3</v>
      </c>
      <c r="E190" s="108" t="s">
        <v>2</v>
      </c>
      <c r="F190" s="108" t="s">
        <v>282</v>
      </c>
      <c r="G190" s="88">
        <v>51.9</v>
      </c>
      <c r="H190" s="89">
        <v>624.6</v>
      </c>
      <c r="I190" s="109" t="str">
        <f t="shared" si="10"/>
        <v>OK</v>
      </c>
      <c r="J190" s="129" t="str">
        <f t="shared" si="11"/>
        <v/>
      </c>
    </row>
    <row r="191" spans="1:10" ht="24" customHeight="1">
      <c r="A191" s="123" t="s">
        <v>293</v>
      </c>
      <c r="B191" s="107">
        <v>45778</v>
      </c>
      <c r="C191" s="107">
        <v>46142</v>
      </c>
      <c r="D191" s="108" t="s">
        <v>3</v>
      </c>
      <c r="E191" s="108" t="s">
        <v>2</v>
      </c>
      <c r="F191" s="108" t="s">
        <v>282</v>
      </c>
      <c r="G191" s="88">
        <v>47.58</v>
      </c>
      <c r="H191" s="89">
        <v>575.54999999999995</v>
      </c>
      <c r="I191" s="109" t="str">
        <f t="shared" si="10"/>
        <v>OK</v>
      </c>
      <c r="J191" s="129" t="str">
        <f t="shared" si="11"/>
        <v/>
      </c>
    </row>
    <row r="192" spans="1:10" ht="24" customHeight="1">
      <c r="A192" s="123" t="s">
        <v>293</v>
      </c>
      <c r="B192" s="107">
        <v>45778</v>
      </c>
      <c r="C192" s="107">
        <v>46142</v>
      </c>
      <c r="D192" s="108" t="s">
        <v>3</v>
      </c>
      <c r="E192" s="108" t="s">
        <v>2</v>
      </c>
      <c r="F192" s="108" t="s">
        <v>282</v>
      </c>
      <c r="G192" s="88">
        <v>43.25</v>
      </c>
      <c r="H192" s="89">
        <v>520.5</v>
      </c>
      <c r="I192" s="109" t="str">
        <f t="shared" si="10"/>
        <v>OK</v>
      </c>
      <c r="J192" s="129" t="str">
        <f t="shared" si="11"/>
        <v/>
      </c>
    </row>
    <row r="193" spans="1:10" ht="24" customHeight="1">
      <c r="A193" s="123" t="s">
        <v>293</v>
      </c>
      <c r="B193" s="107">
        <v>45778</v>
      </c>
      <c r="C193" s="107">
        <v>46142</v>
      </c>
      <c r="D193" s="108" t="s">
        <v>3</v>
      </c>
      <c r="E193" s="108" t="s">
        <v>2</v>
      </c>
      <c r="F193" s="108" t="s">
        <v>282</v>
      </c>
      <c r="G193" s="88">
        <v>34.6</v>
      </c>
      <c r="H193" s="89">
        <v>416.4</v>
      </c>
      <c r="I193" s="109" t="str">
        <f t="shared" si="10"/>
        <v>OK</v>
      </c>
      <c r="J193" s="129" t="str">
        <f t="shared" si="11"/>
        <v/>
      </c>
    </row>
    <row r="194" spans="1:10" ht="24" customHeight="1" thickBot="1">
      <c r="A194" s="123" t="s">
        <v>293</v>
      </c>
      <c r="B194" s="107">
        <v>45778</v>
      </c>
      <c r="C194" s="107">
        <v>46142</v>
      </c>
      <c r="D194" s="108" t="s">
        <v>3</v>
      </c>
      <c r="E194" s="108" t="s">
        <v>2</v>
      </c>
      <c r="F194" s="108" t="s">
        <v>282</v>
      </c>
      <c r="G194" s="88">
        <v>32.01</v>
      </c>
      <c r="H194" s="89">
        <v>385.17</v>
      </c>
      <c r="I194" s="109" t="str">
        <f t="shared" si="10"/>
        <v>OK</v>
      </c>
      <c r="J194" s="129" t="str">
        <f t="shared" si="11"/>
        <v/>
      </c>
    </row>
    <row r="195" spans="1:10" ht="24" customHeight="1">
      <c r="A195" s="122" t="s">
        <v>293</v>
      </c>
      <c r="B195" s="104">
        <v>45778</v>
      </c>
      <c r="C195" s="104">
        <v>46142</v>
      </c>
      <c r="D195" s="105" t="s">
        <v>4</v>
      </c>
      <c r="E195" s="105" t="s">
        <v>2</v>
      </c>
      <c r="F195" s="105" t="s">
        <v>283</v>
      </c>
      <c r="G195" s="86">
        <v>173</v>
      </c>
      <c r="H195" s="87">
        <v>2123</v>
      </c>
      <c r="I195" s="106" t="str">
        <f t="shared" si="10"/>
        <v>OK</v>
      </c>
      <c r="J195" s="128" t="str">
        <f t="shared" si="11"/>
        <v/>
      </c>
    </row>
    <row r="196" spans="1:10" ht="24" customHeight="1">
      <c r="A196" s="123" t="s">
        <v>293</v>
      </c>
      <c r="B196" s="107">
        <v>45778</v>
      </c>
      <c r="C196" s="107">
        <v>46142</v>
      </c>
      <c r="D196" s="108" t="s">
        <v>4</v>
      </c>
      <c r="E196" s="108" t="s">
        <v>2</v>
      </c>
      <c r="F196" s="108" t="s">
        <v>283</v>
      </c>
      <c r="G196" s="88">
        <v>151.38</v>
      </c>
      <c r="H196" s="89">
        <v>1857.63</v>
      </c>
      <c r="I196" s="109" t="str">
        <f t="shared" si="10"/>
        <v>OK</v>
      </c>
      <c r="J196" s="129" t="str">
        <f t="shared" si="11"/>
        <v/>
      </c>
    </row>
    <row r="197" spans="1:10" ht="24" customHeight="1">
      <c r="A197" s="123" t="s">
        <v>293</v>
      </c>
      <c r="B197" s="107">
        <v>45778</v>
      </c>
      <c r="C197" s="107">
        <v>46142</v>
      </c>
      <c r="D197" s="108" t="s">
        <v>4</v>
      </c>
      <c r="E197" s="108" t="s">
        <v>2</v>
      </c>
      <c r="F197" s="108" t="s">
        <v>283</v>
      </c>
      <c r="G197" s="88">
        <v>138.4</v>
      </c>
      <c r="H197" s="89">
        <v>1698.4</v>
      </c>
      <c r="I197" s="109" t="str">
        <f t="shared" si="10"/>
        <v>OK</v>
      </c>
      <c r="J197" s="129" t="str">
        <f t="shared" si="11"/>
        <v/>
      </c>
    </row>
    <row r="198" spans="1:10" ht="24" customHeight="1">
      <c r="A198" s="123" t="s">
        <v>293</v>
      </c>
      <c r="B198" s="107">
        <v>45778</v>
      </c>
      <c r="C198" s="107">
        <v>46142</v>
      </c>
      <c r="D198" s="108" t="s">
        <v>4</v>
      </c>
      <c r="E198" s="108" t="s">
        <v>2</v>
      </c>
      <c r="F198" s="108" t="s">
        <v>283</v>
      </c>
      <c r="G198" s="88">
        <v>129.75</v>
      </c>
      <c r="H198" s="89">
        <v>1592.25</v>
      </c>
      <c r="I198" s="109" t="str">
        <f t="shared" si="10"/>
        <v>OK</v>
      </c>
      <c r="J198" s="129" t="str">
        <f t="shared" si="11"/>
        <v/>
      </c>
    </row>
    <row r="199" spans="1:10" ht="24" customHeight="1">
      <c r="A199" s="123" t="s">
        <v>293</v>
      </c>
      <c r="B199" s="107">
        <v>45778</v>
      </c>
      <c r="C199" s="107">
        <v>46142</v>
      </c>
      <c r="D199" s="108" t="s">
        <v>4</v>
      </c>
      <c r="E199" s="108" t="s">
        <v>2</v>
      </c>
      <c r="F199" s="108" t="s">
        <v>283</v>
      </c>
      <c r="G199" s="88">
        <v>108.13</v>
      </c>
      <c r="H199" s="89">
        <v>1326.88</v>
      </c>
      <c r="I199" s="109" t="str">
        <f t="shared" ref="I199:I230" si="12">IF($A199="","",IF(OR($B199="",$C199="",$D199="",$E199="",$F199=""),"Stammdaten fehlen",IF(AND($G199="",$H199=""),"Werte fehlen",IF($G199="","Monatsstunden fehlen",IF($H199="","Monatslohn fehlt","OK")))))</f>
        <v>OK</v>
      </c>
      <c r="J199" s="129" t="str">
        <f t="shared" ref="J199:J230" si="13">IF($G199="","",IF(COUNTIFS($A:$A,$A199,$D:$D,$D199,$G:$G,$G199)&gt;1,"Doppelte Monatsstunden",""))</f>
        <v/>
      </c>
    </row>
    <row r="200" spans="1:10" ht="24" customHeight="1">
      <c r="A200" s="123" t="s">
        <v>293</v>
      </c>
      <c r="B200" s="107">
        <v>45778</v>
      </c>
      <c r="C200" s="107">
        <v>46142</v>
      </c>
      <c r="D200" s="108" t="s">
        <v>4</v>
      </c>
      <c r="E200" s="108" t="s">
        <v>2</v>
      </c>
      <c r="F200" s="108" t="s">
        <v>283</v>
      </c>
      <c r="G200" s="88">
        <v>103.8</v>
      </c>
      <c r="H200" s="89">
        <v>1273.8</v>
      </c>
      <c r="I200" s="109" t="str">
        <f t="shared" si="12"/>
        <v>OK</v>
      </c>
      <c r="J200" s="129" t="str">
        <f t="shared" si="13"/>
        <v/>
      </c>
    </row>
    <row r="201" spans="1:10" ht="24" customHeight="1">
      <c r="A201" s="123" t="s">
        <v>293</v>
      </c>
      <c r="B201" s="107">
        <v>45778</v>
      </c>
      <c r="C201" s="107">
        <v>46142</v>
      </c>
      <c r="D201" s="108" t="s">
        <v>4</v>
      </c>
      <c r="E201" s="108" t="s">
        <v>2</v>
      </c>
      <c r="F201" s="108" t="s">
        <v>283</v>
      </c>
      <c r="G201" s="88">
        <v>86.5</v>
      </c>
      <c r="H201" s="89">
        <v>1061.5</v>
      </c>
      <c r="I201" s="109" t="str">
        <f t="shared" si="12"/>
        <v>OK</v>
      </c>
      <c r="J201" s="129" t="str">
        <f t="shared" si="13"/>
        <v/>
      </c>
    </row>
    <row r="202" spans="1:10" ht="24" customHeight="1">
      <c r="A202" s="123" t="s">
        <v>293</v>
      </c>
      <c r="B202" s="107">
        <v>45778</v>
      </c>
      <c r="C202" s="107">
        <v>46142</v>
      </c>
      <c r="D202" s="108" t="s">
        <v>4</v>
      </c>
      <c r="E202" s="108" t="s">
        <v>2</v>
      </c>
      <c r="F202" s="108" t="s">
        <v>283</v>
      </c>
      <c r="G202" s="88">
        <v>69.2</v>
      </c>
      <c r="H202" s="89">
        <v>849.2</v>
      </c>
      <c r="I202" s="109" t="str">
        <f t="shared" si="12"/>
        <v>OK</v>
      </c>
      <c r="J202" s="129" t="str">
        <f t="shared" si="13"/>
        <v/>
      </c>
    </row>
    <row r="203" spans="1:10" ht="24" customHeight="1">
      <c r="A203" s="123" t="s">
        <v>293</v>
      </c>
      <c r="B203" s="107">
        <v>45778</v>
      </c>
      <c r="C203" s="107">
        <v>46142</v>
      </c>
      <c r="D203" s="108" t="s">
        <v>4</v>
      </c>
      <c r="E203" s="108" t="s">
        <v>2</v>
      </c>
      <c r="F203" s="108" t="s">
        <v>283</v>
      </c>
      <c r="G203" s="88">
        <v>51.9</v>
      </c>
      <c r="H203" s="89">
        <v>636.9</v>
      </c>
      <c r="I203" s="109" t="str">
        <f t="shared" si="12"/>
        <v>OK</v>
      </c>
      <c r="J203" s="129" t="str">
        <f t="shared" si="13"/>
        <v/>
      </c>
    </row>
    <row r="204" spans="1:10" ht="24" customHeight="1">
      <c r="A204" s="123" t="s">
        <v>293</v>
      </c>
      <c r="B204" s="107">
        <v>45778</v>
      </c>
      <c r="C204" s="107">
        <v>46142</v>
      </c>
      <c r="D204" s="108" t="s">
        <v>4</v>
      </c>
      <c r="E204" s="108" t="s">
        <v>2</v>
      </c>
      <c r="F204" s="108" t="s">
        <v>283</v>
      </c>
      <c r="G204" s="88">
        <v>47.58</v>
      </c>
      <c r="H204" s="89">
        <v>583.83000000000004</v>
      </c>
      <c r="I204" s="109" t="str">
        <f t="shared" si="12"/>
        <v>OK</v>
      </c>
      <c r="J204" s="129" t="str">
        <f t="shared" si="13"/>
        <v/>
      </c>
    </row>
    <row r="205" spans="1:10" ht="24" customHeight="1">
      <c r="A205" s="123" t="s">
        <v>293</v>
      </c>
      <c r="B205" s="107">
        <v>45778</v>
      </c>
      <c r="C205" s="107">
        <v>46142</v>
      </c>
      <c r="D205" s="108" t="s">
        <v>4</v>
      </c>
      <c r="E205" s="108" t="s">
        <v>2</v>
      </c>
      <c r="F205" s="108" t="s">
        <v>283</v>
      </c>
      <c r="G205" s="88">
        <v>43.25</v>
      </c>
      <c r="H205" s="89">
        <v>530.75</v>
      </c>
      <c r="I205" s="109" t="str">
        <f t="shared" si="12"/>
        <v>OK</v>
      </c>
      <c r="J205" s="129" t="str">
        <f t="shared" si="13"/>
        <v/>
      </c>
    </row>
    <row r="206" spans="1:10" ht="24" customHeight="1">
      <c r="A206" s="123" t="s">
        <v>293</v>
      </c>
      <c r="B206" s="107">
        <v>45778</v>
      </c>
      <c r="C206" s="107">
        <v>46142</v>
      </c>
      <c r="D206" s="108" t="s">
        <v>4</v>
      </c>
      <c r="E206" s="108" t="s">
        <v>2</v>
      </c>
      <c r="F206" s="108" t="s">
        <v>283</v>
      </c>
      <c r="G206" s="88">
        <v>34.6</v>
      </c>
      <c r="H206" s="89">
        <v>424.6</v>
      </c>
      <c r="I206" s="109" t="str">
        <f t="shared" si="12"/>
        <v>OK</v>
      </c>
      <c r="J206" s="129" t="str">
        <f t="shared" si="13"/>
        <v/>
      </c>
    </row>
    <row r="207" spans="1:10" ht="24" customHeight="1" thickBot="1">
      <c r="A207" s="123" t="s">
        <v>293</v>
      </c>
      <c r="B207" s="107">
        <v>45778</v>
      </c>
      <c r="C207" s="107">
        <v>46142</v>
      </c>
      <c r="D207" s="108" t="s">
        <v>4</v>
      </c>
      <c r="E207" s="108" t="s">
        <v>2</v>
      </c>
      <c r="F207" s="108" t="s">
        <v>283</v>
      </c>
      <c r="G207" s="88">
        <v>32.01</v>
      </c>
      <c r="H207" s="89">
        <v>392.76</v>
      </c>
      <c r="I207" s="109" t="str">
        <f t="shared" si="12"/>
        <v>OK</v>
      </c>
      <c r="J207" s="129" t="str">
        <f t="shared" si="13"/>
        <v/>
      </c>
    </row>
    <row r="208" spans="1:10" ht="24" customHeight="1">
      <c r="A208" s="122" t="s">
        <v>293</v>
      </c>
      <c r="B208" s="104">
        <v>45778</v>
      </c>
      <c r="C208" s="104">
        <v>46142</v>
      </c>
      <c r="D208" s="105" t="s">
        <v>5</v>
      </c>
      <c r="E208" s="105" t="s">
        <v>2</v>
      </c>
      <c r="F208" s="105" t="s">
        <v>284</v>
      </c>
      <c r="G208" s="86">
        <v>173</v>
      </c>
      <c r="H208" s="87">
        <v>2183</v>
      </c>
      <c r="I208" s="106" t="str">
        <f t="shared" si="12"/>
        <v>OK</v>
      </c>
      <c r="J208" s="128" t="str">
        <f t="shared" si="13"/>
        <v/>
      </c>
    </row>
    <row r="209" spans="1:10" ht="24" customHeight="1">
      <c r="A209" s="123" t="s">
        <v>293</v>
      </c>
      <c r="B209" s="107">
        <v>45778</v>
      </c>
      <c r="C209" s="107">
        <v>46142</v>
      </c>
      <c r="D209" s="108" t="s">
        <v>5</v>
      </c>
      <c r="E209" s="108" t="s">
        <v>2</v>
      </c>
      <c r="F209" s="108" t="s">
        <v>284</v>
      </c>
      <c r="G209" s="88">
        <v>151.38</v>
      </c>
      <c r="H209" s="89">
        <v>1910.13</v>
      </c>
      <c r="I209" s="109" t="str">
        <f t="shared" si="12"/>
        <v>OK</v>
      </c>
      <c r="J209" s="129" t="str">
        <f t="shared" si="13"/>
        <v/>
      </c>
    </row>
    <row r="210" spans="1:10" ht="24" customHeight="1">
      <c r="A210" s="123" t="s">
        <v>293</v>
      </c>
      <c r="B210" s="107">
        <v>45778</v>
      </c>
      <c r="C210" s="107">
        <v>46142</v>
      </c>
      <c r="D210" s="108" t="s">
        <v>5</v>
      </c>
      <c r="E210" s="108" t="s">
        <v>2</v>
      </c>
      <c r="F210" s="108" t="s">
        <v>284</v>
      </c>
      <c r="G210" s="88">
        <v>138.4</v>
      </c>
      <c r="H210" s="89">
        <v>1746.4</v>
      </c>
      <c r="I210" s="109" t="str">
        <f t="shared" si="12"/>
        <v>OK</v>
      </c>
      <c r="J210" s="129" t="str">
        <f t="shared" si="13"/>
        <v/>
      </c>
    </row>
    <row r="211" spans="1:10" ht="24" customHeight="1">
      <c r="A211" s="123" t="s">
        <v>293</v>
      </c>
      <c r="B211" s="107">
        <v>45778</v>
      </c>
      <c r="C211" s="107">
        <v>46142</v>
      </c>
      <c r="D211" s="108" t="s">
        <v>5</v>
      </c>
      <c r="E211" s="108" t="s">
        <v>2</v>
      </c>
      <c r="F211" s="108" t="s">
        <v>284</v>
      </c>
      <c r="G211" s="88">
        <v>129.75</v>
      </c>
      <c r="H211" s="89">
        <v>1637.25</v>
      </c>
      <c r="I211" s="109" t="str">
        <f t="shared" si="12"/>
        <v>OK</v>
      </c>
      <c r="J211" s="129" t="str">
        <f t="shared" si="13"/>
        <v/>
      </c>
    </row>
    <row r="212" spans="1:10" ht="24" customHeight="1">
      <c r="A212" s="123" t="s">
        <v>293</v>
      </c>
      <c r="B212" s="107">
        <v>45778</v>
      </c>
      <c r="C212" s="107">
        <v>46142</v>
      </c>
      <c r="D212" s="108" t="s">
        <v>5</v>
      </c>
      <c r="E212" s="108" t="s">
        <v>2</v>
      </c>
      <c r="F212" s="108" t="s">
        <v>284</v>
      </c>
      <c r="G212" s="88">
        <v>108.13</v>
      </c>
      <c r="H212" s="89">
        <v>1364.38</v>
      </c>
      <c r="I212" s="109" t="str">
        <f t="shared" si="12"/>
        <v>OK</v>
      </c>
      <c r="J212" s="129" t="str">
        <f t="shared" si="13"/>
        <v/>
      </c>
    </row>
    <row r="213" spans="1:10" ht="24" customHeight="1">
      <c r="A213" s="123" t="s">
        <v>293</v>
      </c>
      <c r="B213" s="107">
        <v>45778</v>
      </c>
      <c r="C213" s="107">
        <v>46142</v>
      </c>
      <c r="D213" s="108" t="s">
        <v>5</v>
      </c>
      <c r="E213" s="108" t="s">
        <v>2</v>
      </c>
      <c r="F213" s="108" t="s">
        <v>284</v>
      </c>
      <c r="G213" s="88">
        <v>103.8</v>
      </c>
      <c r="H213" s="89">
        <v>1309.8</v>
      </c>
      <c r="I213" s="109" t="str">
        <f t="shared" si="12"/>
        <v>OK</v>
      </c>
      <c r="J213" s="129" t="str">
        <f t="shared" si="13"/>
        <v/>
      </c>
    </row>
    <row r="214" spans="1:10" ht="24" customHeight="1">
      <c r="A214" s="123" t="s">
        <v>293</v>
      </c>
      <c r="B214" s="107">
        <v>45778</v>
      </c>
      <c r="C214" s="107">
        <v>46142</v>
      </c>
      <c r="D214" s="108" t="s">
        <v>5</v>
      </c>
      <c r="E214" s="108" t="s">
        <v>2</v>
      </c>
      <c r="F214" s="108" t="s">
        <v>284</v>
      </c>
      <c r="G214" s="88">
        <v>86.5</v>
      </c>
      <c r="H214" s="89">
        <v>1091.5</v>
      </c>
      <c r="I214" s="109" t="str">
        <f t="shared" si="12"/>
        <v>OK</v>
      </c>
      <c r="J214" s="129" t="str">
        <f t="shared" si="13"/>
        <v/>
      </c>
    </row>
    <row r="215" spans="1:10" ht="24" customHeight="1">
      <c r="A215" s="123" t="s">
        <v>293</v>
      </c>
      <c r="B215" s="107">
        <v>45778</v>
      </c>
      <c r="C215" s="107">
        <v>46142</v>
      </c>
      <c r="D215" s="108" t="s">
        <v>5</v>
      </c>
      <c r="E215" s="108" t="s">
        <v>2</v>
      </c>
      <c r="F215" s="108" t="s">
        <v>284</v>
      </c>
      <c r="G215" s="88">
        <v>69.2</v>
      </c>
      <c r="H215" s="89">
        <v>873.2</v>
      </c>
      <c r="I215" s="109" t="str">
        <f t="shared" si="12"/>
        <v>OK</v>
      </c>
      <c r="J215" s="129" t="str">
        <f t="shared" si="13"/>
        <v/>
      </c>
    </row>
    <row r="216" spans="1:10" ht="24" customHeight="1">
      <c r="A216" s="123" t="s">
        <v>293</v>
      </c>
      <c r="B216" s="107">
        <v>45778</v>
      </c>
      <c r="C216" s="107">
        <v>46142</v>
      </c>
      <c r="D216" s="108" t="s">
        <v>5</v>
      </c>
      <c r="E216" s="108" t="s">
        <v>2</v>
      </c>
      <c r="F216" s="108" t="s">
        <v>284</v>
      </c>
      <c r="G216" s="88">
        <v>51.9</v>
      </c>
      <c r="H216" s="89">
        <v>654.9</v>
      </c>
      <c r="I216" s="109" t="str">
        <f t="shared" si="12"/>
        <v>OK</v>
      </c>
      <c r="J216" s="129" t="str">
        <f t="shared" si="13"/>
        <v/>
      </c>
    </row>
    <row r="217" spans="1:10" ht="24" customHeight="1">
      <c r="A217" s="123" t="s">
        <v>293</v>
      </c>
      <c r="B217" s="107">
        <v>45778</v>
      </c>
      <c r="C217" s="107">
        <v>46142</v>
      </c>
      <c r="D217" s="108" t="s">
        <v>5</v>
      </c>
      <c r="E217" s="108" t="s">
        <v>2</v>
      </c>
      <c r="F217" s="108" t="s">
        <v>284</v>
      </c>
      <c r="G217" s="88">
        <v>47.58</v>
      </c>
      <c r="H217" s="89">
        <v>600.33000000000004</v>
      </c>
      <c r="I217" s="109" t="str">
        <f t="shared" si="12"/>
        <v>OK</v>
      </c>
      <c r="J217" s="129" t="str">
        <f t="shared" si="13"/>
        <v/>
      </c>
    </row>
    <row r="218" spans="1:10" ht="24" customHeight="1">
      <c r="A218" s="123" t="s">
        <v>293</v>
      </c>
      <c r="B218" s="107">
        <v>45778</v>
      </c>
      <c r="C218" s="107">
        <v>46142</v>
      </c>
      <c r="D218" s="108" t="s">
        <v>5</v>
      </c>
      <c r="E218" s="108" t="s">
        <v>2</v>
      </c>
      <c r="F218" s="108" t="s">
        <v>284</v>
      </c>
      <c r="G218" s="88">
        <v>43.25</v>
      </c>
      <c r="H218" s="89">
        <v>545.75</v>
      </c>
      <c r="I218" s="109" t="str">
        <f t="shared" si="12"/>
        <v>OK</v>
      </c>
      <c r="J218" s="129" t="str">
        <f t="shared" si="13"/>
        <v/>
      </c>
    </row>
    <row r="219" spans="1:10" ht="24" customHeight="1">
      <c r="A219" s="123" t="s">
        <v>293</v>
      </c>
      <c r="B219" s="107">
        <v>45778</v>
      </c>
      <c r="C219" s="107">
        <v>46142</v>
      </c>
      <c r="D219" s="108" t="s">
        <v>5</v>
      </c>
      <c r="E219" s="108" t="s">
        <v>2</v>
      </c>
      <c r="F219" s="108" t="s">
        <v>284</v>
      </c>
      <c r="G219" s="88">
        <v>34.6</v>
      </c>
      <c r="H219" s="89">
        <v>436.6</v>
      </c>
      <c r="I219" s="109" t="str">
        <f t="shared" si="12"/>
        <v>OK</v>
      </c>
      <c r="J219" s="129" t="str">
        <f t="shared" si="13"/>
        <v/>
      </c>
    </row>
    <row r="220" spans="1:10" ht="24" customHeight="1" thickBot="1">
      <c r="A220" s="123" t="s">
        <v>293</v>
      </c>
      <c r="B220" s="107">
        <v>45778</v>
      </c>
      <c r="C220" s="107">
        <v>46142</v>
      </c>
      <c r="D220" s="108" t="s">
        <v>5</v>
      </c>
      <c r="E220" s="108" t="s">
        <v>2</v>
      </c>
      <c r="F220" s="108" t="s">
        <v>284</v>
      </c>
      <c r="G220" s="88">
        <v>32.01</v>
      </c>
      <c r="H220" s="89">
        <v>403.86</v>
      </c>
      <c r="I220" s="109" t="str">
        <f t="shared" si="12"/>
        <v>OK</v>
      </c>
      <c r="J220" s="129" t="str">
        <f t="shared" si="13"/>
        <v/>
      </c>
    </row>
    <row r="221" spans="1:10" ht="24" customHeight="1">
      <c r="A221" s="124" t="s">
        <v>293</v>
      </c>
      <c r="B221" s="110">
        <v>45778</v>
      </c>
      <c r="C221" s="110">
        <v>46142</v>
      </c>
      <c r="D221" s="111" t="s">
        <v>291</v>
      </c>
      <c r="E221" s="111" t="s">
        <v>6</v>
      </c>
      <c r="F221" s="111" t="s">
        <v>281</v>
      </c>
      <c r="G221" s="90">
        <v>173</v>
      </c>
      <c r="H221" s="91">
        <v>2160</v>
      </c>
      <c r="I221" s="112" t="str">
        <f t="shared" si="12"/>
        <v>OK</v>
      </c>
      <c r="J221" s="130" t="str">
        <f t="shared" si="13"/>
        <v/>
      </c>
    </row>
    <row r="222" spans="1:10" ht="24" customHeight="1">
      <c r="A222" s="125" t="s">
        <v>293</v>
      </c>
      <c r="B222" s="113">
        <v>45778</v>
      </c>
      <c r="C222" s="113">
        <v>46142</v>
      </c>
      <c r="D222" s="114" t="s">
        <v>291</v>
      </c>
      <c r="E222" s="114" t="s">
        <v>6</v>
      </c>
      <c r="F222" s="114" t="s">
        <v>281</v>
      </c>
      <c r="G222" s="92">
        <v>151.38</v>
      </c>
      <c r="H222" s="93">
        <v>1890</v>
      </c>
      <c r="I222" s="115" t="str">
        <f t="shared" si="12"/>
        <v>OK</v>
      </c>
      <c r="J222" s="131" t="str">
        <f t="shared" si="13"/>
        <v/>
      </c>
    </row>
    <row r="223" spans="1:10" ht="24" customHeight="1">
      <c r="A223" s="125" t="s">
        <v>293</v>
      </c>
      <c r="B223" s="113">
        <v>45778</v>
      </c>
      <c r="C223" s="113">
        <v>46142</v>
      </c>
      <c r="D223" s="114" t="s">
        <v>291</v>
      </c>
      <c r="E223" s="114" t="s">
        <v>6</v>
      </c>
      <c r="F223" s="114" t="s">
        <v>281</v>
      </c>
      <c r="G223" s="92">
        <v>138.4</v>
      </c>
      <c r="H223" s="93">
        <v>1728</v>
      </c>
      <c r="I223" s="115" t="str">
        <f t="shared" si="12"/>
        <v>OK</v>
      </c>
      <c r="J223" s="131" t="str">
        <f t="shared" si="13"/>
        <v/>
      </c>
    </row>
    <row r="224" spans="1:10" ht="24" customHeight="1">
      <c r="A224" s="125" t="s">
        <v>293</v>
      </c>
      <c r="B224" s="113">
        <v>45778</v>
      </c>
      <c r="C224" s="113">
        <v>46142</v>
      </c>
      <c r="D224" s="114" t="s">
        <v>291</v>
      </c>
      <c r="E224" s="114" t="s">
        <v>6</v>
      </c>
      <c r="F224" s="114" t="s">
        <v>281</v>
      </c>
      <c r="G224" s="92">
        <v>129.75</v>
      </c>
      <c r="H224" s="93">
        <v>1620</v>
      </c>
      <c r="I224" s="115" t="str">
        <f t="shared" si="12"/>
        <v>OK</v>
      </c>
      <c r="J224" s="131" t="str">
        <f t="shared" si="13"/>
        <v/>
      </c>
    </row>
    <row r="225" spans="1:10" ht="24" customHeight="1">
      <c r="A225" s="125" t="s">
        <v>293</v>
      </c>
      <c r="B225" s="113">
        <v>45778</v>
      </c>
      <c r="C225" s="113">
        <v>46142</v>
      </c>
      <c r="D225" s="114" t="s">
        <v>291</v>
      </c>
      <c r="E225" s="114" t="s">
        <v>6</v>
      </c>
      <c r="F225" s="114" t="s">
        <v>281</v>
      </c>
      <c r="G225" s="92">
        <v>108.13</v>
      </c>
      <c r="H225" s="93">
        <v>1350</v>
      </c>
      <c r="I225" s="115" t="str">
        <f t="shared" si="12"/>
        <v>OK</v>
      </c>
      <c r="J225" s="131" t="str">
        <f t="shared" si="13"/>
        <v/>
      </c>
    </row>
    <row r="226" spans="1:10" ht="24" customHeight="1">
      <c r="A226" s="125" t="s">
        <v>293</v>
      </c>
      <c r="B226" s="113">
        <v>45778</v>
      </c>
      <c r="C226" s="113">
        <v>46142</v>
      </c>
      <c r="D226" s="114" t="s">
        <v>291</v>
      </c>
      <c r="E226" s="114" t="s">
        <v>6</v>
      </c>
      <c r="F226" s="114" t="s">
        <v>281</v>
      </c>
      <c r="G226" s="92">
        <v>103.8</v>
      </c>
      <c r="H226" s="93">
        <v>1296</v>
      </c>
      <c r="I226" s="115" t="str">
        <f t="shared" si="12"/>
        <v>OK</v>
      </c>
      <c r="J226" s="131" t="str">
        <f t="shared" si="13"/>
        <v/>
      </c>
    </row>
    <row r="227" spans="1:10" ht="24" customHeight="1">
      <c r="A227" s="125" t="s">
        <v>293</v>
      </c>
      <c r="B227" s="113">
        <v>45778</v>
      </c>
      <c r="C227" s="113">
        <v>46142</v>
      </c>
      <c r="D227" s="114" t="s">
        <v>291</v>
      </c>
      <c r="E227" s="114" t="s">
        <v>6</v>
      </c>
      <c r="F227" s="114" t="s">
        <v>281</v>
      </c>
      <c r="G227" s="92">
        <v>86.5</v>
      </c>
      <c r="H227" s="93">
        <v>1080</v>
      </c>
      <c r="I227" s="115" t="str">
        <f t="shared" si="12"/>
        <v>OK</v>
      </c>
      <c r="J227" s="131" t="str">
        <f t="shared" si="13"/>
        <v/>
      </c>
    </row>
    <row r="228" spans="1:10" ht="24" customHeight="1">
      <c r="A228" s="125" t="s">
        <v>293</v>
      </c>
      <c r="B228" s="113">
        <v>45778</v>
      </c>
      <c r="C228" s="113">
        <v>46142</v>
      </c>
      <c r="D228" s="114" t="s">
        <v>291</v>
      </c>
      <c r="E228" s="114" t="s">
        <v>6</v>
      </c>
      <c r="F228" s="114" t="s">
        <v>281</v>
      </c>
      <c r="G228" s="92">
        <v>69.2</v>
      </c>
      <c r="H228" s="93">
        <v>864</v>
      </c>
      <c r="I228" s="115" t="str">
        <f t="shared" si="12"/>
        <v>OK</v>
      </c>
      <c r="J228" s="131" t="str">
        <f t="shared" si="13"/>
        <v/>
      </c>
    </row>
    <row r="229" spans="1:10" ht="24" customHeight="1">
      <c r="A229" s="125" t="s">
        <v>293</v>
      </c>
      <c r="B229" s="113">
        <v>45778</v>
      </c>
      <c r="C229" s="113">
        <v>46142</v>
      </c>
      <c r="D229" s="114" t="s">
        <v>291</v>
      </c>
      <c r="E229" s="114" t="s">
        <v>6</v>
      </c>
      <c r="F229" s="114" t="s">
        <v>281</v>
      </c>
      <c r="G229" s="92">
        <v>51.9</v>
      </c>
      <c r="H229" s="93">
        <v>648</v>
      </c>
      <c r="I229" s="115" t="str">
        <f t="shared" si="12"/>
        <v>OK</v>
      </c>
      <c r="J229" s="131" t="str">
        <f t="shared" si="13"/>
        <v/>
      </c>
    </row>
    <row r="230" spans="1:10" ht="24" customHeight="1">
      <c r="A230" s="125" t="s">
        <v>293</v>
      </c>
      <c r="B230" s="113">
        <v>45778</v>
      </c>
      <c r="C230" s="113">
        <v>46142</v>
      </c>
      <c r="D230" s="114" t="s">
        <v>291</v>
      </c>
      <c r="E230" s="114" t="s">
        <v>6</v>
      </c>
      <c r="F230" s="114" t="s">
        <v>281</v>
      </c>
      <c r="G230" s="92">
        <v>47.58</v>
      </c>
      <c r="H230" s="93">
        <v>594</v>
      </c>
      <c r="I230" s="115" t="str">
        <f t="shared" si="12"/>
        <v>OK</v>
      </c>
      <c r="J230" s="131" t="str">
        <f t="shared" si="13"/>
        <v/>
      </c>
    </row>
    <row r="231" spans="1:10" ht="24" customHeight="1">
      <c r="A231" s="125" t="s">
        <v>293</v>
      </c>
      <c r="B231" s="113">
        <v>45778</v>
      </c>
      <c r="C231" s="113">
        <v>46142</v>
      </c>
      <c r="D231" s="114" t="s">
        <v>291</v>
      </c>
      <c r="E231" s="114" t="s">
        <v>6</v>
      </c>
      <c r="F231" s="114" t="s">
        <v>281</v>
      </c>
      <c r="G231" s="92">
        <v>43.25</v>
      </c>
      <c r="H231" s="93">
        <v>540</v>
      </c>
      <c r="I231" s="115" t="str">
        <f t="shared" ref="I231:I262" si="14">IF($A231="","",IF(OR($B231="",$C231="",$D231="",$E231="",$F231=""),"Stammdaten fehlen",IF(AND($G231="",$H231=""),"Werte fehlen",IF($G231="","Monatsstunden fehlen",IF($H231="","Monatslohn fehlt","OK")))))</f>
        <v>OK</v>
      </c>
      <c r="J231" s="131" t="str">
        <f t="shared" ref="J231:J262" si="15">IF($G231="","",IF(COUNTIFS($A:$A,$A231,$D:$D,$D231,$G:$G,$G231)&gt;1,"Doppelte Monatsstunden",""))</f>
        <v/>
      </c>
    </row>
    <row r="232" spans="1:10" ht="24" customHeight="1">
      <c r="A232" s="125" t="s">
        <v>293</v>
      </c>
      <c r="B232" s="113">
        <v>45778</v>
      </c>
      <c r="C232" s="113">
        <v>46142</v>
      </c>
      <c r="D232" s="114" t="s">
        <v>291</v>
      </c>
      <c r="E232" s="114" t="s">
        <v>6</v>
      </c>
      <c r="F232" s="114" t="s">
        <v>281</v>
      </c>
      <c r="G232" s="92">
        <v>34.6</v>
      </c>
      <c r="H232" s="93">
        <v>432</v>
      </c>
      <c r="I232" s="115" t="str">
        <f t="shared" si="14"/>
        <v>OK</v>
      </c>
      <c r="J232" s="131" t="str">
        <f t="shared" si="15"/>
        <v/>
      </c>
    </row>
    <row r="233" spans="1:10" ht="24" customHeight="1" thickBot="1">
      <c r="A233" s="125" t="s">
        <v>293</v>
      </c>
      <c r="B233" s="113">
        <v>45778</v>
      </c>
      <c r="C233" s="113">
        <v>46142</v>
      </c>
      <c r="D233" s="114" t="s">
        <v>291</v>
      </c>
      <c r="E233" s="114" t="s">
        <v>6</v>
      </c>
      <c r="F233" s="114" t="s">
        <v>281</v>
      </c>
      <c r="G233" s="92">
        <v>32.01</v>
      </c>
      <c r="H233" s="93">
        <v>399.6</v>
      </c>
      <c r="I233" s="115" t="str">
        <f t="shared" si="14"/>
        <v>OK</v>
      </c>
      <c r="J233" s="131" t="str">
        <f t="shared" si="15"/>
        <v/>
      </c>
    </row>
    <row r="234" spans="1:10" ht="24" customHeight="1">
      <c r="A234" s="124" t="s">
        <v>293</v>
      </c>
      <c r="B234" s="110">
        <v>45778</v>
      </c>
      <c r="C234" s="110">
        <v>46142</v>
      </c>
      <c r="D234" s="111" t="s">
        <v>7</v>
      </c>
      <c r="E234" s="111" t="s">
        <v>6</v>
      </c>
      <c r="F234" s="111" t="s">
        <v>282</v>
      </c>
      <c r="G234" s="90">
        <v>173</v>
      </c>
      <c r="H234" s="91">
        <v>2160</v>
      </c>
      <c r="I234" s="112" t="str">
        <f t="shared" si="14"/>
        <v>OK</v>
      </c>
      <c r="J234" s="130" t="str">
        <f t="shared" si="15"/>
        <v/>
      </c>
    </row>
    <row r="235" spans="1:10" ht="24" customHeight="1">
      <c r="A235" s="125" t="s">
        <v>293</v>
      </c>
      <c r="B235" s="113">
        <v>45778</v>
      </c>
      <c r="C235" s="113">
        <v>46142</v>
      </c>
      <c r="D235" s="114" t="s">
        <v>7</v>
      </c>
      <c r="E235" s="114" t="s">
        <v>6</v>
      </c>
      <c r="F235" s="114" t="s">
        <v>282</v>
      </c>
      <c r="G235" s="92">
        <v>151.38</v>
      </c>
      <c r="H235" s="93">
        <v>1890</v>
      </c>
      <c r="I235" s="115" t="str">
        <f t="shared" si="14"/>
        <v>OK</v>
      </c>
      <c r="J235" s="131" t="str">
        <f t="shared" si="15"/>
        <v/>
      </c>
    </row>
    <row r="236" spans="1:10" ht="24" customHeight="1">
      <c r="A236" s="125" t="s">
        <v>293</v>
      </c>
      <c r="B236" s="113">
        <v>45778</v>
      </c>
      <c r="C236" s="113">
        <v>46142</v>
      </c>
      <c r="D236" s="114" t="s">
        <v>7</v>
      </c>
      <c r="E236" s="114" t="s">
        <v>6</v>
      </c>
      <c r="F236" s="114" t="s">
        <v>282</v>
      </c>
      <c r="G236" s="92">
        <v>138.4</v>
      </c>
      <c r="H236" s="93">
        <v>1728</v>
      </c>
      <c r="I236" s="115" t="str">
        <f t="shared" si="14"/>
        <v>OK</v>
      </c>
      <c r="J236" s="131" t="str">
        <f t="shared" si="15"/>
        <v/>
      </c>
    </row>
    <row r="237" spans="1:10" ht="24" customHeight="1">
      <c r="A237" s="125" t="s">
        <v>293</v>
      </c>
      <c r="B237" s="113">
        <v>45778</v>
      </c>
      <c r="C237" s="113">
        <v>46142</v>
      </c>
      <c r="D237" s="114" t="s">
        <v>7</v>
      </c>
      <c r="E237" s="114" t="s">
        <v>6</v>
      </c>
      <c r="F237" s="114" t="s">
        <v>282</v>
      </c>
      <c r="G237" s="92">
        <v>129.75</v>
      </c>
      <c r="H237" s="93">
        <v>1620</v>
      </c>
      <c r="I237" s="115" t="str">
        <f t="shared" si="14"/>
        <v>OK</v>
      </c>
      <c r="J237" s="131" t="str">
        <f t="shared" si="15"/>
        <v/>
      </c>
    </row>
    <row r="238" spans="1:10" ht="24" customHeight="1">
      <c r="A238" s="125" t="s">
        <v>293</v>
      </c>
      <c r="B238" s="113">
        <v>45778</v>
      </c>
      <c r="C238" s="113">
        <v>46142</v>
      </c>
      <c r="D238" s="114" t="s">
        <v>7</v>
      </c>
      <c r="E238" s="114" t="s">
        <v>6</v>
      </c>
      <c r="F238" s="114" t="s">
        <v>282</v>
      </c>
      <c r="G238" s="92">
        <v>108.13</v>
      </c>
      <c r="H238" s="93">
        <v>1350</v>
      </c>
      <c r="I238" s="115" t="str">
        <f t="shared" si="14"/>
        <v>OK</v>
      </c>
      <c r="J238" s="131" t="str">
        <f t="shared" si="15"/>
        <v/>
      </c>
    </row>
    <row r="239" spans="1:10" ht="24" customHeight="1">
      <c r="A239" s="125" t="s">
        <v>293</v>
      </c>
      <c r="B239" s="113">
        <v>45778</v>
      </c>
      <c r="C239" s="113">
        <v>46142</v>
      </c>
      <c r="D239" s="114" t="s">
        <v>7</v>
      </c>
      <c r="E239" s="114" t="s">
        <v>6</v>
      </c>
      <c r="F239" s="114" t="s">
        <v>282</v>
      </c>
      <c r="G239" s="92">
        <v>103.8</v>
      </c>
      <c r="H239" s="93">
        <v>1296</v>
      </c>
      <c r="I239" s="115" t="str">
        <f t="shared" si="14"/>
        <v>OK</v>
      </c>
      <c r="J239" s="131" t="str">
        <f t="shared" si="15"/>
        <v/>
      </c>
    </row>
    <row r="240" spans="1:10" ht="24" customHeight="1">
      <c r="A240" s="125" t="s">
        <v>293</v>
      </c>
      <c r="B240" s="113">
        <v>45778</v>
      </c>
      <c r="C240" s="113">
        <v>46142</v>
      </c>
      <c r="D240" s="114" t="s">
        <v>7</v>
      </c>
      <c r="E240" s="114" t="s">
        <v>6</v>
      </c>
      <c r="F240" s="114" t="s">
        <v>282</v>
      </c>
      <c r="G240" s="92">
        <v>86.5</v>
      </c>
      <c r="H240" s="93">
        <v>1080</v>
      </c>
      <c r="I240" s="115" t="str">
        <f t="shared" si="14"/>
        <v>OK</v>
      </c>
      <c r="J240" s="131" t="str">
        <f t="shared" si="15"/>
        <v/>
      </c>
    </row>
    <row r="241" spans="1:10" ht="24" customHeight="1">
      <c r="A241" s="125" t="s">
        <v>293</v>
      </c>
      <c r="B241" s="113">
        <v>45778</v>
      </c>
      <c r="C241" s="113">
        <v>46142</v>
      </c>
      <c r="D241" s="114" t="s">
        <v>7</v>
      </c>
      <c r="E241" s="114" t="s">
        <v>6</v>
      </c>
      <c r="F241" s="114" t="s">
        <v>282</v>
      </c>
      <c r="G241" s="92">
        <v>69.2</v>
      </c>
      <c r="H241" s="93">
        <v>864</v>
      </c>
      <c r="I241" s="115" t="str">
        <f t="shared" si="14"/>
        <v>OK</v>
      </c>
      <c r="J241" s="131" t="str">
        <f t="shared" si="15"/>
        <v/>
      </c>
    </row>
    <row r="242" spans="1:10" ht="24" customHeight="1">
      <c r="A242" s="125" t="s">
        <v>293</v>
      </c>
      <c r="B242" s="113">
        <v>45778</v>
      </c>
      <c r="C242" s="113">
        <v>46142</v>
      </c>
      <c r="D242" s="114" t="s">
        <v>7</v>
      </c>
      <c r="E242" s="114" t="s">
        <v>6</v>
      </c>
      <c r="F242" s="114" t="s">
        <v>282</v>
      </c>
      <c r="G242" s="92">
        <v>51.9</v>
      </c>
      <c r="H242" s="93">
        <v>648</v>
      </c>
      <c r="I242" s="115" t="str">
        <f t="shared" si="14"/>
        <v>OK</v>
      </c>
      <c r="J242" s="131" t="str">
        <f t="shared" si="15"/>
        <v/>
      </c>
    </row>
    <row r="243" spans="1:10" ht="24" customHeight="1">
      <c r="A243" s="125" t="s">
        <v>293</v>
      </c>
      <c r="B243" s="113">
        <v>45778</v>
      </c>
      <c r="C243" s="113">
        <v>46142</v>
      </c>
      <c r="D243" s="114" t="s">
        <v>7</v>
      </c>
      <c r="E243" s="114" t="s">
        <v>6</v>
      </c>
      <c r="F243" s="114" t="s">
        <v>282</v>
      </c>
      <c r="G243" s="92">
        <v>47.58</v>
      </c>
      <c r="H243" s="93">
        <v>594</v>
      </c>
      <c r="I243" s="115" t="str">
        <f t="shared" si="14"/>
        <v>OK</v>
      </c>
      <c r="J243" s="131" t="str">
        <f t="shared" si="15"/>
        <v/>
      </c>
    </row>
    <row r="244" spans="1:10" ht="24" customHeight="1">
      <c r="A244" s="125" t="s">
        <v>293</v>
      </c>
      <c r="B244" s="113">
        <v>45778</v>
      </c>
      <c r="C244" s="113">
        <v>46142</v>
      </c>
      <c r="D244" s="114" t="s">
        <v>7</v>
      </c>
      <c r="E244" s="114" t="s">
        <v>6</v>
      </c>
      <c r="F244" s="114" t="s">
        <v>282</v>
      </c>
      <c r="G244" s="92">
        <v>43.25</v>
      </c>
      <c r="H244" s="93">
        <v>540</v>
      </c>
      <c r="I244" s="115" t="str">
        <f t="shared" si="14"/>
        <v>OK</v>
      </c>
      <c r="J244" s="131" t="str">
        <f t="shared" si="15"/>
        <v/>
      </c>
    </row>
    <row r="245" spans="1:10" ht="24" customHeight="1">
      <c r="A245" s="125" t="s">
        <v>293</v>
      </c>
      <c r="B245" s="113">
        <v>45778</v>
      </c>
      <c r="C245" s="113">
        <v>46142</v>
      </c>
      <c r="D245" s="114" t="s">
        <v>7</v>
      </c>
      <c r="E245" s="114" t="s">
        <v>6</v>
      </c>
      <c r="F245" s="114" t="s">
        <v>282</v>
      </c>
      <c r="G245" s="92">
        <v>34.6</v>
      </c>
      <c r="H245" s="93">
        <v>432</v>
      </c>
      <c r="I245" s="115" t="str">
        <f t="shared" si="14"/>
        <v>OK</v>
      </c>
      <c r="J245" s="131" t="str">
        <f t="shared" si="15"/>
        <v/>
      </c>
    </row>
    <row r="246" spans="1:10" ht="24" customHeight="1" thickBot="1">
      <c r="A246" s="125" t="s">
        <v>293</v>
      </c>
      <c r="B246" s="113">
        <v>45778</v>
      </c>
      <c r="C246" s="113">
        <v>46142</v>
      </c>
      <c r="D246" s="114" t="s">
        <v>7</v>
      </c>
      <c r="E246" s="114" t="s">
        <v>6</v>
      </c>
      <c r="F246" s="114" t="s">
        <v>282</v>
      </c>
      <c r="G246" s="92">
        <v>32.01</v>
      </c>
      <c r="H246" s="93">
        <v>399.6</v>
      </c>
      <c r="I246" s="115" t="str">
        <f t="shared" si="14"/>
        <v>OK</v>
      </c>
      <c r="J246" s="131" t="str">
        <f t="shared" si="15"/>
        <v/>
      </c>
    </row>
    <row r="247" spans="1:10" ht="24" customHeight="1">
      <c r="A247" s="124" t="s">
        <v>293</v>
      </c>
      <c r="B247" s="110">
        <v>45778</v>
      </c>
      <c r="C247" s="110">
        <v>46142</v>
      </c>
      <c r="D247" s="111" t="s">
        <v>8</v>
      </c>
      <c r="E247" s="111" t="s">
        <v>6</v>
      </c>
      <c r="F247" s="111" t="s">
        <v>283</v>
      </c>
      <c r="G247" s="90">
        <v>173</v>
      </c>
      <c r="H247" s="91">
        <v>2163</v>
      </c>
      <c r="I247" s="112" t="str">
        <f t="shared" si="14"/>
        <v>OK</v>
      </c>
      <c r="J247" s="130" t="str">
        <f t="shared" si="15"/>
        <v/>
      </c>
    </row>
    <row r="248" spans="1:10" ht="24" customHeight="1">
      <c r="A248" s="125" t="s">
        <v>293</v>
      </c>
      <c r="B248" s="113">
        <v>45778</v>
      </c>
      <c r="C248" s="113">
        <v>46142</v>
      </c>
      <c r="D248" s="114" t="s">
        <v>8</v>
      </c>
      <c r="E248" s="114" t="s">
        <v>6</v>
      </c>
      <c r="F248" s="114" t="s">
        <v>283</v>
      </c>
      <c r="G248" s="92">
        <v>151.38</v>
      </c>
      <c r="H248" s="93">
        <v>1892.63</v>
      </c>
      <c r="I248" s="115" t="str">
        <f t="shared" si="14"/>
        <v>OK</v>
      </c>
      <c r="J248" s="131" t="str">
        <f t="shared" si="15"/>
        <v/>
      </c>
    </row>
    <row r="249" spans="1:10" ht="24" customHeight="1">
      <c r="A249" s="125" t="s">
        <v>293</v>
      </c>
      <c r="B249" s="113">
        <v>45778</v>
      </c>
      <c r="C249" s="113">
        <v>46142</v>
      </c>
      <c r="D249" s="114" t="s">
        <v>8</v>
      </c>
      <c r="E249" s="114" t="s">
        <v>6</v>
      </c>
      <c r="F249" s="114" t="s">
        <v>283</v>
      </c>
      <c r="G249" s="92">
        <v>138.4</v>
      </c>
      <c r="H249" s="93">
        <v>1730.4</v>
      </c>
      <c r="I249" s="115" t="str">
        <f t="shared" si="14"/>
        <v>OK</v>
      </c>
      <c r="J249" s="131" t="str">
        <f t="shared" si="15"/>
        <v/>
      </c>
    </row>
    <row r="250" spans="1:10" ht="24" customHeight="1">
      <c r="A250" s="125" t="s">
        <v>293</v>
      </c>
      <c r="B250" s="113">
        <v>45778</v>
      </c>
      <c r="C250" s="113">
        <v>46142</v>
      </c>
      <c r="D250" s="114" t="s">
        <v>8</v>
      </c>
      <c r="E250" s="114" t="s">
        <v>6</v>
      </c>
      <c r="F250" s="114" t="s">
        <v>283</v>
      </c>
      <c r="G250" s="92">
        <v>129.75</v>
      </c>
      <c r="H250" s="93">
        <v>1622.25</v>
      </c>
      <c r="I250" s="115" t="str">
        <f t="shared" si="14"/>
        <v>OK</v>
      </c>
      <c r="J250" s="131" t="str">
        <f t="shared" si="15"/>
        <v/>
      </c>
    </row>
    <row r="251" spans="1:10" ht="24" customHeight="1">
      <c r="A251" s="125" t="s">
        <v>293</v>
      </c>
      <c r="B251" s="113">
        <v>45778</v>
      </c>
      <c r="C251" s="113">
        <v>46142</v>
      </c>
      <c r="D251" s="114" t="s">
        <v>8</v>
      </c>
      <c r="E251" s="114" t="s">
        <v>6</v>
      </c>
      <c r="F251" s="114" t="s">
        <v>283</v>
      </c>
      <c r="G251" s="92">
        <v>108.13</v>
      </c>
      <c r="H251" s="93">
        <v>1351.88</v>
      </c>
      <c r="I251" s="115" t="str">
        <f t="shared" si="14"/>
        <v>OK</v>
      </c>
      <c r="J251" s="131" t="str">
        <f t="shared" si="15"/>
        <v/>
      </c>
    </row>
    <row r="252" spans="1:10" ht="24" customHeight="1">
      <c r="A252" s="125" t="s">
        <v>293</v>
      </c>
      <c r="B252" s="113">
        <v>45778</v>
      </c>
      <c r="C252" s="113">
        <v>46142</v>
      </c>
      <c r="D252" s="114" t="s">
        <v>8</v>
      </c>
      <c r="E252" s="114" t="s">
        <v>6</v>
      </c>
      <c r="F252" s="114" t="s">
        <v>283</v>
      </c>
      <c r="G252" s="92">
        <v>103.8</v>
      </c>
      <c r="H252" s="93">
        <v>1297.8</v>
      </c>
      <c r="I252" s="115" t="str">
        <f t="shared" si="14"/>
        <v>OK</v>
      </c>
      <c r="J252" s="131" t="str">
        <f t="shared" si="15"/>
        <v/>
      </c>
    </row>
    <row r="253" spans="1:10" ht="24" customHeight="1">
      <c r="A253" s="125" t="s">
        <v>293</v>
      </c>
      <c r="B253" s="113">
        <v>45778</v>
      </c>
      <c r="C253" s="113">
        <v>46142</v>
      </c>
      <c r="D253" s="114" t="s">
        <v>8</v>
      </c>
      <c r="E253" s="114" t="s">
        <v>6</v>
      </c>
      <c r="F253" s="114" t="s">
        <v>283</v>
      </c>
      <c r="G253" s="92">
        <v>86.5</v>
      </c>
      <c r="H253" s="93">
        <v>1081.5</v>
      </c>
      <c r="I253" s="115" t="str">
        <f t="shared" si="14"/>
        <v>OK</v>
      </c>
      <c r="J253" s="131" t="str">
        <f t="shared" si="15"/>
        <v/>
      </c>
    </row>
    <row r="254" spans="1:10" ht="24" customHeight="1">
      <c r="A254" s="125" t="s">
        <v>293</v>
      </c>
      <c r="B254" s="113">
        <v>45778</v>
      </c>
      <c r="C254" s="113">
        <v>46142</v>
      </c>
      <c r="D254" s="114" t="s">
        <v>8</v>
      </c>
      <c r="E254" s="114" t="s">
        <v>6</v>
      </c>
      <c r="F254" s="114" t="s">
        <v>283</v>
      </c>
      <c r="G254" s="92">
        <v>69.2</v>
      </c>
      <c r="H254" s="93">
        <v>865.2</v>
      </c>
      <c r="I254" s="115" t="str">
        <f t="shared" si="14"/>
        <v>OK</v>
      </c>
      <c r="J254" s="131" t="str">
        <f t="shared" si="15"/>
        <v/>
      </c>
    </row>
    <row r="255" spans="1:10" ht="24" customHeight="1">
      <c r="A255" s="125" t="s">
        <v>293</v>
      </c>
      <c r="B255" s="113">
        <v>45778</v>
      </c>
      <c r="C255" s="113">
        <v>46142</v>
      </c>
      <c r="D255" s="114" t="s">
        <v>8</v>
      </c>
      <c r="E255" s="114" t="s">
        <v>6</v>
      </c>
      <c r="F255" s="114" t="s">
        <v>283</v>
      </c>
      <c r="G255" s="92">
        <v>51.9</v>
      </c>
      <c r="H255" s="93">
        <v>648.9</v>
      </c>
      <c r="I255" s="115" t="str">
        <f t="shared" si="14"/>
        <v>OK</v>
      </c>
      <c r="J255" s="131" t="str">
        <f t="shared" si="15"/>
        <v/>
      </c>
    </row>
    <row r="256" spans="1:10" ht="24" customHeight="1">
      <c r="A256" s="125" t="s">
        <v>293</v>
      </c>
      <c r="B256" s="113">
        <v>45778</v>
      </c>
      <c r="C256" s="113">
        <v>46142</v>
      </c>
      <c r="D256" s="114" t="s">
        <v>8</v>
      </c>
      <c r="E256" s="114" t="s">
        <v>6</v>
      </c>
      <c r="F256" s="114" t="s">
        <v>283</v>
      </c>
      <c r="G256" s="92">
        <v>47.58</v>
      </c>
      <c r="H256" s="93">
        <v>594.83000000000004</v>
      </c>
      <c r="I256" s="115" t="str">
        <f t="shared" si="14"/>
        <v>OK</v>
      </c>
      <c r="J256" s="131" t="str">
        <f t="shared" si="15"/>
        <v/>
      </c>
    </row>
    <row r="257" spans="1:10" ht="24" customHeight="1">
      <c r="A257" s="125" t="s">
        <v>293</v>
      </c>
      <c r="B257" s="113">
        <v>45778</v>
      </c>
      <c r="C257" s="113">
        <v>46142</v>
      </c>
      <c r="D257" s="114" t="s">
        <v>8</v>
      </c>
      <c r="E257" s="114" t="s">
        <v>6</v>
      </c>
      <c r="F257" s="114" t="s">
        <v>283</v>
      </c>
      <c r="G257" s="92">
        <v>43.25</v>
      </c>
      <c r="H257" s="93">
        <v>540.75</v>
      </c>
      <c r="I257" s="115" t="str">
        <f t="shared" si="14"/>
        <v>OK</v>
      </c>
      <c r="J257" s="131" t="str">
        <f t="shared" si="15"/>
        <v/>
      </c>
    </row>
    <row r="258" spans="1:10" ht="24" customHeight="1">
      <c r="A258" s="125" t="s">
        <v>293</v>
      </c>
      <c r="B258" s="113">
        <v>45778</v>
      </c>
      <c r="C258" s="113">
        <v>46142</v>
      </c>
      <c r="D258" s="114" t="s">
        <v>8</v>
      </c>
      <c r="E258" s="114" t="s">
        <v>6</v>
      </c>
      <c r="F258" s="114" t="s">
        <v>283</v>
      </c>
      <c r="G258" s="92">
        <v>34.6</v>
      </c>
      <c r="H258" s="93">
        <v>432.6</v>
      </c>
      <c r="I258" s="115" t="str">
        <f t="shared" si="14"/>
        <v>OK</v>
      </c>
      <c r="J258" s="131" t="str">
        <f t="shared" si="15"/>
        <v/>
      </c>
    </row>
    <row r="259" spans="1:10" ht="24" customHeight="1" thickBot="1">
      <c r="A259" s="125" t="s">
        <v>293</v>
      </c>
      <c r="B259" s="113">
        <v>45778</v>
      </c>
      <c r="C259" s="113">
        <v>46142</v>
      </c>
      <c r="D259" s="114" t="s">
        <v>8</v>
      </c>
      <c r="E259" s="114" t="s">
        <v>6</v>
      </c>
      <c r="F259" s="114" t="s">
        <v>283</v>
      </c>
      <c r="G259" s="92">
        <v>32.01</v>
      </c>
      <c r="H259" s="93">
        <v>400.16</v>
      </c>
      <c r="I259" s="115" t="str">
        <f t="shared" si="14"/>
        <v>OK</v>
      </c>
      <c r="J259" s="131" t="str">
        <f t="shared" si="15"/>
        <v/>
      </c>
    </row>
    <row r="260" spans="1:10" ht="24" customHeight="1">
      <c r="A260" s="124" t="s">
        <v>293</v>
      </c>
      <c r="B260" s="110">
        <v>45778</v>
      </c>
      <c r="C260" s="110">
        <v>46142</v>
      </c>
      <c r="D260" s="111" t="s">
        <v>9</v>
      </c>
      <c r="E260" s="111" t="s">
        <v>6</v>
      </c>
      <c r="F260" s="111" t="s">
        <v>284</v>
      </c>
      <c r="G260" s="90">
        <v>173</v>
      </c>
      <c r="H260" s="91">
        <v>2225</v>
      </c>
      <c r="I260" s="112" t="str">
        <f t="shared" si="14"/>
        <v>OK</v>
      </c>
      <c r="J260" s="130" t="str">
        <f t="shared" si="15"/>
        <v/>
      </c>
    </row>
    <row r="261" spans="1:10" ht="24" customHeight="1">
      <c r="A261" s="125" t="s">
        <v>293</v>
      </c>
      <c r="B261" s="113">
        <v>45778</v>
      </c>
      <c r="C261" s="113">
        <v>46142</v>
      </c>
      <c r="D261" s="114" t="s">
        <v>9</v>
      </c>
      <c r="E261" s="114" t="s">
        <v>6</v>
      </c>
      <c r="F261" s="114" t="s">
        <v>284</v>
      </c>
      <c r="G261" s="92">
        <v>151.38</v>
      </c>
      <c r="H261" s="93">
        <v>1946.88</v>
      </c>
      <c r="I261" s="115" t="str">
        <f t="shared" si="14"/>
        <v>OK</v>
      </c>
      <c r="J261" s="131" t="str">
        <f t="shared" si="15"/>
        <v/>
      </c>
    </row>
    <row r="262" spans="1:10" ht="24" customHeight="1">
      <c r="A262" s="125" t="s">
        <v>293</v>
      </c>
      <c r="B262" s="113">
        <v>45778</v>
      </c>
      <c r="C262" s="113">
        <v>46142</v>
      </c>
      <c r="D262" s="114" t="s">
        <v>9</v>
      </c>
      <c r="E262" s="114" t="s">
        <v>6</v>
      </c>
      <c r="F262" s="114" t="s">
        <v>284</v>
      </c>
      <c r="G262" s="92">
        <v>138.4</v>
      </c>
      <c r="H262" s="93">
        <v>1780</v>
      </c>
      <c r="I262" s="115" t="str">
        <f t="shared" si="14"/>
        <v>OK</v>
      </c>
      <c r="J262" s="131" t="str">
        <f t="shared" si="15"/>
        <v/>
      </c>
    </row>
    <row r="263" spans="1:10" ht="24" customHeight="1">
      <c r="A263" s="125" t="s">
        <v>293</v>
      </c>
      <c r="B263" s="113">
        <v>45778</v>
      </c>
      <c r="C263" s="113">
        <v>46142</v>
      </c>
      <c r="D263" s="114" t="s">
        <v>9</v>
      </c>
      <c r="E263" s="114" t="s">
        <v>6</v>
      </c>
      <c r="F263" s="114" t="s">
        <v>284</v>
      </c>
      <c r="G263" s="92">
        <v>129.75</v>
      </c>
      <c r="H263" s="93">
        <v>1668.75</v>
      </c>
      <c r="I263" s="115" t="str">
        <f t="shared" ref="I263:I294" si="16">IF($A263="","",IF(OR($B263="",$C263="",$D263="",$E263="",$F263=""),"Stammdaten fehlen",IF(AND($G263="",$H263=""),"Werte fehlen",IF($G263="","Monatsstunden fehlen",IF($H263="","Monatslohn fehlt","OK")))))</f>
        <v>OK</v>
      </c>
      <c r="J263" s="131" t="str">
        <f t="shared" ref="J263:J294" si="17">IF($G263="","",IF(COUNTIFS($A:$A,$A263,$D:$D,$D263,$G:$G,$G263)&gt;1,"Doppelte Monatsstunden",""))</f>
        <v/>
      </c>
    </row>
    <row r="264" spans="1:10" ht="24" customHeight="1">
      <c r="A264" s="125" t="s">
        <v>293</v>
      </c>
      <c r="B264" s="113">
        <v>45778</v>
      </c>
      <c r="C264" s="113">
        <v>46142</v>
      </c>
      <c r="D264" s="114" t="s">
        <v>9</v>
      </c>
      <c r="E264" s="114" t="s">
        <v>6</v>
      </c>
      <c r="F264" s="114" t="s">
        <v>284</v>
      </c>
      <c r="G264" s="92">
        <v>108.13</v>
      </c>
      <c r="H264" s="93">
        <v>1390.63</v>
      </c>
      <c r="I264" s="115" t="str">
        <f t="shared" si="16"/>
        <v>OK</v>
      </c>
      <c r="J264" s="131" t="str">
        <f t="shared" si="17"/>
        <v/>
      </c>
    </row>
    <row r="265" spans="1:10" ht="24" customHeight="1">
      <c r="A265" s="125" t="s">
        <v>293</v>
      </c>
      <c r="B265" s="113">
        <v>45778</v>
      </c>
      <c r="C265" s="113">
        <v>46142</v>
      </c>
      <c r="D265" s="114" t="s">
        <v>9</v>
      </c>
      <c r="E265" s="114" t="s">
        <v>6</v>
      </c>
      <c r="F265" s="114" t="s">
        <v>284</v>
      </c>
      <c r="G265" s="92">
        <v>103.8</v>
      </c>
      <c r="H265" s="93">
        <v>1335</v>
      </c>
      <c r="I265" s="115" t="str">
        <f t="shared" si="16"/>
        <v>OK</v>
      </c>
      <c r="J265" s="131" t="str">
        <f t="shared" si="17"/>
        <v/>
      </c>
    </row>
    <row r="266" spans="1:10" ht="24" customHeight="1">
      <c r="A266" s="125" t="s">
        <v>293</v>
      </c>
      <c r="B266" s="113">
        <v>45778</v>
      </c>
      <c r="C266" s="113">
        <v>46142</v>
      </c>
      <c r="D266" s="114" t="s">
        <v>9</v>
      </c>
      <c r="E266" s="114" t="s">
        <v>6</v>
      </c>
      <c r="F266" s="114" t="s">
        <v>284</v>
      </c>
      <c r="G266" s="92">
        <v>86.5</v>
      </c>
      <c r="H266" s="93">
        <v>1112.5</v>
      </c>
      <c r="I266" s="115" t="str">
        <f t="shared" si="16"/>
        <v>OK</v>
      </c>
      <c r="J266" s="131" t="str">
        <f t="shared" si="17"/>
        <v/>
      </c>
    </row>
    <row r="267" spans="1:10" ht="24" customHeight="1">
      <c r="A267" s="125" t="s">
        <v>293</v>
      </c>
      <c r="B267" s="113">
        <v>45778</v>
      </c>
      <c r="C267" s="113">
        <v>46142</v>
      </c>
      <c r="D267" s="114" t="s">
        <v>9</v>
      </c>
      <c r="E267" s="114" t="s">
        <v>6</v>
      </c>
      <c r="F267" s="114" t="s">
        <v>284</v>
      </c>
      <c r="G267" s="92">
        <v>69.2</v>
      </c>
      <c r="H267" s="93">
        <v>890</v>
      </c>
      <c r="I267" s="115" t="str">
        <f t="shared" si="16"/>
        <v>OK</v>
      </c>
      <c r="J267" s="131" t="str">
        <f t="shared" si="17"/>
        <v/>
      </c>
    </row>
    <row r="268" spans="1:10" ht="24" customHeight="1">
      <c r="A268" s="125" t="s">
        <v>293</v>
      </c>
      <c r="B268" s="113">
        <v>45778</v>
      </c>
      <c r="C268" s="113">
        <v>46142</v>
      </c>
      <c r="D268" s="114" t="s">
        <v>9</v>
      </c>
      <c r="E268" s="114" t="s">
        <v>6</v>
      </c>
      <c r="F268" s="114" t="s">
        <v>284</v>
      </c>
      <c r="G268" s="92">
        <v>51.9</v>
      </c>
      <c r="H268" s="93">
        <v>667.5</v>
      </c>
      <c r="I268" s="115" t="str">
        <f t="shared" si="16"/>
        <v>OK</v>
      </c>
      <c r="J268" s="131" t="str">
        <f t="shared" si="17"/>
        <v/>
      </c>
    </row>
    <row r="269" spans="1:10" ht="24" customHeight="1">
      <c r="A269" s="125" t="s">
        <v>293</v>
      </c>
      <c r="B269" s="113">
        <v>45778</v>
      </c>
      <c r="C269" s="113">
        <v>46142</v>
      </c>
      <c r="D269" s="114" t="s">
        <v>9</v>
      </c>
      <c r="E269" s="114" t="s">
        <v>6</v>
      </c>
      <c r="F269" s="114" t="s">
        <v>284</v>
      </c>
      <c r="G269" s="92">
        <v>47.58</v>
      </c>
      <c r="H269" s="93">
        <v>611.88</v>
      </c>
      <c r="I269" s="115" t="str">
        <f t="shared" si="16"/>
        <v>OK</v>
      </c>
      <c r="J269" s="131" t="str">
        <f t="shared" si="17"/>
        <v/>
      </c>
    </row>
    <row r="270" spans="1:10" ht="24" customHeight="1">
      <c r="A270" s="125" t="s">
        <v>293</v>
      </c>
      <c r="B270" s="113">
        <v>45778</v>
      </c>
      <c r="C270" s="113">
        <v>46142</v>
      </c>
      <c r="D270" s="114" t="s">
        <v>9</v>
      </c>
      <c r="E270" s="114" t="s">
        <v>6</v>
      </c>
      <c r="F270" s="114" t="s">
        <v>284</v>
      </c>
      <c r="G270" s="92">
        <v>43.25</v>
      </c>
      <c r="H270" s="93">
        <v>556.25</v>
      </c>
      <c r="I270" s="115" t="str">
        <f t="shared" si="16"/>
        <v>OK</v>
      </c>
      <c r="J270" s="131" t="str">
        <f t="shared" si="17"/>
        <v/>
      </c>
    </row>
    <row r="271" spans="1:10" ht="24" customHeight="1">
      <c r="A271" s="125" t="s">
        <v>293</v>
      </c>
      <c r="B271" s="113">
        <v>45778</v>
      </c>
      <c r="C271" s="113">
        <v>46142</v>
      </c>
      <c r="D271" s="114" t="s">
        <v>9</v>
      </c>
      <c r="E271" s="114" t="s">
        <v>6</v>
      </c>
      <c r="F271" s="114" t="s">
        <v>284</v>
      </c>
      <c r="G271" s="92">
        <v>34.6</v>
      </c>
      <c r="H271" s="93">
        <v>445</v>
      </c>
      <c r="I271" s="115" t="str">
        <f t="shared" si="16"/>
        <v>OK</v>
      </c>
      <c r="J271" s="131" t="str">
        <f t="shared" si="17"/>
        <v/>
      </c>
    </row>
    <row r="272" spans="1:10" ht="24" customHeight="1" thickBot="1">
      <c r="A272" s="125" t="s">
        <v>293</v>
      </c>
      <c r="B272" s="113">
        <v>45778</v>
      </c>
      <c r="C272" s="113">
        <v>46142</v>
      </c>
      <c r="D272" s="114" t="s">
        <v>9</v>
      </c>
      <c r="E272" s="114" t="s">
        <v>6</v>
      </c>
      <c r="F272" s="114" t="s">
        <v>284</v>
      </c>
      <c r="G272" s="92">
        <v>32.01</v>
      </c>
      <c r="H272" s="93">
        <v>411.63</v>
      </c>
      <c r="I272" s="115" t="str">
        <f t="shared" si="16"/>
        <v>OK</v>
      </c>
      <c r="J272" s="131" t="str">
        <f t="shared" si="17"/>
        <v/>
      </c>
    </row>
    <row r="273" spans="1:10" ht="24" customHeight="1">
      <c r="A273" s="126" t="s">
        <v>293</v>
      </c>
      <c r="B273" s="116">
        <v>45778</v>
      </c>
      <c r="C273" s="116">
        <v>46142</v>
      </c>
      <c r="D273" s="117" t="s">
        <v>292</v>
      </c>
      <c r="E273" s="117" t="s">
        <v>10</v>
      </c>
      <c r="F273" s="117" t="s">
        <v>281</v>
      </c>
      <c r="G273" s="94">
        <v>173</v>
      </c>
      <c r="H273" s="95">
        <v>2300</v>
      </c>
      <c r="I273" s="118" t="str">
        <f t="shared" si="16"/>
        <v>OK</v>
      </c>
      <c r="J273" s="132" t="str">
        <f t="shared" si="17"/>
        <v/>
      </c>
    </row>
    <row r="274" spans="1:10" ht="24" customHeight="1">
      <c r="A274" s="127" t="s">
        <v>293</v>
      </c>
      <c r="B274" s="119">
        <v>45778</v>
      </c>
      <c r="C274" s="119">
        <v>46142</v>
      </c>
      <c r="D274" s="120" t="s">
        <v>292</v>
      </c>
      <c r="E274" s="120" t="s">
        <v>10</v>
      </c>
      <c r="F274" s="120" t="s">
        <v>281</v>
      </c>
      <c r="G274" s="96">
        <v>151.38</v>
      </c>
      <c r="H274" s="97">
        <v>2012.5</v>
      </c>
      <c r="I274" s="121" t="str">
        <f t="shared" si="16"/>
        <v>OK</v>
      </c>
      <c r="J274" s="133" t="str">
        <f t="shared" si="17"/>
        <v/>
      </c>
    </row>
    <row r="275" spans="1:10" ht="24" customHeight="1">
      <c r="A275" s="127" t="s">
        <v>293</v>
      </c>
      <c r="B275" s="119">
        <v>45778</v>
      </c>
      <c r="C275" s="119">
        <v>46142</v>
      </c>
      <c r="D275" s="120" t="s">
        <v>292</v>
      </c>
      <c r="E275" s="120" t="s">
        <v>10</v>
      </c>
      <c r="F275" s="120" t="s">
        <v>281</v>
      </c>
      <c r="G275" s="96">
        <v>138.4</v>
      </c>
      <c r="H275" s="97">
        <v>1840</v>
      </c>
      <c r="I275" s="121" t="str">
        <f t="shared" si="16"/>
        <v>OK</v>
      </c>
      <c r="J275" s="133" t="str">
        <f t="shared" si="17"/>
        <v/>
      </c>
    </row>
    <row r="276" spans="1:10" ht="24" customHeight="1">
      <c r="A276" s="127" t="s">
        <v>293</v>
      </c>
      <c r="B276" s="119">
        <v>45778</v>
      </c>
      <c r="C276" s="119">
        <v>46142</v>
      </c>
      <c r="D276" s="120" t="s">
        <v>292</v>
      </c>
      <c r="E276" s="120" t="s">
        <v>10</v>
      </c>
      <c r="F276" s="120" t="s">
        <v>281</v>
      </c>
      <c r="G276" s="96">
        <v>129.75</v>
      </c>
      <c r="H276" s="97">
        <v>1725</v>
      </c>
      <c r="I276" s="121" t="str">
        <f t="shared" si="16"/>
        <v>OK</v>
      </c>
      <c r="J276" s="133" t="str">
        <f t="shared" si="17"/>
        <v/>
      </c>
    </row>
    <row r="277" spans="1:10" ht="24" customHeight="1">
      <c r="A277" s="127" t="s">
        <v>293</v>
      </c>
      <c r="B277" s="119">
        <v>45778</v>
      </c>
      <c r="C277" s="119">
        <v>46142</v>
      </c>
      <c r="D277" s="120" t="s">
        <v>292</v>
      </c>
      <c r="E277" s="120" t="s">
        <v>10</v>
      </c>
      <c r="F277" s="120" t="s">
        <v>281</v>
      </c>
      <c r="G277" s="96">
        <v>108.13</v>
      </c>
      <c r="H277" s="97">
        <v>1437.5</v>
      </c>
      <c r="I277" s="121" t="str">
        <f t="shared" si="16"/>
        <v>OK</v>
      </c>
      <c r="J277" s="133" t="str">
        <f t="shared" si="17"/>
        <v/>
      </c>
    </row>
    <row r="278" spans="1:10" ht="24" customHeight="1">
      <c r="A278" s="127" t="s">
        <v>293</v>
      </c>
      <c r="B278" s="119">
        <v>45778</v>
      </c>
      <c r="C278" s="119">
        <v>46142</v>
      </c>
      <c r="D278" s="120" t="s">
        <v>292</v>
      </c>
      <c r="E278" s="120" t="s">
        <v>10</v>
      </c>
      <c r="F278" s="120" t="s">
        <v>281</v>
      </c>
      <c r="G278" s="96">
        <v>103.8</v>
      </c>
      <c r="H278" s="97">
        <v>1380</v>
      </c>
      <c r="I278" s="121" t="str">
        <f t="shared" si="16"/>
        <v>OK</v>
      </c>
      <c r="J278" s="133" t="str">
        <f t="shared" si="17"/>
        <v/>
      </c>
    </row>
    <row r="279" spans="1:10" ht="24" customHeight="1">
      <c r="A279" s="127" t="s">
        <v>293</v>
      </c>
      <c r="B279" s="119">
        <v>45778</v>
      </c>
      <c r="C279" s="119">
        <v>46142</v>
      </c>
      <c r="D279" s="120" t="s">
        <v>292</v>
      </c>
      <c r="E279" s="120" t="s">
        <v>10</v>
      </c>
      <c r="F279" s="120" t="s">
        <v>281</v>
      </c>
      <c r="G279" s="96">
        <v>86.5</v>
      </c>
      <c r="H279" s="97">
        <v>1150</v>
      </c>
      <c r="I279" s="121" t="str">
        <f t="shared" si="16"/>
        <v>OK</v>
      </c>
      <c r="J279" s="133" t="str">
        <f t="shared" si="17"/>
        <v/>
      </c>
    </row>
    <row r="280" spans="1:10" ht="24" customHeight="1">
      <c r="A280" s="127" t="s">
        <v>293</v>
      </c>
      <c r="B280" s="119">
        <v>45778</v>
      </c>
      <c r="C280" s="119">
        <v>46142</v>
      </c>
      <c r="D280" s="120" t="s">
        <v>292</v>
      </c>
      <c r="E280" s="120" t="s">
        <v>10</v>
      </c>
      <c r="F280" s="120" t="s">
        <v>281</v>
      </c>
      <c r="G280" s="96">
        <v>69.2</v>
      </c>
      <c r="H280" s="97">
        <v>920</v>
      </c>
      <c r="I280" s="121" t="str">
        <f t="shared" si="16"/>
        <v>OK</v>
      </c>
      <c r="J280" s="133" t="str">
        <f t="shared" si="17"/>
        <v/>
      </c>
    </row>
    <row r="281" spans="1:10" ht="24" customHeight="1">
      <c r="A281" s="127" t="s">
        <v>293</v>
      </c>
      <c r="B281" s="119">
        <v>45778</v>
      </c>
      <c r="C281" s="119">
        <v>46142</v>
      </c>
      <c r="D281" s="120" t="s">
        <v>292</v>
      </c>
      <c r="E281" s="120" t="s">
        <v>10</v>
      </c>
      <c r="F281" s="120" t="s">
        <v>281</v>
      </c>
      <c r="G281" s="96">
        <v>51.9</v>
      </c>
      <c r="H281" s="97">
        <v>690</v>
      </c>
      <c r="I281" s="121" t="str">
        <f t="shared" si="16"/>
        <v>OK</v>
      </c>
      <c r="J281" s="133" t="str">
        <f t="shared" si="17"/>
        <v/>
      </c>
    </row>
    <row r="282" spans="1:10" ht="24" customHeight="1">
      <c r="A282" s="127" t="s">
        <v>293</v>
      </c>
      <c r="B282" s="119">
        <v>45778</v>
      </c>
      <c r="C282" s="119">
        <v>46142</v>
      </c>
      <c r="D282" s="120" t="s">
        <v>292</v>
      </c>
      <c r="E282" s="120" t="s">
        <v>10</v>
      </c>
      <c r="F282" s="120" t="s">
        <v>281</v>
      </c>
      <c r="G282" s="96">
        <v>47.58</v>
      </c>
      <c r="H282" s="97">
        <v>632.5</v>
      </c>
      <c r="I282" s="121" t="str">
        <f t="shared" si="16"/>
        <v>OK</v>
      </c>
      <c r="J282" s="133" t="str">
        <f t="shared" si="17"/>
        <v/>
      </c>
    </row>
    <row r="283" spans="1:10" ht="24" customHeight="1">
      <c r="A283" s="127" t="s">
        <v>293</v>
      </c>
      <c r="B283" s="119">
        <v>45778</v>
      </c>
      <c r="C283" s="119">
        <v>46142</v>
      </c>
      <c r="D283" s="120" t="s">
        <v>292</v>
      </c>
      <c r="E283" s="120" t="s">
        <v>10</v>
      </c>
      <c r="F283" s="120" t="s">
        <v>281</v>
      </c>
      <c r="G283" s="96">
        <v>43.25</v>
      </c>
      <c r="H283" s="97">
        <v>575</v>
      </c>
      <c r="I283" s="121" t="str">
        <f t="shared" si="16"/>
        <v>OK</v>
      </c>
      <c r="J283" s="133" t="str">
        <f t="shared" si="17"/>
        <v/>
      </c>
    </row>
    <row r="284" spans="1:10" ht="24" customHeight="1">
      <c r="A284" s="127" t="s">
        <v>293</v>
      </c>
      <c r="B284" s="119">
        <v>45778</v>
      </c>
      <c r="C284" s="119">
        <v>46142</v>
      </c>
      <c r="D284" s="120" t="s">
        <v>292</v>
      </c>
      <c r="E284" s="120" t="s">
        <v>10</v>
      </c>
      <c r="F284" s="120" t="s">
        <v>281</v>
      </c>
      <c r="G284" s="96">
        <v>34.6</v>
      </c>
      <c r="H284" s="97">
        <v>460</v>
      </c>
      <c r="I284" s="121" t="str">
        <f t="shared" si="16"/>
        <v>OK</v>
      </c>
      <c r="J284" s="133" t="str">
        <f t="shared" si="17"/>
        <v/>
      </c>
    </row>
    <row r="285" spans="1:10" ht="24" customHeight="1" thickBot="1">
      <c r="A285" s="127" t="s">
        <v>293</v>
      </c>
      <c r="B285" s="119">
        <v>45778</v>
      </c>
      <c r="C285" s="119">
        <v>46142</v>
      </c>
      <c r="D285" s="120" t="s">
        <v>292</v>
      </c>
      <c r="E285" s="120" t="s">
        <v>10</v>
      </c>
      <c r="F285" s="120" t="s">
        <v>281</v>
      </c>
      <c r="G285" s="96">
        <v>32.01</v>
      </c>
      <c r="H285" s="97">
        <v>425.5</v>
      </c>
      <c r="I285" s="121" t="str">
        <f t="shared" si="16"/>
        <v>OK</v>
      </c>
      <c r="J285" s="133" t="str">
        <f t="shared" si="17"/>
        <v/>
      </c>
    </row>
    <row r="286" spans="1:10" ht="24" customHeight="1">
      <c r="A286" s="126" t="s">
        <v>293</v>
      </c>
      <c r="B286" s="116">
        <v>45778</v>
      </c>
      <c r="C286" s="116">
        <v>46142</v>
      </c>
      <c r="D286" s="117" t="s">
        <v>11</v>
      </c>
      <c r="E286" s="117" t="s">
        <v>10</v>
      </c>
      <c r="F286" s="117" t="s">
        <v>282</v>
      </c>
      <c r="G286" s="94">
        <v>173</v>
      </c>
      <c r="H286" s="95">
        <v>2300</v>
      </c>
      <c r="I286" s="118" t="str">
        <f t="shared" si="16"/>
        <v>OK</v>
      </c>
      <c r="J286" s="132" t="str">
        <f t="shared" si="17"/>
        <v/>
      </c>
    </row>
    <row r="287" spans="1:10" ht="24" customHeight="1">
      <c r="A287" s="127" t="s">
        <v>293</v>
      </c>
      <c r="B287" s="119">
        <v>45778</v>
      </c>
      <c r="C287" s="119">
        <v>46142</v>
      </c>
      <c r="D287" s="120" t="s">
        <v>11</v>
      </c>
      <c r="E287" s="120" t="s">
        <v>10</v>
      </c>
      <c r="F287" s="120" t="s">
        <v>282</v>
      </c>
      <c r="G287" s="96">
        <v>151.38</v>
      </c>
      <c r="H287" s="97">
        <v>2012.5</v>
      </c>
      <c r="I287" s="121" t="str">
        <f t="shared" si="16"/>
        <v>OK</v>
      </c>
      <c r="J287" s="133" t="str">
        <f t="shared" si="17"/>
        <v/>
      </c>
    </row>
    <row r="288" spans="1:10" ht="24" customHeight="1">
      <c r="A288" s="127" t="s">
        <v>293</v>
      </c>
      <c r="B288" s="119">
        <v>45778</v>
      </c>
      <c r="C288" s="119">
        <v>46142</v>
      </c>
      <c r="D288" s="120" t="s">
        <v>11</v>
      </c>
      <c r="E288" s="120" t="s">
        <v>10</v>
      </c>
      <c r="F288" s="120" t="s">
        <v>282</v>
      </c>
      <c r="G288" s="96">
        <v>138.4</v>
      </c>
      <c r="H288" s="97">
        <v>1840</v>
      </c>
      <c r="I288" s="121" t="str">
        <f t="shared" si="16"/>
        <v>OK</v>
      </c>
      <c r="J288" s="133" t="str">
        <f t="shared" si="17"/>
        <v/>
      </c>
    </row>
    <row r="289" spans="1:10" ht="24" customHeight="1">
      <c r="A289" s="127" t="s">
        <v>293</v>
      </c>
      <c r="B289" s="119">
        <v>45778</v>
      </c>
      <c r="C289" s="119">
        <v>46142</v>
      </c>
      <c r="D289" s="120" t="s">
        <v>11</v>
      </c>
      <c r="E289" s="120" t="s">
        <v>10</v>
      </c>
      <c r="F289" s="120" t="s">
        <v>282</v>
      </c>
      <c r="G289" s="96">
        <v>129.75</v>
      </c>
      <c r="H289" s="97">
        <v>1725</v>
      </c>
      <c r="I289" s="121" t="str">
        <f t="shared" si="16"/>
        <v>OK</v>
      </c>
      <c r="J289" s="133" t="str">
        <f t="shared" si="17"/>
        <v/>
      </c>
    </row>
    <row r="290" spans="1:10" ht="24" customHeight="1">
      <c r="A290" s="127" t="s">
        <v>293</v>
      </c>
      <c r="B290" s="119">
        <v>45778</v>
      </c>
      <c r="C290" s="119">
        <v>46142</v>
      </c>
      <c r="D290" s="120" t="s">
        <v>11</v>
      </c>
      <c r="E290" s="120" t="s">
        <v>10</v>
      </c>
      <c r="F290" s="120" t="s">
        <v>282</v>
      </c>
      <c r="G290" s="96">
        <v>108.13</v>
      </c>
      <c r="H290" s="97">
        <v>1437.5</v>
      </c>
      <c r="I290" s="121" t="str">
        <f t="shared" si="16"/>
        <v>OK</v>
      </c>
      <c r="J290" s="133" t="str">
        <f t="shared" si="17"/>
        <v/>
      </c>
    </row>
    <row r="291" spans="1:10" ht="24" customHeight="1">
      <c r="A291" s="127" t="s">
        <v>293</v>
      </c>
      <c r="B291" s="119">
        <v>45778</v>
      </c>
      <c r="C291" s="119">
        <v>46142</v>
      </c>
      <c r="D291" s="120" t="s">
        <v>11</v>
      </c>
      <c r="E291" s="120" t="s">
        <v>10</v>
      </c>
      <c r="F291" s="120" t="s">
        <v>282</v>
      </c>
      <c r="G291" s="96">
        <v>103.8</v>
      </c>
      <c r="H291" s="97">
        <v>1380</v>
      </c>
      <c r="I291" s="121" t="str">
        <f t="shared" si="16"/>
        <v>OK</v>
      </c>
      <c r="J291" s="133" t="str">
        <f t="shared" si="17"/>
        <v/>
      </c>
    </row>
    <row r="292" spans="1:10" ht="24" customHeight="1">
      <c r="A292" s="127" t="s">
        <v>293</v>
      </c>
      <c r="B292" s="119">
        <v>45778</v>
      </c>
      <c r="C292" s="119">
        <v>46142</v>
      </c>
      <c r="D292" s="120" t="s">
        <v>11</v>
      </c>
      <c r="E292" s="120" t="s">
        <v>10</v>
      </c>
      <c r="F292" s="120" t="s">
        <v>282</v>
      </c>
      <c r="G292" s="96">
        <v>86.5</v>
      </c>
      <c r="H292" s="97">
        <v>1150</v>
      </c>
      <c r="I292" s="121" t="str">
        <f t="shared" si="16"/>
        <v>OK</v>
      </c>
      <c r="J292" s="133" t="str">
        <f t="shared" si="17"/>
        <v/>
      </c>
    </row>
    <row r="293" spans="1:10" ht="24" customHeight="1">
      <c r="A293" s="127" t="s">
        <v>293</v>
      </c>
      <c r="B293" s="119">
        <v>45778</v>
      </c>
      <c r="C293" s="119">
        <v>46142</v>
      </c>
      <c r="D293" s="120" t="s">
        <v>11</v>
      </c>
      <c r="E293" s="120" t="s">
        <v>10</v>
      </c>
      <c r="F293" s="120" t="s">
        <v>282</v>
      </c>
      <c r="G293" s="96">
        <v>69.2</v>
      </c>
      <c r="H293" s="97">
        <v>920</v>
      </c>
      <c r="I293" s="121" t="str">
        <f t="shared" si="16"/>
        <v>OK</v>
      </c>
      <c r="J293" s="133" t="str">
        <f t="shared" si="17"/>
        <v/>
      </c>
    </row>
    <row r="294" spans="1:10" ht="24" customHeight="1">
      <c r="A294" s="127" t="s">
        <v>293</v>
      </c>
      <c r="B294" s="119">
        <v>45778</v>
      </c>
      <c r="C294" s="119">
        <v>46142</v>
      </c>
      <c r="D294" s="120" t="s">
        <v>11</v>
      </c>
      <c r="E294" s="120" t="s">
        <v>10</v>
      </c>
      <c r="F294" s="120" t="s">
        <v>282</v>
      </c>
      <c r="G294" s="96">
        <v>51.9</v>
      </c>
      <c r="H294" s="97">
        <v>690</v>
      </c>
      <c r="I294" s="121" t="str">
        <f t="shared" si="16"/>
        <v>OK</v>
      </c>
      <c r="J294" s="133" t="str">
        <f t="shared" si="17"/>
        <v/>
      </c>
    </row>
    <row r="295" spans="1:10" ht="24" customHeight="1">
      <c r="A295" s="127" t="s">
        <v>293</v>
      </c>
      <c r="B295" s="119">
        <v>45778</v>
      </c>
      <c r="C295" s="119">
        <v>46142</v>
      </c>
      <c r="D295" s="120" t="s">
        <v>11</v>
      </c>
      <c r="E295" s="120" t="s">
        <v>10</v>
      </c>
      <c r="F295" s="120" t="s">
        <v>282</v>
      </c>
      <c r="G295" s="96">
        <v>47.58</v>
      </c>
      <c r="H295" s="97">
        <v>632.5</v>
      </c>
      <c r="I295" s="121" t="str">
        <f t="shared" ref="I295:I324" si="18">IF($A295="","",IF(OR($B295="",$C295="",$D295="",$E295="",$F295=""),"Stammdaten fehlen",IF(AND($G295="",$H295=""),"Werte fehlen",IF($G295="","Monatsstunden fehlen",IF($H295="","Monatslohn fehlt","OK")))))</f>
        <v>OK</v>
      </c>
      <c r="J295" s="133" t="str">
        <f t="shared" ref="J295:J324" si="19">IF($G295="","",IF(COUNTIFS($A:$A,$A295,$D:$D,$D295,$G:$G,$G295)&gt;1,"Doppelte Monatsstunden",""))</f>
        <v/>
      </c>
    </row>
    <row r="296" spans="1:10" ht="24" customHeight="1">
      <c r="A296" s="127" t="s">
        <v>293</v>
      </c>
      <c r="B296" s="119">
        <v>45778</v>
      </c>
      <c r="C296" s="119">
        <v>46142</v>
      </c>
      <c r="D296" s="120" t="s">
        <v>11</v>
      </c>
      <c r="E296" s="120" t="s">
        <v>10</v>
      </c>
      <c r="F296" s="120" t="s">
        <v>282</v>
      </c>
      <c r="G296" s="96">
        <v>43.25</v>
      </c>
      <c r="H296" s="97">
        <v>575</v>
      </c>
      <c r="I296" s="121" t="str">
        <f t="shared" si="18"/>
        <v>OK</v>
      </c>
      <c r="J296" s="133" t="str">
        <f t="shared" si="19"/>
        <v/>
      </c>
    </row>
    <row r="297" spans="1:10" ht="24" customHeight="1">
      <c r="A297" s="127" t="s">
        <v>293</v>
      </c>
      <c r="B297" s="119">
        <v>45778</v>
      </c>
      <c r="C297" s="119">
        <v>46142</v>
      </c>
      <c r="D297" s="120" t="s">
        <v>11</v>
      </c>
      <c r="E297" s="120" t="s">
        <v>10</v>
      </c>
      <c r="F297" s="120" t="s">
        <v>282</v>
      </c>
      <c r="G297" s="96">
        <v>34.6</v>
      </c>
      <c r="H297" s="97">
        <v>460</v>
      </c>
      <c r="I297" s="121" t="str">
        <f t="shared" si="18"/>
        <v>OK</v>
      </c>
      <c r="J297" s="133" t="str">
        <f t="shared" si="19"/>
        <v/>
      </c>
    </row>
    <row r="298" spans="1:10" ht="24" customHeight="1" thickBot="1">
      <c r="A298" s="127" t="s">
        <v>293</v>
      </c>
      <c r="B298" s="119">
        <v>45778</v>
      </c>
      <c r="C298" s="119">
        <v>46142</v>
      </c>
      <c r="D298" s="120" t="s">
        <v>11</v>
      </c>
      <c r="E298" s="120" t="s">
        <v>10</v>
      </c>
      <c r="F298" s="120" t="s">
        <v>282</v>
      </c>
      <c r="G298" s="96">
        <v>32.01</v>
      </c>
      <c r="H298" s="97">
        <v>425.5</v>
      </c>
      <c r="I298" s="121" t="str">
        <f t="shared" si="18"/>
        <v>OK</v>
      </c>
      <c r="J298" s="133" t="str">
        <f t="shared" si="19"/>
        <v/>
      </c>
    </row>
    <row r="299" spans="1:10" ht="24" customHeight="1">
      <c r="A299" s="126" t="s">
        <v>293</v>
      </c>
      <c r="B299" s="116">
        <v>45778</v>
      </c>
      <c r="C299" s="116">
        <v>46142</v>
      </c>
      <c r="D299" s="117" t="s">
        <v>12</v>
      </c>
      <c r="E299" s="117" t="s">
        <v>10</v>
      </c>
      <c r="F299" s="117" t="s">
        <v>283</v>
      </c>
      <c r="G299" s="94">
        <v>173</v>
      </c>
      <c r="H299" s="95">
        <v>2300</v>
      </c>
      <c r="I299" s="118" t="str">
        <f t="shared" si="18"/>
        <v>OK</v>
      </c>
      <c r="J299" s="132" t="str">
        <f t="shared" si="19"/>
        <v/>
      </c>
    </row>
    <row r="300" spans="1:10" ht="24" customHeight="1">
      <c r="A300" s="127" t="s">
        <v>293</v>
      </c>
      <c r="B300" s="119">
        <v>45778</v>
      </c>
      <c r="C300" s="119">
        <v>46142</v>
      </c>
      <c r="D300" s="120" t="s">
        <v>12</v>
      </c>
      <c r="E300" s="120" t="s">
        <v>10</v>
      </c>
      <c r="F300" s="120" t="s">
        <v>283</v>
      </c>
      <c r="G300" s="96">
        <v>151.38</v>
      </c>
      <c r="H300" s="97">
        <v>2012.5</v>
      </c>
      <c r="I300" s="121" t="str">
        <f t="shared" si="18"/>
        <v>OK</v>
      </c>
      <c r="J300" s="133" t="str">
        <f t="shared" si="19"/>
        <v/>
      </c>
    </row>
    <row r="301" spans="1:10" ht="24" customHeight="1">
      <c r="A301" s="127" t="s">
        <v>293</v>
      </c>
      <c r="B301" s="119">
        <v>45778</v>
      </c>
      <c r="C301" s="119">
        <v>46142</v>
      </c>
      <c r="D301" s="120" t="s">
        <v>12</v>
      </c>
      <c r="E301" s="120" t="s">
        <v>10</v>
      </c>
      <c r="F301" s="120" t="s">
        <v>283</v>
      </c>
      <c r="G301" s="96">
        <v>138.4</v>
      </c>
      <c r="H301" s="97">
        <v>1840</v>
      </c>
      <c r="I301" s="121" t="str">
        <f t="shared" si="18"/>
        <v>OK</v>
      </c>
      <c r="J301" s="133" t="str">
        <f t="shared" si="19"/>
        <v/>
      </c>
    </row>
    <row r="302" spans="1:10" ht="24" customHeight="1">
      <c r="A302" s="127" t="s">
        <v>293</v>
      </c>
      <c r="B302" s="119">
        <v>45778</v>
      </c>
      <c r="C302" s="119">
        <v>46142</v>
      </c>
      <c r="D302" s="120" t="s">
        <v>12</v>
      </c>
      <c r="E302" s="120" t="s">
        <v>10</v>
      </c>
      <c r="F302" s="120" t="s">
        <v>283</v>
      </c>
      <c r="G302" s="96">
        <v>129.75</v>
      </c>
      <c r="H302" s="97">
        <v>1725</v>
      </c>
      <c r="I302" s="121" t="str">
        <f t="shared" si="18"/>
        <v>OK</v>
      </c>
      <c r="J302" s="133" t="str">
        <f t="shared" si="19"/>
        <v/>
      </c>
    </row>
    <row r="303" spans="1:10" ht="24" customHeight="1">
      <c r="A303" s="127" t="s">
        <v>293</v>
      </c>
      <c r="B303" s="119">
        <v>45778</v>
      </c>
      <c r="C303" s="119">
        <v>46142</v>
      </c>
      <c r="D303" s="120" t="s">
        <v>12</v>
      </c>
      <c r="E303" s="120" t="s">
        <v>10</v>
      </c>
      <c r="F303" s="120" t="s">
        <v>283</v>
      </c>
      <c r="G303" s="96">
        <v>108.13</v>
      </c>
      <c r="H303" s="97">
        <v>1437.5</v>
      </c>
      <c r="I303" s="121" t="str">
        <f t="shared" si="18"/>
        <v>OK</v>
      </c>
      <c r="J303" s="133" t="str">
        <f t="shared" si="19"/>
        <v/>
      </c>
    </row>
    <row r="304" spans="1:10" ht="24" customHeight="1">
      <c r="A304" s="127" t="s">
        <v>293</v>
      </c>
      <c r="B304" s="119">
        <v>45778</v>
      </c>
      <c r="C304" s="119">
        <v>46142</v>
      </c>
      <c r="D304" s="120" t="s">
        <v>12</v>
      </c>
      <c r="E304" s="120" t="s">
        <v>10</v>
      </c>
      <c r="F304" s="120" t="s">
        <v>283</v>
      </c>
      <c r="G304" s="96">
        <v>103.8</v>
      </c>
      <c r="H304" s="97">
        <v>1380</v>
      </c>
      <c r="I304" s="121" t="str">
        <f t="shared" si="18"/>
        <v>OK</v>
      </c>
      <c r="J304" s="133" t="str">
        <f t="shared" si="19"/>
        <v/>
      </c>
    </row>
    <row r="305" spans="1:10" ht="24" customHeight="1">
      <c r="A305" s="127" t="s">
        <v>293</v>
      </c>
      <c r="B305" s="119">
        <v>45778</v>
      </c>
      <c r="C305" s="119">
        <v>46142</v>
      </c>
      <c r="D305" s="120" t="s">
        <v>12</v>
      </c>
      <c r="E305" s="120" t="s">
        <v>10</v>
      </c>
      <c r="F305" s="120" t="s">
        <v>283</v>
      </c>
      <c r="G305" s="96">
        <v>86.5</v>
      </c>
      <c r="H305" s="97">
        <v>1150</v>
      </c>
      <c r="I305" s="121" t="str">
        <f t="shared" si="18"/>
        <v>OK</v>
      </c>
      <c r="J305" s="133" t="str">
        <f t="shared" si="19"/>
        <v/>
      </c>
    </row>
    <row r="306" spans="1:10" ht="24" customHeight="1">
      <c r="A306" s="127" t="s">
        <v>293</v>
      </c>
      <c r="B306" s="119">
        <v>45778</v>
      </c>
      <c r="C306" s="119">
        <v>46142</v>
      </c>
      <c r="D306" s="120" t="s">
        <v>12</v>
      </c>
      <c r="E306" s="120" t="s">
        <v>10</v>
      </c>
      <c r="F306" s="120" t="s">
        <v>283</v>
      </c>
      <c r="G306" s="96">
        <v>69.2</v>
      </c>
      <c r="H306" s="97">
        <v>920</v>
      </c>
      <c r="I306" s="121" t="str">
        <f t="shared" si="18"/>
        <v>OK</v>
      </c>
      <c r="J306" s="133" t="str">
        <f t="shared" si="19"/>
        <v/>
      </c>
    </row>
    <row r="307" spans="1:10" ht="24" customHeight="1">
      <c r="A307" s="127" t="s">
        <v>293</v>
      </c>
      <c r="B307" s="119">
        <v>45778</v>
      </c>
      <c r="C307" s="119">
        <v>46142</v>
      </c>
      <c r="D307" s="120" t="s">
        <v>12</v>
      </c>
      <c r="E307" s="120" t="s">
        <v>10</v>
      </c>
      <c r="F307" s="120" t="s">
        <v>283</v>
      </c>
      <c r="G307" s="96">
        <v>51.9</v>
      </c>
      <c r="H307" s="97">
        <v>690</v>
      </c>
      <c r="I307" s="121" t="str">
        <f t="shared" si="18"/>
        <v>OK</v>
      </c>
      <c r="J307" s="133" t="str">
        <f t="shared" si="19"/>
        <v/>
      </c>
    </row>
    <row r="308" spans="1:10" ht="24" customHeight="1">
      <c r="A308" s="127" t="s">
        <v>293</v>
      </c>
      <c r="B308" s="119">
        <v>45778</v>
      </c>
      <c r="C308" s="119">
        <v>46142</v>
      </c>
      <c r="D308" s="120" t="s">
        <v>12</v>
      </c>
      <c r="E308" s="120" t="s">
        <v>10</v>
      </c>
      <c r="F308" s="120" t="s">
        <v>283</v>
      </c>
      <c r="G308" s="96">
        <v>47.58</v>
      </c>
      <c r="H308" s="97">
        <v>632.5</v>
      </c>
      <c r="I308" s="121" t="str">
        <f t="shared" si="18"/>
        <v>OK</v>
      </c>
      <c r="J308" s="133" t="str">
        <f t="shared" si="19"/>
        <v/>
      </c>
    </row>
    <row r="309" spans="1:10" ht="24" customHeight="1">
      <c r="A309" s="127" t="s">
        <v>293</v>
      </c>
      <c r="B309" s="119">
        <v>45778</v>
      </c>
      <c r="C309" s="119">
        <v>46142</v>
      </c>
      <c r="D309" s="120" t="s">
        <v>12</v>
      </c>
      <c r="E309" s="120" t="s">
        <v>10</v>
      </c>
      <c r="F309" s="120" t="s">
        <v>283</v>
      </c>
      <c r="G309" s="96">
        <v>43.25</v>
      </c>
      <c r="H309" s="97">
        <v>575</v>
      </c>
      <c r="I309" s="121" t="str">
        <f t="shared" si="18"/>
        <v>OK</v>
      </c>
      <c r="J309" s="133" t="str">
        <f t="shared" si="19"/>
        <v/>
      </c>
    </row>
    <row r="310" spans="1:10" ht="24" customHeight="1">
      <c r="A310" s="127" t="s">
        <v>293</v>
      </c>
      <c r="B310" s="119">
        <v>45778</v>
      </c>
      <c r="C310" s="119">
        <v>46142</v>
      </c>
      <c r="D310" s="120" t="s">
        <v>12</v>
      </c>
      <c r="E310" s="120" t="s">
        <v>10</v>
      </c>
      <c r="F310" s="120" t="s">
        <v>283</v>
      </c>
      <c r="G310" s="96">
        <v>34.6</v>
      </c>
      <c r="H310" s="97">
        <v>460</v>
      </c>
      <c r="I310" s="121" t="str">
        <f t="shared" si="18"/>
        <v>OK</v>
      </c>
      <c r="J310" s="133" t="str">
        <f t="shared" si="19"/>
        <v/>
      </c>
    </row>
    <row r="311" spans="1:10" ht="24" customHeight="1" thickBot="1">
      <c r="A311" s="127" t="s">
        <v>293</v>
      </c>
      <c r="B311" s="119">
        <v>45778</v>
      </c>
      <c r="C311" s="119">
        <v>46142</v>
      </c>
      <c r="D311" s="120" t="s">
        <v>12</v>
      </c>
      <c r="E311" s="120" t="s">
        <v>10</v>
      </c>
      <c r="F311" s="120" t="s">
        <v>283</v>
      </c>
      <c r="G311" s="96">
        <v>32.01</v>
      </c>
      <c r="H311" s="97">
        <v>425.5</v>
      </c>
      <c r="I311" s="121" t="str">
        <f t="shared" si="18"/>
        <v>OK</v>
      </c>
      <c r="J311" s="133" t="str">
        <f t="shared" si="19"/>
        <v/>
      </c>
    </row>
    <row r="312" spans="1:10" ht="24" customHeight="1">
      <c r="A312" s="126" t="s">
        <v>293</v>
      </c>
      <c r="B312" s="116">
        <v>45778</v>
      </c>
      <c r="C312" s="116">
        <v>46142</v>
      </c>
      <c r="D312" s="117" t="s">
        <v>13</v>
      </c>
      <c r="E312" s="117" t="s">
        <v>10</v>
      </c>
      <c r="F312" s="117" t="s">
        <v>284</v>
      </c>
      <c r="G312" s="94">
        <v>173</v>
      </c>
      <c r="H312" s="95">
        <v>2328</v>
      </c>
      <c r="I312" s="118" t="str">
        <f t="shared" si="18"/>
        <v>OK</v>
      </c>
      <c r="J312" s="132" t="str">
        <f t="shared" si="19"/>
        <v/>
      </c>
    </row>
    <row r="313" spans="1:10" ht="24" customHeight="1">
      <c r="A313" s="127" t="s">
        <v>293</v>
      </c>
      <c r="B313" s="119">
        <v>45778</v>
      </c>
      <c r="C313" s="119">
        <v>46142</v>
      </c>
      <c r="D313" s="120" t="s">
        <v>13</v>
      </c>
      <c r="E313" s="120" t="s">
        <v>10</v>
      </c>
      <c r="F313" s="120" t="s">
        <v>284</v>
      </c>
      <c r="G313" s="96">
        <v>151.38</v>
      </c>
      <c r="H313" s="97">
        <v>2037</v>
      </c>
      <c r="I313" s="121" t="str">
        <f t="shared" si="18"/>
        <v>OK</v>
      </c>
      <c r="J313" s="133" t="str">
        <f t="shared" si="19"/>
        <v/>
      </c>
    </row>
    <row r="314" spans="1:10" ht="24" customHeight="1">
      <c r="A314" s="127" t="s">
        <v>293</v>
      </c>
      <c r="B314" s="119">
        <v>45778</v>
      </c>
      <c r="C314" s="119">
        <v>46142</v>
      </c>
      <c r="D314" s="120" t="s">
        <v>13</v>
      </c>
      <c r="E314" s="120" t="s">
        <v>10</v>
      </c>
      <c r="F314" s="120" t="s">
        <v>284</v>
      </c>
      <c r="G314" s="96">
        <v>138.4</v>
      </c>
      <c r="H314" s="97">
        <v>1862.4</v>
      </c>
      <c r="I314" s="121" t="str">
        <f t="shared" si="18"/>
        <v>OK</v>
      </c>
      <c r="J314" s="133" t="str">
        <f t="shared" si="19"/>
        <v/>
      </c>
    </row>
    <row r="315" spans="1:10" ht="24" customHeight="1">
      <c r="A315" s="127" t="s">
        <v>293</v>
      </c>
      <c r="B315" s="119">
        <v>45778</v>
      </c>
      <c r="C315" s="119">
        <v>46142</v>
      </c>
      <c r="D315" s="120" t="s">
        <v>13</v>
      </c>
      <c r="E315" s="120" t="s">
        <v>10</v>
      </c>
      <c r="F315" s="120" t="s">
        <v>284</v>
      </c>
      <c r="G315" s="96">
        <v>129.75</v>
      </c>
      <c r="H315" s="97">
        <v>1476</v>
      </c>
      <c r="I315" s="121" t="str">
        <f t="shared" si="18"/>
        <v>OK</v>
      </c>
      <c r="J315" s="133" t="str">
        <f t="shared" si="19"/>
        <v/>
      </c>
    </row>
    <row r="316" spans="1:10" ht="24" customHeight="1">
      <c r="A316" s="127" t="s">
        <v>293</v>
      </c>
      <c r="B316" s="119">
        <v>45778</v>
      </c>
      <c r="C316" s="119">
        <v>46142</v>
      </c>
      <c r="D316" s="120" t="s">
        <v>13</v>
      </c>
      <c r="E316" s="120" t="s">
        <v>10</v>
      </c>
      <c r="F316" s="120" t="s">
        <v>284</v>
      </c>
      <c r="G316" s="96">
        <v>108.13</v>
      </c>
      <c r="H316" s="97">
        <v>1455</v>
      </c>
      <c r="I316" s="121" t="str">
        <f t="shared" si="18"/>
        <v>OK</v>
      </c>
      <c r="J316" s="133" t="str">
        <f t="shared" si="19"/>
        <v/>
      </c>
    </row>
    <row r="317" spans="1:10" ht="24" customHeight="1">
      <c r="A317" s="127" t="s">
        <v>293</v>
      </c>
      <c r="B317" s="119">
        <v>45778</v>
      </c>
      <c r="C317" s="119">
        <v>46142</v>
      </c>
      <c r="D317" s="120" t="s">
        <v>13</v>
      </c>
      <c r="E317" s="120" t="s">
        <v>10</v>
      </c>
      <c r="F317" s="120" t="s">
        <v>284</v>
      </c>
      <c r="G317" s="96">
        <v>103.8</v>
      </c>
      <c r="H317" s="97">
        <v>1396.8</v>
      </c>
      <c r="I317" s="121" t="str">
        <f t="shared" si="18"/>
        <v>OK</v>
      </c>
      <c r="J317" s="133" t="str">
        <f t="shared" si="19"/>
        <v/>
      </c>
    </row>
    <row r="318" spans="1:10" ht="24" customHeight="1">
      <c r="A318" s="127" t="s">
        <v>293</v>
      </c>
      <c r="B318" s="119">
        <v>45778</v>
      </c>
      <c r="C318" s="119">
        <v>46142</v>
      </c>
      <c r="D318" s="120" t="s">
        <v>13</v>
      </c>
      <c r="E318" s="120" t="s">
        <v>10</v>
      </c>
      <c r="F318" s="120" t="s">
        <v>284</v>
      </c>
      <c r="G318" s="96">
        <v>86.5</v>
      </c>
      <c r="H318" s="97">
        <v>1164</v>
      </c>
      <c r="I318" s="121" t="str">
        <f t="shared" si="18"/>
        <v>OK</v>
      </c>
      <c r="J318" s="133" t="str">
        <f t="shared" si="19"/>
        <v/>
      </c>
    </row>
    <row r="319" spans="1:10" ht="24" customHeight="1">
      <c r="A319" s="127" t="s">
        <v>293</v>
      </c>
      <c r="B319" s="119">
        <v>45778</v>
      </c>
      <c r="C319" s="119">
        <v>46142</v>
      </c>
      <c r="D319" s="120" t="s">
        <v>13</v>
      </c>
      <c r="E319" s="120" t="s">
        <v>10</v>
      </c>
      <c r="F319" s="120" t="s">
        <v>284</v>
      </c>
      <c r="G319" s="96">
        <v>69.2</v>
      </c>
      <c r="H319" s="97">
        <v>931.2</v>
      </c>
      <c r="I319" s="121" t="str">
        <f t="shared" si="18"/>
        <v>OK</v>
      </c>
      <c r="J319" s="133" t="str">
        <f t="shared" si="19"/>
        <v/>
      </c>
    </row>
    <row r="320" spans="1:10" ht="24" customHeight="1">
      <c r="A320" s="127" t="s">
        <v>293</v>
      </c>
      <c r="B320" s="119">
        <v>45778</v>
      </c>
      <c r="C320" s="119">
        <v>46142</v>
      </c>
      <c r="D320" s="120" t="s">
        <v>13</v>
      </c>
      <c r="E320" s="120" t="s">
        <v>10</v>
      </c>
      <c r="F320" s="120" t="s">
        <v>284</v>
      </c>
      <c r="G320" s="96">
        <v>51.9</v>
      </c>
      <c r="H320" s="97">
        <v>698.4</v>
      </c>
      <c r="I320" s="121" t="str">
        <f t="shared" si="18"/>
        <v>OK</v>
      </c>
      <c r="J320" s="133" t="str">
        <f t="shared" si="19"/>
        <v/>
      </c>
    </row>
    <row r="321" spans="1:10" ht="24" customHeight="1">
      <c r="A321" s="127" t="s">
        <v>293</v>
      </c>
      <c r="B321" s="119">
        <v>45778</v>
      </c>
      <c r="C321" s="119">
        <v>46142</v>
      </c>
      <c r="D321" s="120" t="s">
        <v>13</v>
      </c>
      <c r="E321" s="120" t="s">
        <v>10</v>
      </c>
      <c r="F321" s="120" t="s">
        <v>284</v>
      </c>
      <c r="G321" s="96">
        <v>47.58</v>
      </c>
      <c r="H321" s="97">
        <v>640</v>
      </c>
      <c r="I321" s="121" t="str">
        <f t="shared" si="18"/>
        <v>OK</v>
      </c>
      <c r="J321" s="133" t="str">
        <f t="shared" si="19"/>
        <v/>
      </c>
    </row>
    <row r="322" spans="1:10" ht="24" customHeight="1">
      <c r="A322" s="127" t="s">
        <v>293</v>
      </c>
      <c r="B322" s="119">
        <v>45778</v>
      </c>
      <c r="C322" s="119">
        <v>46142</v>
      </c>
      <c r="D322" s="120" t="s">
        <v>13</v>
      </c>
      <c r="E322" s="120" t="s">
        <v>10</v>
      </c>
      <c r="F322" s="120" t="s">
        <v>284</v>
      </c>
      <c r="G322" s="96">
        <v>43.25</v>
      </c>
      <c r="H322" s="97">
        <v>582</v>
      </c>
      <c r="I322" s="121" t="str">
        <f t="shared" si="18"/>
        <v>OK</v>
      </c>
      <c r="J322" s="133" t="str">
        <f t="shared" si="19"/>
        <v/>
      </c>
    </row>
    <row r="323" spans="1:10" ht="24" customHeight="1">
      <c r="A323" s="127" t="s">
        <v>293</v>
      </c>
      <c r="B323" s="119">
        <v>45778</v>
      </c>
      <c r="C323" s="119">
        <v>46142</v>
      </c>
      <c r="D323" s="120" t="s">
        <v>13</v>
      </c>
      <c r="E323" s="120" t="s">
        <v>10</v>
      </c>
      <c r="F323" s="120" t="s">
        <v>284</v>
      </c>
      <c r="G323" s="96">
        <v>34.6</v>
      </c>
      <c r="H323" s="97">
        <v>465.6</v>
      </c>
      <c r="I323" s="121" t="str">
        <f t="shared" si="18"/>
        <v>OK</v>
      </c>
      <c r="J323" s="133" t="str">
        <f t="shared" si="19"/>
        <v/>
      </c>
    </row>
    <row r="324" spans="1:10" ht="24" customHeight="1" thickBot="1">
      <c r="A324" s="134" t="s">
        <v>293</v>
      </c>
      <c r="B324" s="135">
        <v>45778</v>
      </c>
      <c r="C324" s="135">
        <v>46142</v>
      </c>
      <c r="D324" s="136" t="s">
        <v>13</v>
      </c>
      <c r="E324" s="136" t="s">
        <v>10</v>
      </c>
      <c r="F324" s="136" t="s">
        <v>284</v>
      </c>
      <c r="G324" s="98">
        <v>32.01</v>
      </c>
      <c r="H324" s="99">
        <v>430.68</v>
      </c>
      <c r="I324" s="137" t="str">
        <f t="shared" si="18"/>
        <v>OK</v>
      </c>
      <c r="J324" s="138" t="str">
        <f t="shared" si="19"/>
        <v/>
      </c>
    </row>
  </sheetData>
  <sheetProtection algorithmName="SHA-512" hashValue="0ATLs07pCIK7FUf+3GdLgIOWMUnY1pKmSora0KCB7d2UlppBVaPeGHE4jQ8rvkjRWPFWURddOUJpQ7FVuWriJQ==" saltValue="Y/50CBnE8t+WYi2S2ZT53Q==" spinCount="100000" sheet="1" objects="1" scenarios="1" sort="0" autoFilter="0"/>
  <mergeCells count="4">
    <mergeCell ref="A1:J1"/>
    <mergeCell ref="L2:N2"/>
    <mergeCell ref="A166:J166"/>
    <mergeCell ref="A4:J4"/>
  </mergeCells>
  <phoneticPr fontId="9" type="noConversion"/>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498EB-A7B0-4D9D-AADA-748E52BFD0D1}">
  <sheetPr codeName="Tabelle1"/>
  <dimension ref="B1:Z100"/>
  <sheetViews>
    <sheetView showGridLines="0" zoomScaleNormal="100" workbookViewId="0">
      <selection activeCell="V13" sqref="V13"/>
    </sheetView>
  </sheetViews>
  <sheetFormatPr baseColWidth="10" defaultColWidth="11.453125" defaultRowHeight="14.5"/>
  <cols>
    <col min="1" max="1" width="4" customWidth="1"/>
    <col min="2" max="2" width="18" customWidth="1"/>
    <col min="3" max="3" width="14.6328125" customWidth="1"/>
    <col min="4" max="5" width="17.6328125" customWidth="1"/>
    <col min="6" max="6" width="17" customWidth="1"/>
    <col min="7" max="7" width="3.453125" customWidth="1"/>
    <col min="9" max="9" width="10.6328125" customWidth="1"/>
    <col min="10" max="10" width="3.81640625" customWidth="1"/>
    <col min="13" max="13" width="3.453125" customWidth="1"/>
  </cols>
  <sheetData>
    <row r="1" spans="2:21" ht="28" customHeight="1">
      <c r="B1" s="225" t="s">
        <v>350</v>
      </c>
      <c r="C1" s="225"/>
      <c r="D1" s="225"/>
      <c r="E1" s="225"/>
      <c r="F1" s="225"/>
      <c r="G1" s="225"/>
      <c r="H1" s="225"/>
      <c r="I1" s="225"/>
      <c r="J1" s="225"/>
      <c r="K1" s="225"/>
      <c r="L1" s="225"/>
      <c r="M1" s="225"/>
      <c r="N1" s="225"/>
      <c r="O1" s="225"/>
      <c r="P1" s="225"/>
      <c r="Q1" s="225"/>
      <c r="R1" s="225"/>
      <c r="S1" s="225"/>
      <c r="T1" s="225"/>
      <c r="U1" s="225"/>
    </row>
    <row r="2" spans="2:21" ht="17.25" customHeight="1">
      <c r="B2" s="183"/>
      <c r="C2" s="183"/>
      <c r="D2" s="183"/>
      <c r="E2" s="183"/>
      <c r="F2" s="183"/>
      <c r="G2" s="183"/>
      <c r="H2" s="183"/>
      <c r="I2" s="183"/>
      <c r="J2" s="183"/>
      <c r="K2" s="183"/>
      <c r="L2" s="183"/>
      <c r="M2" s="183"/>
      <c r="N2" s="183"/>
      <c r="O2" s="183"/>
      <c r="P2" s="184"/>
      <c r="Q2" s="184"/>
      <c r="R2" s="184"/>
      <c r="S2" s="230" t="s">
        <v>394</v>
      </c>
      <c r="T2" s="230"/>
      <c r="U2" s="230"/>
    </row>
    <row r="3" spans="2:21" ht="20" customHeight="1">
      <c r="B3" s="231" t="s">
        <v>93</v>
      </c>
      <c r="C3" s="232"/>
      <c r="D3" s="232"/>
      <c r="E3" s="232"/>
      <c r="F3" s="233"/>
      <c r="G3" s="184"/>
      <c r="H3" s="226" t="s">
        <v>14</v>
      </c>
      <c r="I3" s="226"/>
      <c r="J3" s="184"/>
      <c r="K3" s="226" t="s">
        <v>15</v>
      </c>
      <c r="L3" s="226"/>
      <c r="M3" s="184"/>
      <c r="N3" s="226" t="s">
        <v>16</v>
      </c>
      <c r="O3" s="226"/>
      <c r="P3" s="184"/>
      <c r="Q3" s="184"/>
      <c r="R3" s="184"/>
      <c r="S3" s="184"/>
      <c r="T3" s="184"/>
      <c r="U3" s="184"/>
    </row>
    <row r="4" spans="2:21" ht="20" customHeight="1" thickBot="1">
      <c r="B4" s="234"/>
      <c r="C4" s="225"/>
      <c r="D4" s="225"/>
      <c r="E4" s="225"/>
      <c r="F4" s="235"/>
      <c r="G4" s="184"/>
      <c r="H4" s="227"/>
      <c r="I4" s="227"/>
      <c r="J4" s="184"/>
      <c r="K4" s="227"/>
      <c r="L4" s="227"/>
      <c r="M4" s="184"/>
      <c r="N4" s="227"/>
      <c r="O4" s="227"/>
      <c r="P4" s="184"/>
      <c r="Q4" s="184"/>
      <c r="R4" s="184"/>
      <c r="S4" s="184"/>
      <c r="T4" s="184"/>
      <c r="U4" s="184"/>
    </row>
    <row r="5" spans="2:21" ht="18" customHeight="1">
      <c r="B5" s="185"/>
      <c r="C5" s="186" t="s">
        <v>17</v>
      </c>
      <c r="D5" s="187" t="s">
        <v>18</v>
      </c>
      <c r="E5" s="187" t="s">
        <v>19</v>
      </c>
      <c r="F5" s="188" t="s">
        <v>20</v>
      </c>
      <c r="G5" s="184"/>
      <c r="H5" s="228" t="s">
        <v>21</v>
      </c>
      <c r="I5" s="229"/>
      <c r="J5" s="184"/>
      <c r="K5" s="228" t="s">
        <v>21</v>
      </c>
      <c r="L5" s="229"/>
      <c r="M5" s="184"/>
      <c r="N5" s="228" t="s">
        <v>22</v>
      </c>
      <c r="O5" s="229"/>
      <c r="P5" s="184"/>
      <c r="Q5" s="184"/>
      <c r="R5" s="184"/>
      <c r="S5" s="184"/>
      <c r="T5" s="184"/>
      <c r="U5" s="184"/>
    </row>
    <row r="6" spans="2:21" ht="22" customHeight="1">
      <c r="B6" s="203" t="s">
        <v>23</v>
      </c>
      <c r="C6" s="12">
        <v>450000</v>
      </c>
      <c r="D6" s="13">
        <v>100000</v>
      </c>
      <c r="E6" s="189">
        <f>Januar!$Q$37</f>
        <v>0.22222222222222221</v>
      </c>
      <c r="F6" s="14">
        <v>30000</v>
      </c>
      <c r="G6" s="184"/>
      <c r="H6" s="204" t="s">
        <v>23</v>
      </c>
      <c r="I6" s="15">
        <v>600</v>
      </c>
      <c r="J6" s="184"/>
      <c r="K6" s="204" t="s">
        <v>23</v>
      </c>
      <c r="L6" s="15">
        <v>9300</v>
      </c>
      <c r="M6" s="184"/>
      <c r="N6" s="204" t="s">
        <v>23</v>
      </c>
      <c r="O6" s="15">
        <v>1250</v>
      </c>
      <c r="P6" s="184"/>
      <c r="Q6" s="184"/>
      <c r="R6" s="184"/>
      <c r="S6" s="184"/>
      <c r="T6" s="184"/>
      <c r="U6" s="184"/>
    </row>
    <row r="7" spans="2:21" ht="22" customHeight="1">
      <c r="B7" s="203" t="s">
        <v>24</v>
      </c>
      <c r="C7" s="12">
        <v>400000</v>
      </c>
      <c r="D7" s="13">
        <v>100000</v>
      </c>
      <c r="E7" s="189">
        <f>Februar!$Q$37</f>
        <v>0.25</v>
      </c>
      <c r="F7" s="14">
        <v>30000</v>
      </c>
      <c r="G7" s="184"/>
      <c r="H7" s="204" t="s">
        <v>25</v>
      </c>
      <c r="I7" s="15">
        <v>600</v>
      </c>
      <c r="J7" s="184"/>
      <c r="K7" s="204" t="s">
        <v>25</v>
      </c>
      <c r="L7" s="15">
        <v>9300</v>
      </c>
      <c r="M7" s="184"/>
      <c r="N7" s="204" t="s">
        <v>25</v>
      </c>
      <c r="O7" s="15">
        <v>1250</v>
      </c>
      <c r="P7" s="184"/>
      <c r="Q7" s="184"/>
      <c r="R7" s="184"/>
      <c r="S7" s="184"/>
      <c r="T7" s="184"/>
      <c r="U7" s="184"/>
    </row>
    <row r="8" spans="2:21" ht="22" customHeight="1">
      <c r="B8" s="203" t="s">
        <v>26</v>
      </c>
      <c r="C8" s="12">
        <v>400000</v>
      </c>
      <c r="D8" s="13">
        <v>100000</v>
      </c>
      <c r="E8" s="189">
        <f>Marz!$Q$37</f>
        <v>0.25</v>
      </c>
      <c r="F8" s="14">
        <v>30000</v>
      </c>
      <c r="G8" s="184"/>
      <c r="H8" s="204" t="s">
        <v>26</v>
      </c>
      <c r="I8" s="15">
        <v>600</v>
      </c>
      <c r="J8" s="184"/>
      <c r="K8" s="204" t="s">
        <v>26</v>
      </c>
      <c r="L8" s="15">
        <v>9300</v>
      </c>
      <c r="M8" s="184"/>
      <c r="N8" s="204" t="s">
        <v>26</v>
      </c>
      <c r="O8" s="15">
        <v>1250</v>
      </c>
      <c r="P8" s="184"/>
      <c r="Q8" s="184"/>
      <c r="R8" s="184"/>
      <c r="S8" s="184"/>
      <c r="T8" s="184"/>
      <c r="U8" s="184"/>
    </row>
    <row r="9" spans="2:21" ht="22" customHeight="1">
      <c r="B9" s="203" t="s">
        <v>27</v>
      </c>
      <c r="C9" s="12">
        <v>400000</v>
      </c>
      <c r="D9" s="13">
        <v>100000</v>
      </c>
      <c r="E9" s="189">
        <f>April!$Q$37</f>
        <v>0.25</v>
      </c>
      <c r="F9" s="14">
        <v>30000</v>
      </c>
      <c r="G9" s="184"/>
      <c r="H9" s="204" t="s">
        <v>27</v>
      </c>
      <c r="I9" s="15">
        <v>600</v>
      </c>
      <c r="J9" s="184"/>
      <c r="K9" s="204" t="s">
        <v>27</v>
      </c>
      <c r="L9" s="15">
        <v>9300</v>
      </c>
      <c r="M9" s="184"/>
      <c r="N9" s="204" t="s">
        <v>27</v>
      </c>
      <c r="O9" s="15">
        <v>1250</v>
      </c>
      <c r="P9" s="184"/>
      <c r="Q9" s="184"/>
      <c r="R9" s="184"/>
      <c r="S9" s="184"/>
      <c r="T9" s="184"/>
      <c r="U9" s="184"/>
    </row>
    <row r="10" spans="2:21" ht="22" customHeight="1">
      <c r="B10" s="203" t="s">
        <v>28</v>
      </c>
      <c r="C10" s="12">
        <v>400000</v>
      </c>
      <c r="D10" s="13">
        <v>100000</v>
      </c>
      <c r="E10" s="189">
        <f>Mai!$Q$37</f>
        <v>0.25</v>
      </c>
      <c r="F10" s="14">
        <v>30000</v>
      </c>
      <c r="G10" s="184"/>
      <c r="H10" s="204" t="s">
        <v>28</v>
      </c>
      <c r="I10" s="15">
        <v>600</v>
      </c>
      <c r="J10" s="184"/>
      <c r="K10" s="204" t="s">
        <v>28</v>
      </c>
      <c r="L10" s="15">
        <v>9300</v>
      </c>
      <c r="M10" s="184"/>
      <c r="N10" s="204" t="s">
        <v>28</v>
      </c>
      <c r="O10" s="15">
        <v>1250</v>
      </c>
      <c r="P10" s="184"/>
      <c r="Q10" s="184"/>
      <c r="R10" s="184"/>
      <c r="S10" s="184"/>
      <c r="T10" s="184"/>
      <c r="U10" s="184"/>
    </row>
    <row r="11" spans="2:21" ht="22" customHeight="1">
      <c r="B11" s="203" t="s">
        <v>29</v>
      </c>
      <c r="C11" s="12">
        <v>400000</v>
      </c>
      <c r="D11" s="13">
        <v>100000</v>
      </c>
      <c r="E11" s="189">
        <f>Juni!$Q$37</f>
        <v>0.25</v>
      </c>
      <c r="F11" s="14">
        <v>30000</v>
      </c>
      <c r="G11" s="184"/>
      <c r="H11" s="204" t="s">
        <v>29</v>
      </c>
      <c r="I11" s="15">
        <v>600</v>
      </c>
      <c r="J11" s="184"/>
      <c r="K11" s="204" t="s">
        <v>29</v>
      </c>
      <c r="L11" s="15">
        <v>9300</v>
      </c>
      <c r="M11" s="184"/>
      <c r="N11" s="204" t="s">
        <v>29</v>
      </c>
      <c r="O11" s="15">
        <v>1250</v>
      </c>
      <c r="P11" s="184"/>
      <c r="Q11" s="184"/>
      <c r="R11" s="184"/>
      <c r="S11" s="184"/>
      <c r="T11" s="184"/>
      <c r="U11" s="184"/>
    </row>
    <row r="12" spans="2:21" ht="22" customHeight="1">
      <c r="B12" s="203" t="s">
        <v>30</v>
      </c>
      <c r="C12" s="12">
        <v>400000</v>
      </c>
      <c r="D12" s="13">
        <v>100000</v>
      </c>
      <c r="E12" s="189">
        <f>Juli!$Q$37</f>
        <v>0.25</v>
      </c>
      <c r="F12" s="14">
        <v>30000</v>
      </c>
      <c r="G12" s="184"/>
      <c r="H12" s="204" t="s">
        <v>30</v>
      </c>
      <c r="I12" s="15">
        <v>600</v>
      </c>
      <c r="J12" s="184"/>
      <c r="K12" s="204" t="s">
        <v>30</v>
      </c>
      <c r="L12" s="15">
        <v>9300</v>
      </c>
      <c r="M12" s="184"/>
      <c r="N12" s="204" t="s">
        <v>30</v>
      </c>
      <c r="O12" s="15">
        <v>1250</v>
      </c>
      <c r="P12" s="184"/>
      <c r="Q12" s="184"/>
      <c r="R12" s="184"/>
      <c r="S12" s="184"/>
      <c r="T12" s="184"/>
      <c r="U12" s="184"/>
    </row>
    <row r="13" spans="2:21" ht="22" customHeight="1">
      <c r="B13" s="203" t="s">
        <v>31</v>
      </c>
      <c r="C13" s="12">
        <v>400000</v>
      </c>
      <c r="D13" s="13">
        <v>100000</v>
      </c>
      <c r="E13" s="189">
        <f>August!$Q$37</f>
        <v>0.25</v>
      </c>
      <c r="F13" s="14">
        <v>30000</v>
      </c>
      <c r="G13" s="184"/>
      <c r="H13" s="204" t="s">
        <v>31</v>
      </c>
      <c r="I13" s="15">
        <v>620</v>
      </c>
      <c r="J13" s="184"/>
      <c r="K13" s="204" t="s">
        <v>31</v>
      </c>
      <c r="L13" s="15">
        <v>9300</v>
      </c>
      <c r="M13" s="184"/>
      <c r="N13" s="204" t="s">
        <v>31</v>
      </c>
      <c r="O13" s="15">
        <v>1250</v>
      </c>
      <c r="P13" s="184"/>
      <c r="Q13" s="184"/>
      <c r="R13" s="184"/>
      <c r="S13" s="184"/>
      <c r="T13" s="184"/>
      <c r="U13" s="184"/>
    </row>
    <row r="14" spans="2:21" ht="22" customHeight="1">
      <c r="B14" s="203" t="s">
        <v>32</v>
      </c>
      <c r="C14" s="12">
        <v>400000</v>
      </c>
      <c r="D14" s="13">
        <v>100000</v>
      </c>
      <c r="E14" s="189">
        <f>September!$Q$37</f>
        <v>0.25</v>
      </c>
      <c r="F14" s="14">
        <v>30000</v>
      </c>
      <c r="G14" s="184"/>
      <c r="H14" s="204" t="s">
        <v>32</v>
      </c>
      <c r="I14" s="15">
        <v>600</v>
      </c>
      <c r="J14" s="184"/>
      <c r="K14" s="204" t="s">
        <v>32</v>
      </c>
      <c r="L14" s="15">
        <v>9300</v>
      </c>
      <c r="M14" s="184"/>
      <c r="N14" s="204" t="s">
        <v>32</v>
      </c>
      <c r="O14" s="15">
        <v>1250</v>
      </c>
      <c r="P14" s="184"/>
      <c r="Q14" s="184"/>
      <c r="R14" s="184"/>
      <c r="S14" s="184"/>
      <c r="T14" s="184"/>
      <c r="U14" s="184"/>
    </row>
    <row r="15" spans="2:21" ht="22" customHeight="1">
      <c r="B15" s="203" t="s">
        <v>33</v>
      </c>
      <c r="C15" s="12">
        <v>400000</v>
      </c>
      <c r="D15" s="13">
        <v>100000</v>
      </c>
      <c r="E15" s="189">
        <f>Oktober!$Q$37</f>
        <v>0.25</v>
      </c>
      <c r="F15" s="14">
        <v>30000</v>
      </c>
      <c r="G15" s="184"/>
      <c r="H15" s="204" t="s">
        <v>33</v>
      </c>
      <c r="I15" s="15">
        <v>600</v>
      </c>
      <c r="J15" s="184"/>
      <c r="K15" s="204" t="s">
        <v>33</v>
      </c>
      <c r="L15" s="15">
        <v>9300</v>
      </c>
      <c r="M15" s="184"/>
      <c r="N15" s="204" t="s">
        <v>33</v>
      </c>
      <c r="O15" s="15">
        <v>1250</v>
      </c>
      <c r="P15" s="184"/>
      <c r="Q15" s="184"/>
      <c r="R15" s="184"/>
      <c r="S15" s="184"/>
      <c r="T15" s="184"/>
      <c r="U15" s="184"/>
    </row>
    <row r="16" spans="2:21" ht="22" customHeight="1">
      <c r="B16" s="203" t="s">
        <v>34</v>
      </c>
      <c r="C16" s="12">
        <v>400000</v>
      </c>
      <c r="D16" s="13">
        <v>100000</v>
      </c>
      <c r="E16" s="189">
        <f>November!$Q$37</f>
        <v>0.25</v>
      </c>
      <c r="F16" s="14">
        <v>30000</v>
      </c>
      <c r="G16" s="184"/>
      <c r="H16" s="204" t="s">
        <v>34</v>
      </c>
      <c r="I16" s="15">
        <v>600</v>
      </c>
      <c r="J16" s="184"/>
      <c r="K16" s="204" t="s">
        <v>34</v>
      </c>
      <c r="L16" s="15">
        <v>9300</v>
      </c>
      <c r="M16" s="184"/>
      <c r="N16" s="204" t="s">
        <v>34</v>
      </c>
      <c r="O16" s="15">
        <v>1250</v>
      </c>
      <c r="P16" s="184"/>
      <c r="Q16" s="184"/>
      <c r="R16" s="184"/>
      <c r="S16" s="184"/>
      <c r="T16" s="184"/>
      <c r="U16" s="184"/>
    </row>
    <row r="17" spans="2:21" ht="22" customHeight="1" thickBot="1">
      <c r="B17" s="203" t="s">
        <v>35</v>
      </c>
      <c r="C17" s="17">
        <v>400000</v>
      </c>
      <c r="D17" s="18">
        <v>100000</v>
      </c>
      <c r="E17" s="190">
        <f>Dezember!$Q$37</f>
        <v>0.25</v>
      </c>
      <c r="F17" s="19">
        <v>30000</v>
      </c>
      <c r="G17" s="184"/>
      <c r="H17" s="205" t="s">
        <v>35</v>
      </c>
      <c r="I17" s="20">
        <v>600</v>
      </c>
      <c r="J17" s="184"/>
      <c r="K17" s="205" t="s">
        <v>35</v>
      </c>
      <c r="L17" s="20">
        <v>9300</v>
      </c>
      <c r="M17" s="184"/>
      <c r="N17" s="205" t="s">
        <v>35</v>
      </c>
      <c r="O17" s="20">
        <v>1250</v>
      </c>
      <c r="P17" s="184"/>
      <c r="Q17" s="184"/>
      <c r="R17" s="184"/>
      <c r="S17" s="184"/>
      <c r="T17" s="184"/>
      <c r="U17" s="184"/>
    </row>
    <row r="18" spans="2:21">
      <c r="B18" s="184"/>
      <c r="C18" s="184"/>
      <c r="D18" s="184"/>
      <c r="E18" s="184"/>
      <c r="F18" s="184"/>
      <c r="G18" s="184"/>
      <c r="H18" s="184"/>
      <c r="I18" s="184"/>
      <c r="J18" s="184"/>
      <c r="K18" s="184"/>
      <c r="L18" s="184"/>
      <c r="M18" s="184"/>
      <c r="N18" s="184"/>
      <c r="O18" s="184"/>
      <c r="P18" s="184"/>
      <c r="Q18" s="184"/>
      <c r="R18" s="184"/>
      <c r="S18" s="184"/>
      <c r="T18" s="184"/>
      <c r="U18" s="184"/>
    </row>
    <row r="19" spans="2:21" ht="20" customHeight="1">
      <c r="B19" s="226" t="s">
        <v>36</v>
      </c>
      <c r="C19" s="226"/>
      <c r="D19" s="226"/>
      <c r="E19" s="226"/>
      <c r="F19" s="226"/>
      <c r="G19" s="184"/>
      <c r="H19" s="226" t="s">
        <v>37</v>
      </c>
      <c r="I19" s="226"/>
      <c r="J19" s="184"/>
      <c r="K19" s="226" t="s">
        <v>38</v>
      </c>
      <c r="L19" s="226"/>
      <c r="M19" s="184"/>
      <c r="N19" s="191"/>
      <c r="O19" s="191"/>
      <c r="P19" s="191"/>
      <c r="Q19" s="191"/>
      <c r="R19" s="191"/>
      <c r="S19" s="191"/>
      <c r="T19" s="191"/>
      <c r="U19" s="191"/>
    </row>
    <row r="20" spans="2:21" ht="20" customHeight="1" thickBot="1">
      <c r="B20" s="226"/>
      <c r="C20" s="227"/>
      <c r="D20" s="227"/>
      <c r="E20" s="227"/>
      <c r="F20" s="227"/>
      <c r="G20" s="184"/>
      <c r="H20" s="227"/>
      <c r="I20" s="227"/>
      <c r="J20" s="184"/>
      <c r="K20" s="227"/>
      <c r="L20" s="227"/>
      <c r="M20" s="184"/>
      <c r="N20" s="191"/>
      <c r="O20" s="191"/>
      <c r="P20" s="191"/>
      <c r="Q20" s="191"/>
      <c r="R20" s="191"/>
      <c r="S20" s="191"/>
      <c r="T20" s="191"/>
      <c r="U20" s="191"/>
    </row>
    <row r="21" spans="2:21" ht="18" customHeight="1">
      <c r="B21" s="185"/>
      <c r="C21" s="186" t="s">
        <v>17</v>
      </c>
      <c r="D21" s="187" t="s">
        <v>18</v>
      </c>
      <c r="E21" s="187" t="s">
        <v>19</v>
      </c>
      <c r="F21" s="188" t="s">
        <v>20</v>
      </c>
      <c r="G21" s="184"/>
      <c r="H21" s="228" t="s">
        <v>21</v>
      </c>
      <c r="I21" s="229"/>
      <c r="J21" s="184"/>
      <c r="K21" s="228" t="s">
        <v>21</v>
      </c>
      <c r="L21" s="229"/>
      <c r="M21" s="184"/>
      <c r="N21" s="191"/>
      <c r="O21" s="191"/>
      <c r="P21" s="191"/>
      <c r="Q21" s="191"/>
      <c r="R21" s="191"/>
      <c r="S21" s="191"/>
      <c r="T21" s="191"/>
      <c r="U21" s="191"/>
    </row>
    <row r="22" spans="2:21" ht="22" customHeight="1">
      <c r="B22" s="203" t="s">
        <v>23</v>
      </c>
      <c r="C22" s="12">
        <v>450000</v>
      </c>
      <c r="D22" s="192">
        <f>UBERSICHT!G7</f>
        <v>91676.220799999996</v>
      </c>
      <c r="E22" s="189">
        <v>0.20372493511111109</v>
      </c>
      <c r="F22" s="14">
        <v>29000</v>
      </c>
      <c r="G22" s="184"/>
      <c r="H22" s="204" t="s">
        <v>23</v>
      </c>
      <c r="I22" s="15">
        <v>150</v>
      </c>
      <c r="J22" s="184"/>
      <c r="K22" s="204" t="s">
        <v>23</v>
      </c>
      <c r="L22" s="15">
        <v>1</v>
      </c>
      <c r="M22" s="184"/>
      <c r="N22" s="191"/>
      <c r="O22" s="191"/>
      <c r="P22" s="191"/>
      <c r="Q22" s="191"/>
      <c r="R22" s="191"/>
      <c r="S22" s="191"/>
      <c r="T22" s="191"/>
      <c r="U22" s="191"/>
    </row>
    <row r="23" spans="2:21" ht="22" customHeight="1">
      <c r="B23" s="203" t="s">
        <v>24</v>
      </c>
      <c r="C23" s="12">
        <v>425000</v>
      </c>
      <c r="D23" s="192">
        <f>UBERSICHT!G8</f>
        <v>112062.4129</v>
      </c>
      <c r="E23" s="189">
        <v>0.26367626564705882</v>
      </c>
      <c r="F23" s="14">
        <v>29000</v>
      </c>
      <c r="G23" s="184"/>
      <c r="H23" s="204" t="s">
        <v>25</v>
      </c>
      <c r="I23" s="15">
        <v>0</v>
      </c>
      <c r="J23" s="184"/>
      <c r="K23" s="204" t="s">
        <v>25</v>
      </c>
      <c r="L23" s="15">
        <v>2</v>
      </c>
      <c r="M23" s="184"/>
      <c r="N23" s="191"/>
      <c r="O23" s="191"/>
      <c r="P23" s="191"/>
      <c r="Q23" s="191"/>
      <c r="R23" s="191"/>
      <c r="S23" s="191"/>
      <c r="T23" s="191"/>
      <c r="U23" s="191"/>
    </row>
    <row r="24" spans="2:21" ht="22" customHeight="1">
      <c r="B24" s="203" t="s">
        <v>26</v>
      </c>
      <c r="C24" s="12">
        <v>430000</v>
      </c>
      <c r="D24" s="192">
        <f>UBERSICHT!G9</f>
        <v>114609.03419999999</v>
      </c>
      <c r="E24" s="189">
        <v>0.26653263767441859</v>
      </c>
      <c r="F24" s="14">
        <v>29000</v>
      </c>
      <c r="G24" s="184"/>
      <c r="H24" s="204" t="s">
        <v>26</v>
      </c>
      <c r="I24" s="15">
        <v>0</v>
      </c>
      <c r="J24" s="184"/>
      <c r="K24" s="204" t="s">
        <v>26</v>
      </c>
      <c r="L24" s="15">
        <v>3</v>
      </c>
      <c r="M24" s="184"/>
      <c r="N24" s="191"/>
      <c r="O24" s="191"/>
      <c r="P24" s="191"/>
      <c r="Q24" s="191"/>
      <c r="R24" s="191"/>
      <c r="S24" s="191"/>
      <c r="T24" s="191"/>
      <c r="U24" s="191"/>
    </row>
    <row r="25" spans="2:21" ht="22" customHeight="1">
      <c r="B25" s="203" t="s">
        <v>27</v>
      </c>
      <c r="C25" s="12">
        <v>300000</v>
      </c>
      <c r="D25" s="192">
        <f>UBERSICHT!G11</f>
        <v>115005.21</v>
      </c>
      <c r="E25" s="189">
        <v>0.38335070000000004</v>
      </c>
      <c r="F25" s="14">
        <v>25000</v>
      </c>
      <c r="G25" s="184"/>
      <c r="H25" s="204" t="s">
        <v>27</v>
      </c>
      <c r="I25" s="15">
        <v>150</v>
      </c>
      <c r="J25" s="184"/>
      <c r="K25" s="204" t="s">
        <v>27</v>
      </c>
      <c r="L25" s="15">
        <v>4</v>
      </c>
      <c r="M25" s="184"/>
      <c r="N25" s="191"/>
      <c r="O25" s="191"/>
      <c r="P25" s="191"/>
      <c r="Q25" s="191"/>
      <c r="R25" s="191"/>
      <c r="S25" s="191"/>
      <c r="T25" s="191"/>
      <c r="U25" s="191"/>
    </row>
    <row r="26" spans="2:21" ht="22" customHeight="1">
      <c r="B26" s="203" t="s">
        <v>28</v>
      </c>
      <c r="C26" s="12">
        <v>420000</v>
      </c>
      <c r="D26" s="192">
        <f>UBERSICHT!G12</f>
        <v>156533.9871</v>
      </c>
      <c r="E26" s="189">
        <v>0.37269996928571431</v>
      </c>
      <c r="F26" s="14">
        <v>31000</v>
      </c>
      <c r="G26" s="184"/>
      <c r="H26" s="204" t="s">
        <v>28</v>
      </c>
      <c r="I26" s="15">
        <v>450</v>
      </c>
      <c r="J26" s="184"/>
      <c r="K26" s="204" t="s">
        <v>28</v>
      </c>
      <c r="L26" s="15">
        <v>5</v>
      </c>
      <c r="M26" s="193"/>
      <c r="N26" s="191"/>
      <c r="O26" s="191"/>
      <c r="P26" s="191"/>
      <c r="Q26" s="191"/>
      <c r="R26" s="191"/>
      <c r="S26" s="191"/>
      <c r="T26" s="191"/>
      <c r="U26" s="191"/>
    </row>
    <row r="27" spans="2:21" ht="22" customHeight="1">
      <c r="B27" s="203" t="s">
        <v>29</v>
      </c>
      <c r="C27" s="12">
        <v>435000</v>
      </c>
      <c r="D27" s="192">
        <f>UBERSICHT!G13</f>
        <v>154631.76670000001</v>
      </c>
      <c r="E27" s="189">
        <v>0.35547532574712648</v>
      </c>
      <c r="F27" s="14">
        <v>31000</v>
      </c>
      <c r="G27" s="184"/>
      <c r="H27" s="204" t="s">
        <v>29</v>
      </c>
      <c r="I27" s="15">
        <v>150</v>
      </c>
      <c r="J27" s="184"/>
      <c r="K27" s="204" t="s">
        <v>29</v>
      </c>
      <c r="L27" s="15">
        <v>6</v>
      </c>
      <c r="M27" s="193"/>
      <c r="N27" s="191"/>
      <c r="O27" s="191"/>
      <c r="P27" s="191"/>
      <c r="Q27" s="191"/>
      <c r="R27" s="191"/>
      <c r="S27" s="191"/>
      <c r="T27" s="191"/>
      <c r="U27" s="191"/>
    </row>
    <row r="28" spans="2:21" ht="22" customHeight="1">
      <c r="B28" s="203" t="s">
        <v>30</v>
      </c>
      <c r="C28" s="12">
        <v>435000</v>
      </c>
      <c r="D28" s="192">
        <f>UBERSICHT!G15</f>
        <v>151701.30970000001</v>
      </c>
      <c r="E28" s="189">
        <v>0.34873864298850576</v>
      </c>
      <c r="F28" s="14">
        <v>31000</v>
      </c>
      <c r="G28" s="184"/>
      <c r="H28" s="204" t="s">
        <v>30</v>
      </c>
      <c r="I28" s="15">
        <v>0</v>
      </c>
      <c r="J28" s="184"/>
      <c r="K28" s="204" t="s">
        <v>30</v>
      </c>
      <c r="L28" s="15">
        <v>7</v>
      </c>
      <c r="M28" s="193"/>
      <c r="N28" s="191"/>
      <c r="O28" s="191"/>
      <c r="P28" s="191"/>
      <c r="Q28" s="191"/>
      <c r="R28" s="191"/>
      <c r="S28" s="191"/>
      <c r="T28" s="191"/>
      <c r="U28" s="191"/>
    </row>
    <row r="29" spans="2:21" ht="22" customHeight="1">
      <c r="B29" s="203" t="s">
        <v>31</v>
      </c>
      <c r="C29" s="12">
        <v>435000</v>
      </c>
      <c r="D29" s="192">
        <f>UBERSICHT!G16</f>
        <v>149362.6</v>
      </c>
      <c r="E29" s="189">
        <v>0.34336229885057473</v>
      </c>
      <c r="F29" s="14">
        <v>31000</v>
      </c>
      <c r="G29" s="184"/>
      <c r="H29" s="204" t="s">
        <v>31</v>
      </c>
      <c r="I29" s="15">
        <v>150</v>
      </c>
      <c r="J29" s="184"/>
      <c r="K29" s="204" t="s">
        <v>31</v>
      </c>
      <c r="L29" s="15">
        <v>8</v>
      </c>
      <c r="M29" s="193"/>
      <c r="N29" s="191"/>
      <c r="O29" s="191"/>
      <c r="P29" s="191"/>
      <c r="Q29" s="191"/>
      <c r="R29" s="191"/>
      <c r="S29" s="191"/>
      <c r="T29" s="191"/>
      <c r="U29" s="191"/>
    </row>
    <row r="30" spans="2:21" ht="22" customHeight="1">
      <c r="B30" s="203" t="s">
        <v>32</v>
      </c>
      <c r="C30" s="12">
        <v>450000</v>
      </c>
      <c r="D30" s="192">
        <f>UBERSICHT!G17</f>
        <v>147667.9333</v>
      </c>
      <c r="E30" s="189">
        <v>0.3281509628888889</v>
      </c>
      <c r="F30" s="14">
        <v>31000</v>
      </c>
      <c r="G30" s="184"/>
      <c r="H30" s="204" t="s">
        <v>32</v>
      </c>
      <c r="I30" s="15">
        <v>0</v>
      </c>
      <c r="J30" s="184"/>
      <c r="K30" s="204" t="s">
        <v>32</v>
      </c>
      <c r="L30" s="15">
        <v>9</v>
      </c>
      <c r="M30" s="184"/>
      <c r="N30" s="191"/>
      <c r="O30" s="191"/>
      <c r="P30" s="191"/>
      <c r="Q30" s="191"/>
      <c r="R30" s="191"/>
      <c r="S30" s="191"/>
      <c r="T30" s="191"/>
      <c r="U30" s="191"/>
    </row>
    <row r="31" spans="2:21" ht="22" customHeight="1">
      <c r="B31" s="203" t="s">
        <v>33</v>
      </c>
      <c r="C31" s="12">
        <v>401000</v>
      </c>
      <c r="D31" s="192">
        <f>UBERSICHT!G19</f>
        <v>144350.0839</v>
      </c>
      <c r="E31" s="189">
        <v>0.35997527157107229</v>
      </c>
      <c r="F31" s="14">
        <v>31000</v>
      </c>
      <c r="G31" s="184"/>
      <c r="H31" s="204" t="s">
        <v>33</v>
      </c>
      <c r="I31" s="15">
        <v>0</v>
      </c>
      <c r="J31" s="184"/>
      <c r="K31" s="204" t="s">
        <v>33</v>
      </c>
      <c r="L31" s="15">
        <v>10</v>
      </c>
      <c r="M31" s="184"/>
      <c r="N31" s="191"/>
      <c r="O31" s="191"/>
      <c r="P31" s="191"/>
      <c r="Q31" s="191"/>
      <c r="R31" s="191"/>
      <c r="S31" s="191"/>
      <c r="T31" s="191"/>
      <c r="U31" s="191"/>
    </row>
    <row r="32" spans="2:21" ht="22" customHeight="1">
      <c r="B32" s="203" t="s">
        <v>34</v>
      </c>
      <c r="C32" s="12">
        <v>398000</v>
      </c>
      <c r="D32" s="192">
        <f>UBERSICHT!G20</f>
        <v>140816.6</v>
      </c>
      <c r="E32" s="189">
        <v>0.35381055276381912</v>
      </c>
      <c r="F32" s="14">
        <v>31000</v>
      </c>
      <c r="G32" s="184"/>
      <c r="H32" s="204" t="s">
        <v>34</v>
      </c>
      <c r="I32" s="15">
        <v>150</v>
      </c>
      <c r="J32" s="184"/>
      <c r="K32" s="204" t="s">
        <v>34</v>
      </c>
      <c r="L32" s="15">
        <v>11</v>
      </c>
      <c r="M32" s="184"/>
      <c r="N32" s="191"/>
      <c r="O32" s="191"/>
      <c r="P32" s="191"/>
      <c r="Q32" s="191"/>
      <c r="R32" s="191"/>
      <c r="S32" s="191"/>
      <c r="T32" s="191"/>
      <c r="U32" s="191"/>
    </row>
    <row r="33" spans="2:21" ht="22" customHeight="1" thickBot="1">
      <c r="B33" s="203" t="s">
        <v>35</v>
      </c>
      <c r="C33" s="17">
        <v>390000</v>
      </c>
      <c r="D33" s="194">
        <f>UBERSICHT!G21</f>
        <v>140816.6</v>
      </c>
      <c r="E33" s="190">
        <v>0.36106820512820514</v>
      </c>
      <c r="F33" s="19">
        <v>31000</v>
      </c>
      <c r="G33" s="184"/>
      <c r="H33" s="205" t="s">
        <v>35</v>
      </c>
      <c r="I33" s="20">
        <v>400</v>
      </c>
      <c r="J33" s="184"/>
      <c r="K33" s="205" t="s">
        <v>35</v>
      </c>
      <c r="L33" s="20">
        <v>12</v>
      </c>
      <c r="M33" s="184"/>
      <c r="N33" s="191"/>
      <c r="O33" s="191"/>
      <c r="P33" s="191"/>
      <c r="Q33" s="191"/>
      <c r="R33" s="191"/>
      <c r="S33" s="191"/>
      <c r="T33" s="191"/>
      <c r="U33" s="191"/>
    </row>
    <row r="34" spans="2:21" ht="15" thickBot="1">
      <c r="B34" s="184"/>
      <c r="C34" s="184"/>
      <c r="D34" s="184"/>
      <c r="E34" s="184"/>
      <c r="F34" s="184"/>
      <c r="G34" s="184"/>
      <c r="H34" s="184"/>
      <c r="I34" s="184"/>
      <c r="J34" s="184"/>
      <c r="K34" s="184"/>
      <c r="L34" s="184"/>
      <c r="M34" s="184"/>
      <c r="N34" s="191"/>
      <c r="O34" s="191"/>
      <c r="P34" s="191"/>
      <c r="Q34" s="191"/>
      <c r="R34" s="191"/>
      <c r="S34" s="191"/>
      <c r="T34" s="191"/>
      <c r="U34" s="191"/>
    </row>
    <row r="35" spans="2:21" ht="24" customHeight="1" thickBot="1">
      <c r="B35" s="206" t="s">
        <v>315</v>
      </c>
      <c r="C35" s="16">
        <v>2026</v>
      </c>
      <c r="D35" s="195"/>
      <c r="E35" s="195"/>
      <c r="F35" s="184"/>
      <c r="G35" s="184"/>
      <c r="H35" s="184"/>
      <c r="I35" s="184"/>
      <c r="J35" s="184"/>
      <c r="K35" s="184"/>
      <c r="L35" s="184"/>
      <c r="M35" s="184"/>
      <c r="N35" s="191"/>
      <c r="O35" s="191"/>
      <c r="P35" s="191"/>
      <c r="Q35" s="191"/>
      <c r="R35" s="191"/>
      <c r="S35" s="191"/>
      <c r="T35" s="191"/>
      <c r="U35" s="191"/>
    </row>
    <row r="36" spans="2:21">
      <c r="B36" s="195"/>
      <c r="C36" s="195"/>
      <c r="D36" s="195"/>
      <c r="E36" s="184"/>
      <c r="F36" s="184"/>
      <c r="G36" s="184"/>
      <c r="H36" s="184"/>
      <c r="I36" s="184"/>
      <c r="J36" s="184"/>
      <c r="K36" s="184"/>
      <c r="L36" s="184"/>
      <c r="M36" s="184"/>
      <c r="N36" s="191"/>
      <c r="O36" s="191"/>
      <c r="P36" s="191"/>
      <c r="Q36" s="191"/>
      <c r="R36" s="191"/>
      <c r="S36" s="191"/>
      <c r="T36" s="191"/>
      <c r="U36" s="191"/>
    </row>
    <row r="37" spans="2:21" ht="18" hidden="1" customHeight="1">
      <c r="B37" s="196" t="s">
        <v>183</v>
      </c>
      <c r="C37" s="197" t="s">
        <v>187</v>
      </c>
      <c r="D37" s="184"/>
      <c r="E37" s="184"/>
      <c r="F37" s="184"/>
      <c r="G37" s="184"/>
      <c r="H37" s="184"/>
      <c r="I37" s="184"/>
      <c r="J37" s="184"/>
      <c r="K37" s="184"/>
      <c r="L37" s="184"/>
      <c r="M37" s="184"/>
      <c r="N37" s="191"/>
      <c r="O37" s="191"/>
      <c r="P37" s="191"/>
      <c r="Q37" s="191"/>
      <c r="R37" s="191"/>
      <c r="S37" s="191"/>
      <c r="T37" s="191"/>
      <c r="U37" s="191"/>
    </row>
    <row r="38" spans="2:21" ht="22" hidden="1" customHeight="1">
      <c r="B38" s="198" t="s">
        <v>188</v>
      </c>
      <c r="C38" s="199">
        <v>0</v>
      </c>
      <c r="D38" s="184"/>
      <c r="E38" s="184"/>
      <c r="F38" s="184"/>
      <c r="G38" s="184"/>
      <c r="H38" s="184"/>
      <c r="I38" s="184"/>
      <c r="J38" s="184"/>
      <c r="K38" s="184"/>
      <c r="L38" s="184"/>
      <c r="M38" s="184"/>
      <c r="N38" s="191"/>
      <c r="O38" s="191"/>
      <c r="P38" s="191"/>
      <c r="Q38" s="191"/>
      <c r="R38" s="191"/>
      <c r="S38" s="191"/>
      <c r="T38" s="191"/>
      <c r="U38" s="191"/>
    </row>
    <row r="39" spans="2:21" ht="22" hidden="1" customHeight="1">
      <c r="B39" s="198" t="s">
        <v>189</v>
      </c>
      <c r="C39" s="199">
        <v>0</v>
      </c>
      <c r="D39" s="184"/>
      <c r="E39" s="184"/>
      <c r="F39" s="184"/>
      <c r="G39" s="184"/>
      <c r="H39" s="184"/>
      <c r="I39" s="184"/>
      <c r="J39" s="184"/>
      <c r="K39" s="184"/>
      <c r="L39" s="184"/>
      <c r="M39" s="184"/>
      <c r="N39" s="191"/>
      <c r="O39" s="191"/>
      <c r="P39" s="191"/>
      <c r="Q39" s="191"/>
      <c r="R39" s="191"/>
      <c r="S39" s="191"/>
      <c r="T39" s="191"/>
      <c r="U39" s="191"/>
    </row>
    <row r="40" spans="2:21" ht="22" hidden="1" customHeight="1">
      <c r="B40" s="198" t="s">
        <v>185</v>
      </c>
      <c r="C40" s="199">
        <v>0</v>
      </c>
      <c r="D40" s="184"/>
      <c r="E40" s="184"/>
      <c r="F40" s="184"/>
      <c r="G40" s="184"/>
      <c r="H40" s="184"/>
      <c r="I40" s="184"/>
      <c r="J40" s="184"/>
      <c r="K40" s="184"/>
      <c r="L40" s="184"/>
      <c r="M40" s="184"/>
      <c r="N40" s="191"/>
      <c r="O40" s="191"/>
      <c r="P40" s="191"/>
      <c r="Q40" s="191"/>
      <c r="R40" s="191"/>
      <c r="S40" s="191"/>
      <c r="T40" s="191"/>
      <c r="U40" s="191"/>
    </row>
    <row r="41" spans="2:21" ht="22" hidden="1" customHeight="1">
      <c r="B41" s="198" t="s">
        <v>190</v>
      </c>
      <c r="C41" s="199">
        <v>0</v>
      </c>
      <c r="D41" s="184"/>
      <c r="E41" s="184"/>
      <c r="F41" s="184"/>
      <c r="G41" s="184"/>
      <c r="H41" s="184"/>
      <c r="I41" s="184"/>
      <c r="J41" s="184"/>
      <c r="K41" s="184"/>
      <c r="L41" s="184"/>
      <c r="M41" s="184"/>
      <c r="N41" s="191"/>
      <c r="O41" s="191"/>
      <c r="P41" s="191"/>
      <c r="Q41" s="191"/>
      <c r="R41" s="191"/>
      <c r="S41" s="191"/>
      <c r="T41" s="191"/>
      <c r="U41" s="191"/>
    </row>
    <row r="42" spans="2:21" ht="22" hidden="1" customHeight="1">
      <c r="B42" s="198" t="s">
        <v>191</v>
      </c>
      <c r="C42" s="199">
        <v>0.35</v>
      </c>
      <c r="D42" s="184"/>
      <c r="E42" s="184"/>
      <c r="F42" s="184"/>
      <c r="G42" s="184"/>
      <c r="H42" s="184"/>
      <c r="I42" s="184"/>
      <c r="J42" s="184"/>
      <c r="K42" s="184"/>
      <c r="L42" s="184"/>
      <c r="M42" s="184"/>
      <c r="N42" s="191"/>
      <c r="O42" s="191"/>
      <c r="P42" s="191"/>
      <c r="Q42" s="191"/>
      <c r="R42" s="191"/>
      <c r="S42" s="191"/>
      <c r="T42" s="191"/>
      <c r="U42" s="191"/>
    </row>
    <row r="43" spans="2:21" ht="22" hidden="1" customHeight="1">
      <c r="B43" s="198" t="s">
        <v>192</v>
      </c>
      <c r="C43" s="199">
        <v>0.35</v>
      </c>
      <c r="D43" s="184"/>
      <c r="E43" s="184"/>
      <c r="F43" s="184"/>
      <c r="G43" s="184"/>
      <c r="H43" s="184"/>
      <c r="I43" s="184"/>
      <c r="J43" s="184"/>
      <c r="K43" s="184"/>
      <c r="L43" s="184"/>
      <c r="M43" s="184"/>
      <c r="N43" s="184"/>
      <c r="O43" s="184"/>
      <c r="P43" s="184"/>
      <c r="Q43" s="184"/>
      <c r="R43" s="184"/>
      <c r="S43" s="184"/>
      <c r="T43" s="184"/>
      <c r="U43" s="184"/>
    </row>
    <row r="44" spans="2:21" ht="22" hidden="1" customHeight="1">
      <c r="B44" s="198" t="s">
        <v>186</v>
      </c>
      <c r="C44" s="199">
        <v>0.5</v>
      </c>
      <c r="D44" s="184"/>
      <c r="E44" s="184"/>
      <c r="F44" s="184"/>
      <c r="G44" s="184"/>
      <c r="H44" s="184"/>
      <c r="I44" s="184"/>
      <c r="J44" s="184"/>
      <c r="K44" s="184"/>
      <c r="L44" s="184"/>
      <c r="M44" s="184"/>
      <c r="N44" s="184"/>
      <c r="O44" s="184"/>
      <c r="P44" s="184"/>
      <c r="Q44" s="184"/>
      <c r="R44" s="184"/>
      <c r="S44" s="184"/>
      <c r="T44" s="184"/>
      <c r="U44" s="184"/>
    </row>
    <row r="45" spans="2:21" ht="22" hidden="1" customHeight="1">
      <c r="B45" s="198" t="s">
        <v>193</v>
      </c>
      <c r="C45" s="199">
        <v>0.6</v>
      </c>
      <c r="D45" s="184"/>
      <c r="E45" s="184"/>
      <c r="F45" s="184"/>
      <c r="G45" s="184"/>
      <c r="H45" s="184"/>
      <c r="I45" s="184"/>
      <c r="J45" s="184"/>
      <c r="K45" s="184"/>
      <c r="L45" s="184"/>
      <c r="M45" s="184"/>
      <c r="N45" s="184"/>
      <c r="O45" s="184"/>
      <c r="P45" s="184"/>
      <c r="Q45" s="184"/>
      <c r="R45" s="184"/>
      <c r="S45" s="184"/>
      <c r="T45" s="184"/>
      <c r="U45" s="184"/>
    </row>
    <row r="46" spans="2:21" ht="22" hidden="1" customHeight="1">
      <c r="B46" s="198" t="s">
        <v>184</v>
      </c>
      <c r="C46" s="199">
        <v>0.75</v>
      </c>
      <c r="D46" s="184"/>
      <c r="E46" s="184"/>
      <c r="F46" s="184"/>
      <c r="G46" s="184"/>
      <c r="H46" s="184"/>
      <c r="I46" s="184"/>
      <c r="J46" s="184"/>
      <c r="K46" s="184"/>
      <c r="L46" s="184"/>
      <c r="M46" s="184"/>
      <c r="N46" s="184"/>
      <c r="O46" s="184"/>
      <c r="P46" s="184"/>
      <c r="Q46" s="184"/>
      <c r="R46" s="184"/>
      <c r="S46" s="184"/>
      <c r="T46" s="184"/>
      <c r="U46" s="184"/>
    </row>
    <row r="47" spans="2:21" ht="22" hidden="1" customHeight="1">
      <c r="B47" s="198" t="s">
        <v>194</v>
      </c>
      <c r="C47" s="199">
        <v>1</v>
      </c>
      <c r="D47" s="184"/>
      <c r="E47" s="184"/>
      <c r="F47" s="184"/>
      <c r="G47" s="184"/>
      <c r="H47" s="184"/>
      <c r="I47" s="184"/>
      <c r="J47" s="184"/>
      <c r="K47" s="184"/>
      <c r="L47" s="184"/>
      <c r="M47" s="184"/>
      <c r="N47" s="184"/>
      <c r="O47" s="184"/>
      <c r="P47" s="184"/>
      <c r="Q47" s="184"/>
      <c r="R47" s="184"/>
      <c r="S47" s="184"/>
      <c r="T47" s="184"/>
      <c r="U47" s="184"/>
    </row>
    <row r="48" spans="2:21" ht="22" hidden="1" customHeight="1">
      <c r="B48" s="198" t="s">
        <v>195</v>
      </c>
      <c r="C48" s="199">
        <v>1.1000000000000001</v>
      </c>
      <c r="D48" s="184"/>
      <c r="E48" s="184"/>
      <c r="F48" s="184"/>
      <c r="G48" s="184"/>
      <c r="H48" s="184"/>
      <c r="I48" s="184"/>
      <c r="J48" s="184"/>
      <c r="K48" s="184"/>
      <c r="L48" s="184"/>
      <c r="M48" s="184"/>
      <c r="N48" s="184"/>
      <c r="O48" s="184"/>
      <c r="P48" s="184"/>
      <c r="Q48" s="184"/>
      <c r="R48" s="184"/>
      <c r="S48" s="184"/>
      <c r="T48" s="184"/>
      <c r="U48" s="184"/>
    </row>
    <row r="49" spans="2:21" ht="22" hidden="1" customHeight="1" thickBot="1">
      <c r="B49" s="200" t="s">
        <v>196</v>
      </c>
      <c r="C49" s="201">
        <v>0.7</v>
      </c>
      <c r="D49" s="184"/>
      <c r="E49" s="184"/>
      <c r="F49" s="184"/>
      <c r="G49" s="184"/>
      <c r="H49" s="184"/>
      <c r="I49" s="184"/>
      <c r="J49" s="184"/>
      <c r="K49" s="184"/>
      <c r="L49" s="184"/>
      <c r="M49" s="184"/>
      <c r="N49" s="184"/>
      <c r="O49" s="184"/>
      <c r="P49" s="184"/>
      <c r="Q49" s="184"/>
      <c r="R49" s="184"/>
      <c r="S49" s="184"/>
      <c r="T49" s="184"/>
      <c r="U49" s="184"/>
    </row>
    <row r="50" spans="2:21" ht="15.5" hidden="1">
      <c r="B50" s="202"/>
      <c r="C50" s="202"/>
      <c r="D50" s="184"/>
      <c r="E50" s="184"/>
      <c r="F50" s="184"/>
      <c r="G50" s="184"/>
      <c r="H50" s="184"/>
      <c r="I50" s="184"/>
      <c r="J50" s="184"/>
      <c r="K50" s="184"/>
      <c r="L50" s="184"/>
      <c r="M50" s="184"/>
      <c r="N50" s="184"/>
      <c r="O50" s="184"/>
      <c r="P50" s="184"/>
      <c r="Q50" s="184"/>
      <c r="R50" s="184"/>
      <c r="S50" s="184"/>
      <c r="T50" s="184"/>
      <c r="U50" s="184"/>
    </row>
    <row r="51" spans="2:21" ht="15.5" hidden="1">
      <c r="B51" s="202"/>
      <c r="C51" s="202"/>
      <c r="D51" s="184"/>
      <c r="E51" s="184"/>
      <c r="F51" s="184"/>
      <c r="G51" s="184"/>
      <c r="H51" s="184"/>
      <c r="I51" s="184"/>
      <c r="J51" s="184"/>
      <c r="K51" s="184"/>
      <c r="L51" s="184"/>
      <c r="M51" s="184"/>
      <c r="N51" s="184"/>
      <c r="O51" s="184"/>
      <c r="P51" s="184"/>
      <c r="Q51" s="184"/>
      <c r="R51" s="184"/>
      <c r="S51" s="184"/>
      <c r="T51" s="184"/>
      <c r="U51" s="184"/>
    </row>
    <row r="52" spans="2:21" ht="18" hidden="1" customHeight="1">
      <c r="B52" s="196" t="s">
        <v>197</v>
      </c>
      <c r="C52" s="197" t="s">
        <v>198</v>
      </c>
      <c r="D52" s="184"/>
      <c r="E52" s="184"/>
      <c r="F52" s="184"/>
      <c r="G52" s="184"/>
      <c r="H52" s="184"/>
      <c r="I52" s="184"/>
      <c r="J52" s="184"/>
      <c r="K52" s="184"/>
      <c r="L52" s="184"/>
      <c r="M52" s="184"/>
      <c r="N52" s="184"/>
      <c r="O52" s="184"/>
      <c r="P52" s="184"/>
      <c r="Q52" s="184"/>
      <c r="R52" s="184"/>
      <c r="S52" s="184"/>
      <c r="T52" s="184"/>
      <c r="U52" s="184"/>
    </row>
    <row r="53" spans="2:21" ht="22" hidden="1" customHeight="1">
      <c r="B53" s="198" t="s">
        <v>199</v>
      </c>
      <c r="C53" s="199">
        <v>0.3</v>
      </c>
      <c r="D53" s="184"/>
      <c r="E53" s="184"/>
      <c r="F53" s="184"/>
      <c r="G53" s="184"/>
      <c r="H53" s="184"/>
      <c r="I53" s="184"/>
      <c r="J53" s="184"/>
      <c r="K53" s="184"/>
      <c r="L53" s="184"/>
      <c r="M53" s="184"/>
      <c r="N53" s="184"/>
      <c r="O53" s="184"/>
      <c r="P53" s="184"/>
      <c r="Q53" s="184"/>
      <c r="R53" s="184"/>
      <c r="S53" s="184"/>
      <c r="T53" s="184"/>
      <c r="U53" s="184"/>
    </row>
    <row r="54" spans="2:21" ht="22" hidden="1" customHeight="1">
      <c r="B54" s="198" t="s">
        <v>200</v>
      </c>
      <c r="C54" s="199">
        <v>0.5</v>
      </c>
      <c r="D54" s="184"/>
      <c r="E54" s="184"/>
      <c r="F54" s="184"/>
      <c r="G54" s="184"/>
      <c r="H54" s="184"/>
      <c r="I54" s="184"/>
      <c r="J54" s="184"/>
      <c r="K54" s="184"/>
      <c r="L54" s="184"/>
      <c r="M54" s="184"/>
      <c r="N54" s="184"/>
      <c r="O54" s="184"/>
      <c r="P54" s="184"/>
      <c r="Q54" s="184"/>
      <c r="R54" s="184"/>
      <c r="S54" s="184"/>
      <c r="T54" s="184"/>
      <c r="U54" s="184"/>
    </row>
    <row r="55" spans="2:21" ht="22" hidden="1" customHeight="1">
      <c r="B55" s="198" t="s">
        <v>201</v>
      </c>
      <c r="C55" s="199">
        <v>0.75</v>
      </c>
      <c r="D55" s="184"/>
      <c r="E55" s="184"/>
      <c r="F55" s="184"/>
      <c r="G55" s="184"/>
      <c r="H55" s="184"/>
      <c r="I55" s="184"/>
      <c r="J55" s="184"/>
      <c r="K55" s="184"/>
      <c r="L55" s="184"/>
      <c r="M55" s="184"/>
      <c r="N55" s="184"/>
      <c r="O55" s="184"/>
      <c r="P55" s="184"/>
      <c r="Q55" s="184"/>
      <c r="R55" s="184"/>
      <c r="S55" s="184"/>
      <c r="T55" s="184"/>
      <c r="U55" s="184"/>
    </row>
    <row r="56" spans="2:21" ht="22" hidden="1" customHeight="1">
      <c r="B56" s="198" t="s">
        <v>202</v>
      </c>
      <c r="C56" s="199">
        <v>1</v>
      </c>
      <c r="D56" s="184"/>
      <c r="E56" s="184"/>
      <c r="F56" s="184"/>
      <c r="G56" s="184"/>
      <c r="H56" s="184"/>
      <c r="I56" s="184"/>
      <c r="J56" s="184"/>
      <c r="K56" s="184"/>
      <c r="L56" s="184"/>
      <c r="M56" s="184"/>
      <c r="N56" s="184"/>
      <c r="O56" s="184"/>
      <c r="P56" s="184"/>
      <c r="Q56" s="184"/>
      <c r="R56" s="184"/>
      <c r="S56" s="184"/>
      <c r="T56" s="184"/>
      <c r="U56" s="184"/>
    </row>
    <row r="57" spans="2:21" ht="22" hidden="1" customHeight="1">
      <c r="B57" s="198" t="s">
        <v>203</v>
      </c>
      <c r="C57" s="199">
        <v>1.25</v>
      </c>
      <c r="D57" s="184"/>
      <c r="E57" s="184"/>
      <c r="F57" s="184"/>
      <c r="G57" s="184"/>
      <c r="H57" s="184"/>
      <c r="I57" s="184"/>
      <c r="J57" s="184"/>
      <c r="K57" s="184"/>
      <c r="L57" s="184"/>
      <c r="M57" s="184"/>
      <c r="N57" s="184"/>
      <c r="O57" s="184"/>
      <c r="P57" s="184"/>
      <c r="Q57" s="184"/>
      <c r="R57" s="184"/>
      <c r="S57" s="184"/>
      <c r="T57" s="184"/>
      <c r="U57" s="184"/>
    </row>
    <row r="58" spans="2:21" ht="22" hidden="1" customHeight="1">
      <c r="B58" s="198" t="s">
        <v>204</v>
      </c>
      <c r="C58" s="199">
        <v>1.5</v>
      </c>
      <c r="D58" s="184"/>
      <c r="E58" s="184"/>
      <c r="F58" s="184"/>
      <c r="G58" s="184"/>
      <c r="H58" s="184"/>
      <c r="I58" s="184"/>
      <c r="J58" s="184"/>
      <c r="K58" s="184"/>
      <c r="L58" s="184"/>
      <c r="M58" s="184"/>
      <c r="N58" s="184"/>
      <c r="O58" s="184"/>
      <c r="P58" s="184"/>
      <c r="Q58" s="184"/>
      <c r="R58" s="184"/>
      <c r="S58" s="184"/>
      <c r="T58" s="184"/>
      <c r="U58" s="184"/>
    </row>
    <row r="59" spans="2:21" ht="22" hidden="1" customHeight="1" thickBot="1">
      <c r="B59" s="200" t="s">
        <v>205</v>
      </c>
      <c r="C59" s="201">
        <v>2</v>
      </c>
      <c r="D59" s="184"/>
      <c r="E59" s="184"/>
      <c r="F59" s="184"/>
      <c r="G59" s="184"/>
      <c r="H59" s="184"/>
      <c r="I59" s="184"/>
      <c r="J59" s="184"/>
      <c r="K59" s="184"/>
      <c r="L59" s="184"/>
      <c r="M59" s="184"/>
      <c r="N59" s="184"/>
      <c r="O59" s="184"/>
      <c r="P59" s="184"/>
      <c r="Q59" s="184"/>
      <c r="R59" s="184"/>
      <c r="S59" s="184"/>
      <c r="T59" s="184"/>
      <c r="U59" s="184"/>
    </row>
    <row r="100" spans="26:26">
      <c r="Z100" s="142"/>
    </row>
  </sheetData>
  <sheetProtection algorithmName="SHA-512" hashValue="VnkkoCxO/D4wxPixtpGo16RE+oe9F87rLQhf5wAvIR616ClvPkEuxqfEooT7GiMHohZ8AhlJLGPI1X7+WD9GEg==" saltValue="Y4ss1dgE9S5p96xdIj7Jfg==" spinCount="100000" sheet="1" objects="1" scenarios="1" sort="0" autoFilter="0"/>
  <mergeCells count="14">
    <mergeCell ref="B1:U1"/>
    <mergeCell ref="B19:F20"/>
    <mergeCell ref="H19:I20"/>
    <mergeCell ref="H21:I21"/>
    <mergeCell ref="K3:L4"/>
    <mergeCell ref="K5:L5"/>
    <mergeCell ref="K19:L20"/>
    <mergeCell ref="K21:L21"/>
    <mergeCell ref="N3:O4"/>
    <mergeCell ref="N5:O5"/>
    <mergeCell ref="H3:I4"/>
    <mergeCell ref="H5:I5"/>
    <mergeCell ref="S2:U2"/>
    <mergeCell ref="B3:F4"/>
  </mergeCells>
  <pageMargins left="0.7" right="0.7" top="0.78740157499999996" bottom="0.78740157499999996" header="0.3" footer="0.3"/>
  <pageSetup paperSize="9" orientation="portrait" verticalDpi="597" r:id="rId1"/>
  <headerFooter>
    <oddFooter>&amp;R&amp;"Calibri"&amp;7© Adam Nagy ¬∑ McOpCo ¬∑ Personalsheet 2026</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2A7708-1352-4EA7-A823-D3D63D9A24C6}">
  <sheetPr codeName="Tabelle3"/>
  <dimension ref="A1:AC123"/>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3.81640625" style="169" customWidth="1"/>
    <col min="2" max="2" width="9.1796875" style="169" customWidth="1"/>
    <col min="3" max="3" width="35.6328125" style="141" customWidth="1"/>
    <col min="4" max="4" width="13.6328125" style="141" customWidth="1"/>
    <col min="5" max="5" width="9.6328125" style="141" customWidth="1"/>
    <col min="6" max="6" width="10.6328125" style="141" customWidth="1"/>
    <col min="7" max="7" width="13.6328125" style="141" customWidth="1"/>
    <col min="8" max="8" width="11.6328125" style="141" customWidth="1"/>
    <col min="9" max="10" width="13.6328125" style="141" customWidth="1"/>
    <col min="11" max="11" width="14.6328125" style="141" customWidth="1"/>
    <col min="12" max="12" width="14.6328125" style="162" customWidth="1"/>
    <col min="13" max="13" width="17.81640625" style="141" customWidth="1"/>
    <col min="14" max="14" width="34.6328125" style="141" customWidth="1"/>
    <col min="15" max="15" width="12.6328125" style="141" customWidth="1"/>
    <col min="16" max="16" width="16.6328125" style="141" customWidth="1"/>
    <col min="17" max="17" width="14.6328125" style="141" customWidth="1"/>
    <col min="18" max="18" width="13.6328125" style="141" customWidth="1"/>
    <col min="19" max="19" width="9.6328125" style="141" customWidth="1"/>
    <col min="20" max="20" width="10.6328125" style="141" customWidth="1"/>
    <col min="21" max="21" width="7.6328125" style="141" customWidth="1"/>
    <col min="22" max="27" width="9.1796875" style="141"/>
    <col min="28" max="28" width="10.1796875" style="141" bestFit="1" customWidth="1"/>
    <col min="29" max="16384" width="9.1796875" style="141"/>
  </cols>
  <sheetData>
    <row r="1" spans="1:28" ht="18" customHeight="1">
      <c r="A1" s="297">
        <v>1</v>
      </c>
      <c r="B1" s="286" t="s">
        <v>180</v>
      </c>
      <c r="C1" s="280" t="s">
        <v>39</v>
      </c>
      <c r="D1" s="280" t="s">
        <v>181</v>
      </c>
      <c r="E1" s="280" t="s">
        <v>0</v>
      </c>
      <c r="F1" s="280" t="s">
        <v>40</v>
      </c>
      <c r="G1" s="280" t="s">
        <v>41</v>
      </c>
      <c r="H1" s="280" t="s">
        <v>42</v>
      </c>
      <c r="I1" s="280" t="s">
        <v>182</v>
      </c>
      <c r="J1" s="280" t="s">
        <v>43</v>
      </c>
      <c r="K1" s="280" t="s">
        <v>44</v>
      </c>
      <c r="L1" s="280" t="s">
        <v>45</v>
      </c>
      <c r="M1" s="280" t="s">
        <v>46</v>
      </c>
      <c r="N1" s="282" t="s">
        <v>183</v>
      </c>
      <c r="AB1" s="143">
        <f>DATE(EINSTELLUNG!$C$35,$A$1,1)</f>
        <v>46023</v>
      </c>
    </row>
    <row r="2" spans="1:28" ht="18" customHeight="1" thickBot="1">
      <c r="A2" s="297"/>
      <c r="B2" s="287"/>
      <c r="C2" s="294"/>
      <c r="D2" s="294"/>
      <c r="E2" s="294"/>
      <c r="F2" s="294"/>
      <c r="G2" s="294"/>
      <c r="H2" s="294"/>
      <c r="I2" s="294"/>
      <c r="J2" s="294"/>
      <c r="K2" s="294"/>
      <c r="L2" s="294"/>
      <c r="M2" s="294"/>
      <c r="N2" s="298"/>
      <c r="O2" s="144"/>
      <c r="P2" s="144"/>
      <c r="Q2" s="144"/>
      <c r="S2" s="208" t="s">
        <v>394</v>
      </c>
      <c r="T2" s="208"/>
      <c r="U2" s="208"/>
      <c r="V2" s="208"/>
      <c r="AB2" s="143">
        <f>EOMONTH(DATE(EINSTELLUNG!$C$35,$A$1,1),0)</f>
        <v>46053</v>
      </c>
    </row>
    <row r="3" spans="1:28" ht="22" customHeight="1">
      <c r="A3" s="175">
        <v>1</v>
      </c>
      <c r="B3" s="36">
        <v>400002</v>
      </c>
      <c r="C3" s="37" t="s">
        <v>398</v>
      </c>
      <c r="D3" s="38">
        <v>33359</v>
      </c>
      <c r="E3" s="39" t="s">
        <v>2</v>
      </c>
      <c r="F3" s="40">
        <v>171</v>
      </c>
      <c r="G3" s="146" t="str">
        <f>IF(OR(E3="",F3=""),"",PID_KVLohnLookup($A$1,E3,F3,LOHNTABELLE!$H$4))</f>
        <v>Nicht gefunden</v>
      </c>
      <c r="H3" s="147">
        <f>IF(AND(ISNUMBER(D3),ISNUMBER(F3)),ROUNDDOWN(MIN(IF(OR(ISBLANK(I3),I3=""),EOMONTH(DATE(EINSTELLUNG!$C$35,$A$1,1),0),I3)-MAX(D3,DATE(EINSTELLUNG!$C$35,$A$1,1))+1)/DAY(EOMONTH(DATE(EINSTELLUNG!$C$35,$A$1,1),0))*F3,2),"")</f>
        <v>82.74</v>
      </c>
      <c r="I3" s="41">
        <v>46037</v>
      </c>
      <c r="J3" s="42">
        <v>2</v>
      </c>
      <c r="K3" s="146">
        <f t="shared" ref="K3:K34" si="0">IF(OR(B3="",C3=""),"",IFERROR(IF(OR(MONTH(D3)=1,MONTH(D3)=3,MONTH(D3)=5,MONTH(D3)=7,MONTH(D3)=8,MONTH(D3)=10,MONTH(D3)=12),(G3/31)*J3,IF(OR(MONTH(D3)=4,MONTH(D3)=6,MONTH(D3)=9,MONTH(D3)=11),(G3/30)*J3,(G3/DAY(EOMONTH(D3,0)))*J3)),0))</f>
        <v>0</v>
      </c>
      <c r="L3" s="148" t="str">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
      </c>
      <c r="M3" s="43"/>
      <c r="N3" s="73" t="s">
        <v>194</v>
      </c>
      <c r="O3" s="236" t="s">
        <v>47</v>
      </c>
      <c r="P3" s="236" t="s">
        <v>48</v>
      </c>
      <c r="Q3" s="236" t="s">
        <v>49</v>
      </c>
      <c r="R3" s="272" t="s">
        <v>50</v>
      </c>
      <c r="S3" s="149"/>
      <c r="T3" s="149"/>
      <c r="U3" s="149"/>
      <c r="V3" s="149"/>
      <c r="AB3" s="150"/>
    </row>
    <row r="4" spans="1:28" ht="22" customHeight="1">
      <c r="A4" s="175">
        <v>2</v>
      </c>
      <c r="B4" s="44">
        <v>401010</v>
      </c>
      <c r="C4" s="45" t="s">
        <v>224</v>
      </c>
      <c r="D4" s="46">
        <v>39388</v>
      </c>
      <c r="E4" s="47" t="s">
        <v>2</v>
      </c>
      <c r="F4" s="48">
        <v>144</v>
      </c>
      <c r="G4" s="152" t="str">
        <f>IF(OR(E4="",F4=""),"",PID_KVLohnLookup($A$1,E4,F4,LOHNTABELLE!$H$4))</f>
        <v>Nicht gefunden</v>
      </c>
      <c r="H4" s="153">
        <f>IF(AND(ISNUMBER(D4),ISNUMBER(F4)),ROUNDDOWN(MIN(IF(OR(ISBLANK(I4),I4=""),EOMONTH(DATE(EINSTELLUNG!$C$35,$A$1,1),0),I4)-MAX(D4,DATE(EINSTELLUNG!$C$35,$A$1,1))+1)/DAY(EOMONTH(DATE(EINSTELLUNG!$C$35,$A$1,1),0))*F4,2),"")</f>
        <v>144</v>
      </c>
      <c r="I4" s="49"/>
      <c r="J4" s="50"/>
      <c r="K4" s="152">
        <f t="shared" si="0"/>
        <v>0</v>
      </c>
      <c r="L4" s="154" t="str">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
      </c>
      <c r="M4" s="51"/>
      <c r="N4" s="74"/>
      <c r="O4" s="237"/>
      <c r="P4" s="237"/>
      <c r="Q4" s="237"/>
      <c r="R4" s="273"/>
      <c r="S4" s="149"/>
      <c r="T4" s="149"/>
      <c r="U4" s="149"/>
      <c r="V4" s="149"/>
    </row>
    <row r="5" spans="1:28" ht="22" customHeight="1">
      <c r="A5" s="175">
        <v>3</v>
      </c>
      <c r="B5" s="52">
        <v>401049</v>
      </c>
      <c r="C5" s="53" t="s">
        <v>225</v>
      </c>
      <c r="D5" s="54">
        <v>41130</v>
      </c>
      <c r="E5" s="55" t="s">
        <v>4</v>
      </c>
      <c r="F5" s="56">
        <v>173</v>
      </c>
      <c r="G5" s="152">
        <f>IF(OR(E5="",F5=""),"",PID_KVLohnLookup($A$1,E5,F5,LOHNTABELLE!$H$4))</f>
        <v>2123</v>
      </c>
      <c r="H5" s="153">
        <f>IF(AND(ISNUMBER(D5),ISNUMBER(F5)),ROUNDDOWN(MIN(IF(OR(ISBLANK(I5),I5=""),EOMONTH(DATE(EINSTELLUNG!$C$35,$A$1,1),0),I5)-MAX(D5,DATE(EINSTELLUNG!$C$35,$A$1,1))+1)/DAY(EOMONTH(DATE(EINSTELLUNG!$C$35,$A$1,1),0))*F5,2),"")</f>
        <v>173</v>
      </c>
      <c r="I5" s="57"/>
      <c r="J5" s="58"/>
      <c r="K5" s="152">
        <f t="shared" si="0"/>
        <v>0</v>
      </c>
      <c r="L5" s="15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9"/>
      <c r="N5" s="75"/>
      <c r="O5" s="155" cm="1">
        <f t="array" ref="O5">SUMPRODUCT((F3:F82/4.310808)/5*2.08)</f>
        <v>725.95088438176754</v>
      </c>
      <c r="P5" s="156">
        <f>EINSTELLUNG!I6</f>
        <v>600</v>
      </c>
      <c r="Q5" s="156">
        <f>P5-O5</f>
        <v>-125.95088438176754</v>
      </c>
      <c r="R5" s="157">
        <f>IFERROR(Q5*Q42, 0)</f>
        <v>-1462.8743518917433</v>
      </c>
      <c r="S5" s="149"/>
      <c r="T5" s="149"/>
      <c r="U5" s="149"/>
      <c r="V5" s="149"/>
    </row>
    <row r="6" spans="1:28" ht="22" customHeight="1">
      <c r="A6" s="175">
        <v>4</v>
      </c>
      <c r="B6" s="44">
        <v>401047</v>
      </c>
      <c r="C6" s="45" t="s">
        <v>226</v>
      </c>
      <c r="D6" s="46">
        <v>41154</v>
      </c>
      <c r="E6" s="47" t="s">
        <v>4</v>
      </c>
      <c r="F6" s="48">
        <v>173</v>
      </c>
      <c r="G6" s="152">
        <f>IF(OR(E6="",F6=""),"",PID_KVLohnLookup($A$1,E6,F6,LOHNTABELLE!$H$4))</f>
        <v>2123</v>
      </c>
      <c r="H6" s="153">
        <f>IF(AND(ISNUMBER(D6),ISNUMBER(F6)),ROUNDDOWN(MIN(IF(OR(ISBLANK(I6),I6=""),EOMONTH(DATE(EINSTELLUNG!$C$35,$A$1,1),0),I6)-MAX(D6,DATE(EINSTELLUNG!$C$35,$A$1,1))+1)/DAY(EOMONTH(DATE(EINSTELLUNG!$C$35,$A$1,1),0))*F6,2),"")</f>
        <v>173</v>
      </c>
      <c r="I6" s="49"/>
      <c r="J6" s="50"/>
      <c r="K6" s="152">
        <f t="shared" si="0"/>
        <v>0</v>
      </c>
      <c r="L6" s="15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2123</v>
      </c>
      <c r="M6" s="51"/>
      <c r="N6" s="74"/>
      <c r="O6" s="266" t="str">
        <f>IF(Q5&lt;0, "Schlecht! Zu wenig Urlaub abgebaut.", IF(Q5&gt;0, "Gut! Mehr Urlaub abgebaut als aufgebaut.", ""))</f>
        <v>Schlecht! Zu wenig Urlaub abgebaut.</v>
      </c>
      <c r="P6" s="267"/>
      <c r="Q6" s="267"/>
      <c r="R6" s="268"/>
      <c r="S6" s="149"/>
      <c r="T6" s="149"/>
      <c r="U6" s="149"/>
      <c r="V6" s="149"/>
    </row>
    <row r="7" spans="1:28" ht="22" customHeight="1" thickBot="1">
      <c r="A7" s="175">
        <v>5</v>
      </c>
      <c r="B7" s="52">
        <v>401051</v>
      </c>
      <c r="C7" s="53" t="s">
        <v>227</v>
      </c>
      <c r="D7" s="54">
        <v>41176</v>
      </c>
      <c r="E7" s="55" t="s">
        <v>2</v>
      </c>
      <c r="F7" s="56">
        <v>173</v>
      </c>
      <c r="G7" s="152">
        <f>IF(OR(E7="",F7=""),"",PID_KVLohnLookup($A$1,E7,F7,LOHNTABELLE!$H$4))</f>
        <v>2021</v>
      </c>
      <c r="H7" s="153">
        <f>IF(AND(ISNUMBER(D7),ISNUMBER(F7)),ROUNDDOWN(MIN(IF(OR(ISBLANK(I7),I7=""),EOMONTH(DATE(EINSTELLUNG!$C$35,$A$1,1),0),I7)-MAX(D7,DATE(EINSTELLUNG!$C$35,$A$1,1))+1)/DAY(EOMONTH(DATE(EINSTELLUNG!$C$35,$A$1,1),0))*F7,2),"")</f>
        <v>173</v>
      </c>
      <c r="I7" s="57"/>
      <c r="J7" s="58"/>
      <c r="K7" s="152">
        <f t="shared" si="0"/>
        <v>0</v>
      </c>
      <c r="L7" s="15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2021</v>
      </c>
      <c r="M7" s="59"/>
      <c r="N7" s="75"/>
      <c r="O7" s="149"/>
      <c r="P7" s="149"/>
      <c r="Q7" s="149"/>
      <c r="R7" s="149"/>
      <c r="S7" s="149"/>
      <c r="T7" s="149"/>
      <c r="U7" s="149"/>
      <c r="V7" s="149"/>
    </row>
    <row r="8" spans="1:28" ht="22" customHeight="1">
      <c r="A8" s="175">
        <v>6</v>
      </c>
      <c r="B8" s="44">
        <v>401138</v>
      </c>
      <c r="C8" s="45" t="s">
        <v>228</v>
      </c>
      <c r="D8" s="46">
        <v>42006</v>
      </c>
      <c r="E8" s="47" t="s">
        <v>4</v>
      </c>
      <c r="F8" s="48">
        <v>173</v>
      </c>
      <c r="G8" s="152">
        <f>IF(OR(E8="",F8=""),"",PID_KVLohnLookup($A$1,E8,F8,LOHNTABELLE!$H$4))</f>
        <v>2123</v>
      </c>
      <c r="H8" s="153">
        <f>IF(AND(ISNUMBER(D8),ISNUMBER(F8)),ROUNDDOWN(MIN(IF(OR(ISBLANK(I8),I8=""),EOMONTH(DATE(EINSTELLUNG!$C$35,$A$1,1),0),I8)-MAX(D8,DATE(EINSTELLUNG!$C$35,$A$1,1))+1)/DAY(EOMONTH(DATE(EINSTELLUNG!$C$35,$A$1,1),0))*F8,2),"")</f>
        <v>173</v>
      </c>
      <c r="I8" s="49"/>
      <c r="J8" s="50"/>
      <c r="K8" s="152">
        <f t="shared" si="0"/>
        <v>0</v>
      </c>
      <c r="L8" s="15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51"/>
      <c r="N8" s="76"/>
      <c r="O8" s="250" t="s">
        <v>56</v>
      </c>
      <c r="P8" s="251"/>
      <c r="Q8" s="252">
        <f>SUM(H3:H82)</f>
        <v>7313.03</v>
      </c>
      <c r="R8" s="253"/>
      <c r="S8" s="149"/>
      <c r="T8" s="149"/>
      <c r="U8" s="149"/>
      <c r="V8" s="149"/>
    </row>
    <row r="9" spans="1:28" ht="22" customHeight="1">
      <c r="A9" s="175">
        <v>7</v>
      </c>
      <c r="B9" s="52">
        <v>401197</v>
      </c>
      <c r="C9" s="53" t="s">
        <v>229</v>
      </c>
      <c r="D9" s="54">
        <v>42644</v>
      </c>
      <c r="E9" s="55" t="s">
        <v>3</v>
      </c>
      <c r="F9" s="56">
        <v>173</v>
      </c>
      <c r="G9" s="152">
        <f>IF(OR(E9="",F9=""),"",PID_KVLohnLookup($A$1,E9,F9,LOHNTABELLE!$H$4))</f>
        <v>2082</v>
      </c>
      <c r="H9" s="153">
        <f>IF(AND(ISNUMBER(D9),ISNUMBER(F9)),ROUNDDOWN(MIN(IF(OR(ISBLANK(I9),I9=""),EOMONTH(DATE(EINSTELLUNG!$C$35,$A$1,1),0),I9)-MAX(D9,DATE(EINSTELLUNG!$C$35,$A$1,1))+1)/DAY(EOMONTH(DATE(EINSTELLUNG!$C$35,$A$1,1),0))*F9,2),"")</f>
        <v>173</v>
      </c>
      <c r="I9" s="57"/>
      <c r="J9" s="58"/>
      <c r="K9" s="152">
        <f t="shared" si="0"/>
        <v>0</v>
      </c>
      <c r="L9" s="15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9"/>
      <c r="N9" s="77"/>
      <c r="O9" s="254" t="s">
        <v>58</v>
      </c>
      <c r="P9" s="255"/>
      <c r="Q9" s="269">
        <f>EINSTELLUNG!L22</f>
        <v>1</v>
      </c>
      <c r="R9" s="270"/>
      <c r="S9" s="158">
        <f>IFERROR(Q9/Q8, 0)</f>
        <v>1.3674222586260415E-4</v>
      </c>
      <c r="T9" s="149"/>
      <c r="U9" s="149"/>
      <c r="V9" s="149"/>
    </row>
    <row r="10" spans="1:28" ht="22" customHeight="1">
      <c r="A10" s="175">
        <v>8</v>
      </c>
      <c r="B10" s="44">
        <v>401276</v>
      </c>
      <c r="C10" s="45" t="s">
        <v>406</v>
      </c>
      <c r="D10" s="46">
        <v>38899</v>
      </c>
      <c r="E10" s="47" t="s">
        <v>2</v>
      </c>
      <c r="F10" s="48">
        <v>55</v>
      </c>
      <c r="G10" s="152">
        <f>IF(OR(E10="",F10=""),"",PID_KVLohnLookup($A$1,E10,F10,LOHNTABELLE!$H$4))</f>
        <v>666</v>
      </c>
      <c r="H10" s="153">
        <f>IF(AND(ISNUMBER(D10),ISNUMBER(F10)),ROUNDDOWN(MIN(IF(OR(ISBLANK(I10),I10=""),EOMONTH(DATE(EINSTELLUNG!$C$35,$A$1,1),0),I10)-MAX(D10,DATE(EINSTELLUNG!$C$35,$A$1,1))+1)/DAY(EOMONTH(DATE(EINSTELLUNG!$C$35,$A$1,1),0))*F10,2),"")</f>
        <v>55</v>
      </c>
      <c r="I10" s="49"/>
      <c r="J10" s="50"/>
      <c r="K10" s="152">
        <f t="shared" si="0"/>
        <v>0</v>
      </c>
      <c r="L10" s="15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666</v>
      </c>
      <c r="M10" s="51"/>
      <c r="N10" s="76"/>
      <c r="O10" s="254" t="s">
        <v>60</v>
      </c>
      <c r="P10" s="255"/>
      <c r="Q10" s="269">
        <f>EINSTELLUNG!I22</f>
        <v>150</v>
      </c>
      <c r="R10" s="270"/>
      <c r="S10" s="149"/>
      <c r="T10" s="149"/>
      <c r="U10" s="149"/>
      <c r="V10" s="149"/>
    </row>
    <row r="11" spans="1:28" ht="22" customHeight="1">
      <c r="A11" s="175">
        <v>9</v>
      </c>
      <c r="B11" s="52">
        <v>401307</v>
      </c>
      <c r="C11" s="53" t="s">
        <v>231</v>
      </c>
      <c r="D11" s="54">
        <v>43571</v>
      </c>
      <c r="E11" s="55" t="s">
        <v>2</v>
      </c>
      <c r="F11" s="56">
        <v>55</v>
      </c>
      <c r="G11" s="152">
        <f>IF(OR(E11="",F11=""),"",PID_KVLohnLookup($A$1,E11,F11,LOHNTABELLE!$H$4))</f>
        <v>666</v>
      </c>
      <c r="H11" s="153">
        <f>IF(AND(ISNUMBER(D11),ISNUMBER(F11)),ROUNDDOWN(MIN(IF(OR(ISBLANK(I11),I11=""),EOMONTH(DATE(EINSTELLUNG!$C$35,$A$1,1),0),I11)-MAX(D11,DATE(EINSTELLUNG!$C$35,$A$1,1))+1)/DAY(EOMONTH(DATE(EINSTELLUNG!$C$35,$A$1,1),0))*F11,2),"")</f>
        <v>55</v>
      </c>
      <c r="I11" s="57"/>
      <c r="J11" s="58"/>
      <c r="K11" s="152">
        <f t="shared" si="0"/>
        <v>0</v>
      </c>
      <c r="L11" s="15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9"/>
      <c r="N11" s="77"/>
      <c r="O11" s="254" t="s">
        <v>62</v>
      </c>
      <c r="P11" s="255"/>
      <c r="Q11" s="269">
        <f>P5</f>
        <v>600</v>
      </c>
      <c r="R11" s="270"/>
      <c r="S11" s="149"/>
      <c r="T11" s="149"/>
      <c r="U11" s="149"/>
      <c r="V11" s="149"/>
    </row>
    <row r="12" spans="1:28" ht="22" customHeight="1">
      <c r="A12" s="175">
        <v>10</v>
      </c>
      <c r="B12" s="44">
        <v>401308</v>
      </c>
      <c r="C12" s="45" t="s">
        <v>232</v>
      </c>
      <c r="D12" s="46">
        <v>43579</v>
      </c>
      <c r="E12" s="47" t="s">
        <v>3</v>
      </c>
      <c r="F12" s="48">
        <v>173</v>
      </c>
      <c r="G12" s="152">
        <f>IF(OR(E12="",F12=""),"",PID_KVLohnLookup($A$1,E12,F12,LOHNTABELLE!$H$4))</f>
        <v>2082</v>
      </c>
      <c r="H12" s="153">
        <f>IF(AND(ISNUMBER(D12),ISNUMBER(F12)),ROUNDDOWN(MIN(IF(OR(ISBLANK(I12),I12=""),EOMONTH(DATE(EINSTELLUNG!$C$35,$A$1,1),0),I12)-MAX(D12,DATE(EINSTELLUNG!$C$35,$A$1,1))+1)/DAY(EOMONTH(DATE(EINSTELLUNG!$C$35,$A$1,1),0))*F12,2),"")</f>
        <v>173</v>
      </c>
      <c r="I12" s="49"/>
      <c r="J12" s="50"/>
      <c r="K12" s="152">
        <f t="shared" si="0"/>
        <v>0</v>
      </c>
      <c r="L12" s="15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2082</v>
      </c>
      <c r="M12" s="51"/>
      <c r="N12" s="76"/>
      <c r="O12" s="254" t="s">
        <v>64</v>
      </c>
      <c r="P12" s="255"/>
      <c r="Q12" s="258">
        <v>300</v>
      </c>
      <c r="R12" s="259"/>
      <c r="S12" s="149"/>
      <c r="T12" s="149"/>
      <c r="U12" s="149"/>
      <c r="V12" s="149"/>
    </row>
    <row r="13" spans="1:28" ht="22" customHeight="1">
      <c r="A13" s="175">
        <v>11</v>
      </c>
      <c r="B13" s="52">
        <v>401394</v>
      </c>
      <c r="C13" s="53" t="s">
        <v>233</v>
      </c>
      <c r="D13" s="54">
        <v>44379</v>
      </c>
      <c r="E13" s="55" t="s">
        <v>2</v>
      </c>
      <c r="F13" s="56">
        <v>173</v>
      </c>
      <c r="G13" s="152">
        <f>IF(OR(E13="",F13=""),"",PID_KVLohnLookup($A$1,E13,F13,LOHNTABELLE!$H$4))</f>
        <v>2021</v>
      </c>
      <c r="H13" s="153">
        <f>IF(AND(ISNUMBER(D13),ISNUMBER(F13)),ROUNDDOWN(MIN(IF(OR(ISBLANK(I13),I13=""),EOMONTH(DATE(EINSTELLUNG!$C$35,$A$1,1),0),I13)-MAX(D13,DATE(EINSTELLUNG!$C$35,$A$1,1))+1)/DAY(EOMONTH(DATE(EINSTELLUNG!$C$35,$A$1,1),0))*F13,2),"")</f>
        <v>173</v>
      </c>
      <c r="I13" s="57"/>
      <c r="J13" s="58"/>
      <c r="K13" s="152">
        <f t="shared" si="0"/>
        <v>0</v>
      </c>
      <c r="L13" s="15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2021</v>
      </c>
      <c r="M13" s="59"/>
      <c r="N13" s="77"/>
      <c r="O13" s="254" t="s">
        <v>66</v>
      </c>
      <c r="P13" s="255"/>
      <c r="Q13" s="269">
        <f>Q8-Q9-Q10-Q11-Q12</f>
        <v>6262.03</v>
      </c>
      <c r="R13" s="270"/>
      <c r="S13" s="149"/>
      <c r="T13" s="149"/>
      <c r="U13" s="149"/>
      <c r="V13" s="149"/>
    </row>
    <row r="14" spans="1:28" ht="22" customHeight="1">
      <c r="A14" s="175">
        <v>12</v>
      </c>
      <c r="B14" s="44">
        <v>401389</v>
      </c>
      <c r="C14" s="45" t="s">
        <v>234</v>
      </c>
      <c r="D14" s="46">
        <v>44384</v>
      </c>
      <c r="E14" s="47" t="s">
        <v>4</v>
      </c>
      <c r="F14" s="48">
        <v>151.38</v>
      </c>
      <c r="G14" s="152">
        <f>IF(OR(E14="",F14=""),"",PID_KVLohnLookup($A$1,E14,F14,LOHNTABELLE!$H$4))</f>
        <v>1857.63</v>
      </c>
      <c r="H14" s="153">
        <f>IF(AND(ISNUMBER(D14),ISNUMBER(F14)),ROUNDDOWN(MIN(IF(OR(ISBLANK(I14),I14=""),EOMONTH(DATE(EINSTELLUNG!$C$35,$A$1,1),0),I14)-MAX(D14,DATE(EINSTELLUNG!$C$35,$A$1,1))+1)/DAY(EOMONTH(DATE(EINSTELLUNG!$C$35,$A$1,1),0))*F14,2),"")</f>
        <v>151.38</v>
      </c>
      <c r="I14" s="49"/>
      <c r="J14" s="50"/>
      <c r="K14" s="152">
        <f t="shared" si="0"/>
        <v>0</v>
      </c>
      <c r="L14" s="15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1857.63</v>
      </c>
      <c r="M14" s="51"/>
      <c r="N14" s="76"/>
      <c r="O14" s="254" t="s">
        <v>68</v>
      </c>
      <c r="P14" s="255"/>
      <c r="Q14" s="269">
        <f>EINSTELLUNG!L6</f>
        <v>9300</v>
      </c>
      <c r="R14" s="270"/>
      <c r="S14" s="149"/>
      <c r="T14" s="149"/>
      <c r="U14" s="149"/>
      <c r="V14" s="149"/>
    </row>
    <row r="15" spans="1:28" ht="22" customHeight="1" thickBot="1">
      <c r="A15" s="175">
        <v>13</v>
      </c>
      <c r="B15" s="52">
        <v>401432</v>
      </c>
      <c r="C15" s="53" t="s">
        <v>235</v>
      </c>
      <c r="D15" s="54">
        <v>44441</v>
      </c>
      <c r="E15" s="55" t="s">
        <v>2</v>
      </c>
      <c r="F15" s="56">
        <v>173</v>
      </c>
      <c r="G15" s="152">
        <f>IF(OR(E15="",F15=""),"",PID_KVLohnLookup($A$1,E15,F15,LOHNTABELLE!$H$4))</f>
        <v>2021</v>
      </c>
      <c r="H15" s="153">
        <f>IF(AND(ISNUMBER(D15),ISNUMBER(F15)),ROUNDDOWN(MIN(IF(OR(ISBLANK(I15),I15=""),EOMONTH(DATE(EINSTELLUNG!$C$35,$A$1,1),0),I15)-MAX(D15,DATE(EINSTELLUNG!$C$35,$A$1,1))+1)/DAY(EOMONTH(DATE(EINSTELLUNG!$C$35,$A$1,1),0))*F15,2),"")</f>
        <v>173</v>
      </c>
      <c r="I15" s="57"/>
      <c r="J15" s="58"/>
      <c r="K15" s="152">
        <f t="shared" si="0"/>
        <v>0</v>
      </c>
      <c r="L15" s="15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2021</v>
      </c>
      <c r="M15" s="59"/>
      <c r="N15" s="77"/>
      <c r="O15" s="240" t="s">
        <v>70</v>
      </c>
      <c r="P15" s="241"/>
      <c r="Q15" s="242">
        <f>Q13-Q14</f>
        <v>-3037.9700000000003</v>
      </c>
      <c r="R15" s="243"/>
      <c r="S15" s="160"/>
      <c r="T15" s="160"/>
      <c r="U15" s="160"/>
      <c r="V15" s="149"/>
    </row>
    <row r="16" spans="1:28" ht="22" customHeight="1" thickBot="1">
      <c r="A16" s="175">
        <v>14</v>
      </c>
      <c r="B16" s="44">
        <v>401558</v>
      </c>
      <c r="C16" s="45" t="s">
        <v>236</v>
      </c>
      <c r="D16" s="46">
        <v>44460</v>
      </c>
      <c r="E16" s="47" t="s">
        <v>2</v>
      </c>
      <c r="F16" s="48">
        <v>173</v>
      </c>
      <c r="G16" s="152">
        <f>IF(OR(E16="",F16=""),"",PID_KVLohnLookup($A$1,E16,F16,LOHNTABELLE!$H$4))</f>
        <v>2021</v>
      </c>
      <c r="H16" s="153">
        <f>IF(AND(ISNUMBER(D16),ISNUMBER(F16)),ROUNDDOWN(MIN(IF(OR(ISBLANK(I16),I16=""),EOMONTH(DATE(EINSTELLUNG!$C$35,$A$1,1),0),I16)-MAX(D16,DATE(EINSTELLUNG!$C$35,$A$1,1))+1)/DAY(EOMONTH(DATE(EINSTELLUNG!$C$35,$A$1,1),0))*F16,2),"")</f>
        <v>173</v>
      </c>
      <c r="I16" s="49"/>
      <c r="J16" s="50"/>
      <c r="K16" s="152">
        <f t="shared" si="0"/>
        <v>0</v>
      </c>
      <c r="L16" s="15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51"/>
      <c r="N16" s="76"/>
      <c r="O16" s="244" t="str">
        <f>IF(Q15&lt;0, "Schlecht! Zu wenig Stunden für Dienstplan.", IF(Q15&gt;0, "Du hast mehr als genug Stunden für Dienstplan.", ""))</f>
        <v>Schlecht! Zu wenig Stunden für Dienstplan.</v>
      </c>
      <c r="P16" s="245"/>
      <c r="Q16" s="245"/>
      <c r="R16" s="246"/>
      <c r="S16" s="161"/>
      <c r="T16" s="161"/>
      <c r="U16" s="161"/>
      <c r="V16" s="161"/>
      <c r="W16" s="162"/>
    </row>
    <row r="17" spans="1:29" ht="22" customHeight="1">
      <c r="A17" s="175">
        <v>15</v>
      </c>
      <c r="B17" s="52">
        <v>401476</v>
      </c>
      <c r="C17" s="53" t="s">
        <v>237</v>
      </c>
      <c r="D17" s="54">
        <v>44504</v>
      </c>
      <c r="E17" s="55" t="s">
        <v>2</v>
      </c>
      <c r="F17" s="56">
        <v>173</v>
      </c>
      <c r="G17" s="152">
        <f>IF(OR(E17="",F17=""),"",PID_KVLohnLookup($A$1,E17,F17,LOHNTABELLE!$H$4))</f>
        <v>2021</v>
      </c>
      <c r="H17" s="153">
        <f>IF(AND(ISNUMBER(D17),ISNUMBER(F17)),ROUNDDOWN(MIN(IF(OR(ISBLANK(I17),I17=""),EOMONTH(DATE(EINSTELLUNG!$C$35,$A$1,1),0),I17)-MAX(D17,DATE(EINSTELLUNG!$C$35,$A$1,1))+1)/DAY(EOMONTH(DATE(EINSTELLUNG!$C$35,$A$1,1),0))*F17,2),"")</f>
        <v>173</v>
      </c>
      <c r="I17" s="57"/>
      <c r="J17" s="58"/>
      <c r="K17" s="152">
        <f t="shared" si="0"/>
        <v>0</v>
      </c>
      <c r="L17" s="15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2021</v>
      </c>
      <c r="M17" s="59"/>
      <c r="N17" s="77"/>
      <c r="O17" s="250" t="s">
        <v>73</v>
      </c>
      <c r="P17" s="251"/>
      <c r="Q17" s="260">
        <f>SUM(L3:L82)</f>
        <v>84938.220752688168</v>
      </c>
      <c r="R17" s="261"/>
      <c r="S17" s="149"/>
      <c r="T17" s="149"/>
      <c r="U17" s="149"/>
      <c r="V17" s="149"/>
      <c r="W17" s="162"/>
    </row>
    <row r="18" spans="1:29" ht="22" customHeight="1">
      <c r="A18" s="175">
        <v>16</v>
      </c>
      <c r="B18" s="44">
        <v>401479</v>
      </c>
      <c r="C18" s="45" t="s">
        <v>238</v>
      </c>
      <c r="D18" s="46">
        <v>44511</v>
      </c>
      <c r="E18" s="47" t="s">
        <v>6</v>
      </c>
      <c r="F18" s="48">
        <v>173</v>
      </c>
      <c r="G18" s="152">
        <f>IF(OR(E18="",F18=""),"",PID_KVLohnLookup($A$1,E18,F18,LOHNTABELLE!$H$4))</f>
        <v>2160</v>
      </c>
      <c r="H18" s="153">
        <f>IF(AND(ISNUMBER(D18),ISNUMBER(F18)),ROUNDDOWN(MIN(IF(OR(ISBLANK(I18),I18=""),EOMONTH(DATE(EINSTELLUNG!$C$35,$A$1,1),0),I18)-MAX(D18,DATE(EINSTELLUNG!$C$35,$A$1,1))+1)/DAY(EOMONTH(DATE(EINSTELLUNG!$C$35,$A$1,1),0))*F18,2),"")</f>
        <v>173</v>
      </c>
      <c r="I18" s="49"/>
      <c r="J18" s="50"/>
      <c r="K18" s="152">
        <f t="shared" si="0"/>
        <v>0</v>
      </c>
      <c r="L18" s="15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51"/>
      <c r="N18" s="76"/>
      <c r="O18" s="248" t="s">
        <v>385</v>
      </c>
      <c r="P18" s="249"/>
      <c r="Q18" s="238">
        <v>20</v>
      </c>
      <c r="R18" s="239"/>
      <c r="S18" s="149"/>
      <c r="T18" s="149"/>
      <c r="U18" s="149"/>
      <c r="V18" s="149"/>
    </row>
    <row r="19" spans="1:29" ht="22" customHeight="1">
      <c r="A19" s="175">
        <v>17</v>
      </c>
      <c r="B19" s="52">
        <v>401481</v>
      </c>
      <c r="C19" s="53" t="s">
        <v>239</v>
      </c>
      <c r="D19" s="54">
        <v>44531</v>
      </c>
      <c r="E19" s="55" t="s">
        <v>3</v>
      </c>
      <c r="F19" s="56">
        <v>173</v>
      </c>
      <c r="G19" s="152">
        <f>IF(OR(E19="",F19=""),"",PID_KVLohnLookup($A$1,E19,F19,LOHNTABELLE!$H$4))</f>
        <v>2082</v>
      </c>
      <c r="H19" s="153">
        <f>IF(AND(ISNUMBER(D19),ISNUMBER(F19)),ROUNDDOWN(MIN(IF(OR(ISBLANK(I19),I19=""),EOMONTH(DATE(EINSTELLUNG!$C$35,$A$1,1),0),I19)-MAX(D19,DATE(EINSTELLUNG!$C$35,$A$1,1))+1)/DAY(EOMONTH(DATE(EINSTELLUNG!$C$35,$A$1,1),0))*F19,2),"")</f>
        <v>173</v>
      </c>
      <c r="I19" s="57"/>
      <c r="J19" s="58"/>
      <c r="K19" s="152">
        <f t="shared" si="0"/>
        <v>0</v>
      </c>
      <c r="L19" s="15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9"/>
      <c r="N19" s="77"/>
      <c r="O19" s="248" t="s">
        <v>296</v>
      </c>
      <c r="P19" s="249"/>
      <c r="Q19" s="238">
        <v>333</v>
      </c>
      <c r="R19" s="239"/>
      <c r="S19" s="149"/>
      <c r="T19" s="149"/>
      <c r="U19" s="149"/>
      <c r="V19" s="149"/>
    </row>
    <row r="20" spans="1:29" ht="22" customHeight="1">
      <c r="A20" s="175">
        <v>18</v>
      </c>
      <c r="B20" s="44">
        <v>401564</v>
      </c>
      <c r="C20" s="45" t="s">
        <v>240</v>
      </c>
      <c r="D20" s="46">
        <v>44824</v>
      </c>
      <c r="E20" s="47" t="s">
        <v>2</v>
      </c>
      <c r="F20" s="48">
        <v>151.38</v>
      </c>
      <c r="G20" s="152">
        <f>IF(OR(E20="",F20=""),"",PID_KVLohnLookup($A$1,E20,F20,LOHNTABELLE!$H$4))</f>
        <v>1768.38</v>
      </c>
      <c r="H20" s="153">
        <f>IF(AND(ISNUMBER(D20),ISNUMBER(F20)),ROUNDDOWN(MIN(IF(OR(ISBLANK(I20),I20=""),EOMONTH(DATE(EINSTELLUNG!$C$35,$A$1,1),0),I20)-MAX(D20,DATE(EINSTELLUNG!$C$35,$A$1,1))+1)/DAY(EOMONTH(DATE(EINSTELLUNG!$C$35,$A$1,1),0))*F20,2),"")</f>
        <v>151.38</v>
      </c>
      <c r="I20" s="49"/>
      <c r="J20" s="50"/>
      <c r="K20" s="152">
        <f t="shared" si="0"/>
        <v>0</v>
      </c>
      <c r="L20" s="15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1768.38</v>
      </c>
      <c r="M20" s="51"/>
      <c r="N20" s="76"/>
      <c r="O20" s="248" t="s">
        <v>296</v>
      </c>
      <c r="P20" s="249"/>
      <c r="Q20" s="238">
        <v>35</v>
      </c>
      <c r="R20" s="239"/>
      <c r="S20" s="149"/>
      <c r="T20" s="149"/>
      <c r="U20" s="149"/>
      <c r="V20" s="149"/>
    </row>
    <row r="21" spans="1:29" ht="22" customHeight="1">
      <c r="A21" s="175">
        <v>19</v>
      </c>
      <c r="B21" s="52">
        <v>401089</v>
      </c>
      <c r="C21" s="53" t="s">
        <v>241</v>
      </c>
      <c r="D21" s="54">
        <v>44868</v>
      </c>
      <c r="E21" s="55" t="s">
        <v>3</v>
      </c>
      <c r="F21" s="56">
        <v>173</v>
      </c>
      <c r="G21" s="152">
        <f>IF(OR(E21="",F21=""),"",PID_KVLohnLookup($A$1,E21,F21,LOHNTABELLE!$H$4))</f>
        <v>2082</v>
      </c>
      <c r="H21" s="153">
        <f>IF(AND(ISNUMBER(D21),ISNUMBER(F21)),ROUNDDOWN(MIN(IF(OR(ISBLANK(I21),I21=""),EOMONTH(DATE(EINSTELLUNG!$C$35,$A$1,1),0),I21)-MAX(D21,DATE(EINSTELLUNG!$C$35,$A$1,1))+1)/DAY(EOMONTH(DATE(EINSTELLUNG!$C$35,$A$1,1),0))*F21,2),"")</f>
        <v>173</v>
      </c>
      <c r="I21" s="57"/>
      <c r="J21" s="58"/>
      <c r="K21" s="152">
        <f t="shared" si="0"/>
        <v>0</v>
      </c>
      <c r="L21" s="15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9"/>
      <c r="N21" s="77"/>
      <c r="O21" s="248" t="s">
        <v>296</v>
      </c>
      <c r="P21" s="249"/>
      <c r="Q21" s="238">
        <v>100</v>
      </c>
      <c r="R21" s="239"/>
      <c r="S21" s="149"/>
      <c r="T21" s="149"/>
      <c r="U21" s="149"/>
      <c r="V21" s="149"/>
    </row>
    <row r="22" spans="1:29" ht="22" customHeight="1">
      <c r="A22" s="175">
        <v>20</v>
      </c>
      <c r="B22" s="44">
        <v>401583</v>
      </c>
      <c r="C22" s="45" t="s">
        <v>242</v>
      </c>
      <c r="D22" s="46">
        <v>44900</v>
      </c>
      <c r="E22" s="47" t="s">
        <v>13</v>
      </c>
      <c r="F22" s="48">
        <v>173</v>
      </c>
      <c r="G22" s="152">
        <f>IF(OR(E22="",F22=""),"",PID_KVLohnLookup($A$1,E22,F22,LOHNTABELLE!$H$4))</f>
        <v>2328</v>
      </c>
      <c r="H22" s="153">
        <f>IF(AND(ISNUMBER(D22),ISNUMBER(F22)),ROUNDDOWN(MIN(IF(OR(ISBLANK(I22),I22=""),EOMONTH(DATE(EINSTELLUNG!$C$35,$A$1,1),0),I22)-MAX(D22,DATE(EINSTELLUNG!$C$35,$A$1,1))+1)/DAY(EOMONTH(DATE(EINSTELLUNG!$C$35,$A$1,1),0))*F22,2),"")</f>
        <v>173</v>
      </c>
      <c r="I22" s="49"/>
      <c r="J22" s="50"/>
      <c r="K22" s="152">
        <f t="shared" si="0"/>
        <v>0</v>
      </c>
      <c r="L22" s="15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51"/>
      <c r="N22" s="76"/>
      <c r="O22" s="248" t="s">
        <v>296</v>
      </c>
      <c r="P22" s="249"/>
      <c r="Q22" s="238"/>
      <c r="R22" s="239"/>
      <c r="S22" s="149"/>
      <c r="T22" s="149"/>
      <c r="U22" s="149"/>
      <c r="V22" s="149"/>
    </row>
    <row r="23" spans="1:29" ht="22" customHeight="1">
      <c r="A23" s="175">
        <v>21</v>
      </c>
      <c r="B23" s="52">
        <v>401589</v>
      </c>
      <c r="C23" s="53" t="s">
        <v>243</v>
      </c>
      <c r="D23" s="54">
        <v>44926</v>
      </c>
      <c r="E23" s="55" t="s">
        <v>10</v>
      </c>
      <c r="F23" s="56">
        <v>173</v>
      </c>
      <c r="G23" s="152">
        <f>IF(OR(E23="",F23=""),"",PID_KVLohnLookup($A$1,E23,F23,LOHNTABELLE!$H$4))</f>
        <v>2300</v>
      </c>
      <c r="H23" s="153">
        <f>IF(AND(ISNUMBER(D23),ISNUMBER(F23)),ROUNDDOWN(MIN(IF(OR(ISBLANK(I23),I23=""),EOMONTH(DATE(EINSTELLUNG!$C$35,$A$1,1),0),I23)-MAX(D23,DATE(EINSTELLUNG!$C$35,$A$1,1))+1)/DAY(EOMONTH(DATE(EINSTELLUNG!$C$35,$A$1,1),0))*F23,2),"")</f>
        <v>173</v>
      </c>
      <c r="I23" s="57"/>
      <c r="J23" s="58"/>
      <c r="K23" s="152">
        <f t="shared" si="0"/>
        <v>0</v>
      </c>
      <c r="L23" s="15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9"/>
      <c r="N23" s="77"/>
      <c r="O23" s="248" t="s">
        <v>296</v>
      </c>
      <c r="P23" s="249"/>
      <c r="Q23" s="238">
        <v>5000</v>
      </c>
      <c r="R23" s="239"/>
      <c r="S23" s="149"/>
      <c r="T23" s="149"/>
      <c r="U23" s="149"/>
      <c r="V23" s="149"/>
      <c r="W23" s="162"/>
    </row>
    <row r="24" spans="1:29" ht="22" customHeight="1">
      <c r="A24" s="175">
        <v>22</v>
      </c>
      <c r="B24" s="44">
        <v>401602</v>
      </c>
      <c r="C24" s="45" t="s">
        <v>244</v>
      </c>
      <c r="D24" s="46">
        <v>45975</v>
      </c>
      <c r="E24" s="47" t="s">
        <v>2</v>
      </c>
      <c r="F24" s="48">
        <v>169</v>
      </c>
      <c r="G24" s="152">
        <f>IF(OR(E24="",F24=""),"",PID_KVLohnLookup($A$1,E24,F24,LOHNTABELLE!$H$4))</f>
        <v>2000</v>
      </c>
      <c r="H24" s="153">
        <f>IF(AND(ISNUMBER(D24),ISNUMBER(F24)),ROUNDDOWN(MIN(IF(OR(ISBLANK(I24),I24=""),EOMONTH(DATE(EINSTELLUNG!$C$35,$A$1,1),0),I24)-MAX(D24,DATE(EINSTELLUNG!$C$35,$A$1,1))+1)/DAY(EOMONTH(DATE(EINSTELLUNG!$C$35,$A$1,1),0))*F24,2),"")</f>
        <v>169</v>
      </c>
      <c r="I24" s="49"/>
      <c r="J24" s="50"/>
      <c r="K24" s="152">
        <f t="shared" si="0"/>
        <v>0</v>
      </c>
      <c r="L24" s="15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51"/>
      <c r="N24" s="76"/>
      <c r="O24" s="248"/>
      <c r="P24" s="249"/>
      <c r="Q24" s="238"/>
      <c r="R24" s="239"/>
      <c r="S24" s="149"/>
      <c r="T24" s="149"/>
      <c r="U24" s="149"/>
      <c r="V24" s="149"/>
      <c r="W24" s="162"/>
    </row>
    <row r="25" spans="1:29" ht="22" customHeight="1">
      <c r="A25" s="175">
        <v>23</v>
      </c>
      <c r="B25" s="52">
        <v>401406</v>
      </c>
      <c r="C25" s="53" t="s">
        <v>407</v>
      </c>
      <c r="D25" s="54">
        <v>36850</v>
      </c>
      <c r="E25" s="55" t="s">
        <v>10</v>
      </c>
      <c r="F25" s="56">
        <v>151.38</v>
      </c>
      <c r="G25" s="152">
        <f>IF(OR(E25="",F25=""),"",PID_KVLohnLookup($A$1,E25,F25,LOHNTABELLE!$H$4))</f>
        <v>2012.5</v>
      </c>
      <c r="H25" s="153">
        <f>IF(AND(ISNUMBER(D25),ISNUMBER(F25)),ROUNDDOWN(MIN(IF(OR(ISBLANK(I25),I25=""),EOMONTH(DATE(EINSTELLUNG!$C$35,$A$1,1),0),I25)-MAX(D25,DATE(EINSTELLUNG!$C$35,$A$1,1))+1)/DAY(EOMONTH(DATE(EINSTELLUNG!$C$35,$A$1,1),0))*F25,2),"")</f>
        <v>151.38</v>
      </c>
      <c r="I25" s="57"/>
      <c r="J25" s="58"/>
      <c r="K25" s="152">
        <f t="shared" si="0"/>
        <v>0</v>
      </c>
      <c r="L25" s="15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9"/>
      <c r="N25" s="77"/>
      <c r="O25" s="248"/>
      <c r="P25" s="249"/>
      <c r="Q25" s="238"/>
      <c r="R25" s="239"/>
      <c r="S25" s="149"/>
      <c r="T25" s="149"/>
      <c r="U25" s="149"/>
      <c r="V25" s="149"/>
    </row>
    <row r="26" spans="1:29" ht="22" customHeight="1">
      <c r="A26" s="175">
        <v>24</v>
      </c>
      <c r="B26" s="44">
        <v>401626</v>
      </c>
      <c r="C26" s="45" t="s">
        <v>246</v>
      </c>
      <c r="D26" s="46">
        <v>45063</v>
      </c>
      <c r="E26" s="47" t="s">
        <v>2</v>
      </c>
      <c r="F26" s="48">
        <v>173</v>
      </c>
      <c r="G26" s="152">
        <f>IF(OR(E26="",F26=""),"",PID_KVLohnLookup($A$1,E26,F26,LOHNTABELLE!$H$4))</f>
        <v>2021</v>
      </c>
      <c r="H26" s="153">
        <f>IF(AND(ISNUMBER(D26),ISNUMBER(F26)),ROUNDDOWN(MIN(IF(OR(ISBLANK(I26),I26=""),EOMONTH(DATE(EINSTELLUNG!$C$35,$A$1,1),0),I26)-MAX(D26,DATE(EINSTELLUNG!$C$35,$A$1,1))+1)/DAY(EOMONTH(DATE(EINSTELLUNG!$C$35,$A$1,1),0))*F26,2),"")</f>
        <v>173</v>
      </c>
      <c r="I26" s="49"/>
      <c r="J26" s="50"/>
      <c r="K26" s="152">
        <f t="shared" si="0"/>
        <v>0</v>
      </c>
      <c r="L26" s="15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2021</v>
      </c>
      <c r="M26" s="51"/>
      <c r="N26" s="76"/>
      <c r="O26" s="248"/>
      <c r="P26" s="249"/>
      <c r="Q26" s="238"/>
      <c r="R26" s="239"/>
      <c r="S26" s="149"/>
      <c r="T26" s="149"/>
      <c r="U26" s="149"/>
      <c r="V26" s="149"/>
    </row>
    <row r="27" spans="1:29" ht="22" customHeight="1">
      <c r="A27" s="175">
        <v>25</v>
      </c>
      <c r="B27" s="52">
        <v>401633</v>
      </c>
      <c r="C27" s="53" t="s">
        <v>247</v>
      </c>
      <c r="D27" s="54">
        <v>45089</v>
      </c>
      <c r="E27" s="55" t="s">
        <v>10</v>
      </c>
      <c r="F27" s="56">
        <v>173</v>
      </c>
      <c r="G27" s="152">
        <f>IF(OR(E27="",F27=""),"",PID_KVLohnLookup($A$1,E27,F27,LOHNTABELLE!$H$4))</f>
        <v>2300</v>
      </c>
      <c r="H27" s="153">
        <f>IF(AND(ISNUMBER(D27),ISNUMBER(F27)),ROUNDDOWN(MIN(IF(OR(ISBLANK(I27),I27=""),EOMONTH(DATE(EINSTELLUNG!$C$35,$A$1,1),0),I27)-MAX(D27,DATE(EINSTELLUNG!$C$35,$A$1,1))+1)/DAY(EOMONTH(DATE(EINSTELLUNG!$C$35,$A$1,1),0))*F27,2),"")</f>
        <v>173</v>
      </c>
      <c r="I27" s="57"/>
      <c r="J27" s="58"/>
      <c r="K27" s="152">
        <f t="shared" si="0"/>
        <v>0</v>
      </c>
      <c r="L27" s="15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9"/>
      <c r="N27" s="77"/>
      <c r="O27" s="248"/>
      <c r="P27" s="249"/>
      <c r="Q27" s="238"/>
      <c r="R27" s="239"/>
      <c r="S27" s="247" t="s">
        <v>84</v>
      </c>
      <c r="T27" s="247"/>
      <c r="U27" s="247"/>
      <c r="V27" s="247"/>
    </row>
    <row r="28" spans="1:29" ht="22" customHeight="1">
      <c r="A28" s="175">
        <v>26</v>
      </c>
      <c r="B28" s="44">
        <v>401647</v>
      </c>
      <c r="C28" s="45" t="s">
        <v>248</v>
      </c>
      <c r="D28" s="46">
        <v>45182</v>
      </c>
      <c r="E28" s="47" t="s">
        <v>2</v>
      </c>
      <c r="F28" s="48">
        <v>173</v>
      </c>
      <c r="G28" s="152">
        <f>IF(OR(E28="",F28=""),"",PID_KVLohnLookup($A$1,E28,F28,LOHNTABELLE!$H$4))</f>
        <v>2021</v>
      </c>
      <c r="H28" s="153">
        <f>IF(AND(ISNUMBER(D28),ISNUMBER(F28)),ROUNDDOWN(MIN(IF(OR(ISBLANK(I28),I28=""),EOMONTH(DATE(EINSTELLUNG!$C$35,$A$1,1),0),I28)-MAX(D28,DATE(EINSTELLUNG!$C$35,$A$1,1))+1)/DAY(EOMONTH(DATE(EINSTELLUNG!$C$35,$A$1,1),0))*F28,2),"")</f>
        <v>173</v>
      </c>
      <c r="I28" s="49"/>
      <c r="J28" s="50"/>
      <c r="K28" s="152">
        <f t="shared" si="0"/>
        <v>0</v>
      </c>
      <c r="L28" s="15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2021</v>
      </c>
      <c r="M28" s="51"/>
      <c r="N28" s="76"/>
      <c r="O28" s="248"/>
      <c r="P28" s="249"/>
      <c r="Q28" s="238"/>
      <c r="R28" s="239"/>
      <c r="S28" s="149"/>
      <c r="T28" s="149"/>
      <c r="U28" s="149"/>
      <c r="V28" s="149"/>
    </row>
    <row r="29" spans="1:29" ht="22" customHeight="1" thickBot="1">
      <c r="A29" s="175">
        <v>27</v>
      </c>
      <c r="B29" s="52">
        <v>401661</v>
      </c>
      <c r="C29" s="53" t="s">
        <v>249</v>
      </c>
      <c r="D29" s="54">
        <v>45261</v>
      </c>
      <c r="E29" s="55" t="s">
        <v>2</v>
      </c>
      <c r="F29" s="56">
        <v>173</v>
      </c>
      <c r="G29" s="152">
        <f>IF(OR(E29="",F29=""),"",PID_KVLohnLookup($A$1,E29,F29,LOHNTABELLE!$H$4))</f>
        <v>2021</v>
      </c>
      <c r="H29" s="153">
        <f>IF(AND(ISNUMBER(D29),ISNUMBER(F29)),ROUNDDOWN(MIN(IF(OR(ISBLANK(I29),I29=""),EOMONTH(DATE(EINSTELLUNG!$C$35,$A$1,1),0),I29)-MAX(D29,DATE(EINSTELLUNG!$C$35,$A$1,1))+1)/DAY(EOMONTH(DATE(EINSTELLUNG!$C$35,$A$1,1),0))*F29,2),"")</f>
        <v>173</v>
      </c>
      <c r="I29" s="57"/>
      <c r="J29" s="58"/>
      <c r="K29" s="152">
        <f t="shared" si="0"/>
        <v>0</v>
      </c>
      <c r="L29" s="15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9"/>
      <c r="N29" s="77"/>
      <c r="O29" s="240" t="s">
        <v>87</v>
      </c>
      <c r="P29" s="241"/>
      <c r="Q29" s="295">
        <f>EINSTELLUNG!O6</f>
        <v>1250</v>
      </c>
      <c r="R29" s="296"/>
      <c r="S29" s="149"/>
      <c r="T29" s="149"/>
      <c r="U29" s="149"/>
      <c r="V29" s="149"/>
    </row>
    <row r="30" spans="1:29" ht="22" customHeight="1" thickBot="1">
      <c r="A30" s="175">
        <v>28</v>
      </c>
      <c r="B30" s="44">
        <v>401670</v>
      </c>
      <c r="C30" s="45" t="s">
        <v>250</v>
      </c>
      <c r="D30" s="46">
        <v>45358</v>
      </c>
      <c r="E30" s="47" t="s">
        <v>2</v>
      </c>
      <c r="F30" s="48">
        <v>173</v>
      </c>
      <c r="G30" s="152">
        <f>IF(OR(E30="",F30=""),"",PID_KVLohnLookup($A$1,E30,F30,LOHNTABELLE!$H$4))</f>
        <v>2021</v>
      </c>
      <c r="H30" s="153">
        <f>IF(AND(ISNUMBER(D30),ISNUMBER(F30)),ROUNDDOWN(MIN(IF(OR(ISBLANK(I30),I30=""),EOMONTH(DATE(EINSTELLUNG!$C$35,$A$1,1),0),I30)-MAX(D30,DATE(EINSTELLUNG!$C$35,$A$1,1))+1)/DAY(EOMONTH(DATE(EINSTELLUNG!$C$35,$A$1,1),0))*F30,2),"")</f>
        <v>173</v>
      </c>
      <c r="I30" s="49"/>
      <c r="J30" s="50"/>
      <c r="K30" s="152">
        <f t="shared" si="0"/>
        <v>0</v>
      </c>
      <c r="L30" s="15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2021</v>
      </c>
      <c r="M30" s="51"/>
      <c r="N30" s="74"/>
      <c r="O30" s="149"/>
      <c r="P30" s="149"/>
      <c r="Q30" s="149"/>
      <c r="R30" s="149"/>
      <c r="S30" s="149"/>
      <c r="T30" s="149"/>
      <c r="U30" s="149"/>
      <c r="V30" s="149"/>
      <c r="W30" s="163"/>
      <c r="X30" s="163"/>
      <c r="Y30" s="163"/>
      <c r="Z30" s="163"/>
      <c r="AA30" s="163"/>
      <c r="AB30" s="163"/>
      <c r="AC30" s="163"/>
    </row>
    <row r="31" spans="1:29" ht="22" customHeight="1" thickBot="1">
      <c r="A31" s="175">
        <v>29</v>
      </c>
      <c r="B31" s="52">
        <v>401678</v>
      </c>
      <c r="C31" s="53" t="s">
        <v>251</v>
      </c>
      <c r="D31" s="54">
        <v>45414</v>
      </c>
      <c r="E31" s="55" t="s">
        <v>2</v>
      </c>
      <c r="F31" s="56">
        <v>173</v>
      </c>
      <c r="G31" s="152">
        <f>IF(OR(E31="",F31=""),"",PID_KVLohnLookup($A$1,E31,F31,LOHNTABELLE!$H$4))</f>
        <v>2021</v>
      </c>
      <c r="H31" s="153">
        <f>IF(AND(ISNUMBER(D31),ISNUMBER(F31)),ROUNDDOWN(MIN(IF(OR(ISBLANK(I31),I31=""),EOMONTH(DATE(EINSTELLUNG!$C$35,$A$1,1),0),I31)-MAX(D31,DATE(EINSTELLUNG!$C$35,$A$1,1))+1)/DAY(EOMONTH(DATE(EINSTELLUNG!$C$35,$A$1,1),0))*F31,2),"")</f>
        <v>173</v>
      </c>
      <c r="I31" s="57"/>
      <c r="J31" s="58"/>
      <c r="K31" s="152">
        <f t="shared" si="0"/>
        <v>0</v>
      </c>
      <c r="L31" s="15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9"/>
      <c r="N31" s="77"/>
      <c r="O31" s="299">
        <v>0</v>
      </c>
      <c r="P31" s="300"/>
      <c r="Q31" s="284">
        <v>3.9215686274509803E-2</v>
      </c>
      <c r="R31" s="285"/>
      <c r="S31" s="149"/>
      <c r="T31" s="149"/>
      <c r="U31" s="149"/>
      <c r="V31" s="149"/>
    </row>
    <row r="32" spans="1:29" ht="22" customHeight="1" thickBot="1">
      <c r="A32" s="175">
        <v>30</v>
      </c>
      <c r="B32" s="44">
        <v>401691</v>
      </c>
      <c r="C32" s="45" t="s">
        <v>252</v>
      </c>
      <c r="D32" s="46">
        <v>45539</v>
      </c>
      <c r="E32" s="47" t="s">
        <v>2</v>
      </c>
      <c r="F32" s="48">
        <v>173</v>
      </c>
      <c r="G32" s="152">
        <f>IF(OR(E32="",F32=""),"",PID_KVLohnLookup($A$1,E32,F32,LOHNTABELLE!$H$4))</f>
        <v>2021</v>
      </c>
      <c r="H32" s="153">
        <f>IF(AND(ISNUMBER(D32),ISNUMBER(F32)),ROUNDDOWN(MIN(IF(OR(ISBLANK(I32),I32=""),EOMONTH(DATE(EINSTELLUNG!$C$35,$A$1,1),0),I32)-MAX(D32,DATE(EINSTELLUNG!$C$35,$A$1,1))+1)/DAY(EOMONTH(DATE(EINSTELLUNG!$C$35,$A$1,1),0))*F32,2),"")</f>
        <v>139.51</v>
      </c>
      <c r="I32" s="49">
        <v>46047</v>
      </c>
      <c r="J32" s="50">
        <v>2</v>
      </c>
      <c r="K32" s="152">
        <f t="shared" si="0"/>
        <v>134.73333333333332</v>
      </c>
      <c r="L32" s="15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1764.5720430107526</v>
      </c>
      <c r="M32" s="51"/>
      <c r="N32" s="74" t="s">
        <v>186</v>
      </c>
      <c r="O32" s="149"/>
      <c r="P32" s="149"/>
      <c r="Q32" s="149"/>
      <c r="R32" s="149"/>
      <c r="S32" s="149"/>
      <c r="T32" s="149"/>
      <c r="U32" s="149"/>
      <c r="V32" s="149"/>
    </row>
    <row r="33" spans="1:22" ht="22" customHeight="1">
      <c r="A33" s="175">
        <v>31</v>
      </c>
      <c r="B33" s="52">
        <v>401690</v>
      </c>
      <c r="C33" s="53" t="s">
        <v>253</v>
      </c>
      <c r="D33" s="54">
        <v>45536</v>
      </c>
      <c r="E33" s="55" t="s">
        <v>2</v>
      </c>
      <c r="F33" s="56">
        <v>151.38</v>
      </c>
      <c r="G33" s="152">
        <f>IF(OR(E33="",F33=""),"",PID_KVLohnLookup($A$1,E33,F33,LOHNTABELLE!$H$4))</f>
        <v>1768.38</v>
      </c>
      <c r="H33" s="153">
        <f>IF(AND(ISNUMBER(D33),ISNUMBER(F33)),ROUNDDOWN(MIN(IF(OR(ISBLANK(I33),I33=""),EOMONTH(DATE(EINSTELLUNG!$C$35,$A$1,1),0),I33)-MAX(D33,DATE(EINSTELLUNG!$C$35,$A$1,1))+1)/DAY(EOMONTH(DATE(EINSTELLUNG!$C$35,$A$1,1),0))*F33,2),"")</f>
        <v>151.38</v>
      </c>
      <c r="I33" s="57"/>
      <c r="J33" s="58"/>
      <c r="K33" s="152">
        <f t="shared" si="0"/>
        <v>0</v>
      </c>
      <c r="L33" s="15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1768.38</v>
      </c>
      <c r="M33" s="59"/>
      <c r="N33" s="77"/>
      <c r="O33" s="290"/>
      <c r="P33" s="291"/>
      <c r="Q33" s="280" t="s">
        <v>93</v>
      </c>
      <c r="R33" s="280"/>
      <c r="S33" s="280" t="s">
        <v>94</v>
      </c>
      <c r="T33" s="280"/>
      <c r="U33" s="280" t="s">
        <v>95</v>
      </c>
      <c r="V33" s="282"/>
    </row>
    <row r="34" spans="1:22" ht="22" customHeight="1">
      <c r="A34" s="175">
        <v>32</v>
      </c>
      <c r="B34" s="44">
        <v>401703</v>
      </c>
      <c r="C34" s="45" t="s">
        <v>254</v>
      </c>
      <c r="D34" s="46">
        <v>45616</v>
      </c>
      <c r="E34" s="47" t="s">
        <v>2</v>
      </c>
      <c r="F34" s="48">
        <v>173</v>
      </c>
      <c r="G34" s="152">
        <f>IF(OR(E34="",F34=""),"",PID_KVLohnLookup($A$1,E34,F34,LOHNTABELLE!$H$4))</f>
        <v>2021</v>
      </c>
      <c r="H34" s="153">
        <f>IF(AND(ISNUMBER(D34),ISNUMBER(F34)),ROUNDDOWN(MIN(IF(OR(ISBLANK(I34),I34=""),EOMONTH(DATE(EINSTELLUNG!$C$35,$A$1,1),0),I34)-MAX(D34,DATE(EINSTELLUNG!$C$35,$A$1,1))+1)/DAY(EOMONTH(DATE(EINSTELLUNG!$C$35,$A$1,1),0))*F34,2),"")</f>
        <v>173</v>
      </c>
      <c r="I34" s="49"/>
      <c r="J34" s="50"/>
      <c r="K34" s="152">
        <f t="shared" si="0"/>
        <v>0</v>
      </c>
      <c r="L34" s="15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51"/>
      <c r="N34" s="76"/>
      <c r="O34" s="292"/>
      <c r="P34" s="293"/>
      <c r="Q34" s="281"/>
      <c r="R34" s="281"/>
      <c r="S34" s="281"/>
      <c r="T34" s="281"/>
      <c r="U34" s="281"/>
      <c r="V34" s="283"/>
    </row>
    <row r="35" spans="1:22" ht="22" customHeight="1">
      <c r="A35" s="175">
        <v>33</v>
      </c>
      <c r="B35" s="52">
        <v>401214</v>
      </c>
      <c r="C35" s="53" t="s">
        <v>255</v>
      </c>
      <c r="D35" s="54">
        <v>45636</v>
      </c>
      <c r="E35" s="55" t="s">
        <v>3</v>
      </c>
      <c r="F35" s="56">
        <v>173</v>
      </c>
      <c r="G35" s="152">
        <f>IF(OR(E35="",F35=""),"",PID_KVLohnLookup($A$1,E35,F35,LOHNTABELLE!$H$4))</f>
        <v>2082</v>
      </c>
      <c r="H35" s="153">
        <f>IF(AND(ISNUMBER(D35),ISNUMBER(F35)),ROUNDDOWN(MIN(IF(OR(ISBLANK(I35),I35=""),EOMONTH(DATE(EINSTELLUNG!$C$35,$A$1,1),0),I35)-MAX(D35,DATE(EINSTELLUNG!$C$35,$A$1,1))+1)/DAY(EOMONTH(DATE(EINSTELLUNG!$C$35,$A$1,1),0))*F35,2),"")</f>
        <v>173</v>
      </c>
      <c r="I35" s="57"/>
      <c r="J35" s="58"/>
      <c r="K35" s="152">
        <f t="shared" ref="K35:K66" si="1">IF(OR(B35="",C35=""),"",IFERROR(IF(OR(MONTH(D35)=1,MONTH(D35)=3,MONTH(D35)=5,MONTH(D35)=7,MONTH(D35)=8,MONTH(D35)=10,MONTH(D35)=12),(G35/31)*J35,IF(OR(MONTH(D35)=4,MONTH(D35)=6,MONTH(D35)=9,MONTH(D35)=11),(G35/30)*J35,(G35/DAY(EOMONTH(D35,0)))*J35)),0))</f>
        <v>0</v>
      </c>
      <c r="L35" s="15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2082</v>
      </c>
      <c r="M35" s="59"/>
      <c r="N35" s="77"/>
      <c r="O35" s="254" t="s">
        <v>98</v>
      </c>
      <c r="P35" s="255"/>
      <c r="Q35" s="256">
        <f>EINSTELLUNG!C6</f>
        <v>450000</v>
      </c>
      <c r="R35" s="256"/>
      <c r="S35" s="256">
        <f>EINSTELLUNG!C22</f>
        <v>450000</v>
      </c>
      <c r="T35" s="256"/>
      <c r="U35" s="256">
        <f>S35-Q35</f>
        <v>0</v>
      </c>
      <c r="V35" s="257"/>
    </row>
    <row r="36" spans="1:22" ht="22" customHeight="1">
      <c r="A36" s="175">
        <v>34</v>
      </c>
      <c r="B36" s="44">
        <v>401715</v>
      </c>
      <c r="C36" s="45" t="s">
        <v>256</v>
      </c>
      <c r="D36" s="46">
        <v>45755</v>
      </c>
      <c r="E36" s="47" t="s">
        <v>2</v>
      </c>
      <c r="F36" s="48">
        <v>173</v>
      </c>
      <c r="G36" s="152">
        <f>IF(OR(E36="",F36=""),"",PID_KVLohnLookup($A$1,E36,F36,LOHNTABELLE!$H$4))</f>
        <v>2021</v>
      </c>
      <c r="H36" s="153">
        <f>IF(AND(ISNUMBER(D36),ISNUMBER(F36)),ROUNDDOWN(MIN(IF(OR(ISBLANK(I36),I36=""),EOMONTH(DATE(EINSTELLUNG!$C$35,$A$1,1),0),I36)-MAX(D36,DATE(EINSTELLUNG!$C$35,$A$1,1))+1)/DAY(EOMONTH(DATE(EINSTELLUNG!$C$35,$A$1,1),0))*F36,2),"")</f>
        <v>173</v>
      </c>
      <c r="I36" s="49"/>
      <c r="J36" s="50"/>
      <c r="K36" s="152">
        <f t="shared" si="1"/>
        <v>0</v>
      </c>
      <c r="L36" s="15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51"/>
      <c r="N36" s="76"/>
      <c r="O36" s="254" t="s">
        <v>100</v>
      </c>
      <c r="P36" s="255"/>
      <c r="Q36" s="256">
        <f>EINSTELLUNG!D6</f>
        <v>100000</v>
      </c>
      <c r="R36" s="256"/>
      <c r="S36" s="256">
        <f ca="1">SumMergedCells(Q17:R29)</f>
        <v>91676.220799999996</v>
      </c>
      <c r="T36" s="256"/>
      <c r="U36" s="256">
        <f t="shared" ref="U36:U41" ca="1" si="2">S36-Q36</f>
        <v>-8323.7792000000045</v>
      </c>
      <c r="V36" s="257"/>
    </row>
    <row r="37" spans="1:22" ht="22" customHeight="1">
      <c r="A37" s="175">
        <v>35</v>
      </c>
      <c r="B37" s="52">
        <v>401716</v>
      </c>
      <c r="C37" s="53" t="s">
        <v>257</v>
      </c>
      <c r="D37" s="54">
        <v>45800</v>
      </c>
      <c r="E37" s="55" t="s">
        <v>2</v>
      </c>
      <c r="F37" s="56">
        <v>173</v>
      </c>
      <c r="G37" s="152">
        <f>IF(OR(E37="",F37=""),"",PID_KVLohnLookup($A$1,E37,F37,LOHNTABELLE!$H$4))</f>
        <v>2021</v>
      </c>
      <c r="H37" s="153">
        <f>IF(AND(ISNUMBER(D37),ISNUMBER(F37)),ROUNDDOWN(MIN(IF(OR(ISBLANK(I37),I37=""),EOMONTH(DATE(EINSTELLUNG!$C$35,$A$1,1),0),I37)-MAX(D37,DATE(EINSTELLUNG!$C$35,$A$1,1))+1)/DAY(EOMONTH(DATE(EINSTELLUNG!$C$35,$A$1,1),0))*F37,2),"")</f>
        <v>173</v>
      </c>
      <c r="I37" s="57"/>
      <c r="J37" s="58"/>
      <c r="K37" s="152">
        <f t="shared" si="1"/>
        <v>0</v>
      </c>
      <c r="L37" s="15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9"/>
      <c r="N37" s="77"/>
      <c r="O37" s="254" t="s">
        <v>102</v>
      </c>
      <c r="P37" s="255"/>
      <c r="Q37" s="278">
        <f>IF(ISERROR(Q36/Q35), 0, Q36/Q35)</f>
        <v>0.22222222222222221</v>
      </c>
      <c r="R37" s="278"/>
      <c r="S37" s="278">
        <f ca="1">IF(ISERROR(S36/S35), 0, S36/S35)</f>
        <v>0.20372493511111109</v>
      </c>
      <c r="T37" s="278"/>
      <c r="U37" s="278">
        <f t="shared" ca="1" si="2"/>
        <v>-1.8497287111111121E-2</v>
      </c>
      <c r="V37" s="279"/>
    </row>
    <row r="38" spans="1:22" ht="22" customHeight="1">
      <c r="A38" s="175">
        <v>36</v>
      </c>
      <c r="B38" s="44">
        <v>401717</v>
      </c>
      <c r="C38" s="45" t="s">
        <v>258</v>
      </c>
      <c r="D38" s="46">
        <v>45814</v>
      </c>
      <c r="E38" s="47" t="s">
        <v>2</v>
      </c>
      <c r="F38" s="48">
        <v>86.5</v>
      </c>
      <c r="G38" s="152">
        <f>IF(OR(E38="",F38=""),"",PID_KVLohnLookup($A$1,E38,F38,LOHNTABELLE!$H$4))</f>
        <v>1010.5</v>
      </c>
      <c r="H38" s="153">
        <f>IF(AND(ISNUMBER(D38),ISNUMBER(F38)),ROUNDDOWN(MIN(IF(OR(ISBLANK(I38),I38=""),EOMONTH(DATE(EINSTELLUNG!$C$35,$A$1,1),0),I38)-MAX(D38,DATE(EINSTELLUNG!$C$35,$A$1,1))+1)/DAY(EOMONTH(DATE(EINSTELLUNG!$C$35,$A$1,1),0))*F38,2),"")</f>
        <v>86.5</v>
      </c>
      <c r="I38" s="49"/>
      <c r="J38" s="50"/>
      <c r="K38" s="152">
        <f t="shared" si="1"/>
        <v>0</v>
      </c>
      <c r="L38" s="15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1010.5</v>
      </c>
      <c r="M38" s="51"/>
      <c r="N38" s="76"/>
      <c r="O38" s="254" t="s">
        <v>104</v>
      </c>
      <c r="P38" s="255"/>
      <c r="Q38" s="269">
        <f>EINSTELLUNG!F6</f>
        <v>30000</v>
      </c>
      <c r="R38" s="269"/>
      <c r="S38" s="269">
        <f>EINSTELLUNG!F22</f>
        <v>29000</v>
      </c>
      <c r="T38" s="269"/>
      <c r="U38" s="269">
        <f t="shared" si="2"/>
        <v>-1000</v>
      </c>
      <c r="V38" s="270"/>
    </row>
    <row r="39" spans="1:22" ht="22" customHeight="1">
      <c r="A39" s="175">
        <v>37</v>
      </c>
      <c r="B39" s="52">
        <v>401722</v>
      </c>
      <c r="C39" s="53" t="s">
        <v>259</v>
      </c>
      <c r="D39" s="54">
        <v>45848</v>
      </c>
      <c r="E39" s="55" t="s">
        <v>2</v>
      </c>
      <c r="F39" s="56">
        <v>86.5</v>
      </c>
      <c r="G39" s="152">
        <f>IF(OR(E39="",F39=""),"",PID_KVLohnLookup($A$1,E39,F39,LOHNTABELLE!$H$4))</f>
        <v>1010.5</v>
      </c>
      <c r="H39" s="153">
        <f>IF(AND(ISNUMBER(D39),ISNUMBER(F39)),ROUNDDOWN(MIN(IF(OR(ISBLANK(I39),I39=""),EOMONTH(DATE(EINSTELLUNG!$C$35,$A$1,1),0),I39)-MAX(D39,DATE(EINSTELLUNG!$C$35,$A$1,1))+1)/DAY(EOMONTH(DATE(EINSTELLUNG!$C$35,$A$1,1),0))*F39,2),"")</f>
        <v>86.5</v>
      </c>
      <c r="I39" s="57"/>
      <c r="J39" s="58"/>
      <c r="K39" s="152">
        <f t="shared" si="1"/>
        <v>0</v>
      </c>
      <c r="L39" s="15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9"/>
      <c r="N39" s="77"/>
      <c r="O39" s="254" t="s">
        <v>106</v>
      </c>
      <c r="P39" s="255"/>
      <c r="Q39" s="256">
        <f>IF(Q38=0, 0, Q35/Q38)</f>
        <v>15</v>
      </c>
      <c r="R39" s="256"/>
      <c r="S39" s="256">
        <f>IF(S38=0, 0, S35/S38)</f>
        <v>15.517241379310345</v>
      </c>
      <c r="T39" s="256"/>
      <c r="U39" s="256">
        <f t="shared" si="2"/>
        <v>0.5172413793103452</v>
      </c>
      <c r="V39" s="257"/>
    </row>
    <row r="40" spans="1:22" ht="22" customHeight="1">
      <c r="A40" s="175">
        <v>38</v>
      </c>
      <c r="B40" s="44">
        <v>401723</v>
      </c>
      <c r="C40" s="45" t="s">
        <v>260</v>
      </c>
      <c r="D40" s="46">
        <v>45852</v>
      </c>
      <c r="E40" s="47" t="s">
        <v>2</v>
      </c>
      <c r="F40" s="48">
        <v>86.5</v>
      </c>
      <c r="G40" s="152">
        <f>IF(OR(E40="",F40=""),"",PID_KVLohnLookup($A$1,E40,F40,LOHNTABELLE!$H$4))</f>
        <v>1010.5</v>
      </c>
      <c r="H40" s="153">
        <f>IF(AND(ISNUMBER(D40),ISNUMBER(F40)),ROUNDDOWN(MIN(IF(OR(ISBLANK(I40),I40=""),EOMONTH(DATE(EINSTELLUNG!$C$35,$A$1,1),0),I40)-MAX(D40,DATE(EINSTELLUNG!$C$35,$A$1,1))+1)/DAY(EOMONTH(DATE(EINSTELLUNG!$C$35,$A$1,1),0))*F40,2),"")</f>
        <v>86.5</v>
      </c>
      <c r="I40" s="49"/>
      <c r="J40" s="50"/>
      <c r="K40" s="152">
        <f t="shared" si="1"/>
        <v>0</v>
      </c>
      <c r="L40" s="15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51"/>
      <c r="N40" s="76"/>
      <c r="O40" s="254" t="s">
        <v>108</v>
      </c>
      <c r="P40" s="255"/>
      <c r="Q40" s="256">
        <f>IF(Q13=0, 0, Q35/Q13)</f>
        <v>71.8616806371097</v>
      </c>
      <c r="R40" s="256"/>
      <c r="S40" s="256">
        <f>IF(Q13=0, 0, S35/Q13)</f>
        <v>71.8616806371097</v>
      </c>
      <c r="T40" s="256"/>
      <c r="U40" s="256">
        <f t="shared" si="2"/>
        <v>0</v>
      </c>
      <c r="V40" s="257"/>
    </row>
    <row r="41" spans="1:22" ht="22" customHeight="1">
      <c r="A41" s="175">
        <v>39</v>
      </c>
      <c r="B41" s="52">
        <v>401726</v>
      </c>
      <c r="C41" s="53" t="s">
        <v>261</v>
      </c>
      <c r="D41" s="54">
        <v>45870</v>
      </c>
      <c r="E41" s="55" t="s">
        <v>2</v>
      </c>
      <c r="F41" s="56">
        <v>86.5</v>
      </c>
      <c r="G41" s="152">
        <f>IF(OR(E41="",F41=""),"",PID_KVLohnLookup($A$1,E41,F41,LOHNTABELLE!$H$4))</f>
        <v>1010.5</v>
      </c>
      <c r="H41" s="153">
        <f>IF(AND(ISNUMBER(D41),ISNUMBER(F41)),ROUNDDOWN(MIN(IF(OR(ISBLANK(I41),I41=""),EOMONTH(DATE(EINSTELLUNG!$C$35,$A$1,1),0),I41)-MAX(D41,DATE(EINSTELLUNG!$C$35,$A$1,1))+1)/DAY(EOMONTH(DATE(EINSTELLUNG!$C$35,$A$1,1),0))*F41,2),"")</f>
        <v>86.5</v>
      </c>
      <c r="I41" s="57"/>
      <c r="J41" s="58"/>
      <c r="K41" s="152">
        <f t="shared" si="1"/>
        <v>0</v>
      </c>
      <c r="L41" s="15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9"/>
      <c r="N41" s="77"/>
      <c r="O41" s="254" t="s">
        <v>110</v>
      </c>
      <c r="P41" s="255"/>
      <c r="Q41" s="269">
        <f>IF(Q13=0, 0, Q38/Q13)</f>
        <v>4.7907787091406462</v>
      </c>
      <c r="R41" s="269"/>
      <c r="S41" s="269">
        <f>IF(Q13=0, 0, S38/Q13)</f>
        <v>4.6310860855026243</v>
      </c>
      <c r="T41" s="269"/>
      <c r="U41" s="269">
        <f t="shared" si="2"/>
        <v>-0.15969262363802184</v>
      </c>
      <c r="V41" s="270"/>
    </row>
    <row r="42" spans="1:22" ht="22" customHeight="1">
      <c r="A42" s="175">
        <v>40</v>
      </c>
      <c r="B42" s="44">
        <v>401731</v>
      </c>
      <c r="C42" s="45" t="s">
        <v>262</v>
      </c>
      <c r="D42" s="46">
        <v>45899</v>
      </c>
      <c r="E42" s="47" t="s">
        <v>2</v>
      </c>
      <c r="F42" s="48">
        <v>86.5</v>
      </c>
      <c r="G42" s="152">
        <f>IF(OR(E42="",F42=""),"",PID_KVLohnLookup($A$1,E42,F42,LOHNTABELLE!$H$4))</f>
        <v>1010.5</v>
      </c>
      <c r="H42" s="153">
        <f>IF(AND(ISNUMBER(D42),ISNUMBER(F42)),ROUNDDOWN(MIN(IF(OR(ISBLANK(I42),I42=""),EOMONTH(DATE(EINSTELLUNG!$C$35,$A$1,1),0),I42)-MAX(D42,DATE(EINSTELLUNG!$C$35,$A$1,1))+1)/DAY(EOMONTH(DATE(EINSTELLUNG!$C$35,$A$1,1),0))*F42,2),"")</f>
        <v>86.5</v>
      </c>
      <c r="I42" s="49"/>
      <c r="J42" s="50"/>
      <c r="K42" s="152">
        <f t="shared" si="1"/>
        <v>0</v>
      </c>
      <c r="L42" s="15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51"/>
      <c r="N42" s="76"/>
      <c r="O42" s="262" t="s">
        <v>112</v>
      </c>
      <c r="P42" s="263"/>
      <c r="Q42" s="264">
        <f>IFERROR(Q17/Q8, 0)</f>
        <v>11.614641366531817</v>
      </c>
      <c r="R42" s="264"/>
      <c r="S42" s="264"/>
      <c r="T42" s="264"/>
      <c r="U42" s="264"/>
      <c r="V42" s="265"/>
    </row>
    <row r="43" spans="1:22" ht="22" customHeight="1">
      <c r="A43" s="175">
        <v>41</v>
      </c>
      <c r="B43" s="52">
        <v>401730</v>
      </c>
      <c r="C43" s="53" t="s">
        <v>263</v>
      </c>
      <c r="D43" s="54">
        <v>45895</v>
      </c>
      <c r="E43" s="55" t="s">
        <v>2</v>
      </c>
      <c r="F43" s="56">
        <v>86.5</v>
      </c>
      <c r="G43" s="152">
        <f>IF(OR(E43="",F43=""),"",PID_KVLohnLookup($A$1,E43,F43,LOHNTABELLE!$H$4))</f>
        <v>1010.5</v>
      </c>
      <c r="H43" s="153">
        <f>IF(AND(ISNUMBER(D43),ISNUMBER(F43)),ROUNDDOWN(MIN(IF(OR(ISBLANK(I43),I43=""),EOMONTH(DATE(EINSTELLUNG!$C$35,$A$1,1),0),I43)-MAX(D43,DATE(EINSTELLUNG!$C$35,$A$1,1))+1)/DAY(EOMONTH(DATE(EINSTELLUNG!$C$35,$A$1,1),0))*F43,2),"")</f>
        <v>86.5</v>
      </c>
      <c r="I43" s="57"/>
      <c r="J43" s="58"/>
      <c r="K43" s="152">
        <f t="shared" si="1"/>
        <v>0</v>
      </c>
      <c r="L43" s="15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9"/>
      <c r="N43" s="77"/>
      <c r="O43" s="164"/>
      <c r="P43" s="164"/>
      <c r="Q43" s="164"/>
      <c r="R43" s="149"/>
      <c r="S43" s="149"/>
      <c r="T43" s="149"/>
      <c r="U43" s="149"/>
      <c r="V43" s="149"/>
    </row>
    <row r="44" spans="1:22" ht="22" customHeight="1">
      <c r="A44" s="175">
        <v>42</v>
      </c>
      <c r="B44" s="44">
        <v>401734</v>
      </c>
      <c r="C44" s="45" t="s">
        <v>264</v>
      </c>
      <c r="D44" s="46">
        <v>45904</v>
      </c>
      <c r="E44" s="47" t="s">
        <v>2</v>
      </c>
      <c r="F44" s="48">
        <v>86.5</v>
      </c>
      <c r="G44" s="152">
        <f>IF(OR(E44="",F44=""),"",PID_KVLohnLookup($A$1,E44,F44,LOHNTABELLE!$H$4))</f>
        <v>1010.5</v>
      </c>
      <c r="H44" s="153">
        <f>IF(AND(ISNUMBER(D44),ISNUMBER(F44)),ROUNDDOWN(MIN(IF(OR(ISBLANK(I44),I44=""),EOMONTH(DATE(EINSTELLUNG!$C$35,$A$1,1),0),I44)-MAX(D44,DATE(EINSTELLUNG!$C$35,$A$1,1))+1)/DAY(EOMONTH(DATE(EINSTELLUNG!$C$35,$A$1,1),0))*F44,2),"")</f>
        <v>86.5</v>
      </c>
      <c r="I44" s="49"/>
      <c r="J44" s="50"/>
      <c r="K44" s="152">
        <f t="shared" si="1"/>
        <v>0</v>
      </c>
      <c r="L44" s="15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51"/>
      <c r="N44" s="76"/>
      <c r="O44" s="275" t="s">
        <v>115</v>
      </c>
      <c r="P44" s="275"/>
      <c r="Q44" s="275"/>
      <c r="R44" s="275"/>
      <c r="S44" s="275"/>
      <c r="T44" s="275"/>
      <c r="U44" s="275"/>
      <c r="V44" s="275"/>
    </row>
    <row r="45" spans="1:22" ht="22" customHeight="1">
      <c r="A45" s="175">
        <v>43</v>
      </c>
      <c r="B45" s="52">
        <v>401736</v>
      </c>
      <c r="C45" s="53" t="s">
        <v>265</v>
      </c>
      <c r="D45" s="54">
        <v>45906</v>
      </c>
      <c r="E45" s="55" t="s">
        <v>2</v>
      </c>
      <c r="F45" s="56">
        <v>86.5</v>
      </c>
      <c r="G45" s="152">
        <f>IF(OR(E45="",F45=""),"",PID_KVLohnLookup($A$1,E45,F45,LOHNTABELLE!$H$4))</f>
        <v>1010.5</v>
      </c>
      <c r="H45" s="153">
        <f>IF(AND(ISNUMBER(D45),ISNUMBER(F45)),ROUNDDOWN(MIN(IF(OR(ISBLANK(I45),I45=""),EOMONTH(DATE(EINSTELLUNG!$C$35,$A$1,1),0),I45)-MAX(D45,DATE(EINSTELLUNG!$C$35,$A$1,1))+1)/DAY(EOMONTH(DATE(EINSTELLUNG!$C$35,$A$1,1),0))*F45,2),"")</f>
        <v>86.5</v>
      </c>
      <c r="I45" s="57"/>
      <c r="J45" s="58"/>
      <c r="K45" s="152">
        <f t="shared" si="1"/>
        <v>0</v>
      </c>
      <c r="L45" s="15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9"/>
      <c r="N45" s="77"/>
      <c r="O45" s="276"/>
      <c r="P45" s="276"/>
      <c r="Q45" s="276"/>
      <c r="R45" s="277"/>
      <c r="S45" s="277"/>
      <c r="T45" s="277"/>
      <c r="U45" s="277"/>
      <c r="V45" s="149"/>
    </row>
    <row r="46" spans="1:22" ht="22" customHeight="1">
      <c r="A46" s="175">
        <v>44</v>
      </c>
      <c r="B46" s="44">
        <v>401737</v>
      </c>
      <c r="C46" s="45" t="s">
        <v>266</v>
      </c>
      <c r="D46" s="46">
        <v>45906</v>
      </c>
      <c r="E46" s="47" t="s">
        <v>2</v>
      </c>
      <c r="F46" s="48">
        <v>86.5</v>
      </c>
      <c r="G46" s="152">
        <f>IF(OR(E46="",F46=""),"",PID_KVLohnLookup($A$1,E46,F46,LOHNTABELLE!$H$4))</f>
        <v>1010.5</v>
      </c>
      <c r="H46" s="153">
        <f>IF(AND(ISNUMBER(D46),ISNUMBER(F46)),ROUNDDOWN(MIN(IF(OR(ISBLANK(I46),I46=""),EOMONTH(DATE(EINSTELLUNG!$C$35,$A$1,1),0),I46)-MAX(D46,DATE(EINSTELLUNG!$C$35,$A$1,1))+1)/DAY(EOMONTH(DATE(EINSTELLUNG!$C$35,$A$1,1),0))*F46,2),"")</f>
        <v>86.5</v>
      </c>
      <c r="I46" s="49"/>
      <c r="J46" s="50"/>
      <c r="K46" s="152">
        <f t="shared" si="1"/>
        <v>0</v>
      </c>
      <c r="L46" s="15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51"/>
      <c r="N46" s="76"/>
      <c r="O46" s="149"/>
      <c r="P46" s="149"/>
      <c r="Q46" s="149"/>
      <c r="R46" s="149"/>
      <c r="S46" s="149"/>
      <c r="T46" s="149"/>
      <c r="U46" s="149"/>
      <c r="V46" s="149"/>
    </row>
    <row r="47" spans="1:22" ht="22" customHeight="1">
      <c r="A47" s="175">
        <v>45</v>
      </c>
      <c r="B47" s="52">
        <v>401738</v>
      </c>
      <c r="C47" s="53" t="s">
        <v>267</v>
      </c>
      <c r="D47" s="54">
        <v>45909</v>
      </c>
      <c r="E47" s="55" t="s">
        <v>2</v>
      </c>
      <c r="F47" s="56">
        <v>86.5</v>
      </c>
      <c r="G47" s="152">
        <f>IF(OR(E47="",F47=""),"",PID_KVLohnLookup($A$1,E47,F47,LOHNTABELLE!$H$4))</f>
        <v>1010.5</v>
      </c>
      <c r="H47" s="153">
        <f>IF(AND(ISNUMBER(D47),ISNUMBER(F47)),ROUNDDOWN(MIN(IF(OR(ISBLANK(I47),I47=""),EOMONTH(DATE(EINSTELLUNG!$C$35,$A$1,1),0),I47)-MAX(D47,DATE(EINSTELLUNG!$C$35,$A$1,1))+1)/DAY(EOMONTH(DATE(EINSTELLUNG!$C$35,$A$1,1),0))*F47,2),"")</f>
        <v>86.5</v>
      </c>
      <c r="I47" s="57"/>
      <c r="J47" s="58"/>
      <c r="K47" s="152">
        <f t="shared" si="1"/>
        <v>0</v>
      </c>
      <c r="L47" s="15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9"/>
      <c r="N47" s="77"/>
      <c r="O47" s="149"/>
      <c r="P47" s="149"/>
      <c r="Q47" s="149"/>
      <c r="R47" s="149"/>
      <c r="S47" s="149"/>
      <c r="T47" s="149"/>
      <c r="U47" s="149"/>
      <c r="V47" s="149"/>
    </row>
    <row r="48" spans="1:22" ht="22" customHeight="1">
      <c r="A48" s="175">
        <v>46</v>
      </c>
      <c r="B48" s="44">
        <v>401747</v>
      </c>
      <c r="C48" s="45" t="s">
        <v>268</v>
      </c>
      <c r="D48" s="49">
        <v>45941</v>
      </c>
      <c r="E48" s="47" t="s">
        <v>2</v>
      </c>
      <c r="F48" s="48">
        <v>86.5</v>
      </c>
      <c r="G48" s="152">
        <f>IF(OR(E48="",F48=""),"",PID_KVLohnLookup($A$1,E48,F48,LOHNTABELLE!$H$4))</f>
        <v>1010.5</v>
      </c>
      <c r="H48" s="153">
        <f>IF(AND(ISNUMBER(D48),ISNUMBER(F48)),ROUNDDOWN(MIN(IF(OR(ISBLANK(I48),I48=""),EOMONTH(DATE(EINSTELLUNG!$C$35,$A$1,1),0),I48)-MAX(D48,DATE(EINSTELLUNG!$C$35,$A$1,1))+1)/DAY(EOMONTH(DATE(EINSTELLUNG!$C$35,$A$1,1),0))*F48,2),"")</f>
        <v>86.5</v>
      </c>
      <c r="I48" s="49"/>
      <c r="J48" s="50"/>
      <c r="K48" s="152">
        <f t="shared" si="1"/>
        <v>0</v>
      </c>
      <c r="L48" s="15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51"/>
      <c r="N48" s="76"/>
      <c r="O48" s="149"/>
      <c r="P48" s="149"/>
      <c r="Q48" s="149"/>
      <c r="R48" s="149"/>
      <c r="S48" s="149"/>
      <c r="T48" s="149"/>
      <c r="U48" s="149"/>
      <c r="V48" s="149"/>
    </row>
    <row r="49" spans="1:22" ht="22" customHeight="1">
      <c r="A49" s="175">
        <v>47</v>
      </c>
      <c r="B49" s="52">
        <v>401748</v>
      </c>
      <c r="C49" s="53" t="s">
        <v>269</v>
      </c>
      <c r="D49" s="57">
        <v>45941</v>
      </c>
      <c r="E49" s="55" t="s">
        <v>2</v>
      </c>
      <c r="F49" s="56">
        <v>138.4</v>
      </c>
      <c r="G49" s="152">
        <f>IF(OR(E49="",F49=""),"",PID_KVLohnLookup($A$1,E49,F49,LOHNTABELLE!$H$4))</f>
        <v>1616.8</v>
      </c>
      <c r="H49" s="153">
        <f>IF(AND(ISNUMBER(D49),ISNUMBER(F49)),ROUNDDOWN(MIN(IF(OR(ISBLANK(I49),I49=""),EOMONTH(DATE(EINSTELLUNG!$C$35,$A$1,1),0),I49)-MAX(D49,DATE(EINSTELLUNG!$C$35,$A$1,1))+1)/DAY(EOMONTH(DATE(EINSTELLUNG!$C$35,$A$1,1),0))*F49,2),"")</f>
        <v>138.4</v>
      </c>
      <c r="I49" s="57"/>
      <c r="J49" s="58"/>
      <c r="K49" s="152">
        <f t="shared" si="1"/>
        <v>0</v>
      </c>
      <c r="L49" s="15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1616.8</v>
      </c>
      <c r="M49" s="59"/>
      <c r="N49" s="77"/>
      <c r="O49" s="149"/>
      <c r="P49" s="149"/>
      <c r="Q49" s="149"/>
      <c r="R49" s="149"/>
      <c r="S49" s="149"/>
      <c r="T49" s="149"/>
      <c r="U49" s="149"/>
      <c r="V49" s="149"/>
    </row>
    <row r="50" spans="1:22" ht="22" customHeight="1">
      <c r="A50" s="175">
        <v>48</v>
      </c>
      <c r="B50" s="44">
        <v>401746</v>
      </c>
      <c r="C50" s="60" t="s">
        <v>270</v>
      </c>
      <c r="D50" s="49">
        <v>45941</v>
      </c>
      <c r="E50" s="47" t="s">
        <v>2</v>
      </c>
      <c r="F50" s="48">
        <v>86.5</v>
      </c>
      <c r="G50" s="152">
        <f>IF(OR(E50="",F50=""),"",PID_KVLohnLookup($A$1,E50,F50,LOHNTABELLE!$H$4))</f>
        <v>1010.5</v>
      </c>
      <c r="H50" s="153">
        <f>IF(AND(ISNUMBER(D50),ISNUMBER(F50)),ROUNDDOWN(MIN(IF(OR(ISBLANK(I50),I50=""),EOMONTH(DATE(EINSTELLUNG!$C$35,$A$1,1),0),I50)-MAX(D50,DATE(EINSTELLUNG!$C$35,$A$1,1))+1)/DAY(EOMONTH(DATE(EINSTELLUNG!$C$35,$A$1,1),0))*F50,2),"")</f>
        <v>86.5</v>
      </c>
      <c r="I50" s="49"/>
      <c r="J50" s="50"/>
      <c r="K50" s="152">
        <f t="shared" si="1"/>
        <v>0</v>
      </c>
      <c r="L50" s="15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51"/>
      <c r="N50" s="76"/>
      <c r="O50" s="149"/>
      <c r="P50" s="149"/>
      <c r="Q50" s="149"/>
      <c r="R50" s="149"/>
      <c r="S50" s="149"/>
      <c r="T50" s="149"/>
      <c r="U50" s="149"/>
      <c r="V50" s="149"/>
    </row>
    <row r="51" spans="1:22" ht="22" customHeight="1">
      <c r="A51" s="175">
        <v>49</v>
      </c>
      <c r="B51" s="52">
        <v>401745</v>
      </c>
      <c r="C51" s="53" t="s">
        <v>271</v>
      </c>
      <c r="D51" s="57">
        <v>45934</v>
      </c>
      <c r="E51" s="55" t="s">
        <v>2</v>
      </c>
      <c r="F51" s="56">
        <v>86.5</v>
      </c>
      <c r="G51" s="152">
        <f>IF(OR(E51="",F51=""),"",PID_KVLohnLookup($A$1,E51,F51,LOHNTABELLE!$H$4))</f>
        <v>1010.5</v>
      </c>
      <c r="H51" s="153">
        <f>IF(AND(ISNUMBER(D51),ISNUMBER(F51)),ROUNDDOWN(MIN(IF(OR(ISBLANK(I51),I51=""),EOMONTH(DATE(EINSTELLUNG!$C$35,$A$1,1),0),I51)-MAX(D51,DATE(EINSTELLUNG!$C$35,$A$1,1))+1)/DAY(EOMONTH(DATE(EINSTELLUNG!$C$35,$A$1,1),0))*F51,2),"")</f>
        <v>86.5</v>
      </c>
      <c r="I51" s="57"/>
      <c r="J51" s="58"/>
      <c r="K51" s="152">
        <f t="shared" si="1"/>
        <v>0</v>
      </c>
      <c r="L51" s="15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9"/>
      <c r="N51" s="75"/>
    </row>
    <row r="52" spans="1:22" ht="22" customHeight="1">
      <c r="A52" s="175">
        <v>50</v>
      </c>
      <c r="B52" s="44">
        <v>401751</v>
      </c>
      <c r="C52" s="45" t="s">
        <v>272</v>
      </c>
      <c r="D52" s="49">
        <v>45961</v>
      </c>
      <c r="E52" s="47" t="s">
        <v>2</v>
      </c>
      <c r="F52" s="48">
        <v>86.5</v>
      </c>
      <c r="G52" s="152">
        <f>IF(OR(E52="",F52=""),"",PID_KVLohnLookup($A$1,E52,F52,LOHNTABELLE!$H$4))</f>
        <v>1010.5</v>
      </c>
      <c r="H52" s="153">
        <f>IF(AND(ISNUMBER(D52),ISNUMBER(F52)),ROUNDDOWN(MIN(IF(OR(ISBLANK(I52),I52=""),EOMONTH(DATE(EINSTELLUNG!$C$35,$A$1,1),0),I52)-MAX(D52,DATE(EINSTELLUNG!$C$35,$A$1,1))+1)/DAY(EOMONTH(DATE(EINSTELLUNG!$C$35,$A$1,1),0))*F52,2),"")</f>
        <v>86.5</v>
      </c>
      <c r="I52" s="49"/>
      <c r="J52" s="50"/>
      <c r="K52" s="152">
        <f t="shared" si="1"/>
        <v>0</v>
      </c>
      <c r="L52" s="15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1010.5</v>
      </c>
      <c r="M52" s="51"/>
      <c r="N52" s="74"/>
    </row>
    <row r="53" spans="1:22" ht="22" customHeight="1">
      <c r="A53" s="175">
        <v>51</v>
      </c>
      <c r="B53" s="52">
        <v>401752</v>
      </c>
      <c r="C53" s="53" t="s">
        <v>273</v>
      </c>
      <c r="D53" s="57">
        <v>45986</v>
      </c>
      <c r="E53" s="55" t="s">
        <v>2</v>
      </c>
      <c r="F53" s="56">
        <v>173</v>
      </c>
      <c r="G53" s="152">
        <f>IF(OR(E53="",F53=""),"",PID_KVLohnLookup($A$1,E53,F53,LOHNTABELLE!$H$4))</f>
        <v>2021</v>
      </c>
      <c r="H53" s="153">
        <f>IF(AND(ISNUMBER(D53),ISNUMBER(F53)),ROUNDDOWN(MIN(IF(OR(ISBLANK(I53),I53=""),EOMONTH(DATE(EINSTELLUNG!$C$35,$A$1,1),0),I53)-MAX(D53,DATE(EINSTELLUNG!$C$35,$A$1,1))+1)/DAY(EOMONTH(DATE(EINSTELLUNG!$C$35,$A$1,1),0))*F53,2),"")</f>
        <v>173</v>
      </c>
      <c r="I53" s="57"/>
      <c r="J53" s="58"/>
      <c r="K53" s="152">
        <f t="shared" si="1"/>
        <v>0</v>
      </c>
      <c r="L53" s="15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2021</v>
      </c>
      <c r="M53" s="59"/>
      <c r="N53" s="75"/>
    </row>
    <row r="54" spans="1:22" ht="22" customHeight="1">
      <c r="A54" s="175">
        <v>52</v>
      </c>
      <c r="B54" s="44">
        <v>401754</v>
      </c>
      <c r="C54" s="45" t="s">
        <v>274</v>
      </c>
      <c r="D54" s="49">
        <v>46014</v>
      </c>
      <c r="E54" s="47" t="s">
        <v>2</v>
      </c>
      <c r="F54" s="48">
        <v>151.38</v>
      </c>
      <c r="G54" s="152">
        <f>IF(OR(E54="",F54=""),"",PID_KVLohnLookup($A$1,E54,F54,LOHNTABELLE!$H$4))</f>
        <v>1768.38</v>
      </c>
      <c r="H54" s="153">
        <f>IF(AND(ISNUMBER(D54),ISNUMBER(F54)),ROUNDDOWN(MIN(IF(OR(ISBLANK(I54),I54=""),EOMONTH(DATE(EINSTELLUNG!$C$35,$A$1,1),0),I54)-MAX(D54,DATE(EINSTELLUNG!$C$35,$A$1,1))+1)/DAY(EOMONTH(DATE(EINSTELLUNG!$C$35,$A$1,1),0))*F54,2),"")</f>
        <v>151.38</v>
      </c>
      <c r="I54" s="49"/>
      <c r="J54" s="50"/>
      <c r="K54" s="152">
        <f t="shared" si="1"/>
        <v>0</v>
      </c>
      <c r="L54" s="15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1768.38</v>
      </c>
      <c r="M54" s="51"/>
      <c r="N54" s="74"/>
    </row>
    <row r="55" spans="1:22" ht="22" customHeight="1">
      <c r="A55" s="175">
        <v>53</v>
      </c>
      <c r="B55" s="52">
        <v>401999</v>
      </c>
      <c r="C55" s="53" t="s">
        <v>358</v>
      </c>
      <c r="D55" s="57">
        <v>46041</v>
      </c>
      <c r="E55" s="55" t="s">
        <v>2</v>
      </c>
      <c r="F55" s="56">
        <v>151.38</v>
      </c>
      <c r="G55" s="152">
        <f>IF(OR(E55="",F55=""),"",PID_KVLohnLookup($A$1,E55,F55,LOHNTABELLE!$H$4))</f>
        <v>1768.38</v>
      </c>
      <c r="H55" s="153">
        <f>IF(AND(ISNUMBER(D55),ISNUMBER(F55)),ROUNDDOWN(MIN(IF(OR(ISBLANK(I55),I55=""),EOMONTH(DATE(EINSTELLUNG!$C$35,$A$1,1),0),I55)-MAX(D55,DATE(EINSTELLUNG!$C$35,$A$1,1))+1)/DAY(EOMONTH(DATE(EINSTELLUNG!$C$35,$A$1,1),0))*F55,2),"")</f>
        <v>63.48</v>
      </c>
      <c r="I55" s="57"/>
      <c r="J55" s="58"/>
      <c r="K55" s="152">
        <f t="shared" si="1"/>
        <v>0</v>
      </c>
      <c r="L55" s="15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741.5787096774194</v>
      </c>
      <c r="M55" s="59"/>
      <c r="N55" s="75"/>
    </row>
    <row r="56" spans="1:22" ht="22" customHeight="1">
      <c r="A56" s="175">
        <v>54</v>
      </c>
      <c r="B56" s="44"/>
      <c r="C56" s="45"/>
      <c r="D56" s="49"/>
      <c r="E56" s="47"/>
      <c r="F56" s="48"/>
      <c r="G56" s="152" t="str">
        <f>IF(OR(E56="",F56=""),"",PID_KVLohnLookup($A$1,E56,F56,LOHNTABELLE!$H$4))</f>
        <v/>
      </c>
      <c r="H56" s="153" t="str">
        <f>IF(AND(ISNUMBER(D56),ISNUMBER(F56)),ROUNDDOWN(MIN(IF(OR(ISBLANK(I56),I56=""),EOMONTH(DATE(EINSTELLUNG!$C$35,$A$1,1),0),I56)-MAX(D56,DATE(EINSTELLUNG!$C$35,$A$1,1))+1)/DAY(EOMONTH(DATE(EINSTELLUNG!$C$35,$A$1,1),0))*F56,2),"")</f>
        <v/>
      </c>
      <c r="I56" s="49"/>
      <c r="J56" s="50"/>
      <c r="K56" s="152" t="str">
        <f t="shared" si="1"/>
        <v/>
      </c>
      <c r="L56" s="154" t="str">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
      </c>
      <c r="M56" s="51"/>
      <c r="N56" s="74"/>
    </row>
    <row r="57" spans="1:22" ht="22" customHeight="1">
      <c r="A57" s="175">
        <v>55</v>
      </c>
      <c r="B57" s="52"/>
      <c r="C57" s="53"/>
      <c r="D57" s="57"/>
      <c r="E57" s="55"/>
      <c r="F57" s="56"/>
      <c r="G57" s="152" t="str">
        <f>IF(OR(E57="",F57=""),"",PID_KVLohnLookup($A$1,E57,F57,LOHNTABELLE!$H$4))</f>
        <v/>
      </c>
      <c r="H57" s="153" t="str">
        <f>IF(AND(ISNUMBER(D57),ISNUMBER(F57)),ROUNDDOWN(MIN(IF(OR(ISBLANK(I57),I57=""),EOMONTH(DATE(EINSTELLUNG!$C$35,$A$1,1),0),I57)-MAX(D57,DATE(EINSTELLUNG!$C$35,$A$1,1))+1)/DAY(EOMONTH(DATE(EINSTELLUNG!$C$35,$A$1,1),0))*F57,2),"")</f>
        <v/>
      </c>
      <c r="I57" s="57"/>
      <c r="J57" s="58"/>
      <c r="K57" s="152" t="str">
        <f t="shared" si="1"/>
        <v/>
      </c>
      <c r="L57" s="154" t="str">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
      </c>
      <c r="M57" s="59"/>
      <c r="N57" s="75"/>
    </row>
    <row r="58" spans="1:22" ht="22" customHeight="1">
      <c r="A58" s="175">
        <v>56</v>
      </c>
      <c r="B58" s="44"/>
      <c r="C58" s="45"/>
      <c r="D58" s="49"/>
      <c r="E58" s="47"/>
      <c r="F58" s="48"/>
      <c r="G58" s="152" t="str">
        <f>IF(OR(E58="",F58=""),"",PID_KVLohnLookup($A$1,E58,F58,LOHNTABELLE!$H$4))</f>
        <v/>
      </c>
      <c r="H58" s="153" t="str">
        <f>IF(AND(ISNUMBER(D58),ISNUMBER(F58)),ROUNDDOWN(MIN(IF(OR(ISBLANK(I58),I58=""),EOMONTH(DATE(EINSTELLUNG!$C$35,$A$1,1),0),I58)-MAX(D58,DATE(EINSTELLUNG!$C$35,$A$1,1))+1)/DAY(EOMONTH(DATE(EINSTELLUNG!$C$35,$A$1,1),0))*F58,2),"")</f>
        <v/>
      </c>
      <c r="I58" s="49"/>
      <c r="J58" s="50"/>
      <c r="K58" s="152" t="str">
        <f t="shared" si="1"/>
        <v/>
      </c>
      <c r="L58" s="154" t="str">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
      </c>
      <c r="M58" s="51"/>
      <c r="N58" s="74"/>
    </row>
    <row r="59" spans="1:22" ht="22" customHeight="1">
      <c r="A59" s="175">
        <v>57</v>
      </c>
      <c r="B59" s="52"/>
      <c r="C59" s="53"/>
      <c r="D59" s="57"/>
      <c r="E59" s="55"/>
      <c r="F59" s="56"/>
      <c r="G59" s="152" t="str">
        <f>IF(OR(E59="",F59=""),"",PID_KVLohnLookup($A$1,E59,F59,LOHNTABELLE!$H$4))</f>
        <v/>
      </c>
      <c r="H59" s="153" t="str">
        <f>IF(AND(ISNUMBER(D59),ISNUMBER(F59)),ROUNDDOWN(MIN(IF(OR(ISBLANK(I59),I59=""),EOMONTH(DATE(EINSTELLUNG!$C$35,$A$1,1),0),I59)-MAX(D59,DATE(EINSTELLUNG!$C$35,$A$1,1))+1)/DAY(EOMONTH(DATE(EINSTELLUNG!$C$35,$A$1,1),0))*F59,2),"")</f>
        <v/>
      </c>
      <c r="I59" s="57"/>
      <c r="J59" s="58"/>
      <c r="K59" s="152" t="str">
        <f t="shared" si="1"/>
        <v/>
      </c>
      <c r="L59" s="154" t="str">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
      </c>
      <c r="M59" s="59"/>
      <c r="N59" s="75"/>
    </row>
    <row r="60" spans="1:22" ht="22" customHeight="1">
      <c r="A60" s="175">
        <v>58</v>
      </c>
      <c r="B60" s="44"/>
      <c r="C60" s="45"/>
      <c r="D60" s="49"/>
      <c r="E60" s="47"/>
      <c r="F60" s="48"/>
      <c r="G60" s="152" t="str">
        <f>IF(OR(E60="",F60=""),"",PID_KVLohnLookup($A$1,E60,F60,LOHNTABELLE!$H$4))</f>
        <v/>
      </c>
      <c r="H60" s="153" t="str">
        <f>IF(AND(ISNUMBER(D60),ISNUMBER(F60)),ROUNDDOWN(MIN(IF(OR(ISBLANK(I60),I60=""),EOMONTH(DATE(EINSTELLUNG!$C$35,$A$1,1),0),I60)-MAX(D60,DATE(EINSTELLUNG!$C$35,$A$1,1))+1)/DAY(EOMONTH(DATE(EINSTELLUNG!$C$35,$A$1,1),0))*F60,2),"")</f>
        <v/>
      </c>
      <c r="I60" s="49"/>
      <c r="J60" s="50"/>
      <c r="K60" s="152" t="str">
        <f t="shared" si="1"/>
        <v/>
      </c>
      <c r="L60" s="154" t="str">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
      </c>
      <c r="M60" s="51"/>
      <c r="N60" s="74"/>
    </row>
    <row r="61" spans="1:22" ht="22" customHeight="1">
      <c r="A61" s="175">
        <v>59</v>
      </c>
      <c r="B61" s="52"/>
      <c r="C61" s="53"/>
      <c r="D61" s="57"/>
      <c r="E61" s="55"/>
      <c r="F61" s="56"/>
      <c r="G61" s="152" t="str">
        <f>IF(OR(E61="",F61=""),"",PID_KVLohnLookup($A$1,E61,F61,LOHNTABELLE!$H$4))</f>
        <v/>
      </c>
      <c r="H61" s="153" t="str">
        <f>IF(AND(ISNUMBER(D61),ISNUMBER(F61)),ROUNDDOWN(MIN(IF(OR(ISBLANK(I61),I61=""),EOMONTH(DATE(EINSTELLUNG!$C$35,$A$1,1),0),I61)-MAX(D61,DATE(EINSTELLUNG!$C$35,$A$1,1))+1)/DAY(EOMONTH(DATE(EINSTELLUNG!$C$35,$A$1,1),0))*F61,2),"")</f>
        <v/>
      </c>
      <c r="I61" s="57"/>
      <c r="J61" s="58"/>
      <c r="K61" s="152" t="str">
        <f t="shared" si="1"/>
        <v/>
      </c>
      <c r="L61" s="15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9"/>
      <c r="N61" s="75"/>
    </row>
    <row r="62" spans="1:22" ht="22" customHeight="1">
      <c r="A62" s="175">
        <v>60</v>
      </c>
      <c r="B62" s="44"/>
      <c r="C62" s="45"/>
      <c r="D62" s="49"/>
      <c r="E62" s="47"/>
      <c r="F62" s="48"/>
      <c r="G62" s="152" t="str">
        <f>IF(OR(E62="",F62=""),"",PID_KVLohnLookup($A$1,E62,F62,LOHNTABELLE!$H$4))</f>
        <v/>
      </c>
      <c r="H62" s="153" t="str">
        <f>IF(AND(ISNUMBER(D62),ISNUMBER(F62)),ROUNDDOWN(MIN(IF(OR(ISBLANK(I62),I62=""),EOMONTH(DATE(EINSTELLUNG!$C$35,$A$1,1),0),I62)-MAX(D62,DATE(EINSTELLUNG!$C$35,$A$1,1))+1)/DAY(EOMONTH(DATE(EINSTELLUNG!$C$35,$A$1,1),0))*F62,2),"")</f>
        <v/>
      </c>
      <c r="I62" s="49"/>
      <c r="J62" s="50"/>
      <c r="K62" s="152" t="str">
        <f t="shared" si="1"/>
        <v/>
      </c>
      <c r="L62" s="15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51"/>
      <c r="N62" s="74"/>
    </row>
    <row r="63" spans="1:22" ht="22" customHeight="1">
      <c r="A63" s="175">
        <v>61</v>
      </c>
      <c r="B63" s="52"/>
      <c r="C63" s="53"/>
      <c r="D63" s="57"/>
      <c r="E63" s="55"/>
      <c r="F63" s="56"/>
      <c r="G63" s="152" t="str">
        <f>IF(OR(E63="",F63=""),"",PID_KVLohnLookup($A$1,E63,F63,LOHNTABELLE!$H$4))</f>
        <v/>
      </c>
      <c r="H63" s="153" t="str">
        <f>IF(AND(ISNUMBER(D63),ISNUMBER(F63)),ROUNDDOWN(MIN(IF(OR(ISBLANK(I63),I63=""),EOMONTH(DATE(EINSTELLUNG!$C$35,$A$1,1),0),I63)-MAX(D63,DATE(EINSTELLUNG!$C$35,$A$1,1))+1)/DAY(EOMONTH(DATE(EINSTELLUNG!$C$35,$A$1,1),0))*F63,2),"")</f>
        <v/>
      </c>
      <c r="I63" s="57"/>
      <c r="J63" s="58"/>
      <c r="K63" s="152" t="str">
        <f t="shared" si="1"/>
        <v/>
      </c>
      <c r="L63" s="15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9"/>
      <c r="N63" s="75"/>
    </row>
    <row r="64" spans="1:22" ht="22" customHeight="1">
      <c r="A64" s="175">
        <v>62</v>
      </c>
      <c r="B64" s="44"/>
      <c r="C64" s="45"/>
      <c r="D64" s="49"/>
      <c r="E64" s="47"/>
      <c r="F64" s="48"/>
      <c r="G64" s="152" t="str">
        <f>IF(OR(E64="",F64=""),"",PID_KVLohnLookup($A$1,E64,F64,LOHNTABELLE!$H$4))</f>
        <v/>
      </c>
      <c r="H64" s="153" t="str">
        <f>IF(AND(ISNUMBER(D64),ISNUMBER(F64)),ROUNDDOWN(MIN(IF(OR(ISBLANK(I64),I64=""),EOMONTH(DATE(EINSTELLUNG!$C$35,$A$1,1),0),I64)-MAX(D64,DATE(EINSTELLUNG!$C$35,$A$1,1))+1)/DAY(EOMONTH(DATE(EINSTELLUNG!$C$35,$A$1,1),0))*F64,2),"")</f>
        <v/>
      </c>
      <c r="I64" s="49"/>
      <c r="J64" s="50"/>
      <c r="K64" s="152" t="str">
        <f t="shared" si="1"/>
        <v/>
      </c>
      <c r="L64" s="15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51"/>
      <c r="N64" s="74"/>
    </row>
    <row r="65" spans="1:14" ht="22" customHeight="1">
      <c r="A65" s="175">
        <v>63</v>
      </c>
      <c r="B65" s="52"/>
      <c r="C65" s="53"/>
      <c r="D65" s="57"/>
      <c r="E65" s="55"/>
      <c r="F65" s="56"/>
      <c r="G65" s="152" t="str">
        <f>IF(OR(E65="",F65=""),"",PID_KVLohnLookup($A$1,E65,F65,LOHNTABELLE!$H$4))</f>
        <v/>
      </c>
      <c r="H65" s="153" t="str">
        <f>IF(AND(ISNUMBER(D65),ISNUMBER(F65)),ROUNDDOWN(MIN(IF(OR(ISBLANK(I65),I65=""),EOMONTH(DATE(EINSTELLUNG!$C$35,$A$1,1),0),I65)-MAX(D65,DATE(EINSTELLUNG!$C$35,$A$1,1))+1)/DAY(EOMONTH(DATE(EINSTELLUNG!$C$35,$A$1,1),0))*F65,2),"")</f>
        <v/>
      </c>
      <c r="I65" s="57"/>
      <c r="J65" s="58"/>
      <c r="K65" s="152" t="str">
        <f t="shared" si="1"/>
        <v/>
      </c>
      <c r="L65" s="15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9"/>
      <c r="N65" s="75"/>
    </row>
    <row r="66" spans="1:14" ht="22" customHeight="1">
      <c r="A66" s="175">
        <v>64</v>
      </c>
      <c r="B66" s="44"/>
      <c r="C66" s="45"/>
      <c r="D66" s="49"/>
      <c r="E66" s="47"/>
      <c r="F66" s="48"/>
      <c r="G66" s="152" t="str">
        <f>IF(OR(E66="",F66=""),"",PID_KVLohnLookup($A$1,E66,F66,LOHNTABELLE!$H$4))</f>
        <v/>
      </c>
      <c r="H66" s="153" t="str">
        <f>IF(AND(ISNUMBER(D66),ISNUMBER(F66)),ROUNDDOWN(MIN(IF(OR(ISBLANK(I66),I66=""),EOMONTH(DATE(EINSTELLUNG!$C$35,$A$1,1),0),I66)-MAX(D66,DATE(EINSTELLUNG!$C$35,$A$1,1))+1)/DAY(EOMONTH(DATE(EINSTELLUNG!$C$35,$A$1,1),0))*F66,2),"")</f>
        <v/>
      </c>
      <c r="I66" s="49"/>
      <c r="J66" s="50"/>
      <c r="K66" s="152" t="str">
        <f t="shared" si="1"/>
        <v/>
      </c>
      <c r="L66" s="15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51"/>
      <c r="N66" s="74"/>
    </row>
    <row r="67" spans="1:14" ht="22" customHeight="1">
      <c r="A67" s="175">
        <v>65</v>
      </c>
      <c r="B67" s="52"/>
      <c r="C67" s="53"/>
      <c r="D67" s="57"/>
      <c r="E67" s="55"/>
      <c r="F67" s="56"/>
      <c r="G67" s="152" t="str">
        <f>IF(OR(E67="",F67=""),"",PID_KVLohnLookup($A$1,E67,F67,LOHNTABELLE!$H$4))</f>
        <v/>
      </c>
      <c r="H67" s="153" t="str">
        <f>IF(AND(ISNUMBER(D67),ISNUMBER(F67)),ROUNDDOWN(MIN(IF(OR(ISBLANK(I67),I67=""),EOMONTH(DATE(EINSTELLUNG!$C$35,$A$1,1),0),I67)-MAX(D67,DATE(EINSTELLUNG!$C$35,$A$1,1))+1)/DAY(EOMONTH(DATE(EINSTELLUNG!$C$35,$A$1,1),0))*F67,2),"")</f>
        <v/>
      </c>
      <c r="I67" s="57"/>
      <c r="J67" s="58"/>
      <c r="K67" s="152" t="str">
        <f t="shared" ref="K67:K82" si="3">IF(OR(B67="",C67=""),"",IFERROR(IF(OR(MONTH(D67)=1,MONTH(D67)=3,MONTH(D67)=5,MONTH(D67)=7,MONTH(D67)=8,MONTH(D67)=10,MONTH(D67)=12),(G67/31)*J67,IF(OR(MONTH(D67)=4,MONTH(D67)=6,MONTH(D67)=9,MONTH(D67)=11),(G67/30)*J67,(G67/DAY(EOMONTH(D67,0)))*J67)),0))</f>
        <v/>
      </c>
      <c r="L67" s="15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9"/>
      <c r="N67" s="75"/>
    </row>
    <row r="68" spans="1:14" ht="22" customHeight="1">
      <c r="A68" s="175">
        <v>66</v>
      </c>
      <c r="B68" s="44"/>
      <c r="C68" s="45"/>
      <c r="D68" s="49"/>
      <c r="E68" s="47"/>
      <c r="F68" s="48"/>
      <c r="G68" s="152" t="str">
        <f>IF(OR(E68="",F68=""),"",PID_KVLohnLookup($A$1,E68,F68,LOHNTABELLE!$H$4))</f>
        <v/>
      </c>
      <c r="H68" s="153" t="str">
        <f>IF(AND(ISNUMBER(D68),ISNUMBER(F68)),ROUNDDOWN(MIN(IF(OR(ISBLANK(I68),I68=""),EOMONTH(DATE(EINSTELLUNG!$C$35,$A$1,1),0),I68)-MAX(D68,DATE(EINSTELLUNG!$C$35,$A$1,1))+1)/DAY(EOMONTH(DATE(EINSTELLUNG!$C$35,$A$1,1),0))*F68,2),"")</f>
        <v/>
      </c>
      <c r="I68" s="49"/>
      <c r="J68" s="50"/>
      <c r="K68" s="152" t="str">
        <f t="shared" si="3"/>
        <v/>
      </c>
      <c r="L68" s="15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51"/>
      <c r="N68" s="74"/>
    </row>
    <row r="69" spans="1:14" ht="22" customHeight="1">
      <c r="A69" s="175">
        <v>67</v>
      </c>
      <c r="B69" s="52"/>
      <c r="C69" s="53"/>
      <c r="D69" s="57"/>
      <c r="E69" s="55"/>
      <c r="F69" s="56"/>
      <c r="G69" s="152" t="str">
        <f>IF(OR(E69="",F69=""),"",PID_KVLohnLookup($A$1,E69,F69,LOHNTABELLE!$H$4))</f>
        <v/>
      </c>
      <c r="H69" s="153" t="str">
        <f>IF(AND(ISNUMBER(D69),ISNUMBER(F69)),ROUNDDOWN(MIN(IF(OR(ISBLANK(I69),I69=""),EOMONTH(DATE(EINSTELLUNG!$C$35,$A$1,1),0),I69)-MAX(D69,DATE(EINSTELLUNG!$C$35,$A$1,1))+1)/DAY(EOMONTH(DATE(EINSTELLUNG!$C$35,$A$1,1),0))*F69,2),"")</f>
        <v/>
      </c>
      <c r="I69" s="57"/>
      <c r="J69" s="58"/>
      <c r="K69" s="152" t="str">
        <f t="shared" si="3"/>
        <v/>
      </c>
      <c r="L69" s="15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9"/>
      <c r="N69" s="75"/>
    </row>
    <row r="70" spans="1:14" ht="22" customHeight="1">
      <c r="A70" s="175">
        <v>68</v>
      </c>
      <c r="B70" s="44"/>
      <c r="C70" s="45"/>
      <c r="D70" s="49"/>
      <c r="E70" s="47"/>
      <c r="F70" s="48"/>
      <c r="G70" s="152" t="str">
        <f>IF(OR(E70="",F70=""),"",PID_KVLohnLookup($A$1,E70,F70,LOHNTABELLE!$H$4))</f>
        <v/>
      </c>
      <c r="H70" s="153" t="str">
        <f>IF(AND(ISNUMBER(D70),ISNUMBER(F70)),ROUNDDOWN(MIN(IF(OR(ISBLANK(I70),I70=""),EOMONTH(DATE(EINSTELLUNG!$C$35,$A$1,1),0),I70)-MAX(D70,DATE(EINSTELLUNG!$C$35,$A$1,1))+1)/DAY(EOMONTH(DATE(EINSTELLUNG!$C$35,$A$1,1),0))*F70,2),"")</f>
        <v/>
      </c>
      <c r="I70" s="49"/>
      <c r="J70" s="50"/>
      <c r="K70" s="152" t="str">
        <f t="shared" si="3"/>
        <v/>
      </c>
      <c r="L70" s="15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51"/>
      <c r="N70" s="74"/>
    </row>
    <row r="71" spans="1:14" ht="22" customHeight="1">
      <c r="A71" s="175">
        <v>69</v>
      </c>
      <c r="B71" s="52"/>
      <c r="C71" s="53"/>
      <c r="D71" s="57"/>
      <c r="E71" s="55"/>
      <c r="F71" s="56"/>
      <c r="G71" s="152" t="str">
        <f>IF(OR(E71="",F71=""),"",PID_KVLohnLookup($A$1,E71,F71,LOHNTABELLE!$H$4))</f>
        <v/>
      </c>
      <c r="H71" s="153" t="str">
        <f>IF(AND(ISNUMBER(D71),ISNUMBER(F71)),ROUNDDOWN(MIN(IF(OR(ISBLANK(I71),I71=""),EOMONTH(DATE(EINSTELLUNG!$C$35,$A$1,1),0),I71)-MAX(D71,DATE(EINSTELLUNG!$C$35,$A$1,1))+1)/DAY(EOMONTH(DATE(EINSTELLUNG!$C$35,$A$1,1),0))*F71,2),"")</f>
        <v/>
      </c>
      <c r="I71" s="57"/>
      <c r="J71" s="58"/>
      <c r="K71" s="152" t="str">
        <f t="shared" si="3"/>
        <v/>
      </c>
      <c r="L71" s="15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9"/>
      <c r="N71" s="75"/>
    </row>
    <row r="72" spans="1:14" ht="22" customHeight="1">
      <c r="A72" s="175">
        <v>70</v>
      </c>
      <c r="B72" s="44"/>
      <c r="C72" s="45"/>
      <c r="D72" s="49"/>
      <c r="E72" s="47"/>
      <c r="F72" s="48"/>
      <c r="G72" s="152" t="str">
        <f>IF(OR(E72="",F72=""),"",PID_KVLohnLookup($A$1,E72,F72,LOHNTABELLE!$H$4))</f>
        <v/>
      </c>
      <c r="H72" s="153" t="str">
        <f>IF(AND(ISNUMBER(D72),ISNUMBER(F72)),ROUNDDOWN(MIN(IF(OR(ISBLANK(I72),I72=""),EOMONTH(DATE(EINSTELLUNG!$C$35,$A$1,1),0),I72)-MAX(D72,DATE(EINSTELLUNG!$C$35,$A$1,1))+1)/DAY(EOMONTH(DATE(EINSTELLUNG!$C$35,$A$1,1),0))*F72,2),"")</f>
        <v/>
      </c>
      <c r="I72" s="49"/>
      <c r="J72" s="50"/>
      <c r="K72" s="152" t="str">
        <f t="shared" si="3"/>
        <v/>
      </c>
      <c r="L72" s="15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51"/>
      <c r="N72" s="74"/>
    </row>
    <row r="73" spans="1:14" ht="22" customHeight="1">
      <c r="A73" s="175">
        <v>71</v>
      </c>
      <c r="B73" s="52"/>
      <c r="C73" s="53"/>
      <c r="D73" s="57"/>
      <c r="E73" s="55"/>
      <c r="F73" s="56"/>
      <c r="G73" s="152" t="str">
        <f>IF(OR(E73="",F73=""),"",PID_KVLohnLookup($A$1,E73,F73,LOHNTABELLE!$H$4))</f>
        <v/>
      </c>
      <c r="H73" s="153" t="str">
        <f>IF(AND(ISNUMBER(D73),ISNUMBER(F73)),ROUNDDOWN(MIN(IF(OR(ISBLANK(I73),I73=""),EOMONTH(DATE(EINSTELLUNG!$C$35,$A$1,1),0),I73)-MAX(D73,DATE(EINSTELLUNG!$C$35,$A$1,1))+1)/DAY(EOMONTH(DATE(EINSTELLUNG!$C$35,$A$1,1),0))*F73,2),"")</f>
        <v/>
      </c>
      <c r="I73" s="57"/>
      <c r="J73" s="58"/>
      <c r="K73" s="152" t="str">
        <f t="shared" si="3"/>
        <v/>
      </c>
      <c r="L73" s="15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9"/>
      <c r="N73" s="75"/>
    </row>
    <row r="74" spans="1:14" ht="22" customHeight="1">
      <c r="A74" s="175">
        <v>72</v>
      </c>
      <c r="B74" s="44"/>
      <c r="C74" s="45"/>
      <c r="D74" s="49"/>
      <c r="E74" s="47"/>
      <c r="F74" s="48"/>
      <c r="G74" s="152" t="str">
        <f>IF(OR(E74="",F74=""),"",PID_KVLohnLookup($A$1,E74,F74,LOHNTABELLE!$H$4))</f>
        <v/>
      </c>
      <c r="H74" s="153" t="str">
        <f>IF(AND(ISNUMBER(D74),ISNUMBER(F74)),ROUNDDOWN(MIN(IF(OR(ISBLANK(I74),I74=""),EOMONTH(DATE(EINSTELLUNG!$C$35,$A$1,1),0),I74)-MAX(D74,DATE(EINSTELLUNG!$C$35,$A$1,1))+1)/DAY(EOMONTH(DATE(EINSTELLUNG!$C$35,$A$1,1),0))*F74,2),"")</f>
        <v/>
      </c>
      <c r="I74" s="49"/>
      <c r="J74" s="50"/>
      <c r="K74" s="152" t="str">
        <f t="shared" si="3"/>
        <v/>
      </c>
      <c r="L74" s="15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51"/>
      <c r="N74" s="74"/>
    </row>
    <row r="75" spans="1:14" ht="22" customHeight="1">
      <c r="A75" s="175">
        <v>73</v>
      </c>
      <c r="B75" s="52"/>
      <c r="C75" s="53"/>
      <c r="D75" s="57"/>
      <c r="E75" s="55"/>
      <c r="F75" s="56"/>
      <c r="G75" s="152" t="str">
        <f>IF(OR(E75="",F75=""),"",PID_KVLohnLookup($A$1,E75,F75,LOHNTABELLE!$H$4))</f>
        <v/>
      </c>
      <c r="H75" s="153" t="str">
        <f>IF(AND(ISNUMBER(D75),ISNUMBER(F75)),ROUNDDOWN(MIN(IF(OR(ISBLANK(I75),I75=""),EOMONTH(DATE(EINSTELLUNG!$C$35,$A$1,1),0),I75)-MAX(D75,DATE(EINSTELLUNG!$C$35,$A$1,1))+1)/DAY(EOMONTH(DATE(EINSTELLUNG!$C$35,$A$1,1),0))*F75,2),"")</f>
        <v/>
      </c>
      <c r="I75" s="57"/>
      <c r="J75" s="58"/>
      <c r="K75" s="152" t="str">
        <f t="shared" si="3"/>
        <v/>
      </c>
      <c r="L75" s="15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9"/>
      <c r="N75" s="75"/>
    </row>
    <row r="76" spans="1:14" ht="22" customHeight="1">
      <c r="A76" s="175">
        <v>74</v>
      </c>
      <c r="B76" s="44"/>
      <c r="C76" s="45"/>
      <c r="D76" s="49"/>
      <c r="E76" s="47"/>
      <c r="F76" s="48"/>
      <c r="G76" s="152" t="str">
        <f>IF(OR(E76="",F76=""),"",PID_KVLohnLookup($A$1,E76,F76,LOHNTABELLE!$H$4))</f>
        <v/>
      </c>
      <c r="H76" s="153" t="str">
        <f>IF(AND(ISNUMBER(D76),ISNUMBER(F76)),ROUNDDOWN(MIN(IF(OR(ISBLANK(I76),I76=""),EOMONTH(DATE(EINSTELLUNG!$C$35,$A$1,1),0),I76)-MAX(D76,DATE(EINSTELLUNG!$C$35,$A$1,1))+1)/DAY(EOMONTH(DATE(EINSTELLUNG!$C$35,$A$1,1),0))*F76,2),"")</f>
        <v/>
      </c>
      <c r="I76" s="49"/>
      <c r="J76" s="50"/>
      <c r="K76" s="152" t="str">
        <f t="shared" si="3"/>
        <v/>
      </c>
      <c r="L76" s="15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51"/>
      <c r="N76" s="74"/>
    </row>
    <row r="77" spans="1:14" ht="22" customHeight="1">
      <c r="A77" s="175">
        <v>75</v>
      </c>
      <c r="B77" s="52"/>
      <c r="C77" s="53"/>
      <c r="D77" s="57"/>
      <c r="E77" s="55"/>
      <c r="F77" s="56"/>
      <c r="G77" s="152" t="str">
        <f>IF(OR(E77="",F77=""),"",PID_KVLohnLookup($A$1,E77,F77,LOHNTABELLE!$H$4))</f>
        <v/>
      </c>
      <c r="H77" s="153" t="str">
        <f>IF(AND(ISNUMBER(D77),ISNUMBER(F77)),ROUNDDOWN(MIN(IF(OR(ISBLANK(I77),I77=""),EOMONTH(DATE(EINSTELLUNG!$C$35,$A$1,1),0),I77)-MAX(D77,DATE(EINSTELLUNG!$C$35,$A$1,1))+1)/DAY(EOMONTH(DATE(EINSTELLUNG!$C$35,$A$1,1),0))*F77,2),"")</f>
        <v/>
      </c>
      <c r="I77" s="57"/>
      <c r="J77" s="58"/>
      <c r="K77" s="152" t="str">
        <f t="shared" si="3"/>
        <v/>
      </c>
      <c r="L77" s="15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9"/>
      <c r="N77" s="75"/>
    </row>
    <row r="78" spans="1:14" ht="22" customHeight="1">
      <c r="A78" s="175">
        <v>76</v>
      </c>
      <c r="B78" s="44"/>
      <c r="C78" s="45"/>
      <c r="D78" s="49"/>
      <c r="E78" s="47"/>
      <c r="F78" s="48"/>
      <c r="G78" s="152" t="str">
        <f>IF(OR(E78="",F78=""),"",PID_KVLohnLookup($A$1,E78,F78,LOHNTABELLE!$H$4))</f>
        <v/>
      </c>
      <c r="H78" s="153" t="str">
        <f>IF(AND(ISNUMBER(D78),ISNUMBER(F78)),ROUNDDOWN(MIN(IF(OR(ISBLANK(I78),I78=""),EOMONTH(DATE(EINSTELLUNG!$C$35,$A$1,1),0),I78)-MAX(D78,DATE(EINSTELLUNG!$C$35,$A$1,1))+1)/DAY(EOMONTH(DATE(EINSTELLUNG!$C$35,$A$1,1),0))*F78,2),"")</f>
        <v/>
      </c>
      <c r="I78" s="49"/>
      <c r="J78" s="50"/>
      <c r="K78" s="152" t="str">
        <f t="shared" si="3"/>
        <v/>
      </c>
      <c r="L78" s="15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51"/>
      <c r="N78" s="74"/>
    </row>
    <row r="79" spans="1:14" ht="22" customHeight="1">
      <c r="A79" s="175">
        <v>77</v>
      </c>
      <c r="B79" s="52"/>
      <c r="C79" s="53"/>
      <c r="D79" s="57"/>
      <c r="E79" s="55"/>
      <c r="F79" s="56"/>
      <c r="G79" s="152" t="str">
        <f>IF(OR(E79="",F79=""),"",PID_KVLohnLookup($A$1,E79,F79,LOHNTABELLE!$H$4))</f>
        <v/>
      </c>
      <c r="H79" s="153" t="str">
        <f>IF(AND(ISNUMBER(D79),ISNUMBER(F79)),ROUNDDOWN(MIN(IF(OR(ISBLANK(I79),I79=""),EOMONTH(DATE(EINSTELLUNG!$C$35,$A$1,1),0),I79)-MAX(D79,DATE(EINSTELLUNG!$C$35,$A$1,1))+1)/DAY(EOMONTH(DATE(EINSTELLUNG!$C$35,$A$1,1),0))*F79,2),"")</f>
        <v/>
      </c>
      <c r="I79" s="57"/>
      <c r="J79" s="58"/>
      <c r="K79" s="152" t="str">
        <f t="shared" si="3"/>
        <v/>
      </c>
      <c r="L79" s="15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9"/>
      <c r="N79" s="75"/>
    </row>
    <row r="80" spans="1:14" ht="22" customHeight="1">
      <c r="A80" s="175">
        <v>78</v>
      </c>
      <c r="B80" s="44"/>
      <c r="C80" s="45"/>
      <c r="D80" s="49"/>
      <c r="E80" s="47"/>
      <c r="F80" s="48"/>
      <c r="G80" s="152" t="str">
        <f>IF(OR(E80="",F80=""),"",PID_KVLohnLookup($A$1,E80,F80,LOHNTABELLE!$H$4))</f>
        <v/>
      </c>
      <c r="H80" s="153" t="str">
        <f>IF(AND(ISNUMBER(D80),ISNUMBER(F80)),ROUNDDOWN(MIN(IF(OR(ISBLANK(I80),I80=""),EOMONTH(DATE(EINSTELLUNG!$C$35,$A$1,1),0),I80)-MAX(D80,DATE(EINSTELLUNG!$C$35,$A$1,1))+1)/DAY(EOMONTH(DATE(EINSTELLUNG!$C$35,$A$1,1),0))*F80,2),"")</f>
        <v/>
      </c>
      <c r="I80" s="49"/>
      <c r="J80" s="50"/>
      <c r="K80" s="152" t="str">
        <f t="shared" si="3"/>
        <v/>
      </c>
      <c r="L80" s="15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51"/>
      <c r="N80" s="74"/>
    </row>
    <row r="81" spans="1:14" ht="22" customHeight="1">
      <c r="A81" s="175">
        <v>79</v>
      </c>
      <c r="B81" s="52"/>
      <c r="C81" s="53"/>
      <c r="D81" s="57"/>
      <c r="E81" s="55"/>
      <c r="F81" s="56"/>
      <c r="G81" s="152" t="str">
        <f>IF(OR(E81="",F81=""),"",PID_KVLohnLookup($A$1,E81,F81,LOHNTABELLE!$H$4))</f>
        <v/>
      </c>
      <c r="H81" s="153" t="str">
        <f>IF(AND(ISNUMBER(D81),ISNUMBER(F81)),ROUNDDOWN(MIN(IF(OR(ISBLANK(I81),I81=""),EOMONTH(DATE(EINSTELLUNG!$C$35,$A$1,1),0),I81)-MAX(D81,DATE(EINSTELLUNG!$C$35,$A$1,1))+1)/DAY(EOMONTH(DATE(EINSTELLUNG!$C$35,$A$1,1),0))*F81,2),"")</f>
        <v/>
      </c>
      <c r="I81" s="57"/>
      <c r="J81" s="58"/>
      <c r="K81" s="152" t="str">
        <f t="shared" si="3"/>
        <v/>
      </c>
      <c r="L81" s="15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9"/>
      <c r="N81" s="75"/>
    </row>
    <row r="82" spans="1:14" ht="22" customHeight="1" thickBot="1">
      <c r="A82" s="175">
        <v>80</v>
      </c>
      <c r="B82" s="61"/>
      <c r="C82" s="62"/>
      <c r="D82" s="63"/>
      <c r="E82" s="64"/>
      <c r="F82" s="65"/>
      <c r="G82" s="166" t="str">
        <f>IF(OR(E82="",F82=""),"",PID_KVLohnLookup($A$1,E82,F82,LOHNTABELLE!$H$4))</f>
        <v/>
      </c>
      <c r="H82" s="159" t="str">
        <f>IF(AND(ISNUMBER(D82),ISNUMBER(F82)),ROUNDDOWN(MIN(IF(OR(ISBLANK(I82),I82=""),EOMONTH(DATE(EINSTELLUNG!$C$35,$A$1,1),0),I82)-MAX(D82,DATE(EINSTELLUNG!$C$35,$A$1,1))+1)/DAY(EOMONTH(DATE(EINSTELLUNG!$C$35,$A$1,1),0))*F82,2),"")</f>
        <v/>
      </c>
      <c r="I82" s="63"/>
      <c r="J82" s="66"/>
      <c r="K82" s="166" t="str">
        <f t="shared" si="3"/>
        <v/>
      </c>
      <c r="L82" s="16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7"/>
      <c r="N82" s="78"/>
    </row>
    <row r="100" spans="26:26" ht="16" customHeight="1">
      <c r="Z100" s="142"/>
    </row>
    <row r="114" spans="11:14" ht="16" customHeight="1">
      <c r="K114" s="288"/>
      <c r="L114" s="288"/>
      <c r="M114" s="288"/>
      <c r="N114" s="176"/>
    </row>
    <row r="115" spans="11:14" ht="16" customHeight="1">
      <c r="K115" s="288"/>
      <c r="L115" s="288"/>
      <c r="M115" s="288"/>
      <c r="N115" s="176"/>
    </row>
    <row r="116" spans="11:14" ht="16" customHeight="1">
      <c r="K116" s="274"/>
      <c r="L116" s="274"/>
      <c r="M116" s="177"/>
      <c r="N116" s="177"/>
    </row>
    <row r="117" spans="11:14" ht="16" customHeight="1">
      <c r="K117" s="274"/>
      <c r="L117" s="274"/>
      <c r="M117" s="177"/>
      <c r="N117" s="177"/>
    </row>
    <row r="118" spans="11:14" ht="16" customHeight="1">
      <c r="K118" s="289"/>
      <c r="L118" s="289"/>
      <c r="M118" s="178"/>
      <c r="N118" s="178"/>
    </row>
    <row r="119" spans="11:14" ht="16" customHeight="1">
      <c r="K119" s="271"/>
      <c r="L119" s="271"/>
      <c r="M119" s="179"/>
      <c r="N119" s="179"/>
    </row>
    <row r="120" spans="11:14" ht="16" customHeight="1">
      <c r="K120" s="274"/>
      <c r="L120" s="274"/>
      <c r="M120" s="177"/>
      <c r="N120" s="177"/>
    </row>
    <row r="121" spans="11:14" ht="16" customHeight="1">
      <c r="K121" s="274"/>
      <c r="L121" s="274"/>
      <c r="M121" s="177"/>
      <c r="N121" s="177"/>
    </row>
    <row r="122" spans="11:14" ht="16" customHeight="1">
      <c r="K122" s="271"/>
      <c r="L122" s="271"/>
      <c r="M122" s="179"/>
      <c r="N122" s="179"/>
    </row>
    <row r="123" spans="11:14" ht="16" customHeight="1">
      <c r="K123" s="180"/>
      <c r="L123" s="180"/>
      <c r="M123" s="180"/>
      <c r="N123" s="180"/>
    </row>
  </sheetData>
  <sheetProtection algorithmName="SHA-512" hashValue="Eg7iiiQPp9LhX+fIS6BZXO+tYZ6H2O2Yxf43gcdJc4QTfIZ4Ar7agqkHO5tqnlATZ1qYuGsUnl4BXusBvT97Hg==" saltValue="89E0kmkhW1mPXFYUOSfFSg==" spinCount="100000" sheet="1" objects="1" scenarios="1" sort="0" autoFilter="0"/>
  <mergeCells count="111">
    <mergeCell ref="Q29:R29"/>
    <mergeCell ref="L1:L2"/>
    <mergeCell ref="O40:P40"/>
    <mergeCell ref="A1:A2"/>
    <mergeCell ref="E1:E2"/>
    <mergeCell ref="F1:F2"/>
    <mergeCell ref="G1:G2"/>
    <mergeCell ref="H1:H2"/>
    <mergeCell ref="M1:M2"/>
    <mergeCell ref="N1:N2"/>
    <mergeCell ref="O31:P31"/>
    <mergeCell ref="O28:P28"/>
    <mergeCell ref="Q28:R28"/>
    <mergeCell ref="O25:P25"/>
    <mergeCell ref="O26:P26"/>
    <mergeCell ref="K121:L121"/>
    <mergeCell ref="Q31:R31"/>
    <mergeCell ref="B1:B2"/>
    <mergeCell ref="K114:L115"/>
    <mergeCell ref="M114:M115"/>
    <mergeCell ref="K116:L116"/>
    <mergeCell ref="K117:L117"/>
    <mergeCell ref="K118:L118"/>
    <mergeCell ref="O36:P36"/>
    <mergeCell ref="Q36:R36"/>
    <mergeCell ref="O33:P34"/>
    <mergeCell ref="Q33:R34"/>
    <mergeCell ref="O9:P9"/>
    <mergeCell ref="Q9:R9"/>
    <mergeCell ref="Q23:R23"/>
    <mergeCell ref="Q22:R22"/>
    <mergeCell ref="O21:P21"/>
    <mergeCell ref="O10:P10"/>
    <mergeCell ref="Q10:R10"/>
    <mergeCell ref="D1:D2"/>
    <mergeCell ref="C1:C2"/>
    <mergeCell ref="I1:I2"/>
    <mergeCell ref="J1:J2"/>
    <mergeCell ref="K1:K2"/>
    <mergeCell ref="K122:L122"/>
    <mergeCell ref="R3:R4"/>
    <mergeCell ref="O35:P35"/>
    <mergeCell ref="Q35:R35"/>
    <mergeCell ref="K119:L119"/>
    <mergeCell ref="K120:L120"/>
    <mergeCell ref="O44:V44"/>
    <mergeCell ref="O45:U45"/>
    <mergeCell ref="S36:T36"/>
    <mergeCell ref="U36:V36"/>
    <mergeCell ref="S39:T39"/>
    <mergeCell ref="U39:V39"/>
    <mergeCell ref="Q37:R37"/>
    <mergeCell ref="S37:T37"/>
    <mergeCell ref="U37:V37"/>
    <mergeCell ref="O38:P38"/>
    <mergeCell ref="Q38:R38"/>
    <mergeCell ref="O41:P41"/>
    <mergeCell ref="Q41:R41"/>
    <mergeCell ref="S41:T41"/>
    <mergeCell ref="U41:V41"/>
    <mergeCell ref="S33:T34"/>
    <mergeCell ref="U33:V34"/>
    <mergeCell ref="Q40:R40"/>
    <mergeCell ref="S40:T40"/>
    <mergeCell ref="U40:V40"/>
    <mergeCell ref="Q12:R12"/>
    <mergeCell ref="Q17:R17"/>
    <mergeCell ref="O42:P42"/>
    <mergeCell ref="Q42:V42"/>
    <mergeCell ref="O6:R6"/>
    <mergeCell ref="Q18:R18"/>
    <mergeCell ref="Q19:R19"/>
    <mergeCell ref="O39:P39"/>
    <mergeCell ref="Q39:R39"/>
    <mergeCell ref="Q11:R11"/>
    <mergeCell ref="O12:P12"/>
    <mergeCell ref="S38:T38"/>
    <mergeCell ref="U38:V38"/>
    <mergeCell ref="O37:P37"/>
    <mergeCell ref="S35:T35"/>
    <mergeCell ref="U35:V35"/>
    <mergeCell ref="O13:P13"/>
    <mergeCell ref="Q13:R13"/>
    <mergeCell ref="O14:P14"/>
    <mergeCell ref="Q14:R14"/>
    <mergeCell ref="O29:P29"/>
    <mergeCell ref="Q25:R25"/>
    <mergeCell ref="S2:V2"/>
    <mergeCell ref="Q3:Q4"/>
    <mergeCell ref="P3:P4"/>
    <mergeCell ref="O3:O4"/>
    <mergeCell ref="Q20:R20"/>
    <mergeCell ref="O15:P15"/>
    <mergeCell ref="Q15:R15"/>
    <mergeCell ref="O16:R16"/>
    <mergeCell ref="S27:V27"/>
    <mergeCell ref="Q21:R21"/>
    <mergeCell ref="O22:P22"/>
    <mergeCell ref="O23:P23"/>
    <mergeCell ref="O17:P17"/>
    <mergeCell ref="O24:P24"/>
    <mergeCell ref="O20:P20"/>
    <mergeCell ref="O18:P18"/>
    <mergeCell ref="O19:P19"/>
    <mergeCell ref="O8:P8"/>
    <mergeCell ref="Q8:R8"/>
    <mergeCell ref="O11:P11"/>
    <mergeCell ref="Q24:R24"/>
    <mergeCell ref="Q26:R26"/>
    <mergeCell ref="O27:P27"/>
    <mergeCell ref="Q27:R2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D4A596C1-1E4E-4F45-93A3-34EED55BA633}">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3478813-0F58-F145-B25C-A4533A425D5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5CEEE5B-71EB-9D45-9AA0-7B223E338153}">
          <x14:formula1>
            <xm:f>KV_DROPDOWN_HELPER!$AJY$1:$AJY$12</xm:f>
          </x14:formula1>
          <xm:sqref>E3:E82</xm:sqref>
        </x14:dataValidation>
        <x14:dataValidation type="list" allowBlank="1" showInputMessage="1" showErrorMessage="1" xr:uid="{45152D90-2379-F94C-9BBE-D3D18883E79B}">
          <x14:formula1>
            <xm:f>KV_DROPDOWN_HELPER!$B$1:$B$13</xm:f>
          </x14:formula1>
          <xm:sqref>F5 F6 F8 F14</xm:sqref>
        </x14:dataValidation>
        <x14:dataValidation type="list" allowBlank="1" showInputMessage="1" showErrorMessage="1" xr:uid="{D8E30A28-84A8-064C-9799-635F2A72C293}">
          <x14:formula1>
            <xm:f>KV_DROPDOWN_HELPER!$C$1:$C$13</xm:f>
          </x14:formula1>
          <xm:sqref>F9 F12 F19 F21 F35</xm:sqref>
        </x14:dataValidation>
        <x14:dataValidation type="list" allowBlank="1" showInputMessage="1" showErrorMessage="1" xr:uid="{B893BC00-B1C4-1345-A373-612314452C4E}">
          <x14:formula1>
            <xm:f>KV_DROPDOWN_HELPER!$D$1:$D$13</xm:f>
          </x14:formula1>
          <xm:sqref>F18</xm:sqref>
        </x14:dataValidation>
        <x14:dataValidation type="list" allowBlank="1" showInputMessage="1" showErrorMessage="1" xr:uid="{975B7956-F8AB-6045-A1D6-60FF1730B613}">
          <x14:formula1>
            <xm:f>KV_DROPDOWN_HELPER!$F$1:$F$13</xm:f>
          </x14:formula1>
          <xm:sqref>F23 F25 F27</xm:sqref>
        </x14:dataValidation>
        <x14:dataValidation type="list" allowBlank="1" showInputMessage="1" showErrorMessage="1" xr:uid="{A31B9FAD-A4F9-224F-8CD3-9E921365C47A}">
          <x14:formula1>
            <xm:f>KV_DROPDOWN_HELPER!$G$1:$G$13</xm:f>
          </x14:formula1>
          <xm:sqref>F56 F57 F58 F59 F60 F61 F62 F63 F64 F65 F66 F67 F68 F69 F70 F71 F72 F73 F74 F75 F76 F77 F78 F79 F80 F81 F82</xm:sqref>
        </x14:dataValidation>
        <x14:dataValidation type="list" allowBlank="1" showInputMessage="1" showErrorMessage="1" xr:uid="{55566FC7-33D2-AB4A-86DD-65C530C3F55B}">
          <x14:formula1>
            <xm:f>KV_DROPDOWN_HELPER!$E$1:$E$13</xm:f>
          </x14:formula1>
          <xm:sqref>F22</xm:sqref>
        </x14:dataValidation>
        <x14:dataValidation type="list" allowBlank="1" showInputMessage="1" showErrorMessage="1" xr:uid="{77F6F856-B772-4742-B951-957BB875DFFC}">
          <x14:formula1>
            <xm:f>KV_DROPDOWN_HELPER!$A$1:$A$15</xm:f>
          </x14:formula1>
          <xm:sqref>F3 F4 F7 F10 F11 F13 F15 F16 F17 F20 F24 F26 F28 F29 F30 F31 F32 F33 F34 F36 F37 F38 F39 F40 F41 F42 F43 F44 F45 F46 F47 F48 F49 F50 F51 F52 F53 F54 F55</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F9A160-70C4-4D47-B6DF-F8EEA29113B1}">
  <sheetPr codeName="Tabelle4"/>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169" customWidth="1"/>
    <col min="2" max="2" width="9.1796875" style="169" customWidth="1"/>
    <col min="3" max="3" width="35.6328125" style="141" customWidth="1"/>
    <col min="4" max="4" width="13.6328125" style="141" customWidth="1"/>
    <col min="5" max="5" width="9.6328125" style="141" customWidth="1"/>
    <col min="6" max="6" width="10.6328125" style="141" customWidth="1"/>
    <col min="7" max="7" width="13.6328125" style="141" customWidth="1"/>
    <col min="8" max="8" width="11.6328125" style="141" customWidth="1"/>
    <col min="9" max="10" width="13.6328125" style="141" customWidth="1"/>
    <col min="11" max="11" width="14.6328125" style="141" customWidth="1"/>
    <col min="12" max="12" width="14.6328125" style="162" customWidth="1"/>
    <col min="13" max="13" width="17.81640625" style="141" customWidth="1"/>
    <col min="14" max="14" width="34.6328125" style="141" customWidth="1"/>
    <col min="15" max="15" width="12.6328125" style="141" customWidth="1"/>
    <col min="16" max="16" width="16.6328125" style="141" customWidth="1"/>
    <col min="17" max="17" width="14.6328125" style="141" customWidth="1"/>
    <col min="18" max="18" width="13.6328125" style="141" customWidth="1"/>
    <col min="19" max="19" width="9.6328125" style="141" customWidth="1"/>
    <col min="20" max="20" width="10.6328125" style="141" customWidth="1"/>
    <col min="21" max="21" width="7.6328125" style="141" customWidth="1"/>
    <col min="22" max="27" width="9.1796875" style="141"/>
    <col min="28" max="28" width="10.1796875" style="141" bestFit="1" customWidth="1"/>
    <col min="29" max="16384" width="9.1796875" style="141"/>
  </cols>
  <sheetData>
    <row r="1" spans="1:28" ht="18" customHeight="1">
      <c r="A1" s="301">
        <v>2</v>
      </c>
      <c r="B1" s="304" t="s">
        <v>180</v>
      </c>
      <c r="C1" s="280" t="s">
        <v>39</v>
      </c>
      <c r="D1" s="280" t="s">
        <v>181</v>
      </c>
      <c r="E1" s="280" t="s">
        <v>0</v>
      </c>
      <c r="F1" s="280" t="s">
        <v>40</v>
      </c>
      <c r="G1" s="280" t="s">
        <v>41</v>
      </c>
      <c r="H1" s="280" t="s">
        <v>42</v>
      </c>
      <c r="I1" s="280" t="s">
        <v>182</v>
      </c>
      <c r="J1" s="280" t="s">
        <v>43</v>
      </c>
      <c r="K1" s="280" t="s">
        <v>44</v>
      </c>
      <c r="L1" s="280" t="s">
        <v>45</v>
      </c>
      <c r="M1" s="280" t="s">
        <v>46</v>
      </c>
      <c r="N1" s="282" t="s">
        <v>183</v>
      </c>
      <c r="AB1" s="143">
        <f>DATE(EINSTELLUNG!$C$35,$A$1,1)</f>
        <v>46054</v>
      </c>
    </row>
    <row r="2" spans="1:28" ht="18" customHeight="1" thickBot="1">
      <c r="A2" s="287"/>
      <c r="B2" s="305"/>
      <c r="C2" s="294"/>
      <c r="D2" s="294"/>
      <c r="E2" s="294"/>
      <c r="F2" s="294"/>
      <c r="G2" s="294"/>
      <c r="H2" s="294"/>
      <c r="I2" s="294"/>
      <c r="J2" s="294"/>
      <c r="K2" s="294"/>
      <c r="L2" s="294"/>
      <c r="M2" s="294"/>
      <c r="N2" s="298"/>
      <c r="O2" s="144"/>
      <c r="P2" s="144"/>
      <c r="Q2" s="144"/>
      <c r="S2" s="208" t="s">
        <v>394</v>
      </c>
      <c r="T2" s="208"/>
      <c r="U2" s="208"/>
      <c r="V2" s="208"/>
      <c r="AB2" s="143">
        <f>EOMONTH(DATE(EINSTELLUNG!$C$35,$A$1,1),0)</f>
        <v>46081</v>
      </c>
    </row>
    <row r="3" spans="1:28" ht="22" customHeight="1">
      <c r="A3" s="145" t="s">
        <v>401</v>
      </c>
      <c r="B3" s="100">
        <v>401010</v>
      </c>
      <c r="C3" s="37" t="s">
        <v>224</v>
      </c>
      <c r="D3" s="38">
        <v>39388</v>
      </c>
      <c r="E3" s="39" t="s">
        <v>2</v>
      </c>
      <c r="F3" s="68">
        <v>169</v>
      </c>
      <c r="G3" s="146">
        <f>IF(OR(E3="",F3=""),"",PID_KVLohnLookup($A$1,E3,F3,LOHNTABELLE!$H$4))</f>
        <v>2000</v>
      </c>
      <c r="H3" s="147">
        <f>IF(AND(ISNUMBER(D3),ISNUMBER(F3)),ROUNDDOWN(MIN(IF(OR(ISBLANK(I3),I3=""),EOMONTH(DATE(EINSTELLUNG!$C$35,$A$1,1),0),I3)-MAX(D3,DATE(EINSTELLUNG!$C$35,$A$1,1))+1)/DAY(EOMONTH(DATE(EINSTELLUNG!$C$35,$A$1,1),0))*F3,2),"")</f>
        <v>169</v>
      </c>
      <c r="I3" s="41"/>
      <c r="J3" s="42"/>
      <c r="K3" s="146">
        <f t="shared" ref="K3:K34" si="0">IF(OR(B3="",C3=""),"",IFERROR(IF(OR(MONTH(D3)=1,MONTH(D3)=3,MONTH(D3)=5,MONTH(D3)=7,MONTH(D3)=8,MONTH(D3)=10,MONTH(D3)=12),(G3/31)*J3,IF(OR(MONTH(D3)=4,MONTH(D3)=6,MONTH(D3)=9,MONTH(D3)=11),(G3/30)*J3,(G3/DAY(EOMONTH(D3,0)))*J3)),0))</f>
        <v>0</v>
      </c>
      <c r="L3" s="14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3"/>
      <c r="N3" s="73"/>
      <c r="O3" s="236" t="s">
        <v>47</v>
      </c>
      <c r="P3" s="236" t="s">
        <v>48</v>
      </c>
      <c r="Q3" s="236" t="s">
        <v>49</v>
      </c>
      <c r="R3" s="272" t="s">
        <v>50</v>
      </c>
      <c r="S3" s="149"/>
      <c r="T3" s="149"/>
      <c r="U3" s="149"/>
      <c r="V3" s="149"/>
      <c r="AB3" s="150"/>
    </row>
    <row r="4" spans="1:28" ht="22" customHeight="1">
      <c r="A4" s="151" t="s">
        <v>51</v>
      </c>
      <c r="B4" s="101">
        <v>401047</v>
      </c>
      <c r="C4" s="45" t="s">
        <v>226</v>
      </c>
      <c r="D4" s="46">
        <v>41154</v>
      </c>
      <c r="E4" s="47" t="s">
        <v>4</v>
      </c>
      <c r="F4" s="69">
        <v>173</v>
      </c>
      <c r="G4" s="152">
        <f>IF(OR(E4="",F4=""),"",PID_KVLohnLookup($A$1,E4,F4,LOHNTABELLE!$H$4))</f>
        <v>2123</v>
      </c>
      <c r="H4" s="153">
        <f>IF(AND(ISNUMBER(D4),ISNUMBER(F4)),ROUNDDOWN(MIN(IF(OR(ISBLANK(I4),I4=""),EOMONTH(DATE(EINSTELLUNG!$C$35,$A$1,1),0),I4)-MAX(D4,DATE(EINSTELLUNG!$C$35,$A$1,1))+1)/DAY(EOMONTH(DATE(EINSTELLUNG!$C$35,$A$1,1),0))*F4,2),"")</f>
        <v>173</v>
      </c>
      <c r="I4" s="49"/>
      <c r="J4" s="50"/>
      <c r="K4" s="152">
        <f t="shared" si="0"/>
        <v>0</v>
      </c>
      <c r="L4" s="15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51"/>
      <c r="N4" s="74"/>
      <c r="O4" s="237"/>
      <c r="P4" s="237"/>
      <c r="Q4" s="237"/>
      <c r="R4" s="273"/>
      <c r="S4" s="149"/>
      <c r="T4" s="149"/>
      <c r="U4" s="149"/>
      <c r="V4" s="149"/>
    </row>
    <row r="5" spans="1:28" ht="22" customHeight="1">
      <c r="A5" s="151" t="s">
        <v>52</v>
      </c>
      <c r="B5" s="102">
        <v>401049</v>
      </c>
      <c r="C5" s="53" t="s">
        <v>225</v>
      </c>
      <c r="D5" s="54">
        <v>41130</v>
      </c>
      <c r="E5" s="55" t="s">
        <v>4</v>
      </c>
      <c r="F5" s="56">
        <v>173</v>
      </c>
      <c r="G5" s="152">
        <f>IF(OR(E5="",F5=""),"",PID_KVLohnLookup($A$1,E5,F5,LOHNTABELLE!$H$4))</f>
        <v>2123</v>
      </c>
      <c r="H5" s="153">
        <f>IF(AND(ISNUMBER(D5),ISNUMBER(F5)),ROUNDDOWN(MIN(IF(OR(ISBLANK(I5),I5=""),EOMONTH(DATE(EINSTELLUNG!$C$35,$A$1,1),0),I5)-MAX(D5,DATE(EINSTELLUNG!$C$35,$A$1,1))+1)/DAY(EOMONTH(DATE(EINSTELLUNG!$C$35,$A$1,1),0))*F5,2),"")</f>
        <v>173</v>
      </c>
      <c r="I5" s="57"/>
      <c r="J5" s="58"/>
      <c r="K5" s="152">
        <f t="shared" si="0"/>
        <v>0</v>
      </c>
      <c r="L5" s="15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9"/>
      <c r="N5" s="75"/>
      <c r="O5" s="155" cm="1">
        <f t="array" ref="O5">SUMPRODUCT((F3:F82/4.310808)/5*2.08)</f>
        <v>863.78512798528698</v>
      </c>
      <c r="P5" s="156">
        <f>EINSTELLUNG!I7</f>
        <v>600</v>
      </c>
      <c r="Q5" s="156">
        <f>P5-O5</f>
        <v>-263.78512798528698</v>
      </c>
      <c r="R5" s="157">
        <f>IFERROR(Q5*Q42, 0)</f>
        <v>-3153.426706728696</v>
      </c>
      <c r="S5" s="149"/>
      <c r="T5" s="149"/>
      <c r="U5" s="149"/>
      <c r="V5" s="149"/>
    </row>
    <row r="6" spans="1:28" ht="22" customHeight="1">
      <c r="A6" s="151" t="s">
        <v>53</v>
      </c>
      <c r="B6" s="101">
        <v>401051</v>
      </c>
      <c r="C6" s="45" t="s">
        <v>227</v>
      </c>
      <c r="D6" s="46">
        <v>41176</v>
      </c>
      <c r="E6" s="47" t="s">
        <v>2</v>
      </c>
      <c r="F6" s="48">
        <v>173</v>
      </c>
      <c r="G6" s="152">
        <f>IF(OR(E6="",F6=""),"",PID_KVLohnLookup($A$1,E6,F6,LOHNTABELLE!$H$4))</f>
        <v>2021</v>
      </c>
      <c r="H6" s="153">
        <f>IF(AND(ISNUMBER(D6),ISNUMBER(F6)),ROUNDDOWN(MIN(IF(OR(ISBLANK(I6),I6=""),EOMONTH(DATE(EINSTELLUNG!$C$35,$A$1,1),0),I6)-MAX(D6,DATE(EINSTELLUNG!$C$35,$A$1,1))+1)/DAY(EOMONTH(DATE(EINSTELLUNG!$C$35,$A$1,1),0))*F6,2),"")</f>
        <v>173</v>
      </c>
      <c r="I6" s="49"/>
      <c r="J6" s="50"/>
      <c r="K6" s="152">
        <f t="shared" si="0"/>
        <v>0</v>
      </c>
      <c r="L6" s="15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51"/>
      <c r="N6" s="74"/>
      <c r="O6" s="266" t="str">
        <f>IF(Q5&lt;0, "Schlecht! Zu wenig Urlaub abgebaut.", IF(Q5&gt;0, "Gut! Mehr Urlaub abgebaut als aufgebaut.", ""))</f>
        <v>Schlecht! Zu wenig Urlaub abgebaut.</v>
      </c>
      <c r="P6" s="267"/>
      <c r="Q6" s="267"/>
      <c r="R6" s="268"/>
      <c r="S6" s="149"/>
      <c r="T6" s="149"/>
      <c r="U6" s="149"/>
      <c r="V6" s="149"/>
    </row>
    <row r="7" spans="1:28" ht="22" customHeight="1" thickBot="1">
      <c r="A7" s="151" t="s">
        <v>54</v>
      </c>
      <c r="B7" s="102">
        <v>401089</v>
      </c>
      <c r="C7" s="53" t="s">
        <v>241</v>
      </c>
      <c r="D7" s="54">
        <v>44868</v>
      </c>
      <c r="E7" s="55" t="s">
        <v>3</v>
      </c>
      <c r="F7" s="56">
        <v>173</v>
      </c>
      <c r="G7" s="152">
        <f>IF(OR(E7="",F7=""),"",PID_KVLohnLookup($A$1,E7,F7,LOHNTABELLE!$H$4))</f>
        <v>2082</v>
      </c>
      <c r="H7" s="153">
        <f>IF(AND(ISNUMBER(D7),ISNUMBER(F7)),ROUNDDOWN(MIN(IF(OR(ISBLANK(I7),I7=""),EOMONTH(DATE(EINSTELLUNG!$C$35,$A$1,1),0),I7)-MAX(D7,DATE(EINSTELLUNG!$C$35,$A$1,1))+1)/DAY(EOMONTH(DATE(EINSTELLUNG!$C$35,$A$1,1),0))*F7,2),"")</f>
        <v>173</v>
      </c>
      <c r="I7" s="57"/>
      <c r="J7" s="58"/>
      <c r="K7" s="152">
        <f t="shared" si="0"/>
        <v>0</v>
      </c>
      <c r="L7" s="15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9"/>
      <c r="N7" s="75"/>
      <c r="O7" s="149"/>
      <c r="P7" s="149"/>
      <c r="Q7" s="149"/>
      <c r="R7" s="149"/>
      <c r="S7" s="149"/>
      <c r="T7" s="149"/>
      <c r="U7" s="149"/>
      <c r="V7" s="149"/>
    </row>
    <row r="8" spans="1:28" ht="22" customHeight="1">
      <c r="A8" s="151" t="s">
        <v>55</v>
      </c>
      <c r="B8" s="101">
        <v>401138</v>
      </c>
      <c r="C8" s="45" t="s">
        <v>228</v>
      </c>
      <c r="D8" s="46">
        <v>42006</v>
      </c>
      <c r="E8" s="47" t="s">
        <v>4</v>
      </c>
      <c r="F8" s="48">
        <v>173</v>
      </c>
      <c r="G8" s="152">
        <f>IF(OR(E8="",F8=""),"",PID_KVLohnLookup($A$1,E8,F8,LOHNTABELLE!$H$4))</f>
        <v>2123</v>
      </c>
      <c r="H8" s="153">
        <f>IF(AND(ISNUMBER(D8),ISNUMBER(F8)),ROUNDDOWN(MIN(IF(OR(ISBLANK(I8),I8=""),EOMONTH(DATE(EINSTELLUNG!$C$35,$A$1,1),0),I8)-MAX(D8,DATE(EINSTELLUNG!$C$35,$A$1,1))+1)/DAY(EOMONTH(DATE(EINSTELLUNG!$C$35,$A$1,1),0))*F8,2),"")</f>
        <v>173</v>
      </c>
      <c r="I8" s="49"/>
      <c r="J8" s="50"/>
      <c r="K8" s="152">
        <f t="shared" si="0"/>
        <v>0</v>
      </c>
      <c r="L8" s="15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51"/>
      <c r="N8" s="74"/>
      <c r="O8" s="250" t="s">
        <v>56</v>
      </c>
      <c r="P8" s="251"/>
      <c r="Q8" s="252">
        <f>SUM(H3:H82)</f>
        <v>8810.42</v>
      </c>
      <c r="R8" s="253"/>
      <c r="S8" s="149"/>
      <c r="T8" s="149"/>
      <c r="U8" s="149"/>
      <c r="V8" s="149"/>
    </row>
    <row r="9" spans="1:28" ht="22" customHeight="1">
      <c r="A9" s="151" t="s">
        <v>57</v>
      </c>
      <c r="B9" s="102">
        <v>401197</v>
      </c>
      <c r="C9" s="53" t="s">
        <v>229</v>
      </c>
      <c r="D9" s="54">
        <v>42644</v>
      </c>
      <c r="E9" s="55" t="s">
        <v>3</v>
      </c>
      <c r="F9" s="56">
        <v>173</v>
      </c>
      <c r="G9" s="152">
        <f>IF(OR(E9="",F9=""),"",PID_KVLohnLookup($A$1,E9,F9,LOHNTABELLE!$H$4))</f>
        <v>2082</v>
      </c>
      <c r="H9" s="153">
        <f>IF(AND(ISNUMBER(D9),ISNUMBER(F9)),ROUNDDOWN(MIN(IF(OR(ISBLANK(I9),I9=""),EOMONTH(DATE(EINSTELLUNG!$C$35,$A$1,1),0),I9)-MAX(D9,DATE(EINSTELLUNG!$C$35,$A$1,1))+1)/DAY(EOMONTH(DATE(EINSTELLUNG!$C$35,$A$1,1),0))*F9,2),"")</f>
        <v>173</v>
      </c>
      <c r="I9" s="57"/>
      <c r="J9" s="58"/>
      <c r="K9" s="152">
        <f t="shared" si="0"/>
        <v>0</v>
      </c>
      <c r="L9" s="15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9"/>
      <c r="N9" s="75"/>
      <c r="O9" s="254" t="s">
        <v>58</v>
      </c>
      <c r="P9" s="255"/>
      <c r="Q9" s="269">
        <f>EINSTELLUNG!L23</f>
        <v>2</v>
      </c>
      <c r="R9" s="270"/>
      <c r="S9" s="170">
        <f>IFERROR(Q9/Q8, 0)</f>
        <v>2.2700393397817584E-4</v>
      </c>
      <c r="T9" s="149"/>
      <c r="U9" s="149"/>
      <c r="V9" s="149"/>
    </row>
    <row r="10" spans="1:28" ht="22" customHeight="1">
      <c r="A10" s="151" t="s">
        <v>59</v>
      </c>
      <c r="B10" s="101">
        <v>401214</v>
      </c>
      <c r="C10" s="45" t="s">
        <v>255</v>
      </c>
      <c r="D10" s="46">
        <v>45636</v>
      </c>
      <c r="E10" s="47" t="s">
        <v>3</v>
      </c>
      <c r="F10" s="48">
        <v>173</v>
      </c>
      <c r="G10" s="152">
        <f>IF(OR(E10="",F10=""),"",PID_KVLohnLookup($A$1,E10,F10,LOHNTABELLE!$H$4))</f>
        <v>2082</v>
      </c>
      <c r="H10" s="153">
        <f>IF(AND(ISNUMBER(D10),ISNUMBER(F10)),ROUNDDOWN(MIN(IF(OR(ISBLANK(I10),I10=""),EOMONTH(DATE(EINSTELLUNG!$C$35,$A$1,1),0),I10)-MAX(D10,DATE(EINSTELLUNG!$C$35,$A$1,1))+1)/DAY(EOMONTH(DATE(EINSTELLUNG!$C$35,$A$1,1),0))*F10,2),"")</f>
        <v>173</v>
      </c>
      <c r="I10" s="49"/>
      <c r="J10" s="50"/>
      <c r="K10" s="152">
        <f t="shared" si="0"/>
        <v>0</v>
      </c>
      <c r="L10" s="15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51"/>
      <c r="N10" s="74"/>
      <c r="O10" s="254" t="s">
        <v>60</v>
      </c>
      <c r="P10" s="255"/>
      <c r="Q10" s="269">
        <f>EINSTELLUNG!I23</f>
        <v>0</v>
      </c>
      <c r="R10" s="270"/>
      <c r="S10" s="149"/>
      <c r="T10" s="149"/>
      <c r="U10" s="149"/>
      <c r="V10" s="149"/>
    </row>
    <row r="11" spans="1:28" ht="22" customHeight="1">
      <c r="A11" s="151" t="s">
        <v>61</v>
      </c>
      <c r="B11" s="102">
        <v>401276</v>
      </c>
      <c r="C11" s="53" t="s">
        <v>230</v>
      </c>
      <c r="D11" s="54">
        <v>43252</v>
      </c>
      <c r="E11" s="55" t="s">
        <v>3</v>
      </c>
      <c r="F11" s="56">
        <v>173</v>
      </c>
      <c r="G11" s="152">
        <f>IF(OR(E11="",F11=""),"",PID_KVLohnLookup($A$1,E11,F11,LOHNTABELLE!$H$4))</f>
        <v>2082</v>
      </c>
      <c r="H11" s="153">
        <f>IF(AND(ISNUMBER(D11),ISNUMBER(F11)),ROUNDDOWN(MIN(IF(OR(ISBLANK(I11),I11=""),EOMONTH(DATE(EINSTELLUNG!$C$35,$A$1,1),0),I11)-MAX(D11,DATE(EINSTELLUNG!$C$35,$A$1,1))+1)/DAY(EOMONTH(DATE(EINSTELLUNG!$C$35,$A$1,1),0))*F11,2),"")</f>
        <v>173</v>
      </c>
      <c r="I11" s="57"/>
      <c r="J11" s="58"/>
      <c r="K11" s="152">
        <f t="shared" si="0"/>
        <v>0</v>
      </c>
      <c r="L11" s="15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9"/>
      <c r="N11" s="75"/>
      <c r="O11" s="254" t="s">
        <v>62</v>
      </c>
      <c r="P11" s="255"/>
      <c r="Q11" s="269">
        <f>P5</f>
        <v>600</v>
      </c>
      <c r="R11" s="270"/>
      <c r="S11" s="149"/>
      <c r="T11" s="149"/>
      <c r="U11" s="149"/>
      <c r="V11" s="149"/>
    </row>
    <row r="12" spans="1:28" ht="22" customHeight="1">
      <c r="A12" s="151" t="s">
        <v>63</v>
      </c>
      <c r="B12" s="101">
        <v>401276</v>
      </c>
      <c r="C12" s="45" t="s">
        <v>406</v>
      </c>
      <c r="D12" s="46">
        <v>38899</v>
      </c>
      <c r="E12" s="47" t="s">
        <v>2</v>
      </c>
      <c r="F12" s="48">
        <v>55</v>
      </c>
      <c r="G12" s="152">
        <f>IF(OR(E12="",F12=""),"",PID_KVLohnLookup($A$1,E12,F12,LOHNTABELLE!$H$4))</f>
        <v>666</v>
      </c>
      <c r="H12" s="153">
        <f>IF(AND(ISNUMBER(D12),ISNUMBER(F12)),ROUNDDOWN(MIN(IF(OR(ISBLANK(I12),I12=""),EOMONTH(DATE(EINSTELLUNG!$C$35,$A$1,1),0),I12)-MAX(D12,DATE(EINSTELLUNG!$C$35,$A$1,1))+1)/DAY(EOMONTH(DATE(EINSTELLUNG!$C$35,$A$1,1),0))*F12,2),"")</f>
        <v>55</v>
      </c>
      <c r="I12" s="49"/>
      <c r="J12" s="50"/>
      <c r="K12" s="152">
        <f t="shared" si="0"/>
        <v>0</v>
      </c>
      <c r="L12" s="15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51"/>
      <c r="N12" s="74"/>
      <c r="O12" s="254" t="s">
        <v>66</v>
      </c>
      <c r="P12" s="255"/>
      <c r="Q12" s="317">
        <v>7976.6399999999994</v>
      </c>
      <c r="R12" s="318"/>
      <c r="S12" s="149"/>
      <c r="T12" s="149"/>
      <c r="U12" s="149"/>
      <c r="V12" s="149"/>
    </row>
    <row r="13" spans="1:28" ht="22" customHeight="1">
      <c r="A13" s="151" t="s">
        <v>65</v>
      </c>
      <c r="B13" s="102">
        <v>401307</v>
      </c>
      <c r="C13" s="53" t="s">
        <v>231</v>
      </c>
      <c r="D13" s="54">
        <v>43571</v>
      </c>
      <c r="E13" s="55" t="s">
        <v>2</v>
      </c>
      <c r="F13" s="56">
        <v>55</v>
      </c>
      <c r="G13" s="152">
        <f>IF(OR(E13="",F13=""),"",PID_KVLohnLookup($A$1,E13,F13,LOHNTABELLE!$H$4))</f>
        <v>666</v>
      </c>
      <c r="H13" s="153">
        <f>IF(AND(ISNUMBER(D13),ISNUMBER(F13)),ROUNDDOWN(MIN(IF(OR(ISBLANK(I13),I13=""),EOMONTH(DATE(EINSTELLUNG!$C$35,$A$1,1),0),I13)-MAX(D13,DATE(EINSTELLUNG!$C$35,$A$1,1))+1)/DAY(EOMONTH(DATE(EINSTELLUNG!$C$35,$A$1,1),0))*F13,2),"")</f>
        <v>55</v>
      </c>
      <c r="I13" s="57"/>
      <c r="J13" s="58"/>
      <c r="K13" s="152">
        <f t="shared" si="0"/>
        <v>0</v>
      </c>
      <c r="L13" s="15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9"/>
      <c r="N13" s="75"/>
      <c r="O13" s="254" t="s">
        <v>68</v>
      </c>
      <c r="P13" s="255"/>
      <c r="Q13" s="269">
        <f>EINSTELLUNG!L7</f>
        <v>9300</v>
      </c>
      <c r="R13" s="270"/>
      <c r="S13" s="149"/>
      <c r="T13" s="149"/>
      <c r="U13" s="149"/>
      <c r="V13" s="149"/>
    </row>
    <row r="14" spans="1:28" ht="22" customHeight="1" thickBot="1">
      <c r="A14" s="151" t="s">
        <v>67</v>
      </c>
      <c r="B14" s="101">
        <v>401308</v>
      </c>
      <c r="C14" s="45" t="s">
        <v>232</v>
      </c>
      <c r="D14" s="46">
        <v>43579</v>
      </c>
      <c r="E14" s="47" t="s">
        <v>3</v>
      </c>
      <c r="F14" s="48">
        <v>173</v>
      </c>
      <c r="G14" s="152">
        <f>IF(OR(E14="",F14=""),"",PID_KVLohnLookup($A$1,E14,F14,LOHNTABELLE!$H$4))</f>
        <v>2082</v>
      </c>
      <c r="H14" s="153">
        <f>IF(AND(ISNUMBER(D14),ISNUMBER(F14)),ROUNDDOWN(MIN(IF(OR(ISBLANK(I14),I14=""),EOMONTH(DATE(EINSTELLUNG!$C$35,$A$1,1),0),I14)-MAX(D14,DATE(EINSTELLUNG!$C$35,$A$1,1))+1)/DAY(EOMONTH(DATE(EINSTELLUNG!$C$35,$A$1,1),0))*F14,2),"")</f>
        <v>173</v>
      </c>
      <c r="I14" s="49"/>
      <c r="J14" s="50"/>
      <c r="K14" s="152">
        <f t="shared" si="0"/>
        <v>0</v>
      </c>
      <c r="L14" s="15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51"/>
      <c r="N14" s="74"/>
      <c r="O14" s="240" t="s">
        <v>70</v>
      </c>
      <c r="P14" s="241"/>
      <c r="Q14" s="242">
        <f>Q12-Q13</f>
        <v>-1323.3600000000006</v>
      </c>
      <c r="R14" s="243"/>
      <c r="S14" s="149"/>
      <c r="T14" s="149"/>
      <c r="U14" s="149"/>
      <c r="V14" s="149"/>
    </row>
    <row r="15" spans="1:28" ht="22" customHeight="1">
      <c r="A15" s="151" t="s">
        <v>69</v>
      </c>
      <c r="B15" s="102">
        <v>401389</v>
      </c>
      <c r="C15" s="53" t="s">
        <v>234</v>
      </c>
      <c r="D15" s="54">
        <v>44384</v>
      </c>
      <c r="E15" s="55" t="s">
        <v>4</v>
      </c>
      <c r="F15" s="56">
        <v>151.38</v>
      </c>
      <c r="G15" s="152">
        <f>IF(OR(E15="",F15=""),"",PID_KVLohnLookup($A$1,E15,F15,LOHNTABELLE!$H$4))</f>
        <v>1857.63</v>
      </c>
      <c r="H15" s="153">
        <f>IF(AND(ISNUMBER(D15),ISNUMBER(F15)),ROUNDDOWN(MIN(IF(OR(ISBLANK(I15),I15=""),EOMONTH(DATE(EINSTELLUNG!$C$35,$A$1,1),0),I15)-MAX(D15,DATE(EINSTELLUNG!$C$35,$A$1,1))+1)/DAY(EOMONTH(DATE(EINSTELLUNG!$C$35,$A$1,1),0))*F15,2),"")</f>
        <v>151.38</v>
      </c>
      <c r="I15" s="57"/>
      <c r="J15" s="58"/>
      <c r="K15" s="152">
        <f t="shared" si="0"/>
        <v>0</v>
      </c>
      <c r="L15" s="15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9"/>
      <c r="N15" s="75"/>
      <c r="O15" s="302" t="str">
        <f>IF(Q14&lt;0, "Schlecht! Zu wenig Stunden für Dienstplan.", IF(Q14&gt;0, "Du hast mehr als genug Stunden für Dienstplan.", ""))</f>
        <v>Schlecht! Zu wenig Stunden für Dienstplan.</v>
      </c>
      <c r="P15" s="303"/>
      <c r="Q15" s="303"/>
      <c r="R15" s="303"/>
      <c r="S15" s="160"/>
      <c r="T15" s="160"/>
      <c r="U15" s="160"/>
      <c r="V15" s="149"/>
    </row>
    <row r="16" spans="1:28" ht="22" customHeight="1" thickBot="1">
      <c r="A16" s="151" t="s">
        <v>71</v>
      </c>
      <c r="B16" s="101">
        <v>401394</v>
      </c>
      <c r="C16" s="45" t="s">
        <v>233</v>
      </c>
      <c r="D16" s="46">
        <v>44379</v>
      </c>
      <c r="E16" s="47" t="s">
        <v>2</v>
      </c>
      <c r="F16" s="48">
        <v>173</v>
      </c>
      <c r="G16" s="152">
        <f>IF(OR(E16="",F16=""),"",PID_KVLohnLookup($A$1,E16,F16,LOHNTABELLE!$H$4))</f>
        <v>2021</v>
      </c>
      <c r="H16" s="153">
        <f>IF(AND(ISNUMBER(D16),ISNUMBER(F16)),ROUNDDOWN(MIN(IF(OR(ISBLANK(I16),I16=""),EOMONTH(DATE(EINSTELLUNG!$C$35,$A$1,1),0),I16)-MAX(D16,DATE(EINSTELLUNG!$C$35,$A$1,1))+1)/DAY(EOMONTH(DATE(EINSTELLUNG!$C$35,$A$1,1),0))*F16,2),"")</f>
        <v>173</v>
      </c>
      <c r="I16" s="49"/>
      <c r="J16" s="50"/>
      <c r="K16" s="152">
        <f t="shared" si="0"/>
        <v>0</v>
      </c>
      <c r="L16" s="15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51"/>
      <c r="N16" s="74"/>
      <c r="O16" s="313"/>
      <c r="P16" s="314"/>
      <c r="Q16" s="314"/>
      <c r="R16" s="315"/>
      <c r="S16" s="161"/>
      <c r="T16" s="161"/>
      <c r="U16" s="161"/>
      <c r="V16" s="161"/>
      <c r="W16" s="162"/>
    </row>
    <row r="17" spans="1:29" ht="22" customHeight="1">
      <c r="A17" s="151" t="s">
        <v>72</v>
      </c>
      <c r="B17" s="102">
        <v>401406</v>
      </c>
      <c r="C17" s="53" t="s">
        <v>407</v>
      </c>
      <c r="D17" s="57">
        <v>36850</v>
      </c>
      <c r="E17" s="55" t="s">
        <v>10</v>
      </c>
      <c r="F17" s="56">
        <v>151.38</v>
      </c>
      <c r="G17" s="152">
        <f>IF(OR(E17="",F17=""),"",PID_KVLohnLookup($A$1,E17,F17,LOHNTABELLE!$H$4))</f>
        <v>2012.5</v>
      </c>
      <c r="H17" s="153">
        <f>IF(AND(ISNUMBER(D17),ISNUMBER(F17)),ROUNDDOWN(MIN(IF(OR(ISBLANK(I17),I17=""),EOMONTH(DATE(EINSTELLUNG!$C$35,$A$1,1),0),I17)-MAX(D17,DATE(EINSTELLUNG!$C$35,$A$1,1))+1)/DAY(EOMONTH(DATE(EINSTELLUNG!$C$35,$A$1,1),0))*F17,2),"")</f>
        <v>151.38</v>
      </c>
      <c r="I17" s="57"/>
      <c r="J17" s="58"/>
      <c r="K17" s="152">
        <f t="shared" si="0"/>
        <v>0</v>
      </c>
      <c r="L17" s="15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9"/>
      <c r="N17" s="75"/>
      <c r="O17" s="316" t="s">
        <v>73</v>
      </c>
      <c r="P17" s="251"/>
      <c r="Q17" s="260">
        <f>SUM(L3:L82)</f>
        <v>105324.41285714287</v>
      </c>
      <c r="R17" s="261"/>
      <c r="S17" s="149"/>
      <c r="T17" s="149"/>
      <c r="U17" s="149"/>
      <c r="V17" s="149"/>
      <c r="W17" s="162"/>
    </row>
    <row r="18" spans="1:29" ht="22" customHeight="1">
      <c r="A18" s="151" t="s">
        <v>74</v>
      </c>
      <c r="B18" s="101">
        <v>401432</v>
      </c>
      <c r="C18" s="45" t="s">
        <v>235</v>
      </c>
      <c r="D18" s="46">
        <v>44441</v>
      </c>
      <c r="E18" s="47" t="s">
        <v>2</v>
      </c>
      <c r="F18" s="48">
        <v>173</v>
      </c>
      <c r="G18" s="152">
        <f>IF(OR(E18="",F18=""),"",PID_KVLohnLookup($A$1,E18,F18,LOHNTABELLE!$H$4))</f>
        <v>2021</v>
      </c>
      <c r="H18" s="153">
        <f>IF(AND(ISNUMBER(D18),ISNUMBER(F18)),ROUNDDOWN(MIN(IF(OR(ISBLANK(I18),I18=""),EOMONTH(DATE(EINSTELLUNG!$C$35,$A$1,1),0),I18)-MAX(D18,DATE(EINSTELLUNG!$C$35,$A$1,1))+1)/DAY(EOMONTH(DATE(EINSTELLUNG!$C$35,$A$1,1),0))*F18,2),"")</f>
        <v>173</v>
      </c>
      <c r="I18" s="49"/>
      <c r="J18" s="50"/>
      <c r="K18" s="152">
        <f t="shared" si="0"/>
        <v>0</v>
      </c>
      <c r="L18" s="15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51"/>
      <c r="N18" s="74"/>
      <c r="O18" s="308" t="s">
        <v>385</v>
      </c>
      <c r="P18" s="249"/>
      <c r="Q18" s="238">
        <v>20</v>
      </c>
      <c r="R18" s="239"/>
      <c r="S18" s="149"/>
      <c r="T18" s="149"/>
      <c r="U18" s="149"/>
      <c r="V18" s="149"/>
    </row>
    <row r="19" spans="1:29" ht="22" customHeight="1">
      <c r="A19" s="151" t="s">
        <v>75</v>
      </c>
      <c r="B19" s="102">
        <v>401476</v>
      </c>
      <c r="C19" s="53" t="s">
        <v>237</v>
      </c>
      <c r="D19" s="54">
        <v>44504</v>
      </c>
      <c r="E19" s="55" t="s">
        <v>2</v>
      </c>
      <c r="F19" s="56">
        <v>173</v>
      </c>
      <c r="G19" s="152">
        <f>IF(OR(E19="",F19=""),"",PID_KVLohnLookup($A$1,E19,F19,LOHNTABELLE!$H$4))</f>
        <v>2021</v>
      </c>
      <c r="H19" s="153">
        <f>IF(AND(ISNUMBER(D19),ISNUMBER(F19)),ROUNDDOWN(MIN(IF(OR(ISBLANK(I19),I19=""),EOMONTH(DATE(EINSTELLUNG!$C$35,$A$1,1),0),I19)-MAX(D19,DATE(EINSTELLUNG!$C$35,$A$1,1))+1)/DAY(EOMONTH(DATE(EINSTELLUNG!$C$35,$A$1,1),0))*F19,2),"")</f>
        <v>173</v>
      </c>
      <c r="I19" s="57"/>
      <c r="J19" s="58"/>
      <c r="K19" s="152">
        <f t="shared" si="0"/>
        <v>0</v>
      </c>
      <c r="L19" s="15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9"/>
      <c r="N19" s="75"/>
      <c r="O19" s="308" t="s">
        <v>296</v>
      </c>
      <c r="P19" s="249"/>
      <c r="Q19" s="238">
        <v>333</v>
      </c>
      <c r="R19" s="239"/>
      <c r="S19" s="149"/>
      <c r="T19" s="149"/>
      <c r="U19" s="149"/>
      <c r="V19" s="149"/>
    </row>
    <row r="20" spans="1:29" ht="22" customHeight="1">
      <c r="A20" s="151" t="s">
        <v>76</v>
      </c>
      <c r="B20" s="101">
        <v>401479</v>
      </c>
      <c r="C20" s="45" t="s">
        <v>238</v>
      </c>
      <c r="D20" s="49">
        <v>44511</v>
      </c>
      <c r="E20" s="47" t="s">
        <v>6</v>
      </c>
      <c r="F20" s="48">
        <v>173</v>
      </c>
      <c r="G20" s="152">
        <f>IF(OR(E20="",F20=""),"",PID_KVLohnLookup($A$1,E20,F20,LOHNTABELLE!$H$4))</f>
        <v>2160</v>
      </c>
      <c r="H20" s="153">
        <f>IF(AND(ISNUMBER(D20),ISNUMBER(F20)),ROUNDDOWN(MIN(IF(OR(ISBLANK(I20),I20=""),EOMONTH(DATE(EINSTELLUNG!$C$35,$A$1,1),0),I20)-MAX(D20,DATE(EINSTELLUNG!$C$35,$A$1,1))+1)/DAY(EOMONTH(DATE(EINSTELLUNG!$C$35,$A$1,1),0))*F20,2),"")</f>
        <v>173</v>
      </c>
      <c r="I20" s="49"/>
      <c r="J20" s="50"/>
      <c r="K20" s="152">
        <f t="shared" si="0"/>
        <v>0</v>
      </c>
      <c r="L20" s="15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51"/>
      <c r="N20" s="74"/>
      <c r="O20" s="308" t="s">
        <v>296</v>
      </c>
      <c r="P20" s="249"/>
      <c r="Q20" s="238">
        <v>35</v>
      </c>
      <c r="R20" s="239"/>
      <c r="S20" s="149"/>
      <c r="T20" s="149"/>
      <c r="U20" s="149"/>
      <c r="V20" s="149"/>
    </row>
    <row r="21" spans="1:29" ht="22" customHeight="1">
      <c r="A21" s="151" t="s">
        <v>77</v>
      </c>
      <c r="B21" s="102">
        <v>401481</v>
      </c>
      <c r="C21" s="53" t="s">
        <v>239</v>
      </c>
      <c r="D21" s="57">
        <v>44531</v>
      </c>
      <c r="E21" s="55" t="s">
        <v>3</v>
      </c>
      <c r="F21" s="56">
        <v>173</v>
      </c>
      <c r="G21" s="152">
        <f>IF(OR(E21="",F21=""),"",PID_KVLohnLookup($A$1,E21,F21,LOHNTABELLE!$H$4))</f>
        <v>2082</v>
      </c>
      <c r="H21" s="153">
        <f>IF(AND(ISNUMBER(D21),ISNUMBER(F21)),ROUNDDOWN(MIN(IF(OR(ISBLANK(I21),I21=""),EOMONTH(DATE(EINSTELLUNG!$C$35,$A$1,1),0),I21)-MAX(D21,DATE(EINSTELLUNG!$C$35,$A$1,1))+1)/DAY(EOMONTH(DATE(EINSTELLUNG!$C$35,$A$1,1),0))*F21,2),"")</f>
        <v>173</v>
      </c>
      <c r="I21" s="57"/>
      <c r="J21" s="58"/>
      <c r="K21" s="152">
        <f t="shared" si="0"/>
        <v>0</v>
      </c>
      <c r="L21" s="15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9"/>
      <c r="N21" s="75"/>
      <c r="O21" s="308" t="s">
        <v>296</v>
      </c>
      <c r="P21" s="249"/>
      <c r="Q21" s="238">
        <v>100</v>
      </c>
      <c r="R21" s="239"/>
      <c r="S21" s="149"/>
      <c r="T21" s="149"/>
      <c r="U21" s="149"/>
      <c r="V21" s="149"/>
    </row>
    <row r="22" spans="1:29" ht="22" customHeight="1">
      <c r="A22" s="151" t="s">
        <v>78</v>
      </c>
      <c r="B22" s="101">
        <v>401558</v>
      </c>
      <c r="C22" s="45" t="s">
        <v>236</v>
      </c>
      <c r="D22" s="49">
        <v>44460</v>
      </c>
      <c r="E22" s="47" t="s">
        <v>2</v>
      </c>
      <c r="F22" s="48">
        <v>173</v>
      </c>
      <c r="G22" s="152">
        <f>IF(OR(E22="",F22=""),"",PID_KVLohnLookup($A$1,E22,F22,LOHNTABELLE!$H$4))</f>
        <v>2021</v>
      </c>
      <c r="H22" s="153">
        <f>IF(AND(ISNUMBER(D22),ISNUMBER(F22)),ROUNDDOWN(MIN(IF(OR(ISBLANK(I22),I22=""),EOMONTH(DATE(EINSTELLUNG!$C$35,$A$1,1),0),I22)-MAX(D22,DATE(EINSTELLUNG!$C$35,$A$1,1))+1)/DAY(EOMONTH(DATE(EINSTELLUNG!$C$35,$A$1,1),0))*F22,2),"")</f>
        <v>173</v>
      </c>
      <c r="I22" s="49"/>
      <c r="J22" s="50"/>
      <c r="K22" s="152">
        <f t="shared" si="0"/>
        <v>0</v>
      </c>
      <c r="L22" s="15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51"/>
      <c r="N22" s="74"/>
      <c r="O22" s="308" t="s">
        <v>296</v>
      </c>
      <c r="P22" s="249"/>
      <c r="Q22" s="238"/>
      <c r="R22" s="239"/>
      <c r="S22" s="149"/>
      <c r="T22" s="149"/>
      <c r="U22" s="149"/>
      <c r="V22" s="149"/>
    </row>
    <row r="23" spans="1:29" ht="22" customHeight="1">
      <c r="A23" s="151" t="s">
        <v>79</v>
      </c>
      <c r="B23" s="102">
        <v>401564</v>
      </c>
      <c r="C23" s="53" t="s">
        <v>240</v>
      </c>
      <c r="D23" s="54">
        <v>44824</v>
      </c>
      <c r="E23" s="55" t="s">
        <v>2</v>
      </c>
      <c r="F23" s="56">
        <v>151.38</v>
      </c>
      <c r="G23" s="152">
        <f>IF(OR(E23="",F23=""),"",PID_KVLohnLookup($A$1,E23,F23,LOHNTABELLE!$H$4))</f>
        <v>1768.38</v>
      </c>
      <c r="H23" s="153">
        <f>IF(AND(ISNUMBER(D23),ISNUMBER(F23)),ROUNDDOWN(MIN(IF(OR(ISBLANK(I23),I23=""),EOMONTH(DATE(EINSTELLUNG!$C$35,$A$1,1),0),I23)-MAX(D23,DATE(EINSTELLUNG!$C$35,$A$1,1))+1)/DAY(EOMONTH(DATE(EINSTELLUNG!$C$35,$A$1,1),0))*F23,2),"")</f>
        <v>151.38</v>
      </c>
      <c r="I23" s="57"/>
      <c r="J23" s="58"/>
      <c r="K23" s="152">
        <f t="shared" si="0"/>
        <v>0</v>
      </c>
      <c r="L23" s="15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9"/>
      <c r="N23" s="75"/>
      <c r="O23" s="308" t="s">
        <v>296</v>
      </c>
      <c r="P23" s="249"/>
      <c r="Q23" s="238">
        <v>5000</v>
      </c>
      <c r="R23" s="239"/>
      <c r="S23" s="149"/>
      <c r="T23" s="149"/>
      <c r="U23" s="149"/>
      <c r="V23" s="149"/>
      <c r="W23" s="162"/>
    </row>
    <row r="24" spans="1:29" ht="22" customHeight="1">
      <c r="A24" s="151" t="s">
        <v>80</v>
      </c>
      <c r="B24" s="101">
        <v>401583</v>
      </c>
      <c r="C24" s="60" t="s">
        <v>242</v>
      </c>
      <c r="D24" s="49">
        <v>44900</v>
      </c>
      <c r="E24" s="47" t="s">
        <v>13</v>
      </c>
      <c r="F24" s="48">
        <v>173</v>
      </c>
      <c r="G24" s="152">
        <f>IF(OR(E24="",F24=""),"",PID_KVLohnLookup($A$1,E24,F24,LOHNTABELLE!$H$4))</f>
        <v>2328</v>
      </c>
      <c r="H24" s="153">
        <f>IF(AND(ISNUMBER(D24),ISNUMBER(F24)),ROUNDDOWN(MIN(IF(OR(ISBLANK(I24),I24=""),EOMONTH(DATE(EINSTELLUNG!$C$35,$A$1,1),0),I24)-MAX(D24,DATE(EINSTELLUNG!$C$35,$A$1,1))+1)/DAY(EOMONTH(DATE(EINSTELLUNG!$C$35,$A$1,1),0))*F24,2),"")</f>
        <v>173</v>
      </c>
      <c r="I24" s="49"/>
      <c r="J24" s="50"/>
      <c r="K24" s="152">
        <f t="shared" si="0"/>
        <v>0</v>
      </c>
      <c r="L24" s="15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51"/>
      <c r="N24" s="74"/>
      <c r="O24" s="308"/>
      <c r="P24" s="249"/>
      <c r="Q24" s="238"/>
      <c r="R24" s="239"/>
      <c r="S24" s="149"/>
      <c r="T24" s="149"/>
      <c r="U24" s="149"/>
      <c r="V24" s="149"/>
      <c r="W24" s="162"/>
    </row>
    <row r="25" spans="1:29" ht="22" customHeight="1">
      <c r="A25" s="151" t="s">
        <v>81</v>
      </c>
      <c r="B25" s="102">
        <v>401589</v>
      </c>
      <c r="C25" s="53" t="s">
        <v>243</v>
      </c>
      <c r="D25" s="54">
        <v>44926</v>
      </c>
      <c r="E25" s="55" t="s">
        <v>10</v>
      </c>
      <c r="F25" s="56">
        <v>173</v>
      </c>
      <c r="G25" s="152">
        <f>IF(OR(E25="",F25=""),"",PID_KVLohnLookup($A$1,E25,F25,LOHNTABELLE!$H$4))</f>
        <v>2300</v>
      </c>
      <c r="H25" s="153">
        <f>IF(AND(ISNUMBER(D25),ISNUMBER(F25)),ROUNDDOWN(MIN(IF(OR(ISBLANK(I25),I25=""),EOMONTH(DATE(EINSTELLUNG!$C$35,$A$1,1),0),I25)-MAX(D25,DATE(EINSTELLUNG!$C$35,$A$1,1))+1)/DAY(EOMONTH(DATE(EINSTELLUNG!$C$35,$A$1,1),0))*F25,2),"")</f>
        <v>173</v>
      </c>
      <c r="I25" s="57"/>
      <c r="J25" s="58"/>
      <c r="K25" s="152">
        <f t="shared" si="0"/>
        <v>0</v>
      </c>
      <c r="L25" s="15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9"/>
      <c r="N25" s="75"/>
      <c r="O25" s="308"/>
      <c r="P25" s="249"/>
      <c r="Q25" s="238"/>
      <c r="R25" s="239"/>
      <c r="S25" s="149"/>
      <c r="T25" s="149"/>
      <c r="U25" s="149"/>
      <c r="V25" s="149"/>
    </row>
    <row r="26" spans="1:29" ht="22" customHeight="1">
      <c r="A26" s="151" t="s">
        <v>82</v>
      </c>
      <c r="B26" s="101">
        <v>401602</v>
      </c>
      <c r="C26" s="45" t="s">
        <v>244</v>
      </c>
      <c r="D26" s="46">
        <v>45975</v>
      </c>
      <c r="E26" s="47" t="s">
        <v>2</v>
      </c>
      <c r="F26" s="48">
        <v>169</v>
      </c>
      <c r="G26" s="152">
        <f>IF(OR(E26="",F26=""),"",PID_KVLohnLookup($A$1,E26,F26,LOHNTABELLE!$H$4))</f>
        <v>2000</v>
      </c>
      <c r="H26" s="153">
        <f>IF(AND(ISNUMBER(D26),ISNUMBER(F26)),ROUNDDOWN(MIN(IF(OR(ISBLANK(I26),I26=""),EOMONTH(DATE(EINSTELLUNG!$C$35,$A$1,1),0),I26)-MAX(D26,DATE(EINSTELLUNG!$C$35,$A$1,1))+1)/DAY(EOMONTH(DATE(EINSTELLUNG!$C$35,$A$1,1),0))*F26,2),"")</f>
        <v>169</v>
      </c>
      <c r="I26" s="49"/>
      <c r="J26" s="50"/>
      <c r="K26" s="152">
        <f t="shared" si="0"/>
        <v>0</v>
      </c>
      <c r="L26" s="15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51"/>
      <c r="N26" s="74"/>
      <c r="O26" s="308"/>
      <c r="P26" s="249"/>
      <c r="Q26" s="238"/>
      <c r="R26" s="239"/>
      <c r="S26" s="149"/>
      <c r="T26" s="149"/>
      <c r="U26" s="149"/>
      <c r="V26" s="149"/>
    </row>
    <row r="27" spans="1:29" ht="22" customHeight="1">
      <c r="A27" s="151" t="s">
        <v>83</v>
      </c>
      <c r="B27" s="102">
        <v>401605</v>
      </c>
      <c r="C27" s="53" t="s">
        <v>245</v>
      </c>
      <c r="D27" s="54">
        <v>44986</v>
      </c>
      <c r="E27" s="55" t="s">
        <v>2</v>
      </c>
      <c r="F27" s="56">
        <v>173</v>
      </c>
      <c r="G27" s="152">
        <f>IF(OR(E27="",F27=""),"",PID_KVLohnLookup($A$1,E27,F27,LOHNTABELLE!$H$4))</f>
        <v>2021</v>
      </c>
      <c r="H27" s="153">
        <f>IF(AND(ISNUMBER(D27),ISNUMBER(F27)),ROUNDDOWN(MIN(IF(OR(ISBLANK(I27),I27=""),EOMONTH(DATE(EINSTELLUNG!$C$35,$A$1,1),0),I27)-MAX(D27,DATE(EINSTELLUNG!$C$35,$A$1,1))+1)/DAY(EOMONTH(DATE(EINSTELLUNG!$C$35,$A$1,1),0))*F27,2),"")</f>
        <v>173</v>
      </c>
      <c r="I27" s="57"/>
      <c r="J27" s="58"/>
      <c r="K27" s="152">
        <f t="shared" si="0"/>
        <v>0</v>
      </c>
      <c r="L27" s="15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9"/>
      <c r="N27" s="75"/>
      <c r="O27" s="308"/>
      <c r="P27" s="249"/>
      <c r="Q27" s="238"/>
      <c r="R27" s="239"/>
      <c r="S27" s="247" t="s">
        <v>84</v>
      </c>
      <c r="T27" s="247"/>
      <c r="U27" s="247"/>
      <c r="V27" s="247"/>
    </row>
    <row r="28" spans="1:29" ht="22" customHeight="1">
      <c r="A28" s="151" t="s">
        <v>85</v>
      </c>
      <c r="B28" s="101">
        <v>401605</v>
      </c>
      <c r="C28" s="45" t="s">
        <v>407</v>
      </c>
      <c r="D28" s="46">
        <v>36850</v>
      </c>
      <c r="E28" s="47" t="s">
        <v>10</v>
      </c>
      <c r="F28" s="48">
        <v>151.38</v>
      </c>
      <c r="G28" s="152">
        <f>IF(OR(E28="",F28=""),"",PID_KVLohnLookup($A$1,E28,F28,LOHNTABELLE!$H$4))</f>
        <v>2012.5</v>
      </c>
      <c r="H28" s="153">
        <f>IF(AND(ISNUMBER(D28),ISNUMBER(F28)),ROUNDDOWN(MIN(IF(OR(ISBLANK(I28),I28=""),EOMONTH(DATE(EINSTELLUNG!$C$35,$A$1,1),0),I28)-MAX(D28,DATE(EINSTELLUNG!$C$35,$A$1,1))+1)/DAY(EOMONTH(DATE(EINSTELLUNG!$C$35,$A$1,1),0))*F28,2),"")</f>
        <v>151.38</v>
      </c>
      <c r="I28" s="49"/>
      <c r="J28" s="50"/>
      <c r="K28" s="152">
        <f t="shared" si="0"/>
        <v>0</v>
      </c>
      <c r="L28" s="15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51"/>
      <c r="N28" s="74"/>
      <c r="O28" s="308"/>
      <c r="P28" s="249"/>
      <c r="Q28" s="238"/>
      <c r="R28" s="239"/>
      <c r="S28" s="149"/>
      <c r="T28" s="149"/>
      <c r="U28" s="149"/>
      <c r="V28" s="149"/>
    </row>
    <row r="29" spans="1:29" ht="22" customHeight="1" thickBot="1">
      <c r="A29" s="151" t="s">
        <v>86</v>
      </c>
      <c r="B29" s="102">
        <v>401626</v>
      </c>
      <c r="C29" s="53" t="s">
        <v>246</v>
      </c>
      <c r="D29" s="54">
        <v>45063</v>
      </c>
      <c r="E29" s="55" t="s">
        <v>2</v>
      </c>
      <c r="F29" s="56">
        <v>173</v>
      </c>
      <c r="G29" s="152">
        <f>IF(OR(E29="",F29=""),"",PID_KVLohnLookup($A$1,E29,F29,LOHNTABELLE!$H$4))</f>
        <v>2021</v>
      </c>
      <c r="H29" s="153">
        <f>IF(AND(ISNUMBER(D29),ISNUMBER(F29)),ROUNDDOWN(MIN(IF(OR(ISBLANK(I29),I29=""),EOMONTH(DATE(EINSTELLUNG!$C$35,$A$1,1),0),I29)-MAX(D29,DATE(EINSTELLUNG!$C$35,$A$1,1))+1)/DAY(EOMONTH(DATE(EINSTELLUNG!$C$35,$A$1,1),0))*F29,2),"")</f>
        <v>173</v>
      </c>
      <c r="I29" s="57"/>
      <c r="J29" s="58"/>
      <c r="K29" s="152">
        <f t="shared" si="0"/>
        <v>0</v>
      </c>
      <c r="L29" s="15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9"/>
      <c r="N29" s="75"/>
      <c r="O29" s="312" t="s">
        <v>87</v>
      </c>
      <c r="P29" s="241"/>
      <c r="Q29" s="295">
        <f>EINSTELLUNG!O7</f>
        <v>1250</v>
      </c>
      <c r="R29" s="296"/>
      <c r="S29" s="149"/>
      <c r="T29" s="149"/>
      <c r="U29" s="149"/>
      <c r="V29" s="149"/>
    </row>
    <row r="30" spans="1:29" ht="22" customHeight="1" thickBot="1">
      <c r="A30" s="151" t="s">
        <v>88</v>
      </c>
      <c r="B30" s="101">
        <v>401633</v>
      </c>
      <c r="C30" s="45" t="s">
        <v>247</v>
      </c>
      <c r="D30" s="46">
        <v>45089</v>
      </c>
      <c r="E30" s="47" t="s">
        <v>10</v>
      </c>
      <c r="F30" s="48">
        <v>173</v>
      </c>
      <c r="G30" s="152">
        <f>IF(OR(E30="",F30=""),"",PID_KVLohnLookup($A$1,E30,F30,LOHNTABELLE!$H$4))</f>
        <v>2300</v>
      </c>
      <c r="H30" s="153">
        <f>IF(AND(ISNUMBER(D30),ISNUMBER(F30)),ROUNDDOWN(MIN(IF(OR(ISBLANK(I30),I30=""),EOMONTH(DATE(EINSTELLUNG!$C$35,$A$1,1),0),I30)-MAX(D30,DATE(EINSTELLUNG!$C$35,$A$1,1))+1)/DAY(EOMONTH(DATE(EINSTELLUNG!$C$35,$A$1,1),0))*F30,2),"")</f>
        <v>173</v>
      </c>
      <c r="I30" s="49"/>
      <c r="J30" s="50"/>
      <c r="K30" s="152">
        <f t="shared" si="0"/>
        <v>0</v>
      </c>
      <c r="L30" s="15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51"/>
      <c r="N30" s="74"/>
      <c r="O30" s="149"/>
      <c r="P30" s="149"/>
      <c r="Q30" s="149"/>
      <c r="R30" s="149"/>
      <c r="S30" s="149"/>
      <c r="T30" s="149"/>
      <c r="U30" s="149"/>
      <c r="V30" s="149"/>
      <c r="W30" s="163"/>
      <c r="X30" s="163"/>
      <c r="Y30" s="163"/>
      <c r="Z30" s="163"/>
      <c r="AA30" s="163"/>
      <c r="AB30" s="163"/>
      <c r="AC30" s="163"/>
    </row>
    <row r="31" spans="1:29" ht="22" customHeight="1" thickBot="1">
      <c r="A31" s="151" t="s">
        <v>89</v>
      </c>
      <c r="B31" s="102">
        <v>401647</v>
      </c>
      <c r="C31" s="53" t="s">
        <v>248</v>
      </c>
      <c r="D31" s="54">
        <v>45182</v>
      </c>
      <c r="E31" s="55" t="s">
        <v>2</v>
      </c>
      <c r="F31" s="56">
        <v>173</v>
      </c>
      <c r="G31" s="152">
        <f>IF(OR(E31="",F31=""),"",PID_KVLohnLookup($A$1,E31,F31,LOHNTABELLE!$H$4))</f>
        <v>2021</v>
      </c>
      <c r="H31" s="153">
        <f>IF(AND(ISNUMBER(D31),ISNUMBER(F31)),ROUNDDOWN(MIN(IF(OR(ISBLANK(I31),I31=""),EOMONTH(DATE(EINSTELLUNG!$C$35,$A$1,1),0),I31)-MAX(D31,DATE(EINSTELLUNG!$C$35,$A$1,1))+1)/DAY(EOMONTH(DATE(EINSTELLUNG!$C$35,$A$1,1),0))*F31,2),"")</f>
        <v>173</v>
      </c>
      <c r="I31" s="57"/>
      <c r="J31" s="58"/>
      <c r="K31" s="152">
        <f t="shared" si="0"/>
        <v>0</v>
      </c>
      <c r="L31" s="15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9"/>
      <c r="N31" s="75"/>
      <c r="O31" s="309">
        <v>0</v>
      </c>
      <c r="P31" s="300"/>
      <c r="Q31" s="284">
        <v>1.6393442622950821E-2</v>
      </c>
      <c r="R31" s="285"/>
      <c r="S31" s="149"/>
      <c r="T31" s="149"/>
      <c r="U31" s="149"/>
      <c r="V31" s="149"/>
    </row>
    <row r="32" spans="1:29" ht="22" customHeight="1" thickBot="1">
      <c r="A32" s="151" t="s">
        <v>91</v>
      </c>
      <c r="B32" s="101">
        <v>401661</v>
      </c>
      <c r="C32" s="45" t="s">
        <v>249</v>
      </c>
      <c r="D32" s="46">
        <v>45261</v>
      </c>
      <c r="E32" s="47" t="s">
        <v>2</v>
      </c>
      <c r="F32" s="48">
        <v>173</v>
      </c>
      <c r="G32" s="152">
        <f>IF(OR(E32="",F32=""),"",PID_KVLohnLookup($A$1,E32,F32,LOHNTABELLE!$H$4))</f>
        <v>2021</v>
      </c>
      <c r="H32" s="153">
        <f>IF(AND(ISNUMBER(D32),ISNUMBER(F32)),ROUNDDOWN(MIN(IF(OR(ISBLANK(I32),I32=""),EOMONTH(DATE(EINSTELLUNG!$C$35,$A$1,1),0),I32)-MAX(D32,DATE(EINSTELLUNG!$C$35,$A$1,1))+1)/DAY(EOMONTH(DATE(EINSTELLUNG!$C$35,$A$1,1),0))*F32,2),"")</f>
        <v>173</v>
      </c>
      <c r="I32" s="49"/>
      <c r="J32" s="50"/>
      <c r="K32" s="152">
        <f t="shared" si="0"/>
        <v>0</v>
      </c>
      <c r="L32" s="15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51"/>
      <c r="N32" s="74"/>
      <c r="O32" s="149"/>
      <c r="P32" s="149"/>
      <c r="Q32" s="149"/>
      <c r="R32" s="149"/>
      <c r="S32" s="149"/>
      <c r="T32" s="149"/>
      <c r="U32" s="149"/>
      <c r="V32" s="149"/>
    </row>
    <row r="33" spans="1:22" ht="22" customHeight="1">
      <c r="A33" s="151" t="s">
        <v>92</v>
      </c>
      <c r="B33" s="102">
        <v>401670</v>
      </c>
      <c r="C33" s="53" t="s">
        <v>250</v>
      </c>
      <c r="D33" s="54">
        <v>45358</v>
      </c>
      <c r="E33" s="55" t="s">
        <v>2</v>
      </c>
      <c r="F33" s="56">
        <v>173</v>
      </c>
      <c r="G33" s="152">
        <f>IF(OR(E33="",F33=""),"",PID_KVLohnLookup($A$1,E33,F33,LOHNTABELLE!$H$4))</f>
        <v>2021</v>
      </c>
      <c r="H33" s="153">
        <f>IF(AND(ISNUMBER(D33),ISNUMBER(F33)),ROUNDDOWN(MIN(IF(OR(ISBLANK(I33),I33=""),EOMONTH(DATE(EINSTELLUNG!$C$35,$A$1,1),0),I33)-MAX(D33,DATE(EINSTELLUNG!$C$35,$A$1,1))+1)/DAY(EOMONTH(DATE(EINSTELLUNG!$C$35,$A$1,1),0))*F33,2),"")</f>
        <v>173</v>
      </c>
      <c r="I33" s="57"/>
      <c r="J33" s="58"/>
      <c r="K33" s="152">
        <f t="shared" si="0"/>
        <v>0</v>
      </c>
      <c r="L33" s="15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9"/>
      <c r="N33" s="75"/>
      <c r="O33" s="310"/>
      <c r="P33" s="291"/>
      <c r="Q33" s="280" t="s">
        <v>93</v>
      </c>
      <c r="R33" s="280"/>
      <c r="S33" s="280" t="s">
        <v>94</v>
      </c>
      <c r="T33" s="280"/>
      <c r="U33" s="280" t="s">
        <v>95</v>
      </c>
      <c r="V33" s="282"/>
    </row>
    <row r="34" spans="1:22" ht="22" customHeight="1">
      <c r="A34" s="151" t="s">
        <v>96</v>
      </c>
      <c r="B34" s="101">
        <v>401678</v>
      </c>
      <c r="C34" s="45" t="s">
        <v>251</v>
      </c>
      <c r="D34" s="46">
        <v>45414</v>
      </c>
      <c r="E34" s="47" t="s">
        <v>2</v>
      </c>
      <c r="F34" s="48">
        <v>173</v>
      </c>
      <c r="G34" s="152">
        <f>IF(OR(E34="",F34=""),"",PID_KVLohnLookup($A$1,E34,F34,LOHNTABELLE!$H$4))</f>
        <v>2021</v>
      </c>
      <c r="H34" s="153">
        <f>IF(AND(ISNUMBER(D34),ISNUMBER(F34)),ROUNDDOWN(MIN(IF(OR(ISBLANK(I34),I34=""),EOMONTH(DATE(EINSTELLUNG!$C$35,$A$1,1),0),I34)-MAX(D34,DATE(EINSTELLUNG!$C$35,$A$1,1))+1)/DAY(EOMONTH(DATE(EINSTELLUNG!$C$35,$A$1,1),0))*F34,2),"")</f>
        <v>173</v>
      </c>
      <c r="I34" s="49"/>
      <c r="J34" s="50"/>
      <c r="K34" s="152">
        <f t="shared" si="0"/>
        <v>0</v>
      </c>
      <c r="L34" s="15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51"/>
      <c r="N34" s="74"/>
      <c r="O34" s="311"/>
      <c r="P34" s="293"/>
      <c r="Q34" s="281"/>
      <c r="R34" s="281"/>
      <c r="S34" s="281"/>
      <c r="T34" s="281"/>
      <c r="U34" s="281"/>
      <c r="V34" s="283"/>
    </row>
    <row r="35" spans="1:22" ht="22" customHeight="1">
      <c r="A35" s="151" t="s">
        <v>97</v>
      </c>
      <c r="B35" s="102">
        <v>401690</v>
      </c>
      <c r="C35" s="53" t="s">
        <v>253</v>
      </c>
      <c r="D35" s="54">
        <v>45536</v>
      </c>
      <c r="E35" s="55" t="s">
        <v>2</v>
      </c>
      <c r="F35" s="56">
        <v>151.38</v>
      </c>
      <c r="G35" s="152">
        <f>IF(OR(E35="",F35=""),"",PID_KVLohnLookup($A$1,E35,F35,LOHNTABELLE!$H$4))</f>
        <v>1768.38</v>
      </c>
      <c r="H35" s="153">
        <f>IF(AND(ISNUMBER(D35),ISNUMBER(F35)),ROUNDDOWN(MIN(IF(OR(ISBLANK(I35),I35=""),EOMONTH(DATE(EINSTELLUNG!$C$35,$A$1,1),0),I35)-MAX(D35,DATE(EINSTELLUNG!$C$35,$A$1,1))+1)/DAY(EOMONTH(DATE(EINSTELLUNG!$C$35,$A$1,1),0))*F35,2),"")</f>
        <v>151.38</v>
      </c>
      <c r="I35" s="57"/>
      <c r="J35" s="58"/>
      <c r="K35" s="152">
        <f t="shared" ref="K35:K66" si="1">IF(OR(B35="",C35=""),"",IFERROR(IF(OR(MONTH(D35)=1,MONTH(D35)=3,MONTH(D35)=5,MONTH(D35)=7,MONTH(D35)=8,MONTH(D35)=10,MONTH(D35)=12),(G35/31)*J35,IF(OR(MONTH(D35)=4,MONTH(D35)=6,MONTH(D35)=9,MONTH(D35)=11),(G35/30)*J35,(G35/DAY(EOMONTH(D35,0)))*J35)),0))</f>
        <v>0</v>
      </c>
      <c r="L35" s="15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9"/>
      <c r="N35" s="75"/>
      <c r="O35" s="307" t="s">
        <v>98</v>
      </c>
      <c r="P35" s="255"/>
      <c r="Q35" s="256">
        <f>EINSTELLUNG!C7</f>
        <v>400000</v>
      </c>
      <c r="R35" s="256"/>
      <c r="S35" s="256">
        <f>EINSTELLUNG!C23</f>
        <v>425000</v>
      </c>
      <c r="T35" s="256"/>
      <c r="U35" s="256">
        <f>S35-Q35</f>
        <v>25000</v>
      </c>
      <c r="V35" s="257"/>
    </row>
    <row r="36" spans="1:22" ht="22" customHeight="1">
      <c r="A36" s="151" t="s">
        <v>99</v>
      </c>
      <c r="B36" s="101">
        <v>401703</v>
      </c>
      <c r="C36" s="45" t="s">
        <v>254</v>
      </c>
      <c r="D36" s="46">
        <v>45616</v>
      </c>
      <c r="E36" s="47" t="s">
        <v>2</v>
      </c>
      <c r="F36" s="48">
        <v>173</v>
      </c>
      <c r="G36" s="152">
        <f>IF(OR(E36="",F36=""),"",PID_KVLohnLookup($A$1,E36,F36,LOHNTABELLE!$H$4))</f>
        <v>2021</v>
      </c>
      <c r="H36" s="153">
        <f>IF(AND(ISNUMBER(D36),ISNUMBER(F36)),ROUNDDOWN(MIN(IF(OR(ISBLANK(I36),I36=""),EOMONTH(DATE(EINSTELLUNG!$C$35,$A$1,1),0),I36)-MAX(D36,DATE(EINSTELLUNG!$C$35,$A$1,1))+1)/DAY(EOMONTH(DATE(EINSTELLUNG!$C$35,$A$1,1),0))*F36,2),"")</f>
        <v>173</v>
      </c>
      <c r="I36" s="49"/>
      <c r="J36" s="50"/>
      <c r="K36" s="152">
        <f t="shared" si="1"/>
        <v>0</v>
      </c>
      <c r="L36" s="15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51"/>
      <c r="N36" s="74"/>
      <c r="O36" s="307" t="s">
        <v>100</v>
      </c>
      <c r="P36" s="255"/>
      <c r="Q36" s="256">
        <f>EINSTELLUNG!D7</f>
        <v>100000</v>
      </c>
      <c r="R36" s="256"/>
      <c r="S36" s="256">
        <f ca="1">SumMergedCells(Q17:R29)</f>
        <v>112062.4129</v>
      </c>
      <c r="T36" s="256"/>
      <c r="U36" s="256">
        <f t="shared" ref="U36:U41" ca="1" si="2">S36-Q36</f>
        <v>12062.412899999996</v>
      </c>
      <c r="V36" s="257"/>
    </row>
    <row r="37" spans="1:22" ht="22" customHeight="1">
      <c r="A37" s="151" t="s">
        <v>101</v>
      </c>
      <c r="B37" s="102">
        <v>401715</v>
      </c>
      <c r="C37" s="53" t="s">
        <v>256</v>
      </c>
      <c r="D37" s="54">
        <v>45755</v>
      </c>
      <c r="E37" s="55" t="s">
        <v>2</v>
      </c>
      <c r="F37" s="56">
        <v>173</v>
      </c>
      <c r="G37" s="152">
        <f>IF(OR(E37="",F37=""),"",PID_KVLohnLookup($A$1,E37,F37,LOHNTABELLE!$H$4))</f>
        <v>2021</v>
      </c>
      <c r="H37" s="153">
        <f>IF(AND(ISNUMBER(D37),ISNUMBER(F37)),ROUNDDOWN(MIN(IF(OR(ISBLANK(I37),I37=""),EOMONTH(DATE(EINSTELLUNG!$C$35,$A$1,1),0),I37)-MAX(D37,DATE(EINSTELLUNG!$C$35,$A$1,1))+1)/DAY(EOMONTH(DATE(EINSTELLUNG!$C$35,$A$1,1),0))*F37,2),"")</f>
        <v>173</v>
      </c>
      <c r="I37" s="57"/>
      <c r="J37" s="58"/>
      <c r="K37" s="152">
        <f t="shared" si="1"/>
        <v>0</v>
      </c>
      <c r="L37" s="15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9"/>
      <c r="N37" s="75"/>
      <c r="O37" s="307" t="s">
        <v>102</v>
      </c>
      <c r="P37" s="255"/>
      <c r="Q37" s="278">
        <f>IF(ISERROR(Q36/Q35), 0, Q36/Q35)</f>
        <v>0.25</v>
      </c>
      <c r="R37" s="278"/>
      <c r="S37" s="278">
        <f ca="1">IF(ISERROR(S36/S35), 0, S36/S35)</f>
        <v>0.26367626564705882</v>
      </c>
      <c r="T37" s="278"/>
      <c r="U37" s="278">
        <f t="shared" ca="1" si="2"/>
        <v>1.3676265647058816E-2</v>
      </c>
      <c r="V37" s="279"/>
    </row>
    <row r="38" spans="1:22" ht="22" customHeight="1">
      <c r="A38" s="151" t="s">
        <v>103</v>
      </c>
      <c r="B38" s="101">
        <v>401716</v>
      </c>
      <c r="C38" s="45" t="s">
        <v>257</v>
      </c>
      <c r="D38" s="46">
        <v>45800</v>
      </c>
      <c r="E38" s="47" t="s">
        <v>2</v>
      </c>
      <c r="F38" s="48">
        <v>173</v>
      </c>
      <c r="G38" s="152">
        <f>IF(OR(E38="",F38=""),"",PID_KVLohnLookup($A$1,E38,F38,LOHNTABELLE!$H$4))</f>
        <v>2021</v>
      </c>
      <c r="H38" s="153">
        <f>IF(AND(ISNUMBER(D38),ISNUMBER(F38)),ROUNDDOWN(MIN(IF(OR(ISBLANK(I38),I38=""),EOMONTH(DATE(EINSTELLUNG!$C$35,$A$1,1),0),I38)-MAX(D38,DATE(EINSTELLUNG!$C$35,$A$1,1))+1)/DAY(EOMONTH(DATE(EINSTELLUNG!$C$35,$A$1,1),0))*F38,2),"")</f>
        <v>173</v>
      </c>
      <c r="I38" s="49"/>
      <c r="J38" s="50"/>
      <c r="K38" s="152">
        <f t="shared" si="1"/>
        <v>0</v>
      </c>
      <c r="L38" s="15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51"/>
      <c r="N38" s="74"/>
      <c r="O38" s="307" t="s">
        <v>104</v>
      </c>
      <c r="P38" s="255"/>
      <c r="Q38" s="269">
        <f>EINSTELLUNG!F7</f>
        <v>30000</v>
      </c>
      <c r="R38" s="269"/>
      <c r="S38" s="269">
        <f>EINSTELLUNG!F23</f>
        <v>29000</v>
      </c>
      <c r="T38" s="269"/>
      <c r="U38" s="269">
        <f t="shared" si="2"/>
        <v>-1000</v>
      </c>
      <c r="V38" s="270"/>
    </row>
    <row r="39" spans="1:22" ht="22" customHeight="1">
      <c r="A39" s="151" t="s">
        <v>105</v>
      </c>
      <c r="B39" s="102">
        <v>401717</v>
      </c>
      <c r="C39" s="53" t="s">
        <v>258</v>
      </c>
      <c r="D39" s="57">
        <v>45814</v>
      </c>
      <c r="E39" s="55" t="s">
        <v>2</v>
      </c>
      <c r="F39" s="56">
        <v>86.5</v>
      </c>
      <c r="G39" s="152">
        <f>IF(OR(E39="",F39=""),"",PID_KVLohnLookup($A$1,E39,F39,LOHNTABELLE!$H$4))</f>
        <v>1010.5</v>
      </c>
      <c r="H39" s="153">
        <f>IF(AND(ISNUMBER(D39),ISNUMBER(F39)),ROUNDDOWN(MIN(IF(OR(ISBLANK(I39),I39=""),EOMONTH(DATE(EINSTELLUNG!$C$35,$A$1,1),0),I39)-MAX(D39,DATE(EINSTELLUNG!$C$35,$A$1,1))+1)/DAY(EOMONTH(DATE(EINSTELLUNG!$C$35,$A$1,1),0))*F39,2),"")</f>
        <v>86.5</v>
      </c>
      <c r="I39" s="57"/>
      <c r="J39" s="58"/>
      <c r="K39" s="152">
        <f t="shared" si="1"/>
        <v>0</v>
      </c>
      <c r="L39" s="15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9"/>
      <c r="N39" s="75"/>
      <c r="O39" s="307" t="s">
        <v>106</v>
      </c>
      <c r="P39" s="255"/>
      <c r="Q39" s="256">
        <f>IF(Q38=0, 0, Q35/Q38)</f>
        <v>13.333333333333334</v>
      </c>
      <c r="R39" s="256"/>
      <c r="S39" s="256">
        <f>IF(S38=0, 0, S35/S38)</f>
        <v>14.655172413793103</v>
      </c>
      <c r="T39" s="256"/>
      <c r="U39" s="256">
        <f t="shared" si="2"/>
        <v>1.3218390804597693</v>
      </c>
      <c r="V39" s="257"/>
    </row>
    <row r="40" spans="1:22" ht="22" customHeight="1">
      <c r="A40" s="151" t="s">
        <v>107</v>
      </c>
      <c r="B40" s="101">
        <v>401722</v>
      </c>
      <c r="C40" s="45" t="s">
        <v>259</v>
      </c>
      <c r="D40" s="46">
        <v>45848</v>
      </c>
      <c r="E40" s="47" t="s">
        <v>2</v>
      </c>
      <c r="F40" s="48">
        <v>86.5</v>
      </c>
      <c r="G40" s="152">
        <f>IF(OR(E40="",F40=""),"",PID_KVLohnLookup($A$1,E40,F40,LOHNTABELLE!$H$4))</f>
        <v>1010.5</v>
      </c>
      <c r="H40" s="153">
        <f>IF(AND(ISNUMBER(D40),ISNUMBER(F40)),ROUNDDOWN(MIN(IF(OR(ISBLANK(I40),I40=""),EOMONTH(DATE(EINSTELLUNG!$C$35,$A$1,1),0),I40)-MAX(D40,DATE(EINSTELLUNG!$C$35,$A$1,1))+1)/DAY(EOMONTH(DATE(EINSTELLUNG!$C$35,$A$1,1),0))*F40,2),"")</f>
        <v>86.5</v>
      </c>
      <c r="I40" s="49"/>
      <c r="J40" s="50"/>
      <c r="K40" s="152">
        <f t="shared" si="1"/>
        <v>0</v>
      </c>
      <c r="L40" s="15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51"/>
      <c r="N40" s="74"/>
      <c r="O40" s="307" t="s">
        <v>108</v>
      </c>
      <c r="P40" s="255"/>
      <c r="Q40" s="256">
        <f>IF(Q12=0, 0, Q35/Q12)</f>
        <v>50.146427568500023</v>
      </c>
      <c r="R40" s="256"/>
      <c r="S40" s="256">
        <f>IF(Q12=0, 0, S35/Q12)</f>
        <v>53.280579291531275</v>
      </c>
      <c r="T40" s="256"/>
      <c r="U40" s="256">
        <f t="shared" si="2"/>
        <v>3.1341517230312519</v>
      </c>
      <c r="V40" s="257"/>
    </row>
    <row r="41" spans="1:22" ht="22" customHeight="1">
      <c r="A41" s="151" t="s">
        <v>109</v>
      </c>
      <c r="B41" s="102">
        <v>401723</v>
      </c>
      <c r="C41" s="53" t="s">
        <v>260</v>
      </c>
      <c r="D41" s="57">
        <v>45852</v>
      </c>
      <c r="E41" s="55" t="s">
        <v>2</v>
      </c>
      <c r="F41" s="56">
        <v>86.5</v>
      </c>
      <c r="G41" s="152">
        <f>IF(OR(E41="",F41=""),"",PID_KVLohnLookup($A$1,E41,F41,LOHNTABELLE!$H$4))</f>
        <v>1010.5</v>
      </c>
      <c r="H41" s="153">
        <f>IF(AND(ISNUMBER(D41),ISNUMBER(F41)),ROUNDDOWN(MIN(IF(OR(ISBLANK(I41),I41=""),EOMONTH(DATE(EINSTELLUNG!$C$35,$A$1,1),0),I41)-MAX(D41,DATE(EINSTELLUNG!$C$35,$A$1,1))+1)/DAY(EOMONTH(DATE(EINSTELLUNG!$C$35,$A$1,1),0))*F41,2),"")</f>
        <v>86.5</v>
      </c>
      <c r="I41" s="57"/>
      <c r="J41" s="58"/>
      <c r="K41" s="152">
        <f t="shared" si="1"/>
        <v>0</v>
      </c>
      <c r="L41" s="15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9"/>
      <c r="N41" s="75"/>
      <c r="O41" s="307" t="s">
        <v>110</v>
      </c>
      <c r="P41" s="255"/>
      <c r="Q41" s="269">
        <f>IF(Q12=0, 0, Q38/Q12)</f>
        <v>3.7609820676375016</v>
      </c>
      <c r="R41" s="269"/>
      <c r="S41" s="269">
        <f>IF(Q12=0, 0, S38/Q12)</f>
        <v>3.6356159987162515</v>
      </c>
      <c r="T41" s="269"/>
      <c r="U41" s="269">
        <f t="shared" si="2"/>
        <v>-0.12536606892125013</v>
      </c>
      <c r="V41" s="270"/>
    </row>
    <row r="42" spans="1:22" ht="22" customHeight="1">
      <c r="A42" s="151" t="s">
        <v>111</v>
      </c>
      <c r="B42" s="101">
        <v>401726</v>
      </c>
      <c r="C42" s="45" t="s">
        <v>261</v>
      </c>
      <c r="D42" s="49">
        <v>45870</v>
      </c>
      <c r="E42" s="47" t="s">
        <v>2</v>
      </c>
      <c r="F42" s="48">
        <v>86.5</v>
      </c>
      <c r="G42" s="152">
        <f>IF(OR(E42="",F42=""),"",PID_KVLohnLookup($A$1,E42,F42,LOHNTABELLE!$H$4))</f>
        <v>1010.5</v>
      </c>
      <c r="H42" s="153">
        <f>IF(AND(ISNUMBER(D42),ISNUMBER(F42)),ROUNDDOWN(MIN(IF(OR(ISBLANK(I42),I42=""),EOMONTH(DATE(EINSTELLUNG!$C$35,$A$1,1),0),I42)-MAX(D42,DATE(EINSTELLUNG!$C$35,$A$1,1))+1)/DAY(EOMONTH(DATE(EINSTELLUNG!$C$35,$A$1,1),0))*F42,2),"")</f>
        <v>86.5</v>
      </c>
      <c r="I42" s="49"/>
      <c r="J42" s="50"/>
      <c r="K42" s="152">
        <f t="shared" si="1"/>
        <v>0</v>
      </c>
      <c r="L42" s="15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51"/>
      <c r="N42" s="74"/>
      <c r="O42" s="306" t="s">
        <v>112</v>
      </c>
      <c r="P42" s="263"/>
      <c r="Q42" s="264">
        <f>IFERROR(Q17/Q8, 0)</f>
        <v>11.954528031256498</v>
      </c>
      <c r="R42" s="264"/>
      <c r="S42" s="264"/>
      <c r="T42" s="264"/>
      <c r="U42" s="264"/>
      <c r="V42" s="265"/>
    </row>
    <row r="43" spans="1:22" ht="22" customHeight="1">
      <c r="A43" s="151" t="s">
        <v>113</v>
      </c>
      <c r="B43" s="102">
        <v>401730</v>
      </c>
      <c r="C43" s="53" t="s">
        <v>263</v>
      </c>
      <c r="D43" s="54">
        <v>45895</v>
      </c>
      <c r="E43" s="55" t="s">
        <v>2</v>
      </c>
      <c r="F43" s="56">
        <v>86.5</v>
      </c>
      <c r="G43" s="152">
        <f>IF(OR(E43="",F43=""),"",PID_KVLohnLookup($A$1,E43,F43,LOHNTABELLE!$H$4))</f>
        <v>1010.5</v>
      </c>
      <c r="H43" s="153">
        <f>IF(AND(ISNUMBER(D43),ISNUMBER(F43)),ROUNDDOWN(MIN(IF(OR(ISBLANK(I43),I43=""),EOMONTH(DATE(EINSTELLUNG!$C$35,$A$1,1),0),I43)-MAX(D43,DATE(EINSTELLUNG!$C$35,$A$1,1))+1)/DAY(EOMONTH(DATE(EINSTELLUNG!$C$35,$A$1,1),0))*F43,2),"")</f>
        <v>86.5</v>
      </c>
      <c r="I43" s="57"/>
      <c r="J43" s="58"/>
      <c r="K43" s="152">
        <f t="shared" si="1"/>
        <v>0</v>
      </c>
      <c r="L43" s="15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9"/>
      <c r="N43" s="75"/>
      <c r="O43" s="164"/>
      <c r="P43" s="164"/>
      <c r="Q43" s="164"/>
      <c r="R43" s="149"/>
      <c r="S43" s="149"/>
      <c r="T43" s="149"/>
      <c r="U43" s="149"/>
      <c r="V43" s="149"/>
    </row>
    <row r="44" spans="1:22" ht="22" customHeight="1">
      <c r="A44" s="151" t="s">
        <v>114</v>
      </c>
      <c r="B44" s="101">
        <v>401731</v>
      </c>
      <c r="C44" s="45" t="s">
        <v>262</v>
      </c>
      <c r="D44" s="49">
        <v>45899</v>
      </c>
      <c r="E44" s="47" t="s">
        <v>2</v>
      </c>
      <c r="F44" s="48">
        <v>86.5</v>
      </c>
      <c r="G44" s="152">
        <f>IF(OR(E44="",F44=""),"",PID_KVLohnLookup($A$1,E44,F44,LOHNTABELLE!$H$4))</f>
        <v>1010.5</v>
      </c>
      <c r="H44" s="153">
        <f>IF(AND(ISNUMBER(D44),ISNUMBER(F44)),ROUNDDOWN(MIN(IF(OR(ISBLANK(I44),I44=""),EOMONTH(DATE(EINSTELLUNG!$C$35,$A$1,1),0),I44)-MAX(D44,DATE(EINSTELLUNG!$C$35,$A$1,1))+1)/DAY(EOMONTH(DATE(EINSTELLUNG!$C$35,$A$1,1),0))*F44,2),"")</f>
        <v>86.5</v>
      </c>
      <c r="I44" s="49"/>
      <c r="J44" s="50"/>
      <c r="K44" s="152">
        <f t="shared" si="1"/>
        <v>0</v>
      </c>
      <c r="L44" s="15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51"/>
      <c r="N44" s="74"/>
      <c r="O44" s="275" t="s">
        <v>115</v>
      </c>
      <c r="P44" s="275"/>
      <c r="Q44" s="275"/>
      <c r="R44" s="275"/>
      <c r="S44" s="275"/>
      <c r="T44" s="275"/>
      <c r="U44" s="275"/>
      <c r="V44" s="275"/>
    </row>
    <row r="45" spans="1:22" ht="22" customHeight="1">
      <c r="A45" s="151" t="s">
        <v>116</v>
      </c>
      <c r="B45" s="102">
        <v>401734</v>
      </c>
      <c r="C45" s="53" t="s">
        <v>264</v>
      </c>
      <c r="D45" s="54">
        <v>45904</v>
      </c>
      <c r="E45" s="55" t="s">
        <v>2</v>
      </c>
      <c r="F45" s="56">
        <v>86.5</v>
      </c>
      <c r="G45" s="152">
        <f>IF(OR(E45="",F45=""),"",PID_KVLohnLookup($A$1,E45,F45,LOHNTABELLE!$H$4))</f>
        <v>1010.5</v>
      </c>
      <c r="H45" s="153">
        <f>IF(AND(ISNUMBER(D45),ISNUMBER(F45)),ROUNDDOWN(MIN(IF(OR(ISBLANK(I45),I45=""),EOMONTH(DATE(EINSTELLUNG!$C$35,$A$1,1),0),I45)-MAX(D45,DATE(EINSTELLUNG!$C$35,$A$1,1))+1)/DAY(EOMONTH(DATE(EINSTELLUNG!$C$35,$A$1,1),0))*F45,2),"")</f>
        <v>86.5</v>
      </c>
      <c r="I45" s="57"/>
      <c r="J45" s="58"/>
      <c r="K45" s="152">
        <f t="shared" si="1"/>
        <v>0</v>
      </c>
      <c r="L45" s="15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9"/>
      <c r="N45" s="75"/>
      <c r="O45" s="276"/>
      <c r="P45" s="276"/>
      <c r="Q45" s="276"/>
      <c r="R45" s="277"/>
      <c r="S45" s="277"/>
      <c r="T45" s="277"/>
      <c r="U45" s="277"/>
      <c r="V45" s="149"/>
    </row>
    <row r="46" spans="1:22" ht="22" customHeight="1">
      <c r="A46" s="151" t="s">
        <v>117</v>
      </c>
      <c r="B46" s="101">
        <v>401736</v>
      </c>
      <c r="C46" s="45" t="s">
        <v>265</v>
      </c>
      <c r="D46" s="46">
        <v>45906</v>
      </c>
      <c r="E46" s="47" t="s">
        <v>2</v>
      </c>
      <c r="F46" s="48">
        <v>86.5</v>
      </c>
      <c r="G46" s="152">
        <f>IF(OR(E46="",F46=""),"",PID_KVLohnLookup($A$1,E46,F46,LOHNTABELLE!$H$4))</f>
        <v>1010.5</v>
      </c>
      <c r="H46" s="153">
        <f>IF(AND(ISNUMBER(D46),ISNUMBER(F46)),ROUNDDOWN(MIN(IF(OR(ISBLANK(I46),I46=""),EOMONTH(DATE(EINSTELLUNG!$C$35,$A$1,1),0),I46)-MAX(D46,DATE(EINSTELLUNG!$C$35,$A$1,1))+1)/DAY(EOMONTH(DATE(EINSTELLUNG!$C$35,$A$1,1),0))*F46,2),"")</f>
        <v>86.5</v>
      </c>
      <c r="I46" s="49"/>
      <c r="J46" s="50"/>
      <c r="K46" s="152">
        <f t="shared" si="1"/>
        <v>0</v>
      </c>
      <c r="L46" s="15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51"/>
      <c r="N46" s="74"/>
      <c r="O46" s="149"/>
      <c r="P46" s="149"/>
      <c r="Q46" s="149"/>
      <c r="R46" s="149"/>
      <c r="S46" s="149"/>
      <c r="T46" s="149"/>
      <c r="U46" s="149"/>
      <c r="V46" s="149"/>
    </row>
    <row r="47" spans="1:22" ht="22" customHeight="1">
      <c r="A47" s="151" t="s">
        <v>118</v>
      </c>
      <c r="B47" s="102">
        <v>401737</v>
      </c>
      <c r="C47" s="53" t="s">
        <v>266</v>
      </c>
      <c r="D47" s="54">
        <v>45906</v>
      </c>
      <c r="E47" s="55" t="s">
        <v>2</v>
      </c>
      <c r="F47" s="56">
        <v>86.5</v>
      </c>
      <c r="G47" s="152">
        <f>IF(OR(E47="",F47=""),"",PID_KVLohnLookup($A$1,E47,F47,LOHNTABELLE!$H$4))</f>
        <v>1010.5</v>
      </c>
      <c r="H47" s="153">
        <f>IF(AND(ISNUMBER(D47),ISNUMBER(F47)),ROUNDDOWN(MIN(IF(OR(ISBLANK(I47),I47=""),EOMONTH(DATE(EINSTELLUNG!$C$35,$A$1,1),0),I47)-MAX(D47,DATE(EINSTELLUNG!$C$35,$A$1,1))+1)/DAY(EOMONTH(DATE(EINSTELLUNG!$C$35,$A$1,1),0))*F47,2),"")</f>
        <v>86.5</v>
      </c>
      <c r="I47" s="57"/>
      <c r="J47" s="58"/>
      <c r="K47" s="152">
        <f t="shared" si="1"/>
        <v>0</v>
      </c>
      <c r="L47" s="15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9"/>
      <c r="N47" s="75"/>
      <c r="O47" s="149"/>
      <c r="P47" s="149"/>
      <c r="Q47" s="149"/>
      <c r="R47" s="149"/>
      <c r="S47" s="149"/>
      <c r="T47" s="149"/>
      <c r="U47" s="149"/>
      <c r="V47" s="149"/>
    </row>
    <row r="48" spans="1:22" ht="22" customHeight="1">
      <c r="A48" s="151" t="s">
        <v>119</v>
      </c>
      <c r="B48" s="101">
        <v>401738</v>
      </c>
      <c r="C48" s="45" t="s">
        <v>267</v>
      </c>
      <c r="D48" s="46">
        <v>45909</v>
      </c>
      <c r="E48" s="47" t="s">
        <v>2</v>
      </c>
      <c r="F48" s="48">
        <v>86.5</v>
      </c>
      <c r="G48" s="152">
        <f>IF(OR(E48="",F48=""),"",PID_KVLohnLookup($A$1,E48,F48,LOHNTABELLE!$H$4))</f>
        <v>1010.5</v>
      </c>
      <c r="H48" s="153">
        <f>IF(AND(ISNUMBER(D48),ISNUMBER(F48)),ROUNDDOWN(MIN(IF(OR(ISBLANK(I48),I48=""),EOMONTH(DATE(EINSTELLUNG!$C$35,$A$1,1),0),I48)-MAX(D48,DATE(EINSTELLUNG!$C$35,$A$1,1))+1)/DAY(EOMONTH(DATE(EINSTELLUNG!$C$35,$A$1,1),0))*F48,2),"")</f>
        <v>86.5</v>
      </c>
      <c r="I48" s="49"/>
      <c r="J48" s="50"/>
      <c r="K48" s="152">
        <f t="shared" si="1"/>
        <v>0</v>
      </c>
      <c r="L48" s="15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51"/>
      <c r="N48" s="74"/>
      <c r="O48" s="149"/>
      <c r="P48" s="149"/>
      <c r="Q48" s="149"/>
      <c r="R48" s="149"/>
      <c r="S48" s="149"/>
      <c r="T48" s="149"/>
      <c r="U48" s="149"/>
      <c r="V48" s="149"/>
    </row>
    <row r="49" spans="1:22" ht="22" customHeight="1">
      <c r="A49" s="151" t="s">
        <v>120</v>
      </c>
      <c r="B49" s="102">
        <v>401745</v>
      </c>
      <c r="C49" s="53" t="s">
        <v>271</v>
      </c>
      <c r="D49" s="54">
        <v>45934</v>
      </c>
      <c r="E49" s="55" t="s">
        <v>2</v>
      </c>
      <c r="F49" s="56">
        <v>86.5</v>
      </c>
      <c r="G49" s="152">
        <f>IF(OR(E49="",F49=""),"",PID_KVLohnLookup($A$1,E49,F49,LOHNTABELLE!$H$4))</f>
        <v>1010.5</v>
      </c>
      <c r="H49" s="153">
        <f>IF(AND(ISNUMBER(D49),ISNUMBER(F49)),ROUNDDOWN(MIN(IF(OR(ISBLANK(I49),I49=""),EOMONTH(DATE(EINSTELLUNG!$C$35,$A$1,1),0),I49)-MAX(D49,DATE(EINSTELLUNG!$C$35,$A$1,1))+1)/DAY(EOMONTH(DATE(EINSTELLUNG!$C$35,$A$1,1),0))*F49,2),"")</f>
        <v>86.5</v>
      </c>
      <c r="I49" s="57"/>
      <c r="J49" s="58"/>
      <c r="K49" s="152">
        <f t="shared" si="1"/>
        <v>0</v>
      </c>
      <c r="L49" s="15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9"/>
      <c r="N49" s="75"/>
      <c r="O49" s="149"/>
      <c r="P49" s="149"/>
      <c r="Q49" s="149"/>
      <c r="R49" s="149"/>
      <c r="S49" s="149"/>
      <c r="T49" s="149"/>
      <c r="U49" s="149"/>
      <c r="V49" s="149"/>
    </row>
    <row r="50" spans="1:22" ht="22" customHeight="1">
      <c r="A50" s="151" t="s">
        <v>121</v>
      </c>
      <c r="B50" s="101">
        <v>401746</v>
      </c>
      <c r="C50" s="45" t="s">
        <v>270</v>
      </c>
      <c r="D50" s="46">
        <v>45941</v>
      </c>
      <c r="E50" s="47" t="s">
        <v>2</v>
      </c>
      <c r="F50" s="48">
        <v>86.5</v>
      </c>
      <c r="G50" s="152">
        <f>IF(OR(E50="",F50=""),"",PID_KVLohnLookup($A$1,E50,F50,LOHNTABELLE!$H$4))</f>
        <v>1010.5</v>
      </c>
      <c r="H50" s="153">
        <f>IF(AND(ISNUMBER(D50),ISNUMBER(F50)),ROUNDDOWN(MIN(IF(OR(ISBLANK(I50),I50=""),EOMONTH(DATE(EINSTELLUNG!$C$35,$A$1,1),0),I50)-MAX(D50,DATE(EINSTELLUNG!$C$35,$A$1,1))+1)/DAY(EOMONTH(DATE(EINSTELLUNG!$C$35,$A$1,1),0))*F50,2),"")</f>
        <v>86.5</v>
      </c>
      <c r="I50" s="49"/>
      <c r="J50" s="50"/>
      <c r="K50" s="152">
        <f t="shared" si="1"/>
        <v>0</v>
      </c>
      <c r="L50" s="15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51"/>
      <c r="N50" s="74"/>
      <c r="O50" s="149"/>
      <c r="P50" s="149"/>
      <c r="Q50" s="149"/>
      <c r="R50" s="149"/>
      <c r="S50" s="149"/>
      <c r="T50" s="149"/>
      <c r="U50" s="149"/>
      <c r="V50" s="149"/>
    </row>
    <row r="51" spans="1:22" ht="22" customHeight="1">
      <c r="A51" s="151" t="s">
        <v>122</v>
      </c>
      <c r="B51" s="102">
        <v>401747</v>
      </c>
      <c r="C51" s="53" t="s">
        <v>268</v>
      </c>
      <c r="D51" s="54">
        <v>45941</v>
      </c>
      <c r="E51" s="55" t="s">
        <v>2</v>
      </c>
      <c r="F51" s="56">
        <v>86.5</v>
      </c>
      <c r="G51" s="152">
        <f>IF(OR(E51="",F51=""),"",PID_KVLohnLookup($A$1,E51,F51,LOHNTABELLE!$H$4))</f>
        <v>1010.5</v>
      </c>
      <c r="H51" s="153">
        <f>IF(AND(ISNUMBER(D51),ISNUMBER(F51)),ROUNDDOWN(MIN(IF(OR(ISBLANK(I51),I51=""),EOMONTH(DATE(EINSTELLUNG!$C$35,$A$1,1),0),I51)-MAX(D51,DATE(EINSTELLUNG!$C$35,$A$1,1))+1)/DAY(EOMONTH(DATE(EINSTELLUNG!$C$35,$A$1,1),0))*F51,2),"")</f>
        <v>86.5</v>
      </c>
      <c r="I51" s="57"/>
      <c r="J51" s="58"/>
      <c r="K51" s="152">
        <f t="shared" si="1"/>
        <v>0</v>
      </c>
      <c r="L51" s="15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9"/>
      <c r="N51" s="75"/>
    </row>
    <row r="52" spans="1:22" ht="22" customHeight="1">
      <c r="A52" s="151" t="s">
        <v>123</v>
      </c>
      <c r="B52" s="101">
        <v>401748</v>
      </c>
      <c r="C52" s="45" t="s">
        <v>269</v>
      </c>
      <c r="D52" s="46">
        <v>45941</v>
      </c>
      <c r="E52" s="47" t="s">
        <v>2</v>
      </c>
      <c r="F52" s="48">
        <v>138.4</v>
      </c>
      <c r="G52" s="152">
        <f>IF(OR(E52="",F52=""),"",PID_KVLohnLookup($A$1,E52,F52,LOHNTABELLE!$H$4))</f>
        <v>1616.8</v>
      </c>
      <c r="H52" s="153">
        <f>IF(AND(ISNUMBER(D52),ISNUMBER(F52)),ROUNDDOWN(MIN(IF(OR(ISBLANK(I52),I52=""),EOMONTH(DATE(EINSTELLUNG!$C$35,$A$1,1),0),I52)-MAX(D52,DATE(EINSTELLUNG!$C$35,$A$1,1))+1)/DAY(EOMONTH(DATE(EINSTELLUNG!$C$35,$A$1,1),0))*F52,2),"")</f>
        <v>138.4</v>
      </c>
      <c r="I52" s="49"/>
      <c r="J52" s="50"/>
      <c r="K52" s="152">
        <f t="shared" si="1"/>
        <v>0</v>
      </c>
      <c r="L52" s="15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51"/>
      <c r="N52" s="74"/>
    </row>
    <row r="53" spans="1:22" ht="22" customHeight="1">
      <c r="A53" s="151" t="s">
        <v>124</v>
      </c>
      <c r="B53" s="102">
        <v>401751</v>
      </c>
      <c r="C53" s="53" t="s">
        <v>272</v>
      </c>
      <c r="D53" s="54">
        <v>45961</v>
      </c>
      <c r="E53" s="55" t="s">
        <v>2</v>
      </c>
      <c r="F53" s="56">
        <v>86.5</v>
      </c>
      <c r="G53" s="152">
        <f>IF(OR(E53="",F53=""),"",PID_KVLohnLookup($A$1,E53,F53,LOHNTABELLE!$H$4))</f>
        <v>1010.5</v>
      </c>
      <c r="H53" s="153">
        <f>IF(AND(ISNUMBER(D53),ISNUMBER(F53)),ROUNDDOWN(MIN(IF(OR(ISBLANK(I53),I53=""),EOMONTH(DATE(EINSTELLUNG!$C$35,$A$1,1),0),I53)-MAX(D53,DATE(EINSTELLUNG!$C$35,$A$1,1))+1)/DAY(EOMONTH(DATE(EINSTELLUNG!$C$35,$A$1,1),0))*F53,2),"")</f>
        <v>86.5</v>
      </c>
      <c r="I53" s="57"/>
      <c r="J53" s="58"/>
      <c r="K53" s="152">
        <f t="shared" si="1"/>
        <v>0</v>
      </c>
      <c r="L53" s="15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9"/>
      <c r="N53" s="75"/>
    </row>
    <row r="54" spans="1:22" ht="22" customHeight="1">
      <c r="A54" s="151" t="s">
        <v>125</v>
      </c>
      <c r="B54" s="101">
        <v>401752</v>
      </c>
      <c r="C54" s="45" t="s">
        <v>273</v>
      </c>
      <c r="D54" s="46">
        <v>45986</v>
      </c>
      <c r="E54" s="47" t="s">
        <v>2</v>
      </c>
      <c r="F54" s="48">
        <v>173</v>
      </c>
      <c r="G54" s="152">
        <f>IF(OR(E54="",F54=""),"",PID_KVLohnLookup($A$1,E54,F54,LOHNTABELLE!$H$4))</f>
        <v>2021</v>
      </c>
      <c r="H54" s="153">
        <f>IF(AND(ISNUMBER(D54),ISNUMBER(F54)),ROUNDDOWN(MIN(IF(OR(ISBLANK(I54),I54=""),EOMONTH(DATE(EINSTELLUNG!$C$35,$A$1,1),0),I54)-MAX(D54,DATE(EINSTELLUNG!$C$35,$A$1,1))+1)/DAY(EOMONTH(DATE(EINSTELLUNG!$C$35,$A$1,1),0))*F54,2),"")</f>
        <v>173</v>
      </c>
      <c r="I54" s="49"/>
      <c r="J54" s="50"/>
      <c r="K54" s="152">
        <f t="shared" si="1"/>
        <v>0</v>
      </c>
      <c r="L54" s="15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51"/>
      <c r="N54" s="74"/>
    </row>
    <row r="55" spans="1:22" ht="22" customHeight="1">
      <c r="A55" s="151" t="s">
        <v>126</v>
      </c>
      <c r="B55" s="102">
        <v>401754</v>
      </c>
      <c r="C55" s="53" t="s">
        <v>274</v>
      </c>
      <c r="D55" s="54">
        <v>46014</v>
      </c>
      <c r="E55" s="55" t="s">
        <v>2</v>
      </c>
      <c r="F55" s="56">
        <v>151.38</v>
      </c>
      <c r="G55" s="152">
        <f>IF(OR(E55="",F55=""),"",PID_KVLohnLookup($A$1,E55,F55,LOHNTABELLE!$H$4))</f>
        <v>1768.38</v>
      </c>
      <c r="H55" s="153">
        <f>IF(AND(ISNUMBER(D55),ISNUMBER(F55)),ROUNDDOWN(MIN(IF(OR(ISBLANK(I55),I55=""),EOMONTH(DATE(EINSTELLUNG!$C$35,$A$1,1),0),I55)-MAX(D55,DATE(EINSTELLUNG!$C$35,$A$1,1))+1)/DAY(EOMONTH(DATE(EINSTELLUNG!$C$35,$A$1,1),0))*F55,2),"")</f>
        <v>151.38</v>
      </c>
      <c r="I55" s="57"/>
      <c r="J55" s="58"/>
      <c r="K55" s="152">
        <f t="shared" si="1"/>
        <v>0</v>
      </c>
      <c r="L55" s="15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9"/>
      <c r="N55" s="75"/>
    </row>
    <row r="56" spans="1:22" ht="22" customHeight="1">
      <c r="A56" s="151" t="s">
        <v>127</v>
      </c>
      <c r="B56" s="101">
        <v>401999</v>
      </c>
      <c r="C56" s="45" t="s">
        <v>358</v>
      </c>
      <c r="D56" s="46">
        <v>46041</v>
      </c>
      <c r="E56" s="47" t="s">
        <v>2</v>
      </c>
      <c r="F56" s="48">
        <v>151.38</v>
      </c>
      <c r="G56" s="152">
        <f>IF(OR(E56="",F56=""),"",PID_KVLohnLookup($A$1,E56,F56,LOHNTABELLE!$H$4))</f>
        <v>1768.38</v>
      </c>
      <c r="H56" s="153">
        <f>IF(AND(ISNUMBER(D56),ISNUMBER(F56)),ROUNDDOWN(MIN(IF(OR(ISBLANK(I56),I56=""),EOMONTH(DATE(EINSTELLUNG!$C$35,$A$1,1),0),I56)-MAX(D56,DATE(EINSTELLUNG!$C$35,$A$1,1))+1)/DAY(EOMONTH(DATE(EINSTELLUNG!$C$35,$A$1,1),0))*F56,2),"")</f>
        <v>151.38</v>
      </c>
      <c r="I56" s="49"/>
      <c r="J56" s="50"/>
      <c r="K56" s="152">
        <f t="shared" si="1"/>
        <v>0</v>
      </c>
      <c r="L56" s="15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51"/>
      <c r="N56" s="74"/>
    </row>
    <row r="57" spans="1:22" ht="22" customHeight="1">
      <c r="A57" s="151" t="s">
        <v>128</v>
      </c>
      <c r="B57" s="102">
        <v>402405</v>
      </c>
      <c r="C57" s="53" t="s">
        <v>301</v>
      </c>
      <c r="D57" s="57">
        <v>46054</v>
      </c>
      <c r="E57" s="55" t="s">
        <v>2</v>
      </c>
      <c r="F57" s="56">
        <v>173</v>
      </c>
      <c r="G57" s="152">
        <f>IF(OR(E57="",F57=""),"",PID_KVLohnLookup($A$1,E57,F57,LOHNTABELLE!$H$4))</f>
        <v>2021</v>
      </c>
      <c r="H57" s="153">
        <f>IF(AND(ISNUMBER(D57),ISNUMBER(F57)),ROUNDDOWN(MIN(IF(OR(ISBLANK(I57),I57=""),EOMONTH(DATE(EINSTELLUNG!$C$35,$A$1,1),0),I57)-MAX(D57,DATE(EINSTELLUNG!$C$35,$A$1,1))+1)/DAY(EOMONTH(DATE(EINSTELLUNG!$C$35,$A$1,1),0))*F57,2),"")</f>
        <v>173</v>
      </c>
      <c r="I57" s="57"/>
      <c r="J57" s="58"/>
      <c r="K57" s="152">
        <f t="shared" si="1"/>
        <v>0</v>
      </c>
      <c r="L57" s="15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2021</v>
      </c>
      <c r="M57" s="59"/>
      <c r="N57" s="75"/>
    </row>
    <row r="58" spans="1:22" ht="22" customHeight="1">
      <c r="A58" s="151" t="s">
        <v>129</v>
      </c>
      <c r="B58" s="101">
        <v>500600</v>
      </c>
      <c r="C58" s="45" t="s">
        <v>305</v>
      </c>
      <c r="D58" s="49">
        <v>46054</v>
      </c>
      <c r="E58" s="47" t="s">
        <v>2</v>
      </c>
      <c r="F58" s="48">
        <v>173</v>
      </c>
      <c r="G58" s="152">
        <f>IF(OR(E58="",F58=""),"",PID_KVLohnLookup($A$1,E58,F58,LOHNTABELLE!$H$4))</f>
        <v>2021</v>
      </c>
      <c r="H58" s="153">
        <f>IF(AND(ISNUMBER(D58),ISNUMBER(F58)),ROUNDDOWN(MIN(IF(OR(ISBLANK(I58),I58=""),EOMONTH(DATE(EINSTELLUNG!$C$35,$A$1,1),0),I58)-MAX(D58,DATE(EINSTELLUNG!$C$35,$A$1,1))+1)/DAY(EOMONTH(DATE(EINSTELLUNG!$C$35,$A$1,1),0))*F58,2),"")</f>
        <v>173</v>
      </c>
      <c r="I58" s="49"/>
      <c r="J58" s="50"/>
      <c r="K58" s="152">
        <f t="shared" si="1"/>
        <v>0</v>
      </c>
      <c r="L58" s="15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51"/>
      <c r="N58" s="74"/>
    </row>
    <row r="59" spans="1:22" ht="22" customHeight="1">
      <c r="A59" s="151" t="s">
        <v>130</v>
      </c>
      <c r="B59" s="102">
        <v>503000</v>
      </c>
      <c r="C59" s="53" t="s">
        <v>302</v>
      </c>
      <c r="D59" s="57">
        <v>42401</v>
      </c>
      <c r="E59" s="55" t="s">
        <v>2</v>
      </c>
      <c r="F59" s="56">
        <v>173</v>
      </c>
      <c r="G59" s="152">
        <f>IF(OR(E59="",F59=""),"",PID_KVLohnLookup($A$1,E59,F59,LOHNTABELLE!$H$4))</f>
        <v>2021</v>
      </c>
      <c r="H59" s="153">
        <f>IF(AND(ISNUMBER(D59),ISNUMBER(F59)),ROUNDDOWN(MIN(IF(OR(ISBLANK(I59),I59=""),EOMONTH(DATE(EINSTELLUNG!$C$35,$A$1,1),0),I59)-MAX(D59,DATE(EINSTELLUNG!$C$35,$A$1,1))+1)/DAY(EOMONTH(DATE(EINSTELLUNG!$C$35,$A$1,1),0))*F59,2),"")</f>
        <v>173</v>
      </c>
      <c r="I59" s="57"/>
      <c r="J59" s="58"/>
      <c r="K59" s="152">
        <f t="shared" si="1"/>
        <v>0</v>
      </c>
      <c r="L59" s="15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9"/>
      <c r="N59" s="75"/>
    </row>
    <row r="60" spans="1:22" ht="22" customHeight="1">
      <c r="A60" s="151" t="s">
        <v>131</v>
      </c>
      <c r="B60" s="101">
        <v>504000</v>
      </c>
      <c r="C60" s="45" t="s">
        <v>303</v>
      </c>
      <c r="D60" s="49">
        <v>46054</v>
      </c>
      <c r="E60" s="47" t="s">
        <v>3</v>
      </c>
      <c r="F60" s="48">
        <v>138.4</v>
      </c>
      <c r="G60" s="152">
        <f>IF(OR(E60="",F60=""),"",PID_KVLohnLookup($A$1,E60,F60,LOHNTABELLE!$H$4))</f>
        <v>1665.6</v>
      </c>
      <c r="H60" s="153">
        <f>IF(AND(ISNUMBER(D60),ISNUMBER(F60)),ROUNDDOWN(MIN(IF(OR(ISBLANK(I60),I60=""),EOMONTH(DATE(EINSTELLUNG!$C$35,$A$1,1),0),I60)-MAX(D60,DATE(EINSTELLUNG!$C$35,$A$1,1))+1)/DAY(EOMONTH(DATE(EINSTELLUNG!$C$35,$A$1,1),0))*F60,2),"")</f>
        <v>138.4</v>
      </c>
      <c r="I60" s="49"/>
      <c r="J60" s="50"/>
      <c r="K60" s="152">
        <f t="shared" si="1"/>
        <v>0</v>
      </c>
      <c r="L60" s="15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51"/>
      <c r="N60" s="74"/>
    </row>
    <row r="61" spans="1:22" ht="22" customHeight="1">
      <c r="A61" s="151" t="s">
        <v>132</v>
      </c>
      <c r="B61" s="102">
        <v>505000</v>
      </c>
      <c r="C61" s="53" t="s">
        <v>304</v>
      </c>
      <c r="D61" s="57">
        <v>46054</v>
      </c>
      <c r="E61" s="55" t="s">
        <v>2</v>
      </c>
      <c r="F61" s="56">
        <v>138.4</v>
      </c>
      <c r="G61" s="152">
        <f>IF(OR(E61="",F61=""),"",PID_KVLohnLookup($A$1,E61,F61,LOHNTABELLE!$H$4))</f>
        <v>1616.8</v>
      </c>
      <c r="H61" s="153">
        <f>IF(AND(ISNUMBER(D61),ISNUMBER(F61)),ROUNDDOWN(MIN(IF(OR(ISBLANK(I61),I61=""),EOMONTH(DATE(EINSTELLUNG!$C$35,$A$1,1),0),I61)-MAX(D61,DATE(EINSTELLUNG!$C$35,$A$1,1))+1)/DAY(EOMONTH(DATE(EINSTELLUNG!$C$35,$A$1,1),0))*F61,2),"")</f>
        <v>138.4</v>
      </c>
      <c r="I61" s="57"/>
      <c r="J61" s="58"/>
      <c r="K61" s="152">
        <f t="shared" si="1"/>
        <v>0</v>
      </c>
      <c r="L61" s="15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1616.8</v>
      </c>
      <c r="M61" s="59"/>
      <c r="N61" s="75"/>
    </row>
    <row r="62" spans="1:22" ht="22" customHeight="1">
      <c r="A62" s="151" t="s">
        <v>133</v>
      </c>
      <c r="B62" s="101">
        <v>525025</v>
      </c>
      <c r="C62" s="45" t="s">
        <v>359</v>
      </c>
      <c r="D62" s="49">
        <v>46040</v>
      </c>
      <c r="E62" s="47" t="s">
        <v>2</v>
      </c>
      <c r="F62" s="48">
        <v>129.75</v>
      </c>
      <c r="G62" s="152">
        <f>IF(OR(E62="",F62=""),"",PID_KVLohnLookup($A$1,E62,F62,LOHNTABELLE!$H$4))</f>
        <v>1515.75</v>
      </c>
      <c r="H62" s="153">
        <f>IF(AND(ISNUMBER(D62),ISNUMBER(F62)),ROUNDDOWN(MIN(IF(OR(ISBLANK(I62),I62=""),EOMONTH(DATE(EINSTELLUNG!$C$35,$A$1,1),0),I62)-MAX(D62,DATE(EINSTELLUNG!$C$35,$A$1,1))+1)/DAY(EOMONTH(DATE(EINSTELLUNG!$C$35,$A$1,1),0))*F62,2),"")</f>
        <v>129.75</v>
      </c>
      <c r="I62" s="49"/>
      <c r="J62" s="50"/>
      <c r="K62" s="152">
        <f t="shared" si="1"/>
        <v>0</v>
      </c>
      <c r="L62" s="15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1515.75</v>
      </c>
      <c r="M62" s="51"/>
      <c r="N62" s="74"/>
    </row>
    <row r="63" spans="1:22" ht="22" customHeight="1">
      <c r="A63" s="151" t="s">
        <v>134</v>
      </c>
      <c r="B63" s="102">
        <v>600000</v>
      </c>
      <c r="C63" s="53" t="s">
        <v>306</v>
      </c>
      <c r="D63" s="57">
        <v>46054</v>
      </c>
      <c r="E63" s="55" t="s">
        <v>2</v>
      </c>
      <c r="F63" s="56">
        <v>151.38</v>
      </c>
      <c r="G63" s="152">
        <f>IF(OR(E63="",F63=""),"",PID_KVLohnLookup($A$1,E63,F63,LOHNTABELLE!$H$4))</f>
        <v>1768.38</v>
      </c>
      <c r="H63" s="153">
        <f>IF(AND(ISNUMBER(D63),ISNUMBER(F63)),ROUNDDOWN(MIN(IF(OR(ISBLANK(I63),I63=""),EOMONTH(DATE(EINSTELLUNG!$C$35,$A$1,1),0),I63)-MAX(D63,DATE(EINSTELLUNG!$C$35,$A$1,1))+1)/DAY(EOMONTH(DATE(EINSTELLUNG!$C$35,$A$1,1),0))*F63,2),"")</f>
        <v>10.81</v>
      </c>
      <c r="I63" s="57">
        <v>46055</v>
      </c>
      <c r="J63" s="58"/>
      <c r="K63" s="152">
        <f t="shared" si="1"/>
        <v>0</v>
      </c>
      <c r="L63" s="154">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126.31285714285715</v>
      </c>
      <c r="M63" s="59"/>
      <c r="N63" s="75" t="s">
        <v>184</v>
      </c>
    </row>
    <row r="64" spans="1:22" ht="22" customHeight="1">
      <c r="A64" s="151" t="s">
        <v>135</v>
      </c>
      <c r="B64" s="101">
        <v>700000</v>
      </c>
      <c r="C64" s="45" t="s">
        <v>312</v>
      </c>
      <c r="D64" s="49">
        <v>46054</v>
      </c>
      <c r="E64" s="47" t="s">
        <v>2</v>
      </c>
      <c r="F64" s="48">
        <v>173</v>
      </c>
      <c r="G64" s="152">
        <f>IF(OR(E64="",F64=""),"",PID_KVLohnLookup($A$1,E64,F64,LOHNTABELLE!$H$4))</f>
        <v>2021</v>
      </c>
      <c r="H64" s="153">
        <f>IF(AND(ISNUMBER(D64),ISNUMBER(F64)),ROUNDDOWN(MIN(IF(OR(ISBLANK(I64),I64=""),EOMONTH(DATE(EINSTELLUNG!$C$35,$A$1,1),0),I64)-MAX(D64,DATE(EINSTELLUNG!$C$35,$A$1,1))+1)/DAY(EOMONTH(DATE(EINSTELLUNG!$C$35,$A$1,1),0))*F64,2),"")</f>
        <v>173</v>
      </c>
      <c r="I64" s="49"/>
      <c r="J64" s="50"/>
      <c r="K64" s="152">
        <f t="shared" si="1"/>
        <v>0</v>
      </c>
      <c r="L64" s="154">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51"/>
      <c r="N64" s="74"/>
    </row>
    <row r="65" spans="1:14" ht="22" customHeight="1">
      <c r="A65" s="151" t="s">
        <v>136</v>
      </c>
      <c r="B65" s="102"/>
      <c r="C65" s="53"/>
      <c r="D65" s="57"/>
      <c r="E65" s="55"/>
      <c r="F65" s="56"/>
      <c r="G65" s="152" t="str">
        <f>IF(OR(E65="",F65=""),"",PID_KVLohnLookup($A$1,E65,F65,LOHNTABELLE!$H$4))</f>
        <v/>
      </c>
      <c r="H65" s="153" t="str">
        <f>IF(AND(ISNUMBER(D65),ISNUMBER(F65)),ROUNDDOWN(MIN(IF(OR(ISBLANK(I65),I65=""),EOMONTH(DATE(EINSTELLUNG!$C$35,$A$1,1),0),I65)-MAX(D65,DATE(EINSTELLUNG!$C$35,$A$1,1))+1)/DAY(EOMONTH(DATE(EINSTELLUNG!$C$35,$A$1,1),0))*F65,2),"")</f>
        <v/>
      </c>
      <c r="I65" s="57"/>
      <c r="J65" s="58"/>
      <c r="K65" s="152" t="str">
        <f t="shared" si="1"/>
        <v/>
      </c>
      <c r="L65" s="15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9"/>
      <c r="N65" s="75"/>
    </row>
    <row r="66" spans="1:14" ht="22" customHeight="1">
      <c r="A66" s="151" t="s">
        <v>137</v>
      </c>
      <c r="B66" s="101"/>
      <c r="C66" s="45"/>
      <c r="D66" s="49"/>
      <c r="E66" s="47"/>
      <c r="F66" s="48"/>
      <c r="G66" s="152" t="str">
        <f>IF(OR(E66="",F66=""),"",PID_KVLohnLookup($A$1,E66,F66,LOHNTABELLE!$H$4))</f>
        <v/>
      </c>
      <c r="H66" s="153" t="str">
        <f>IF(AND(ISNUMBER(D66),ISNUMBER(F66)),ROUNDDOWN(MIN(IF(OR(ISBLANK(I66),I66=""),EOMONTH(DATE(EINSTELLUNG!$C$35,$A$1,1),0),I66)-MAX(D66,DATE(EINSTELLUNG!$C$35,$A$1,1))+1)/DAY(EOMONTH(DATE(EINSTELLUNG!$C$35,$A$1,1),0))*F66,2),"")</f>
        <v/>
      </c>
      <c r="I66" s="49"/>
      <c r="J66" s="50"/>
      <c r="K66" s="152" t="str">
        <f t="shared" si="1"/>
        <v/>
      </c>
      <c r="L66" s="15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51"/>
      <c r="N66" s="74"/>
    </row>
    <row r="67" spans="1:14" ht="22" customHeight="1">
      <c r="A67" s="151" t="s">
        <v>138</v>
      </c>
      <c r="B67" s="102"/>
      <c r="C67" s="53"/>
      <c r="D67" s="57"/>
      <c r="E67" s="55"/>
      <c r="F67" s="56"/>
      <c r="G67" s="152" t="str">
        <f>IF(OR(E67="",F67=""),"",PID_KVLohnLookup($A$1,E67,F67,LOHNTABELLE!$H$4))</f>
        <v/>
      </c>
      <c r="H67" s="153" t="str">
        <f>IF(AND(ISNUMBER(D67),ISNUMBER(F67)),ROUNDDOWN(MIN(IF(OR(ISBLANK(I67),I67=""),EOMONTH(DATE(EINSTELLUNG!$C$35,$A$1,1),0),I67)-MAX(D67,DATE(EINSTELLUNG!$C$35,$A$1,1))+1)/DAY(EOMONTH(DATE(EINSTELLUNG!$C$35,$A$1,1),0))*F67,2),"")</f>
        <v/>
      </c>
      <c r="I67" s="57"/>
      <c r="J67" s="58"/>
      <c r="K67" s="152" t="str">
        <f t="shared" ref="K67:K82" si="3">IF(OR(B67="",C67=""),"",IFERROR(IF(OR(MONTH(D67)=1,MONTH(D67)=3,MONTH(D67)=5,MONTH(D67)=7,MONTH(D67)=8,MONTH(D67)=10,MONTH(D67)=12),(G67/31)*J67,IF(OR(MONTH(D67)=4,MONTH(D67)=6,MONTH(D67)=9,MONTH(D67)=11),(G67/30)*J67,(G67/DAY(EOMONTH(D67,0)))*J67)),0))</f>
        <v/>
      </c>
      <c r="L67" s="15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9"/>
      <c r="N67" s="75"/>
    </row>
    <row r="68" spans="1:14" ht="22" customHeight="1">
      <c r="A68" s="151" t="s">
        <v>139</v>
      </c>
      <c r="B68" s="101"/>
      <c r="C68" s="45"/>
      <c r="D68" s="49"/>
      <c r="E68" s="47"/>
      <c r="F68" s="48"/>
      <c r="G68" s="152" t="str">
        <f>IF(OR(E68="",F68=""),"",PID_KVLohnLookup($A$1,E68,F68,LOHNTABELLE!$H$4))</f>
        <v/>
      </c>
      <c r="H68" s="153" t="str">
        <f>IF(AND(ISNUMBER(D68),ISNUMBER(F68)),ROUNDDOWN(MIN(IF(OR(ISBLANK(I68),I68=""),EOMONTH(DATE(EINSTELLUNG!$C$35,$A$1,1),0),I68)-MAX(D68,DATE(EINSTELLUNG!$C$35,$A$1,1))+1)/DAY(EOMONTH(DATE(EINSTELLUNG!$C$35,$A$1,1),0))*F68,2),"")</f>
        <v/>
      </c>
      <c r="I68" s="49"/>
      <c r="J68" s="50"/>
      <c r="K68" s="152" t="str">
        <f t="shared" si="3"/>
        <v/>
      </c>
      <c r="L68" s="15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51"/>
      <c r="N68" s="74"/>
    </row>
    <row r="69" spans="1:14" ht="22" customHeight="1">
      <c r="A69" s="151" t="s">
        <v>140</v>
      </c>
      <c r="B69" s="102"/>
      <c r="C69" s="53"/>
      <c r="D69" s="57"/>
      <c r="E69" s="55"/>
      <c r="F69" s="56"/>
      <c r="G69" s="152" t="str">
        <f>IF(OR(E69="",F69=""),"",PID_KVLohnLookup($A$1,E69,F69,LOHNTABELLE!$H$4))</f>
        <v/>
      </c>
      <c r="H69" s="153" t="str">
        <f>IF(AND(ISNUMBER(D69),ISNUMBER(F69)),ROUNDDOWN(MIN(IF(OR(ISBLANK(I69),I69=""),EOMONTH(DATE(EINSTELLUNG!$C$35,$A$1,1),0),I69)-MAX(D69,DATE(EINSTELLUNG!$C$35,$A$1,1))+1)/DAY(EOMONTH(DATE(EINSTELLUNG!$C$35,$A$1,1),0))*F69,2),"")</f>
        <v/>
      </c>
      <c r="I69" s="57"/>
      <c r="J69" s="58"/>
      <c r="K69" s="152" t="str">
        <f t="shared" si="3"/>
        <v/>
      </c>
      <c r="L69" s="15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9"/>
      <c r="N69" s="75"/>
    </row>
    <row r="70" spans="1:14" ht="22" customHeight="1">
      <c r="A70" s="151" t="s">
        <v>141</v>
      </c>
      <c r="B70" s="101"/>
      <c r="C70" s="45"/>
      <c r="D70" s="49"/>
      <c r="E70" s="47"/>
      <c r="F70" s="48"/>
      <c r="G70" s="152" t="str">
        <f>IF(OR(E70="",F70=""),"",PID_KVLohnLookup($A$1,E70,F70,LOHNTABELLE!$H$4))</f>
        <v/>
      </c>
      <c r="H70" s="153" t="str">
        <f>IF(AND(ISNUMBER(D70),ISNUMBER(F70)),ROUNDDOWN(MIN(IF(OR(ISBLANK(I70),I70=""),EOMONTH(DATE(EINSTELLUNG!$C$35,$A$1,1),0),I70)-MAX(D70,DATE(EINSTELLUNG!$C$35,$A$1,1))+1)/DAY(EOMONTH(DATE(EINSTELLUNG!$C$35,$A$1,1),0))*F70,2),"")</f>
        <v/>
      </c>
      <c r="I70" s="49"/>
      <c r="J70" s="50"/>
      <c r="K70" s="152" t="str">
        <f t="shared" si="3"/>
        <v/>
      </c>
      <c r="L70" s="15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51"/>
      <c r="N70" s="74"/>
    </row>
    <row r="71" spans="1:14" ht="22" customHeight="1">
      <c r="A71" s="151" t="s">
        <v>142</v>
      </c>
      <c r="B71" s="102"/>
      <c r="C71" s="53"/>
      <c r="D71" s="57"/>
      <c r="E71" s="55"/>
      <c r="F71" s="56"/>
      <c r="G71" s="152" t="str">
        <f>IF(OR(E71="",F71=""),"",PID_KVLohnLookup($A$1,E71,F71,LOHNTABELLE!$H$4))</f>
        <v/>
      </c>
      <c r="H71" s="153" t="str">
        <f>IF(AND(ISNUMBER(D71),ISNUMBER(F71)),ROUNDDOWN(MIN(IF(OR(ISBLANK(I71),I71=""),EOMONTH(DATE(EINSTELLUNG!$C$35,$A$1,1),0),I71)-MAX(D71,DATE(EINSTELLUNG!$C$35,$A$1,1))+1)/DAY(EOMONTH(DATE(EINSTELLUNG!$C$35,$A$1,1),0))*F71,2),"")</f>
        <v/>
      </c>
      <c r="I71" s="57"/>
      <c r="J71" s="58"/>
      <c r="K71" s="152" t="str">
        <f t="shared" si="3"/>
        <v/>
      </c>
      <c r="L71" s="15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9"/>
      <c r="N71" s="75"/>
    </row>
    <row r="72" spans="1:14" ht="22" customHeight="1">
      <c r="A72" s="151" t="s">
        <v>143</v>
      </c>
      <c r="B72" s="101"/>
      <c r="C72" s="45"/>
      <c r="D72" s="49"/>
      <c r="E72" s="47"/>
      <c r="F72" s="48"/>
      <c r="G72" s="152" t="str">
        <f>IF(OR(E72="",F72=""),"",PID_KVLohnLookup($A$1,E72,F72,LOHNTABELLE!$H$4))</f>
        <v/>
      </c>
      <c r="H72" s="153" t="str">
        <f>IF(AND(ISNUMBER(D72),ISNUMBER(F72)),ROUNDDOWN(MIN(IF(OR(ISBLANK(I72),I72=""),EOMONTH(DATE(EINSTELLUNG!$C$35,$A$1,1),0),I72)-MAX(D72,DATE(EINSTELLUNG!$C$35,$A$1,1))+1)/DAY(EOMONTH(DATE(EINSTELLUNG!$C$35,$A$1,1),0))*F72,2),"")</f>
        <v/>
      </c>
      <c r="I72" s="49"/>
      <c r="J72" s="50"/>
      <c r="K72" s="152" t="str">
        <f t="shared" si="3"/>
        <v/>
      </c>
      <c r="L72" s="15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51"/>
      <c r="N72" s="74"/>
    </row>
    <row r="73" spans="1:14" ht="22" customHeight="1">
      <c r="A73" s="151" t="s">
        <v>144</v>
      </c>
      <c r="B73" s="102"/>
      <c r="C73" s="53"/>
      <c r="D73" s="57"/>
      <c r="E73" s="55"/>
      <c r="F73" s="56"/>
      <c r="G73" s="152" t="str">
        <f>IF(OR(E73="",F73=""),"",PID_KVLohnLookup($A$1,E73,F73,LOHNTABELLE!$H$4))</f>
        <v/>
      </c>
      <c r="H73" s="153" t="str">
        <f>IF(AND(ISNUMBER(D73),ISNUMBER(F73)),ROUNDDOWN(MIN(IF(OR(ISBLANK(I73),I73=""),EOMONTH(DATE(EINSTELLUNG!$C$35,$A$1,1),0),I73)-MAX(D73,DATE(EINSTELLUNG!$C$35,$A$1,1))+1)/DAY(EOMONTH(DATE(EINSTELLUNG!$C$35,$A$1,1),0))*F73,2),"")</f>
        <v/>
      </c>
      <c r="I73" s="57"/>
      <c r="J73" s="58"/>
      <c r="K73" s="152" t="str">
        <f t="shared" si="3"/>
        <v/>
      </c>
      <c r="L73" s="15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9"/>
      <c r="N73" s="75"/>
    </row>
    <row r="74" spans="1:14" ht="22" customHeight="1">
      <c r="A74" s="151" t="s">
        <v>145</v>
      </c>
      <c r="B74" s="101"/>
      <c r="C74" s="45"/>
      <c r="D74" s="49"/>
      <c r="E74" s="47"/>
      <c r="F74" s="48"/>
      <c r="G74" s="152" t="str">
        <f>IF(OR(E74="",F74=""),"",PID_KVLohnLookup($A$1,E74,F74,LOHNTABELLE!$H$4))</f>
        <v/>
      </c>
      <c r="H74" s="153" t="str">
        <f>IF(AND(ISNUMBER(D74),ISNUMBER(F74)),ROUNDDOWN(MIN(IF(OR(ISBLANK(I74),I74=""),EOMONTH(DATE(EINSTELLUNG!$C$35,$A$1,1),0),I74)-MAX(D74,DATE(EINSTELLUNG!$C$35,$A$1,1))+1)/DAY(EOMONTH(DATE(EINSTELLUNG!$C$35,$A$1,1),0))*F74,2),"")</f>
        <v/>
      </c>
      <c r="I74" s="49"/>
      <c r="J74" s="50"/>
      <c r="K74" s="152" t="str">
        <f t="shared" si="3"/>
        <v/>
      </c>
      <c r="L74" s="15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51"/>
      <c r="N74" s="74"/>
    </row>
    <row r="75" spans="1:14" ht="22" customHeight="1">
      <c r="A75" s="151" t="s">
        <v>146</v>
      </c>
      <c r="B75" s="102"/>
      <c r="C75" s="53"/>
      <c r="D75" s="57"/>
      <c r="E75" s="55"/>
      <c r="F75" s="56"/>
      <c r="G75" s="152" t="str">
        <f>IF(OR(E75="",F75=""),"",PID_KVLohnLookup($A$1,E75,F75,LOHNTABELLE!$H$4))</f>
        <v/>
      </c>
      <c r="H75" s="153" t="str">
        <f>IF(AND(ISNUMBER(D75),ISNUMBER(F75)),ROUNDDOWN(MIN(IF(OR(ISBLANK(I75),I75=""),EOMONTH(DATE(EINSTELLUNG!$C$35,$A$1,1),0),I75)-MAX(D75,DATE(EINSTELLUNG!$C$35,$A$1,1))+1)/DAY(EOMONTH(DATE(EINSTELLUNG!$C$35,$A$1,1),0))*F75,2),"")</f>
        <v/>
      </c>
      <c r="I75" s="57"/>
      <c r="J75" s="58"/>
      <c r="K75" s="152" t="str">
        <f t="shared" si="3"/>
        <v/>
      </c>
      <c r="L75" s="15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9"/>
      <c r="N75" s="75"/>
    </row>
    <row r="76" spans="1:14" ht="22" customHeight="1">
      <c r="A76" s="151" t="s">
        <v>147</v>
      </c>
      <c r="B76" s="101"/>
      <c r="C76" s="45"/>
      <c r="D76" s="49"/>
      <c r="E76" s="47"/>
      <c r="F76" s="48"/>
      <c r="G76" s="152" t="str">
        <f>IF(OR(E76="",F76=""),"",PID_KVLohnLookup($A$1,E76,F76,LOHNTABELLE!$H$4))</f>
        <v/>
      </c>
      <c r="H76" s="153" t="str">
        <f>IF(AND(ISNUMBER(D76),ISNUMBER(F76)),ROUNDDOWN(MIN(IF(OR(ISBLANK(I76),I76=""),EOMONTH(DATE(EINSTELLUNG!$C$35,$A$1,1),0),I76)-MAX(D76,DATE(EINSTELLUNG!$C$35,$A$1,1))+1)/DAY(EOMONTH(DATE(EINSTELLUNG!$C$35,$A$1,1),0))*F76,2),"")</f>
        <v/>
      </c>
      <c r="I76" s="49"/>
      <c r="J76" s="50"/>
      <c r="K76" s="152" t="str">
        <f t="shared" si="3"/>
        <v/>
      </c>
      <c r="L76" s="15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51"/>
      <c r="N76" s="74"/>
    </row>
    <row r="77" spans="1:14" ht="22" customHeight="1">
      <c r="A77" s="151" t="s">
        <v>148</v>
      </c>
      <c r="B77" s="102"/>
      <c r="C77" s="53"/>
      <c r="D77" s="57"/>
      <c r="E77" s="55"/>
      <c r="F77" s="56"/>
      <c r="G77" s="152" t="str">
        <f>IF(OR(E77="",F77=""),"",PID_KVLohnLookup($A$1,E77,F77,LOHNTABELLE!$H$4))</f>
        <v/>
      </c>
      <c r="H77" s="153" t="str">
        <f>IF(AND(ISNUMBER(D77),ISNUMBER(F77)),ROUNDDOWN(MIN(IF(OR(ISBLANK(I77),I77=""),EOMONTH(DATE(EINSTELLUNG!$C$35,$A$1,1),0),I77)-MAX(D77,DATE(EINSTELLUNG!$C$35,$A$1,1))+1)/DAY(EOMONTH(DATE(EINSTELLUNG!$C$35,$A$1,1),0))*F77,2),"")</f>
        <v/>
      </c>
      <c r="I77" s="57"/>
      <c r="J77" s="58"/>
      <c r="K77" s="152" t="str">
        <f t="shared" si="3"/>
        <v/>
      </c>
      <c r="L77" s="15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9"/>
      <c r="N77" s="75"/>
    </row>
    <row r="78" spans="1:14" ht="22" customHeight="1">
      <c r="A78" s="151" t="s">
        <v>149</v>
      </c>
      <c r="B78" s="101"/>
      <c r="C78" s="45"/>
      <c r="D78" s="49"/>
      <c r="E78" s="47"/>
      <c r="F78" s="48"/>
      <c r="G78" s="152" t="str">
        <f>IF(OR(E78="",F78=""),"",PID_KVLohnLookup($A$1,E78,F78,LOHNTABELLE!$H$4))</f>
        <v/>
      </c>
      <c r="H78" s="153" t="str">
        <f>IF(AND(ISNUMBER(D78),ISNUMBER(F78)),ROUNDDOWN(MIN(IF(OR(ISBLANK(I78),I78=""),EOMONTH(DATE(EINSTELLUNG!$C$35,$A$1,1),0),I78)-MAX(D78,DATE(EINSTELLUNG!$C$35,$A$1,1))+1)/DAY(EOMONTH(DATE(EINSTELLUNG!$C$35,$A$1,1),0))*F78,2),"")</f>
        <v/>
      </c>
      <c r="I78" s="49"/>
      <c r="J78" s="50"/>
      <c r="K78" s="152" t="str">
        <f t="shared" si="3"/>
        <v/>
      </c>
      <c r="L78" s="15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51"/>
      <c r="N78" s="74"/>
    </row>
    <row r="79" spans="1:14" ht="22" customHeight="1">
      <c r="A79" s="151" t="s">
        <v>150</v>
      </c>
      <c r="B79" s="102"/>
      <c r="C79" s="53"/>
      <c r="D79" s="57"/>
      <c r="E79" s="55"/>
      <c r="F79" s="56"/>
      <c r="G79" s="152" t="str">
        <f>IF(OR(E79="",F79=""),"",PID_KVLohnLookup($A$1,E79,F79,LOHNTABELLE!$H$4))</f>
        <v/>
      </c>
      <c r="H79" s="153" t="str">
        <f>IF(AND(ISNUMBER(D79),ISNUMBER(F79)),ROUNDDOWN(MIN(IF(OR(ISBLANK(I79),I79=""),EOMONTH(DATE(EINSTELLUNG!$C$35,$A$1,1),0),I79)-MAX(D79,DATE(EINSTELLUNG!$C$35,$A$1,1))+1)/DAY(EOMONTH(DATE(EINSTELLUNG!$C$35,$A$1,1),0))*F79,2),"")</f>
        <v/>
      </c>
      <c r="I79" s="57"/>
      <c r="J79" s="58"/>
      <c r="K79" s="152" t="str">
        <f t="shared" si="3"/>
        <v/>
      </c>
      <c r="L79" s="15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9"/>
      <c r="N79" s="75"/>
    </row>
    <row r="80" spans="1:14" ht="22" customHeight="1">
      <c r="A80" s="151" t="s">
        <v>151</v>
      </c>
      <c r="B80" s="101"/>
      <c r="C80" s="45"/>
      <c r="D80" s="49"/>
      <c r="E80" s="47"/>
      <c r="F80" s="48"/>
      <c r="G80" s="152" t="str">
        <f>IF(OR(E80="",F80=""),"",PID_KVLohnLookup($A$1,E80,F80,LOHNTABELLE!$H$4))</f>
        <v/>
      </c>
      <c r="H80" s="153" t="str">
        <f>IF(AND(ISNUMBER(D80),ISNUMBER(F80)),ROUNDDOWN(MIN(IF(OR(ISBLANK(I80),I80=""),EOMONTH(DATE(EINSTELLUNG!$C$35,$A$1,1),0),I80)-MAX(D80,DATE(EINSTELLUNG!$C$35,$A$1,1))+1)/DAY(EOMONTH(DATE(EINSTELLUNG!$C$35,$A$1,1),0))*F80,2),"")</f>
        <v/>
      </c>
      <c r="I80" s="49"/>
      <c r="J80" s="50"/>
      <c r="K80" s="152" t="str">
        <f t="shared" si="3"/>
        <v/>
      </c>
      <c r="L80" s="15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51"/>
      <c r="N80" s="74"/>
    </row>
    <row r="81" spans="1:15" ht="22" customHeight="1">
      <c r="A81" s="151" t="s">
        <v>152</v>
      </c>
      <c r="B81" s="102"/>
      <c r="C81" s="53"/>
      <c r="D81" s="57"/>
      <c r="E81" s="55"/>
      <c r="F81" s="56"/>
      <c r="G81" s="152" t="str">
        <f>IF(OR(E81="",F81=""),"",PID_KVLohnLookup($A$1,E81,F81,LOHNTABELLE!$H$4))</f>
        <v/>
      </c>
      <c r="H81" s="153" t="str">
        <f>IF(AND(ISNUMBER(D81),ISNUMBER(F81)),ROUNDDOWN(MIN(IF(OR(ISBLANK(I81),I81=""),EOMONTH(DATE(EINSTELLUNG!$C$35,$A$1,1),0),I81)-MAX(D81,DATE(EINSTELLUNG!$C$35,$A$1,1))+1)/DAY(EOMONTH(DATE(EINSTELLUNG!$C$35,$A$1,1),0))*F81,2),"")</f>
        <v/>
      </c>
      <c r="I81" s="57"/>
      <c r="J81" s="58"/>
      <c r="K81" s="152" t="str">
        <f t="shared" si="3"/>
        <v/>
      </c>
      <c r="L81" s="15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9"/>
      <c r="N81" s="75"/>
    </row>
    <row r="82" spans="1:15" ht="22" customHeight="1" thickBot="1">
      <c r="A82" s="165" t="s">
        <v>153</v>
      </c>
      <c r="B82" s="103"/>
      <c r="C82" s="62"/>
      <c r="D82" s="63"/>
      <c r="E82" s="64"/>
      <c r="F82" s="65"/>
      <c r="G82" s="166" t="str">
        <f>IF(OR(E82="",F82=""),"",PID_KVLohnLookup($A$1,E82,F82,LOHNTABELLE!$H$4))</f>
        <v/>
      </c>
      <c r="H82" s="159" t="str">
        <f>IF(AND(ISNUMBER(D82),ISNUMBER(F82)),ROUNDDOWN(MIN(IF(OR(ISBLANK(I82),I82=""),EOMONTH(DATE(EINSTELLUNG!$C$35,$A$1,1),0),I82)-MAX(D82,DATE(EINSTELLUNG!$C$35,$A$1,1))+1)/DAY(EOMONTH(DATE(EINSTELLUNG!$C$35,$A$1,1),0))*F82,2),"")</f>
        <v/>
      </c>
      <c r="I82" s="63"/>
      <c r="J82" s="66"/>
      <c r="K82" s="166" t="str">
        <f t="shared" si="3"/>
        <v/>
      </c>
      <c r="L82" s="16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7"/>
      <c r="N82" s="78"/>
    </row>
    <row r="84" spans="1:15" ht="16" customHeight="1">
      <c r="O84" s="171"/>
    </row>
    <row r="85" spans="1:15" ht="16" customHeight="1">
      <c r="O85" s="171"/>
    </row>
    <row r="86" spans="1:15" ht="16" customHeight="1">
      <c r="O86" s="171"/>
    </row>
    <row r="100" spans="26:26" ht="16" customHeight="1">
      <c r="Z100" s="142"/>
    </row>
  </sheetData>
  <sheetProtection algorithmName="SHA-512" hashValue="5njxPBFv9umH/GUt0rTD7MYM9xxgbJMjLEwbM3yvea9sE4uSzZyWYQFvRgQUbOJNLioK+iONABSehwgm465L2A==" saltValue="ATK9/Oe/Si1vRxlCEZOPhA==" spinCount="100000" sheet="1" objects="1" scenarios="1" sort="0" autoFilter="0"/>
  <sortState xmlns:xlrd2="http://schemas.microsoft.com/office/spreadsheetml/2017/richdata2" ref="B3:N82">
    <sortCondition ref="B3:B82"/>
    <sortCondition ref="C3:C82"/>
  </sortState>
  <mergeCells count="101">
    <mergeCell ref="O45:U45"/>
    <mergeCell ref="O39:P39"/>
    <mergeCell ref="Q39:R39"/>
    <mergeCell ref="O36:P36"/>
    <mergeCell ref="Q36:R36"/>
    <mergeCell ref="O37:P37"/>
    <mergeCell ref="Q37:R37"/>
    <mergeCell ref="O38:P38"/>
    <mergeCell ref="Q38:R38"/>
    <mergeCell ref="Q3:Q4"/>
    <mergeCell ref="C1:C2"/>
    <mergeCell ref="D1:D2"/>
    <mergeCell ref="I1:I2"/>
    <mergeCell ref="J1:J2"/>
    <mergeCell ref="O25:P25"/>
    <mergeCell ref="Q25:R25"/>
    <mergeCell ref="O26:P26"/>
    <mergeCell ref="O44:V44"/>
    <mergeCell ref="Q26:R26"/>
    <mergeCell ref="Q28:R28"/>
    <mergeCell ref="O29:P29"/>
    <mergeCell ref="O16:R16"/>
    <mergeCell ref="O17:P17"/>
    <mergeCell ref="Q17:R17"/>
    <mergeCell ref="O18:P18"/>
    <mergeCell ref="Q18:R18"/>
    <mergeCell ref="O19:P19"/>
    <mergeCell ref="Q11:R11"/>
    <mergeCell ref="O12:P12"/>
    <mergeCell ref="Q12:R12"/>
    <mergeCell ref="O13:P13"/>
    <mergeCell ref="Q13:R13"/>
    <mergeCell ref="O11:P11"/>
    <mergeCell ref="Q19:R19"/>
    <mergeCell ref="O35:P35"/>
    <mergeCell ref="O22:P22"/>
    <mergeCell ref="Q22:R22"/>
    <mergeCell ref="O23:P23"/>
    <mergeCell ref="Q23:R23"/>
    <mergeCell ref="O24:P24"/>
    <mergeCell ref="Q24:R24"/>
    <mergeCell ref="O31:P31"/>
    <mergeCell ref="Q31:R31"/>
    <mergeCell ref="O33:P34"/>
    <mergeCell ref="Q33:R34"/>
    <mergeCell ref="Q35:R35"/>
    <mergeCell ref="O27:P27"/>
    <mergeCell ref="Q27:R27"/>
    <mergeCell ref="O28:P28"/>
    <mergeCell ref="O20:P20"/>
    <mergeCell ref="Q20:R20"/>
    <mergeCell ref="O21:P21"/>
    <mergeCell ref="Q21:R21"/>
    <mergeCell ref="S27:V27"/>
    <mergeCell ref="Q29:R29"/>
    <mergeCell ref="O42:P42"/>
    <mergeCell ref="Q42:V42"/>
    <mergeCell ref="O40:P40"/>
    <mergeCell ref="Q40:R40"/>
    <mergeCell ref="S40:T40"/>
    <mergeCell ref="U40:V40"/>
    <mergeCell ref="O41:P41"/>
    <mergeCell ref="Q41:R41"/>
    <mergeCell ref="S41:T41"/>
    <mergeCell ref="U41:V41"/>
    <mergeCell ref="U38:V38"/>
    <mergeCell ref="S39:T39"/>
    <mergeCell ref="U39:V39"/>
    <mergeCell ref="S38:T38"/>
    <mergeCell ref="U33:V34"/>
    <mergeCell ref="S33:T34"/>
    <mergeCell ref="U37:V37"/>
    <mergeCell ref="S35:T35"/>
    <mergeCell ref="U35:V35"/>
    <mergeCell ref="S36:T36"/>
    <mergeCell ref="U36:V36"/>
    <mergeCell ref="S37:T37"/>
    <mergeCell ref="N1:N2"/>
    <mergeCell ref="A1:A2"/>
    <mergeCell ref="O15:R15"/>
    <mergeCell ref="E1:E2"/>
    <mergeCell ref="F1:F2"/>
    <mergeCell ref="G1:G2"/>
    <mergeCell ref="H1:H2"/>
    <mergeCell ref="M1:M2"/>
    <mergeCell ref="S2:V2"/>
    <mergeCell ref="K1:K2"/>
    <mergeCell ref="O3:O4"/>
    <mergeCell ref="O14:P14"/>
    <mergeCell ref="Q14:R14"/>
    <mergeCell ref="B1:B2"/>
    <mergeCell ref="Q10:R10"/>
    <mergeCell ref="R3:R4"/>
    <mergeCell ref="O6:R6"/>
    <mergeCell ref="O8:P8"/>
    <mergeCell ref="Q8:R8"/>
    <mergeCell ref="O9:P9"/>
    <mergeCell ref="Q9:R9"/>
    <mergeCell ref="O10:P10"/>
    <mergeCell ref="L1:L2"/>
    <mergeCell ref="P3:P4"/>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834F483C-C922-3C4D-B8F1-FBFA68547219}">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D85A82A-9461-C441-9D37-F8A57730742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57B58AC-8252-4C40-AA96-453A8BEE2F0D}">
          <x14:formula1>
            <xm:f>KV_DROPDOWN_HELPER!$AJY$1:$AJY$12</xm:f>
          </x14:formula1>
          <xm:sqref>E3:E82</xm:sqref>
        </x14:dataValidation>
        <x14:dataValidation type="list" allowBlank="1" showInputMessage="1" showErrorMessage="1" xr:uid="{F63576E3-78DE-6C44-86FC-3C7752B9B615}">
          <x14:formula1>
            <xm:f>KV_DROPDOWN_HELPER!$CD$1:$CD$13</xm:f>
          </x14:formula1>
          <xm:sqref>F4 F5 F8 F15</xm:sqref>
        </x14:dataValidation>
        <x14:dataValidation type="list" allowBlank="1" showInputMessage="1" showErrorMessage="1" xr:uid="{AE47C2C6-94F2-6342-8F83-EA9DF4EE263A}">
          <x14:formula1>
            <xm:f>KV_DROPDOWN_HELPER!$CE$1:$CE$13</xm:f>
          </x14:formula1>
          <xm:sqref>F7 F9 F10 F11 F14 F21 F60</xm:sqref>
        </x14:dataValidation>
        <x14:dataValidation type="list" allowBlank="1" showInputMessage="1" showErrorMessage="1" xr:uid="{1A20B3B2-4BA1-7041-BBD7-C0F06E54E7BA}">
          <x14:formula1>
            <xm:f>KV_DROPDOWN_HELPER!$CF$1:$CF$13</xm:f>
          </x14:formula1>
          <xm:sqref>F17 F25 F28 F30</xm:sqref>
        </x14:dataValidation>
        <x14:dataValidation type="list" allowBlank="1" showInputMessage="1" showErrorMessage="1" xr:uid="{DBD76976-62DB-B347-A999-54E1745F2E90}">
          <x14:formula1>
            <xm:f>KV_DROPDOWN_HELPER!$CH$1:$CH$13</xm:f>
          </x14:formula1>
          <xm:sqref>F24</xm:sqref>
        </x14:dataValidation>
        <x14:dataValidation type="list" allowBlank="1" showInputMessage="1" showErrorMessage="1" xr:uid="{4F160977-24D1-994F-9102-DBBB791254DA}">
          <x14:formula1>
            <xm:f>KV_DROPDOWN_HELPER!$CI$1:$CI$13</xm:f>
          </x14:formula1>
          <xm:sqref>F65 F66 F67 F68 F69 F70 F71 F72 F73 F74 F75 F76 F77 F78 F79 F80 F81 F82</xm:sqref>
        </x14:dataValidation>
        <x14:dataValidation type="list" allowBlank="1" showInputMessage="1" showErrorMessage="1" xr:uid="{5654305E-0CF0-2A49-B885-95CF880F2591}">
          <x14:formula1>
            <xm:f>KV_DROPDOWN_HELPER!$CG$1:$CG$13</xm:f>
          </x14:formula1>
          <xm:sqref>F20</xm:sqref>
        </x14:dataValidation>
        <x14:dataValidation type="list" allowBlank="1" showInputMessage="1" showErrorMessage="1" xr:uid="{7C783097-1AF6-2746-B284-CE6AB6472DC4}">
          <x14:formula1>
            <xm:f>KV_DROPDOWN_HELPER!$CC$1:$CC$15</xm:f>
          </x14:formula1>
          <xm:sqref>F3 F6 F12 F13 F16 F18 F19 F22 F23 F26 F27 F29 F31 F32 F33 F34 F35 F36 F37 F38 F39 F40 F41 F42 F43 F44 F45 F46 F47 F48 F49 F50 F51 F52 F53 F54 F55 F56 F57 F58 F59 F61 F62 F63 F64</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0595C-6B7B-4F68-9998-06D15D0933ED}">
  <sheetPr codeName="Tabelle5"/>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169" customWidth="1"/>
    <col min="2" max="2" width="9.1796875" style="169" customWidth="1"/>
    <col min="3" max="3" width="35.6328125" style="141" customWidth="1"/>
    <col min="4" max="4" width="13.6328125" style="141" customWidth="1"/>
    <col min="5" max="5" width="9.6328125" style="141" customWidth="1"/>
    <col min="6" max="6" width="10.6328125" style="141" customWidth="1"/>
    <col min="7" max="7" width="13.6328125" style="141" customWidth="1"/>
    <col min="8" max="8" width="11.6328125" style="141" customWidth="1"/>
    <col min="9" max="10" width="13.6328125" style="141" customWidth="1"/>
    <col min="11" max="11" width="14.6328125" style="141" customWidth="1"/>
    <col min="12" max="12" width="14.6328125" style="162" customWidth="1"/>
    <col min="13" max="13" width="17.81640625" style="141" customWidth="1"/>
    <col min="14" max="14" width="34.6328125" style="141" customWidth="1"/>
    <col min="15" max="15" width="12.6328125" style="141" customWidth="1"/>
    <col min="16" max="16" width="16.6328125" style="141" customWidth="1"/>
    <col min="17" max="17" width="14.6328125" style="141" customWidth="1"/>
    <col min="18" max="18" width="13.6328125" style="141" customWidth="1"/>
    <col min="19" max="19" width="9.6328125" style="141" customWidth="1"/>
    <col min="20" max="20" width="10.6328125" style="141" customWidth="1"/>
    <col min="21" max="21" width="7.6328125" style="141" customWidth="1"/>
    <col min="22" max="27" width="9.1796875" style="141"/>
    <col min="28" max="28" width="10.1796875" style="141" bestFit="1" customWidth="1"/>
    <col min="29" max="16384" width="9.1796875" style="141"/>
  </cols>
  <sheetData>
    <row r="1" spans="1:28" ht="18" customHeight="1">
      <c r="A1" s="301">
        <v>3</v>
      </c>
      <c r="B1" s="304" t="s">
        <v>180</v>
      </c>
      <c r="C1" s="280" t="s">
        <v>39</v>
      </c>
      <c r="D1" s="280" t="s">
        <v>181</v>
      </c>
      <c r="E1" s="280" t="s">
        <v>0</v>
      </c>
      <c r="F1" s="280" t="s">
        <v>40</v>
      </c>
      <c r="G1" s="280" t="s">
        <v>41</v>
      </c>
      <c r="H1" s="280" t="s">
        <v>42</v>
      </c>
      <c r="I1" s="280" t="s">
        <v>182</v>
      </c>
      <c r="J1" s="280" t="s">
        <v>43</v>
      </c>
      <c r="K1" s="280" t="s">
        <v>44</v>
      </c>
      <c r="L1" s="280" t="s">
        <v>45</v>
      </c>
      <c r="M1" s="280" t="s">
        <v>46</v>
      </c>
      <c r="N1" s="282" t="s">
        <v>183</v>
      </c>
      <c r="AB1" s="143">
        <f>DATE(EINSTELLUNG!$C$35,$A$1,1)</f>
        <v>46082</v>
      </c>
    </row>
    <row r="2" spans="1:28" ht="18" customHeight="1" thickBot="1">
      <c r="A2" s="287"/>
      <c r="B2" s="305"/>
      <c r="C2" s="294"/>
      <c r="D2" s="294"/>
      <c r="E2" s="294"/>
      <c r="F2" s="294"/>
      <c r="G2" s="294"/>
      <c r="H2" s="294"/>
      <c r="I2" s="294"/>
      <c r="J2" s="294"/>
      <c r="K2" s="294"/>
      <c r="L2" s="294"/>
      <c r="M2" s="294"/>
      <c r="N2" s="298"/>
      <c r="O2" s="144"/>
      <c r="P2" s="144"/>
      <c r="Q2" s="144"/>
      <c r="S2" s="208" t="s">
        <v>394</v>
      </c>
      <c r="T2" s="208"/>
      <c r="U2" s="208"/>
      <c r="V2" s="208"/>
      <c r="AB2" s="143">
        <f>EOMONTH(DATE(EINSTELLUNG!$C$35,$A$1,1),0)</f>
        <v>46112</v>
      </c>
    </row>
    <row r="3" spans="1:28" ht="22" customHeight="1">
      <c r="A3" s="145" t="s">
        <v>401</v>
      </c>
      <c r="B3" s="100">
        <v>401010</v>
      </c>
      <c r="C3" s="37" t="s">
        <v>224</v>
      </c>
      <c r="D3" s="38">
        <v>39388</v>
      </c>
      <c r="E3" s="39" t="s">
        <v>2</v>
      </c>
      <c r="F3" s="68">
        <v>169</v>
      </c>
      <c r="G3" s="146">
        <f>IF(OR(E3="",F3=""),"",PID_KVLohnLookup($A$1,E3,F3,LOHNTABELLE!$H$4))</f>
        <v>2000</v>
      </c>
      <c r="H3" s="147">
        <f>IF(AND(ISNUMBER(D3),ISNUMBER(F3)),ROUNDDOWN(MIN(IF(OR(ISBLANK(I3),I3=""),EOMONTH(DATE(EINSTELLUNG!$C$35,$A$1,1),0),I3)-MAX(D3,DATE(EINSTELLUNG!$C$35,$A$1,1))+1)/DAY(EOMONTH(DATE(EINSTELLUNG!$C$35,$A$1,1),0))*F3,2),"")</f>
        <v>169</v>
      </c>
      <c r="I3" s="41"/>
      <c r="J3" s="42"/>
      <c r="K3" s="146">
        <f t="shared" ref="K3:K34" si="0">IF(OR(B3="",C3=""),"",IFERROR(IF(OR(MONTH(D3)=1,MONTH(D3)=3,MONTH(D3)=5,MONTH(D3)=7,MONTH(D3)=8,MONTH(D3)=10,MONTH(D3)=12),(G3/31)*J3,IF(OR(MONTH(D3)=4,MONTH(D3)=6,MONTH(D3)=9,MONTH(D3)=11),(G3/30)*J3,(G3/DAY(EOMONTH(D3,0)))*J3)),0))</f>
        <v>0</v>
      </c>
      <c r="L3" s="14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3"/>
      <c r="N3" s="73"/>
      <c r="O3" s="236" t="s">
        <v>47</v>
      </c>
      <c r="P3" s="236" t="s">
        <v>48</v>
      </c>
      <c r="Q3" s="236" t="s">
        <v>49</v>
      </c>
      <c r="R3" s="272" t="s">
        <v>50</v>
      </c>
      <c r="S3" s="149"/>
      <c r="T3" s="149"/>
      <c r="U3" s="149"/>
      <c r="V3" s="149"/>
      <c r="AB3" s="150"/>
    </row>
    <row r="4" spans="1:28" ht="22" customHeight="1">
      <c r="A4" s="151" t="s">
        <v>51</v>
      </c>
      <c r="B4" s="101">
        <v>401047</v>
      </c>
      <c r="C4" s="45" t="s">
        <v>226</v>
      </c>
      <c r="D4" s="46">
        <v>41154</v>
      </c>
      <c r="E4" s="47" t="s">
        <v>4</v>
      </c>
      <c r="F4" s="69">
        <v>173</v>
      </c>
      <c r="G4" s="152">
        <f>IF(OR(E4="",F4=""),"",PID_KVLohnLookup($A$1,E4,F4,LOHNTABELLE!$H$4))</f>
        <v>2123</v>
      </c>
      <c r="H4" s="153">
        <f>IF(AND(ISNUMBER(D4),ISNUMBER(F4)),ROUNDDOWN(MIN(IF(OR(ISBLANK(I4),I4=""),EOMONTH(DATE(EINSTELLUNG!$C$35,$A$1,1),0),I4)-MAX(D4,DATE(EINSTELLUNG!$C$35,$A$1,1))+1)/DAY(EOMONTH(DATE(EINSTELLUNG!$C$35,$A$1,1),0))*F4,2),"")</f>
        <v>173</v>
      </c>
      <c r="I4" s="49"/>
      <c r="J4" s="50"/>
      <c r="K4" s="152">
        <f t="shared" si="0"/>
        <v>0</v>
      </c>
      <c r="L4" s="15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51"/>
      <c r="N4" s="74"/>
      <c r="O4" s="237"/>
      <c r="P4" s="237"/>
      <c r="Q4" s="237"/>
      <c r="R4" s="273"/>
      <c r="S4" s="149"/>
      <c r="T4" s="149"/>
      <c r="U4" s="149"/>
      <c r="V4" s="149"/>
    </row>
    <row r="5" spans="1:28" ht="22" customHeight="1">
      <c r="A5" s="151" t="s">
        <v>52</v>
      </c>
      <c r="B5" s="102">
        <v>401049</v>
      </c>
      <c r="C5" s="53" t="s">
        <v>225</v>
      </c>
      <c r="D5" s="54">
        <v>41130</v>
      </c>
      <c r="E5" s="55" t="s">
        <v>4</v>
      </c>
      <c r="F5" s="56">
        <v>173</v>
      </c>
      <c r="G5" s="152">
        <f>IF(OR(E5="",F5=""),"",PID_KVLohnLookup($A$1,E5,F5,LOHNTABELLE!$H$4))</f>
        <v>2123</v>
      </c>
      <c r="H5" s="153">
        <f>IF(AND(ISNUMBER(D5),ISNUMBER(F5)),ROUNDDOWN(MIN(IF(OR(ISBLANK(I5),I5=""),EOMONTH(DATE(EINSTELLUNG!$C$35,$A$1,1),0),I5)-MAX(D5,DATE(EINSTELLUNG!$C$35,$A$1,1))+1)/DAY(EOMONTH(DATE(EINSTELLUNG!$C$35,$A$1,1),0))*F5,2),"")</f>
        <v>173</v>
      </c>
      <c r="I5" s="57"/>
      <c r="J5" s="58"/>
      <c r="K5" s="152">
        <f t="shared" si="0"/>
        <v>0</v>
      </c>
      <c r="L5" s="15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9"/>
      <c r="N5" s="75"/>
      <c r="O5" s="155" cm="1">
        <f t="array" ref="O5">SUMPRODUCT((F3:F82/4.310808)/5*2.08)</f>
        <v>882.56627527832359</v>
      </c>
      <c r="P5" s="156">
        <f>EINSTELLUNG!I8</f>
        <v>600</v>
      </c>
      <c r="Q5" s="156">
        <f>P5-O5</f>
        <v>-282.56627527832359</v>
      </c>
      <c r="R5" s="157">
        <f>IFERROR(Q5*Q42, 0)</f>
        <v>-3390.7624299994941</v>
      </c>
      <c r="S5" s="149"/>
      <c r="T5" s="149"/>
      <c r="U5" s="149"/>
      <c r="V5" s="149"/>
    </row>
    <row r="6" spans="1:28" ht="22" customHeight="1">
      <c r="A6" s="151" t="s">
        <v>53</v>
      </c>
      <c r="B6" s="101">
        <v>401051</v>
      </c>
      <c r="C6" s="45" t="s">
        <v>227</v>
      </c>
      <c r="D6" s="46">
        <v>41176</v>
      </c>
      <c r="E6" s="47" t="s">
        <v>2</v>
      </c>
      <c r="F6" s="48">
        <v>173</v>
      </c>
      <c r="G6" s="152">
        <f>IF(OR(E6="",F6=""),"",PID_KVLohnLookup($A$1,E6,F6,LOHNTABELLE!$H$4))</f>
        <v>2021</v>
      </c>
      <c r="H6" s="153">
        <f>IF(AND(ISNUMBER(D6),ISNUMBER(F6)),ROUNDDOWN(MIN(IF(OR(ISBLANK(I6),I6=""),EOMONTH(DATE(EINSTELLUNG!$C$35,$A$1,1),0),I6)-MAX(D6,DATE(EINSTELLUNG!$C$35,$A$1,1))+1)/DAY(EOMONTH(DATE(EINSTELLUNG!$C$35,$A$1,1),0))*F6,2),"")</f>
        <v>173</v>
      </c>
      <c r="I6" s="49"/>
      <c r="J6" s="50"/>
      <c r="K6" s="152">
        <f t="shared" si="0"/>
        <v>0</v>
      </c>
      <c r="L6" s="15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51"/>
      <c r="N6" s="74"/>
      <c r="O6" s="266" t="str">
        <f>IF(Q5&lt;0, "Schlecht! Zu wenig Urlaub abgebaut.", IF(Q5&gt;0, "Gut! Mehr Urlaub abgebaut als aufgebaut.", ""))</f>
        <v>Schlecht! Zu wenig Urlaub abgebaut.</v>
      </c>
      <c r="P6" s="267"/>
      <c r="Q6" s="267"/>
      <c r="R6" s="268"/>
      <c r="S6" s="149"/>
      <c r="T6" s="149"/>
      <c r="U6" s="149"/>
      <c r="V6" s="149"/>
    </row>
    <row r="7" spans="1:28" ht="22" customHeight="1" thickBot="1">
      <c r="A7" s="151" t="s">
        <v>54</v>
      </c>
      <c r="B7" s="102">
        <v>401089</v>
      </c>
      <c r="C7" s="53" t="s">
        <v>241</v>
      </c>
      <c r="D7" s="54">
        <v>44868</v>
      </c>
      <c r="E7" s="55" t="s">
        <v>3</v>
      </c>
      <c r="F7" s="56">
        <v>173</v>
      </c>
      <c r="G7" s="152">
        <f>IF(OR(E7="",F7=""),"",PID_KVLohnLookup($A$1,E7,F7,LOHNTABELLE!$H$4))</f>
        <v>2082</v>
      </c>
      <c r="H7" s="153">
        <f>IF(AND(ISNUMBER(D7),ISNUMBER(F7)),ROUNDDOWN(MIN(IF(OR(ISBLANK(I7),I7=""),EOMONTH(DATE(EINSTELLUNG!$C$35,$A$1,1),0),I7)-MAX(D7,DATE(EINSTELLUNG!$C$35,$A$1,1))+1)/DAY(EOMONTH(DATE(EINSTELLUNG!$C$35,$A$1,1),0))*F7,2),"")</f>
        <v>173</v>
      </c>
      <c r="I7" s="57"/>
      <c r="J7" s="58"/>
      <c r="K7" s="152">
        <f t="shared" si="0"/>
        <v>0</v>
      </c>
      <c r="L7" s="15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9"/>
      <c r="N7" s="75"/>
      <c r="O7" s="149"/>
      <c r="P7" s="149"/>
      <c r="Q7" s="149"/>
      <c r="R7" s="149"/>
      <c r="S7" s="149"/>
      <c r="T7" s="149"/>
      <c r="U7" s="149"/>
      <c r="V7" s="149"/>
    </row>
    <row r="8" spans="1:28" ht="22" customHeight="1">
      <c r="A8" s="151" t="s">
        <v>55</v>
      </c>
      <c r="B8" s="101">
        <v>401138</v>
      </c>
      <c r="C8" s="45" t="s">
        <v>228</v>
      </c>
      <c r="D8" s="46">
        <v>42006</v>
      </c>
      <c r="E8" s="47" t="s">
        <v>4</v>
      </c>
      <c r="F8" s="48">
        <v>173</v>
      </c>
      <c r="G8" s="152">
        <f>IF(OR(E8="",F8=""),"",PID_KVLohnLookup($A$1,E8,F8,LOHNTABELLE!$H$4))</f>
        <v>2123</v>
      </c>
      <c r="H8" s="153">
        <f>IF(AND(ISNUMBER(D8),ISNUMBER(F8)),ROUNDDOWN(MIN(IF(OR(ISBLANK(I8),I8=""),EOMONTH(DATE(EINSTELLUNG!$C$35,$A$1,1),0),I8)-MAX(D8,DATE(EINSTELLUNG!$C$35,$A$1,1))+1)/DAY(EOMONTH(DATE(EINSTELLUNG!$C$35,$A$1,1),0))*F8,2),"")</f>
        <v>173</v>
      </c>
      <c r="I8" s="49"/>
      <c r="J8" s="50"/>
      <c r="K8" s="152">
        <f t="shared" si="0"/>
        <v>0</v>
      </c>
      <c r="L8" s="15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51"/>
      <c r="N8" s="74"/>
      <c r="O8" s="250" t="s">
        <v>56</v>
      </c>
      <c r="P8" s="251"/>
      <c r="Q8" s="252">
        <f>SUM(H3:H82)</f>
        <v>8989.34</v>
      </c>
      <c r="R8" s="253"/>
      <c r="S8" s="149"/>
      <c r="T8" s="149"/>
      <c r="U8" s="149"/>
      <c r="V8" s="149"/>
    </row>
    <row r="9" spans="1:28" ht="22" customHeight="1">
      <c r="A9" s="151" t="s">
        <v>57</v>
      </c>
      <c r="B9" s="102">
        <v>401197</v>
      </c>
      <c r="C9" s="53" t="s">
        <v>229</v>
      </c>
      <c r="D9" s="54">
        <v>42644</v>
      </c>
      <c r="E9" s="55" t="s">
        <v>3</v>
      </c>
      <c r="F9" s="56">
        <v>173</v>
      </c>
      <c r="G9" s="152">
        <f>IF(OR(E9="",F9=""),"",PID_KVLohnLookup($A$1,E9,F9,LOHNTABELLE!$H$4))</f>
        <v>2082</v>
      </c>
      <c r="H9" s="153">
        <f>IF(AND(ISNUMBER(D9),ISNUMBER(F9)),ROUNDDOWN(MIN(IF(OR(ISBLANK(I9),I9=""),EOMONTH(DATE(EINSTELLUNG!$C$35,$A$1,1),0),I9)-MAX(D9,DATE(EINSTELLUNG!$C$35,$A$1,1))+1)/DAY(EOMONTH(DATE(EINSTELLUNG!$C$35,$A$1,1),0))*F9,2),"")</f>
        <v>173</v>
      </c>
      <c r="I9" s="57"/>
      <c r="J9" s="58"/>
      <c r="K9" s="152">
        <f t="shared" si="0"/>
        <v>0</v>
      </c>
      <c r="L9" s="15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9"/>
      <c r="N9" s="75"/>
      <c r="O9" s="254" t="s">
        <v>58</v>
      </c>
      <c r="P9" s="255"/>
      <c r="Q9" s="269">
        <f>EINSTELLUNG!L24</f>
        <v>3</v>
      </c>
      <c r="R9" s="270"/>
      <c r="S9" s="158">
        <f>IFERROR(Q9/Q8, 0)</f>
        <v>3.3372861633890807E-4</v>
      </c>
      <c r="T9" s="149"/>
      <c r="U9" s="149"/>
      <c r="V9" s="149"/>
    </row>
    <row r="10" spans="1:28" ht="22" customHeight="1">
      <c r="A10" s="151" t="s">
        <v>59</v>
      </c>
      <c r="B10" s="101">
        <v>401214</v>
      </c>
      <c r="C10" s="45" t="s">
        <v>255</v>
      </c>
      <c r="D10" s="46">
        <v>45636</v>
      </c>
      <c r="E10" s="47" t="s">
        <v>3</v>
      </c>
      <c r="F10" s="48">
        <v>173</v>
      </c>
      <c r="G10" s="152">
        <f>IF(OR(E10="",F10=""),"",PID_KVLohnLookup($A$1,E10,F10,LOHNTABELLE!$H$4))</f>
        <v>2082</v>
      </c>
      <c r="H10" s="153">
        <f>IF(AND(ISNUMBER(D10),ISNUMBER(F10)),ROUNDDOWN(MIN(IF(OR(ISBLANK(I10),I10=""),EOMONTH(DATE(EINSTELLUNG!$C$35,$A$1,1),0),I10)-MAX(D10,DATE(EINSTELLUNG!$C$35,$A$1,1))+1)/DAY(EOMONTH(DATE(EINSTELLUNG!$C$35,$A$1,1),0))*F10,2),"")</f>
        <v>173</v>
      </c>
      <c r="I10" s="49"/>
      <c r="J10" s="50"/>
      <c r="K10" s="152">
        <f t="shared" si="0"/>
        <v>0</v>
      </c>
      <c r="L10" s="15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51"/>
      <c r="N10" s="74"/>
      <c r="O10" s="254" t="s">
        <v>60</v>
      </c>
      <c r="P10" s="255"/>
      <c r="Q10" s="269">
        <f>EINSTELLUNG!I24</f>
        <v>0</v>
      </c>
      <c r="R10" s="270"/>
      <c r="S10" s="149"/>
      <c r="T10" s="149"/>
      <c r="U10" s="149"/>
      <c r="V10" s="149"/>
    </row>
    <row r="11" spans="1:28" ht="22" customHeight="1">
      <c r="A11" s="151" t="s">
        <v>61</v>
      </c>
      <c r="B11" s="102">
        <v>401276</v>
      </c>
      <c r="C11" s="53" t="s">
        <v>230</v>
      </c>
      <c r="D11" s="54">
        <v>43252</v>
      </c>
      <c r="E11" s="55" t="s">
        <v>3</v>
      </c>
      <c r="F11" s="56">
        <v>173</v>
      </c>
      <c r="G11" s="152">
        <f>IF(OR(E11="",F11=""),"",PID_KVLohnLookup($A$1,E11,F11,LOHNTABELLE!$H$4))</f>
        <v>2082</v>
      </c>
      <c r="H11" s="153">
        <f>IF(AND(ISNUMBER(D11),ISNUMBER(F11)),ROUNDDOWN(MIN(IF(OR(ISBLANK(I11),I11=""),EOMONTH(DATE(EINSTELLUNG!$C$35,$A$1,1),0),I11)-MAX(D11,DATE(EINSTELLUNG!$C$35,$A$1,1))+1)/DAY(EOMONTH(DATE(EINSTELLUNG!$C$35,$A$1,1),0))*F11,2),"")</f>
        <v>173</v>
      </c>
      <c r="I11" s="57"/>
      <c r="J11" s="58"/>
      <c r="K11" s="152">
        <f t="shared" si="0"/>
        <v>0</v>
      </c>
      <c r="L11" s="15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9"/>
      <c r="N11" s="75"/>
      <c r="O11" s="254" t="s">
        <v>62</v>
      </c>
      <c r="P11" s="255"/>
      <c r="Q11" s="269">
        <f>P5</f>
        <v>600</v>
      </c>
      <c r="R11" s="270"/>
      <c r="S11" s="149"/>
      <c r="T11" s="149"/>
      <c r="U11" s="149"/>
      <c r="V11" s="149"/>
    </row>
    <row r="12" spans="1:28" ht="22" customHeight="1">
      <c r="A12" s="151" t="s">
        <v>63</v>
      </c>
      <c r="B12" s="101">
        <v>401276</v>
      </c>
      <c r="C12" s="45" t="s">
        <v>406</v>
      </c>
      <c r="D12" s="46">
        <v>38899</v>
      </c>
      <c r="E12" s="47" t="s">
        <v>2</v>
      </c>
      <c r="F12" s="48">
        <v>55</v>
      </c>
      <c r="G12" s="152">
        <f>IF(OR(E12="",F12=""),"",PID_KVLohnLookup($A$1,E12,F12,LOHNTABELLE!$H$4))</f>
        <v>666</v>
      </c>
      <c r="H12" s="153">
        <f>IF(AND(ISNUMBER(D12),ISNUMBER(F12)),ROUNDDOWN(MIN(IF(OR(ISBLANK(I12),I12=""),EOMONTH(DATE(EINSTELLUNG!$C$35,$A$1,1),0),I12)-MAX(D12,DATE(EINSTELLUNG!$C$35,$A$1,1))+1)/DAY(EOMONTH(DATE(EINSTELLUNG!$C$35,$A$1,1),0))*F12,2),"")</f>
        <v>55</v>
      </c>
      <c r="I12" s="49"/>
      <c r="J12" s="50"/>
      <c r="K12" s="152">
        <f t="shared" si="0"/>
        <v>0</v>
      </c>
      <c r="L12" s="15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51"/>
      <c r="N12" s="74"/>
      <c r="O12" s="254" t="s">
        <v>64</v>
      </c>
      <c r="P12" s="255"/>
      <c r="Q12" s="258">
        <v>-445</v>
      </c>
      <c r="R12" s="259"/>
      <c r="S12" s="149"/>
      <c r="T12" s="149"/>
      <c r="U12" s="149"/>
      <c r="V12" s="149"/>
    </row>
    <row r="13" spans="1:28" ht="22" customHeight="1">
      <c r="A13" s="151" t="s">
        <v>65</v>
      </c>
      <c r="B13" s="102">
        <v>401307</v>
      </c>
      <c r="C13" s="53" t="s">
        <v>231</v>
      </c>
      <c r="D13" s="54">
        <v>43571</v>
      </c>
      <c r="E13" s="55" t="s">
        <v>2</v>
      </c>
      <c r="F13" s="56">
        <v>55</v>
      </c>
      <c r="G13" s="152">
        <f>IF(OR(E13="",F13=""),"",PID_KVLohnLookup($A$1,E13,F13,LOHNTABELLE!$H$4))</f>
        <v>666</v>
      </c>
      <c r="H13" s="153">
        <f>IF(AND(ISNUMBER(D13),ISNUMBER(F13)),ROUNDDOWN(MIN(IF(OR(ISBLANK(I13),I13=""),EOMONTH(DATE(EINSTELLUNG!$C$35,$A$1,1),0),I13)-MAX(D13,DATE(EINSTELLUNG!$C$35,$A$1,1))+1)/DAY(EOMONTH(DATE(EINSTELLUNG!$C$35,$A$1,1),0))*F13,2),"")</f>
        <v>55</v>
      </c>
      <c r="I13" s="57"/>
      <c r="J13" s="58"/>
      <c r="K13" s="152">
        <f t="shared" si="0"/>
        <v>0</v>
      </c>
      <c r="L13" s="15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9"/>
      <c r="N13" s="75"/>
      <c r="O13" s="254" t="s">
        <v>66</v>
      </c>
      <c r="P13" s="255"/>
      <c r="Q13" s="269">
        <f>Q8-Q9-Q10-Q11-Q12</f>
        <v>8831.34</v>
      </c>
      <c r="R13" s="270"/>
      <c r="S13" s="149"/>
      <c r="T13" s="149"/>
      <c r="U13" s="149"/>
      <c r="V13" s="149"/>
    </row>
    <row r="14" spans="1:28" ht="22" customHeight="1">
      <c r="A14" s="151" t="s">
        <v>67</v>
      </c>
      <c r="B14" s="101">
        <v>401308</v>
      </c>
      <c r="C14" s="45" t="s">
        <v>232</v>
      </c>
      <c r="D14" s="46">
        <v>43579</v>
      </c>
      <c r="E14" s="47" t="s">
        <v>3</v>
      </c>
      <c r="F14" s="48">
        <v>173</v>
      </c>
      <c r="G14" s="152">
        <f>IF(OR(E14="",F14=""),"",PID_KVLohnLookup($A$1,E14,F14,LOHNTABELLE!$H$4))</f>
        <v>2082</v>
      </c>
      <c r="H14" s="153">
        <f>IF(AND(ISNUMBER(D14),ISNUMBER(F14)),ROUNDDOWN(MIN(IF(OR(ISBLANK(I14),I14=""),EOMONTH(DATE(EINSTELLUNG!$C$35,$A$1,1),0),I14)-MAX(D14,DATE(EINSTELLUNG!$C$35,$A$1,1))+1)/DAY(EOMONTH(DATE(EINSTELLUNG!$C$35,$A$1,1),0))*F14,2),"")</f>
        <v>173</v>
      </c>
      <c r="I14" s="49"/>
      <c r="J14" s="50"/>
      <c r="K14" s="152">
        <f t="shared" si="0"/>
        <v>0</v>
      </c>
      <c r="L14" s="15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51"/>
      <c r="N14" s="74"/>
      <c r="O14" s="254" t="s">
        <v>68</v>
      </c>
      <c r="P14" s="255"/>
      <c r="Q14" s="269">
        <f>EINSTELLUNG!L8</f>
        <v>9300</v>
      </c>
      <c r="R14" s="270"/>
      <c r="S14" s="149"/>
      <c r="T14" s="149"/>
      <c r="U14" s="149"/>
      <c r="V14" s="149"/>
    </row>
    <row r="15" spans="1:28" ht="22" customHeight="1" thickBot="1">
      <c r="A15" s="151" t="s">
        <v>69</v>
      </c>
      <c r="B15" s="102">
        <v>401389</v>
      </c>
      <c r="C15" s="53" t="s">
        <v>234</v>
      </c>
      <c r="D15" s="54">
        <v>44384</v>
      </c>
      <c r="E15" s="55" t="s">
        <v>4</v>
      </c>
      <c r="F15" s="56">
        <v>151.38</v>
      </c>
      <c r="G15" s="152">
        <f>IF(OR(E15="",F15=""),"",PID_KVLohnLookup($A$1,E15,F15,LOHNTABELLE!$H$4))</f>
        <v>1857.63</v>
      </c>
      <c r="H15" s="153">
        <f>IF(AND(ISNUMBER(D15),ISNUMBER(F15)),ROUNDDOWN(MIN(IF(OR(ISBLANK(I15),I15=""),EOMONTH(DATE(EINSTELLUNG!$C$35,$A$1,1),0),I15)-MAX(D15,DATE(EINSTELLUNG!$C$35,$A$1,1))+1)/DAY(EOMONTH(DATE(EINSTELLUNG!$C$35,$A$1,1),0))*F15,2),"")</f>
        <v>151.38</v>
      </c>
      <c r="I15" s="57"/>
      <c r="J15" s="58"/>
      <c r="K15" s="152">
        <f t="shared" si="0"/>
        <v>0</v>
      </c>
      <c r="L15" s="15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1857.63</v>
      </c>
      <c r="M15" s="59"/>
      <c r="N15" s="75"/>
      <c r="O15" s="240" t="s">
        <v>70</v>
      </c>
      <c r="P15" s="241"/>
      <c r="Q15" s="242">
        <f>Q13-Q14</f>
        <v>-468.65999999999985</v>
      </c>
      <c r="R15" s="243"/>
      <c r="S15" s="160"/>
      <c r="T15" s="160"/>
      <c r="U15" s="160"/>
      <c r="V15" s="149"/>
    </row>
    <row r="16" spans="1:28" ht="22" customHeight="1" thickBot="1">
      <c r="A16" s="151" t="s">
        <v>71</v>
      </c>
      <c r="B16" s="101">
        <v>401394</v>
      </c>
      <c r="C16" s="45" t="s">
        <v>233</v>
      </c>
      <c r="D16" s="46">
        <v>44379</v>
      </c>
      <c r="E16" s="47" t="s">
        <v>2</v>
      </c>
      <c r="F16" s="48">
        <v>173</v>
      </c>
      <c r="G16" s="152">
        <f>IF(OR(E16="",F16=""),"",PID_KVLohnLookup($A$1,E16,F16,LOHNTABELLE!$H$4))</f>
        <v>2021</v>
      </c>
      <c r="H16" s="153">
        <f>IF(AND(ISNUMBER(D16),ISNUMBER(F16)),ROUNDDOWN(MIN(IF(OR(ISBLANK(I16),I16=""),EOMONTH(DATE(EINSTELLUNG!$C$35,$A$1,1),0),I16)-MAX(D16,DATE(EINSTELLUNG!$C$35,$A$1,1))+1)/DAY(EOMONTH(DATE(EINSTELLUNG!$C$35,$A$1,1),0))*F16,2),"")</f>
        <v>173</v>
      </c>
      <c r="I16" s="49"/>
      <c r="J16" s="50"/>
      <c r="K16" s="152">
        <f t="shared" si="0"/>
        <v>0</v>
      </c>
      <c r="L16" s="15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51"/>
      <c r="N16" s="74"/>
      <c r="O16" s="319" t="str">
        <f>IF(Q15&lt;0, "Schlecht! Zu wenig Stunden für Dienstplan.", IF(Q15&gt;0, "Du hast mehr als genug Stunden für Dienstplan.", ""))</f>
        <v>Schlecht! Zu wenig Stunden für Dienstplan.</v>
      </c>
      <c r="P16" s="245"/>
      <c r="Q16" s="245"/>
      <c r="R16" s="246"/>
      <c r="S16" s="161"/>
      <c r="T16" s="161"/>
      <c r="U16" s="161"/>
      <c r="V16" s="161"/>
      <c r="W16" s="162"/>
    </row>
    <row r="17" spans="1:29" ht="22" customHeight="1">
      <c r="A17" s="151" t="s">
        <v>72</v>
      </c>
      <c r="B17" s="102">
        <v>401406</v>
      </c>
      <c r="C17" s="53" t="s">
        <v>407</v>
      </c>
      <c r="D17" s="57">
        <v>36850</v>
      </c>
      <c r="E17" s="55" t="s">
        <v>10</v>
      </c>
      <c r="F17" s="56">
        <v>151.38</v>
      </c>
      <c r="G17" s="152">
        <f>IF(OR(E17="",F17=""),"",PID_KVLohnLookup($A$1,E17,F17,LOHNTABELLE!$H$4))</f>
        <v>2012.5</v>
      </c>
      <c r="H17" s="153">
        <f>IF(AND(ISNUMBER(D17),ISNUMBER(F17)),ROUNDDOWN(MIN(IF(OR(ISBLANK(I17),I17=""),EOMONTH(DATE(EINSTELLUNG!$C$35,$A$1,1),0),I17)-MAX(D17,DATE(EINSTELLUNG!$C$35,$A$1,1))+1)/DAY(EOMONTH(DATE(EINSTELLUNG!$C$35,$A$1,1),0))*F17,2),"")</f>
        <v>151.38</v>
      </c>
      <c r="I17" s="57"/>
      <c r="J17" s="58"/>
      <c r="K17" s="152">
        <f t="shared" si="0"/>
        <v>0</v>
      </c>
      <c r="L17" s="15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9"/>
      <c r="N17" s="75"/>
      <c r="O17" s="316" t="s">
        <v>73</v>
      </c>
      <c r="P17" s="251"/>
      <c r="Q17" s="260">
        <f>SUM(L3:L82)</f>
        <v>107871.0341935484</v>
      </c>
      <c r="R17" s="261"/>
      <c r="S17" s="149"/>
      <c r="T17" s="149"/>
      <c r="U17" s="149"/>
      <c r="V17" s="149"/>
      <c r="W17" s="162"/>
    </row>
    <row r="18" spans="1:29" ht="22" customHeight="1">
      <c r="A18" s="151" t="s">
        <v>74</v>
      </c>
      <c r="B18" s="101">
        <v>401432</v>
      </c>
      <c r="C18" s="45" t="s">
        <v>235</v>
      </c>
      <c r="D18" s="46">
        <v>44441</v>
      </c>
      <c r="E18" s="47" t="s">
        <v>2</v>
      </c>
      <c r="F18" s="48">
        <v>173</v>
      </c>
      <c r="G18" s="152">
        <f>IF(OR(E18="",F18=""),"",PID_KVLohnLookup($A$1,E18,F18,LOHNTABELLE!$H$4))</f>
        <v>2021</v>
      </c>
      <c r="H18" s="153">
        <f>IF(AND(ISNUMBER(D18),ISNUMBER(F18)),ROUNDDOWN(MIN(IF(OR(ISBLANK(I18),I18=""),EOMONTH(DATE(EINSTELLUNG!$C$35,$A$1,1),0),I18)-MAX(D18,DATE(EINSTELLUNG!$C$35,$A$1,1))+1)/DAY(EOMONTH(DATE(EINSTELLUNG!$C$35,$A$1,1),0))*F18,2),"")</f>
        <v>173</v>
      </c>
      <c r="I18" s="49"/>
      <c r="J18" s="50"/>
      <c r="K18" s="152">
        <f t="shared" si="0"/>
        <v>0</v>
      </c>
      <c r="L18" s="15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51"/>
      <c r="N18" s="74"/>
      <c r="O18" s="308" t="s">
        <v>385</v>
      </c>
      <c r="P18" s="249"/>
      <c r="Q18" s="238">
        <v>20</v>
      </c>
      <c r="R18" s="239"/>
      <c r="S18" s="149"/>
      <c r="T18" s="149"/>
      <c r="U18" s="149"/>
      <c r="V18" s="149"/>
    </row>
    <row r="19" spans="1:29" ht="22" customHeight="1">
      <c r="A19" s="151" t="s">
        <v>75</v>
      </c>
      <c r="B19" s="102">
        <v>401476</v>
      </c>
      <c r="C19" s="53" t="s">
        <v>237</v>
      </c>
      <c r="D19" s="54">
        <v>44504</v>
      </c>
      <c r="E19" s="55" t="s">
        <v>2</v>
      </c>
      <c r="F19" s="56">
        <v>173</v>
      </c>
      <c r="G19" s="152">
        <f>IF(OR(E19="",F19=""),"",PID_KVLohnLookup($A$1,E19,F19,LOHNTABELLE!$H$4))</f>
        <v>2021</v>
      </c>
      <c r="H19" s="153">
        <f>IF(AND(ISNUMBER(D19),ISNUMBER(F19)),ROUNDDOWN(MIN(IF(OR(ISBLANK(I19),I19=""),EOMONTH(DATE(EINSTELLUNG!$C$35,$A$1,1),0),I19)-MAX(D19,DATE(EINSTELLUNG!$C$35,$A$1,1))+1)/DAY(EOMONTH(DATE(EINSTELLUNG!$C$35,$A$1,1),0))*F19,2),"")</f>
        <v>173</v>
      </c>
      <c r="I19" s="57"/>
      <c r="J19" s="58"/>
      <c r="K19" s="152">
        <f t="shared" si="0"/>
        <v>0</v>
      </c>
      <c r="L19" s="15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9"/>
      <c r="N19" s="75"/>
      <c r="O19" s="308" t="s">
        <v>296</v>
      </c>
      <c r="P19" s="249"/>
      <c r="Q19" s="238">
        <v>333</v>
      </c>
      <c r="R19" s="239"/>
      <c r="S19" s="149"/>
      <c r="T19" s="149"/>
      <c r="U19" s="149"/>
      <c r="V19" s="149"/>
    </row>
    <row r="20" spans="1:29" ht="22" customHeight="1">
      <c r="A20" s="151" t="s">
        <v>76</v>
      </c>
      <c r="B20" s="101">
        <v>401479</v>
      </c>
      <c r="C20" s="45" t="s">
        <v>238</v>
      </c>
      <c r="D20" s="49">
        <v>44511</v>
      </c>
      <c r="E20" s="47" t="s">
        <v>6</v>
      </c>
      <c r="F20" s="48">
        <v>173</v>
      </c>
      <c r="G20" s="152">
        <f>IF(OR(E20="",F20=""),"",PID_KVLohnLookup($A$1,E20,F20,LOHNTABELLE!$H$4))</f>
        <v>2160</v>
      </c>
      <c r="H20" s="153">
        <f>IF(AND(ISNUMBER(D20),ISNUMBER(F20)),ROUNDDOWN(MIN(IF(OR(ISBLANK(I20),I20=""),EOMONTH(DATE(EINSTELLUNG!$C$35,$A$1,1),0),I20)-MAX(D20,DATE(EINSTELLUNG!$C$35,$A$1,1))+1)/DAY(EOMONTH(DATE(EINSTELLUNG!$C$35,$A$1,1),0))*F20,2),"")</f>
        <v>173</v>
      </c>
      <c r="I20" s="49"/>
      <c r="J20" s="50"/>
      <c r="K20" s="152">
        <f t="shared" si="0"/>
        <v>0</v>
      </c>
      <c r="L20" s="15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51"/>
      <c r="N20" s="74"/>
      <c r="O20" s="308" t="s">
        <v>296</v>
      </c>
      <c r="P20" s="249"/>
      <c r="Q20" s="238">
        <v>35</v>
      </c>
      <c r="R20" s="239"/>
      <c r="S20" s="149"/>
      <c r="T20" s="149"/>
      <c r="U20" s="149"/>
      <c r="V20" s="149"/>
    </row>
    <row r="21" spans="1:29" ht="22" customHeight="1">
      <c r="A21" s="151" t="s">
        <v>77</v>
      </c>
      <c r="B21" s="102">
        <v>401481</v>
      </c>
      <c r="C21" s="53" t="s">
        <v>239</v>
      </c>
      <c r="D21" s="57">
        <v>44531</v>
      </c>
      <c r="E21" s="55" t="s">
        <v>3</v>
      </c>
      <c r="F21" s="56">
        <v>173</v>
      </c>
      <c r="G21" s="152">
        <f>IF(OR(E21="",F21=""),"",PID_KVLohnLookup($A$1,E21,F21,LOHNTABELLE!$H$4))</f>
        <v>2082</v>
      </c>
      <c r="H21" s="153">
        <f>IF(AND(ISNUMBER(D21),ISNUMBER(F21)),ROUNDDOWN(MIN(IF(OR(ISBLANK(I21),I21=""),EOMONTH(DATE(EINSTELLUNG!$C$35,$A$1,1),0),I21)-MAX(D21,DATE(EINSTELLUNG!$C$35,$A$1,1))+1)/DAY(EOMONTH(DATE(EINSTELLUNG!$C$35,$A$1,1),0))*F21,2),"")</f>
        <v>173</v>
      </c>
      <c r="I21" s="57"/>
      <c r="J21" s="58"/>
      <c r="K21" s="152">
        <f t="shared" si="0"/>
        <v>0</v>
      </c>
      <c r="L21" s="15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9"/>
      <c r="N21" s="75"/>
      <c r="O21" s="308" t="s">
        <v>296</v>
      </c>
      <c r="P21" s="249"/>
      <c r="Q21" s="238">
        <v>100</v>
      </c>
      <c r="R21" s="239"/>
      <c r="S21" s="149"/>
      <c r="T21" s="149"/>
      <c r="U21" s="149"/>
      <c r="V21" s="149"/>
    </row>
    <row r="22" spans="1:29" ht="22" customHeight="1">
      <c r="A22" s="151" t="s">
        <v>78</v>
      </c>
      <c r="B22" s="101">
        <v>401558</v>
      </c>
      <c r="C22" s="45" t="s">
        <v>236</v>
      </c>
      <c r="D22" s="49">
        <v>44460</v>
      </c>
      <c r="E22" s="47" t="s">
        <v>2</v>
      </c>
      <c r="F22" s="48">
        <v>173</v>
      </c>
      <c r="G22" s="152">
        <f>IF(OR(E22="",F22=""),"",PID_KVLohnLookup($A$1,E22,F22,LOHNTABELLE!$H$4))</f>
        <v>2021</v>
      </c>
      <c r="H22" s="153">
        <f>IF(AND(ISNUMBER(D22),ISNUMBER(F22)),ROUNDDOWN(MIN(IF(OR(ISBLANK(I22),I22=""),EOMONTH(DATE(EINSTELLUNG!$C$35,$A$1,1),0),I22)-MAX(D22,DATE(EINSTELLUNG!$C$35,$A$1,1))+1)/DAY(EOMONTH(DATE(EINSTELLUNG!$C$35,$A$1,1),0))*F22,2),"")</f>
        <v>173</v>
      </c>
      <c r="I22" s="49"/>
      <c r="J22" s="50"/>
      <c r="K22" s="152">
        <f t="shared" si="0"/>
        <v>0</v>
      </c>
      <c r="L22" s="15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51"/>
      <c r="N22" s="74"/>
      <c r="O22" s="308" t="s">
        <v>296</v>
      </c>
      <c r="P22" s="249"/>
      <c r="Q22" s="238"/>
      <c r="R22" s="239"/>
      <c r="S22" s="149"/>
      <c r="T22" s="149"/>
      <c r="U22" s="149"/>
      <c r="V22" s="149"/>
    </row>
    <row r="23" spans="1:29" ht="22" customHeight="1">
      <c r="A23" s="151" t="s">
        <v>79</v>
      </c>
      <c r="B23" s="102">
        <v>401564</v>
      </c>
      <c r="C23" s="53" t="s">
        <v>240</v>
      </c>
      <c r="D23" s="54">
        <v>44824</v>
      </c>
      <c r="E23" s="55" t="s">
        <v>2</v>
      </c>
      <c r="F23" s="56">
        <v>151.38</v>
      </c>
      <c r="G23" s="152">
        <f>IF(OR(E23="",F23=""),"",PID_KVLohnLookup($A$1,E23,F23,LOHNTABELLE!$H$4))</f>
        <v>1768.38</v>
      </c>
      <c r="H23" s="153">
        <f>IF(AND(ISNUMBER(D23),ISNUMBER(F23)),ROUNDDOWN(MIN(IF(OR(ISBLANK(I23),I23=""),EOMONTH(DATE(EINSTELLUNG!$C$35,$A$1,1),0),I23)-MAX(D23,DATE(EINSTELLUNG!$C$35,$A$1,1))+1)/DAY(EOMONTH(DATE(EINSTELLUNG!$C$35,$A$1,1),0))*F23,2),"")</f>
        <v>151.38</v>
      </c>
      <c r="I23" s="57"/>
      <c r="J23" s="58"/>
      <c r="K23" s="152">
        <f t="shared" si="0"/>
        <v>0</v>
      </c>
      <c r="L23" s="15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9"/>
      <c r="N23" s="75"/>
      <c r="O23" s="308" t="s">
        <v>296</v>
      </c>
      <c r="P23" s="249"/>
      <c r="Q23" s="238">
        <v>5000</v>
      </c>
      <c r="R23" s="239"/>
      <c r="S23" s="149"/>
      <c r="T23" s="149"/>
      <c r="U23" s="149"/>
      <c r="V23" s="149"/>
      <c r="W23" s="162"/>
    </row>
    <row r="24" spans="1:29" ht="22" customHeight="1">
      <c r="A24" s="151" t="s">
        <v>80</v>
      </c>
      <c r="B24" s="101">
        <v>401583</v>
      </c>
      <c r="C24" s="60" t="s">
        <v>242</v>
      </c>
      <c r="D24" s="49">
        <v>44900</v>
      </c>
      <c r="E24" s="47" t="s">
        <v>13</v>
      </c>
      <c r="F24" s="48">
        <v>173</v>
      </c>
      <c r="G24" s="152">
        <f>IF(OR(E24="",F24=""),"",PID_KVLohnLookup($A$1,E24,F24,LOHNTABELLE!$H$4))</f>
        <v>2328</v>
      </c>
      <c r="H24" s="153">
        <f>IF(AND(ISNUMBER(D24),ISNUMBER(F24)),ROUNDDOWN(MIN(IF(OR(ISBLANK(I24),I24=""),EOMONTH(DATE(EINSTELLUNG!$C$35,$A$1,1),0),I24)-MAX(D24,DATE(EINSTELLUNG!$C$35,$A$1,1))+1)/DAY(EOMONTH(DATE(EINSTELLUNG!$C$35,$A$1,1),0))*F24,2),"")</f>
        <v>173</v>
      </c>
      <c r="I24" s="49"/>
      <c r="J24" s="50"/>
      <c r="K24" s="152">
        <f t="shared" si="0"/>
        <v>0</v>
      </c>
      <c r="L24" s="15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51"/>
      <c r="N24" s="74"/>
      <c r="O24" s="308"/>
      <c r="P24" s="249"/>
      <c r="Q24" s="238"/>
      <c r="R24" s="239"/>
      <c r="S24" s="149"/>
      <c r="T24" s="149"/>
      <c r="U24" s="149"/>
      <c r="V24" s="149"/>
      <c r="W24" s="162"/>
    </row>
    <row r="25" spans="1:29" ht="22" customHeight="1">
      <c r="A25" s="151" t="s">
        <v>81</v>
      </c>
      <c r="B25" s="102">
        <v>401589</v>
      </c>
      <c r="C25" s="53" t="s">
        <v>243</v>
      </c>
      <c r="D25" s="54">
        <v>44926</v>
      </c>
      <c r="E25" s="55" t="s">
        <v>10</v>
      </c>
      <c r="F25" s="56">
        <v>173</v>
      </c>
      <c r="G25" s="152">
        <f>IF(OR(E25="",F25=""),"",PID_KVLohnLookup($A$1,E25,F25,LOHNTABELLE!$H$4))</f>
        <v>2300</v>
      </c>
      <c r="H25" s="153">
        <f>IF(AND(ISNUMBER(D25),ISNUMBER(F25)),ROUNDDOWN(MIN(IF(OR(ISBLANK(I25),I25=""),EOMONTH(DATE(EINSTELLUNG!$C$35,$A$1,1),0),I25)-MAX(D25,DATE(EINSTELLUNG!$C$35,$A$1,1))+1)/DAY(EOMONTH(DATE(EINSTELLUNG!$C$35,$A$1,1),0))*F25,2),"")</f>
        <v>173</v>
      </c>
      <c r="I25" s="57"/>
      <c r="J25" s="58"/>
      <c r="K25" s="152">
        <f t="shared" si="0"/>
        <v>0</v>
      </c>
      <c r="L25" s="15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9"/>
      <c r="N25" s="75"/>
      <c r="O25" s="308"/>
      <c r="P25" s="249"/>
      <c r="Q25" s="238"/>
      <c r="R25" s="239"/>
      <c r="S25" s="149"/>
      <c r="T25" s="149"/>
      <c r="U25" s="149"/>
      <c r="V25" s="149"/>
    </row>
    <row r="26" spans="1:29" ht="22" customHeight="1">
      <c r="A26" s="151" t="s">
        <v>82</v>
      </c>
      <c r="B26" s="101">
        <v>401602</v>
      </c>
      <c r="C26" s="45" t="s">
        <v>244</v>
      </c>
      <c r="D26" s="46">
        <v>45975</v>
      </c>
      <c r="E26" s="47" t="s">
        <v>2</v>
      </c>
      <c r="F26" s="48">
        <v>169</v>
      </c>
      <c r="G26" s="152">
        <f>IF(OR(E26="",F26=""),"",PID_KVLohnLookup($A$1,E26,F26,LOHNTABELLE!$H$4))</f>
        <v>2000</v>
      </c>
      <c r="H26" s="153">
        <f>IF(AND(ISNUMBER(D26),ISNUMBER(F26)),ROUNDDOWN(MIN(IF(OR(ISBLANK(I26),I26=""),EOMONTH(DATE(EINSTELLUNG!$C$35,$A$1,1),0),I26)-MAX(D26,DATE(EINSTELLUNG!$C$35,$A$1,1))+1)/DAY(EOMONTH(DATE(EINSTELLUNG!$C$35,$A$1,1),0))*F26,2),"")</f>
        <v>169</v>
      </c>
      <c r="I26" s="49"/>
      <c r="J26" s="50"/>
      <c r="K26" s="152">
        <f t="shared" si="0"/>
        <v>0</v>
      </c>
      <c r="L26" s="15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51"/>
      <c r="N26" s="74"/>
      <c r="O26" s="308"/>
      <c r="P26" s="249"/>
      <c r="Q26" s="238"/>
      <c r="R26" s="239"/>
      <c r="S26" s="149"/>
      <c r="T26" s="149"/>
      <c r="U26" s="149"/>
      <c r="V26" s="149"/>
    </row>
    <row r="27" spans="1:29" ht="22" customHeight="1">
      <c r="A27" s="151" t="s">
        <v>83</v>
      </c>
      <c r="B27" s="102">
        <v>401605</v>
      </c>
      <c r="C27" s="53" t="s">
        <v>245</v>
      </c>
      <c r="D27" s="54">
        <v>44986</v>
      </c>
      <c r="E27" s="55" t="s">
        <v>2</v>
      </c>
      <c r="F27" s="56">
        <v>173</v>
      </c>
      <c r="G27" s="152">
        <f>IF(OR(E27="",F27=""),"",PID_KVLohnLookup($A$1,E27,F27,LOHNTABELLE!$H$4))</f>
        <v>2021</v>
      </c>
      <c r="H27" s="153">
        <f>IF(AND(ISNUMBER(D27),ISNUMBER(F27)),ROUNDDOWN(MIN(IF(OR(ISBLANK(I27),I27=""),EOMONTH(DATE(EINSTELLUNG!$C$35,$A$1,1),0),I27)-MAX(D27,DATE(EINSTELLUNG!$C$35,$A$1,1))+1)/DAY(EOMONTH(DATE(EINSTELLUNG!$C$35,$A$1,1),0))*F27,2),"")</f>
        <v>173</v>
      </c>
      <c r="I27" s="57"/>
      <c r="J27" s="58"/>
      <c r="K27" s="152">
        <f t="shared" si="0"/>
        <v>0</v>
      </c>
      <c r="L27" s="15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9"/>
      <c r="N27" s="75"/>
      <c r="O27" s="308"/>
      <c r="P27" s="249"/>
      <c r="Q27" s="238"/>
      <c r="R27" s="239"/>
      <c r="S27" s="247" t="s">
        <v>84</v>
      </c>
      <c r="T27" s="247"/>
      <c r="U27" s="247"/>
      <c r="V27" s="247"/>
    </row>
    <row r="28" spans="1:29" ht="22" customHeight="1">
      <c r="A28" s="151" t="s">
        <v>85</v>
      </c>
      <c r="B28" s="101">
        <v>401605</v>
      </c>
      <c r="C28" s="45" t="s">
        <v>407</v>
      </c>
      <c r="D28" s="46">
        <v>36850</v>
      </c>
      <c r="E28" s="47" t="s">
        <v>10</v>
      </c>
      <c r="F28" s="48">
        <v>151.38</v>
      </c>
      <c r="G28" s="152">
        <f>IF(OR(E28="",F28=""),"",PID_KVLohnLookup($A$1,E28,F28,LOHNTABELLE!$H$4))</f>
        <v>2012.5</v>
      </c>
      <c r="H28" s="153">
        <f>IF(AND(ISNUMBER(D28),ISNUMBER(F28)),ROUNDDOWN(MIN(IF(OR(ISBLANK(I28),I28=""),EOMONTH(DATE(EINSTELLUNG!$C$35,$A$1,1),0),I28)-MAX(D28,DATE(EINSTELLUNG!$C$35,$A$1,1))+1)/DAY(EOMONTH(DATE(EINSTELLUNG!$C$35,$A$1,1),0))*F28,2),"")</f>
        <v>151.38</v>
      </c>
      <c r="I28" s="49"/>
      <c r="J28" s="50"/>
      <c r="K28" s="152">
        <f t="shared" si="0"/>
        <v>0</v>
      </c>
      <c r="L28" s="15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51"/>
      <c r="N28" s="74"/>
      <c r="O28" s="308"/>
      <c r="P28" s="249"/>
      <c r="Q28" s="238"/>
      <c r="R28" s="239"/>
      <c r="S28" s="149"/>
      <c r="T28" s="149"/>
      <c r="U28" s="149"/>
      <c r="V28" s="149"/>
    </row>
    <row r="29" spans="1:29" ht="22" customHeight="1" thickBot="1">
      <c r="A29" s="151" t="s">
        <v>86</v>
      </c>
      <c r="B29" s="102">
        <v>401626</v>
      </c>
      <c r="C29" s="53" t="s">
        <v>246</v>
      </c>
      <c r="D29" s="54">
        <v>45063</v>
      </c>
      <c r="E29" s="55" t="s">
        <v>2</v>
      </c>
      <c r="F29" s="56">
        <v>173</v>
      </c>
      <c r="G29" s="152">
        <f>IF(OR(E29="",F29=""),"",PID_KVLohnLookup($A$1,E29,F29,LOHNTABELLE!$H$4))</f>
        <v>2021</v>
      </c>
      <c r="H29" s="153">
        <f>IF(AND(ISNUMBER(D29),ISNUMBER(F29)),ROUNDDOWN(MIN(IF(OR(ISBLANK(I29),I29=""),EOMONTH(DATE(EINSTELLUNG!$C$35,$A$1,1),0),I29)-MAX(D29,DATE(EINSTELLUNG!$C$35,$A$1,1))+1)/DAY(EOMONTH(DATE(EINSTELLUNG!$C$35,$A$1,1),0))*F29,2),"")</f>
        <v>173</v>
      </c>
      <c r="I29" s="57"/>
      <c r="J29" s="58"/>
      <c r="K29" s="152">
        <f t="shared" si="0"/>
        <v>0</v>
      </c>
      <c r="L29" s="15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9"/>
      <c r="N29" s="75"/>
      <c r="O29" s="312" t="s">
        <v>87</v>
      </c>
      <c r="P29" s="241"/>
      <c r="Q29" s="295">
        <f>EINSTELLUNG!O8</f>
        <v>1250</v>
      </c>
      <c r="R29" s="296"/>
      <c r="S29" s="149"/>
      <c r="T29" s="149"/>
      <c r="U29" s="149"/>
      <c r="V29" s="149"/>
    </row>
    <row r="30" spans="1:29" ht="22" customHeight="1" thickBot="1">
      <c r="A30" s="151" t="s">
        <v>88</v>
      </c>
      <c r="B30" s="101">
        <v>401633</v>
      </c>
      <c r="C30" s="45" t="s">
        <v>247</v>
      </c>
      <c r="D30" s="46">
        <v>45089</v>
      </c>
      <c r="E30" s="47" t="s">
        <v>10</v>
      </c>
      <c r="F30" s="48">
        <v>173</v>
      </c>
      <c r="G30" s="152">
        <f>IF(OR(E30="",F30=""),"",PID_KVLohnLookup($A$1,E30,F30,LOHNTABELLE!$H$4))</f>
        <v>2300</v>
      </c>
      <c r="H30" s="153">
        <f>IF(AND(ISNUMBER(D30),ISNUMBER(F30)),ROUNDDOWN(MIN(IF(OR(ISBLANK(I30),I30=""),EOMONTH(DATE(EINSTELLUNG!$C$35,$A$1,1),0),I30)-MAX(D30,DATE(EINSTELLUNG!$C$35,$A$1,1))+1)/DAY(EOMONTH(DATE(EINSTELLUNG!$C$35,$A$1,1),0))*F30,2),"")</f>
        <v>173</v>
      </c>
      <c r="I30" s="49"/>
      <c r="J30" s="50"/>
      <c r="K30" s="152">
        <f t="shared" si="0"/>
        <v>0</v>
      </c>
      <c r="L30" s="15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51"/>
      <c r="N30" s="74"/>
      <c r="O30" s="149"/>
      <c r="P30" s="149"/>
      <c r="Q30" s="149"/>
      <c r="R30" s="149"/>
      <c r="S30" s="149"/>
      <c r="T30" s="149"/>
      <c r="U30" s="149"/>
      <c r="V30" s="149"/>
      <c r="W30" s="163"/>
      <c r="X30" s="163"/>
      <c r="Y30" s="163"/>
      <c r="Z30" s="163"/>
      <c r="AA30" s="163"/>
      <c r="AB30" s="163"/>
      <c r="AC30" s="163"/>
    </row>
    <row r="31" spans="1:29" ht="22" customHeight="1" thickBot="1">
      <c r="A31" s="151" t="s">
        <v>89</v>
      </c>
      <c r="B31" s="102">
        <v>401647</v>
      </c>
      <c r="C31" s="53" t="s">
        <v>248</v>
      </c>
      <c r="D31" s="54">
        <v>45182</v>
      </c>
      <c r="E31" s="55" t="s">
        <v>2</v>
      </c>
      <c r="F31" s="56">
        <v>173</v>
      </c>
      <c r="G31" s="152">
        <f>IF(OR(E31="",F31=""),"",PID_KVLohnLookup($A$1,E31,F31,LOHNTABELLE!$H$4))</f>
        <v>2021</v>
      </c>
      <c r="H31" s="153">
        <f>IF(AND(ISNUMBER(D31),ISNUMBER(F31)),ROUNDDOWN(MIN(IF(OR(ISBLANK(I31),I31=""),EOMONTH(DATE(EINSTELLUNG!$C$35,$A$1,1),0),I31)-MAX(D31,DATE(EINSTELLUNG!$C$35,$A$1,1))+1)/DAY(EOMONTH(DATE(EINSTELLUNG!$C$35,$A$1,1),0))*F31,2),"")</f>
        <v>173</v>
      </c>
      <c r="I31" s="57"/>
      <c r="J31" s="58"/>
      <c r="K31" s="152">
        <f t="shared" si="0"/>
        <v>0</v>
      </c>
      <c r="L31" s="15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9"/>
      <c r="N31" s="75"/>
      <c r="O31" s="309">
        <v>0</v>
      </c>
      <c r="P31" s="300"/>
      <c r="Q31" s="284">
        <v>0</v>
      </c>
      <c r="R31" s="285"/>
      <c r="S31" s="149"/>
      <c r="T31" s="149"/>
      <c r="U31" s="149"/>
      <c r="V31" s="149"/>
    </row>
    <row r="32" spans="1:29" ht="22" customHeight="1" thickBot="1">
      <c r="A32" s="151" t="s">
        <v>91</v>
      </c>
      <c r="B32" s="101">
        <v>401661</v>
      </c>
      <c r="C32" s="45" t="s">
        <v>249</v>
      </c>
      <c r="D32" s="46">
        <v>45261</v>
      </c>
      <c r="E32" s="47" t="s">
        <v>2</v>
      </c>
      <c r="F32" s="48">
        <v>173</v>
      </c>
      <c r="G32" s="152">
        <f>IF(OR(E32="",F32=""),"",PID_KVLohnLookup($A$1,E32,F32,LOHNTABELLE!$H$4))</f>
        <v>2021</v>
      </c>
      <c r="H32" s="153">
        <f>IF(AND(ISNUMBER(D32),ISNUMBER(F32)),ROUNDDOWN(MIN(IF(OR(ISBLANK(I32),I32=""),EOMONTH(DATE(EINSTELLUNG!$C$35,$A$1,1),0),I32)-MAX(D32,DATE(EINSTELLUNG!$C$35,$A$1,1))+1)/DAY(EOMONTH(DATE(EINSTELLUNG!$C$35,$A$1,1),0))*F32,2),"")</f>
        <v>173</v>
      </c>
      <c r="I32" s="49"/>
      <c r="J32" s="50"/>
      <c r="K32" s="152">
        <f t="shared" si="0"/>
        <v>0</v>
      </c>
      <c r="L32" s="15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51"/>
      <c r="N32" s="74"/>
      <c r="O32" s="149"/>
      <c r="P32" s="149"/>
      <c r="Q32" s="149"/>
      <c r="R32" s="149"/>
      <c r="S32" s="149"/>
      <c r="T32" s="149"/>
      <c r="U32" s="149"/>
      <c r="V32" s="149"/>
    </row>
    <row r="33" spans="1:22" ht="22" customHeight="1">
      <c r="A33" s="151" t="s">
        <v>92</v>
      </c>
      <c r="B33" s="102">
        <v>401670</v>
      </c>
      <c r="C33" s="53" t="s">
        <v>250</v>
      </c>
      <c r="D33" s="54">
        <v>45358</v>
      </c>
      <c r="E33" s="55" t="s">
        <v>2</v>
      </c>
      <c r="F33" s="56">
        <v>173</v>
      </c>
      <c r="G33" s="152">
        <f>IF(OR(E33="",F33=""),"",PID_KVLohnLookup($A$1,E33,F33,LOHNTABELLE!$H$4))</f>
        <v>2021</v>
      </c>
      <c r="H33" s="153">
        <f>IF(AND(ISNUMBER(D33),ISNUMBER(F33)),ROUNDDOWN(MIN(IF(OR(ISBLANK(I33),I33=""),EOMONTH(DATE(EINSTELLUNG!$C$35,$A$1,1),0),I33)-MAX(D33,DATE(EINSTELLUNG!$C$35,$A$1,1))+1)/DAY(EOMONTH(DATE(EINSTELLUNG!$C$35,$A$1,1),0))*F33,2),"")</f>
        <v>173</v>
      </c>
      <c r="I33" s="57"/>
      <c r="J33" s="58"/>
      <c r="K33" s="152">
        <f t="shared" si="0"/>
        <v>0</v>
      </c>
      <c r="L33" s="15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9"/>
      <c r="N33" s="75"/>
      <c r="O33" s="310"/>
      <c r="P33" s="291"/>
      <c r="Q33" s="280" t="str">
        <f>EINSTELLUNG!B3</f>
        <v>Budget</v>
      </c>
      <c r="R33" s="280"/>
      <c r="S33" s="280" t="str">
        <f>EINSTELLUNG!B19</f>
        <v>Projection/Aktuell Zahlen</v>
      </c>
      <c r="T33" s="280"/>
      <c r="U33" s="280" t="s">
        <v>95</v>
      </c>
      <c r="V33" s="282"/>
    </row>
    <row r="34" spans="1:22" ht="22" customHeight="1">
      <c r="A34" s="151" t="s">
        <v>96</v>
      </c>
      <c r="B34" s="101">
        <v>401678</v>
      </c>
      <c r="C34" s="45" t="s">
        <v>251</v>
      </c>
      <c r="D34" s="46">
        <v>45414</v>
      </c>
      <c r="E34" s="47" t="s">
        <v>2</v>
      </c>
      <c r="F34" s="48">
        <v>173</v>
      </c>
      <c r="G34" s="152">
        <f>IF(OR(E34="",F34=""),"",PID_KVLohnLookup($A$1,E34,F34,LOHNTABELLE!$H$4))</f>
        <v>2021</v>
      </c>
      <c r="H34" s="153">
        <f>IF(AND(ISNUMBER(D34),ISNUMBER(F34)),ROUNDDOWN(MIN(IF(OR(ISBLANK(I34),I34=""),EOMONTH(DATE(EINSTELLUNG!$C$35,$A$1,1),0),I34)-MAX(D34,DATE(EINSTELLUNG!$C$35,$A$1,1))+1)/DAY(EOMONTH(DATE(EINSTELLUNG!$C$35,$A$1,1),0))*F34,2),"")</f>
        <v>173</v>
      </c>
      <c r="I34" s="49"/>
      <c r="J34" s="50"/>
      <c r="K34" s="152">
        <f t="shared" si="0"/>
        <v>0</v>
      </c>
      <c r="L34" s="15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51"/>
      <c r="N34" s="74"/>
      <c r="O34" s="311"/>
      <c r="P34" s="293"/>
      <c r="Q34" s="281"/>
      <c r="R34" s="281"/>
      <c r="S34" s="281"/>
      <c r="T34" s="281"/>
      <c r="U34" s="281"/>
      <c r="V34" s="283"/>
    </row>
    <row r="35" spans="1:22" ht="22" customHeight="1">
      <c r="A35" s="151" t="s">
        <v>97</v>
      </c>
      <c r="B35" s="102">
        <v>401690</v>
      </c>
      <c r="C35" s="53" t="s">
        <v>253</v>
      </c>
      <c r="D35" s="54">
        <v>45536</v>
      </c>
      <c r="E35" s="55" t="s">
        <v>2</v>
      </c>
      <c r="F35" s="56">
        <v>151.38</v>
      </c>
      <c r="G35" s="152">
        <f>IF(OR(E35="",F35=""),"",PID_KVLohnLookup($A$1,E35,F35,LOHNTABELLE!$H$4))</f>
        <v>1768.38</v>
      </c>
      <c r="H35" s="153">
        <f>IF(AND(ISNUMBER(D35),ISNUMBER(F35)),ROUNDDOWN(MIN(IF(OR(ISBLANK(I35),I35=""),EOMONTH(DATE(EINSTELLUNG!$C$35,$A$1,1),0),I35)-MAX(D35,DATE(EINSTELLUNG!$C$35,$A$1,1))+1)/DAY(EOMONTH(DATE(EINSTELLUNG!$C$35,$A$1,1),0))*F35,2),"")</f>
        <v>151.38</v>
      </c>
      <c r="I35" s="57"/>
      <c r="J35" s="58"/>
      <c r="K35" s="152">
        <f t="shared" ref="K35:K66" si="1">IF(OR(B35="",C35=""),"",IFERROR(IF(OR(MONTH(D35)=1,MONTH(D35)=3,MONTH(D35)=5,MONTH(D35)=7,MONTH(D35)=8,MONTH(D35)=10,MONTH(D35)=12),(G35/31)*J35,IF(OR(MONTH(D35)=4,MONTH(D35)=6,MONTH(D35)=9,MONTH(D35)=11),(G35/30)*J35,(G35/DAY(EOMONTH(D35,0)))*J35)),0))</f>
        <v>0</v>
      </c>
      <c r="L35" s="15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9"/>
      <c r="N35" s="75"/>
      <c r="O35" s="307" t="s">
        <v>98</v>
      </c>
      <c r="P35" s="255"/>
      <c r="Q35" s="256">
        <f>EINSTELLUNG!C8</f>
        <v>400000</v>
      </c>
      <c r="R35" s="256"/>
      <c r="S35" s="256">
        <f>EINSTELLUNG!C24</f>
        <v>430000</v>
      </c>
      <c r="T35" s="256"/>
      <c r="U35" s="256">
        <f>S35-Q35</f>
        <v>30000</v>
      </c>
      <c r="V35" s="257"/>
    </row>
    <row r="36" spans="1:22" ht="22" customHeight="1">
      <c r="A36" s="151" t="s">
        <v>99</v>
      </c>
      <c r="B36" s="101">
        <v>401703</v>
      </c>
      <c r="C36" s="45" t="s">
        <v>254</v>
      </c>
      <c r="D36" s="46">
        <v>45616</v>
      </c>
      <c r="E36" s="47" t="s">
        <v>2</v>
      </c>
      <c r="F36" s="48">
        <v>173</v>
      </c>
      <c r="G36" s="152">
        <f>IF(OR(E36="",F36=""),"",PID_KVLohnLookup($A$1,E36,F36,LOHNTABELLE!$H$4))</f>
        <v>2021</v>
      </c>
      <c r="H36" s="153">
        <f>IF(AND(ISNUMBER(D36),ISNUMBER(F36)),ROUNDDOWN(MIN(IF(OR(ISBLANK(I36),I36=""),EOMONTH(DATE(EINSTELLUNG!$C$35,$A$1,1),0),I36)-MAX(D36,DATE(EINSTELLUNG!$C$35,$A$1,1))+1)/DAY(EOMONTH(DATE(EINSTELLUNG!$C$35,$A$1,1),0))*F36,2),"")</f>
        <v>173</v>
      </c>
      <c r="I36" s="49"/>
      <c r="J36" s="50"/>
      <c r="K36" s="152">
        <f t="shared" si="1"/>
        <v>0</v>
      </c>
      <c r="L36" s="15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51"/>
      <c r="N36" s="74"/>
      <c r="O36" s="307" t="s">
        <v>100</v>
      </c>
      <c r="P36" s="255"/>
      <c r="Q36" s="256">
        <f>EINSTELLUNG!D8</f>
        <v>100000</v>
      </c>
      <c r="R36" s="256"/>
      <c r="S36" s="256">
        <f ca="1">SumMergedCells(Q17:R29)</f>
        <v>114609.03419999999</v>
      </c>
      <c r="T36" s="256"/>
      <c r="U36" s="256">
        <f t="shared" ref="U36:U41" ca="1" si="2">S36-Q36</f>
        <v>14609.034199999995</v>
      </c>
      <c r="V36" s="257"/>
    </row>
    <row r="37" spans="1:22" ht="22" customHeight="1">
      <c r="A37" s="151" t="s">
        <v>101</v>
      </c>
      <c r="B37" s="102">
        <v>401715</v>
      </c>
      <c r="C37" s="53" t="s">
        <v>256</v>
      </c>
      <c r="D37" s="54">
        <v>45755</v>
      </c>
      <c r="E37" s="55" t="s">
        <v>2</v>
      </c>
      <c r="F37" s="56">
        <v>173</v>
      </c>
      <c r="G37" s="152">
        <f>IF(OR(E37="",F37=""),"",PID_KVLohnLookup($A$1,E37,F37,LOHNTABELLE!$H$4))</f>
        <v>2021</v>
      </c>
      <c r="H37" s="153">
        <f>IF(AND(ISNUMBER(D37),ISNUMBER(F37)),ROUNDDOWN(MIN(IF(OR(ISBLANK(I37),I37=""),EOMONTH(DATE(EINSTELLUNG!$C$35,$A$1,1),0),I37)-MAX(D37,DATE(EINSTELLUNG!$C$35,$A$1,1))+1)/DAY(EOMONTH(DATE(EINSTELLUNG!$C$35,$A$1,1),0))*F37,2),"")</f>
        <v>173</v>
      </c>
      <c r="I37" s="57"/>
      <c r="J37" s="58"/>
      <c r="K37" s="152">
        <f t="shared" si="1"/>
        <v>0</v>
      </c>
      <c r="L37" s="15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9"/>
      <c r="N37" s="75"/>
      <c r="O37" s="307" t="s">
        <v>102</v>
      </c>
      <c r="P37" s="255"/>
      <c r="Q37" s="278">
        <f>IF(ISERROR(Q36/Q35), 0, Q36/Q35)</f>
        <v>0.25</v>
      </c>
      <c r="R37" s="278"/>
      <c r="S37" s="278">
        <f ca="1">IF(ISERROR(S36/S35), 0, S36/S35)</f>
        <v>0.26653263767441859</v>
      </c>
      <c r="T37" s="278"/>
      <c r="U37" s="278">
        <f t="shared" ca="1" si="2"/>
        <v>1.6532637674418593E-2</v>
      </c>
      <c r="V37" s="279"/>
    </row>
    <row r="38" spans="1:22" ht="22" customHeight="1">
      <c r="A38" s="151" t="s">
        <v>103</v>
      </c>
      <c r="B38" s="101">
        <v>401716</v>
      </c>
      <c r="C38" s="45" t="s">
        <v>257</v>
      </c>
      <c r="D38" s="46">
        <v>45800</v>
      </c>
      <c r="E38" s="47" t="s">
        <v>2</v>
      </c>
      <c r="F38" s="48">
        <v>173</v>
      </c>
      <c r="G38" s="152">
        <f>IF(OR(E38="",F38=""),"",PID_KVLohnLookup($A$1,E38,F38,LOHNTABELLE!$H$4))</f>
        <v>2021</v>
      </c>
      <c r="H38" s="153">
        <f>IF(AND(ISNUMBER(D38),ISNUMBER(F38)),ROUNDDOWN(MIN(IF(OR(ISBLANK(I38),I38=""),EOMONTH(DATE(EINSTELLUNG!$C$35,$A$1,1),0),I38)-MAX(D38,DATE(EINSTELLUNG!$C$35,$A$1,1))+1)/DAY(EOMONTH(DATE(EINSTELLUNG!$C$35,$A$1,1),0))*F38,2),"")</f>
        <v>173</v>
      </c>
      <c r="I38" s="49"/>
      <c r="J38" s="50"/>
      <c r="K38" s="152">
        <f t="shared" si="1"/>
        <v>0</v>
      </c>
      <c r="L38" s="15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51"/>
      <c r="N38" s="74"/>
      <c r="O38" s="307" t="s">
        <v>104</v>
      </c>
      <c r="P38" s="255"/>
      <c r="Q38" s="269">
        <f>EINSTELLUNG!F8</f>
        <v>30000</v>
      </c>
      <c r="R38" s="269"/>
      <c r="S38" s="269">
        <f>EINSTELLUNG!F24</f>
        <v>29000</v>
      </c>
      <c r="T38" s="269"/>
      <c r="U38" s="269">
        <f t="shared" si="2"/>
        <v>-1000</v>
      </c>
      <c r="V38" s="270"/>
    </row>
    <row r="39" spans="1:22" ht="22" customHeight="1">
      <c r="A39" s="151" t="s">
        <v>105</v>
      </c>
      <c r="B39" s="102">
        <v>401717</v>
      </c>
      <c r="C39" s="53" t="s">
        <v>258</v>
      </c>
      <c r="D39" s="57">
        <v>45814</v>
      </c>
      <c r="E39" s="55" t="s">
        <v>2</v>
      </c>
      <c r="F39" s="56">
        <v>86.5</v>
      </c>
      <c r="G39" s="152">
        <f>IF(OR(E39="",F39=""),"",PID_KVLohnLookup($A$1,E39,F39,LOHNTABELLE!$H$4))</f>
        <v>1010.5</v>
      </c>
      <c r="H39" s="153">
        <f>IF(AND(ISNUMBER(D39),ISNUMBER(F39)),ROUNDDOWN(MIN(IF(OR(ISBLANK(I39),I39=""),EOMONTH(DATE(EINSTELLUNG!$C$35,$A$1,1),0),I39)-MAX(D39,DATE(EINSTELLUNG!$C$35,$A$1,1))+1)/DAY(EOMONTH(DATE(EINSTELLUNG!$C$35,$A$1,1),0))*F39,2),"")</f>
        <v>86.5</v>
      </c>
      <c r="I39" s="57"/>
      <c r="J39" s="58"/>
      <c r="K39" s="152">
        <f t="shared" si="1"/>
        <v>0</v>
      </c>
      <c r="L39" s="15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9"/>
      <c r="N39" s="75"/>
      <c r="O39" s="307" t="s">
        <v>106</v>
      </c>
      <c r="P39" s="255"/>
      <c r="Q39" s="256">
        <f>IF(Q38=0, 0, Q35/Q38)</f>
        <v>13.333333333333334</v>
      </c>
      <c r="R39" s="256"/>
      <c r="S39" s="256">
        <f>IF(S38=0, 0, S35/S38)</f>
        <v>14.827586206896552</v>
      </c>
      <c r="T39" s="256"/>
      <c r="U39" s="256">
        <f t="shared" si="2"/>
        <v>1.4942528735632177</v>
      </c>
      <c r="V39" s="257"/>
    </row>
    <row r="40" spans="1:22" ht="22" customHeight="1">
      <c r="A40" s="151" t="s">
        <v>107</v>
      </c>
      <c r="B40" s="101">
        <v>401722</v>
      </c>
      <c r="C40" s="45" t="s">
        <v>259</v>
      </c>
      <c r="D40" s="46">
        <v>45848</v>
      </c>
      <c r="E40" s="47" t="s">
        <v>2</v>
      </c>
      <c r="F40" s="48">
        <v>86.5</v>
      </c>
      <c r="G40" s="152">
        <f>IF(OR(E40="",F40=""),"",PID_KVLohnLookup($A$1,E40,F40,LOHNTABELLE!$H$4))</f>
        <v>1010.5</v>
      </c>
      <c r="H40" s="153">
        <f>IF(AND(ISNUMBER(D40),ISNUMBER(F40)),ROUNDDOWN(MIN(IF(OR(ISBLANK(I40),I40=""),EOMONTH(DATE(EINSTELLUNG!$C$35,$A$1,1),0),I40)-MAX(D40,DATE(EINSTELLUNG!$C$35,$A$1,1))+1)/DAY(EOMONTH(DATE(EINSTELLUNG!$C$35,$A$1,1),0))*F40,2),"")</f>
        <v>86.5</v>
      </c>
      <c r="I40" s="49"/>
      <c r="J40" s="50"/>
      <c r="K40" s="152">
        <f t="shared" si="1"/>
        <v>0</v>
      </c>
      <c r="L40" s="15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51"/>
      <c r="N40" s="74"/>
      <c r="O40" s="307" t="s">
        <v>108</v>
      </c>
      <c r="P40" s="255"/>
      <c r="Q40" s="256">
        <f>IF(Q13=0, 0, Q35/Q13)</f>
        <v>45.293239757499997</v>
      </c>
      <c r="R40" s="256"/>
      <c r="S40" s="256">
        <f>IF(Q13=0, 0, S35/Q13)</f>
        <v>48.690232739312492</v>
      </c>
      <c r="T40" s="256"/>
      <c r="U40" s="256">
        <f t="shared" si="2"/>
        <v>3.3969929818124953</v>
      </c>
      <c r="V40" s="257"/>
    </row>
    <row r="41" spans="1:22" ht="22" customHeight="1">
      <c r="A41" s="151" t="s">
        <v>109</v>
      </c>
      <c r="B41" s="102">
        <v>401723</v>
      </c>
      <c r="C41" s="53" t="s">
        <v>260</v>
      </c>
      <c r="D41" s="57">
        <v>45852</v>
      </c>
      <c r="E41" s="55" t="s">
        <v>2</v>
      </c>
      <c r="F41" s="56">
        <v>86.5</v>
      </c>
      <c r="G41" s="152">
        <f>IF(OR(E41="",F41=""),"",PID_KVLohnLookup($A$1,E41,F41,LOHNTABELLE!$H$4))</f>
        <v>1010.5</v>
      </c>
      <c r="H41" s="153">
        <f>IF(AND(ISNUMBER(D41),ISNUMBER(F41)),ROUNDDOWN(MIN(IF(OR(ISBLANK(I41),I41=""),EOMONTH(DATE(EINSTELLUNG!$C$35,$A$1,1),0),I41)-MAX(D41,DATE(EINSTELLUNG!$C$35,$A$1,1))+1)/DAY(EOMONTH(DATE(EINSTELLUNG!$C$35,$A$1,1),0))*F41,2),"")</f>
        <v>86.5</v>
      </c>
      <c r="I41" s="57"/>
      <c r="J41" s="58"/>
      <c r="K41" s="152">
        <f t="shared" si="1"/>
        <v>0</v>
      </c>
      <c r="L41" s="15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9"/>
      <c r="N41" s="75"/>
      <c r="O41" s="307" t="s">
        <v>110</v>
      </c>
      <c r="P41" s="255"/>
      <c r="Q41" s="269">
        <f>IF(Q13=0, 0, Q38/Q13)</f>
        <v>3.3969929818124993</v>
      </c>
      <c r="R41" s="269"/>
      <c r="S41" s="269">
        <f>IF(Q13=0, 0, S38/Q13)</f>
        <v>3.2837598824187495</v>
      </c>
      <c r="T41" s="269"/>
      <c r="U41" s="269">
        <f t="shared" si="2"/>
        <v>-0.11323309939374981</v>
      </c>
      <c r="V41" s="270"/>
    </row>
    <row r="42" spans="1:22" ht="22" customHeight="1">
      <c r="A42" s="151" t="s">
        <v>111</v>
      </c>
      <c r="B42" s="101">
        <v>401726</v>
      </c>
      <c r="C42" s="45" t="s">
        <v>261</v>
      </c>
      <c r="D42" s="49">
        <v>45870</v>
      </c>
      <c r="E42" s="47" t="s">
        <v>2</v>
      </c>
      <c r="F42" s="48">
        <v>86.5</v>
      </c>
      <c r="G42" s="152">
        <f>IF(OR(E42="",F42=""),"",PID_KVLohnLookup($A$1,E42,F42,LOHNTABELLE!$H$4))</f>
        <v>1010.5</v>
      </c>
      <c r="H42" s="153">
        <f>IF(AND(ISNUMBER(D42),ISNUMBER(F42)),ROUNDDOWN(MIN(IF(OR(ISBLANK(I42),I42=""),EOMONTH(DATE(EINSTELLUNG!$C$35,$A$1,1),0),I42)-MAX(D42,DATE(EINSTELLUNG!$C$35,$A$1,1))+1)/DAY(EOMONTH(DATE(EINSTELLUNG!$C$35,$A$1,1),0))*F42,2),"")</f>
        <v>86.5</v>
      </c>
      <c r="I42" s="49"/>
      <c r="J42" s="50"/>
      <c r="K42" s="152">
        <f t="shared" si="1"/>
        <v>0</v>
      </c>
      <c r="L42" s="15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51"/>
      <c r="N42" s="74"/>
      <c r="O42" s="306" t="s">
        <v>112</v>
      </c>
      <c r="P42" s="263"/>
      <c r="Q42" s="264">
        <f>IFERROR(Q17/Q8, 0)</f>
        <v>11.999883661486649</v>
      </c>
      <c r="R42" s="264"/>
      <c r="S42" s="264"/>
      <c r="T42" s="264"/>
      <c r="U42" s="264"/>
      <c r="V42" s="265"/>
    </row>
    <row r="43" spans="1:22" ht="22" customHeight="1">
      <c r="A43" s="151" t="s">
        <v>113</v>
      </c>
      <c r="B43" s="102">
        <v>401730</v>
      </c>
      <c r="C43" s="53" t="s">
        <v>263</v>
      </c>
      <c r="D43" s="54">
        <v>45895</v>
      </c>
      <c r="E43" s="55" t="s">
        <v>2</v>
      </c>
      <c r="F43" s="56">
        <v>86.5</v>
      </c>
      <c r="G43" s="152">
        <f>IF(OR(E43="",F43=""),"",PID_KVLohnLookup($A$1,E43,F43,LOHNTABELLE!$H$4))</f>
        <v>1010.5</v>
      </c>
      <c r="H43" s="153">
        <f>IF(AND(ISNUMBER(D43),ISNUMBER(F43)),ROUNDDOWN(MIN(IF(OR(ISBLANK(I43),I43=""),EOMONTH(DATE(EINSTELLUNG!$C$35,$A$1,1),0),I43)-MAX(D43,DATE(EINSTELLUNG!$C$35,$A$1,1))+1)/DAY(EOMONTH(DATE(EINSTELLUNG!$C$35,$A$1,1),0))*F43,2),"")</f>
        <v>86.5</v>
      </c>
      <c r="I43" s="57"/>
      <c r="J43" s="58"/>
      <c r="K43" s="152">
        <f t="shared" si="1"/>
        <v>0</v>
      </c>
      <c r="L43" s="15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9"/>
      <c r="N43" s="75"/>
      <c r="O43" s="164"/>
      <c r="P43" s="164"/>
      <c r="Q43" s="164"/>
      <c r="R43" s="149"/>
      <c r="S43" s="149"/>
      <c r="T43" s="149"/>
      <c r="U43" s="149"/>
      <c r="V43" s="149"/>
    </row>
    <row r="44" spans="1:22" ht="22" customHeight="1">
      <c r="A44" s="151" t="s">
        <v>114</v>
      </c>
      <c r="B44" s="101">
        <v>401731</v>
      </c>
      <c r="C44" s="45" t="s">
        <v>262</v>
      </c>
      <c r="D44" s="49">
        <v>45899</v>
      </c>
      <c r="E44" s="47" t="s">
        <v>2</v>
      </c>
      <c r="F44" s="48">
        <v>86.5</v>
      </c>
      <c r="G44" s="152">
        <f>IF(OR(E44="",F44=""),"",PID_KVLohnLookup($A$1,E44,F44,LOHNTABELLE!$H$4))</f>
        <v>1010.5</v>
      </c>
      <c r="H44" s="153">
        <f>IF(AND(ISNUMBER(D44),ISNUMBER(F44)),ROUNDDOWN(MIN(IF(OR(ISBLANK(I44),I44=""),EOMONTH(DATE(EINSTELLUNG!$C$35,$A$1,1),0),I44)-MAX(D44,DATE(EINSTELLUNG!$C$35,$A$1,1))+1)/DAY(EOMONTH(DATE(EINSTELLUNG!$C$35,$A$1,1),0))*F44,2),"")</f>
        <v>86.5</v>
      </c>
      <c r="I44" s="49"/>
      <c r="J44" s="50"/>
      <c r="K44" s="152">
        <f t="shared" si="1"/>
        <v>0</v>
      </c>
      <c r="L44" s="15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51"/>
      <c r="N44" s="74"/>
      <c r="O44" s="275" t="s">
        <v>115</v>
      </c>
      <c r="P44" s="275"/>
      <c r="Q44" s="275"/>
      <c r="R44" s="275"/>
      <c r="S44" s="275"/>
      <c r="T44" s="275"/>
      <c r="U44" s="275"/>
      <c r="V44" s="275"/>
    </row>
    <row r="45" spans="1:22" ht="22" customHeight="1">
      <c r="A45" s="151" t="s">
        <v>116</v>
      </c>
      <c r="B45" s="102">
        <v>401734</v>
      </c>
      <c r="C45" s="53" t="s">
        <v>264</v>
      </c>
      <c r="D45" s="54">
        <v>45904</v>
      </c>
      <c r="E45" s="55" t="s">
        <v>2</v>
      </c>
      <c r="F45" s="56">
        <v>86.5</v>
      </c>
      <c r="G45" s="152">
        <f>IF(OR(E45="",F45=""),"",PID_KVLohnLookup($A$1,E45,F45,LOHNTABELLE!$H$4))</f>
        <v>1010.5</v>
      </c>
      <c r="H45" s="153">
        <f>IF(AND(ISNUMBER(D45),ISNUMBER(F45)),ROUNDDOWN(MIN(IF(OR(ISBLANK(I45),I45=""),EOMONTH(DATE(EINSTELLUNG!$C$35,$A$1,1),0),I45)-MAX(D45,DATE(EINSTELLUNG!$C$35,$A$1,1))+1)/DAY(EOMONTH(DATE(EINSTELLUNG!$C$35,$A$1,1),0))*F45,2),"")</f>
        <v>86.5</v>
      </c>
      <c r="I45" s="57"/>
      <c r="J45" s="58"/>
      <c r="K45" s="152">
        <f t="shared" si="1"/>
        <v>0</v>
      </c>
      <c r="L45" s="15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9"/>
      <c r="N45" s="75"/>
      <c r="O45" s="276"/>
      <c r="P45" s="276"/>
      <c r="Q45" s="276"/>
      <c r="R45" s="277"/>
      <c r="S45" s="277"/>
      <c r="T45" s="277"/>
      <c r="U45" s="277"/>
      <c r="V45" s="149"/>
    </row>
    <row r="46" spans="1:22" ht="22" customHeight="1">
      <c r="A46" s="151" t="s">
        <v>117</v>
      </c>
      <c r="B46" s="101">
        <v>401736</v>
      </c>
      <c r="C46" s="45" t="s">
        <v>265</v>
      </c>
      <c r="D46" s="46">
        <v>45906</v>
      </c>
      <c r="E46" s="47" t="s">
        <v>2</v>
      </c>
      <c r="F46" s="48">
        <v>86.5</v>
      </c>
      <c r="G46" s="152">
        <f>IF(OR(E46="",F46=""),"",PID_KVLohnLookup($A$1,E46,F46,LOHNTABELLE!$H$4))</f>
        <v>1010.5</v>
      </c>
      <c r="H46" s="153">
        <f>IF(AND(ISNUMBER(D46),ISNUMBER(F46)),ROUNDDOWN(MIN(IF(OR(ISBLANK(I46),I46=""),EOMONTH(DATE(EINSTELLUNG!$C$35,$A$1,1),0),I46)-MAX(D46,DATE(EINSTELLUNG!$C$35,$A$1,1))+1)/DAY(EOMONTH(DATE(EINSTELLUNG!$C$35,$A$1,1),0))*F46,2),"")</f>
        <v>86.5</v>
      </c>
      <c r="I46" s="49"/>
      <c r="J46" s="50"/>
      <c r="K46" s="152">
        <f t="shared" si="1"/>
        <v>0</v>
      </c>
      <c r="L46" s="15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51"/>
      <c r="N46" s="74"/>
      <c r="O46" s="149"/>
      <c r="P46" s="149"/>
      <c r="Q46" s="149"/>
      <c r="R46" s="149"/>
      <c r="S46" s="149"/>
      <c r="T46" s="149"/>
      <c r="U46" s="149"/>
      <c r="V46" s="149"/>
    </row>
    <row r="47" spans="1:22" ht="22" customHeight="1">
      <c r="A47" s="151" t="s">
        <v>118</v>
      </c>
      <c r="B47" s="102">
        <v>401737</v>
      </c>
      <c r="C47" s="53" t="s">
        <v>266</v>
      </c>
      <c r="D47" s="54">
        <v>45906</v>
      </c>
      <c r="E47" s="55" t="s">
        <v>2</v>
      </c>
      <c r="F47" s="56">
        <v>86.5</v>
      </c>
      <c r="G47" s="152">
        <f>IF(OR(E47="",F47=""),"",PID_KVLohnLookup($A$1,E47,F47,LOHNTABELLE!$H$4))</f>
        <v>1010.5</v>
      </c>
      <c r="H47" s="153">
        <f>IF(AND(ISNUMBER(D47),ISNUMBER(F47)),ROUNDDOWN(MIN(IF(OR(ISBLANK(I47),I47=""),EOMONTH(DATE(EINSTELLUNG!$C$35,$A$1,1),0),I47)-MAX(D47,DATE(EINSTELLUNG!$C$35,$A$1,1))+1)/DAY(EOMONTH(DATE(EINSTELLUNG!$C$35,$A$1,1),0))*F47,2),"")</f>
        <v>86.5</v>
      </c>
      <c r="I47" s="57"/>
      <c r="J47" s="58"/>
      <c r="K47" s="152">
        <f t="shared" si="1"/>
        <v>0</v>
      </c>
      <c r="L47" s="15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9"/>
      <c r="N47" s="75"/>
      <c r="O47" s="149"/>
      <c r="P47" s="149"/>
      <c r="Q47" s="149"/>
      <c r="R47" s="149"/>
      <c r="S47" s="149"/>
      <c r="T47" s="149"/>
      <c r="U47" s="149"/>
      <c r="V47" s="149"/>
    </row>
    <row r="48" spans="1:22" ht="22" customHeight="1">
      <c r="A48" s="151" t="s">
        <v>119</v>
      </c>
      <c r="B48" s="101">
        <v>401738</v>
      </c>
      <c r="C48" s="45" t="s">
        <v>267</v>
      </c>
      <c r="D48" s="46">
        <v>45909</v>
      </c>
      <c r="E48" s="47" t="s">
        <v>2</v>
      </c>
      <c r="F48" s="48">
        <v>86.5</v>
      </c>
      <c r="G48" s="152">
        <f>IF(OR(E48="",F48=""),"",PID_KVLohnLookup($A$1,E48,F48,LOHNTABELLE!$H$4))</f>
        <v>1010.5</v>
      </c>
      <c r="H48" s="153">
        <f>IF(AND(ISNUMBER(D48),ISNUMBER(F48)),ROUNDDOWN(MIN(IF(OR(ISBLANK(I48),I48=""),EOMONTH(DATE(EINSTELLUNG!$C$35,$A$1,1),0),I48)-MAX(D48,DATE(EINSTELLUNG!$C$35,$A$1,1))+1)/DAY(EOMONTH(DATE(EINSTELLUNG!$C$35,$A$1,1),0))*F48,2),"")</f>
        <v>86.5</v>
      </c>
      <c r="I48" s="49"/>
      <c r="J48" s="50"/>
      <c r="K48" s="152">
        <f t="shared" si="1"/>
        <v>0</v>
      </c>
      <c r="L48" s="15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51"/>
      <c r="N48" s="74"/>
      <c r="O48" s="149"/>
      <c r="P48" s="149"/>
      <c r="Q48" s="149"/>
      <c r="R48" s="149"/>
      <c r="S48" s="149"/>
      <c r="T48" s="149"/>
      <c r="U48" s="149"/>
      <c r="V48" s="149"/>
    </row>
    <row r="49" spans="1:22" ht="22" customHeight="1">
      <c r="A49" s="151" t="s">
        <v>120</v>
      </c>
      <c r="B49" s="102">
        <v>401745</v>
      </c>
      <c r="C49" s="53" t="s">
        <v>271</v>
      </c>
      <c r="D49" s="54">
        <v>45934</v>
      </c>
      <c r="E49" s="55" t="s">
        <v>2</v>
      </c>
      <c r="F49" s="56">
        <v>86.5</v>
      </c>
      <c r="G49" s="152">
        <f>IF(OR(E49="",F49=""),"",PID_KVLohnLookup($A$1,E49,F49,LOHNTABELLE!$H$4))</f>
        <v>1010.5</v>
      </c>
      <c r="H49" s="153">
        <f>IF(AND(ISNUMBER(D49),ISNUMBER(F49)),ROUNDDOWN(MIN(IF(OR(ISBLANK(I49),I49=""),EOMONTH(DATE(EINSTELLUNG!$C$35,$A$1,1),0),I49)-MAX(D49,DATE(EINSTELLUNG!$C$35,$A$1,1))+1)/DAY(EOMONTH(DATE(EINSTELLUNG!$C$35,$A$1,1),0))*F49,2),"")</f>
        <v>86.5</v>
      </c>
      <c r="I49" s="57"/>
      <c r="J49" s="58"/>
      <c r="K49" s="152">
        <f t="shared" si="1"/>
        <v>0</v>
      </c>
      <c r="L49" s="15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9"/>
      <c r="N49" s="75"/>
      <c r="O49" s="149"/>
      <c r="P49" s="149"/>
      <c r="Q49" s="149"/>
      <c r="R49" s="149"/>
      <c r="S49" s="149"/>
      <c r="T49" s="149"/>
      <c r="U49" s="149"/>
      <c r="V49" s="149"/>
    </row>
    <row r="50" spans="1:22" ht="22" customHeight="1">
      <c r="A50" s="151" t="s">
        <v>121</v>
      </c>
      <c r="B50" s="101">
        <v>401746</v>
      </c>
      <c r="C50" s="45" t="s">
        <v>270</v>
      </c>
      <c r="D50" s="46">
        <v>45941</v>
      </c>
      <c r="E50" s="47" t="s">
        <v>2</v>
      </c>
      <c r="F50" s="48">
        <v>86.5</v>
      </c>
      <c r="G50" s="152">
        <f>IF(OR(E50="",F50=""),"",PID_KVLohnLookup($A$1,E50,F50,LOHNTABELLE!$H$4))</f>
        <v>1010.5</v>
      </c>
      <c r="H50" s="153">
        <f>IF(AND(ISNUMBER(D50),ISNUMBER(F50)),ROUNDDOWN(MIN(IF(OR(ISBLANK(I50),I50=""),EOMONTH(DATE(EINSTELLUNG!$C$35,$A$1,1),0),I50)-MAX(D50,DATE(EINSTELLUNG!$C$35,$A$1,1))+1)/DAY(EOMONTH(DATE(EINSTELLUNG!$C$35,$A$1,1),0))*F50,2),"")</f>
        <v>86.5</v>
      </c>
      <c r="I50" s="49"/>
      <c r="J50" s="50"/>
      <c r="K50" s="152">
        <f t="shared" si="1"/>
        <v>0</v>
      </c>
      <c r="L50" s="15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51"/>
      <c r="N50" s="74"/>
      <c r="O50" s="149"/>
      <c r="P50" s="149"/>
      <c r="Q50" s="149"/>
      <c r="R50" s="149"/>
      <c r="S50" s="149"/>
      <c r="T50" s="149"/>
      <c r="U50" s="149"/>
      <c r="V50" s="149"/>
    </row>
    <row r="51" spans="1:22" ht="22" customHeight="1">
      <c r="A51" s="151" t="s">
        <v>122</v>
      </c>
      <c r="B51" s="102">
        <v>401747</v>
      </c>
      <c r="C51" s="53" t="s">
        <v>268</v>
      </c>
      <c r="D51" s="54">
        <v>45941</v>
      </c>
      <c r="E51" s="55" t="s">
        <v>2</v>
      </c>
      <c r="F51" s="56">
        <v>86.5</v>
      </c>
      <c r="G51" s="152">
        <f>IF(OR(E51="",F51=""),"",PID_KVLohnLookup($A$1,E51,F51,LOHNTABELLE!$H$4))</f>
        <v>1010.5</v>
      </c>
      <c r="H51" s="153">
        <f>IF(AND(ISNUMBER(D51),ISNUMBER(F51)),ROUNDDOWN(MIN(IF(OR(ISBLANK(I51),I51=""),EOMONTH(DATE(EINSTELLUNG!$C$35,$A$1,1),0),I51)-MAX(D51,DATE(EINSTELLUNG!$C$35,$A$1,1))+1)/DAY(EOMONTH(DATE(EINSTELLUNG!$C$35,$A$1,1),0))*F51,2),"")</f>
        <v>86.5</v>
      </c>
      <c r="I51" s="57"/>
      <c r="J51" s="58"/>
      <c r="K51" s="152">
        <f t="shared" si="1"/>
        <v>0</v>
      </c>
      <c r="L51" s="15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9"/>
      <c r="N51" s="75"/>
    </row>
    <row r="52" spans="1:22" ht="22" customHeight="1">
      <c r="A52" s="151" t="s">
        <v>123</v>
      </c>
      <c r="B52" s="101">
        <v>401748</v>
      </c>
      <c r="C52" s="45" t="s">
        <v>269</v>
      </c>
      <c r="D52" s="46">
        <v>45941</v>
      </c>
      <c r="E52" s="47" t="s">
        <v>2</v>
      </c>
      <c r="F52" s="48">
        <v>138.4</v>
      </c>
      <c r="G52" s="152">
        <f>IF(OR(E52="",F52=""),"",PID_KVLohnLookup($A$1,E52,F52,LOHNTABELLE!$H$4))</f>
        <v>1616.8</v>
      </c>
      <c r="H52" s="153">
        <f>IF(AND(ISNUMBER(D52),ISNUMBER(F52)),ROUNDDOWN(MIN(IF(OR(ISBLANK(I52),I52=""),EOMONTH(DATE(EINSTELLUNG!$C$35,$A$1,1),0),I52)-MAX(D52,DATE(EINSTELLUNG!$C$35,$A$1,1))+1)/DAY(EOMONTH(DATE(EINSTELLUNG!$C$35,$A$1,1),0))*F52,2),"")</f>
        <v>138.4</v>
      </c>
      <c r="I52" s="49"/>
      <c r="J52" s="50"/>
      <c r="K52" s="152">
        <f t="shared" si="1"/>
        <v>0</v>
      </c>
      <c r="L52" s="15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51"/>
      <c r="N52" s="74"/>
    </row>
    <row r="53" spans="1:22" ht="22" customHeight="1">
      <c r="A53" s="151" t="s">
        <v>124</v>
      </c>
      <c r="B53" s="102">
        <v>401751</v>
      </c>
      <c r="C53" s="53" t="s">
        <v>272</v>
      </c>
      <c r="D53" s="54">
        <v>45961</v>
      </c>
      <c r="E53" s="55" t="s">
        <v>2</v>
      </c>
      <c r="F53" s="56">
        <v>86.5</v>
      </c>
      <c r="G53" s="152">
        <f>IF(OR(E53="",F53=""),"",PID_KVLohnLookup($A$1,E53,F53,LOHNTABELLE!$H$4))</f>
        <v>1010.5</v>
      </c>
      <c r="H53" s="153">
        <f>IF(AND(ISNUMBER(D53),ISNUMBER(F53)),ROUNDDOWN(MIN(IF(OR(ISBLANK(I53),I53=""),EOMONTH(DATE(EINSTELLUNG!$C$35,$A$1,1),0),I53)-MAX(D53,DATE(EINSTELLUNG!$C$35,$A$1,1))+1)/DAY(EOMONTH(DATE(EINSTELLUNG!$C$35,$A$1,1),0))*F53,2),"")</f>
        <v>86.5</v>
      </c>
      <c r="I53" s="57"/>
      <c r="J53" s="58"/>
      <c r="K53" s="152">
        <f t="shared" si="1"/>
        <v>0</v>
      </c>
      <c r="L53" s="15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9"/>
      <c r="N53" s="75"/>
    </row>
    <row r="54" spans="1:22" ht="22" customHeight="1">
      <c r="A54" s="151" t="s">
        <v>125</v>
      </c>
      <c r="B54" s="101">
        <v>401752</v>
      </c>
      <c r="C54" s="45" t="s">
        <v>273</v>
      </c>
      <c r="D54" s="46">
        <v>45986</v>
      </c>
      <c r="E54" s="47" t="s">
        <v>2</v>
      </c>
      <c r="F54" s="48">
        <v>173</v>
      </c>
      <c r="G54" s="152">
        <f>IF(OR(E54="",F54=""),"",PID_KVLohnLookup($A$1,E54,F54,LOHNTABELLE!$H$4))</f>
        <v>2021</v>
      </c>
      <c r="H54" s="153">
        <f>IF(AND(ISNUMBER(D54),ISNUMBER(F54)),ROUNDDOWN(MIN(IF(OR(ISBLANK(I54),I54=""),EOMONTH(DATE(EINSTELLUNG!$C$35,$A$1,1),0),I54)-MAX(D54,DATE(EINSTELLUNG!$C$35,$A$1,1))+1)/DAY(EOMONTH(DATE(EINSTELLUNG!$C$35,$A$1,1),0))*F54,2),"")</f>
        <v>173</v>
      </c>
      <c r="I54" s="49"/>
      <c r="J54" s="50"/>
      <c r="K54" s="152">
        <f t="shared" si="1"/>
        <v>0</v>
      </c>
      <c r="L54" s="15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51"/>
      <c r="N54" s="74"/>
    </row>
    <row r="55" spans="1:22" ht="22" customHeight="1">
      <c r="A55" s="151" t="s">
        <v>126</v>
      </c>
      <c r="B55" s="102">
        <v>401754</v>
      </c>
      <c r="C55" s="53" t="s">
        <v>274</v>
      </c>
      <c r="D55" s="54">
        <v>46014</v>
      </c>
      <c r="E55" s="55" t="s">
        <v>2</v>
      </c>
      <c r="F55" s="56">
        <v>151.38</v>
      </c>
      <c r="G55" s="152">
        <f>IF(OR(E55="",F55=""),"",PID_KVLohnLookup($A$1,E55,F55,LOHNTABELLE!$H$4))</f>
        <v>1768.38</v>
      </c>
      <c r="H55" s="153">
        <f>IF(AND(ISNUMBER(D55),ISNUMBER(F55)),ROUNDDOWN(MIN(IF(OR(ISBLANK(I55),I55=""),EOMONTH(DATE(EINSTELLUNG!$C$35,$A$1,1),0),I55)-MAX(D55,DATE(EINSTELLUNG!$C$35,$A$1,1))+1)/DAY(EOMONTH(DATE(EINSTELLUNG!$C$35,$A$1,1),0))*F55,2),"")</f>
        <v>73.239999999999995</v>
      </c>
      <c r="I55" s="57">
        <v>46096</v>
      </c>
      <c r="J55" s="58">
        <v>8</v>
      </c>
      <c r="K55" s="152">
        <f t="shared" si="1"/>
        <v>456.35612903225808</v>
      </c>
      <c r="L55" s="15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1312.0238709677419</v>
      </c>
      <c r="M55" s="59"/>
      <c r="N55" s="75" t="s">
        <v>194</v>
      </c>
    </row>
    <row r="56" spans="1:22" ht="22" customHeight="1">
      <c r="A56" s="151" t="s">
        <v>127</v>
      </c>
      <c r="B56" s="101">
        <v>401999</v>
      </c>
      <c r="C56" s="45" t="s">
        <v>358</v>
      </c>
      <c r="D56" s="46">
        <v>46041</v>
      </c>
      <c r="E56" s="47" t="s">
        <v>2</v>
      </c>
      <c r="F56" s="48">
        <v>151.38</v>
      </c>
      <c r="G56" s="152">
        <f>IF(OR(E56="",F56=""),"",PID_KVLohnLookup($A$1,E56,F56,LOHNTABELLE!$H$4))</f>
        <v>1768.38</v>
      </c>
      <c r="H56" s="153">
        <f>IF(AND(ISNUMBER(D56),ISNUMBER(F56)),ROUNDDOWN(MIN(IF(OR(ISBLANK(I56),I56=""),EOMONTH(DATE(EINSTELLUNG!$C$35,$A$1,1),0),I56)-MAX(D56,DATE(EINSTELLUNG!$C$35,$A$1,1))+1)/DAY(EOMONTH(DATE(EINSTELLUNG!$C$35,$A$1,1),0))*F56,2),"")</f>
        <v>151.38</v>
      </c>
      <c r="I56" s="49"/>
      <c r="J56" s="50"/>
      <c r="K56" s="152">
        <f t="shared" si="1"/>
        <v>0</v>
      </c>
      <c r="L56" s="15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1768.38</v>
      </c>
      <c r="M56" s="51"/>
      <c r="N56" s="74"/>
    </row>
    <row r="57" spans="1:22" ht="22" customHeight="1">
      <c r="A57" s="151" t="s">
        <v>128</v>
      </c>
      <c r="B57" s="102">
        <v>401999</v>
      </c>
      <c r="C57" s="53" t="s">
        <v>295</v>
      </c>
      <c r="D57" s="57">
        <v>46082</v>
      </c>
      <c r="E57" s="55" t="s">
        <v>2</v>
      </c>
      <c r="F57" s="56">
        <v>173</v>
      </c>
      <c r="G57" s="152">
        <f>IF(OR(E57="",F57=""),"",PID_KVLohnLookup($A$1,E57,F57,LOHNTABELLE!$H$4))</f>
        <v>2021</v>
      </c>
      <c r="H57" s="153">
        <f>IF(AND(ISNUMBER(D57),ISNUMBER(F57)),ROUNDDOWN(MIN(IF(OR(ISBLANK(I57),I57=""),EOMONTH(DATE(EINSTELLUNG!$C$35,$A$1,1),0),I57)-MAX(D57,DATE(EINSTELLUNG!$C$35,$A$1,1))+1)/DAY(EOMONTH(DATE(EINSTELLUNG!$C$35,$A$1,1),0))*F57,2),"")</f>
        <v>173</v>
      </c>
      <c r="I57" s="57"/>
      <c r="J57" s="58"/>
      <c r="K57" s="152">
        <f t="shared" si="1"/>
        <v>0</v>
      </c>
      <c r="L57" s="15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2020.9999999999998</v>
      </c>
      <c r="M57" s="59"/>
      <c r="N57" s="75"/>
    </row>
    <row r="58" spans="1:22" ht="22" customHeight="1">
      <c r="A58" s="151" t="s">
        <v>129</v>
      </c>
      <c r="B58" s="101">
        <v>402405</v>
      </c>
      <c r="C58" s="45" t="s">
        <v>301</v>
      </c>
      <c r="D58" s="49">
        <v>46054</v>
      </c>
      <c r="E58" s="47" t="s">
        <v>2</v>
      </c>
      <c r="F58" s="48">
        <v>173</v>
      </c>
      <c r="G58" s="152">
        <f>IF(OR(E58="",F58=""),"",PID_KVLohnLookup($A$1,E58,F58,LOHNTABELLE!$H$4))</f>
        <v>2021</v>
      </c>
      <c r="H58" s="153">
        <f>IF(AND(ISNUMBER(D58),ISNUMBER(F58)),ROUNDDOWN(MIN(IF(OR(ISBLANK(I58),I58=""),EOMONTH(DATE(EINSTELLUNG!$C$35,$A$1,1),0),I58)-MAX(D58,DATE(EINSTELLUNG!$C$35,$A$1,1))+1)/DAY(EOMONTH(DATE(EINSTELLUNG!$C$35,$A$1,1),0))*F58,2),"")</f>
        <v>173</v>
      </c>
      <c r="I58" s="49"/>
      <c r="J58" s="50"/>
      <c r="K58" s="152">
        <f t="shared" si="1"/>
        <v>0</v>
      </c>
      <c r="L58" s="15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51"/>
      <c r="N58" s="74"/>
    </row>
    <row r="59" spans="1:22" ht="22" customHeight="1">
      <c r="A59" s="151" t="s">
        <v>130</v>
      </c>
      <c r="B59" s="102">
        <v>500600</v>
      </c>
      <c r="C59" s="53" t="s">
        <v>305</v>
      </c>
      <c r="D59" s="57">
        <v>46054</v>
      </c>
      <c r="E59" s="55" t="s">
        <v>2</v>
      </c>
      <c r="F59" s="56">
        <v>173</v>
      </c>
      <c r="G59" s="152">
        <f>IF(OR(E59="",F59=""),"",PID_KVLohnLookup($A$1,E59,F59,LOHNTABELLE!$H$4))</f>
        <v>2021</v>
      </c>
      <c r="H59" s="153">
        <f>IF(AND(ISNUMBER(D59),ISNUMBER(F59)),ROUNDDOWN(MIN(IF(OR(ISBLANK(I59),I59=""),EOMONTH(DATE(EINSTELLUNG!$C$35,$A$1,1),0),I59)-MAX(D59,DATE(EINSTELLUNG!$C$35,$A$1,1))+1)/DAY(EOMONTH(DATE(EINSTELLUNG!$C$35,$A$1,1),0))*F59,2),"")</f>
        <v>173</v>
      </c>
      <c r="I59" s="57"/>
      <c r="J59" s="58"/>
      <c r="K59" s="152">
        <f t="shared" si="1"/>
        <v>0</v>
      </c>
      <c r="L59" s="15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9"/>
      <c r="N59" s="75"/>
    </row>
    <row r="60" spans="1:22" ht="22" customHeight="1">
      <c r="A60" s="151" t="s">
        <v>131</v>
      </c>
      <c r="B60" s="101">
        <v>503000</v>
      </c>
      <c r="C60" s="45" t="s">
        <v>302</v>
      </c>
      <c r="D60" s="49">
        <v>42401</v>
      </c>
      <c r="E60" s="47" t="s">
        <v>2</v>
      </c>
      <c r="F60" s="48">
        <v>173</v>
      </c>
      <c r="G60" s="152">
        <f>IF(OR(E60="",F60=""),"",PID_KVLohnLookup($A$1,E60,F60,LOHNTABELLE!$H$4))</f>
        <v>2021</v>
      </c>
      <c r="H60" s="153">
        <f>IF(AND(ISNUMBER(D60),ISNUMBER(F60)),ROUNDDOWN(MIN(IF(OR(ISBLANK(I60),I60=""),EOMONTH(DATE(EINSTELLUNG!$C$35,$A$1,1),0),I60)-MAX(D60,DATE(EINSTELLUNG!$C$35,$A$1,1))+1)/DAY(EOMONTH(DATE(EINSTELLUNG!$C$35,$A$1,1),0))*F60,2),"")</f>
        <v>173</v>
      </c>
      <c r="I60" s="49"/>
      <c r="J60" s="50"/>
      <c r="K60" s="152">
        <f t="shared" si="1"/>
        <v>0</v>
      </c>
      <c r="L60" s="15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51"/>
      <c r="N60" s="74"/>
    </row>
    <row r="61" spans="1:22" ht="22" customHeight="1">
      <c r="A61" s="151" t="s">
        <v>132</v>
      </c>
      <c r="B61" s="102">
        <v>504000</v>
      </c>
      <c r="C61" s="53" t="s">
        <v>303</v>
      </c>
      <c r="D61" s="57">
        <v>46054</v>
      </c>
      <c r="E61" s="55" t="s">
        <v>3</v>
      </c>
      <c r="F61" s="56">
        <v>138.4</v>
      </c>
      <c r="G61" s="152">
        <f>IF(OR(E61="",F61=""),"",PID_KVLohnLookup($A$1,E61,F61,LOHNTABELLE!$H$4))</f>
        <v>1665.6</v>
      </c>
      <c r="H61" s="153">
        <f>IF(AND(ISNUMBER(D61),ISNUMBER(F61)),ROUNDDOWN(MIN(IF(OR(ISBLANK(I61),I61=""),EOMONTH(DATE(EINSTELLUNG!$C$35,$A$1,1),0),I61)-MAX(D61,DATE(EINSTELLUNG!$C$35,$A$1,1))+1)/DAY(EOMONTH(DATE(EINSTELLUNG!$C$35,$A$1,1),0))*F61,2),"")</f>
        <v>138.4</v>
      </c>
      <c r="I61" s="57"/>
      <c r="J61" s="58"/>
      <c r="K61" s="152">
        <f t="shared" si="1"/>
        <v>0</v>
      </c>
      <c r="L61" s="15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9"/>
      <c r="N61" s="75"/>
    </row>
    <row r="62" spans="1:22" ht="22" customHeight="1">
      <c r="A62" s="151" t="s">
        <v>133</v>
      </c>
      <c r="B62" s="101">
        <v>505000</v>
      </c>
      <c r="C62" s="45" t="s">
        <v>304</v>
      </c>
      <c r="D62" s="49">
        <v>46054</v>
      </c>
      <c r="E62" s="47" t="s">
        <v>2</v>
      </c>
      <c r="F62" s="48">
        <v>138.4</v>
      </c>
      <c r="G62" s="152">
        <f>IF(OR(E62="",F62=""),"",PID_KVLohnLookup($A$1,E62,F62,LOHNTABELLE!$H$4))</f>
        <v>1616.8</v>
      </c>
      <c r="H62" s="153">
        <f>IF(AND(ISNUMBER(D62),ISNUMBER(F62)),ROUNDDOWN(MIN(IF(OR(ISBLANK(I62),I62=""),EOMONTH(DATE(EINSTELLUNG!$C$35,$A$1,1),0),I62)-MAX(D62,DATE(EINSTELLUNG!$C$35,$A$1,1))+1)/DAY(EOMONTH(DATE(EINSTELLUNG!$C$35,$A$1,1),0))*F62,2),"")</f>
        <v>138.4</v>
      </c>
      <c r="I62" s="49"/>
      <c r="J62" s="50"/>
      <c r="K62" s="152">
        <f t="shared" si="1"/>
        <v>0</v>
      </c>
      <c r="L62" s="15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51"/>
      <c r="N62" s="74"/>
    </row>
    <row r="63" spans="1:22" ht="22" customHeight="1">
      <c r="A63" s="151" t="s">
        <v>134</v>
      </c>
      <c r="B63" s="102">
        <v>525025</v>
      </c>
      <c r="C63" s="53" t="s">
        <v>359</v>
      </c>
      <c r="D63" s="57">
        <v>46040</v>
      </c>
      <c r="E63" s="55" t="s">
        <v>2</v>
      </c>
      <c r="F63" s="56">
        <v>129.75</v>
      </c>
      <c r="G63" s="152">
        <f>IF(OR(E63="",F63=""),"",PID_KVLohnLookup($A$1,E63,F63,LOHNTABELLE!$H$4))</f>
        <v>1515.75</v>
      </c>
      <c r="H63" s="153">
        <f>IF(AND(ISNUMBER(D63),ISNUMBER(F63)),ROUNDDOWN(MIN(IF(OR(ISBLANK(I63),I63=""),EOMONTH(DATE(EINSTELLUNG!$C$35,$A$1,1),0),I63)-MAX(D63,DATE(EINSTELLUNG!$C$35,$A$1,1))+1)/DAY(EOMONTH(DATE(EINSTELLUNG!$C$35,$A$1,1),0))*F63,2),"")</f>
        <v>129.75</v>
      </c>
      <c r="I63" s="57"/>
      <c r="J63" s="58"/>
      <c r="K63" s="152">
        <f t="shared" si="1"/>
        <v>0</v>
      </c>
      <c r="L63" s="154">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9"/>
      <c r="N63" s="75"/>
    </row>
    <row r="64" spans="1:22" ht="22" customHeight="1">
      <c r="A64" s="151" t="s">
        <v>135</v>
      </c>
      <c r="B64" s="101">
        <v>700000</v>
      </c>
      <c r="C64" s="45" t="s">
        <v>312</v>
      </c>
      <c r="D64" s="49">
        <v>46054</v>
      </c>
      <c r="E64" s="47" t="s">
        <v>2</v>
      </c>
      <c r="F64" s="48">
        <v>173</v>
      </c>
      <c r="G64" s="152">
        <f>IF(OR(E64="",F64=""),"",PID_KVLohnLookup($A$1,E64,F64,LOHNTABELLE!$H$4))</f>
        <v>2021</v>
      </c>
      <c r="H64" s="153">
        <f>IF(AND(ISNUMBER(D64),ISNUMBER(F64)),ROUNDDOWN(MIN(IF(OR(ISBLANK(I64),I64=""),EOMONTH(DATE(EINSTELLUNG!$C$35,$A$1,1),0),I64)-MAX(D64,DATE(EINSTELLUNG!$C$35,$A$1,1))+1)/DAY(EOMONTH(DATE(EINSTELLUNG!$C$35,$A$1,1),0))*F64,2),"")</f>
        <v>173</v>
      </c>
      <c r="I64" s="49"/>
      <c r="J64" s="50"/>
      <c r="K64" s="152">
        <f t="shared" si="1"/>
        <v>0</v>
      </c>
      <c r="L64" s="154">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51"/>
      <c r="N64" s="74"/>
    </row>
    <row r="65" spans="1:14" ht="22" customHeight="1">
      <c r="A65" s="151" t="s">
        <v>136</v>
      </c>
      <c r="B65" s="102">
        <v>800000</v>
      </c>
      <c r="C65" s="53" t="s">
        <v>313</v>
      </c>
      <c r="D65" s="57">
        <v>46096</v>
      </c>
      <c r="E65" s="55" t="s">
        <v>2</v>
      </c>
      <c r="F65" s="56">
        <v>173</v>
      </c>
      <c r="G65" s="152">
        <f>IF(OR(E65="",F65=""),"",PID_KVLohnLookup($A$1,E65,F65,LOHNTABELLE!$H$4))</f>
        <v>2021</v>
      </c>
      <c r="H65" s="153">
        <f>IF(AND(ISNUMBER(D65),ISNUMBER(F65)),ROUNDDOWN(MIN(IF(OR(ISBLANK(I65),I65=""),EOMONTH(DATE(EINSTELLUNG!$C$35,$A$1,1),0),I65)-MAX(D65,DATE(EINSTELLUNG!$C$35,$A$1,1))+1)/DAY(EOMONTH(DATE(EINSTELLUNG!$C$35,$A$1,1),0))*F65,2),"")</f>
        <v>94.87</v>
      </c>
      <c r="I65" s="57"/>
      <c r="J65" s="58"/>
      <c r="K65" s="152">
        <f t="shared" si="1"/>
        <v>0</v>
      </c>
      <c r="L65" s="154">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1108.2903225806451</v>
      </c>
      <c r="M65" s="59"/>
      <c r="N65" s="75"/>
    </row>
    <row r="66" spans="1:14" ht="22" customHeight="1">
      <c r="A66" s="151" t="s">
        <v>137</v>
      </c>
      <c r="B66" s="101"/>
      <c r="C66" s="45"/>
      <c r="D66" s="49"/>
      <c r="E66" s="47"/>
      <c r="F66" s="48"/>
      <c r="G66" s="152" t="str">
        <f>IF(OR(E66="",F66=""),"",PID_KVLohnLookup($A$1,E66,F66,LOHNTABELLE!$H$4))</f>
        <v/>
      </c>
      <c r="H66" s="153" t="str">
        <f>IF(AND(ISNUMBER(D66),ISNUMBER(F66)),ROUNDDOWN(MIN(IF(OR(ISBLANK(I66),I66=""),EOMONTH(DATE(EINSTELLUNG!$C$35,$A$1,1),0),I66)-MAX(D66,DATE(EINSTELLUNG!$C$35,$A$1,1))+1)/DAY(EOMONTH(DATE(EINSTELLUNG!$C$35,$A$1,1),0))*F66,2),"")</f>
        <v/>
      </c>
      <c r="I66" s="49"/>
      <c r="J66" s="50"/>
      <c r="K66" s="152" t="str">
        <f t="shared" si="1"/>
        <v/>
      </c>
      <c r="L66" s="15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51"/>
      <c r="N66" s="74"/>
    </row>
    <row r="67" spans="1:14" ht="22" customHeight="1">
      <c r="A67" s="151" t="s">
        <v>138</v>
      </c>
      <c r="B67" s="102"/>
      <c r="C67" s="53"/>
      <c r="D67" s="57"/>
      <c r="E67" s="55"/>
      <c r="F67" s="56"/>
      <c r="G67" s="152" t="str">
        <f>IF(OR(E67="",F67=""),"",PID_KVLohnLookup($A$1,E67,F67,LOHNTABELLE!$H$4))</f>
        <v/>
      </c>
      <c r="H67" s="153" t="str">
        <f>IF(AND(ISNUMBER(D67),ISNUMBER(F67)),ROUNDDOWN(MIN(IF(OR(ISBLANK(I67),I67=""),EOMONTH(DATE(EINSTELLUNG!$C$35,$A$1,1),0),I67)-MAX(D67,DATE(EINSTELLUNG!$C$35,$A$1,1))+1)/DAY(EOMONTH(DATE(EINSTELLUNG!$C$35,$A$1,1),0))*F67,2),"")</f>
        <v/>
      </c>
      <c r="I67" s="57"/>
      <c r="J67" s="58"/>
      <c r="K67" s="152" t="str">
        <f t="shared" ref="K67:K82" si="3">IF(OR(B67="",C67=""),"",IFERROR(IF(OR(MONTH(D67)=1,MONTH(D67)=3,MONTH(D67)=5,MONTH(D67)=7,MONTH(D67)=8,MONTH(D67)=10,MONTH(D67)=12),(G67/31)*J67,IF(OR(MONTH(D67)=4,MONTH(D67)=6,MONTH(D67)=9,MONTH(D67)=11),(G67/30)*J67,(G67/DAY(EOMONTH(D67,0)))*J67)),0))</f>
        <v/>
      </c>
      <c r="L67" s="15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9"/>
      <c r="N67" s="75"/>
    </row>
    <row r="68" spans="1:14" ht="22" customHeight="1">
      <c r="A68" s="151" t="s">
        <v>139</v>
      </c>
      <c r="B68" s="101"/>
      <c r="C68" s="45"/>
      <c r="D68" s="49"/>
      <c r="E68" s="47"/>
      <c r="F68" s="48"/>
      <c r="G68" s="152" t="str">
        <f>IF(OR(E68="",F68=""),"",PID_KVLohnLookup($A$1,E68,F68,LOHNTABELLE!$H$4))</f>
        <v/>
      </c>
      <c r="H68" s="153" t="str">
        <f>IF(AND(ISNUMBER(D68),ISNUMBER(F68)),ROUNDDOWN(MIN(IF(OR(ISBLANK(I68),I68=""),EOMONTH(DATE(EINSTELLUNG!$C$35,$A$1,1),0),I68)-MAX(D68,DATE(EINSTELLUNG!$C$35,$A$1,1))+1)/DAY(EOMONTH(DATE(EINSTELLUNG!$C$35,$A$1,1),0))*F68,2),"")</f>
        <v/>
      </c>
      <c r="I68" s="49"/>
      <c r="J68" s="50"/>
      <c r="K68" s="152" t="str">
        <f t="shared" si="3"/>
        <v/>
      </c>
      <c r="L68" s="15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51"/>
      <c r="N68" s="74"/>
    </row>
    <row r="69" spans="1:14" ht="22" customHeight="1">
      <c r="A69" s="151" t="s">
        <v>140</v>
      </c>
      <c r="B69" s="102"/>
      <c r="C69" s="53"/>
      <c r="D69" s="57"/>
      <c r="E69" s="55"/>
      <c r="F69" s="56"/>
      <c r="G69" s="152" t="str">
        <f>IF(OR(E69="",F69=""),"",PID_KVLohnLookup($A$1,E69,F69,LOHNTABELLE!$H$4))</f>
        <v/>
      </c>
      <c r="H69" s="153" t="str">
        <f>IF(AND(ISNUMBER(D69),ISNUMBER(F69)),ROUNDDOWN(MIN(IF(OR(ISBLANK(I69),I69=""),EOMONTH(DATE(EINSTELLUNG!$C$35,$A$1,1),0),I69)-MAX(D69,DATE(EINSTELLUNG!$C$35,$A$1,1))+1)/DAY(EOMONTH(DATE(EINSTELLUNG!$C$35,$A$1,1),0))*F69,2),"")</f>
        <v/>
      </c>
      <c r="I69" s="57"/>
      <c r="J69" s="58"/>
      <c r="K69" s="152" t="str">
        <f t="shared" si="3"/>
        <v/>
      </c>
      <c r="L69" s="15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9"/>
      <c r="N69" s="75"/>
    </row>
    <row r="70" spans="1:14" ht="22" customHeight="1">
      <c r="A70" s="151" t="s">
        <v>141</v>
      </c>
      <c r="B70" s="101"/>
      <c r="C70" s="45"/>
      <c r="D70" s="49"/>
      <c r="E70" s="47"/>
      <c r="F70" s="48"/>
      <c r="G70" s="152" t="str">
        <f>IF(OR(E70="",F70=""),"",PID_KVLohnLookup($A$1,E70,F70,LOHNTABELLE!$H$4))</f>
        <v/>
      </c>
      <c r="H70" s="153" t="str">
        <f>IF(AND(ISNUMBER(D70),ISNUMBER(F70)),ROUNDDOWN(MIN(IF(OR(ISBLANK(I70),I70=""),EOMONTH(DATE(EINSTELLUNG!$C$35,$A$1,1),0),I70)-MAX(D70,DATE(EINSTELLUNG!$C$35,$A$1,1))+1)/DAY(EOMONTH(DATE(EINSTELLUNG!$C$35,$A$1,1),0))*F70,2),"")</f>
        <v/>
      </c>
      <c r="I70" s="49"/>
      <c r="J70" s="50"/>
      <c r="K70" s="152" t="str">
        <f t="shared" si="3"/>
        <v/>
      </c>
      <c r="L70" s="15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51"/>
      <c r="N70" s="74"/>
    </row>
    <row r="71" spans="1:14" ht="22" customHeight="1">
      <c r="A71" s="151" t="s">
        <v>142</v>
      </c>
      <c r="B71" s="102"/>
      <c r="C71" s="53"/>
      <c r="D71" s="57"/>
      <c r="E71" s="55"/>
      <c r="F71" s="56"/>
      <c r="G71" s="152" t="str">
        <f>IF(OR(E71="",F71=""),"",PID_KVLohnLookup($A$1,E71,F71,LOHNTABELLE!$H$4))</f>
        <v/>
      </c>
      <c r="H71" s="153" t="str">
        <f>IF(AND(ISNUMBER(D71),ISNUMBER(F71)),ROUNDDOWN(MIN(IF(OR(ISBLANK(I71),I71=""),EOMONTH(DATE(EINSTELLUNG!$C$35,$A$1,1),0),I71)-MAX(D71,DATE(EINSTELLUNG!$C$35,$A$1,1))+1)/DAY(EOMONTH(DATE(EINSTELLUNG!$C$35,$A$1,1),0))*F71,2),"")</f>
        <v/>
      </c>
      <c r="I71" s="57"/>
      <c r="J71" s="58"/>
      <c r="K71" s="152" t="str">
        <f t="shared" si="3"/>
        <v/>
      </c>
      <c r="L71" s="15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9"/>
      <c r="N71" s="75"/>
    </row>
    <row r="72" spans="1:14" ht="22" customHeight="1">
      <c r="A72" s="151" t="s">
        <v>143</v>
      </c>
      <c r="B72" s="101"/>
      <c r="C72" s="45"/>
      <c r="D72" s="49"/>
      <c r="E72" s="47"/>
      <c r="F72" s="48"/>
      <c r="G72" s="152" t="str">
        <f>IF(OR(E72="",F72=""),"",PID_KVLohnLookup($A$1,E72,F72,LOHNTABELLE!$H$4))</f>
        <v/>
      </c>
      <c r="H72" s="153" t="str">
        <f>IF(AND(ISNUMBER(D72),ISNUMBER(F72)),ROUNDDOWN(MIN(IF(OR(ISBLANK(I72),I72=""),EOMONTH(DATE(EINSTELLUNG!$C$35,$A$1,1),0),I72)-MAX(D72,DATE(EINSTELLUNG!$C$35,$A$1,1))+1)/DAY(EOMONTH(DATE(EINSTELLUNG!$C$35,$A$1,1),0))*F72,2),"")</f>
        <v/>
      </c>
      <c r="I72" s="49"/>
      <c r="J72" s="50"/>
      <c r="K72" s="152" t="str">
        <f t="shared" si="3"/>
        <v/>
      </c>
      <c r="L72" s="15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51"/>
      <c r="N72" s="74"/>
    </row>
    <row r="73" spans="1:14" ht="22" customHeight="1">
      <c r="A73" s="151" t="s">
        <v>144</v>
      </c>
      <c r="B73" s="102"/>
      <c r="C73" s="53"/>
      <c r="D73" s="57"/>
      <c r="E73" s="55"/>
      <c r="F73" s="56"/>
      <c r="G73" s="152" t="str">
        <f>IF(OR(E73="",F73=""),"",PID_KVLohnLookup($A$1,E73,F73,LOHNTABELLE!$H$4))</f>
        <v/>
      </c>
      <c r="H73" s="153" t="str">
        <f>IF(AND(ISNUMBER(D73),ISNUMBER(F73)),ROUNDDOWN(MIN(IF(OR(ISBLANK(I73),I73=""),EOMONTH(DATE(EINSTELLUNG!$C$35,$A$1,1),0),I73)-MAX(D73,DATE(EINSTELLUNG!$C$35,$A$1,1))+1)/DAY(EOMONTH(DATE(EINSTELLUNG!$C$35,$A$1,1),0))*F73,2),"")</f>
        <v/>
      </c>
      <c r="I73" s="57"/>
      <c r="J73" s="58"/>
      <c r="K73" s="152" t="str">
        <f t="shared" si="3"/>
        <v/>
      </c>
      <c r="L73" s="15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9"/>
      <c r="N73" s="75"/>
    </row>
    <row r="74" spans="1:14" ht="22" customHeight="1">
      <c r="A74" s="151" t="s">
        <v>145</v>
      </c>
      <c r="B74" s="101"/>
      <c r="C74" s="45"/>
      <c r="D74" s="49"/>
      <c r="E74" s="47"/>
      <c r="F74" s="48"/>
      <c r="G74" s="152" t="str">
        <f>IF(OR(E74="",F74=""),"",PID_KVLohnLookup($A$1,E74,F74,LOHNTABELLE!$H$4))</f>
        <v/>
      </c>
      <c r="H74" s="153" t="str">
        <f>IF(AND(ISNUMBER(D74),ISNUMBER(F74)),ROUNDDOWN(MIN(IF(OR(ISBLANK(I74),I74=""),EOMONTH(DATE(EINSTELLUNG!$C$35,$A$1,1),0),I74)-MAX(D74,DATE(EINSTELLUNG!$C$35,$A$1,1))+1)/DAY(EOMONTH(DATE(EINSTELLUNG!$C$35,$A$1,1),0))*F74,2),"")</f>
        <v/>
      </c>
      <c r="I74" s="49"/>
      <c r="J74" s="50"/>
      <c r="K74" s="152" t="str">
        <f t="shared" si="3"/>
        <v/>
      </c>
      <c r="L74" s="15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51"/>
      <c r="N74" s="74"/>
    </row>
    <row r="75" spans="1:14" ht="22" customHeight="1">
      <c r="A75" s="151" t="s">
        <v>146</v>
      </c>
      <c r="B75" s="102"/>
      <c r="C75" s="53"/>
      <c r="D75" s="57"/>
      <c r="E75" s="55"/>
      <c r="F75" s="56"/>
      <c r="G75" s="152" t="str">
        <f>IF(OR(E75="",F75=""),"",PID_KVLohnLookup($A$1,E75,F75,LOHNTABELLE!$H$4))</f>
        <v/>
      </c>
      <c r="H75" s="153" t="str">
        <f>IF(AND(ISNUMBER(D75),ISNUMBER(F75)),ROUNDDOWN(MIN(IF(OR(ISBLANK(I75),I75=""),EOMONTH(DATE(EINSTELLUNG!$C$35,$A$1,1),0),I75)-MAX(D75,DATE(EINSTELLUNG!$C$35,$A$1,1))+1)/DAY(EOMONTH(DATE(EINSTELLUNG!$C$35,$A$1,1),0))*F75,2),"")</f>
        <v/>
      </c>
      <c r="I75" s="57"/>
      <c r="J75" s="58"/>
      <c r="K75" s="152" t="str">
        <f t="shared" si="3"/>
        <v/>
      </c>
      <c r="L75" s="15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9"/>
      <c r="N75" s="75"/>
    </row>
    <row r="76" spans="1:14" ht="22" customHeight="1">
      <c r="A76" s="151" t="s">
        <v>147</v>
      </c>
      <c r="B76" s="101"/>
      <c r="C76" s="45"/>
      <c r="D76" s="49"/>
      <c r="E76" s="47"/>
      <c r="F76" s="48"/>
      <c r="G76" s="152" t="str">
        <f>IF(OR(E76="",F76=""),"",PID_KVLohnLookup($A$1,E76,F76,LOHNTABELLE!$H$4))</f>
        <v/>
      </c>
      <c r="H76" s="153" t="str">
        <f>IF(AND(ISNUMBER(D76),ISNUMBER(F76)),ROUNDDOWN(MIN(IF(OR(ISBLANK(I76),I76=""),EOMONTH(DATE(EINSTELLUNG!$C$35,$A$1,1),0),I76)-MAX(D76,DATE(EINSTELLUNG!$C$35,$A$1,1))+1)/DAY(EOMONTH(DATE(EINSTELLUNG!$C$35,$A$1,1),0))*F76,2),"")</f>
        <v/>
      </c>
      <c r="I76" s="49"/>
      <c r="J76" s="50"/>
      <c r="K76" s="152" t="str">
        <f t="shared" si="3"/>
        <v/>
      </c>
      <c r="L76" s="15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51"/>
      <c r="N76" s="74"/>
    </row>
    <row r="77" spans="1:14" ht="22" customHeight="1">
      <c r="A77" s="151" t="s">
        <v>148</v>
      </c>
      <c r="B77" s="102"/>
      <c r="C77" s="53"/>
      <c r="D77" s="57"/>
      <c r="E77" s="55"/>
      <c r="F77" s="56"/>
      <c r="G77" s="152" t="str">
        <f>IF(OR(E77="",F77=""),"",PID_KVLohnLookup($A$1,E77,F77,LOHNTABELLE!$H$4))</f>
        <v/>
      </c>
      <c r="H77" s="153" t="str">
        <f>IF(AND(ISNUMBER(D77),ISNUMBER(F77)),ROUNDDOWN(MIN(IF(OR(ISBLANK(I77),I77=""),EOMONTH(DATE(EINSTELLUNG!$C$35,$A$1,1),0),I77)-MAX(D77,DATE(EINSTELLUNG!$C$35,$A$1,1))+1)/DAY(EOMONTH(DATE(EINSTELLUNG!$C$35,$A$1,1),0))*F77,2),"")</f>
        <v/>
      </c>
      <c r="I77" s="57"/>
      <c r="J77" s="58"/>
      <c r="K77" s="152" t="str">
        <f t="shared" si="3"/>
        <v/>
      </c>
      <c r="L77" s="15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9"/>
      <c r="N77" s="75"/>
    </row>
    <row r="78" spans="1:14" ht="22" customHeight="1">
      <c r="A78" s="151" t="s">
        <v>149</v>
      </c>
      <c r="B78" s="101"/>
      <c r="C78" s="45"/>
      <c r="D78" s="49"/>
      <c r="E78" s="47"/>
      <c r="F78" s="48"/>
      <c r="G78" s="152" t="str">
        <f>IF(OR(E78="",F78=""),"",PID_KVLohnLookup($A$1,E78,F78,LOHNTABELLE!$H$4))</f>
        <v/>
      </c>
      <c r="H78" s="153" t="str">
        <f>IF(AND(ISNUMBER(D78),ISNUMBER(F78)),ROUNDDOWN(MIN(IF(OR(ISBLANK(I78),I78=""),EOMONTH(DATE(EINSTELLUNG!$C$35,$A$1,1),0),I78)-MAX(D78,DATE(EINSTELLUNG!$C$35,$A$1,1))+1)/DAY(EOMONTH(DATE(EINSTELLUNG!$C$35,$A$1,1),0))*F78,2),"")</f>
        <v/>
      </c>
      <c r="I78" s="49"/>
      <c r="J78" s="50"/>
      <c r="K78" s="152" t="str">
        <f t="shared" si="3"/>
        <v/>
      </c>
      <c r="L78" s="15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51"/>
      <c r="N78" s="74"/>
    </row>
    <row r="79" spans="1:14" ht="22" customHeight="1">
      <c r="A79" s="151" t="s">
        <v>150</v>
      </c>
      <c r="B79" s="102"/>
      <c r="C79" s="53"/>
      <c r="D79" s="57"/>
      <c r="E79" s="55"/>
      <c r="F79" s="56"/>
      <c r="G79" s="152" t="str">
        <f>IF(OR(E79="",F79=""),"",PID_KVLohnLookup($A$1,E79,F79,LOHNTABELLE!$H$4))</f>
        <v/>
      </c>
      <c r="H79" s="153" t="str">
        <f>IF(AND(ISNUMBER(D79),ISNUMBER(F79)),ROUNDDOWN(MIN(IF(OR(ISBLANK(I79),I79=""),EOMONTH(DATE(EINSTELLUNG!$C$35,$A$1,1),0),I79)-MAX(D79,DATE(EINSTELLUNG!$C$35,$A$1,1))+1)/DAY(EOMONTH(DATE(EINSTELLUNG!$C$35,$A$1,1),0))*F79,2),"")</f>
        <v/>
      </c>
      <c r="I79" s="57"/>
      <c r="J79" s="58"/>
      <c r="K79" s="152" t="str">
        <f t="shared" si="3"/>
        <v/>
      </c>
      <c r="L79" s="15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9"/>
      <c r="N79" s="75"/>
    </row>
    <row r="80" spans="1:14" ht="22" customHeight="1">
      <c r="A80" s="151" t="s">
        <v>151</v>
      </c>
      <c r="B80" s="101"/>
      <c r="C80" s="45"/>
      <c r="D80" s="49"/>
      <c r="E80" s="47"/>
      <c r="F80" s="48"/>
      <c r="G80" s="152" t="str">
        <f>IF(OR(E80="",F80=""),"",PID_KVLohnLookup($A$1,E80,F80,LOHNTABELLE!$H$4))</f>
        <v/>
      </c>
      <c r="H80" s="153" t="str">
        <f>IF(AND(ISNUMBER(D80),ISNUMBER(F80)),ROUNDDOWN(MIN(IF(OR(ISBLANK(I80),I80=""),EOMONTH(DATE(EINSTELLUNG!$C$35,$A$1,1),0),I80)-MAX(D80,DATE(EINSTELLUNG!$C$35,$A$1,1))+1)/DAY(EOMONTH(DATE(EINSTELLUNG!$C$35,$A$1,1),0))*F80,2),"")</f>
        <v/>
      </c>
      <c r="I80" s="49"/>
      <c r="J80" s="50"/>
      <c r="K80" s="152" t="str">
        <f t="shared" si="3"/>
        <v/>
      </c>
      <c r="L80" s="15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51"/>
      <c r="N80" s="74"/>
    </row>
    <row r="81" spans="1:14" ht="22" customHeight="1">
      <c r="A81" s="151" t="s">
        <v>152</v>
      </c>
      <c r="B81" s="102"/>
      <c r="C81" s="53"/>
      <c r="D81" s="57"/>
      <c r="E81" s="55"/>
      <c r="F81" s="56"/>
      <c r="G81" s="152" t="str">
        <f>IF(OR(E81="",F81=""),"",PID_KVLohnLookup($A$1,E81,F81,LOHNTABELLE!$H$4))</f>
        <v/>
      </c>
      <c r="H81" s="153" t="str">
        <f>IF(AND(ISNUMBER(D81),ISNUMBER(F81)),ROUNDDOWN(MIN(IF(OR(ISBLANK(I81),I81=""),EOMONTH(DATE(EINSTELLUNG!$C$35,$A$1,1),0),I81)-MAX(D81,DATE(EINSTELLUNG!$C$35,$A$1,1))+1)/DAY(EOMONTH(DATE(EINSTELLUNG!$C$35,$A$1,1),0))*F81,2),"")</f>
        <v/>
      </c>
      <c r="I81" s="57"/>
      <c r="J81" s="58"/>
      <c r="K81" s="152" t="str">
        <f t="shared" si="3"/>
        <v/>
      </c>
      <c r="L81" s="15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9"/>
      <c r="N81" s="75"/>
    </row>
    <row r="82" spans="1:14" ht="22" customHeight="1" thickBot="1">
      <c r="A82" s="165" t="s">
        <v>153</v>
      </c>
      <c r="B82" s="103"/>
      <c r="C82" s="62"/>
      <c r="D82" s="63"/>
      <c r="E82" s="64"/>
      <c r="F82" s="65"/>
      <c r="G82" s="166" t="str">
        <f>IF(OR(E82="",F82=""),"",PID_KVLohnLookup($A$1,E82,F82,LOHNTABELLE!$H$4))</f>
        <v/>
      </c>
      <c r="H82" s="159" t="str">
        <f>IF(AND(ISNUMBER(D82),ISNUMBER(F82)),ROUNDDOWN(MIN(IF(OR(ISBLANK(I82),I82=""),EOMONTH(DATE(EINSTELLUNG!$C$35,$A$1,1),0),I82)-MAX(D82,DATE(EINSTELLUNG!$C$35,$A$1,1))+1)/DAY(EOMONTH(DATE(EINSTELLUNG!$C$35,$A$1,1),0))*F82,2),"")</f>
        <v/>
      </c>
      <c r="I82" s="63"/>
      <c r="J82" s="66"/>
      <c r="K82" s="166" t="str">
        <f t="shared" si="3"/>
        <v/>
      </c>
      <c r="L82" s="16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7"/>
      <c r="N82" s="78"/>
    </row>
    <row r="100" spans="26:26" ht="16" customHeight="1">
      <c r="Z100" s="142"/>
    </row>
  </sheetData>
  <sheetProtection algorithmName="SHA-512" hashValue="aZB0h61FP7EI+RdadJGd6XKPtZ/M4hAfhpJbCKJyrcX6nS/KgA4JoEf1S9QdE9rs8UelUEc0w85MnTpyL8ceyw==" saltValue="lrU5ckK/f8VPdlWDfFkjKw==" spinCount="100000" sheet="1" objects="1" scenarios="1" sort="0" autoFilter="0"/>
  <sortState xmlns:xlrd2="http://schemas.microsoft.com/office/spreadsheetml/2017/richdata2" ref="B3:N82">
    <sortCondition ref="B3:B82"/>
    <sortCondition ref="C3:C82"/>
  </sortState>
  <mergeCells count="102">
    <mergeCell ref="O45:U45"/>
    <mergeCell ref="B1:B2"/>
    <mergeCell ref="C1:C2"/>
    <mergeCell ref="D1:D2"/>
    <mergeCell ref="O16:R16"/>
    <mergeCell ref="Q3:Q4"/>
    <mergeCell ref="R3:R4"/>
    <mergeCell ref="O6:R6"/>
    <mergeCell ref="O8:P8"/>
    <mergeCell ref="Q8:R8"/>
    <mergeCell ref="Q12:R12"/>
    <mergeCell ref="Q9:R9"/>
    <mergeCell ref="O10:P10"/>
    <mergeCell ref="Q10:R10"/>
    <mergeCell ref="O44:V44"/>
    <mergeCell ref="Q19:R19"/>
    <mergeCell ref="O18:P18"/>
    <mergeCell ref="Q18:R18"/>
    <mergeCell ref="O42:P42"/>
    <mergeCell ref="I1:I2"/>
    <mergeCell ref="J1:J2"/>
    <mergeCell ref="K1:K2"/>
    <mergeCell ref="L1:L2"/>
    <mergeCell ref="O39:P39"/>
    <mergeCell ref="O40:P40"/>
    <mergeCell ref="O41:P41"/>
    <mergeCell ref="O3:O4"/>
    <mergeCell ref="P3:P4"/>
    <mergeCell ref="O9:P9"/>
    <mergeCell ref="O20:P20"/>
    <mergeCell ref="O19:P19"/>
    <mergeCell ref="O28:P28"/>
    <mergeCell ref="O12:P12"/>
    <mergeCell ref="O25:P25"/>
    <mergeCell ref="O11:P11"/>
    <mergeCell ref="O22:P22"/>
    <mergeCell ref="O38:P38"/>
    <mergeCell ref="Q11:R11"/>
    <mergeCell ref="O13:P13"/>
    <mergeCell ref="Q13:R13"/>
    <mergeCell ref="O14:P14"/>
    <mergeCell ref="Q14:R14"/>
    <mergeCell ref="O15:P15"/>
    <mergeCell ref="Q15:R15"/>
    <mergeCell ref="O17:P17"/>
    <mergeCell ref="Q17:R17"/>
    <mergeCell ref="Q22:R22"/>
    <mergeCell ref="O23:P23"/>
    <mergeCell ref="Q23:R23"/>
    <mergeCell ref="O24:P24"/>
    <mergeCell ref="Q24:R24"/>
    <mergeCell ref="Q28:R28"/>
    <mergeCell ref="Q20:R20"/>
    <mergeCell ref="O21:P21"/>
    <mergeCell ref="Q21:R21"/>
    <mergeCell ref="Q38:R38"/>
    <mergeCell ref="S38:T38"/>
    <mergeCell ref="O37:P37"/>
    <mergeCell ref="O35:P35"/>
    <mergeCell ref="O36:P36"/>
    <mergeCell ref="Q36:R36"/>
    <mergeCell ref="S36:T36"/>
    <mergeCell ref="Q25:R25"/>
    <mergeCell ref="O26:P26"/>
    <mergeCell ref="Q26:R26"/>
    <mergeCell ref="Q27:R27"/>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C2C64B2F-7D14-2C4C-ADDB-1E663902A46A}">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90EF2ED0-7045-1348-A2BD-05B6626A8941}">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0DD2B7F2-F940-2545-ABF8-D9768E356287}">
          <x14:formula1>
            <xm:f>KV_DROPDOWN_HELPER!$AJY$1:$AJY$12</xm:f>
          </x14:formula1>
          <xm:sqref>E3:E82</xm:sqref>
        </x14:dataValidation>
        <x14:dataValidation type="list" allowBlank="1" showInputMessage="1" showErrorMessage="1" xr:uid="{A5B93285-CE8B-4B45-ACD6-CA5FCA4FAE05}">
          <x14:formula1>
            <xm:f>KV_DROPDOWN_HELPER!$FF$1:$FF$13</xm:f>
          </x14:formula1>
          <xm:sqref>F4 F5 F8 F15</xm:sqref>
        </x14:dataValidation>
        <x14:dataValidation type="list" allowBlank="1" showInputMessage="1" showErrorMessage="1" xr:uid="{33674D9A-742D-CA49-8768-562DA5E7AEF2}">
          <x14:formula1>
            <xm:f>KV_DROPDOWN_HELPER!$FG$1:$FG$13</xm:f>
          </x14:formula1>
          <xm:sqref>F7 F9 F10 F11 F14 F21 F61</xm:sqref>
        </x14:dataValidation>
        <x14:dataValidation type="list" allowBlank="1" showInputMessage="1" showErrorMessage="1" xr:uid="{CD270973-C4E4-3E4E-8A55-E671E7429B12}">
          <x14:formula1>
            <xm:f>KV_DROPDOWN_HELPER!$FJ$1:$FJ$13</xm:f>
          </x14:formula1>
          <xm:sqref>F24</xm:sqref>
        </x14:dataValidation>
        <x14:dataValidation type="list" allowBlank="1" showInputMessage="1" showErrorMessage="1" xr:uid="{0FF71FE5-837D-7C4B-9642-3CC78AE6742B}">
          <x14:formula1>
            <xm:f>KV_DROPDOWN_HELPER!$FK$1:$FK$13</xm:f>
          </x14:formula1>
          <xm:sqref>F66 F67 F68 F69 F70 F71 F72 F73 F74 F75 F76 F77 F78 F79 F80 F81 F82</xm:sqref>
        </x14:dataValidation>
        <x14:dataValidation type="list" allowBlank="1" showInputMessage="1" showErrorMessage="1" xr:uid="{C0715FB4-2120-4344-A238-84312A59E72C}">
          <x14:formula1>
            <xm:f>KV_DROPDOWN_HELPER!$FI$1:$FI$13</xm:f>
          </x14:formula1>
          <xm:sqref>F20</xm:sqref>
        </x14:dataValidation>
        <x14:dataValidation type="list" allowBlank="1" showInputMessage="1" showErrorMessage="1" xr:uid="{8B661757-489E-4F40-85CE-C267EF928035}">
          <x14:formula1>
            <xm:f>KV_DROPDOWN_HELPER!$FE$1:$FE$15</xm:f>
          </x14:formula1>
          <xm:sqref>F3 F6 F12 F13 F16 F18 F19 F22 F23 F26 F27 F29 F31 F32 F33 F34 F35 F36 F37 F38 F39 F40 F41 F42 F43 F44 F45 F46 F47 F48 F49 F50 F51 F52 F53 F54 F55 F56 F57 F58 F59 F60 F62 F63 F64 F65</xm:sqref>
        </x14:dataValidation>
        <x14:dataValidation type="list" allowBlank="1" showInputMessage="1" showErrorMessage="1" xr:uid="{2AB5396C-82E7-4892-84A4-A45F78E5A978}">
          <x14:formula1>
            <xm:f>KV_DROPDOWN_HELPER!$FH$1:$FH$13</xm:f>
          </x14:formula1>
          <xm:sqref>F17 F25 F28 F30</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D575F9-786C-4425-96E4-E30C2373A72A}">
  <sheetPr codeName="Tabelle6"/>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169" customWidth="1"/>
    <col min="2" max="2" width="9.1796875" style="169" customWidth="1"/>
    <col min="3" max="3" width="35.6328125" style="141" customWidth="1"/>
    <col min="4" max="4" width="13.6328125" style="141" customWidth="1"/>
    <col min="5" max="5" width="9.6328125" style="141" customWidth="1"/>
    <col min="6" max="6" width="10.6328125" style="141" customWidth="1"/>
    <col min="7" max="7" width="13.6328125" style="141" customWidth="1"/>
    <col min="8" max="8" width="11.6328125" style="141" customWidth="1"/>
    <col min="9" max="10" width="13.6328125" style="141" customWidth="1"/>
    <col min="11" max="11" width="14.6328125" style="141" customWidth="1"/>
    <col min="12" max="12" width="14.6328125" style="162" customWidth="1"/>
    <col min="13" max="13" width="17.81640625" style="141" customWidth="1"/>
    <col min="14" max="14" width="34.6328125" style="141" customWidth="1"/>
    <col min="15" max="15" width="12.6328125" style="141" customWidth="1"/>
    <col min="16" max="16" width="16.6328125" style="141" customWidth="1"/>
    <col min="17" max="17" width="14.6328125" style="141" customWidth="1"/>
    <col min="18" max="18" width="13.6328125" style="141" customWidth="1"/>
    <col min="19" max="19" width="9.6328125" style="141" customWidth="1"/>
    <col min="20" max="20" width="10.6328125" style="141" customWidth="1"/>
    <col min="21" max="21" width="7.6328125" style="141" customWidth="1"/>
    <col min="22" max="27" width="9.1796875" style="141"/>
    <col min="28" max="28" width="10.6328125" style="141" bestFit="1" customWidth="1"/>
    <col min="29" max="16384" width="9.1796875" style="141"/>
  </cols>
  <sheetData>
    <row r="1" spans="1:28" ht="18" customHeight="1">
      <c r="A1" s="301">
        <v>4</v>
      </c>
      <c r="B1" s="304" t="s">
        <v>180</v>
      </c>
      <c r="C1" s="280" t="s">
        <v>39</v>
      </c>
      <c r="D1" s="280" t="s">
        <v>181</v>
      </c>
      <c r="E1" s="280" t="s">
        <v>0</v>
      </c>
      <c r="F1" s="280" t="s">
        <v>40</v>
      </c>
      <c r="G1" s="280" t="s">
        <v>41</v>
      </c>
      <c r="H1" s="280" t="s">
        <v>42</v>
      </c>
      <c r="I1" s="280" t="s">
        <v>182</v>
      </c>
      <c r="J1" s="280" t="s">
        <v>43</v>
      </c>
      <c r="K1" s="280" t="s">
        <v>44</v>
      </c>
      <c r="L1" s="280" t="s">
        <v>45</v>
      </c>
      <c r="M1" s="280" t="s">
        <v>46</v>
      </c>
      <c r="N1" s="282" t="s">
        <v>183</v>
      </c>
      <c r="AB1" s="143">
        <f>DATE(EINSTELLUNG!$C$35,$A$1,1)</f>
        <v>46113</v>
      </c>
    </row>
    <row r="2" spans="1:28" ht="18" customHeight="1" thickBot="1">
      <c r="A2" s="287"/>
      <c r="B2" s="305"/>
      <c r="C2" s="294"/>
      <c r="D2" s="294"/>
      <c r="E2" s="294"/>
      <c r="F2" s="294"/>
      <c r="G2" s="294"/>
      <c r="H2" s="294"/>
      <c r="I2" s="294"/>
      <c r="J2" s="294"/>
      <c r="K2" s="294"/>
      <c r="L2" s="294"/>
      <c r="M2" s="294"/>
      <c r="N2" s="298"/>
      <c r="O2" s="144"/>
      <c r="P2" s="144"/>
      <c r="Q2" s="144"/>
      <c r="S2" s="208" t="s">
        <v>394</v>
      </c>
      <c r="T2" s="208"/>
      <c r="U2" s="208"/>
      <c r="V2" s="208"/>
      <c r="AB2" s="143">
        <f>EOMONTH(DATE(EINSTELLUNG!$C$35,$A$1,1),0)</f>
        <v>46142</v>
      </c>
    </row>
    <row r="3" spans="1:28" ht="22" customHeight="1">
      <c r="A3" s="145" t="s">
        <v>401</v>
      </c>
      <c r="B3" s="100">
        <v>401010</v>
      </c>
      <c r="C3" s="37" t="s">
        <v>224</v>
      </c>
      <c r="D3" s="38">
        <v>39388</v>
      </c>
      <c r="E3" s="39" t="s">
        <v>2</v>
      </c>
      <c r="F3" s="68">
        <v>169</v>
      </c>
      <c r="G3" s="146">
        <f>IF(OR(E3="",F3=""),"",PID_KVLohnLookup($A$1,E3,F3,LOHNTABELLE!$H$4))</f>
        <v>2000</v>
      </c>
      <c r="H3" s="147">
        <f>IF(AND(ISNUMBER(D3),ISNUMBER(F3)),ROUNDDOWN(MIN(IF(OR(ISBLANK(I3),I3=""),EOMONTH(DATE(EINSTELLUNG!$C$35,$A$1,1),0),I3)-MAX(D3,DATE(EINSTELLUNG!$C$35,$A$1,1))+1)/DAY(EOMONTH(DATE(EINSTELLUNG!$C$35,$A$1,1),0))*F3,2),"")</f>
        <v>169</v>
      </c>
      <c r="I3" s="41"/>
      <c r="J3" s="42"/>
      <c r="K3" s="146">
        <f t="shared" ref="K3:K34" si="0">IF(OR(B3="",C3=""),"",IFERROR(IF(OR(MONTH(D3)=1,MONTH(D3)=3,MONTH(D3)=5,MONTH(D3)=7,MONTH(D3)=8,MONTH(D3)=10,MONTH(D3)=12),(G3/31)*J3,IF(OR(MONTH(D3)=4,MONTH(D3)=6,MONTH(D3)=9,MONTH(D3)=11),(G3/30)*J3,(G3/DAY(EOMONTH(D3,0)))*J3)),0))</f>
        <v>0</v>
      </c>
      <c r="L3" s="14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3"/>
      <c r="N3" s="73"/>
      <c r="O3" s="236" t="s">
        <v>47</v>
      </c>
      <c r="P3" s="236" t="s">
        <v>48</v>
      </c>
      <c r="Q3" s="236" t="s">
        <v>49</v>
      </c>
      <c r="R3" s="272" t="s">
        <v>50</v>
      </c>
      <c r="S3" s="149"/>
      <c r="T3" s="149"/>
      <c r="U3" s="149"/>
      <c r="V3" s="149"/>
      <c r="AB3" s="150"/>
    </row>
    <row r="4" spans="1:28" ht="22" customHeight="1">
      <c r="A4" s="151" t="s">
        <v>51</v>
      </c>
      <c r="B4" s="101">
        <v>401047</v>
      </c>
      <c r="C4" s="45" t="s">
        <v>226</v>
      </c>
      <c r="D4" s="46">
        <v>41154</v>
      </c>
      <c r="E4" s="47" t="s">
        <v>4</v>
      </c>
      <c r="F4" s="69">
        <v>173</v>
      </c>
      <c r="G4" s="152">
        <f>IF(OR(E4="",F4=""),"",PID_KVLohnLookup($A$1,E4,F4,LOHNTABELLE!$H$4))</f>
        <v>2123</v>
      </c>
      <c r="H4" s="153">
        <f>IF(AND(ISNUMBER(D4),ISNUMBER(F4)),ROUNDDOWN(MIN(IF(OR(ISBLANK(I4),I4=""),EOMONTH(DATE(EINSTELLUNG!$C$35,$A$1,1),0),I4)-MAX(D4,DATE(EINSTELLUNG!$C$35,$A$1,1))+1)/DAY(EOMONTH(DATE(EINSTELLUNG!$C$35,$A$1,1),0))*F4,2),"")</f>
        <v>173</v>
      </c>
      <c r="I4" s="49"/>
      <c r="J4" s="50"/>
      <c r="K4" s="152">
        <f t="shared" si="0"/>
        <v>0</v>
      </c>
      <c r="L4" s="15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51"/>
      <c r="N4" s="74"/>
      <c r="O4" s="237"/>
      <c r="P4" s="237"/>
      <c r="Q4" s="237"/>
      <c r="R4" s="273"/>
      <c r="S4" s="149"/>
      <c r="T4" s="149"/>
      <c r="U4" s="149"/>
      <c r="V4" s="149"/>
    </row>
    <row r="5" spans="1:28" ht="22" customHeight="1">
      <c r="A5" s="151" t="s">
        <v>52</v>
      </c>
      <c r="B5" s="102">
        <v>401049</v>
      </c>
      <c r="C5" s="53" t="s">
        <v>225</v>
      </c>
      <c r="D5" s="54">
        <v>41130</v>
      </c>
      <c r="E5" s="55" t="s">
        <v>4</v>
      </c>
      <c r="F5" s="56">
        <v>173</v>
      </c>
      <c r="G5" s="152">
        <f>IF(OR(E5="",F5=""),"",PID_KVLohnLookup($A$1,E5,F5,LOHNTABELLE!$H$4))</f>
        <v>2123</v>
      </c>
      <c r="H5" s="153">
        <f>IF(AND(ISNUMBER(D5),ISNUMBER(F5)),ROUNDDOWN(MIN(IF(OR(ISBLANK(I5),I5=""),EOMONTH(DATE(EINSTELLUNG!$C$35,$A$1,1),0),I5)-MAX(D5,DATE(EINSTELLUNG!$C$35,$A$1,1))+1)/DAY(EOMONTH(DATE(EINSTELLUNG!$C$35,$A$1,1),0))*F5,2),"")</f>
        <v>173</v>
      </c>
      <c r="I5" s="57"/>
      <c r="J5" s="58"/>
      <c r="K5" s="152">
        <f t="shared" si="0"/>
        <v>0</v>
      </c>
      <c r="L5" s="15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9"/>
      <c r="N5" s="75"/>
      <c r="O5" s="155" cm="1">
        <f t="array" ref="O5">SUMPRODUCT((F3:F82/4.310808)/5*2.08)</f>
        <v>884.65264052585962</v>
      </c>
      <c r="P5" s="156">
        <f>EINSTELLUNG!I9</f>
        <v>600</v>
      </c>
      <c r="Q5" s="156">
        <f>P5-O5</f>
        <v>-284.65264052585962</v>
      </c>
      <c r="R5" s="157">
        <f>IFERROR(Q5*Q42, 0)</f>
        <v>-3399.7781776095803</v>
      </c>
      <c r="S5" s="149"/>
      <c r="T5" s="149"/>
      <c r="U5" s="149"/>
      <c r="V5" s="149"/>
    </row>
    <row r="6" spans="1:28" ht="22" customHeight="1">
      <c r="A6" s="151" t="s">
        <v>53</v>
      </c>
      <c r="B6" s="101">
        <v>401051</v>
      </c>
      <c r="C6" s="45" t="s">
        <v>227</v>
      </c>
      <c r="D6" s="46">
        <v>41176</v>
      </c>
      <c r="E6" s="47" t="s">
        <v>2</v>
      </c>
      <c r="F6" s="48">
        <v>173</v>
      </c>
      <c r="G6" s="152">
        <f>IF(OR(E6="",F6=""),"",PID_KVLohnLookup($A$1,E6,F6,LOHNTABELLE!$H$4))</f>
        <v>2021</v>
      </c>
      <c r="H6" s="153">
        <f>IF(AND(ISNUMBER(D6),ISNUMBER(F6)),ROUNDDOWN(MIN(IF(OR(ISBLANK(I6),I6=""),EOMONTH(DATE(EINSTELLUNG!$C$35,$A$1,1),0),I6)-MAX(D6,DATE(EINSTELLUNG!$C$35,$A$1,1))+1)/DAY(EOMONTH(DATE(EINSTELLUNG!$C$35,$A$1,1),0))*F6,2),"")</f>
        <v>173</v>
      </c>
      <c r="I6" s="49"/>
      <c r="J6" s="50"/>
      <c r="K6" s="152">
        <f t="shared" si="0"/>
        <v>0</v>
      </c>
      <c r="L6" s="15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2021</v>
      </c>
      <c r="M6" s="51"/>
      <c r="N6" s="74"/>
      <c r="O6" s="266" t="str">
        <f>IF(Q5&lt;0, "Schlecht! Zu wenig Urlaub abgebaut.", IF(Q5&gt;0, "Gut! Mehr Urlaub abgebaut als aufgebaut.", ""))</f>
        <v>Schlecht! Zu wenig Urlaub abgebaut.</v>
      </c>
      <c r="P6" s="267"/>
      <c r="Q6" s="267"/>
      <c r="R6" s="268"/>
      <c r="S6" s="149"/>
      <c r="T6" s="149"/>
      <c r="U6" s="149"/>
      <c r="V6" s="149"/>
    </row>
    <row r="7" spans="1:28" ht="22" customHeight="1" thickBot="1">
      <c r="A7" s="151" t="s">
        <v>54</v>
      </c>
      <c r="B7" s="102">
        <v>401089</v>
      </c>
      <c r="C7" s="53" t="s">
        <v>241</v>
      </c>
      <c r="D7" s="54">
        <v>44868</v>
      </c>
      <c r="E7" s="55" t="s">
        <v>3</v>
      </c>
      <c r="F7" s="56">
        <v>173</v>
      </c>
      <c r="G7" s="152">
        <f>IF(OR(E7="",F7=""),"",PID_KVLohnLookup($A$1,E7,F7,LOHNTABELLE!$H$4))</f>
        <v>2082</v>
      </c>
      <c r="H7" s="153">
        <f>IF(AND(ISNUMBER(D7),ISNUMBER(F7)),ROUNDDOWN(MIN(IF(OR(ISBLANK(I7),I7=""),EOMONTH(DATE(EINSTELLUNG!$C$35,$A$1,1),0),I7)-MAX(D7,DATE(EINSTELLUNG!$C$35,$A$1,1))+1)/DAY(EOMONTH(DATE(EINSTELLUNG!$C$35,$A$1,1),0))*F7,2),"")</f>
        <v>173</v>
      </c>
      <c r="I7" s="57"/>
      <c r="J7" s="58"/>
      <c r="K7" s="152">
        <f t="shared" si="0"/>
        <v>0</v>
      </c>
      <c r="L7" s="15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9"/>
      <c r="N7" s="75"/>
      <c r="O7" s="149"/>
      <c r="P7" s="149"/>
      <c r="Q7" s="149"/>
      <c r="R7" s="149"/>
      <c r="S7" s="149"/>
      <c r="T7" s="149"/>
      <c r="U7" s="149"/>
      <c r="V7" s="149"/>
    </row>
    <row r="8" spans="1:28" ht="22" customHeight="1">
      <c r="A8" s="151" t="s">
        <v>55</v>
      </c>
      <c r="B8" s="101">
        <v>401138</v>
      </c>
      <c r="C8" s="45" t="s">
        <v>228</v>
      </c>
      <c r="D8" s="46">
        <v>42006</v>
      </c>
      <c r="E8" s="47" t="s">
        <v>4</v>
      </c>
      <c r="F8" s="48">
        <v>173</v>
      </c>
      <c r="G8" s="152">
        <f>IF(OR(E8="",F8=""),"",PID_KVLohnLookup($A$1,E8,F8,LOHNTABELLE!$H$4))</f>
        <v>2123</v>
      </c>
      <c r="H8" s="153">
        <f>IF(AND(ISNUMBER(D8),ISNUMBER(F8)),ROUNDDOWN(MIN(IF(OR(ISBLANK(I8),I8=""),EOMONTH(DATE(EINSTELLUNG!$C$35,$A$1,1),0),I8)-MAX(D8,DATE(EINSTELLUNG!$C$35,$A$1,1))+1)/DAY(EOMONTH(DATE(EINSTELLUNG!$C$35,$A$1,1),0))*F8,2),"")</f>
        <v>173</v>
      </c>
      <c r="I8" s="49"/>
      <c r="J8" s="50"/>
      <c r="K8" s="152">
        <f t="shared" si="0"/>
        <v>0</v>
      </c>
      <c r="L8" s="15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51"/>
      <c r="N8" s="74"/>
      <c r="O8" s="250" t="s">
        <v>56</v>
      </c>
      <c r="P8" s="251"/>
      <c r="Q8" s="252">
        <f>SUM(H3:H82)</f>
        <v>9064.869999999999</v>
      </c>
      <c r="R8" s="253"/>
      <c r="S8" s="149"/>
      <c r="T8" s="149"/>
      <c r="U8" s="149"/>
      <c r="V8" s="149"/>
    </row>
    <row r="9" spans="1:28" ht="22" customHeight="1">
      <c r="A9" s="151" t="s">
        <v>57</v>
      </c>
      <c r="B9" s="102">
        <v>401197</v>
      </c>
      <c r="C9" s="53" t="s">
        <v>229</v>
      </c>
      <c r="D9" s="54">
        <v>42644</v>
      </c>
      <c r="E9" s="55" t="s">
        <v>3</v>
      </c>
      <c r="F9" s="56">
        <v>173</v>
      </c>
      <c r="G9" s="152">
        <f>IF(OR(E9="",F9=""),"",PID_KVLohnLookup($A$1,E9,F9,LOHNTABELLE!$H$4))</f>
        <v>2082</v>
      </c>
      <c r="H9" s="153">
        <f>IF(AND(ISNUMBER(D9),ISNUMBER(F9)),ROUNDDOWN(MIN(IF(OR(ISBLANK(I9),I9=""),EOMONTH(DATE(EINSTELLUNG!$C$35,$A$1,1),0),I9)-MAX(D9,DATE(EINSTELLUNG!$C$35,$A$1,1))+1)/DAY(EOMONTH(DATE(EINSTELLUNG!$C$35,$A$1,1),0))*F9,2),"")</f>
        <v>173</v>
      </c>
      <c r="I9" s="57"/>
      <c r="J9" s="58"/>
      <c r="K9" s="152">
        <f t="shared" si="0"/>
        <v>0</v>
      </c>
      <c r="L9" s="15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9"/>
      <c r="N9" s="75"/>
      <c r="O9" s="254" t="s">
        <v>58</v>
      </c>
      <c r="P9" s="255"/>
      <c r="Q9" s="269">
        <f>EINSTELLUNG!L25</f>
        <v>4</v>
      </c>
      <c r="R9" s="270"/>
      <c r="S9" s="158">
        <f>IFERROR(Q9/Q8, 0)</f>
        <v>4.4126391222378263E-4</v>
      </c>
      <c r="T9" s="149"/>
      <c r="U9" s="149"/>
      <c r="V9" s="149"/>
    </row>
    <row r="10" spans="1:28" ht="22" customHeight="1">
      <c r="A10" s="151" t="s">
        <v>59</v>
      </c>
      <c r="B10" s="101">
        <v>401214</v>
      </c>
      <c r="C10" s="45" t="s">
        <v>255</v>
      </c>
      <c r="D10" s="46">
        <v>45636</v>
      </c>
      <c r="E10" s="47" t="s">
        <v>3</v>
      </c>
      <c r="F10" s="48">
        <v>173</v>
      </c>
      <c r="G10" s="152">
        <f>IF(OR(E10="",F10=""),"",PID_KVLohnLookup($A$1,E10,F10,LOHNTABELLE!$H$4))</f>
        <v>2082</v>
      </c>
      <c r="H10" s="153">
        <f>IF(AND(ISNUMBER(D10),ISNUMBER(F10)),ROUNDDOWN(MIN(IF(OR(ISBLANK(I10),I10=""),EOMONTH(DATE(EINSTELLUNG!$C$35,$A$1,1),0),I10)-MAX(D10,DATE(EINSTELLUNG!$C$35,$A$1,1))+1)/DAY(EOMONTH(DATE(EINSTELLUNG!$C$35,$A$1,1),0))*F10,2),"")</f>
        <v>173</v>
      </c>
      <c r="I10" s="49"/>
      <c r="J10" s="50"/>
      <c r="K10" s="152">
        <f t="shared" si="0"/>
        <v>0</v>
      </c>
      <c r="L10" s="15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51"/>
      <c r="N10" s="74"/>
      <c r="O10" s="254" t="s">
        <v>60</v>
      </c>
      <c r="P10" s="255"/>
      <c r="Q10" s="269">
        <f>EINSTELLUNG!I25</f>
        <v>150</v>
      </c>
      <c r="R10" s="270"/>
      <c r="S10" s="149"/>
      <c r="T10" s="149"/>
      <c r="U10" s="149"/>
      <c r="V10" s="149"/>
    </row>
    <row r="11" spans="1:28" ht="22" customHeight="1">
      <c r="A11" s="151" t="s">
        <v>61</v>
      </c>
      <c r="B11" s="102">
        <v>401276</v>
      </c>
      <c r="C11" s="53" t="s">
        <v>230</v>
      </c>
      <c r="D11" s="54">
        <v>43252</v>
      </c>
      <c r="E11" s="55" t="s">
        <v>3</v>
      </c>
      <c r="F11" s="56">
        <v>173</v>
      </c>
      <c r="G11" s="152">
        <f>IF(OR(E11="",F11=""),"",PID_KVLohnLookup($A$1,E11,F11,LOHNTABELLE!$H$4))</f>
        <v>2082</v>
      </c>
      <c r="H11" s="153">
        <f>IF(AND(ISNUMBER(D11),ISNUMBER(F11)),ROUNDDOWN(MIN(IF(OR(ISBLANK(I11),I11=""),EOMONTH(DATE(EINSTELLUNG!$C$35,$A$1,1),0),I11)-MAX(D11,DATE(EINSTELLUNG!$C$35,$A$1,1))+1)/DAY(EOMONTH(DATE(EINSTELLUNG!$C$35,$A$1,1),0))*F11,2),"")</f>
        <v>173</v>
      </c>
      <c r="I11" s="57"/>
      <c r="J11" s="58"/>
      <c r="K11" s="152">
        <f t="shared" si="0"/>
        <v>0</v>
      </c>
      <c r="L11" s="15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9"/>
      <c r="N11" s="75"/>
      <c r="O11" s="254" t="s">
        <v>62</v>
      </c>
      <c r="P11" s="255"/>
      <c r="Q11" s="269">
        <f>P5</f>
        <v>600</v>
      </c>
      <c r="R11" s="270"/>
      <c r="S11" s="149"/>
      <c r="T11" s="149"/>
      <c r="U11" s="149"/>
      <c r="V11" s="149"/>
    </row>
    <row r="12" spans="1:28" ht="22" customHeight="1">
      <c r="A12" s="151" t="s">
        <v>63</v>
      </c>
      <c r="B12" s="101">
        <v>401276</v>
      </c>
      <c r="C12" s="45" t="s">
        <v>406</v>
      </c>
      <c r="D12" s="46">
        <v>38899</v>
      </c>
      <c r="E12" s="47" t="s">
        <v>2</v>
      </c>
      <c r="F12" s="48">
        <v>55</v>
      </c>
      <c r="G12" s="152">
        <f>IF(OR(E12="",F12=""),"",PID_KVLohnLookup($A$1,E12,F12,LOHNTABELLE!$H$4))</f>
        <v>666</v>
      </c>
      <c r="H12" s="153">
        <f>IF(AND(ISNUMBER(D12),ISNUMBER(F12)),ROUNDDOWN(MIN(IF(OR(ISBLANK(I12),I12=""),EOMONTH(DATE(EINSTELLUNG!$C$35,$A$1,1),0),I12)-MAX(D12,DATE(EINSTELLUNG!$C$35,$A$1,1))+1)/DAY(EOMONTH(DATE(EINSTELLUNG!$C$35,$A$1,1),0))*F12,2),"")</f>
        <v>55</v>
      </c>
      <c r="I12" s="49"/>
      <c r="J12" s="50"/>
      <c r="K12" s="152">
        <f t="shared" si="0"/>
        <v>0</v>
      </c>
      <c r="L12" s="15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51"/>
      <c r="N12" s="74"/>
      <c r="O12" s="254" t="s">
        <v>64</v>
      </c>
      <c r="P12" s="255"/>
      <c r="Q12" s="258">
        <v>-260</v>
      </c>
      <c r="R12" s="259"/>
      <c r="S12" s="149"/>
      <c r="T12" s="149"/>
      <c r="U12" s="149"/>
      <c r="V12" s="149"/>
    </row>
    <row r="13" spans="1:28" ht="22" customHeight="1">
      <c r="A13" s="151" t="s">
        <v>65</v>
      </c>
      <c r="B13" s="102">
        <v>401307</v>
      </c>
      <c r="C13" s="53" t="s">
        <v>231</v>
      </c>
      <c r="D13" s="54">
        <v>43571</v>
      </c>
      <c r="E13" s="55" t="s">
        <v>2</v>
      </c>
      <c r="F13" s="56">
        <v>55</v>
      </c>
      <c r="G13" s="152">
        <f>IF(OR(E13="",F13=""),"",PID_KVLohnLookup($A$1,E13,F13,LOHNTABELLE!$H$4))</f>
        <v>666</v>
      </c>
      <c r="H13" s="153">
        <f>IF(AND(ISNUMBER(D13),ISNUMBER(F13)),ROUNDDOWN(MIN(IF(OR(ISBLANK(I13),I13=""),EOMONTH(DATE(EINSTELLUNG!$C$35,$A$1,1),0),I13)-MAX(D13,DATE(EINSTELLUNG!$C$35,$A$1,1))+1)/DAY(EOMONTH(DATE(EINSTELLUNG!$C$35,$A$1,1),0))*F13,2),"")</f>
        <v>55</v>
      </c>
      <c r="I13" s="57"/>
      <c r="J13" s="58"/>
      <c r="K13" s="152">
        <f t="shared" si="0"/>
        <v>0</v>
      </c>
      <c r="L13" s="15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9"/>
      <c r="N13" s="75"/>
      <c r="O13" s="254" t="s">
        <v>66</v>
      </c>
      <c r="P13" s="255"/>
      <c r="Q13" s="269">
        <f>Q8-Q9-Q10-Q11-Q12</f>
        <v>8570.869999999999</v>
      </c>
      <c r="R13" s="270"/>
      <c r="S13" s="149"/>
      <c r="T13" s="149"/>
      <c r="U13" s="149"/>
      <c r="V13" s="149"/>
    </row>
    <row r="14" spans="1:28" ht="22" customHeight="1">
      <c r="A14" s="151" t="s">
        <v>67</v>
      </c>
      <c r="B14" s="101">
        <v>401308</v>
      </c>
      <c r="C14" s="45" t="s">
        <v>232</v>
      </c>
      <c r="D14" s="46">
        <v>43579</v>
      </c>
      <c r="E14" s="47" t="s">
        <v>3</v>
      </c>
      <c r="F14" s="48">
        <v>173</v>
      </c>
      <c r="G14" s="152">
        <f>IF(OR(E14="",F14=""),"",PID_KVLohnLookup($A$1,E14,F14,LOHNTABELLE!$H$4))</f>
        <v>2082</v>
      </c>
      <c r="H14" s="153">
        <f>IF(AND(ISNUMBER(D14),ISNUMBER(F14)),ROUNDDOWN(MIN(IF(OR(ISBLANK(I14),I14=""),EOMONTH(DATE(EINSTELLUNG!$C$35,$A$1,1),0),I14)-MAX(D14,DATE(EINSTELLUNG!$C$35,$A$1,1))+1)/DAY(EOMONTH(DATE(EINSTELLUNG!$C$35,$A$1,1),0))*F14,2),"")</f>
        <v>173</v>
      </c>
      <c r="I14" s="49"/>
      <c r="J14" s="50"/>
      <c r="K14" s="152">
        <f t="shared" si="0"/>
        <v>0</v>
      </c>
      <c r="L14" s="15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51"/>
      <c r="N14" s="74"/>
      <c r="O14" s="254" t="s">
        <v>68</v>
      </c>
      <c r="P14" s="255"/>
      <c r="Q14" s="269">
        <f>EINSTELLUNG!L9</f>
        <v>9300</v>
      </c>
      <c r="R14" s="270"/>
      <c r="S14" s="149"/>
      <c r="T14" s="149"/>
      <c r="U14" s="149"/>
      <c r="V14" s="149"/>
    </row>
    <row r="15" spans="1:28" ht="22" customHeight="1" thickBot="1">
      <c r="A15" s="151" t="s">
        <v>69</v>
      </c>
      <c r="B15" s="102">
        <v>401389</v>
      </c>
      <c r="C15" s="53" t="s">
        <v>234</v>
      </c>
      <c r="D15" s="54">
        <v>44384</v>
      </c>
      <c r="E15" s="55" t="s">
        <v>4</v>
      </c>
      <c r="F15" s="56">
        <v>151.38</v>
      </c>
      <c r="G15" s="152">
        <f>IF(OR(E15="",F15=""),"",PID_KVLohnLookup($A$1,E15,F15,LOHNTABELLE!$H$4))</f>
        <v>1857.63</v>
      </c>
      <c r="H15" s="153">
        <f>IF(AND(ISNUMBER(D15),ISNUMBER(F15)),ROUNDDOWN(MIN(IF(OR(ISBLANK(I15),I15=""),EOMONTH(DATE(EINSTELLUNG!$C$35,$A$1,1),0),I15)-MAX(D15,DATE(EINSTELLUNG!$C$35,$A$1,1))+1)/DAY(EOMONTH(DATE(EINSTELLUNG!$C$35,$A$1,1),0))*F15,2),"")</f>
        <v>100.92</v>
      </c>
      <c r="I15" s="57">
        <v>46132</v>
      </c>
      <c r="J15" s="58"/>
      <c r="K15" s="152">
        <f t="shared" si="0"/>
        <v>0</v>
      </c>
      <c r="L15" s="15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1238.42</v>
      </c>
      <c r="M15" s="59"/>
      <c r="N15" s="75" t="s">
        <v>184</v>
      </c>
      <c r="O15" s="240" t="s">
        <v>70</v>
      </c>
      <c r="P15" s="241"/>
      <c r="Q15" s="242">
        <f>Q13-Q14</f>
        <v>-729.13000000000102</v>
      </c>
      <c r="R15" s="243"/>
      <c r="S15" s="160"/>
      <c r="T15" s="160"/>
      <c r="U15" s="160"/>
      <c r="V15" s="149"/>
    </row>
    <row r="16" spans="1:28" ht="22" customHeight="1" thickBot="1">
      <c r="A16" s="151" t="s">
        <v>71</v>
      </c>
      <c r="B16" s="101">
        <v>401394</v>
      </c>
      <c r="C16" s="45" t="s">
        <v>233</v>
      </c>
      <c r="D16" s="46">
        <v>44379</v>
      </c>
      <c r="E16" s="47" t="s">
        <v>2</v>
      </c>
      <c r="F16" s="48">
        <v>173</v>
      </c>
      <c r="G16" s="152">
        <f>IF(OR(E16="",F16=""),"",PID_KVLohnLookup($A$1,E16,F16,LOHNTABELLE!$H$4))</f>
        <v>2021</v>
      </c>
      <c r="H16" s="153">
        <f>IF(AND(ISNUMBER(D16),ISNUMBER(F16)),ROUNDDOWN(MIN(IF(OR(ISBLANK(I16),I16=""),EOMONTH(DATE(EINSTELLUNG!$C$35,$A$1,1),0),I16)-MAX(D16,DATE(EINSTELLUNG!$C$35,$A$1,1))+1)/DAY(EOMONTH(DATE(EINSTELLUNG!$C$35,$A$1,1),0))*F16,2),"")</f>
        <v>173</v>
      </c>
      <c r="I16" s="49"/>
      <c r="J16" s="50"/>
      <c r="K16" s="152">
        <f t="shared" si="0"/>
        <v>0</v>
      </c>
      <c r="L16" s="15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2021</v>
      </c>
      <c r="M16" s="51"/>
      <c r="N16" s="74"/>
      <c r="O16" s="319" t="str">
        <f>IF(Q15&lt;0, "Schlecht! Zu wenig Stunden für Dienstplan.", IF(Q15&gt;0, "Du hast mehr als genug Stunden für Dienstplan.", ""))</f>
        <v>Schlecht! Zu wenig Stunden für Dienstplan.</v>
      </c>
      <c r="P16" s="245"/>
      <c r="Q16" s="245"/>
      <c r="R16" s="246"/>
      <c r="S16" s="161"/>
      <c r="T16" s="161"/>
      <c r="U16" s="161"/>
      <c r="V16" s="161"/>
      <c r="W16" s="162"/>
    </row>
    <row r="17" spans="1:29" ht="22" customHeight="1">
      <c r="A17" s="151" t="s">
        <v>72</v>
      </c>
      <c r="B17" s="102">
        <v>401406</v>
      </c>
      <c r="C17" s="53" t="s">
        <v>407</v>
      </c>
      <c r="D17" s="57">
        <v>36850</v>
      </c>
      <c r="E17" s="55" t="s">
        <v>10</v>
      </c>
      <c r="F17" s="56">
        <v>151.38</v>
      </c>
      <c r="G17" s="152">
        <f>IF(OR(E17="",F17=""),"",PID_KVLohnLookup($A$1,E17,F17,LOHNTABELLE!$H$4))</f>
        <v>2012.5</v>
      </c>
      <c r="H17" s="153">
        <f>IF(AND(ISNUMBER(D17),ISNUMBER(F17)),ROUNDDOWN(MIN(IF(OR(ISBLANK(I17),I17=""),EOMONTH(DATE(EINSTELLUNG!$C$35,$A$1,1),0),I17)-MAX(D17,DATE(EINSTELLUNG!$C$35,$A$1,1))+1)/DAY(EOMONTH(DATE(EINSTELLUNG!$C$35,$A$1,1),0))*F17,2),"")</f>
        <v>151.38</v>
      </c>
      <c r="I17" s="57"/>
      <c r="J17" s="58"/>
      <c r="K17" s="152">
        <f t="shared" si="0"/>
        <v>0</v>
      </c>
      <c r="L17" s="15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2012.5</v>
      </c>
      <c r="M17" s="59"/>
      <c r="N17" s="75"/>
      <c r="O17" s="316" t="s">
        <v>73</v>
      </c>
      <c r="P17" s="251"/>
      <c r="Q17" s="260">
        <f>SUM(L3:L82)</f>
        <v>108267.21</v>
      </c>
      <c r="R17" s="261"/>
      <c r="S17" s="149"/>
      <c r="T17" s="149"/>
      <c r="U17" s="149"/>
      <c r="V17" s="149"/>
      <c r="W17" s="162"/>
    </row>
    <row r="18" spans="1:29" ht="22" customHeight="1">
      <c r="A18" s="151" t="s">
        <v>74</v>
      </c>
      <c r="B18" s="101">
        <v>401432</v>
      </c>
      <c r="C18" s="45" t="s">
        <v>235</v>
      </c>
      <c r="D18" s="46">
        <v>44441</v>
      </c>
      <c r="E18" s="47" t="s">
        <v>2</v>
      </c>
      <c r="F18" s="48">
        <v>173</v>
      </c>
      <c r="G18" s="152">
        <f>IF(OR(E18="",F18=""),"",PID_KVLohnLookup($A$1,E18,F18,LOHNTABELLE!$H$4))</f>
        <v>2021</v>
      </c>
      <c r="H18" s="153">
        <f>IF(AND(ISNUMBER(D18),ISNUMBER(F18)),ROUNDDOWN(MIN(IF(OR(ISBLANK(I18),I18=""),EOMONTH(DATE(EINSTELLUNG!$C$35,$A$1,1),0),I18)-MAX(D18,DATE(EINSTELLUNG!$C$35,$A$1,1))+1)/DAY(EOMONTH(DATE(EINSTELLUNG!$C$35,$A$1,1),0))*F18,2),"")</f>
        <v>173</v>
      </c>
      <c r="I18" s="49"/>
      <c r="J18" s="50"/>
      <c r="K18" s="152">
        <f t="shared" si="0"/>
        <v>0</v>
      </c>
      <c r="L18" s="15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2021</v>
      </c>
      <c r="M18" s="51"/>
      <c r="N18" s="74"/>
      <c r="O18" s="308" t="s">
        <v>385</v>
      </c>
      <c r="P18" s="249"/>
      <c r="Q18" s="238">
        <v>20</v>
      </c>
      <c r="R18" s="239"/>
      <c r="S18" s="149"/>
      <c r="T18" s="149"/>
      <c r="U18" s="149"/>
      <c r="V18" s="149"/>
    </row>
    <row r="19" spans="1:29" ht="22" customHeight="1">
      <c r="A19" s="151" t="s">
        <v>75</v>
      </c>
      <c r="B19" s="102">
        <v>401476</v>
      </c>
      <c r="C19" s="53" t="s">
        <v>237</v>
      </c>
      <c r="D19" s="54">
        <v>44504</v>
      </c>
      <c r="E19" s="55" t="s">
        <v>2</v>
      </c>
      <c r="F19" s="56">
        <v>173</v>
      </c>
      <c r="G19" s="152">
        <f>IF(OR(E19="",F19=""),"",PID_KVLohnLookup($A$1,E19,F19,LOHNTABELLE!$H$4))</f>
        <v>2021</v>
      </c>
      <c r="H19" s="153">
        <f>IF(AND(ISNUMBER(D19),ISNUMBER(F19)),ROUNDDOWN(MIN(IF(OR(ISBLANK(I19),I19=""),EOMONTH(DATE(EINSTELLUNG!$C$35,$A$1,1),0),I19)-MAX(D19,DATE(EINSTELLUNG!$C$35,$A$1,1))+1)/DAY(EOMONTH(DATE(EINSTELLUNG!$C$35,$A$1,1),0))*F19,2),"")</f>
        <v>173</v>
      </c>
      <c r="I19" s="57"/>
      <c r="J19" s="58"/>
      <c r="K19" s="152">
        <f t="shared" si="0"/>
        <v>0</v>
      </c>
      <c r="L19" s="15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2021</v>
      </c>
      <c r="M19" s="59"/>
      <c r="N19" s="75"/>
      <c r="O19" s="308" t="s">
        <v>296</v>
      </c>
      <c r="P19" s="249"/>
      <c r="Q19" s="238">
        <v>333</v>
      </c>
      <c r="R19" s="239"/>
      <c r="S19" s="149"/>
      <c r="T19" s="149"/>
      <c r="U19" s="149"/>
      <c r="V19" s="149"/>
    </row>
    <row r="20" spans="1:29" ht="22" customHeight="1">
      <c r="A20" s="151" t="s">
        <v>76</v>
      </c>
      <c r="B20" s="101">
        <v>401479</v>
      </c>
      <c r="C20" s="45" t="s">
        <v>238</v>
      </c>
      <c r="D20" s="49">
        <v>44511</v>
      </c>
      <c r="E20" s="47" t="s">
        <v>6</v>
      </c>
      <c r="F20" s="48">
        <v>173</v>
      </c>
      <c r="G20" s="152">
        <f>IF(OR(E20="",F20=""),"",PID_KVLohnLookup($A$1,E20,F20,LOHNTABELLE!$H$4))</f>
        <v>2160</v>
      </c>
      <c r="H20" s="153">
        <f>IF(AND(ISNUMBER(D20),ISNUMBER(F20)),ROUNDDOWN(MIN(IF(OR(ISBLANK(I20),I20=""),EOMONTH(DATE(EINSTELLUNG!$C$35,$A$1,1),0),I20)-MAX(D20,DATE(EINSTELLUNG!$C$35,$A$1,1))+1)/DAY(EOMONTH(DATE(EINSTELLUNG!$C$35,$A$1,1),0))*F20,2),"")</f>
        <v>173</v>
      </c>
      <c r="I20" s="49"/>
      <c r="J20" s="50"/>
      <c r="K20" s="152">
        <f t="shared" si="0"/>
        <v>0</v>
      </c>
      <c r="L20" s="15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2160</v>
      </c>
      <c r="M20" s="51"/>
      <c r="N20" s="74"/>
      <c r="O20" s="308" t="s">
        <v>296</v>
      </c>
      <c r="P20" s="249"/>
      <c r="Q20" s="238">
        <v>35</v>
      </c>
      <c r="R20" s="239"/>
      <c r="S20" s="149"/>
      <c r="T20" s="149"/>
      <c r="U20" s="149"/>
      <c r="V20" s="149"/>
    </row>
    <row r="21" spans="1:29" ht="22" customHeight="1">
      <c r="A21" s="151" t="s">
        <v>77</v>
      </c>
      <c r="B21" s="102">
        <v>401481</v>
      </c>
      <c r="C21" s="53" t="s">
        <v>239</v>
      </c>
      <c r="D21" s="54">
        <v>44531</v>
      </c>
      <c r="E21" s="55" t="s">
        <v>3</v>
      </c>
      <c r="F21" s="56">
        <v>173</v>
      </c>
      <c r="G21" s="152">
        <f>IF(OR(E21="",F21=""),"",PID_KVLohnLookup($A$1,E21,F21,LOHNTABELLE!$H$4))</f>
        <v>2082</v>
      </c>
      <c r="H21" s="153">
        <f>IF(AND(ISNUMBER(D21),ISNUMBER(F21)),ROUNDDOWN(MIN(IF(OR(ISBLANK(I21),I21=""),EOMONTH(DATE(EINSTELLUNG!$C$35,$A$1,1),0),I21)-MAX(D21,DATE(EINSTELLUNG!$C$35,$A$1,1))+1)/DAY(EOMONTH(DATE(EINSTELLUNG!$C$35,$A$1,1),0))*F21,2),"")</f>
        <v>173</v>
      </c>
      <c r="I21" s="57"/>
      <c r="J21" s="58"/>
      <c r="K21" s="152">
        <f t="shared" si="0"/>
        <v>0</v>
      </c>
      <c r="L21" s="15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2082</v>
      </c>
      <c r="M21" s="59"/>
      <c r="N21" s="75"/>
      <c r="O21" s="308" t="s">
        <v>296</v>
      </c>
      <c r="P21" s="249"/>
      <c r="Q21" s="238">
        <v>100</v>
      </c>
      <c r="R21" s="239"/>
      <c r="S21" s="149"/>
      <c r="T21" s="149"/>
      <c r="U21" s="149"/>
      <c r="V21" s="149"/>
    </row>
    <row r="22" spans="1:29" ht="22" customHeight="1">
      <c r="A22" s="151" t="s">
        <v>78</v>
      </c>
      <c r="B22" s="101">
        <v>401558</v>
      </c>
      <c r="C22" s="45" t="s">
        <v>236</v>
      </c>
      <c r="D22" s="49">
        <v>44460</v>
      </c>
      <c r="E22" s="47" t="s">
        <v>2</v>
      </c>
      <c r="F22" s="48">
        <v>173</v>
      </c>
      <c r="G22" s="152">
        <f>IF(OR(E22="",F22=""),"",PID_KVLohnLookup($A$1,E22,F22,LOHNTABELLE!$H$4))</f>
        <v>2021</v>
      </c>
      <c r="H22" s="153">
        <f>IF(AND(ISNUMBER(D22),ISNUMBER(F22)),ROUNDDOWN(MIN(IF(OR(ISBLANK(I22),I22=""),EOMONTH(DATE(EINSTELLUNG!$C$35,$A$1,1),0),I22)-MAX(D22,DATE(EINSTELLUNG!$C$35,$A$1,1))+1)/DAY(EOMONTH(DATE(EINSTELLUNG!$C$35,$A$1,1),0))*F22,2),"")</f>
        <v>173</v>
      </c>
      <c r="I22" s="49"/>
      <c r="J22" s="50"/>
      <c r="K22" s="152">
        <f t="shared" si="0"/>
        <v>0</v>
      </c>
      <c r="L22" s="15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2021</v>
      </c>
      <c r="M22" s="51"/>
      <c r="N22" s="74"/>
      <c r="O22" s="308" t="s">
        <v>296</v>
      </c>
      <c r="P22" s="249"/>
      <c r="Q22" s="238"/>
      <c r="R22" s="239"/>
      <c r="S22" s="149"/>
      <c r="T22" s="149"/>
      <c r="U22" s="149"/>
      <c r="V22" s="149"/>
    </row>
    <row r="23" spans="1:29" ht="22" customHeight="1">
      <c r="A23" s="151" t="s">
        <v>79</v>
      </c>
      <c r="B23" s="102">
        <v>401564</v>
      </c>
      <c r="C23" s="53" t="s">
        <v>240</v>
      </c>
      <c r="D23" s="54">
        <v>44824</v>
      </c>
      <c r="E23" s="55" t="s">
        <v>2</v>
      </c>
      <c r="F23" s="56">
        <v>151.38</v>
      </c>
      <c r="G23" s="152">
        <f>IF(OR(E23="",F23=""),"",PID_KVLohnLookup($A$1,E23,F23,LOHNTABELLE!$H$4))</f>
        <v>1768.38</v>
      </c>
      <c r="H23" s="153">
        <f>IF(AND(ISNUMBER(D23),ISNUMBER(F23)),ROUNDDOWN(MIN(IF(OR(ISBLANK(I23),I23=""),EOMONTH(DATE(EINSTELLUNG!$C$35,$A$1,1),0),I23)-MAX(D23,DATE(EINSTELLUNG!$C$35,$A$1,1))+1)/DAY(EOMONTH(DATE(EINSTELLUNG!$C$35,$A$1,1),0))*F23,2),"")</f>
        <v>151.38</v>
      </c>
      <c r="I23" s="57"/>
      <c r="J23" s="58"/>
      <c r="K23" s="152">
        <f t="shared" si="0"/>
        <v>0</v>
      </c>
      <c r="L23" s="15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1768.38</v>
      </c>
      <c r="M23" s="59"/>
      <c r="N23" s="75"/>
      <c r="O23" s="308" t="s">
        <v>296</v>
      </c>
      <c r="P23" s="249"/>
      <c r="Q23" s="238">
        <v>5000</v>
      </c>
      <c r="R23" s="239"/>
      <c r="S23" s="149"/>
      <c r="T23" s="149"/>
      <c r="U23" s="149"/>
      <c r="V23" s="149"/>
      <c r="W23" s="162"/>
    </row>
    <row r="24" spans="1:29" ht="22" customHeight="1">
      <c r="A24" s="151" t="s">
        <v>80</v>
      </c>
      <c r="B24" s="101">
        <v>401583</v>
      </c>
      <c r="C24" s="45" t="s">
        <v>242</v>
      </c>
      <c r="D24" s="49">
        <v>44900</v>
      </c>
      <c r="E24" s="47" t="s">
        <v>13</v>
      </c>
      <c r="F24" s="48">
        <v>173</v>
      </c>
      <c r="G24" s="152">
        <f>IF(OR(E24="",F24=""),"",PID_KVLohnLookup($A$1,E24,F24,LOHNTABELLE!$H$4))</f>
        <v>2328</v>
      </c>
      <c r="H24" s="153">
        <f>IF(AND(ISNUMBER(D24),ISNUMBER(F24)),ROUNDDOWN(MIN(IF(OR(ISBLANK(I24),I24=""),EOMONTH(DATE(EINSTELLUNG!$C$35,$A$1,1),0),I24)-MAX(D24,DATE(EINSTELLUNG!$C$35,$A$1,1))+1)/DAY(EOMONTH(DATE(EINSTELLUNG!$C$35,$A$1,1),0))*F24,2),"")</f>
        <v>173</v>
      </c>
      <c r="I24" s="49"/>
      <c r="J24" s="50"/>
      <c r="K24" s="152">
        <f t="shared" si="0"/>
        <v>0</v>
      </c>
      <c r="L24" s="15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2328</v>
      </c>
      <c r="M24" s="51"/>
      <c r="N24" s="74"/>
      <c r="O24" s="308"/>
      <c r="P24" s="249"/>
      <c r="Q24" s="238"/>
      <c r="R24" s="239"/>
      <c r="S24" s="149"/>
      <c r="T24" s="149"/>
      <c r="U24" s="149"/>
      <c r="V24" s="149"/>
      <c r="W24" s="162"/>
    </row>
    <row r="25" spans="1:29" ht="22" customHeight="1">
      <c r="A25" s="151" t="s">
        <v>81</v>
      </c>
      <c r="B25" s="102">
        <v>401589</v>
      </c>
      <c r="C25" s="53" t="s">
        <v>243</v>
      </c>
      <c r="D25" s="54">
        <v>44926</v>
      </c>
      <c r="E25" s="55" t="s">
        <v>10</v>
      </c>
      <c r="F25" s="56">
        <v>173</v>
      </c>
      <c r="G25" s="152">
        <f>IF(OR(E25="",F25=""),"",PID_KVLohnLookup($A$1,E25,F25,LOHNTABELLE!$H$4))</f>
        <v>2300</v>
      </c>
      <c r="H25" s="153">
        <f>IF(AND(ISNUMBER(D25),ISNUMBER(F25)),ROUNDDOWN(MIN(IF(OR(ISBLANK(I25),I25=""),EOMONTH(DATE(EINSTELLUNG!$C$35,$A$1,1),0),I25)-MAX(D25,DATE(EINSTELLUNG!$C$35,$A$1,1))+1)/DAY(EOMONTH(DATE(EINSTELLUNG!$C$35,$A$1,1),0))*F25,2),"")</f>
        <v>173</v>
      </c>
      <c r="I25" s="57"/>
      <c r="J25" s="58"/>
      <c r="K25" s="152">
        <f t="shared" si="0"/>
        <v>0</v>
      </c>
      <c r="L25" s="15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2300</v>
      </c>
      <c r="M25" s="59"/>
      <c r="N25" s="75"/>
      <c r="O25" s="308"/>
      <c r="P25" s="249"/>
      <c r="Q25" s="238"/>
      <c r="R25" s="239"/>
      <c r="S25" s="149"/>
      <c r="T25" s="149"/>
      <c r="U25" s="149"/>
      <c r="V25" s="149"/>
    </row>
    <row r="26" spans="1:29" ht="22" customHeight="1">
      <c r="A26" s="151" t="s">
        <v>82</v>
      </c>
      <c r="B26" s="101">
        <v>401602</v>
      </c>
      <c r="C26" s="45" t="s">
        <v>244</v>
      </c>
      <c r="D26" s="46">
        <v>45975</v>
      </c>
      <c r="E26" s="47" t="s">
        <v>2</v>
      </c>
      <c r="F26" s="48">
        <v>169</v>
      </c>
      <c r="G26" s="152">
        <f>IF(OR(E26="",F26=""),"",PID_KVLohnLookup($A$1,E26,F26,LOHNTABELLE!$H$4))</f>
        <v>2000</v>
      </c>
      <c r="H26" s="153">
        <f>IF(AND(ISNUMBER(D26),ISNUMBER(F26)),ROUNDDOWN(MIN(IF(OR(ISBLANK(I26),I26=""),EOMONTH(DATE(EINSTELLUNG!$C$35,$A$1,1),0),I26)-MAX(D26,DATE(EINSTELLUNG!$C$35,$A$1,1))+1)/DAY(EOMONTH(DATE(EINSTELLUNG!$C$35,$A$1,1),0))*F26,2),"")</f>
        <v>169</v>
      </c>
      <c r="I26" s="49"/>
      <c r="J26" s="50"/>
      <c r="K26" s="152">
        <f t="shared" si="0"/>
        <v>0</v>
      </c>
      <c r="L26" s="15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2000</v>
      </c>
      <c r="M26" s="51"/>
      <c r="N26" s="74"/>
      <c r="O26" s="308"/>
      <c r="P26" s="249"/>
      <c r="Q26" s="238"/>
      <c r="R26" s="239"/>
      <c r="S26" s="149"/>
      <c r="T26" s="149"/>
      <c r="U26" s="149"/>
      <c r="V26" s="149"/>
    </row>
    <row r="27" spans="1:29" ht="22" customHeight="1">
      <c r="A27" s="151" t="s">
        <v>83</v>
      </c>
      <c r="B27" s="102">
        <v>401605</v>
      </c>
      <c r="C27" s="53" t="s">
        <v>245</v>
      </c>
      <c r="D27" s="54">
        <v>44986</v>
      </c>
      <c r="E27" s="55" t="s">
        <v>2</v>
      </c>
      <c r="F27" s="56">
        <v>173</v>
      </c>
      <c r="G27" s="152">
        <f>IF(OR(E27="",F27=""),"",PID_KVLohnLookup($A$1,E27,F27,LOHNTABELLE!$H$4))</f>
        <v>2021</v>
      </c>
      <c r="H27" s="153">
        <f>IF(AND(ISNUMBER(D27),ISNUMBER(F27)),ROUNDDOWN(MIN(IF(OR(ISBLANK(I27),I27=""),EOMONTH(DATE(EINSTELLUNG!$C$35,$A$1,1),0),I27)-MAX(D27,DATE(EINSTELLUNG!$C$35,$A$1,1))+1)/DAY(EOMONTH(DATE(EINSTELLUNG!$C$35,$A$1,1),0))*F27,2),"")</f>
        <v>173</v>
      </c>
      <c r="I27" s="57"/>
      <c r="J27" s="58"/>
      <c r="K27" s="152">
        <f t="shared" si="0"/>
        <v>0</v>
      </c>
      <c r="L27" s="15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2021</v>
      </c>
      <c r="M27" s="59"/>
      <c r="N27" s="75"/>
      <c r="O27" s="308"/>
      <c r="P27" s="249"/>
      <c r="Q27" s="238"/>
      <c r="R27" s="239"/>
      <c r="S27" s="247" t="s">
        <v>84</v>
      </c>
      <c r="T27" s="247"/>
      <c r="U27" s="247"/>
      <c r="V27" s="247"/>
    </row>
    <row r="28" spans="1:29" ht="22" customHeight="1">
      <c r="A28" s="151" t="s">
        <v>85</v>
      </c>
      <c r="B28" s="101">
        <v>401605</v>
      </c>
      <c r="C28" s="45" t="s">
        <v>407</v>
      </c>
      <c r="D28" s="46">
        <v>36850</v>
      </c>
      <c r="E28" s="47" t="s">
        <v>10</v>
      </c>
      <c r="F28" s="48">
        <v>151.38</v>
      </c>
      <c r="G28" s="152">
        <f>IF(OR(E28="",F28=""),"",PID_KVLohnLookup($A$1,E28,F28,LOHNTABELLE!$H$4))</f>
        <v>2012.5</v>
      </c>
      <c r="H28" s="153">
        <f>IF(AND(ISNUMBER(D28),ISNUMBER(F28)),ROUNDDOWN(MIN(IF(OR(ISBLANK(I28),I28=""),EOMONTH(DATE(EINSTELLUNG!$C$35,$A$1,1),0),I28)-MAX(D28,DATE(EINSTELLUNG!$C$35,$A$1,1))+1)/DAY(EOMONTH(DATE(EINSTELLUNG!$C$35,$A$1,1),0))*F28,2),"")</f>
        <v>151.38</v>
      </c>
      <c r="I28" s="49"/>
      <c r="J28" s="50"/>
      <c r="K28" s="152">
        <f t="shared" si="0"/>
        <v>0</v>
      </c>
      <c r="L28" s="15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2012.5</v>
      </c>
      <c r="M28" s="51"/>
      <c r="N28" s="74"/>
      <c r="O28" s="308"/>
      <c r="P28" s="249"/>
      <c r="Q28" s="238"/>
      <c r="R28" s="239"/>
      <c r="S28" s="149"/>
      <c r="T28" s="149"/>
      <c r="U28" s="149"/>
      <c r="V28" s="149"/>
    </row>
    <row r="29" spans="1:29" ht="22" customHeight="1" thickBot="1">
      <c r="A29" s="151" t="s">
        <v>86</v>
      </c>
      <c r="B29" s="102">
        <v>401626</v>
      </c>
      <c r="C29" s="53" t="s">
        <v>246</v>
      </c>
      <c r="D29" s="54">
        <v>45063</v>
      </c>
      <c r="E29" s="55" t="s">
        <v>2</v>
      </c>
      <c r="F29" s="56">
        <v>173</v>
      </c>
      <c r="G29" s="152">
        <f>IF(OR(E29="",F29=""),"",PID_KVLohnLookup($A$1,E29,F29,LOHNTABELLE!$H$4))</f>
        <v>2021</v>
      </c>
      <c r="H29" s="153">
        <f>IF(AND(ISNUMBER(D29),ISNUMBER(F29)),ROUNDDOWN(MIN(IF(OR(ISBLANK(I29),I29=""),EOMONTH(DATE(EINSTELLUNG!$C$35,$A$1,1),0),I29)-MAX(D29,DATE(EINSTELLUNG!$C$35,$A$1,1))+1)/DAY(EOMONTH(DATE(EINSTELLUNG!$C$35,$A$1,1),0))*F29,2),"")</f>
        <v>173</v>
      </c>
      <c r="I29" s="57"/>
      <c r="J29" s="58"/>
      <c r="K29" s="152">
        <f t="shared" si="0"/>
        <v>0</v>
      </c>
      <c r="L29" s="15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2021</v>
      </c>
      <c r="M29" s="59"/>
      <c r="N29" s="75"/>
      <c r="O29" s="312" t="s">
        <v>87</v>
      </c>
      <c r="P29" s="241"/>
      <c r="Q29" s="295">
        <f>EINSTELLUNG!O9</f>
        <v>1250</v>
      </c>
      <c r="R29" s="296"/>
      <c r="S29" s="149"/>
      <c r="T29" s="149"/>
      <c r="U29" s="149"/>
      <c r="V29" s="149"/>
    </row>
    <row r="30" spans="1:29" ht="22" customHeight="1" thickBot="1">
      <c r="A30" s="151" t="s">
        <v>88</v>
      </c>
      <c r="B30" s="101">
        <v>401633</v>
      </c>
      <c r="C30" s="45" t="s">
        <v>247</v>
      </c>
      <c r="D30" s="46">
        <v>45089</v>
      </c>
      <c r="E30" s="47" t="s">
        <v>10</v>
      </c>
      <c r="F30" s="48">
        <v>173</v>
      </c>
      <c r="G30" s="152">
        <f>IF(OR(E30="",F30=""),"",PID_KVLohnLookup($A$1,E30,F30,LOHNTABELLE!$H$4))</f>
        <v>2300</v>
      </c>
      <c r="H30" s="153">
        <f>IF(AND(ISNUMBER(D30),ISNUMBER(F30)),ROUNDDOWN(MIN(IF(OR(ISBLANK(I30),I30=""),EOMONTH(DATE(EINSTELLUNG!$C$35,$A$1,1),0),I30)-MAX(D30,DATE(EINSTELLUNG!$C$35,$A$1,1))+1)/DAY(EOMONTH(DATE(EINSTELLUNG!$C$35,$A$1,1),0))*F30,2),"")</f>
        <v>173</v>
      </c>
      <c r="I30" s="49"/>
      <c r="J30" s="50"/>
      <c r="K30" s="152">
        <f t="shared" si="0"/>
        <v>0</v>
      </c>
      <c r="L30" s="15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2300</v>
      </c>
      <c r="M30" s="51"/>
      <c r="N30" s="74"/>
      <c r="O30" s="149"/>
      <c r="P30" s="149"/>
      <c r="Q30" s="149"/>
      <c r="R30" s="149"/>
      <c r="S30" s="149"/>
      <c r="T30" s="149"/>
      <c r="U30" s="149"/>
      <c r="V30" s="149"/>
      <c r="W30" s="163"/>
      <c r="X30" s="163"/>
      <c r="Y30" s="163"/>
      <c r="Z30" s="163"/>
      <c r="AA30" s="163"/>
      <c r="AB30" s="163"/>
      <c r="AC30" s="163"/>
    </row>
    <row r="31" spans="1:29" ht="22" customHeight="1" thickBot="1">
      <c r="A31" s="151" t="s">
        <v>89</v>
      </c>
      <c r="B31" s="102">
        <v>401647</v>
      </c>
      <c r="C31" s="53" t="s">
        <v>248</v>
      </c>
      <c r="D31" s="54">
        <v>45182</v>
      </c>
      <c r="E31" s="55" t="s">
        <v>2</v>
      </c>
      <c r="F31" s="56">
        <v>173</v>
      </c>
      <c r="G31" s="152">
        <f>IF(OR(E31="",F31=""),"",PID_KVLohnLookup($A$1,E31,F31,LOHNTABELLE!$H$4))</f>
        <v>2021</v>
      </c>
      <c r="H31" s="153">
        <f>IF(AND(ISNUMBER(D31),ISNUMBER(F31)),ROUNDDOWN(MIN(IF(OR(ISBLANK(I31),I31=""),EOMONTH(DATE(EINSTELLUNG!$C$35,$A$1,1),0),I31)-MAX(D31,DATE(EINSTELLUNG!$C$35,$A$1,1))+1)/DAY(EOMONTH(DATE(EINSTELLUNG!$C$35,$A$1,1),0))*F31,2),"")</f>
        <v>173</v>
      </c>
      <c r="I31" s="57"/>
      <c r="J31" s="58"/>
      <c r="K31" s="152">
        <f t="shared" si="0"/>
        <v>0</v>
      </c>
      <c r="L31" s="15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2021</v>
      </c>
      <c r="M31" s="59"/>
      <c r="N31" s="75"/>
      <c r="O31" s="309">
        <v>0</v>
      </c>
      <c r="P31" s="300"/>
      <c r="Q31" s="284">
        <v>1.6129032258064516E-2</v>
      </c>
      <c r="R31" s="285"/>
      <c r="S31" s="149"/>
      <c r="T31" s="149"/>
      <c r="U31" s="149"/>
      <c r="V31" s="149"/>
    </row>
    <row r="32" spans="1:29" ht="22" customHeight="1" thickBot="1">
      <c r="A32" s="151" t="s">
        <v>91</v>
      </c>
      <c r="B32" s="101">
        <v>401661</v>
      </c>
      <c r="C32" s="45" t="s">
        <v>249</v>
      </c>
      <c r="D32" s="46">
        <v>45261</v>
      </c>
      <c r="E32" s="47" t="s">
        <v>2</v>
      </c>
      <c r="F32" s="48">
        <v>173</v>
      </c>
      <c r="G32" s="152">
        <f>IF(OR(E32="",F32=""),"",PID_KVLohnLookup($A$1,E32,F32,LOHNTABELLE!$H$4))</f>
        <v>2021</v>
      </c>
      <c r="H32" s="153">
        <f>IF(AND(ISNUMBER(D32),ISNUMBER(F32)),ROUNDDOWN(MIN(IF(OR(ISBLANK(I32),I32=""),EOMONTH(DATE(EINSTELLUNG!$C$35,$A$1,1),0),I32)-MAX(D32,DATE(EINSTELLUNG!$C$35,$A$1,1))+1)/DAY(EOMONTH(DATE(EINSTELLUNG!$C$35,$A$1,1),0))*F32,2),"")</f>
        <v>173</v>
      </c>
      <c r="I32" s="49"/>
      <c r="J32" s="50"/>
      <c r="K32" s="152">
        <f t="shared" si="0"/>
        <v>0</v>
      </c>
      <c r="L32" s="15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2021</v>
      </c>
      <c r="M32" s="51"/>
      <c r="N32" s="74"/>
      <c r="O32" s="149"/>
      <c r="P32" s="149"/>
      <c r="Q32" s="149"/>
      <c r="R32" s="149"/>
      <c r="S32" s="149"/>
      <c r="T32" s="149"/>
      <c r="U32" s="149"/>
      <c r="V32" s="149"/>
    </row>
    <row r="33" spans="1:22" ht="22" customHeight="1">
      <c r="A33" s="151" t="s">
        <v>92</v>
      </c>
      <c r="B33" s="102">
        <v>401670</v>
      </c>
      <c r="C33" s="53" t="s">
        <v>250</v>
      </c>
      <c r="D33" s="54">
        <v>45358</v>
      </c>
      <c r="E33" s="55" t="s">
        <v>2</v>
      </c>
      <c r="F33" s="56">
        <v>173</v>
      </c>
      <c r="G33" s="152">
        <f>IF(OR(E33="",F33=""),"",PID_KVLohnLookup($A$1,E33,F33,LOHNTABELLE!$H$4))</f>
        <v>2021</v>
      </c>
      <c r="H33" s="153">
        <f>IF(AND(ISNUMBER(D33),ISNUMBER(F33)),ROUNDDOWN(MIN(IF(OR(ISBLANK(I33),I33=""),EOMONTH(DATE(EINSTELLUNG!$C$35,$A$1,1),0),I33)-MAX(D33,DATE(EINSTELLUNG!$C$35,$A$1,1))+1)/DAY(EOMONTH(DATE(EINSTELLUNG!$C$35,$A$1,1),0))*F33,2),"")</f>
        <v>173</v>
      </c>
      <c r="I33" s="57"/>
      <c r="J33" s="58"/>
      <c r="K33" s="152">
        <f t="shared" si="0"/>
        <v>0</v>
      </c>
      <c r="L33" s="15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2021</v>
      </c>
      <c r="M33" s="59"/>
      <c r="N33" s="75"/>
      <c r="O33" s="310"/>
      <c r="P33" s="291"/>
      <c r="Q33" s="280" t="str">
        <f>EINSTELLUNG!B3</f>
        <v>Budget</v>
      </c>
      <c r="R33" s="280"/>
      <c r="S33" s="280" t="str">
        <f>EINSTELLUNG!B19</f>
        <v>Projection/Aktuell Zahlen</v>
      </c>
      <c r="T33" s="280"/>
      <c r="U33" s="280" t="s">
        <v>95</v>
      </c>
      <c r="V33" s="282"/>
    </row>
    <row r="34" spans="1:22" ht="22" customHeight="1">
      <c r="A34" s="151" t="s">
        <v>96</v>
      </c>
      <c r="B34" s="101">
        <v>401678</v>
      </c>
      <c r="C34" s="45" t="s">
        <v>251</v>
      </c>
      <c r="D34" s="46">
        <v>45414</v>
      </c>
      <c r="E34" s="47" t="s">
        <v>2</v>
      </c>
      <c r="F34" s="48">
        <v>173</v>
      </c>
      <c r="G34" s="152">
        <f>IF(OR(E34="",F34=""),"",PID_KVLohnLookup($A$1,E34,F34,LOHNTABELLE!$H$4))</f>
        <v>2021</v>
      </c>
      <c r="H34" s="153">
        <f>IF(AND(ISNUMBER(D34),ISNUMBER(F34)),ROUNDDOWN(MIN(IF(OR(ISBLANK(I34),I34=""),EOMONTH(DATE(EINSTELLUNG!$C$35,$A$1,1),0),I34)-MAX(D34,DATE(EINSTELLUNG!$C$35,$A$1,1))+1)/DAY(EOMONTH(DATE(EINSTELLUNG!$C$35,$A$1,1),0))*F34,2),"")</f>
        <v>173</v>
      </c>
      <c r="I34" s="49"/>
      <c r="J34" s="50"/>
      <c r="K34" s="152">
        <f t="shared" si="0"/>
        <v>0</v>
      </c>
      <c r="L34" s="15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2021</v>
      </c>
      <c r="M34" s="51"/>
      <c r="N34" s="74"/>
      <c r="O34" s="311"/>
      <c r="P34" s="293"/>
      <c r="Q34" s="281"/>
      <c r="R34" s="281"/>
      <c r="S34" s="281"/>
      <c r="T34" s="281"/>
      <c r="U34" s="281"/>
      <c r="V34" s="283"/>
    </row>
    <row r="35" spans="1:22" ht="22" customHeight="1">
      <c r="A35" s="151" t="s">
        <v>97</v>
      </c>
      <c r="B35" s="102">
        <v>401690</v>
      </c>
      <c r="C35" s="53" t="s">
        <v>253</v>
      </c>
      <c r="D35" s="54">
        <v>45536</v>
      </c>
      <c r="E35" s="55" t="s">
        <v>2</v>
      </c>
      <c r="F35" s="56">
        <v>151.38</v>
      </c>
      <c r="G35" s="152">
        <f>IF(OR(E35="",F35=""),"",PID_KVLohnLookup($A$1,E35,F35,LOHNTABELLE!$H$4))</f>
        <v>1768.38</v>
      </c>
      <c r="H35" s="153">
        <f>IF(AND(ISNUMBER(D35),ISNUMBER(F35)),ROUNDDOWN(MIN(IF(OR(ISBLANK(I35),I35=""),EOMONTH(DATE(EINSTELLUNG!$C$35,$A$1,1),0),I35)-MAX(D35,DATE(EINSTELLUNG!$C$35,$A$1,1))+1)/DAY(EOMONTH(DATE(EINSTELLUNG!$C$35,$A$1,1),0))*F35,2),"")</f>
        <v>151.38</v>
      </c>
      <c r="I35" s="57"/>
      <c r="J35" s="58"/>
      <c r="K35" s="152">
        <f t="shared" ref="K35:K66" si="1">IF(OR(B35="",C35=""),"",IFERROR(IF(OR(MONTH(D35)=1,MONTH(D35)=3,MONTH(D35)=5,MONTH(D35)=7,MONTH(D35)=8,MONTH(D35)=10,MONTH(D35)=12),(G35/31)*J35,IF(OR(MONTH(D35)=4,MONTH(D35)=6,MONTH(D35)=9,MONTH(D35)=11),(G35/30)*J35,(G35/DAY(EOMONTH(D35,0)))*J35)),0))</f>
        <v>0</v>
      </c>
      <c r="L35" s="15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1768.38</v>
      </c>
      <c r="M35" s="59"/>
      <c r="N35" s="75"/>
      <c r="O35" s="307" t="s">
        <v>98</v>
      </c>
      <c r="P35" s="255"/>
      <c r="Q35" s="256">
        <f>EINSTELLUNG!C9</f>
        <v>400000</v>
      </c>
      <c r="R35" s="256"/>
      <c r="S35" s="256">
        <f>EINSTELLUNG!C25</f>
        <v>300000</v>
      </c>
      <c r="T35" s="256"/>
      <c r="U35" s="256">
        <f>S35-Q35</f>
        <v>-100000</v>
      </c>
      <c r="V35" s="257"/>
    </row>
    <row r="36" spans="1:22" ht="22" customHeight="1">
      <c r="A36" s="151" t="s">
        <v>99</v>
      </c>
      <c r="B36" s="101">
        <v>401703</v>
      </c>
      <c r="C36" s="45" t="s">
        <v>254</v>
      </c>
      <c r="D36" s="46">
        <v>45616</v>
      </c>
      <c r="E36" s="47" t="s">
        <v>2</v>
      </c>
      <c r="F36" s="48">
        <v>173</v>
      </c>
      <c r="G36" s="152">
        <f>IF(OR(E36="",F36=""),"",PID_KVLohnLookup($A$1,E36,F36,LOHNTABELLE!$H$4))</f>
        <v>2021</v>
      </c>
      <c r="H36" s="153">
        <f>IF(AND(ISNUMBER(D36),ISNUMBER(F36)),ROUNDDOWN(MIN(IF(OR(ISBLANK(I36),I36=""),EOMONTH(DATE(EINSTELLUNG!$C$35,$A$1,1),0),I36)-MAX(D36,DATE(EINSTELLUNG!$C$35,$A$1,1))+1)/DAY(EOMONTH(DATE(EINSTELLUNG!$C$35,$A$1,1),0))*F36,2),"")</f>
        <v>173</v>
      </c>
      <c r="I36" s="49"/>
      <c r="J36" s="50"/>
      <c r="K36" s="152">
        <f t="shared" si="1"/>
        <v>0</v>
      </c>
      <c r="L36" s="15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2021</v>
      </c>
      <c r="M36" s="51"/>
      <c r="N36" s="74"/>
      <c r="O36" s="307" t="s">
        <v>100</v>
      </c>
      <c r="P36" s="255"/>
      <c r="Q36" s="256">
        <f>EINSTELLUNG!D9</f>
        <v>100000</v>
      </c>
      <c r="R36" s="256"/>
      <c r="S36" s="256">
        <f ca="1">SumMergedCells(Q17:R29)</f>
        <v>115005.21</v>
      </c>
      <c r="T36" s="256"/>
      <c r="U36" s="256">
        <f t="shared" ref="U36:U41" ca="1" si="2">S36-Q36</f>
        <v>15005.210000000006</v>
      </c>
      <c r="V36" s="257"/>
    </row>
    <row r="37" spans="1:22" ht="22" customHeight="1">
      <c r="A37" s="151" t="s">
        <v>101</v>
      </c>
      <c r="B37" s="102">
        <v>401715</v>
      </c>
      <c r="C37" s="53" t="s">
        <v>256</v>
      </c>
      <c r="D37" s="54">
        <v>45755</v>
      </c>
      <c r="E37" s="55" t="s">
        <v>2</v>
      </c>
      <c r="F37" s="56">
        <v>173</v>
      </c>
      <c r="G37" s="152">
        <f>IF(OR(E37="",F37=""),"",PID_KVLohnLookup($A$1,E37,F37,LOHNTABELLE!$H$4))</f>
        <v>2021</v>
      </c>
      <c r="H37" s="153">
        <f>IF(AND(ISNUMBER(D37),ISNUMBER(F37)),ROUNDDOWN(MIN(IF(OR(ISBLANK(I37),I37=""),EOMONTH(DATE(EINSTELLUNG!$C$35,$A$1,1),0),I37)-MAX(D37,DATE(EINSTELLUNG!$C$35,$A$1,1))+1)/DAY(EOMONTH(DATE(EINSTELLUNG!$C$35,$A$1,1),0))*F37,2),"")</f>
        <v>173</v>
      </c>
      <c r="I37" s="57"/>
      <c r="J37" s="58"/>
      <c r="K37" s="152">
        <f t="shared" si="1"/>
        <v>0</v>
      </c>
      <c r="L37" s="15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2021</v>
      </c>
      <c r="M37" s="59"/>
      <c r="N37" s="75"/>
      <c r="O37" s="307" t="s">
        <v>102</v>
      </c>
      <c r="P37" s="255"/>
      <c r="Q37" s="278">
        <f>IF(ISERROR(Q36/Q35), 0, Q36/Q35)</f>
        <v>0.25</v>
      </c>
      <c r="R37" s="278"/>
      <c r="S37" s="278">
        <f ca="1">IF(ISERROR(S36/S35), 0, S36/S35)</f>
        <v>0.38335070000000004</v>
      </c>
      <c r="T37" s="278"/>
      <c r="U37" s="278">
        <f t="shared" ca="1" si="2"/>
        <v>0.13335070000000004</v>
      </c>
      <c r="V37" s="279"/>
    </row>
    <row r="38" spans="1:22" ht="22" customHeight="1">
      <c r="A38" s="151" t="s">
        <v>103</v>
      </c>
      <c r="B38" s="101">
        <v>401716</v>
      </c>
      <c r="C38" s="45" t="s">
        <v>257</v>
      </c>
      <c r="D38" s="49">
        <v>45800</v>
      </c>
      <c r="E38" s="47" t="s">
        <v>2</v>
      </c>
      <c r="F38" s="48">
        <v>173</v>
      </c>
      <c r="G38" s="152">
        <f>IF(OR(E38="",F38=""),"",PID_KVLohnLookup($A$1,E38,F38,LOHNTABELLE!$H$4))</f>
        <v>2021</v>
      </c>
      <c r="H38" s="153">
        <f>IF(AND(ISNUMBER(D38),ISNUMBER(F38)),ROUNDDOWN(MIN(IF(OR(ISBLANK(I38),I38=""),EOMONTH(DATE(EINSTELLUNG!$C$35,$A$1,1),0),I38)-MAX(D38,DATE(EINSTELLUNG!$C$35,$A$1,1))+1)/DAY(EOMONTH(DATE(EINSTELLUNG!$C$35,$A$1,1),0))*F38,2),"")</f>
        <v>173</v>
      </c>
      <c r="I38" s="49"/>
      <c r="J38" s="50"/>
      <c r="K38" s="152">
        <f t="shared" si="1"/>
        <v>0</v>
      </c>
      <c r="L38" s="15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2021</v>
      </c>
      <c r="M38" s="51"/>
      <c r="N38" s="74"/>
      <c r="O38" s="307" t="s">
        <v>104</v>
      </c>
      <c r="P38" s="255"/>
      <c r="Q38" s="269">
        <f>EINSTELLUNG!F9</f>
        <v>30000</v>
      </c>
      <c r="R38" s="269"/>
      <c r="S38" s="269">
        <f>EINSTELLUNG!F25</f>
        <v>25000</v>
      </c>
      <c r="T38" s="269"/>
      <c r="U38" s="269">
        <f t="shared" si="2"/>
        <v>-5000</v>
      </c>
      <c r="V38" s="270"/>
    </row>
    <row r="39" spans="1:22" ht="22" customHeight="1">
      <c r="A39" s="151" t="s">
        <v>105</v>
      </c>
      <c r="B39" s="102">
        <v>401717</v>
      </c>
      <c r="C39" s="53" t="s">
        <v>258</v>
      </c>
      <c r="D39" s="54">
        <v>45814</v>
      </c>
      <c r="E39" s="55" t="s">
        <v>2</v>
      </c>
      <c r="F39" s="56">
        <v>86.5</v>
      </c>
      <c r="G39" s="152">
        <f>IF(OR(E39="",F39=""),"",PID_KVLohnLookup($A$1,E39,F39,LOHNTABELLE!$H$4))</f>
        <v>1010.5</v>
      </c>
      <c r="H39" s="153">
        <f>IF(AND(ISNUMBER(D39),ISNUMBER(F39)),ROUNDDOWN(MIN(IF(OR(ISBLANK(I39),I39=""),EOMONTH(DATE(EINSTELLUNG!$C$35,$A$1,1),0),I39)-MAX(D39,DATE(EINSTELLUNG!$C$35,$A$1,1))+1)/DAY(EOMONTH(DATE(EINSTELLUNG!$C$35,$A$1,1),0))*F39,2),"")</f>
        <v>86.5</v>
      </c>
      <c r="I39" s="57"/>
      <c r="J39" s="58"/>
      <c r="K39" s="152">
        <f t="shared" si="1"/>
        <v>0</v>
      </c>
      <c r="L39" s="15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1010.5</v>
      </c>
      <c r="M39" s="59"/>
      <c r="N39" s="75"/>
      <c r="O39" s="307" t="s">
        <v>106</v>
      </c>
      <c r="P39" s="255"/>
      <c r="Q39" s="256">
        <f>IF(Q38=0, 0, Q35/Q38)</f>
        <v>13.333333333333334</v>
      </c>
      <c r="R39" s="256"/>
      <c r="S39" s="256">
        <f>IF(S38=0, 0, S35/S38)</f>
        <v>12</v>
      </c>
      <c r="T39" s="256"/>
      <c r="U39" s="256">
        <f t="shared" si="2"/>
        <v>-1.3333333333333339</v>
      </c>
      <c r="V39" s="257"/>
    </row>
    <row r="40" spans="1:22" ht="22" customHeight="1">
      <c r="A40" s="151" t="s">
        <v>107</v>
      </c>
      <c r="B40" s="101">
        <v>401722</v>
      </c>
      <c r="C40" s="45" t="s">
        <v>259</v>
      </c>
      <c r="D40" s="46">
        <v>45848</v>
      </c>
      <c r="E40" s="47" t="s">
        <v>2</v>
      </c>
      <c r="F40" s="48">
        <v>86.5</v>
      </c>
      <c r="G40" s="152">
        <f>IF(OR(E40="",F40=""),"",PID_KVLohnLookup($A$1,E40,F40,LOHNTABELLE!$H$4))</f>
        <v>1010.5</v>
      </c>
      <c r="H40" s="153">
        <f>IF(AND(ISNUMBER(D40),ISNUMBER(F40)),ROUNDDOWN(MIN(IF(OR(ISBLANK(I40),I40=""),EOMONTH(DATE(EINSTELLUNG!$C$35,$A$1,1),0),I40)-MAX(D40,DATE(EINSTELLUNG!$C$35,$A$1,1))+1)/DAY(EOMONTH(DATE(EINSTELLUNG!$C$35,$A$1,1),0))*F40,2),"")</f>
        <v>86.5</v>
      </c>
      <c r="I40" s="49"/>
      <c r="J40" s="50"/>
      <c r="K40" s="152">
        <f t="shared" si="1"/>
        <v>0</v>
      </c>
      <c r="L40" s="15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1010.5</v>
      </c>
      <c r="M40" s="51"/>
      <c r="N40" s="74"/>
      <c r="O40" s="307" t="s">
        <v>108</v>
      </c>
      <c r="P40" s="255"/>
      <c r="Q40" s="256">
        <f>IF(Q13=0, 0, Q35/Q13)</f>
        <v>46.669707975969771</v>
      </c>
      <c r="R40" s="256"/>
      <c r="S40" s="256">
        <f>IF(Q13=0, 0, S35/Q13)</f>
        <v>35.002280981977329</v>
      </c>
      <c r="T40" s="256"/>
      <c r="U40" s="256">
        <f t="shared" si="2"/>
        <v>-11.667426993992443</v>
      </c>
      <c r="V40" s="257"/>
    </row>
    <row r="41" spans="1:22" ht="22" customHeight="1">
      <c r="A41" s="151" t="s">
        <v>109</v>
      </c>
      <c r="B41" s="102">
        <v>401723</v>
      </c>
      <c r="C41" s="70" t="s">
        <v>260</v>
      </c>
      <c r="D41" s="57">
        <v>45852</v>
      </c>
      <c r="E41" s="55" t="s">
        <v>2</v>
      </c>
      <c r="F41" s="56">
        <v>86.5</v>
      </c>
      <c r="G41" s="152">
        <f>IF(OR(E41="",F41=""),"",PID_KVLohnLookup($A$1,E41,F41,LOHNTABELLE!$H$4))</f>
        <v>1010.5</v>
      </c>
      <c r="H41" s="153">
        <f>IF(AND(ISNUMBER(D41),ISNUMBER(F41)),ROUNDDOWN(MIN(IF(OR(ISBLANK(I41),I41=""),EOMONTH(DATE(EINSTELLUNG!$C$35,$A$1,1),0),I41)-MAX(D41,DATE(EINSTELLUNG!$C$35,$A$1,1))+1)/DAY(EOMONTH(DATE(EINSTELLUNG!$C$35,$A$1,1),0))*F41,2),"")</f>
        <v>86.5</v>
      </c>
      <c r="I41" s="57"/>
      <c r="J41" s="58"/>
      <c r="K41" s="152">
        <f t="shared" si="1"/>
        <v>0</v>
      </c>
      <c r="L41" s="15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1010.5</v>
      </c>
      <c r="M41" s="59"/>
      <c r="N41" s="75"/>
      <c r="O41" s="307" t="s">
        <v>110</v>
      </c>
      <c r="P41" s="255"/>
      <c r="Q41" s="269">
        <f>IF(Q13=0, 0, Q38/Q13)</f>
        <v>3.500228098197733</v>
      </c>
      <c r="R41" s="269"/>
      <c r="S41" s="269">
        <f>IF(Q13=0, 0, S38/Q13)</f>
        <v>2.9168567484981107</v>
      </c>
      <c r="T41" s="269"/>
      <c r="U41" s="269">
        <f t="shared" si="2"/>
        <v>-0.58337134969962223</v>
      </c>
      <c r="V41" s="270"/>
    </row>
    <row r="42" spans="1:22" ht="22" customHeight="1">
      <c r="A42" s="151" t="s">
        <v>111</v>
      </c>
      <c r="B42" s="101">
        <v>401726</v>
      </c>
      <c r="C42" s="45" t="s">
        <v>261</v>
      </c>
      <c r="D42" s="49">
        <v>45870</v>
      </c>
      <c r="E42" s="47" t="s">
        <v>2</v>
      </c>
      <c r="F42" s="48">
        <v>86.5</v>
      </c>
      <c r="G42" s="152">
        <f>IF(OR(E42="",F42=""),"",PID_KVLohnLookup($A$1,E42,F42,LOHNTABELLE!$H$4))</f>
        <v>1010.5</v>
      </c>
      <c r="H42" s="153">
        <f>IF(AND(ISNUMBER(D42),ISNUMBER(F42)),ROUNDDOWN(MIN(IF(OR(ISBLANK(I42),I42=""),EOMONTH(DATE(EINSTELLUNG!$C$35,$A$1,1),0),I42)-MAX(D42,DATE(EINSTELLUNG!$C$35,$A$1,1))+1)/DAY(EOMONTH(DATE(EINSTELLUNG!$C$35,$A$1,1),0))*F42,2),"")</f>
        <v>86.5</v>
      </c>
      <c r="I42" s="49"/>
      <c r="J42" s="50"/>
      <c r="K42" s="152">
        <f t="shared" si="1"/>
        <v>0</v>
      </c>
      <c r="L42" s="15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1010.5</v>
      </c>
      <c r="M42" s="51"/>
      <c r="N42" s="74"/>
      <c r="O42" s="306" t="s">
        <v>112</v>
      </c>
      <c r="P42" s="263"/>
      <c r="Q42" s="264">
        <f>IFERROR(Q17/Q8, 0)</f>
        <v>11.94360316253846</v>
      </c>
      <c r="R42" s="264"/>
      <c r="S42" s="264"/>
      <c r="T42" s="264"/>
      <c r="U42" s="264"/>
      <c r="V42" s="265"/>
    </row>
    <row r="43" spans="1:22" ht="22" customHeight="1">
      <c r="A43" s="151" t="s">
        <v>113</v>
      </c>
      <c r="B43" s="102">
        <v>401730</v>
      </c>
      <c r="C43" s="53" t="s">
        <v>263</v>
      </c>
      <c r="D43" s="54">
        <v>45895</v>
      </c>
      <c r="E43" s="55" t="s">
        <v>2</v>
      </c>
      <c r="F43" s="56">
        <v>86.5</v>
      </c>
      <c r="G43" s="152">
        <f>IF(OR(E43="",F43=""),"",PID_KVLohnLookup($A$1,E43,F43,LOHNTABELLE!$H$4))</f>
        <v>1010.5</v>
      </c>
      <c r="H43" s="153">
        <f>IF(AND(ISNUMBER(D43),ISNUMBER(F43)),ROUNDDOWN(MIN(IF(OR(ISBLANK(I43),I43=""),EOMONTH(DATE(EINSTELLUNG!$C$35,$A$1,1),0),I43)-MAX(D43,DATE(EINSTELLUNG!$C$35,$A$1,1))+1)/DAY(EOMONTH(DATE(EINSTELLUNG!$C$35,$A$1,1),0))*F43,2),"")</f>
        <v>86.5</v>
      </c>
      <c r="I43" s="57"/>
      <c r="J43" s="58"/>
      <c r="K43" s="152">
        <f t="shared" si="1"/>
        <v>0</v>
      </c>
      <c r="L43" s="15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1010.5</v>
      </c>
      <c r="M43" s="59"/>
      <c r="N43" s="75"/>
      <c r="O43" s="164"/>
      <c r="P43" s="164"/>
      <c r="Q43" s="164"/>
      <c r="R43" s="149"/>
      <c r="S43" s="149"/>
      <c r="T43" s="149"/>
      <c r="U43" s="149"/>
      <c r="V43" s="149"/>
    </row>
    <row r="44" spans="1:22" ht="22" customHeight="1">
      <c r="A44" s="151" t="s">
        <v>114</v>
      </c>
      <c r="B44" s="101">
        <v>401731</v>
      </c>
      <c r="C44" s="45" t="s">
        <v>262</v>
      </c>
      <c r="D44" s="49">
        <v>45899</v>
      </c>
      <c r="E44" s="47" t="s">
        <v>2</v>
      </c>
      <c r="F44" s="48">
        <v>86.5</v>
      </c>
      <c r="G44" s="152">
        <f>IF(OR(E44="",F44=""),"",PID_KVLohnLookup($A$1,E44,F44,LOHNTABELLE!$H$4))</f>
        <v>1010.5</v>
      </c>
      <c r="H44" s="153">
        <f>IF(AND(ISNUMBER(D44),ISNUMBER(F44)),ROUNDDOWN(MIN(IF(OR(ISBLANK(I44),I44=""),EOMONTH(DATE(EINSTELLUNG!$C$35,$A$1,1),0),I44)-MAX(D44,DATE(EINSTELLUNG!$C$35,$A$1,1))+1)/DAY(EOMONTH(DATE(EINSTELLUNG!$C$35,$A$1,1),0))*F44,2),"")</f>
        <v>86.5</v>
      </c>
      <c r="I44" s="49"/>
      <c r="J44" s="50"/>
      <c r="K44" s="152">
        <f t="shared" si="1"/>
        <v>0</v>
      </c>
      <c r="L44" s="15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1010.5</v>
      </c>
      <c r="M44" s="51"/>
      <c r="N44" s="74"/>
      <c r="O44" s="275" t="s">
        <v>115</v>
      </c>
      <c r="P44" s="275"/>
      <c r="Q44" s="275"/>
      <c r="R44" s="275"/>
      <c r="S44" s="275"/>
      <c r="T44" s="275"/>
      <c r="U44" s="275"/>
      <c r="V44" s="275"/>
    </row>
    <row r="45" spans="1:22" ht="22" customHeight="1">
      <c r="A45" s="151" t="s">
        <v>116</v>
      </c>
      <c r="B45" s="102">
        <v>401734</v>
      </c>
      <c r="C45" s="53" t="s">
        <v>264</v>
      </c>
      <c r="D45" s="54">
        <v>45904</v>
      </c>
      <c r="E45" s="55" t="s">
        <v>2</v>
      </c>
      <c r="F45" s="56">
        <v>86.5</v>
      </c>
      <c r="G45" s="152">
        <f>IF(OR(E45="",F45=""),"",PID_KVLohnLookup($A$1,E45,F45,LOHNTABELLE!$H$4))</f>
        <v>1010.5</v>
      </c>
      <c r="H45" s="153">
        <f>IF(AND(ISNUMBER(D45),ISNUMBER(F45)),ROUNDDOWN(MIN(IF(OR(ISBLANK(I45),I45=""),EOMONTH(DATE(EINSTELLUNG!$C$35,$A$1,1),0),I45)-MAX(D45,DATE(EINSTELLUNG!$C$35,$A$1,1))+1)/DAY(EOMONTH(DATE(EINSTELLUNG!$C$35,$A$1,1),0))*F45,2),"")</f>
        <v>86.5</v>
      </c>
      <c r="I45" s="57"/>
      <c r="J45" s="58"/>
      <c r="K45" s="152">
        <f t="shared" si="1"/>
        <v>0</v>
      </c>
      <c r="L45" s="15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1010.5</v>
      </c>
      <c r="M45" s="59"/>
      <c r="N45" s="75"/>
      <c r="O45" s="276"/>
      <c r="P45" s="276"/>
      <c r="Q45" s="276"/>
      <c r="R45" s="277"/>
      <c r="S45" s="277"/>
      <c r="T45" s="277"/>
      <c r="U45" s="277"/>
      <c r="V45" s="149"/>
    </row>
    <row r="46" spans="1:22" ht="22" customHeight="1">
      <c r="A46" s="151" t="s">
        <v>117</v>
      </c>
      <c r="B46" s="101">
        <v>401736</v>
      </c>
      <c r="C46" s="45" t="s">
        <v>265</v>
      </c>
      <c r="D46" s="46">
        <v>45906</v>
      </c>
      <c r="E46" s="47" t="s">
        <v>2</v>
      </c>
      <c r="F46" s="48">
        <v>86.5</v>
      </c>
      <c r="G46" s="152">
        <f>IF(OR(E46="",F46=""),"",PID_KVLohnLookup($A$1,E46,F46,LOHNTABELLE!$H$4))</f>
        <v>1010.5</v>
      </c>
      <c r="H46" s="153">
        <f>IF(AND(ISNUMBER(D46),ISNUMBER(F46)),ROUNDDOWN(MIN(IF(OR(ISBLANK(I46),I46=""),EOMONTH(DATE(EINSTELLUNG!$C$35,$A$1,1),0),I46)-MAX(D46,DATE(EINSTELLUNG!$C$35,$A$1,1))+1)/DAY(EOMONTH(DATE(EINSTELLUNG!$C$35,$A$1,1),0))*F46,2),"")</f>
        <v>86.5</v>
      </c>
      <c r="I46" s="49"/>
      <c r="J46" s="50"/>
      <c r="K46" s="152">
        <f t="shared" si="1"/>
        <v>0</v>
      </c>
      <c r="L46" s="15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1010.5</v>
      </c>
      <c r="M46" s="51"/>
      <c r="N46" s="74"/>
      <c r="O46" s="149"/>
      <c r="P46" s="149"/>
      <c r="Q46" s="149"/>
      <c r="R46" s="149"/>
      <c r="S46" s="149"/>
      <c r="T46" s="149"/>
      <c r="U46" s="149"/>
      <c r="V46" s="149"/>
    </row>
    <row r="47" spans="1:22" ht="22" customHeight="1">
      <c r="A47" s="151" t="s">
        <v>118</v>
      </c>
      <c r="B47" s="102">
        <v>401737</v>
      </c>
      <c r="C47" s="53" t="s">
        <v>266</v>
      </c>
      <c r="D47" s="54">
        <v>45906</v>
      </c>
      <c r="E47" s="55" t="s">
        <v>2</v>
      </c>
      <c r="F47" s="56">
        <v>86.5</v>
      </c>
      <c r="G47" s="152">
        <f>IF(OR(E47="",F47=""),"",PID_KVLohnLookup($A$1,E47,F47,LOHNTABELLE!$H$4))</f>
        <v>1010.5</v>
      </c>
      <c r="H47" s="153">
        <f>IF(AND(ISNUMBER(D47),ISNUMBER(F47)),ROUNDDOWN(MIN(IF(OR(ISBLANK(I47),I47=""),EOMONTH(DATE(EINSTELLUNG!$C$35,$A$1,1),0),I47)-MAX(D47,DATE(EINSTELLUNG!$C$35,$A$1,1))+1)/DAY(EOMONTH(DATE(EINSTELLUNG!$C$35,$A$1,1),0))*F47,2),"")</f>
        <v>86.5</v>
      </c>
      <c r="I47" s="57"/>
      <c r="J47" s="58"/>
      <c r="K47" s="152">
        <f t="shared" si="1"/>
        <v>0</v>
      </c>
      <c r="L47" s="15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1010.5</v>
      </c>
      <c r="M47" s="59"/>
      <c r="N47" s="75"/>
      <c r="O47" s="149"/>
      <c r="P47" s="149"/>
      <c r="Q47" s="149"/>
      <c r="R47" s="149"/>
      <c r="S47" s="149"/>
      <c r="T47" s="149"/>
      <c r="U47" s="149"/>
      <c r="V47" s="149"/>
    </row>
    <row r="48" spans="1:22" ht="22" customHeight="1">
      <c r="A48" s="151" t="s">
        <v>119</v>
      </c>
      <c r="B48" s="101">
        <v>401738</v>
      </c>
      <c r="C48" s="45" t="s">
        <v>267</v>
      </c>
      <c r="D48" s="46">
        <v>45909</v>
      </c>
      <c r="E48" s="47" t="s">
        <v>2</v>
      </c>
      <c r="F48" s="48">
        <v>86.5</v>
      </c>
      <c r="G48" s="152">
        <f>IF(OR(E48="",F48=""),"",PID_KVLohnLookup($A$1,E48,F48,LOHNTABELLE!$H$4))</f>
        <v>1010.5</v>
      </c>
      <c r="H48" s="153">
        <f>IF(AND(ISNUMBER(D48),ISNUMBER(F48)),ROUNDDOWN(MIN(IF(OR(ISBLANK(I48),I48=""),EOMONTH(DATE(EINSTELLUNG!$C$35,$A$1,1),0),I48)-MAX(D48,DATE(EINSTELLUNG!$C$35,$A$1,1))+1)/DAY(EOMONTH(DATE(EINSTELLUNG!$C$35,$A$1,1),0))*F48,2),"")</f>
        <v>86.5</v>
      </c>
      <c r="I48" s="49"/>
      <c r="J48" s="50"/>
      <c r="K48" s="152">
        <f t="shared" si="1"/>
        <v>0</v>
      </c>
      <c r="L48" s="15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1010.5</v>
      </c>
      <c r="M48" s="51"/>
      <c r="N48" s="74"/>
      <c r="O48" s="149"/>
      <c r="P48" s="149"/>
      <c r="Q48" s="149"/>
      <c r="R48" s="149"/>
      <c r="S48" s="149"/>
      <c r="T48" s="149"/>
      <c r="U48" s="149"/>
      <c r="V48" s="149"/>
    </row>
    <row r="49" spans="1:22" ht="22" customHeight="1">
      <c r="A49" s="151" t="s">
        <v>120</v>
      </c>
      <c r="B49" s="102">
        <v>401745</v>
      </c>
      <c r="C49" s="53" t="s">
        <v>271</v>
      </c>
      <c r="D49" s="54">
        <v>45934</v>
      </c>
      <c r="E49" s="55" t="s">
        <v>2</v>
      </c>
      <c r="F49" s="56">
        <v>86.5</v>
      </c>
      <c r="G49" s="152">
        <f>IF(OR(E49="",F49=""),"",PID_KVLohnLookup($A$1,E49,F49,LOHNTABELLE!$H$4))</f>
        <v>1010.5</v>
      </c>
      <c r="H49" s="153">
        <f>IF(AND(ISNUMBER(D49),ISNUMBER(F49)),ROUNDDOWN(MIN(IF(OR(ISBLANK(I49),I49=""),EOMONTH(DATE(EINSTELLUNG!$C$35,$A$1,1),0),I49)-MAX(D49,DATE(EINSTELLUNG!$C$35,$A$1,1))+1)/DAY(EOMONTH(DATE(EINSTELLUNG!$C$35,$A$1,1),0))*F49,2),"")</f>
        <v>86.5</v>
      </c>
      <c r="I49" s="57"/>
      <c r="J49" s="58"/>
      <c r="K49" s="152">
        <f t="shared" si="1"/>
        <v>0</v>
      </c>
      <c r="L49" s="15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1010.5</v>
      </c>
      <c r="M49" s="59"/>
      <c r="N49" s="75"/>
      <c r="O49" s="149"/>
      <c r="P49" s="149"/>
      <c r="Q49" s="149"/>
      <c r="R49" s="149"/>
      <c r="S49" s="149"/>
      <c r="T49" s="149"/>
      <c r="U49" s="149"/>
      <c r="V49" s="149"/>
    </row>
    <row r="50" spans="1:22" ht="22" customHeight="1">
      <c r="A50" s="151" t="s">
        <v>121</v>
      </c>
      <c r="B50" s="101">
        <v>401746</v>
      </c>
      <c r="C50" s="45" t="s">
        <v>270</v>
      </c>
      <c r="D50" s="46">
        <v>45941</v>
      </c>
      <c r="E50" s="47" t="s">
        <v>2</v>
      </c>
      <c r="F50" s="48">
        <v>86.5</v>
      </c>
      <c r="G50" s="152">
        <f>IF(OR(E50="",F50=""),"",PID_KVLohnLookup($A$1,E50,F50,LOHNTABELLE!$H$4))</f>
        <v>1010.5</v>
      </c>
      <c r="H50" s="153">
        <f>IF(AND(ISNUMBER(D50),ISNUMBER(F50)),ROUNDDOWN(MIN(IF(OR(ISBLANK(I50),I50=""),EOMONTH(DATE(EINSTELLUNG!$C$35,$A$1,1),0),I50)-MAX(D50,DATE(EINSTELLUNG!$C$35,$A$1,1))+1)/DAY(EOMONTH(DATE(EINSTELLUNG!$C$35,$A$1,1),0))*F50,2),"")</f>
        <v>86.5</v>
      </c>
      <c r="I50" s="49"/>
      <c r="J50" s="50"/>
      <c r="K50" s="152">
        <f t="shared" si="1"/>
        <v>0</v>
      </c>
      <c r="L50" s="15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1010.5</v>
      </c>
      <c r="M50" s="51"/>
      <c r="N50" s="74"/>
      <c r="O50" s="149"/>
      <c r="P50" s="149"/>
      <c r="Q50" s="149"/>
      <c r="R50" s="149"/>
      <c r="S50" s="149"/>
      <c r="T50" s="149"/>
      <c r="U50" s="149"/>
      <c r="V50" s="149"/>
    </row>
    <row r="51" spans="1:22" ht="22" customHeight="1">
      <c r="A51" s="151" t="s">
        <v>122</v>
      </c>
      <c r="B51" s="102">
        <v>401747</v>
      </c>
      <c r="C51" s="53" t="s">
        <v>268</v>
      </c>
      <c r="D51" s="54">
        <v>45941</v>
      </c>
      <c r="E51" s="55" t="s">
        <v>2</v>
      </c>
      <c r="F51" s="56">
        <v>86.5</v>
      </c>
      <c r="G51" s="152">
        <f>IF(OR(E51="",F51=""),"",PID_KVLohnLookup($A$1,E51,F51,LOHNTABELLE!$H$4))</f>
        <v>1010.5</v>
      </c>
      <c r="H51" s="153">
        <f>IF(AND(ISNUMBER(D51),ISNUMBER(F51)),ROUNDDOWN(MIN(IF(OR(ISBLANK(I51),I51=""),EOMONTH(DATE(EINSTELLUNG!$C$35,$A$1,1),0),I51)-MAX(D51,DATE(EINSTELLUNG!$C$35,$A$1,1))+1)/DAY(EOMONTH(DATE(EINSTELLUNG!$C$35,$A$1,1),0))*F51,2),"")</f>
        <v>86.5</v>
      </c>
      <c r="I51" s="57"/>
      <c r="J51" s="58"/>
      <c r="K51" s="152">
        <f t="shared" si="1"/>
        <v>0</v>
      </c>
      <c r="L51" s="15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1010.5</v>
      </c>
      <c r="M51" s="59"/>
      <c r="N51" s="75"/>
    </row>
    <row r="52" spans="1:22" ht="22" customHeight="1">
      <c r="A52" s="151" t="s">
        <v>123</v>
      </c>
      <c r="B52" s="101">
        <v>401748</v>
      </c>
      <c r="C52" s="45" t="s">
        <v>269</v>
      </c>
      <c r="D52" s="46">
        <v>45941</v>
      </c>
      <c r="E52" s="47" t="s">
        <v>2</v>
      </c>
      <c r="F52" s="48">
        <v>138.4</v>
      </c>
      <c r="G52" s="152">
        <f>IF(OR(E52="",F52=""),"",PID_KVLohnLookup($A$1,E52,F52,LOHNTABELLE!$H$4))</f>
        <v>1616.8</v>
      </c>
      <c r="H52" s="153">
        <f>IF(AND(ISNUMBER(D52),ISNUMBER(F52)),ROUNDDOWN(MIN(IF(OR(ISBLANK(I52),I52=""),EOMONTH(DATE(EINSTELLUNG!$C$35,$A$1,1),0),I52)-MAX(D52,DATE(EINSTELLUNG!$C$35,$A$1,1))+1)/DAY(EOMONTH(DATE(EINSTELLUNG!$C$35,$A$1,1),0))*F52,2),"")</f>
        <v>138.4</v>
      </c>
      <c r="I52" s="49"/>
      <c r="J52" s="50"/>
      <c r="K52" s="152">
        <f t="shared" si="1"/>
        <v>0</v>
      </c>
      <c r="L52" s="15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1616.8</v>
      </c>
      <c r="M52" s="51"/>
      <c r="N52" s="74"/>
    </row>
    <row r="53" spans="1:22" ht="22" customHeight="1">
      <c r="A53" s="151" t="s">
        <v>124</v>
      </c>
      <c r="B53" s="102">
        <v>401751</v>
      </c>
      <c r="C53" s="53" t="s">
        <v>272</v>
      </c>
      <c r="D53" s="54">
        <v>45961</v>
      </c>
      <c r="E53" s="55" t="s">
        <v>2</v>
      </c>
      <c r="F53" s="56">
        <v>86.5</v>
      </c>
      <c r="G53" s="152">
        <f>IF(OR(E53="",F53=""),"",PID_KVLohnLookup($A$1,E53,F53,LOHNTABELLE!$H$4))</f>
        <v>1010.5</v>
      </c>
      <c r="H53" s="153">
        <f>IF(AND(ISNUMBER(D53),ISNUMBER(F53)),ROUNDDOWN(MIN(IF(OR(ISBLANK(I53),I53=""),EOMONTH(DATE(EINSTELLUNG!$C$35,$A$1,1),0),I53)-MAX(D53,DATE(EINSTELLUNG!$C$35,$A$1,1))+1)/DAY(EOMONTH(DATE(EINSTELLUNG!$C$35,$A$1,1),0))*F53,2),"")</f>
        <v>86.5</v>
      </c>
      <c r="I53" s="57"/>
      <c r="J53" s="58"/>
      <c r="K53" s="152">
        <f t="shared" si="1"/>
        <v>0</v>
      </c>
      <c r="L53" s="15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1010.5</v>
      </c>
      <c r="M53" s="59"/>
      <c r="N53" s="75"/>
    </row>
    <row r="54" spans="1:22" ht="22" customHeight="1">
      <c r="A54" s="151" t="s">
        <v>125</v>
      </c>
      <c r="B54" s="101">
        <v>401752</v>
      </c>
      <c r="C54" s="45" t="s">
        <v>273</v>
      </c>
      <c r="D54" s="46">
        <v>45986</v>
      </c>
      <c r="E54" s="47" t="s">
        <v>2</v>
      </c>
      <c r="F54" s="48">
        <v>173</v>
      </c>
      <c r="G54" s="152">
        <f>IF(OR(E54="",F54=""),"",PID_KVLohnLookup($A$1,E54,F54,LOHNTABELLE!$H$4))</f>
        <v>2021</v>
      </c>
      <c r="H54" s="153">
        <f>IF(AND(ISNUMBER(D54),ISNUMBER(F54)),ROUNDDOWN(MIN(IF(OR(ISBLANK(I54),I54=""),EOMONTH(DATE(EINSTELLUNG!$C$35,$A$1,1),0),I54)-MAX(D54,DATE(EINSTELLUNG!$C$35,$A$1,1))+1)/DAY(EOMONTH(DATE(EINSTELLUNG!$C$35,$A$1,1),0))*F54,2),"")</f>
        <v>173</v>
      </c>
      <c r="I54" s="49"/>
      <c r="J54" s="50"/>
      <c r="K54" s="152">
        <f t="shared" si="1"/>
        <v>0</v>
      </c>
      <c r="L54" s="15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2021</v>
      </c>
      <c r="M54" s="51"/>
      <c r="N54" s="74"/>
    </row>
    <row r="55" spans="1:22" ht="22" customHeight="1">
      <c r="A55" s="151" t="s">
        <v>126</v>
      </c>
      <c r="B55" s="102">
        <v>401999</v>
      </c>
      <c r="C55" s="53" t="s">
        <v>358</v>
      </c>
      <c r="D55" s="54">
        <v>46041</v>
      </c>
      <c r="E55" s="55" t="s">
        <v>2</v>
      </c>
      <c r="F55" s="56">
        <v>151.38</v>
      </c>
      <c r="G55" s="152">
        <f>IF(OR(E55="",F55=""),"",PID_KVLohnLookup($A$1,E55,F55,LOHNTABELLE!$H$4))</f>
        <v>1768.38</v>
      </c>
      <c r="H55" s="153">
        <f>IF(AND(ISNUMBER(D55),ISNUMBER(F55)),ROUNDDOWN(MIN(IF(OR(ISBLANK(I55),I55=""),EOMONTH(DATE(EINSTELLUNG!$C$35,$A$1,1),0),I55)-MAX(D55,DATE(EINSTELLUNG!$C$35,$A$1,1))+1)/DAY(EOMONTH(DATE(EINSTELLUNG!$C$35,$A$1,1),0))*F55,2),"")</f>
        <v>151.38</v>
      </c>
      <c r="I55" s="57"/>
      <c r="J55" s="58"/>
      <c r="K55" s="152">
        <f t="shared" si="1"/>
        <v>0</v>
      </c>
      <c r="L55" s="15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1768.38</v>
      </c>
      <c r="M55" s="59"/>
      <c r="N55" s="75"/>
    </row>
    <row r="56" spans="1:22" ht="22" customHeight="1">
      <c r="A56" s="151" t="s">
        <v>127</v>
      </c>
      <c r="B56" s="101">
        <v>401999</v>
      </c>
      <c r="C56" s="45" t="s">
        <v>295</v>
      </c>
      <c r="D56" s="49">
        <v>46082</v>
      </c>
      <c r="E56" s="47" t="s">
        <v>2</v>
      </c>
      <c r="F56" s="48">
        <v>173</v>
      </c>
      <c r="G56" s="152">
        <f>IF(OR(E56="",F56=""),"",PID_KVLohnLookup($A$1,E56,F56,LOHNTABELLE!$H$4))</f>
        <v>2021</v>
      </c>
      <c r="H56" s="153">
        <f>IF(AND(ISNUMBER(D56),ISNUMBER(F56)),ROUNDDOWN(MIN(IF(OR(ISBLANK(I56),I56=""),EOMONTH(DATE(EINSTELLUNG!$C$35,$A$1,1),0),I56)-MAX(D56,DATE(EINSTELLUNG!$C$35,$A$1,1))+1)/DAY(EOMONTH(DATE(EINSTELLUNG!$C$35,$A$1,1),0))*F56,2),"")</f>
        <v>173</v>
      </c>
      <c r="I56" s="49"/>
      <c r="J56" s="50"/>
      <c r="K56" s="152">
        <f t="shared" si="1"/>
        <v>0</v>
      </c>
      <c r="L56" s="15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2021</v>
      </c>
      <c r="M56" s="51"/>
      <c r="N56" s="74"/>
    </row>
    <row r="57" spans="1:22" ht="22" customHeight="1">
      <c r="A57" s="151" t="s">
        <v>128</v>
      </c>
      <c r="B57" s="102">
        <v>402004</v>
      </c>
      <c r="C57" s="53" t="s">
        <v>299</v>
      </c>
      <c r="D57" s="57">
        <v>46122</v>
      </c>
      <c r="E57" s="55" t="s">
        <v>2</v>
      </c>
      <c r="F57" s="56">
        <v>173</v>
      </c>
      <c r="G57" s="152">
        <f>IF(OR(E57="",F57=""),"",PID_KVLohnLookup($A$1,E57,F57,LOHNTABELLE!$H$4))</f>
        <v>2021</v>
      </c>
      <c r="H57" s="153">
        <f>IF(AND(ISNUMBER(D57),ISNUMBER(F57)),ROUNDDOWN(MIN(IF(OR(ISBLANK(I57),I57=""),EOMONTH(DATE(EINSTELLUNG!$C$35,$A$1,1),0),I57)-MAX(D57,DATE(EINSTELLUNG!$C$35,$A$1,1))+1)/DAY(EOMONTH(DATE(EINSTELLUNG!$C$35,$A$1,1),0))*F57,2),"")</f>
        <v>121.1</v>
      </c>
      <c r="I57" s="57"/>
      <c r="J57" s="58"/>
      <c r="K57" s="152">
        <f t="shared" si="1"/>
        <v>0</v>
      </c>
      <c r="L57" s="15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1414.6999999999998</v>
      </c>
      <c r="M57" s="59"/>
      <c r="N57" s="75"/>
    </row>
    <row r="58" spans="1:22" ht="22" customHeight="1">
      <c r="A58" s="151" t="s">
        <v>129</v>
      </c>
      <c r="B58" s="101">
        <v>402405</v>
      </c>
      <c r="C58" s="45" t="s">
        <v>301</v>
      </c>
      <c r="D58" s="49">
        <v>46054</v>
      </c>
      <c r="E58" s="47" t="s">
        <v>2</v>
      </c>
      <c r="F58" s="48">
        <v>173</v>
      </c>
      <c r="G58" s="152">
        <f>IF(OR(E58="",F58=""),"",PID_KVLohnLookup($A$1,E58,F58,LOHNTABELLE!$H$4))</f>
        <v>2021</v>
      </c>
      <c r="H58" s="153">
        <f>IF(AND(ISNUMBER(D58),ISNUMBER(F58)),ROUNDDOWN(MIN(IF(OR(ISBLANK(I58),I58=""),EOMONTH(DATE(EINSTELLUNG!$C$35,$A$1,1),0),I58)-MAX(D58,DATE(EINSTELLUNG!$C$35,$A$1,1))+1)/DAY(EOMONTH(DATE(EINSTELLUNG!$C$35,$A$1,1),0))*F58,2),"")</f>
        <v>173</v>
      </c>
      <c r="I58" s="49"/>
      <c r="J58" s="50"/>
      <c r="K58" s="152">
        <f t="shared" si="1"/>
        <v>0</v>
      </c>
      <c r="L58" s="15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2021</v>
      </c>
      <c r="M58" s="51"/>
      <c r="N58" s="74"/>
    </row>
    <row r="59" spans="1:22" ht="22" customHeight="1">
      <c r="A59" s="151" t="s">
        <v>130</v>
      </c>
      <c r="B59" s="102">
        <v>500600</v>
      </c>
      <c r="C59" s="53" t="s">
        <v>305</v>
      </c>
      <c r="D59" s="57">
        <v>46054</v>
      </c>
      <c r="E59" s="55" t="s">
        <v>2</v>
      </c>
      <c r="F59" s="56">
        <v>173</v>
      </c>
      <c r="G59" s="152">
        <f>IF(OR(E59="",F59=""),"",PID_KVLohnLookup($A$1,E59,F59,LOHNTABELLE!$H$4))</f>
        <v>2021</v>
      </c>
      <c r="H59" s="153">
        <f>IF(AND(ISNUMBER(D59),ISNUMBER(F59)),ROUNDDOWN(MIN(IF(OR(ISBLANK(I59),I59=""),EOMONTH(DATE(EINSTELLUNG!$C$35,$A$1,1),0),I59)-MAX(D59,DATE(EINSTELLUNG!$C$35,$A$1,1))+1)/DAY(EOMONTH(DATE(EINSTELLUNG!$C$35,$A$1,1),0))*F59,2),"")</f>
        <v>173</v>
      </c>
      <c r="I59" s="57"/>
      <c r="J59" s="58"/>
      <c r="K59" s="152">
        <f t="shared" si="1"/>
        <v>0</v>
      </c>
      <c r="L59" s="15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2021</v>
      </c>
      <c r="M59" s="59"/>
      <c r="N59" s="75"/>
    </row>
    <row r="60" spans="1:22" ht="22" customHeight="1">
      <c r="A60" s="151" t="s">
        <v>131</v>
      </c>
      <c r="B60" s="101">
        <v>503000</v>
      </c>
      <c r="C60" s="45" t="s">
        <v>302</v>
      </c>
      <c r="D60" s="49">
        <v>42401</v>
      </c>
      <c r="E60" s="47" t="s">
        <v>2</v>
      </c>
      <c r="F60" s="48">
        <v>173</v>
      </c>
      <c r="G60" s="152">
        <f>IF(OR(E60="",F60=""),"",PID_KVLohnLookup($A$1,E60,F60,LOHNTABELLE!$H$4))</f>
        <v>2021</v>
      </c>
      <c r="H60" s="153">
        <f>IF(AND(ISNUMBER(D60),ISNUMBER(F60)),ROUNDDOWN(MIN(IF(OR(ISBLANK(I60),I60=""),EOMONTH(DATE(EINSTELLUNG!$C$35,$A$1,1),0),I60)-MAX(D60,DATE(EINSTELLUNG!$C$35,$A$1,1))+1)/DAY(EOMONTH(DATE(EINSTELLUNG!$C$35,$A$1,1),0))*F60,2),"")</f>
        <v>173</v>
      </c>
      <c r="I60" s="49"/>
      <c r="J60" s="50"/>
      <c r="K60" s="152">
        <f t="shared" si="1"/>
        <v>0</v>
      </c>
      <c r="L60" s="15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2021</v>
      </c>
      <c r="M60" s="51"/>
      <c r="N60" s="74"/>
    </row>
    <row r="61" spans="1:22" ht="22" customHeight="1">
      <c r="A61" s="151" t="s">
        <v>132</v>
      </c>
      <c r="B61" s="102">
        <v>504000</v>
      </c>
      <c r="C61" s="53" t="s">
        <v>303</v>
      </c>
      <c r="D61" s="57">
        <v>46054</v>
      </c>
      <c r="E61" s="55" t="s">
        <v>3</v>
      </c>
      <c r="F61" s="56">
        <v>138.4</v>
      </c>
      <c r="G61" s="152">
        <f>IF(OR(E61="",F61=""),"",PID_KVLohnLookup($A$1,E61,F61,LOHNTABELLE!$H$4))</f>
        <v>1665.6</v>
      </c>
      <c r="H61" s="153">
        <f>IF(AND(ISNUMBER(D61),ISNUMBER(F61)),ROUNDDOWN(MIN(IF(OR(ISBLANK(I61),I61=""),EOMONTH(DATE(EINSTELLUNG!$C$35,$A$1,1),0),I61)-MAX(D61,DATE(EINSTELLUNG!$C$35,$A$1,1))+1)/DAY(EOMONTH(DATE(EINSTELLUNG!$C$35,$A$1,1),0))*F61,2),"")</f>
        <v>138.4</v>
      </c>
      <c r="I61" s="57"/>
      <c r="J61" s="58"/>
      <c r="K61" s="152">
        <f t="shared" si="1"/>
        <v>0</v>
      </c>
      <c r="L61" s="15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1665.6</v>
      </c>
      <c r="M61" s="59"/>
      <c r="N61" s="75"/>
    </row>
    <row r="62" spans="1:22" ht="22" customHeight="1">
      <c r="A62" s="151" t="s">
        <v>133</v>
      </c>
      <c r="B62" s="101">
        <v>505000</v>
      </c>
      <c r="C62" s="45" t="s">
        <v>304</v>
      </c>
      <c r="D62" s="49">
        <v>46054</v>
      </c>
      <c r="E62" s="47" t="s">
        <v>2</v>
      </c>
      <c r="F62" s="48">
        <v>138.4</v>
      </c>
      <c r="G62" s="152">
        <f>IF(OR(E62="",F62=""),"",PID_KVLohnLookup($A$1,E62,F62,LOHNTABELLE!$H$4))</f>
        <v>1616.8</v>
      </c>
      <c r="H62" s="153">
        <f>IF(AND(ISNUMBER(D62),ISNUMBER(F62)),ROUNDDOWN(MIN(IF(OR(ISBLANK(I62),I62=""),EOMONTH(DATE(EINSTELLUNG!$C$35,$A$1,1),0),I62)-MAX(D62,DATE(EINSTELLUNG!$C$35,$A$1,1))+1)/DAY(EOMONTH(DATE(EINSTELLUNG!$C$35,$A$1,1),0))*F62,2),"")</f>
        <v>138.4</v>
      </c>
      <c r="I62" s="49"/>
      <c r="J62" s="50"/>
      <c r="K62" s="152">
        <f t="shared" si="1"/>
        <v>0</v>
      </c>
      <c r="L62" s="15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1616.8</v>
      </c>
      <c r="M62" s="51"/>
      <c r="N62" s="74"/>
    </row>
    <row r="63" spans="1:22" ht="22" customHeight="1">
      <c r="A63" s="151" t="s">
        <v>134</v>
      </c>
      <c r="B63" s="102">
        <v>525025</v>
      </c>
      <c r="C63" s="53" t="s">
        <v>359</v>
      </c>
      <c r="D63" s="57">
        <v>46040</v>
      </c>
      <c r="E63" s="55" t="s">
        <v>2</v>
      </c>
      <c r="F63" s="56">
        <v>129.75</v>
      </c>
      <c r="G63" s="152">
        <f>IF(OR(E63="",F63=""),"",PID_KVLohnLookup($A$1,E63,F63,LOHNTABELLE!$H$4))</f>
        <v>1515.75</v>
      </c>
      <c r="H63" s="153">
        <f>IF(AND(ISNUMBER(D63),ISNUMBER(F63)),ROUNDDOWN(MIN(IF(OR(ISBLANK(I63),I63=""),EOMONTH(DATE(EINSTELLUNG!$C$35,$A$1,1),0),I63)-MAX(D63,DATE(EINSTELLUNG!$C$35,$A$1,1))+1)/DAY(EOMONTH(DATE(EINSTELLUNG!$C$35,$A$1,1),0))*F63,2),"")</f>
        <v>129.75</v>
      </c>
      <c r="I63" s="57"/>
      <c r="J63" s="58"/>
      <c r="K63" s="152">
        <f t="shared" si="1"/>
        <v>0</v>
      </c>
      <c r="L63" s="154">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1515.75</v>
      </c>
      <c r="M63" s="59"/>
      <c r="N63" s="75"/>
    </row>
    <row r="64" spans="1:22" ht="22" customHeight="1">
      <c r="A64" s="151" t="s">
        <v>135</v>
      </c>
      <c r="B64" s="101">
        <v>700000</v>
      </c>
      <c r="C64" s="45" t="s">
        <v>312</v>
      </c>
      <c r="D64" s="49">
        <v>46054</v>
      </c>
      <c r="E64" s="47" t="s">
        <v>2</v>
      </c>
      <c r="F64" s="48">
        <v>173</v>
      </c>
      <c r="G64" s="152">
        <f>IF(OR(E64="",F64=""),"",PID_KVLohnLookup($A$1,E64,F64,LOHNTABELLE!$H$4))</f>
        <v>2021</v>
      </c>
      <c r="H64" s="153">
        <f>IF(AND(ISNUMBER(D64),ISNUMBER(F64)),ROUNDDOWN(MIN(IF(OR(ISBLANK(I64),I64=""),EOMONTH(DATE(EINSTELLUNG!$C$35,$A$1,1),0),I64)-MAX(D64,DATE(EINSTELLUNG!$C$35,$A$1,1))+1)/DAY(EOMONTH(DATE(EINSTELLUNG!$C$35,$A$1,1),0))*F64,2),"")</f>
        <v>173</v>
      </c>
      <c r="I64" s="49"/>
      <c r="J64" s="50"/>
      <c r="K64" s="152">
        <f t="shared" si="1"/>
        <v>0</v>
      </c>
      <c r="L64" s="154">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2021</v>
      </c>
      <c r="M64" s="51"/>
      <c r="N64" s="74"/>
    </row>
    <row r="65" spans="1:14" ht="22" customHeight="1">
      <c r="A65" s="151" t="s">
        <v>136</v>
      </c>
      <c r="B65" s="102">
        <v>800000</v>
      </c>
      <c r="C65" s="53" t="s">
        <v>313</v>
      </c>
      <c r="D65" s="57">
        <v>46096</v>
      </c>
      <c r="E65" s="55" t="s">
        <v>2</v>
      </c>
      <c r="F65" s="56">
        <v>173</v>
      </c>
      <c r="G65" s="152">
        <f>IF(OR(E65="",F65=""),"",PID_KVLohnLookup($A$1,E65,F65,LOHNTABELLE!$H$4))</f>
        <v>2021</v>
      </c>
      <c r="H65" s="153">
        <f>IF(AND(ISNUMBER(D65),ISNUMBER(F65)),ROUNDDOWN(MIN(IF(OR(ISBLANK(I65),I65=""),EOMONTH(DATE(EINSTELLUNG!$C$35,$A$1,1),0),I65)-MAX(D65,DATE(EINSTELLUNG!$C$35,$A$1,1))+1)/DAY(EOMONTH(DATE(EINSTELLUNG!$C$35,$A$1,1),0))*F65,2),"")</f>
        <v>173</v>
      </c>
      <c r="I65" s="57"/>
      <c r="J65" s="58"/>
      <c r="K65" s="152">
        <f t="shared" si="1"/>
        <v>0</v>
      </c>
      <c r="L65" s="154">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2021</v>
      </c>
      <c r="M65" s="59"/>
      <c r="N65" s="75"/>
    </row>
    <row r="66" spans="1:14" ht="22" customHeight="1">
      <c r="A66" s="151" t="s">
        <v>137</v>
      </c>
      <c r="B66" s="101"/>
      <c r="C66" s="45"/>
      <c r="D66" s="49"/>
      <c r="E66" s="47"/>
      <c r="F66" s="48"/>
      <c r="G66" s="152" t="str">
        <f>IF(OR(E66="",F66=""),"",PID_KVLohnLookup($A$1,E66,F66,LOHNTABELLE!$H$4))</f>
        <v/>
      </c>
      <c r="H66" s="153" t="str">
        <f>IF(AND(ISNUMBER(D66),ISNUMBER(F66)),ROUNDDOWN(MIN(IF(OR(ISBLANK(I66),I66=""),EOMONTH(DATE(EINSTELLUNG!$C$35,$A$1,1),0),I66)-MAX(D66,DATE(EINSTELLUNG!$C$35,$A$1,1))+1)/DAY(EOMONTH(DATE(EINSTELLUNG!$C$35,$A$1,1),0))*F66,2),"")</f>
        <v/>
      </c>
      <c r="I66" s="49"/>
      <c r="J66" s="50"/>
      <c r="K66" s="152" t="str">
        <f t="shared" si="1"/>
        <v/>
      </c>
      <c r="L66" s="15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51"/>
      <c r="N66" s="74"/>
    </row>
    <row r="67" spans="1:14" ht="22" customHeight="1">
      <c r="A67" s="151" t="s">
        <v>138</v>
      </c>
      <c r="B67" s="102"/>
      <c r="C67" s="53"/>
      <c r="D67" s="57"/>
      <c r="E67" s="55"/>
      <c r="F67" s="56"/>
      <c r="G67" s="152" t="str">
        <f>IF(OR(E67="",F67=""),"",PID_KVLohnLookup($A$1,E67,F67,LOHNTABELLE!$H$4))</f>
        <v/>
      </c>
      <c r="H67" s="153" t="str">
        <f>IF(AND(ISNUMBER(D67),ISNUMBER(F67)),ROUNDDOWN(MIN(IF(OR(ISBLANK(I67),I67=""),EOMONTH(DATE(EINSTELLUNG!$C$35,$A$1,1),0),I67)-MAX(D67,DATE(EINSTELLUNG!$C$35,$A$1,1))+1)/DAY(EOMONTH(DATE(EINSTELLUNG!$C$35,$A$1,1),0))*F67,2),"")</f>
        <v/>
      </c>
      <c r="I67" s="57"/>
      <c r="J67" s="58"/>
      <c r="K67" s="152" t="str">
        <f t="shared" ref="K67:K82" si="3">IF(OR(B67="",C67=""),"",IFERROR(IF(OR(MONTH(D67)=1,MONTH(D67)=3,MONTH(D67)=5,MONTH(D67)=7,MONTH(D67)=8,MONTH(D67)=10,MONTH(D67)=12),(G67/31)*J67,IF(OR(MONTH(D67)=4,MONTH(D67)=6,MONTH(D67)=9,MONTH(D67)=11),(G67/30)*J67,(G67/DAY(EOMONTH(D67,0)))*J67)),0))</f>
        <v/>
      </c>
      <c r="L67" s="15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9"/>
      <c r="N67" s="75"/>
    </row>
    <row r="68" spans="1:14" ht="22" customHeight="1">
      <c r="A68" s="151" t="s">
        <v>139</v>
      </c>
      <c r="B68" s="101"/>
      <c r="C68" s="45"/>
      <c r="D68" s="49"/>
      <c r="E68" s="47"/>
      <c r="F68" s="48"/>
      <c r="G68" s="152" t="str">
        <f>IF(OR(E68="",F68=""),"",PID_KVLohnLookup($A$1,E68,F68,LOHNTABELLE!$H$4))</f>
        <v/>
      </c>
      <c r="H68" s="153" t="str">
        <f>IF(AND(ISNUMBER(D68),ISNUMBER(F68)),ROUNDDOWN(MIN(IF(OR(ISBLANK(I68),I68=""),EOMONTH(DATE(EINSTELLUNG!$C$35,$A$1,1),0),I68)-MAX(D68,DATE(EINSTELLUNG!$C$35,$A$1,1))+1)/DAY(EOMONTH(DATE(EINSTELLUNG!$C$35,$A$1,1),0))*F68,2),"")</f>
        <v/>
      </c>
      <c r="I68" s="49"/>
      <c r="J68" s="50"/>
      <c r="K68" s="152" t="str">
        <f t="shared" si="3"/>
        <v/>
      </c>
      <c r="L68" s="15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51"/>
      <c r="N68" s="74"/>
    </row>
    <row r="69" spans="1:14" ht="22" customHeight="1">
      <c r="A69" s="151" t="s">
        <v>140</v>
      </c>
      <c r="B69" s="102"/>
      <c r="C69" s="53"/>
      <c r="D69" s="57"/>
      <c r="E69" s="55"/>
      <c r="F69" s="56"/>
      <c r="G69" s="152" t="str">
        <f>IF(OR(E69="",F69=""),"",PID_KVLohnLookup($A$1,E69,F69,LOHNTABELLE!$H$4))</f>
        <v/>
      </c>
      <c r="H69" s="153" t="str">
        <f>IF(AND(ISNUMBER(D69),ISNUMBER(F69)),ROUNDDOWN(MIN(IF(OR(ISBLANK(I69),I69=""),EOMONTH(DATE(EINSTELLUNG!$C$35,$A$1,1),0),I69)-MAX(D69,DATE(EINSTELLUNG!$C$35,$A$1,1))+1)/DAY(EOMONTH(DATE(EINSTELLUNG!$C$35,$A$1,1),0))*F69,2),"")</f>
        <v/>
      </c>
      <c r="I69" s="57"/>
      <c r="J69" s="58"/>
      <c r="K69" s="152" t="str">
        <f t="shared" si="3"/>
        <v/>
      </c>
      <c r="L69" s="15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9"/>
      <c r="N69" s="75"/>
    </row>
    <row r="70" spans="1:14" ht="22" customHeight="1">
      <c r="A70" s="151" t="s">
        <v>141</v>
      </c>
      <c r="B70" s="101"/>
      <c r="C70" s="45"/>
      <c r="D70" s="49"/>
      <c r="E70" s="47"/>
      <c r="F70" s="48"/>
      <c r="G70" s="152" t="str">
        <f>IF(OR(E70="",F70=""),"",PID_KVLohnLookup($A$1,E70,F70,LOHNTABELLE!$H$4))</f>
        <v/>
      </c>
      <c r="H70" s="153" t="str">
        <f>IF(AND(ISNUMBER(D70),ISNUMBER(F70)),ROUNDDOWN(MIN(IF(OR(ISBLANK(I70),I70=""),EOMONTH(DATE(EINSTELLUNG!$C$35,$A$1,1),0),I70)-MAX(D70,DATE(EINSTELLUNG!$C$35,$A$1,1))+1)/DAY(EOMONTH(DATE(EINSTELLUNG!$C$35,$A$1,1),0))*F70,2),"")</f>
        <v/>
      </c>
      <c r="I70" s="49"/>
      <c r="J70" s="50"/>
      <c r="K70" s="152" t="str">
        <f t="shared" si="3"/>
        <v/>
      </c>
      <c r="L70" s="15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51"/>
      <c r="N70" s="74"/>
    </row>
    <row r="71" spans="1:14" ht="22" customHeight="1">
      <c r="A71" s="151" t="s">
        <v>142</v>
      </c>
      <c r="B71" s="102"/>
      <c r="C71" s="53"/>
      <c r="D71" s="57"/>
      <c r="E71" s="55"/>
      <c r="F71" s="56"/>
      <c r="G71" s="152" t="str">
        <f>IF(OR(E71="",F71=""),"",PID_KVLohnLookup($A$1,E71,F71,LOHNTABELLE!$H$4))</f>
        <v/>
      </c>
      <c r="H71" s="153" t="str">
        <f>IF(AND(ISNUMBER(D71),ISNUMBER(F71)),ROUNDDOWN(MIN(IF(OR(ISBLANK(I71),I71=""),EOMONTH(DATE(EINSTELLUNG!$C$35,$A$1,1),0),I71)-MAX(D71,DATE(EINSTELLUNG!$C$35,$A$1,1))+1)/DAY(EOMONTH(DATE(EINSTELLUNG!$C$35,$A$1,1),0))*F71,2),"")</f>
        <v/>
      </c>
      <c r="I71" s="57"/>
      <c r="J71" s="58"/>
      <c r="K71" s="152" t="str">
        <f t="shared" si="3"/>
        <v/>
      </c>
      <c r="L71" s="15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9"/>
      <c r="N71" s="75"/>
    </row>
    <row r="72" spans="1:14" ht="22" customHeight="1">
      <c r="A72" s="151" t="s">
        <v>143</v>
      </c>
      <c r="B72" s="101"/>
      <c r="C72" s="45"/>
      <c r="D72" s="49"/>
      <c r="E72" s="47"/>
      <c r="F72" s="48"/>
      <c r="G72" s="152" t="str">
        <f>IF(OR(E72="",F72=""),"",PID_KVLohnLookup($A$1,E72,F72,LOHNTABELLE!$H$4))</f>
        <v/>
      </c>
      <c r="H72" s="153" t="str">
        <f>IF(AND(ISNUMBER(D72),ISNUMBER(F72)),ROUNDDOWN(MIN(IF(OR(ISBLANK(I72),I72=""),EOMONTH(DATE(EINSTELLUNG!$C$35,$A$1,1),0),I72)-MAX(D72,DATE(EINSTELLUNG!$C$35,$A$1,1))+1)/DAY(EOMONTH(DATE(EINSTELLUNG!$C$35,$A$1,1),0))*F72,2),"")</f>
        <v/>
      </c>
      <c r="I72" s="49"/>
      <c r="J72" s="50"/>
      <c r="K72" s="152" t="str">
        <f t="shared" si="3"/>
        <v/>
      </c>
      <c r="L72" s="15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51"/>
      <c r="N72" s="74"/>
    </row>
    <row r="73" spans="1:14" ht="22" customHeight="1">
      <c r="A73" s="151" t="s">
        <v>144</v>
      </c>
      <c r="B73" s="102"/>
      <c r="C73" s="53"/>
      <c r="D73" s="57"/>
      <c r="E73" s="55"/>
      <c r="F73" s="56"/>
      <c r="G73" s="152" t="str">
        <f>IF(OR(E73="",F73=""),"",PID_KVLohnLookup($A$1,E73,F73,LOHNTABELLE!$H$4))</f>
        <v/>
      </c>
      <c r="H73" s="153" t="str">
        <f>IF(AND(ISNUMBER(D73),ISNUMBER(F73)),ROUNDDOWN(MIN(IF(OR(ISBLANK(I73),I73=""),EOMONTH(DATE(EINSTELLUNG!$C$35,$A$1,1),0),I73)-MAX(D73,DATE(EINSTELLUNG!$C$35,$A$1,1))+1)/DAY(EOMONTH(DATE(EINSTELLUNG!$C$35,$A$1,1),0))*F73,2),"")</f>
        <v/>
      </c>
      <c r="I73" s="57"/>
      <c r="J73" s="58"/>
      <c r="K73" s="152" t="str">
        <f t="shared" si="3"/>
        <v/>
      </c>
      <c r="L73" s="15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9"/>
      <c r="N73" s="75"/>
    </row>
    <row r="74" spans="1:14" ht="22" customHeight="1">
      <c r="A74" s="151" t="s">
        <v>145</v>
      </c>
      <c r="B74" s="101"/>
      <c r="C74" s="45"/>
      <c r="D74" s="49"/>
      <c r="E74" s="47"/>
      <c r="F74" s="48"/>
      <c r="G74" s="152" t="str">
        <f>IF(OR(E74="",F74=""),"",PID_KVLohnLookup($A$1,E74,F74,LOHNTABELLE!$H$4))</f>
        <v/>
      </c>
      <c r="H74" s="153" t="str">
        <f>IF(AND(ISNUMBER(D74),ISNUMBER(F74)),ROUNDDOWN(MIN(IF(OR(ISBLANK(I74),I74=""),EOMONTH(DATE(EINSTELLUNG!$C$35,$A$1,1),0),I74)-MAX(D74,DATE(EINSTELLUNG!$C$35,$A$1,1))+1)/DAY(EOMONTH(DATE(EINSTELLUNG!$C$35,$A$1,1),0))*F74,2),"")</f>
        <v/>
      </c>
      <c r="I74" s="49"/>
      <c r="J74" s="50"/>
      <c r="K74" s="152" t="str">
        <f t="shared" si="3"/>
        <v/>
      </c>
      <c r="L74" s="15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51"/>
      <c r="N74" s="74"/>
    </row>
    <row r="75" spans="1:14" ht="22" customHeight="1">
      <c r="A75" s="151" t="s">
        <v>146</v>
      </c>
      <c r="B75" s="102"/>
      <c r="C75" s="53"/>
      <c r="D75" s="57"/>
      <c r="E75" s="55"/>
      <c r="F75" s="56"/>
      <c r="G75" s="152" t="str">
        <f>IF(OR(E75="",F75=""),"",PID_KVLohnLookup($A$1,E75,F75,LOHNTABELLE!$H$4))</f>
        <v/>
      </c>
      <c r="H75" s="153" t="str">
        <f>IF(AND(ISNUMBER(D75),ISNUMBER(F75)),ROUNDDOWN(MIN(IF(OR(ISBLANK(I75),I75=""),EOMONTH(DATE(EINSTELLUNG!$C$35,$A$1,1),0),I75)-MAX(D75,DATE(EINSTELLUNG!$C$35,$A$1,1))+1)/DAY(EOMONTH(DATE(EINSTELLUNG!$C$35,$A$1,1),0))*F75,2),"")</f>
        <v/>
      </c>
      <c r="I75" s="57"/>
      <c r="J75" s="58"/>
      <c r="K75" s="152" t="str">
        <f t="shared" si="3"/>
        <v/>
      </c>
      <c r="L75" s="15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9"/>
      <c r="N75" s="75"/>
    </row>
    <row r="76" spans="1:14" ht="22" customHeight="1">
      <c r="A76" s="151" t="s">
        <v>147</v>
      </c>
      <c r="B76" s="101"/>
      <c r="C76" s="45"/>
      <c r="D76" s="49"/>
      <c r="E76" s="47"/>
      <c r="F76" s="48"/>
      <c r="G76" s="152" t="str">
        <f>IF(OR(E76="",F76=""),"",PID_KVLohnLookup($A$1,E76,F76,LOHNTABELLE!$H$4))</f>
        <v/>
      </c>
      <c r="H76" s="153" t="str">
        <f>IF(AND(ISNUMBER(D76),ISNUMBER(F76)),ROUNDDOWN(MIN(IF(OR(ISBLANK(I76),I76=""),EOMONTH(DATE(EINSTELLUNG!$C$35,$A$1,1),0),I76)-MAX(D76,DATE(EINSTELLUNG!$C$35,$A$1,1))+1)/DAY(EOMONTH(DATE(EINSTELLUNG!$C$35,$A$1,1),0))*F76,2),"")</f>
        <v/>
      </c>
      <c r="I76" s="49"/>
      <c r="J76" s="50"/>
      <c r="K76" s="152" t="str">
        <f t="shared" si="3"/>
        <v/>
      </c>
      <c r="L76" s="15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51"/>
      <c r="N76" s="74"/>
    </row>
    <row r="77" spans="1:14" ht="22" customHeight="1">
      <c r="A77" s="151" t="s">
        <v>148</v>
      </c>
      <c r="B77" s="102"/>
      <c r="C77" s="53"/>
      <c r="D77" s="57"/>
      <c r="E77" s="55"/>
      <c r="F77" s="56"/>
      <c r="G77" s="152" t="str">
        <f>IF(OR(E77="",F77=""),"",PID_KVLohnLookup($A$1,E77,F77,LOHNTABELLE!$H$4))</f>
        <v/>
      </c>
      <c r="H77" s="153" t="str">
        <f>IF(AND(ISNUMBER(D77),ISNUMBER(F77)),ROUNDDOWN(MIN(IF(OR(ISBLANK(I77),I77=""),EOMONTH(DATE(EINSTELLUNG!$C$35,$A$1,1),0),I77)-MAX(D77,DATE(EINSTELLUNG!$C$35,$A$1,1))+1)/DAY(EOMONTH(DATE(EINSTELLUNG!$C$35,$A$1,1),0))*F77,2),"")</f>
        <v/>
      </c>
      <c r="I77" s="57"/>
      <c r="J77" s="58"/>
      <c r="K77" s="152" t="str">
        <f t="shared" si="3"/>
        <v/>
      </c>
      <c r="L77" s="15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9"/>
      <c r="N77" s="75"/>
    </row>
    <row r="78" spans="1:14" ht="22" customHeight="1">
      <c r="A78" s="151" t="s">
        <v>149</v>
      </c>
      <c r="B78" s="101"/>
      <c r="C78" s="45"/>
      <c r="D78" s="49"/>
      <c r="E78" s="47"/>
      <c r="F78" s="48"/>
      <c r="G78" s="152" t="str">
        <f>IF(OR(E78="",F78=""),"",PID_KVLohnLookup($A$1,E78,F78,LOHNTABELLE!$H$4))</f>
        <v/>
      </c>
      <c r="H78" s="153" t="str">
        <f>IF(AND(ISNUMBER(D78),ISNUMBER(F78)),ROUNDDOWN(MIN(IF(OR(ISBLANK(I78),I78=""),EOMONTH(DATE(EINSTELLUNG!$C$35,$A$1,1),0),I78)-MAX(D78,DATE(EINSTELLUNG!$C$35,$A$1,1))+1)/DAY(EOMONTH(DATE(EINSTELLUNG!$C$35,$A$1,1),0))*F78,2),"")</f>
        <v/>
      </c>
      <c r="I78" s="49"/>
      <c r="J78" s="50"/>
      <c r="K78" s="152" t="str">
        <f t="shared" si="3"/>
        <v/>
      </c>
      <c r="L78" s="15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51"/>
      <c r="N78" s="74"/>
    </row>
    <row r="79" spans="1:14" ht="22" customHeight="1">
      <c r="A79" s="151" t="s">
        <v>150</v>
      </c>
      <c r="B79" s="102"/>
      <c r="C79" s="53"/>
      <c r="D79" s="57"/>
      <c r="E79" s="55"/>
      <c r="F79" s="56"/>
      <c r="G79" s="152" t="str">
        <f>IF(OR(E79="",F79=""),"",PID_KVLohnLookup($A$1,E79,F79,LOHNTABELLE!$H$4))</f>
        <v/>
      </c>
      <c r="H79" s="153" t="str">
        <f>IF(AND(ISNUMBER(D79),ISNUMBER(F79)),ROUNDDOWN(MIN(IF(OR(ISBLANK(I79),I79=""),EOMONTH(DATE(EINSTELLUNG!$C$35,$A$1,1),0),I79)-MAX(D79,DATE(EINSTELLUNG!$C$35,$A$1,1))+1)/DAY(EOMONTH(DATE(EINSTELLUNG!$C$35,$A$1,1),0))*F79,2),"")</f>
        <v/>
      </c>
      <c r="I79" s="57"/>
      <c r="J79" s="58"/>
      <c r="K79" s="152" t="str">
        <f t="shared" si="3"/>
        <v/>
      </c>
      <c r="L79" s="15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9"/>
      <c r="N79" s="75"/>
    </row>
    <row r="80" spans="1:14" ht="22" customHeight="1">
      <c r="A80" s="151" t="s">
        <v>151</v>
      </c>
      <c r="B80" s="101"/>
      <c r="C80" s="45"/>
      <c r="D80" s="49"/>
      <c r="E80" s="47"/>
      <c r="F80" s="48"/>
      <c r="G80" s="152" t="str">
        <f>IF(OR(E80="",F80=""),"",PID_KVLohnLookup($A$1,E80,F80,LOHNTABELLE!$H$4))</f>
        <v/>
      </c>
      <c r="H80" s="153" t="str">
        <f>IF(AND(ISNUMBER(D80),ISNUMBER(F80)),ROUNDDOWN(MIN(IF(OR(ISBLANK(I80),I80=""),EOMONTH(DATE(EINSTELLUNG!$C$35,$A$1,1),0),I80)-MAX(D80,DATE(EINSTELLUNG!$C$35,$A$1,1))+1)/DAY(EOMONTH(DATE(EINSTELLUNG!$C$35,$A$1,1),0))*F80,2),"")</f>
        <v/>
      </c>
      <c r="I80" s="49"/>
      <c r="J80" s="50"/>
      <c r="K80" s="152" t="str">
        <f t="shared" si="3"/>
        <v/>
      </c>
      <c r="L80" s="15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51"/>
      <c r="N80" s="74"/>
    </row>
    <row r="81" spans="1:14" ht="22" customHeight="1">
      <c r="A81" s="151" t="s">
        <v>152</v>
      </c>
      <c r="B81" s="102"/>
      <c r="C81" s="53"/>
      <c r="D81" s="57"/>
      <c r="E81" s="55"/>
      <c r="F81" s="56"/>
      <c r="G81" s="152" t="str">
        <f>IF(OR(E81="",F81=""),"",PID_KVLohnLookup($A$1,E81,F81,LOHNTABELLE!$H$4))</f>
        <v/>
      </c>
      <c r="H81" s="153" t="str">
        <f>IF(AND(ISNUMBER(D81),ISNUMBER(F81)),ROUNDDOWN(MIN(IF(OR(ISBLANK(I81),I81=""),EOMONTH(DATE(EINSTELLUNG!$C$35,$A$1,1),0),I81)-MAX(D81,DATE(EINSTELLUNG!$C$35,$A$1,1))+1)/DAY(EOMONTH(DATE(EINSTELLUNG!$C$35,$A$1,1),0))*F81,2),"")</f>
        <v/>
      </c>
      <c r="I81" s="57"/>
      <c r="J81" s="58"/>
      <c r="K81" s="152" t="str">
        <f t="shared" si="3"/>
        <v/>
      </c>
      <c r="L81" s="15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9"/>
      <c r="N81" s="75"/>
    </row>
    <row r="82" spans="1:14" ht="22" customHeight="1" thickBot="1">
      <c r="A82" s="165" t="s">
        <v>153</v>
      </c>
      <c r="B82" s="103"/>
      <c r="C82" s="62"/>
      <c r="D82" s="63"/>
      <c r="E82" s="64"/>
      <c r="F82" s="65"/>
      <c r="G82" s="166" t="str">
        <f>IF(OR(E82="",F82=""),"",PID_KVLohnLookup($A$1,E82,F82,LOHNTABELLE!$H$4))</f>
        <v/>
      </c>
      <c r="H82" s="159" t="str">
        <f>IF(AND(ISNUMBER(D82),ISNUMBER(F82)),ROUNDDOWN(MIN(IF(OR(ISBLANK(I82),I82=""),EOMONTH(DATE(EINSTELLUNG!$C$35,$A$1,1),0),I82)-MAX(D82,DATE(EINSTELLUNG!$C$35,$A$1,1))+1)/DAY(EOMONTH(DATE(EINSTELLUNG!$C$35,$A$1,1),0))*F82,2),"")</f>
        <v/>
      </c>
      <c r="I82" s="63"/>
      <c r="J82" s="66"/>
      <c r="K82" s="166" t="str">
        <f t="shared" si="3"/>
        <v/>
      </c>
      <c r="L82" s="16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7"/>
      <c r="N82" s="78"/>
    </row>
    <row r="100" spans="26:26" ht="16" customHeight="1">
      <c r="Z100" s="142"/>
    </row>
  </sheetData>
  <sheetProtection algorithmName="SHA-512" hashValue="/pBodnso0TYPKjivmcMmd6/DHSgCng74S+hFPl+92zM3zvQZoyYUFgcq7/xXEZ9w+jHCeSYRCZ/X/a8N8tWqRA==" saltValue="PPWypWYpa5VgxDXODIpeyg==" spinCount="100000" sheet="1" objects="1" scenarios="1" sort="0"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59081476-6B17-2E4B-BADC-2CC983EC6F1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803A541-355D-B449-880A-F8D87E82E3C4}">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BE2A16D6-E2E3-BA44-9D90-B79E5A68D2A8}">
          <x14:formula1>
            <xm:f>KV_DROPDOWN_HELPER!$AJY$1:$AJY$12</xm:f>
          </x14:formula1>
          <xm:sqref>E3:E82</xm:sqref>
        </x14:dataValidation>
        <x14:dataValidation type="list" allowBlank="1" showInputMessage="1" showErrorMessage="1" xr:uid="{AD2F8287-E373-6042-B4C7-85C1387C6BE4}">
          <x14:formula1>
            <xm:f>KV_DROPDOWN_HELPER!$IH$1:$IH$13</xm:f>
          </x14:formula1>
          <xm:sqref>F4 F5 F8 F15</xm:sqref>
        </x14:dataValidation>
        <x14:dataValidation type="list" allowBlank="1" showInputMessage="1" showErrorMessage="1" xr:uid="{A0BF0DCA-9C1C-4F43-A51F-1BEE52B913B3}">
          <x14:formula1>
            <xm:f>KV_DROPDOWN_HELPER!$II$1:$II$13</xm:f>
          </x14:formula1>
          <xm:sqref>F7 F9 F10 F11 F14 F21 F61</xm:sqref>
        </x14:dataValidation>
        <x14:dataValidation type="list" allowBlank="1" showInputMessage="1" showErrorMessage="1" xr:uid="{3D6D7DA4-1C07-B445-B2C1-8A4E446B4553}">
          <x14:formula1>
            <xm:f>KV_DROPDOWN_HELPER!$IJ$1:$IJ$13</xm:f>
          </x14:formula1>
          <xm:sqref>F17 F25 F28 F30</xm:sqref>
        </x14:dataValidation>
        <x14:dataValidation type="list" allowBlank="1" showInputMessage="1" showErrorMessage="1" xr:uid="{5B28749A-1BFE-AA4A-87EF-3AD26F95B36B}">
          <x14:formula1>
            <xm:f>KV_DROPDOWN_HELPER!$IL$1:$IL$13</xm:f>
          </x14:formula1>
          <xm:sqref>F24</xm:sqref>
        </x14:dataValidation>
        <x14:dataValidation type="list" allowBlank="1" showInputMessage="1" showErrorMessage="1" xr:uid="{7B6A023D-0317-D347-8425-05E6C1BFD6B2}">
          <x14:formula1>
            <xm:f>KV_DROPDOWN_HELPER!$IM$1:$IM$13</xm:f>
          </x14:formula1>
          <xm:sqref>F66 F67 F68 F69 F70 F71 F72 F73 F74 F75 F76 F77 F78 F79 F80 F81 F82</xm:sqref>
        </x14:dataValidation>
        <x14:dataValidation type="list" allowBlank="1" showInputMessage="1" showErrorMessage="1" xr:uid="{234B274F-8F6A-499D-9950-ECE695234BC8}">
          <x14:formula1>
            <xm:f>KV_DROPDOWN_HELPER!$IG$1:$IG$15</xm:f>
          </x14:formula1>
          <xm:sqref>F3 F6 F12 F13 F16 F18 F19 F22 F23 F26 F27 F29 F31 F32 F33 F34 F35 F36 F37 F38 F39 F40 F41 F42 F43 F44 F45 F46 F47 F48 F49 F50 F51 F52 F53 F54 F55 F56 F57 F58 F59 F60 F62 F63 F64 F65</xm:sqref>
        </x14:dataValidation>
        <x14:dataValidation type="list" allowBlank="1" showInputMessage="1" showErrorMessage="1" xr:uid="{F071DC93-D0EC-4A04-A71C-BF05ADD55F44}">
          <x14:formula1>
            <xm:f>KV_DROPDOWN_HELPER!$IK$1:$IK$13</xm:f>
          </x14:formula1>
          <xm:sqref>F20</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911FEA-CA19-4495-BE72-F4093B55D9A0}">
  <sheetPr codeName="Tabelle7"/>
  <dimension ref="A1:AC100"/>
  <sheetViews>
    <sheetView showGridLines="0" showRowColHeaders="0" zoomScaleNormal="100" workbookViewId="0">
      <pane ySplit="2" topLeftCell="A3" activePane="bottomLeft" state="frozen"/>
      <selection activeCell="T24" sqref="T24"/>
      <selection pane="bottomLeft" activeCell="I20" sqref="I20"/>
    </sheetView>
  </sheetViews>
  <sheetFormatPr baseColWidth="10" defaultColWidth="9.1796875" defaultRowHeight="16" customHeight="1"/>
  <cols>
    <col min="1" max="1" width="4.453125" style="169" customWidth="1"/>
    <col min="2" max="2" width="9.1796875" style="169" customWidth="1"/>
    <col min="3" max="3" width="35.6328125" style="141" customWidth="1"/>
    <col min="4" max="4" width="13.6328125" style="141" customWidth="1"/>
    <col min="5" max="5" width="9.6328125" style="141" customWidth="1"/>
    <col min="6" max="6" width="10.6328125" style="141" customWidth="1"/>
    <col min="7" max="7" width="13.6328125" style="141" customWidth="1"/>
    <col min="8" max="8" width="11.6328125" style="141" customWidth="1"/>
    <col min="9" max="10" width="13.6328125" style="141" customWidth="1"/>
    <col min="11" max="11" width="14.6328125" style="141" customWidth="1"/>
    <col min="12" max="12" width="14.6328125" style="162" customWidth="1"/>
    <col min="13" max="13" width="17.81640625" style="141" customWidth="1"/>
    <col min="14" max="14" width="34.6328125" style="141" customWidth="1"/>
    <col min="15" max="15" width="12.6328125" style="141" customWidth="1"/>
    <col min="16" max="16" width="16.6328125" style="141" customWidth="1"/>
    <col min="17" max="17" width="14.6328125" style="141" customWidth="1"/>
    <col min="18" max="18" width="13.6328125" style="141" customWidth="1"/>
    <col min="19" max="19" width="9.6328125" style="141" customWidth="1"/>
    <col min="20" max="20" width="10.6328125" style="141" customWidth="1"/>
    <col min="21" max="21" width="7.6328125" style="141" customWidth="1"/>
    <col min="22" max="27" width="9.1796875" style="141"/>
    <col min="28" max="28" width="10.6328125" style="141" bestFit="1" customWidth="1"/>
    <col min="29" max="16384" width="9.1796875" style="141"/>
  </cols>
  <sheetData>
    <row r="1" spans="1:28" ht="18" customHeight="1">
      <c r="A1" s="301">
        <v>5</v>
      </c>
      <c r="B1" s="304" t="s">
        <v>180</v>
      </c>
      <c r="C1" s="280" t="s">
        <v>39</v>
      </c>
      <c r="D1" s="280" t="s">
        <v>181</v>
      </c>
      <c r="E1" s="280" t="s">
        <v>0</v>
      </c>
      <c r="F1" s="280" t="s">
        <v>40</v>
      </c>
      <c r="G1" s="280" t="s">
        <v>41</v>
      </c>
      <c r="H1" s="280" t="s">
        <v>42</v>
      </c>
      <c r="I1" s="280" t="s">
        <v>182</v>
      </c>
      <c r="J1" s="280" t="s">
        <v>43</v>
      </c>
      <c r="K1" s="280" t="s">
        <v>44</v>
      </c>
      <c r="L1" s="280" t="s">
        <v>45</v>
      </c>
      <c r="M1" s="280" t="s">
        <v>46</v>
      </c>
      <c r="N1" s="282" t="s">
        <v>183</v>
      </c>
      <c r="AB1" s="143">
        <f>DATE(EINSTELLUNG!$C$35,$A$1,1)</f>
        <v>46143</v>
      </c>
    </row>
    <row r="2" spans="1:28" ht="18" customHeight="1" thickBot="1">
      <c r="A2" s="287"/>
      <c r="B2" s="305"/>
      <c r="C2" s="294"/>
      <c r="D2" s="294"/>
      <c r="E2" s="294"/>
      <c r="F2" s="294"/>
      <c r="G2" s="294"/>
      <c r="H2" s="294"/>
      <c r="I2" s="294"/>
      <c r="J2" s="294"/>
      <c r="K2" s="294"/>
      <c r="L2" s="294"/>
      <c r="M2" s="294"/>
      <c r="N2" s="298"/>
      <c r="O2" s="144"/>
      <c r="P2" s="144"/>
      <c r="Q2" s="144"/>
      <c r="S2" s="208" t="s">
        <v>394</v>
      </c>
      <c r="T2" s="208"/>
      <c r="U2" s="208"/>
      <c r="V2" s="208"/>
      <c r="AB2" s="143">
        <f>EOMONTH(DATE(EINSTELLUNG!$C$35,$A$1,1),0)</f>
        <v>46173</v>
      </c>
    </row>
    <row r="3" spans="1:28" ht="22" customHeight="1">
      <c r="A3" s="145" t="s">
        <v>401</v>
      </c>
      <c r="B3" s="100">
        <v>401010</v>
      </c>
      <c r="C3" s="37" t="s">
        <v>224</v>
      </c>
      <c r="D3" s="38">
        <v>39388</v>
      </c>
      <c r="E3" s="39" t="s">
        <v>2</v>
      </c>
      <c r="F3" s="68">
        <v>169</v>
      </c>
      <c r="G3" s="146">
        <f>IF(OR(E3="",F3=""),"",PID_KVLohnLookup($A$1,E3,F3,LOHNTABELLE!$H$4))</f>
        <v>2000</v>
      </c>
      <c r="H3" s="147">
        <f>IF(AND(ISNUMBER(D3),ISNUMBER(F3)),ROUNDDOWN(MIN(IF(OR(ISBLANK(I3),I3=""),EOMONTH(DATE(EINSTELLUNG!$C$35,$A$1,1),0),I3)-MAX(D3,DATE(EINSTELLUNG!$C$35,$A$1,1))+1)/DAY(EOMONTH(DATE(EINSTELLUNG!$C$35,$A$1,1),0))*F3,2),"")</f>
        <v>169</v>
      </c>
      <c r="I3" s="41"/>
      <c r="J3" s="42"/>
      <c r="K3" s="146">
        <f t="shared" ref="K3:K34" si="0">IF(OR(B3="",C3=""),"",IFERROR(IF(OR(MONTH(D3)=1,MONTH(D3)=3,MONTH(D3)=5,MONTH(D3)=7,MONTH(D3)=8,MONTH(D3)=10,MONTH(D3)=12),(G3/31)*J3,IF(OR(MONTH(D3)=4,MONTH(D3)=6,MONTH(D3)=9,MONTH(D3)=11),(G3/30)*J3,(G3/DAY(EOMONTH(D3,0)))*J3)),0))</f>
        <v>0</v>
      </c>
      <c r="L3" s="14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3"/>
      <c r="N3" s="73"/>
      <c r="O3" s="236" t="s">
        <v>47</v>
      </c>
      <c r="P3" s="236" t="s">
        <v>48</v>
      </c>
      <c r="Q3" s="236" t="s">
        <v>49</v>
      </c>
      <c r="R3" s="272" t="s">
        <v>50</v>
      </c>
      <c r="S3" s="149"/>
      <c r="T3" s="149"/>
      <c r="U3" s="149"/>
      <c r="V3" s="149"/>
      <c r="AB3" s="150"/>
    </row>
    <row r="4" spans="1:28" ht="22" customHeight="1">
      <c r="A4" s="151" t="s">
        <v>51</v>
      </c>
      <c r="B4" s="101">
        <v>401047</v>
      </c>
      <c r="C4" s="45" t="s">
        <v>226</v>
      </c>
      <c r="D4" s="46">
        <v>41154</v>
      </c>
      <c r="E4" s="47" t="s">
        <v>4</v>
      </c>
      <c r="F4" s="69">
        <v>173</v>
      </c>
      <c r="G4" s="152">
        <f>IF(OR(E4="",F4=""),"",PID_KVLohnLookup($A$1,E4,F4,LOHNTABELLE!$H$4))</f>
        <v>2123</v>
      </c>
      <c r="H4" s="153">
        <f>IF(AND(ISNUMBER(D4),ISNUMBER(F4)),ROUNDDOWN(MIN(IF(OR(ISBLANK(I4),I4=""),EOMONTH(DATE(EINSTELLUNG!$C$35,$A$1,1),0),I4)-MAX(D4,DATE(EINSTELLUNG!$C$35,$A$1,1))+1)/DAY(EOMONTH(DATE(EINSTELLUNG!$C$35,$A$1,1),0))*F4,2),"")</f>
        <v>173</v>
      </c>
      <c r="I4" s="49"/>
      <c r="J4" s="50"/>
      <c r="K4" s="152">
        <f t="shared" si="0"/>
        <v>0</v>
      </c>
      <c r="L4" s="15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51"/>
      <c r="N4" s="74"/>
      <c r="O4" s="237"/>
      <c r="P4" s="237"/>
      <c r="Q4" s="237"/>
      <c r="R4" s="273"/>
      <c r="S4" s="149"/>
      <c r="T4" s="149"/>
      <c r="U4" s="149"/>
      <c r="V4" s="149"/>
    </row>
    <row r="5" spans="1:28" ht="22" customHeight="1">
      <c r="A5" s="151" t="s">
        <v>52</v>
      </c>
      <c r="B5" s="102">
        <v>401049</v>
      </c>
      <c r="C5" s="53" t="s">
        <v>225</v>
      </c>
      <c r="D5" s="54">
        <v>41130</v>
      </c>
      <c r="E5" s="55" t="s">
        <v>4</v>
      </c>
      <c r="F5" s="56">
        <v>173</v>
      </c>
      <c r="G5" s="152">
        <f>IF(OR(E5="",F5=""),"",PID_KVLohnLookup($A$1,E5,F5,LOHNTABELLE!$H$4))</f>
        <v>2123</v>
      </c>
      <c r="H5" s="153">
        <f>IF(AND(ISNUMBER(D5),ISNUMBER(F5)),ROUNDDOWN(MIN(IF(OR(ISBLANK(I5),I5=""),EOMONTH(DATE(EINSTELLUNG!$C$35,$A$1,1),0),I5)-MAX(D5,DATE(EINSTELLUNG!$C$35,$A$1,1))+1)/DAY(EOMONTH(DATE(EINSTELLUNG!$C$35,$A$1,1),0))*F5,2),"")</f>
        <v>173</v>
      </c>
      <c r="I5" s="57"/>
      <c r="J5" s="58"/>
      <c r="K5" s="152">
        <f t="shared" si="0"/>
        <v>0</v>
      </c>
      <c r="L5" s="15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9"/>
      <c r="N5" s="75"/>
      <c r="O5" s="155" cm="1">
        <f t="array" ref="O5">SUMPRODUCT((F3:F82/4.310808)/5*2.08)</f>
        <v>903.43378781889612</v>
      </c>
      <c r="P5" s="156">
        <f>EINSTELLUNG!I10</f>
        <v>600</v>
      </c>
      <c r="Q5" s="156">
        <f>P5-O5</f>
        <v>-303.43378781889612</v>
      </c>
      <c r="R5" s="157">
        <f>IFERROR(Q5*Q42, 0)</f>
        <v>-4961.6320357043105</v>
      </c>
      <c r="S5" s="149"/>
      <c r="T5" s="149"/>
      <c r="U5" s="149"/>
      <c r="V5" s="149"/>
    </row>
    <row r="6" spans="1:28" ht="22" customHeight="1">
      <c r="A6" s="151" t="s">
        <v>53</v>
      </c>
      <c r="B6" s="101">
        <v>401051</v>
      </c>
      <c r="C6" s="45" t="s">
        <v>227</v>
      </c>
      <c r="D6" s="46">
        <v>41176</v>
      </c>
      <c r="E6" s="47" t="s">
        <v>2</v>
      </c>
      <c r="F6" s="48">
        <v>173</v>
      </c>
      <c r="G6" s="152">
        <f>IF(OR(E6="",F6=""),"",PID_KVLohnLookup($A$1,E6,F6,LOHNTABELLE!$H$4))</f>
        <v>2900</v>
      </c>
      <c r="H6" s="153">
        <f>IF(AND(ISNUMBER(D6),ISNUMBER(F6)),ROUNDDOWN(MIN(IF(OR(ISBLANK(I6),I6=""),EOMONTH(DATE(EINSTELLUNG!$C$35,$A$1,1),0),I6)-MAX(D6,DATE(EINSTELLUNG!$C$35,$A$1,1))+1)/DAY(EOMONTH(DATE(EINSTELLUNG!$C$35,$A$1,1),0))*F6,2),"")</f>
        <v>173</v>
      </c>
      <c r="I6" s="49"/>
      <c r="J6" s="50"/>
      <c r="K6" s="152">
        <f t="shared" si="0"/>
        <v>0</v>
      </c>
      <c r="L6" s="15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2900</v>
      </c>
      <c r="M6" s="51"/>
      <c r="N6" s="74"/>
      <c r="O6" s="266" t="str">
        <f>IF(Q5&lt;0, "Schlecht! Zu wenig Urlaub abgebaut.", IF(Q5&gt;0, "Gut! Mehr Urlaub abgebaut als aufgebaut.", ""))</f>
        <v>Schlecht! Zu wenig Urlaub abgebaut.</v>
      </c>
      <c r="P6" s="267"/>
      <c r="Q6" s="267"/>
      <c r="R6" s="268"/>
      <c r="S6" s="149"/>
      <c r="T6" s="149"/>
      <c r="U6" s="149"/>
      <c r="V6" s="149"/>
    </row>
    <row r="7" spans="1:28" ht="22" customHeight="1" thickBot="1">
      <c r="A7" s="151" t="s">
        <v>54</v>
      </c>
      <c r="B7" s="102">
        <v>401089</v>
      </c>
      <c r="C7" s="53" t="s">
        <v>241</v>
      </c>
      <c r="D7" s="54">
        <v>44868</v>
      </c>
      <c r="E7" s="55" t="s">
        <v>3</v>
      </c>
      <c r="F7" s="56">
        <v>173</v>
      </c>
      <c r="G7" s="152">
        <f>IF(OR(E7="",F7=""),"",PID_KVLohnLookup($A$1,E7,F7,LOHNTABELLE!$H$4))</f>
        <v>2082</v>
      </c>
      <c r="H7" s="153">
        <f>IF(AND(ISNUMBER(D7),ISNUMBER(F7)),ROUNDDOWN(MIN(IF(OR(ISBLANK(I7),I7=""),EOMONTH(DATE(EINSTELLUNG!$C$35,$A$1,1),0),I7)-MAX(D7,DATE(EINSTELLUNG!$C$35,$A$1,1))+1)/DAY(EOMONTH(DATE(EINSTELLUNG!$C$35,$A$1,1),0))*F7,2),"")</f>
        <v>173</v>
      </c>
      <c r="I7" s="57"/>
      <c r="J7" s="58"/>
      <c r="K7" s="152">
        <f t="shared" si="0"/>
        <v>0</v>
      </c>
      <c r="L7" s="15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9"/>
      <c r="N7" s="75"/>
      <c r="O7" s="149"/>
      <c r="P7" s="149"/>
      <c r="Q7" s="149"/>
      <c r="R7" s="149"/>
      <c r="S7" s="149"/>
      <c r="T7" s="149"/>
      <c r="U7" s="149"/>
      <c r="V7" s="149"/>
    </row>
    <row r="8" spans="1:28" ht="22" customHeight="1">
      <c r="A8" s="151" t="s">
        <v>55</v>
      </c>
      <c r="B8" s="101">
        <v>401138</v>
      </c>
      <c r="C8" s="45" t="s">
        <v>228</v>
      </c>
      <c r="D8" s="46">
        <v>42006</v>
      </c>
      <c r="E8" s="47" t="s">
        <v>4</v>
      </c>
      <c r="F8" s="48">
        <v>173</v>
      </c>
      <c r="G8" s="152">
        <f>IF(OR(E8="",F8=""),"",PID_KVLohnLookup($A$1,E8,F8,LOHNTABELLE!$H$4))</f>
        <v>2123</v>
      </c>
      <c r="H8" s="153">
        <f>IF(AND(ISNUMBER(D8),ISNUMBER(F8)),ROUNDDOWN(MIN(IF(OR(ISBLANK(I8),I8=""),EOMONTH(DATE(EINSTELLUNG!$C$35,$A$1,1),0),I8)-MAX(D8,DATE(EINSTELLUNG!$C$35,$A$1,1))+1)/DAY(EOMONTH(DATE(EINSTELLUNG!$C$35,$A$1,1),0))*F8,2),"")</f>
        <v>173</v>
      </c>
      <c r="I8" s="49"/>
      <c r="J8" s="50"/>
      <c r="K8" s="152">
        <f t="shared" si="0"/>
        <v>0</v>
      </c>
      <c r="L8" s="15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51"/>
      <c r="N8" s="74"/>
      <c r="O8" s="250" t="s">
        <v>56</v>
      </c>
      <c r="P8" s="251"/>
      <c r="Q8" s="252">
        <f>SUM(H3:H82)</f>
        <v>9160.9299999999985</v>
      </c>
      <c r="R8" s="253"/>
      <c r="S8" s="149"/>
      <c r="T8" s="149"/>
      <c r="U8" s="149"/>
      <c r="V8" s="149"/>
    </row>
    <row r="9" spans="1:28" ht="22" customHeight="1">
      <c r="A9" s="151" t="s">
        <v>57</v>
      </c>
      <c r="B9" s="102">
        <v>401197</v>
      </c>
      <c r="C9" s="53" t="s">
        <v>229</v>
      </c>
      <c r="D9" s="54">
        <v>42644</v>
      </c>
      <c r="E9" s="55" t="s">
        <v>3</v>
      </c>
      <c r="F9" s="56">
        <v>173</v>
      </c>
      <c r="G9" s="152">
        <f>IF(OR(E9="",F9=""),"",PID_KVLohnLookup($A$1,E9,F9,LOHNTABELLE!$H$4))</f>
        <v>2082</v>
      </c>
      <c r="H9" s="153">
        <f>IF(AND(ISNUMBER(D9),ISNUMBER(F9)),ROUNDDOWN(MIN(IF(OR(ISBLANK(I9),I9=""),EOMONTH(DATE(EINSTELLUNG!$C$35,$A$1,1),0),I9)-MAX(D9,DATE(EINSTELLUNG!$C$35,$A$1,1))+1)/DAY(EOMONTH(DATE(EINSTELLUNG!$C$35,$A$1,1),0))*F9,2),"")</f>
        <v>173</v>
      </c>
      <c r="I9" s="57"/>
      <c r="J9" s="58"/>
      <c r="K9" s="152">
        <f t="shared" si="0"/>
        <v>0</v>
      </c>
      <c r="L9" s="15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9"/>
      <c r="N9" s="75"/>
      <c r="O9" s="254" t="s">
        <v>58</v>
      </c>
      <c r="P9" s="255"/>
      <c r="Q9" s="269">
        <f>EINSTELLUNG!L26</f>
        <v>5</v>
      </c>
      <c r="R9" s="270"/>
      <c r="S9" s="158">
        <f>IFERROR(Q9/Q8, 0)</f>
        <v>5.4579611458661957E-4</v>
      </c>
      <c r="T9" s="149"/>
      <c r="U9" s="149"/>
      <c r="V9" s="149"/>
    </row>
    <row r="10" spans="1:28" ht="22" customHeight="1">
      <c r="A10" s="151" t="s">
        <v>59</v>
      </c>
      <c r="B10" s="101">
        <v>401214</v>
      </c>
      <c r="C10" s="45" t="s">
        <v>255</v>
      </c>
      <c r="D10" s="49">
        <v>45636</v>
      </c>
      <c r="E10" s="47" t="s">
        <v>3</v>
      </c>
      <c r="F10" s="48">
        <v>173</v>
      </c>
      <c r="G10" s="152">
        <f>IF(OR(E10="",F10=""),"",PID_KVLohnLookup($A$1,E10,F10,LOHNTABELLE!$H$4))</f>
        <v>2082</v>
      </c>
      <c r="H10" s="153">
        <f>IF(AND(ISNUMBER(D10),ISNUMBER(F10)),ROUNDDOWN(MIN(IF(OR(ISBLANK(I10),I10=""),EOMONTH(DATE(EINSTELLUNG!$C$35,$A$1,1),0),I10)-MAX(D10,DATE(EINSTELLUNG!$C$35,$A$1,1))+1)/DAY(EOMONTH(DATE(EINSTELLUNG!$C$35,$A$1,1),0))*F10,2),"")</f>
        <v>173</v>
      </c>
      <c r="I10" s="49"/>
      <c r="J10" s="50"/>
      <c r="K10" s="152">
        <f t="shared" si="0"/>
        <v>0</v>
      </c>
      <c r="L10" s="15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51"/>
      <c r="N10" s="74"/>
      <c r="O10" s="254" t="s">
        <v>60</v>
      </c>
      <c r="P10" s="255"/>
      <c r="Q10" s="269">
        <f>EINSTELLUNG!I26</f>
        <v>450</v>
      </c>
      <c r="R10" s="270"/>
      <c r="S10" s="149"/>
      <c r="T10" s="149"/>
      <c r="U10" s="149"/>
      <c r="V10" s="149"/>
    </row>
    <row r="11" spans="1:28" ht="22" customHeight="1">
      <c r="A11" s="151" t="s">
        <v>61</v>
      </c>
      <c r="B11" s="102">
        <v>401276</v>
      </c>
      <c r="C11" s="53" t="s">
        <v>230</v>
      </c>
      <c r="D11" s="54">
        <v>43252</v>
      </c>
      <c r="E11" s="55" t="s">
        <v>3</v>
      </c>
      <c r="F11" s="56">
        <v>173</v>
      </c>
      <c r="G11" s="152">
        <f>IF(OR(E11="",F11=""),"",PID_KVLohnLookup($A$1,E11,F11,LOHNTABELLE!$H$4))</f>
        <v>2082</v>
      </c>
      <c r="H11" s="153">
        <f>IF(AND(ISNUMBER(D11),ISNUMBER(F11)),ROUNDDOWN(MIN(IF(OR(ISBLANK(I11),I11=""),EOMONTH(DATE(EINSTELLUNG!$C$35,$A$1,1),0),I11)-MAX(D11,DATE(EINSTELLUNG!$C$35,$A$1,1))+1)/DAY(EOMONTH(DATE(EINSTELLUNG!$C$35,$A$1,1),0))*F11,2),"")</f>
        <v>173</v>
      </c>
      <c r="I11" s="57"/>
      <c r="J11" s="58"/>
      <c r="K11" s="152">
        <f t="shared" si="0"/>
        <v>0</v>
      </c>
      <c r="L11" s="15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9"/>
      <c r="N11" s="75"/>
      <c r="O11" s="254" t="s">
        <v>62</v>
      </c>
      <c r="P11" s="255"/>
      <c r="Q11" s="269">
        <f>P5</f>
        <v>600</v>
      </c>
      <c r="R11" s="270"/>
      <c r="S11" s="149"/>
      <c r="T11" s="149"/>
      <c r="U11" s="149"/>
      <c r="V11" s="149"/>
    </row>
    <row r="12" spans="1:28" ht="22" customHeight="1">
      <c r="A12" s="151" t="s">
        <v>63</v>
      </c>
      <c r="B12" s="101">
        <v>401276</v>
      </c>
      <c r="C12" s="45" t="s">
        <v>406</v>
      </c>
      <c r="D12" s="46">
        <v>38899</v>
      </c>
      <c r="E12" s="47" t="s">
        <v>2</v>
      </c>
      <c r="F12" s="48">
        <v>55</v>
      </c>
      <c r="G12" s="152">
        <f>IF(OR(E12="",F12=""),"",PID_KVLohnLookup($A$1,E12,F12,LOHNTABELLE!$H$4))</f>
        <v>666</v>
      </c>
      <c r="H12" s="153">
        <f>IF(AND(ISNUMBER(D12),ISNUMBER(F12)),ROUNDDOWN(MIN(IF(OR(ISBLANK(I12),I12=""),EOMONTH(DATE(EINSTELLUNG!$C$35,$A$1,1),0),I12)-MAX(D12,DATE(EINSTELLUNG!$C$35,$A$1,1))+1)/DAY(EOMONTH(DATE(EINSTELLUNG!$C$35,$A$1,1),0))*F12,2),"")</f>
        <v>55</v>
      </c>
      <c r="I12" s="49"/>
      <c r="J12" s="50"/>
      <c r="K12" s="152">
        <f t="shared" si="0"/>
        <v>0</v>
      </c>
      <c r="L12" s="15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51"/>
      <c r="N12" s="74"/>
      <c r="O12" s="254" t="s">
        <v>66</v>
      </c>
      <c r="P12" s="255"/>
      <c r="Q12" s="269">
        <f>Q8-Q9-Q10-Q11</f>
        <v>8105.9299999999985</v>
      </c>
      <c r="R12" s="270"/>
      <c r="S12" s="149"/>
      <c r="T12" s="149"/>
      <c r="U12" s="149"/>
      <c r="V12" s="149"/>
    </row>
    <row r="13" spans="1:28" ht="22" customHeight="1">
      <c r="A13" s="151" t="s">
        <v>65</v>
      </c>
      <c r="B13" s="102">
        <v>401307</v>
      </c>
      <c r="C13" s="53" t="s">
        <v>231</v>
      </c>
      <c r="D13" s="54">
        <v>43571</v>
      </c>
      <c r="E13" s="55" t="s">
        <v>2</v>
      </c>
      <c r="F13" s="56">
        <v>55</v>
      </c>
      <c r="G13" s="152">
        <f>IF(OR(E13="",F13=""),"",PID_KVLohnLookup($A$1,E13,F13,LOHNTABELLE!$H$4))</f>
        <v>666</v>
      </c>
      <c r="H13" s="153">
        <f>IF(AND(ISNUMBER(D13),ISNUMBER(F13)),ROUNDDOWN(MIN(IF(OR(ISBLANK(I13),I13=""),EOMONTH(DATE(EINSTELLUNG!$C$35,$A$1,1),0),I13)-MAX(D13,DATE(EINSTELLUNG!$C$35,$A$1,1))+1)/DAY(EOMONTH(DATE(EINSTELLUNG!$C$35,$A$1,1),0))*F13,2),"")</f>
        <v>55</v>
      </c>
      <c r="I13" s="57"/>
      <c r="J13" s="58"/>
      <c r="K13" s="152">
        <f t="shared" si="0"/>
        <v>0</v>
      </c>
      <c r="L13" s="15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9"/>
      <c r="N13" s="75"/>
      <c r="O13" s="254" t="s">
        <v>68</v>
      </c>
      <c r="P13" s="255"/>
      <c r="Q13" s="269">
        <f>EINSTELLUNG!L10</f>
        <v>9300</v>
      </c>
      <c r="R13" s="270"/>
      <c r="S13" s="149"/>
      <c r="T13" s="149"/>
      <c r="U13" s="149"/>
      <c r="V13" s="149"/>
    </row>
    <row r="14" spans="1:28" ht="22" customHeight="1" thickBot="1">
      <c r="A14" s="151" t="s">
        <v>67</v>
      </c>
      <c r="B14" s="101">
        <v>401308</v>
      </c>
      <c r="C14" s="45" t="s">
        <v>232</v>
      </c>
      <c r="D14" s="46">
        <v>43579</v>
      </c>
      <c r="E14" s="47" t="s">
        <v>3</v>
      </c>
      <c r="F14" s="48">
        <v>173</v>
      </c>
      <c r="G14" s="152">
        <f>IF(OR(E14="",F14=""),"",PID_KVLohnLookup($A$1,E14,F14,LOHNTABELLE!$H$4))</f>
        <v>2082</v>
      </c>
      <c r="H14" s="153">
        <f>IF(AND(ISNUMBER(D14),ISNUMBER(F14)),ROUNDDOWN(MIN(IF(OR(ISBLANK(I14),I14=""),EOMONTH(DATE(EINSTELLUNG!$C$35,$A$1,1),0),I14)-MAX(D14,DATE(EINSTELLUNG!$C$35,$A$1,1))+1)/DAY(EOMONTH(DATE(EINSTELLUNG!$C$35,$A$1,1),0))*F14,2),"")</f>
        <v>173</v>
      </c>
      <c r="I14" s="49"/>
      <c r="J14" s="50"/>
      <c r="K14" s="152">
        <f t="shared" si="0"/>
        <v>0</v>
      </c>
      <c r="L14" s="15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51"/>
      <c r="N14" s="74"/>
      <c r="O14" s="240" t="s">
        <v>70</v>
      </c>
      <c r="P14" s="241"/>
      <c r="Q14" s="242">
        <f>Q12-Q13</f>
        <v>-1194.0700000000015</v>
      </c>
      <c r="R14" s="243"/>
      <c r="S14" s="149"/>
      <c r="T14" s="149"/>
      <c r="U14" s="149"/>
      <c r="V14" s="149"/>
    </row>
    <row r="15" spans="1:28" ht="22" customHeight="1">
      <c r="A15" s="151" t="s">
        <v>69</v>
      </c>
      <c r="B15" s="102">
        <v>401394</v>
      </c>
      <c r="C15" s="53" t="s">
        <v>233</v>
      </c>
      <c r="D15" s="54">
        <v>44379</v>
      </c>
      <c r="E15" s="55" t="s">
        <v>2</v>
      </c>
      <c r="F15" s="56">
        <v>173</v>
      </c>
      <c r="G15" s="152">
        <f>IF(OR(E15="",F15=""),"",PID_KVLohnLookup($A$1,E15,F15,LOHNTABELLE!$H$4))</f>
        <v>2900</v>
      </c>
      <c r="H15" s="153">
        <f>IF(AND(ISNUMBER(D15),ISNUMBER(F15)),ROUNDDOWN(MIN(IF(OR(ISBLANK(I15),I15=""),EOMONTH(DATE(EINSTELLUNG!$C$35,$A$1,1),0),I15)-MAX(D15,DATE(EINSTELLUNG!$C$35,$A$1,1))+1)/DAY(EOMONTH(DATE(EINSTELLUNG!$C$35,$A$1,1),0))*F15,2),"")</f>
        <v>173</v>
      </c>
      <c r="I15" s="57"/>
      <c r="J15" s="58"/>
      <c r="K15" s="152">
        <f t="shared" si="0"/>
        <v>0</v>
      </c>
      <c r="L15" s="15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2900</v>
      </c>
      <c r="M15" s="59"/>
      <c r="N15" s="75"/>
      <c r="O15" s="320" t="str">
        <f>IF(Q14&lt;0, "Schlecht! Zu wenig Stunden für Dienstplan.", IF(Q14&gt;0, "Du hast mehr als genug Stunden für Dienstplan.", ""))</f>
        <v>Schlecht! Zu wenig Stunden für Dienstplan.</v>
      </c>
      <c r="P15" s="321"/>
      <c r="Q15" s="321"/>
      <c r="R15" s="321"/>
      <c r="S15" s="160"/>
      <c r="T15" s="160"/>
      <c r="U15" s="160"/>
      <c r="V15" s="149"/>
    </row>
    <row r="16" spans="1:28" ht="22" customHeight="1" thickBot="1">
      <c r="A16" s="151" t="s">
        <v>71</v>
      </c>
      <c r="B16" s="101">
        <v>401406</v>
      </c>
      <c r="C16" s="45" t="s">
        <v>407</v>
      </c>
      <c r="D16" s="46">
        <v>36850</v>
      </c>
      <c r="E16" s="47" t="s">
        <v>10</v>
      </c>
      <c r="F16" s="48">
        <v>151.38</v>
      </c>
      <c r="G16" s="152">
        <f>IF(OR(E16="",F16=""),"",PID_KVLohnLookup($A$1,E16,F16,LOHNTABELLE!$H$4))</f>
        <v>2012.5</v>
      </c>
      <c r="H16" s="153">
        <f>IF(AND(ISNUMBER(D16),ISNUMBER(F16)),ROUNDDOWN(MIN(IF(OR(ISBLANK(I16),I16=""),EOMONTH(DATE(EINSTELLUNG!$C$35,$A$1,1),0),I16)-MAX(D16,DATE(EINSTELLUNG!$C$35,$A$1,1))+1)/DAY(EOMONTH(DATE(EINSTELLUNG!$C$35,$A$1,1),0))*F16,2),"")</f>
        <v>151.38</v>
      </c>
      <c r="I16" s="49"/>
      <c r="J16" s="50"/>
      <c r="K16" s="152">
        <f t="shared" si="0"/>
        <v>0</v>
      </c>
      <c r="L16" s="15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51"/>
      <c r="N16" s="74"/>
      <c r="O16" s="313"/>
      <c r="P16" s="314"/>
      <c r="Q16" s="314"/>
      <c r="R16" s="315"/>
      <c r="S16" s="161"/>
      <c r="T16" s="161"/>
      <c r="U16" s="161"/>
      <c r="V16" s="161"/>
      <c r="W16" s="162"/>
    </row>
    <row r="17" spans="1:29" ht="22" customHeight="1">
      <c r="A17" s="151" t="s">
        <v>72</v>
      </c>
      <c r="B17" s="102">
        <v>401432</v>
      </c>
      <c r="C17" s="53" t="s">
        <v>235</v>
      </c>
      <c r="D17" s="54">
        <v>44441</v>
      </c>
      <c r="E17" s="55" t="s">
        <v>2</v>
      </c>
      <c r="F17" s="56">
        <v>173</v>
      </c>
      <c r="G17" s="152">
        <f>IF(OR(E17="",F17=""),"",PID_KVLohnLookup($A$1,E17,F17,LOHNTABELLE!$H$4))</f>
        <v>2900</v>
      </c>
      <c r="H17" s="153">
        <f>IF(AND(ISNUMBER(D17),ISNUMBER(F17)),ROUNDDOWN(MIN(IF(OR(ISBLANK(I17),I17=""),EOMONTH(DATE(EINSTELLUNG!$C$35,$A$1,1),0),I17)-MAX(D17,DATE(EINSTELLUNG!$C$35,$A$1,1))+1)/DAY(EOMONTH(DATE(EINSTELLUNG!$C$35,$A$1,1),0))*F17,2),"")</f>
        <v>173</v>
      </c>
      <c r="I17" s="57"/>
      <c r="J17" s="58"/>
      <c r="K17" s="152">
        <f t="shared" si="0"/>
        <v>0</v>
      </c>
      <c r="L17" s="15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59"/>
      <c r="N17" s="75"/>
      <c r="O17" s="316" t="s">
        <v>73</v>
      </c>
      <c r="P17" s="251"/>
      <c r="Q17" s="260">
        <f>SUM(L3:L82)</f>
        <v>149795.98709677419</v>
      </c>
      <c r="R17" s="261"/>
      <c r="S17" s="149"/>
      <c r="T17" s="149"/>
      <c r="U17" s="149"/>
      <c r="V17" s="149"/>
      <c r="W17" s="162"/>
    </row>
    <row r="18" spans="1:29" ht="22" customHeight="1">
      <c r="A18" s="151" t="s">
        <v>74</v>
      </c>
      <c r="B18" s="101">
        <v>401476</v>
      </c>
      <c r="C18" s="45" t="s">
        <v>237</v>
      </c>
      <c r="D18" s="46">
        <v>44504</v>
      </c>
      <c r="E18" s="47" t="s">
        <v>2</v>
      </c>
      <c r="F18" s="48">
        <v>173</v>
      </c>
      <c r="G18" s="152">
        <f>IF(OR(E18="",F18=""),"",PID_KVLohnLookup($A$1,E18,F18,LOHNTABELLE!$H$4))</f>
        <v>2900</v>
      </c>
      <c r="H18" s="153">
        <f>IF(AND(ISNUMBER(D18),ISNUMBER(F18)),ROUNDDOWN(MIN(IF(OR(ISBLANK(I18),I18=""),EOMONTH(DATE(EINSTELLUNG!$C$35,$A$1,1),0),I18)-MAX(D18,DATE(EINSTELLUNG!$C$35,$A$1,1))+1)/DAY(EOMONTH(DATE(EINSTELLUNG!$C$35,$A$1,1),0))*F18,2),"")</f>
        <v>173</v>
      </c>
      <c r="I18" s="49"/>
      <c r="J18" s="50"/>
      <c r="K18" s="152">
        <f t="shared" si="0"/>
        <v>0</v>
      </c>
      <c r="L18" s="15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51"/>
      <c r="N18" s="74"/>
      <c r="O18" s="308" t="s">
        <v>385</v>
      </c>
      <c r="P18" s="249"/>
      <c r="Q18" s="238">
        <v>20</v>
      </c>
      <c r="R18" s="239"/>
      <c r="S18" s="149"/>
      <c r="T18" s="149"/>
      <c r="U18" s="149"/>
      <c r="V18" s="149"/>
    </row>
    <row r="19" spans="1:29" ht="22" customHeight="1">
      <c r="A19" s="151" t="s">
        <v>75</v>
      </c>
      <c r="B19" s="102">
        <v>401479</v>
      </c>
      <c r="C19" s="53" t="s">
        <v>238</v>
      </c>
      <c r="D19" s="54">
        <v>44511</v>
      </c>
      <c r="E19" s="55" t="s">
        <v>6</v>
      </c>
      <c r="F19" s="56">
        <v>173</v>
      </c>
      <c r="G19" s="152">
        <f>IF(OR(E19="",F19=""),"",PID_KVLohnLookup($A$1,E19,F19,LOHNTABELLE!$H$4))</f>
        <v>2160</v>
      </c>
      <c r="H19" s="153">
        <f>IF(AND(ISNUMBER(D19),ISNUMBER(F19)),ROUNDDOWN(MIN(IF(OR(ISBLANK(I19),I19=""),EOMONTH(DATE(EINSTELLUNG!$C$35,$A$1,1),0),I19)-MAX(D19,DATE(EINSTELLUNG!$C$35,$A$1,1))+1)/DAY(EOMONTH(DATE(EINSTELLUNG!$C$35,$A$1,1),0))*F19,2),"")</f>
        <v>173</v>
      </c>
      <c r="I19" s="57"/>
      <c r="J19" s="58"/>
      <c r="K19" s="152">
        <f t="shared" si="0"/>
        <v>0</v>
      </c>
      <c r="L19" s="15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59"/>
      <c r="N19" s="75"/>
      <c r="O19" s="308" t="s">
        <v>296</v>
      </c>
      <c r="P19" s="249"/>
      <c r="Q19" s="238">
        <v>333</v>
      </c>
      <c r="R19" s="239"/>
      <c r="S19" s="149"/>
      <c r="T19" s="149"/>
      <c r="U19" s="149"/>
      <c r="V19" s="149"/>
    </row>
    <row r="20" spans="1:29" ht="22" customHeight="1">
      <c r="A20" s="151" t="s">
        <v>76</v>
      </c>
      <c r="B20" s="101">
        <v>401481</v>
      </c>
      <c r="C20" s="45" t="s">
        <v>239</v>
      </c>
      <c r="D20" s="49">
        <v>44531</v>
      </c>
      <c r="E20" s="47" t="s">
        <v>3</v>
      </c>
      <c r="F20" s="48">
        <v>173</v>
      </c>
      <c r="G20" s="152">
        <f>IF(OR(E20="",F20=""),"",PID_KVLohnLookup($A$1,E20,F20,LOHNTABELLE!$H$4))</f>
        <v>2082</v>
      </c>
      <c r="H20" s="153">
        <f>IF(AND(ISNUMBER(D20),ISNUMBER(F20)),ROUNDDOWN(MIN(IF(OR(ISBLANK(I20),I20=""),EOMONTH(DATE(EINSTELLUNG!$C$35,$A$1,1),0),I20)-MAX(D20,DATE(EINSTELLUNG!$C$35,$A$1,1))+1)/DAY(EOMONTH(DATE(EINSTELLUNG!$C$35,$A$1,1),0))*F20,2),"")</f>
        <v>173</v>
      </c>
      <c r="I20" s="49"/>
      <c r="J20" s="50"/>
      <c r="K20" s="152">
        <f t="shared" si="0"/>
        <v>0</v>
      </c>
      <c r="L20" s="15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2082</v>
      </c>
      <c r="M20" s="51"/>
      <c r="N20" s="74"/>
      <c r="O20" s="308" t="s">
        <v>296</v>
      </c>
      <c r="P20" s="249"/>
      <c r="Q20" s="238">
        <v>35</v>
      </c>
      <c r="R20" s="239"/>
      <c r="S20" s="149"/>
      <c r="T20" s="149"/>
      <c r="U20" s="149"/>
      <c r="V20" s="149"/>
    </row>
    <row r="21" spans="1:29" ht="22" customHeight="1">
      <c r="A21" s="151" t="s">
        <v>77</v>
      </c>
      <c r="B21" s="102">
        <v>401558</v>
      </c>
      <c r="C21" s="53" t="s">
        <v>236</v>
      </c>
      <c r="D21" s="54">
        <v>44460</v>
      </c>
      <c r="E21" s="55" t="s">
        <v>2</v>
      </c>
      <c r="F21" s="56">
        <v>173</v>
      </c>
      <c r="G21" s="152">
        <f>IF(OR(E21="",F21=""),"",PID_KVLohnLookup($A$1,E21,F21,LOHNTABELLE!$H$4))</f>
        <v>2900</v>
      </c>
      <c r="H21" s="153">
        <f>IF(AND(ISNUMBER(D21),ISNUMBER(F21)),ROUNDDOWN(MIN(IF(OR(ISBLANK(I21),I21=""),EOMONTH(DATE(EINSTELLUNG!$C$35,$A$1,1),0),I21)-MAX(D21,DATE(EINSTELLUNG!$C$35,$A$1,1))+1)/DAY(EOMONTH(DATE(EINSTELLUNG!$C$35,$A$1,1),0))*F21,2),"")</f>
        <v>173</v>
      </c>
      <c r="I21" s="57"/>
      <c r="J21" s="58"/>
      <c r="K21" s="152">
        <f t="shared" si="0"/>
        <v>0</v>
      </c>
      <c r="L21" s="15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59"/>
      <c r="N21" s="75"/>
      <c r="O21" s="308" t="s">
        <v>296</v>
      </c>
      <c r="P21" s="249"/>
      <c r="Q21" s="238">
        <v>100</v>
      </c>
      <c r="R21" s="239"/>
      <c r="S21" s="149"/>
      <c r="T21" s="149"/>
      <c r="U21" s="149"/>
      <c r="V21" s="149"/>
    </row>
    <row r="22" spans="1:29" ht="22" customHeight="1">
      <c r="A22" s="151" t="s">
        <v>78</v>
      </c>
      <c r="B22" s="101">
        <v>401564</v>
      </c>
      <c r="C22" s="45" t="s">
        <v>240</v>
      </c>
      <c r="D22" s="46">
        <v>44824</v>
      </c>
      <c r="E22" s="47" t="s">
        <v>2</v>
      </c>
      <c r="F22" s="48">
        <v>151.38</v>
      </c>
      <c r="G22" s="152">
        <f>IF(OR(E22="",F22=""),"",PID_KVLohnLookup($A$1,E22,F22,LOHNTABELLE!$H$4))</f>
        <v>2500</v>
      </c>
      <c r="H22" s="153">
        <f>IF(AND(ISNUMBER(D22),ISNUMBER(F22)),ROUNDDOWN(MIN(IF(OR(ISBLANK(I22),I22=""),EOMONTH(DATE(EINSTELLUNG!$C$35,$A$1,1),0),I22)-MAX(D22,DATE(EINSTELLUNG!$C$35,$A$1,1))+1)/DAY(EOMONTH(DATE(EINSTELLUNG!$C$35,$A$1,1),0))*F22,2),"")</f>
        <v>151.38</v>
      </c>
      <c r="I22" s="49"/>
      <c r="J22" s="50"/>
      <c r="K22" s="152">
        <f t="shared" si="0"/>
        <v>0</v>
      </c>
      <c r="L22" s="15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2500</v>
      </c>
      <c r="M22" s="51"/>
      <c r="N22" s="74"/>
      <c r="O22" s="308" t="s">
        <v>296</v>
      </c>
      <c r="P22" s="249"/>
      <c r="Q22" s="238"/>
      <c r="R22" s="239"/>
      <c r="S22" s="149"/>
      <c r="T22" s="149"/>
      <c r="U22" s="149"/>
      <c r="V22" s="149"/>
    </row>
    <row r="23" spans="1:29" ht="22" customHeight="1">
      <c r="A23" s="151" t="s">
        <v>79</v>
      </c>
      <c r="B23" s="102">
        <v>401583</v>
      </c>
      <c r="C23" s="53" t="s">
        <v>242</v>
      </c>
      <c r="D23" s="54">
        <v>44900</v>
      </c>
      <c r="E23" s="55" t="s">
        <v>13</v>
      </c>
      <c r="F23" s="56">
        <v>173</v>
      </c>
      <c r="G23" s="152">
        <f>IF(OR(E23="",F23=""),"",PID_KVLohnLookup($A$1,E23,F23,LOHNTABELLE!$H$4))</f>
        <v>2328</v>
      </c>
      <c r="H23" s="153">
        <f>IF(AND(ISNUMBER(D23),ISNUMBER(F23)),ROUNDDOWN(MIN(IF(OR(ISBLANK(I23),I23=""),EOMONTH(DATE(EINSTELLUNG!$C$35,$A$1,1),0),I23)-MAX(D23,DATE(EINSTELLUNG!$C$35,$A$1,1))+1)/DAY(EOMONTH(DATE(EINSTELLUNG!$C$35,$A$1,1),0))*F23,2),"")</f>
        <v>173</v>
      </c>
      <c r="I23" s="57"/>
      <c r="J23" s="58"/>
      <c r="K23" s="152">
        <f t="shared" si="0"/>
        <v>0</v>
      </c>
      <c r="L23" s="15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2328</v>
      </c>
      <c r="M23" s="59"/>
      <c r="N23" s="75"/>
      <c r="O23" s="308" t="s">
        <v>296</v>
      </c>
      <c r="P23" s="249"/>
      <c r="Q23" s="238">
        <v>5000</v>
      </c>
      <c r="R23" s="239"/>
      <c r="S23" s="149"/>
      <c r="T23" s="149"/>
      <c r="U23" s="149"/>
      <c r="V23" s="149"/>
      <c r="W23" s="162"/>
    </row>
    <row r="24" spans="1:29" ht="22" customHeight="1">
      <c r="A24" s="151" t="s">
        <v>80</v>
      </c>
      <c r="B24" s="101">
        <v>401589</v>
      </c>
      <c r="C24" s="45" t="s">
        <v>243</v>
      </c>
      <c r="D24" s="46">
        <v>44926</v>
      </c>
      <c r="E24" s="47" t="s">
        <v>10</v>
      </c>
      <c r="F24" s="48">
        <v>173</v>
      </c>
      <c r="G24" s="152">
        <f>IF(OR(E24="",F24=""),"",PID_KVLohnLookup($A$1,E24,F24,LOHNTABELLE!$H$4))</f>
        <v>2300</v>
      </c>
      <c r="H24" s="153">
        <f>IF(AND(ISNUMBER(D24),ISNUMBER(F24)),ROUNDDOWN(MIN(IF(OR(ISBLANK(I24),I24=""),EOMONTH(DATE(EINSTELLUNG!$C$35,$A$1,1),0),I24)-MAX(D24,DATE(EINSTELLUNG!$C$35,$A$1,1))+1)/DAY(EOMONTH(DATE(EINSTELLUNG!$C$35,$A$1,1),0))*F24,2),"")</f>
        <v>173</v>
      </c>
      <c r="I24" s="49"/>
      <c r="J24" s="50"/>
      <c r="K24" s="152">
        <f t="shared" si="0"/>
        <v>0</v>
      </c>
      <c r="L24" s="15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51"/>
      <c r="N24" s="74"/>
      <c r="O24" s="308"/>
      <c r="P24" s="249"/>
      <c r="Q24" s="238"/>
      <c r="R24" s="239"/>
      <c r="S24" s="149"/>
      <c r="T24" s="149"/>
      <c r="U24" s="149"/>
      <c r="V24" s="149"/>
      <c r="W24" s="162"/>
    </row>
    <row r="25" spans="1:29" ht="22" customHeight="1">
      <c r="A25" s="151" t="s">
        <v>81</v>
      </c>
      <c r="B25" s="102">
        <v>401602</v>
      </c>
      <c r="C25" s="53" t="s">
        <v>244</v>
      </c>
      <c r="D25" s="54">
        <v>45975</v>
      </c>
      <c r="E25" s="55" t="s">
        <v>2</v>
      </c>
      <c r="F25" s="56">
        <v>169</v>
      </c>
      <c r="G25" s="152">
        <f>IF(OR(E25="",F25=""),"",PID_KVLohnLookup($A$1,E25,F25,LOHNTABELLE!$H$4))</f>
        <v>2000</v>
      </c>
      <c r="H25" s="153">
        <f>IF(AND(ISNUMBER(D25),ISNUMBER(F25)),ROUNDDOWN(MIN(IF(OR(ISBLANK(I25),I25=""),EOMONTH(DATE(EINSTELLUNG!$C$35,$A$1,1),0),I25)-MAX(D25,DATE(EINSTELLUNG!$C$35,$A$1,1))+1)/DAY(EOMONTH(DATE(EINSTELLUNG!$C$35,$A$1,1),0))*F25,2),"")</f>
        <v>169</v>
      </c>
      <c r="I25" s="57"/>
      <c r="J25" s="58"/>
      <c r="K25" s="152">
        <f t="shared" si="0"/>
        <v>0</v>
      </c>
      <c r="L25" s="15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2000</v>
      </c>
      <c r="M25" s="59"/>
      <c r="N25" s="75"/>
      <c r="O25" s="308"/>
      <c r="P25" s="249"/>
      <c r="Q25" s="238"/>
      <c r="R25" s="239"/>
      <c r="S25" s="149"/>
      <c r="T25" s="149"/>
      <c r="U25" s="149"/>
      <c r="V25" s="149"/>
    </row>
    <row r="26" spans="1:29" ht="22" customHeight="1">
      <c r="A26" s="151" t="s">
        <v>82</v>
      </c>
      <c r="B26" s="101">
        <v>401605</v>
      </c>
      <c r="C26" s="45" t="s">
        <v>245</v>
      </c>
      <c r="D26" s="46">
        <v>44986</v>
      </c>
      <c r="E26" s="47" t="s">
        <v>2</v>
      </c>
      <c r="F26" s="48">
        <v>173</v>
      </c>
      <c r="G26" s="152">
        <f>IF(OR(E26="",F26=""),"",PID_KVLohnLookup($A$1,E26,F26,LOHNTABELLE!$H$4))</f>
        <v>2900</v>
      </c>
      <c r="H26" s="153">
        <f>IF(AND(ISNUMBER(D26),ISNUMBER(F26)),ROUNDDOWN(MIN(IF(OR(ISBLANK(I26),I26=""),EOMONTH(DATE(EINSTELLUNG!$C$35,$A$1,1),0),I26)-MAX(D26,DATE(EINSTELLUNG!$C$35,$A$1,1))+1)/DAY(EOMONTH(DATE(EINSTELLUNG!$C$35,$A$1,1),0))*F26,2),"")</f>
        <v>173</v>
      </c>
      <c r="I26" s="49"/>
      <c r="J26" s="50"/>
      <c r="K26" s="152">
        <f t="shared" si="0"/>
        <v>0</v>
      </c>
      <c r="L26" s="15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51"/>
      <c r="N26" s="74"/>
      <c r="O26" s="308"/>
      <c r="P26" s="249"/>
      <c r="Q26" s="238"/>
      <c r="R26" s="239"/>
      <c r="S26" s="149"/>
      <c r="T26" s="149"/>
      <c r="U26" s="149"/>
      <c r="V26" s="149"/>
    </row>
    <row r="27" spans="1:29" ht="22" customHeight="1">
      <c r="A27" s="151" t="s">
        <v>83</v>
      </c>
      <c r="B27" s="102">
        <v>401605</v>
      </c>
      <c r="C27" s="53" t="s">
        <v>407</v>
      </c>
      <c r="D27" s="54">
        <v>36850</v>
      </c>
      <c r="E27" s="55" t="s">
        <v>10</v>
      </c>
      <c r="F27" s="56">
        <v>151.38</v>
      </c>
      <c r="G27" s="152">
        <f>IF(OR(E27="",F27=""),"",PID_KVLohnLookup($A$1,E27,F27,LOHNTABELLE!$H$4))</f>
        <v>2012.5</v>
      </c>
      <c r="H27" s="153">
        <f>IF(AND(ISNUMBER(D27),ISNUMBER(F27)),ROUNDDOWN(MIN(IF(OR(ISBLANK(I27),I27=""),EOMONTH(DATE(EINSTELLUNG!$C$35,$A$1,1),0),I27)-MAX(D27,DATE(EINSTELLUNG!$C$35,$A$1,1))+1)/DAY(EOMONTH(DATE(EINSTELLUNG!$C$35,$A$1,1),0))*F27,2),"")</f>
        <v>151.38</v>
      </c>
      <c r="I27" s="57"/>
      <c r="J27" s="58"/>
      <c r="K27" s="152">
        <f t="shared" si="0"/>
        <v>0</v>
      </c>
      <c r="L27" s="15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59"/>
      <c r="N27" s="75"/>
      <c r="O27" s="308"/>
      <c r="P27" s="249"/>
      <c r="Q27" s="238"/>
      <c r="R27" s="239"/>
      <c r="S27" s="247" t="s">
        <v>84</v>
      </c>
      <c r="T27" s="247"/>
      <c r="U27" s="247"/>
      <c r="V27" s="247"/>
    </row>
    <row r="28" spans="1:29" ht="22" customHeight="1">
      <c r="A28" s="151" t="s">
        <v>85</v>
      </c>
      <c r="B28" s="101">
        <v>401626</v>
      </c>
      <c r="C28" s="45" t="s">
        <v>246</v>
      </c>
      <c r="D28" s="49">
        <v>45063</v>
      </c>
      <c r="E28" s="47" t="s">
        <v>2</v>
      </c>
      <c r="F28" s="48">
        <v>173</v>
      </c>
      <c r="G28" s="152">
        <f>IF(OR(E28="",F28=""),"",PID_KVLohnLookup($A$1,E28,F28,LOHNTABELLE!$H$4))</f>
        <v>2900</v>
      </c>
      <c r="H28" s="153">
        <f>IF(AND(ISNUMBER(D28),ISNUMBER(F28)),ROUNDDOWN(MIN(IF(OR(ISBLANK(I28),I28=""),EOMONTH(DATE(EINSTELLUNG!$C$35,$A$1,1),0),I28)-MAX(D28,DATE(EINSTELLUNG!$C$35,$A$1,1))+1)/DAY(EOMONTH(DATE(EINSTELLUNG!$C$35,$A$1,1),0))*F28,2),"")</f>
        <v>173</v>
      </c>
      <c r="I28" s="49"/>
      <c r="J28" s="50"/>
      <c r="K28" s="152">
        <f t="shared" si="0"/>
        <v>0</v>
      </c>
      <c r="L28" s="15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51"/>
      <c r="N28" s="74"/>
      <c r="O28" s="308"/>
      <c r="P28" s="249"/>
      <c r="Q28" s="238"/>
      <c r="R28" s="239"/>
      <c r="S28" s="149"/>
      <c r="T28" s="149"/>
      <c r="U28" s="149"/>
      <c r="V28" s="149"/>
    </row>
    <row r="29" spans="1:29" ht="22" customHeight="1" thickBot="1">
      <c r="A29" s="151" t="s">
        <v>86</v>
      </c>
      <c r="B29" s="102">
        <v>401633</v>
      </c>
      <c r="C29" s="53" t="s">
        <v>247</v>
      </c>
      <c r="D29" s="54">
        <v>45089</v>
      </c>
      <c r="E29" s="55" t="s">
        <v>10</v>
      </c>
      <c r="F29" s="56">
        <v>173</v>
      </c>
      <c r="G29" s="152">
        <f>IF(OR(E29="",F29=""),"",PID_KVLohnLookup($A$1,E29,F29,LOHNTABELLE!$H$4))</f>
        <v>2300</v>
      </c>
      <c r="H29" s="153">
        <f>IF(AND(ISNUMBER(D29),ISNUMBER(F29)),ROUNDDOWN(MIN(IF(OR(ISBLANK(I29),I29=""),EOMONTH(DATE(EINSTELLUNG!$C$35,$A$1,1),0),I29)-MAX(D29,DATE(EINSTELLUNG!$C$35,$A$1,1))+1)/DAY(EOMONTH(DATE(EINSTELLUNG!$C$35,$A$1,1),0))*F29,2),"")</f>
        <v>173</v>
      </c>
      <c r="I29" s="57"/>
      <c r="J29" s="58"/>
      <c r="K29" s="152">
        <f t="shared" si="0"/>
        <v>0</v>
      </c>
      <c r="L29" s="15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59"/>
      <c r="N29" s="75"/>
      <c r="O29" s="312" t="s">
        <v>87</v>
      </c>
      <c r="P29" s="241"/>
      <c r="Q29" s="295">
        <f>EINSTELLUNG!O10</f>
        <v>1250</v>
      </c>
      <c r="R29" s="296"/>
      <c r="S29" s="149"/>
      <c r="T29" s="149"/>
      <c r="U29" s="149"/>
      <c r="V29" s="149"/>
    </row>
    <row r="30" spans="1:29" ht="22" customHeight="1" thickBot="1">
      <c r="A30" s="151" t="s">
        <v>88</v>
      </c>
      <c r="B30" s="101">
        <v>401647</v>
      </c>
      <c r="C30" s="45" t="s">
        <v>248</v>
      </c>
      <c r="D30" s="46">
        <v>45182</v>
      </c>
      <c r="E30" s="47" t="s">
        <v>2</v>
      </c>
      <c r="F30" s="48">
        <v>173</v>
      </c>
      <c r="G30" s="152">
        <f>IF(OR(E30="",F30=""),"",PID_KVLohnLookup($A$1,E30,F30,LOHNTABELLE!$H$4))</f>
        <v>2900</v>
      </c>
      <c r="H30" s="153">
        <f>IF(AND(ISNUMBER(D30),ISNUMBER(F30)),ROUNDDOWN(MIN(IF(OR(ISBLANK(I30),I30=""),EOMONTH(DATE(EINSTELLUNG!$C$35,$A$1,1),0),I30)-MAX(D30,DATE(EINSTELLUNG!$C$35,$A$1,1))+1)/DAY(EOMONTH(DATE(EINSTELLUNG!$C$35,$A$1,1),0))*F30,2),"")</f>
        <v>173</v>
      </c>
      <c r="I30" s="49"/>
      <c r="J30" s="50"/>
      <c r="K30" s="152">
        <f t="shared" si="0"/>
        <v>0</v>
      </c>
      <c r="L30" s="15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51"/>
      <c r="N30" s="74"/>
      <c r="O30" s="149"/>
      <c r="P30" s="149"/>
      <c r="Q30" s="149"/>
      <c r="R30" s="149"/>
      <c r="S30" s="149"/>
      <c r="T30" s="149"/>
      <c r="U30" s="149"/>
      <c r="V30" s="149"/>
      <c r="W30" s="163"/>
      <c r="X30" s="163"/>
      <c r="Y30" s="163"/>
      <c r="Z30" s="163"/>
      <c r="AA30" s="163"/>
      <c r="AB30" s="163"/>
      <c r="AC30" s="163"/>
    </row>
    <row r="31" spans="1:29" ht="22" customHeight="1" thickBot="1">
      <c r="A31" s="151" t="s">
        <v>89</v>
      </c>
      <c r="B31" s="102">
        <v>401661</v>
      </c>
      <c r="C31" s="53" t="s">
        <v>249</v>
      </c>
      <c r="D31" s="54">
        <v>45261</v>
      </c>
      <c r="E31" s="55" t="s">
        <v>2</v>
      </c>
      <c r="F31" s="56">
        <v>173</v>
      </c>
      <c r="G31" s="152">
        <f>IF(OR(E31="",F31=""),"",PID_KVLohnLookup($A$1,E31,F31,LOHNTABELLE!$H$4))</f>
        <v>2900</v>
      </c>
      <c r="H31" s="153">
        <f>IF(AND(ISNUMBER(D31),ISNUMBER(F31)),ROUNDDOWN(MIN(IF(OR(ISBLANK(I31),I31=""),EOMONTH(DATE(EINSTELLUNG!$C$35,$A$1,1),0),I31)-MAX(D31,DATE(EINSTELLUNG!$C$35,$A$1,1))+1)/DAY(EOMONTH(DATE(EINSTELLUNG!$C$35,$A$1,1),0))*F31,2),"")</f>
        <v>173</v>
      </c>
      <c r="I31" s="57"/>
      <c r="J31" s="58"/>
      <c r="K31" s="152">
        <f t="shared" si="0"/>
        <v>0</v>
      </c>
      <c r="L31" s="15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9"/>
      <c r="N31" s="75"/>
      <c r="O31" s="309">
        <v>0</v>
      </c>
      <c r="P31" s="300"/>
      <c r="Q31" s="284">
        <v>3.2258064516129031E-2</v>
      </c>
      <c r="R31" s="285"/>
      <c r="S31" s="149"/>
      <c r="T31" s="149"/>
      <c r="U31" s="149"/>
      <c r="V31" s="149"/>
    </row>
    <row r="32" spans="1:29" ht="22" customHeight="1" thickBot="1">
      <c r="A32" s="151" t="s">
        <v>91</v>
      </c>
      <c r="B32" s="101">
        <v>401670</v>
      </c>
      <c r="C32" s="60" t="s">
        <v>250</v>
      </c>
      <c r="D32" s="49">
        <v>45358</v>
      </c>
      <c r="E32" s="47" t="s">
        <v>2</v>
      </c>
      <c r="F32" s="48">
        <v>173</v>
      </c>
      <c r="G32" s="152">
        <f>IF(OR(E32="",F32=""),"",PID_KVLohnLookup($A$1,E32,F32,LOHNTABELLE!$H$4))</f>
        <v>2900</v>
      </c>
      <c r="H32" s="153">
        <f>IF(AND(ISNUMBER(D32),ISNUMBER(F32)),ROUNDDOWN(MIN(IF(OR(ISBLANK(I32),I32=""),EOMONTH(DATE(EINSTELLUNG!$C$35,$A$1,1),0),I32)-MAX(D32,DATE(EINSTELLUNG!$C$35,$A$1,1))+1)/DAY(EOMONTH(DATE(EINSTELLUNG!$C$35,$A$1,1),0))*F32,2),"")</f>
        <v>173</v>
      </c>
      <c r="I32" s="49"/>
      <c r="J32" s="50"/>
      <c r="K32" s="152">
        <f t="shared" si="0"/>
        <v>0</v>
      </c>
      <c r="L32" s="15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51"/>
      <c r="N32" s="74"/>
      <c r="O32" s="149"/>
      <c r="P32" s="149"/>
      <c r="Q32" s="149"/>
      <c r="R32" s="149"/>
      <c r="S32" s="149"/>
      <c r="T32" s="149"/>
      <c r="U32" s="149"/>
      <c r="V32" s="149"/>
    </row>
    <row r="33" spans="1:22" ht="22" customHeight="1">
      <c r="A33" s="151" t="s">
        <v>92</v>
      </c>
      <c r="B33" s="102">
        <v>401678</v>
      </c>
      <c r="C33" s="53" t="s">
        <v>251</v>
      </c>
      <c r="D33" s="54">
        <v>45414</v>
      </c>
      <c r="E33" s="55" t="s">
        <v>2</v>
      </c>
      <c r="F33" s="56">
        <v>173</v>
      </c>
      <c r="G33" s="152">
        <f>IF(OR(E33="",F33=""),"",PID_KVLohnLookup($A$1,E33,F33,LOHNTABELLE!$H$4))</f>
        <v>2900</v>
      </c>
      <c r="H33" s="153">
        <f>IF(AND(ISNUMBER(D33),ISNUMBER(F33)),ROUNDDOWN(MIN(IF(OR(ISBLANK(I33),I33=""),EOMONTH(DATE(EINSTELLUNG!$C$35,$A$1,1),0),I33)-MAX(D33,DATE(EINSTELLUNG!$C$35,$A$1,1))+1)/DAY(EOMONTH(DATE(EINSTELLUNG!$C$35,$A$1,1),0))*F33,2),"")</f>
        <v>173</v>
      </c>
      <c r="I33" s="57"/>
      <c r="J33" s="58"/>
      <c r="K33" s="152">
        <f t="shared" si="0"/>
        <v>0</v>
      </c>
      <c r="L33" s="15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9"/>
      <c r="N33" s="75"/>
      <c r="O33" s="310"/>
      <c r="P33" s="291"/>
      <c r="Q33" s="280" t="str">
        <f>EINSTELLUNG!B3</f>
        <v>Budget</v>
      </c>
      <c r="R33" s="280"/>
      <c r="S33" s="280" t="str">
        <f>EINSTELLUNG!B19</f>
        <v>Projection/Aktuell Zahlen</v>
      </c>
      <c r="T33" s="280"/>
      <c r="U33" s="280" t="s">
        <v>95</v>
      </c>
      <c r="V33" s="282"/>
    </row>
    <row r="34" spans="1:22" ht="22" customHeight="1">
      <c r="A34" s="151" t="s">
        <v>96</v>
      </c>
      <c r="B34" s="101">
        <v>401690</v>
      </c>
      <c r="C34" s="45" t="s">
        <v>253</v>
      </c>
      <c r="D34" s="46">
        <v>45536</v>
      </c>
      <c r="E34" s="47" t="s">
        <v>2</v>
      </c>
      <c r="F34" s="48">
        <v>151.38</v>
      </c>
      <c r="G34" s="152">
        <f>IF(OR(E34="",F34=""),"",PID_KVLohnLookup($A$1,E34,F34,LOHNTABELLE!$H$4))</f>
        <v>2500</v>
      </c>
      <c r="H34" s="153">
        <f>IF(AND(ISNUMBER(D34),ISNUMBER(F34)),ROUNDDOWN(MIN(IF(OR(ISBLANK(I34),I34=""),EOMONTH(DATE(EINSTELLUNG!$C$35,$A$1,1),0),I34)-MAX(D34,DATE(EINSTELLUNG!$C$35,$A$1,1))+1)/DAY(EOMONTH(DATE(EINSTELLUNG!$C$35,$A$1,1),0))*F34,2),"")</f>
        <v>151.38</v>
      </c>
      <c r="I34" s="49"/>
      <c r="J34" s="50"/>
      <c r="K34" s="152">
        <f t="shared" si="0"/>
        <v>0</v>
      </c>
      <c r="L34" s="15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2500</v>
      </c>
      <c r="M34" s="51"/>
      <c r="N34" s="74"/>
      <c r="O34" s="311"/>
      <c r="P34" s="293"/>
      <c r="Q34" s="281"/>
      <c r="R34" s="281"/>
      <c r="S34" s="281"/>
      <c r="T34" s="281"/>
      <c r="U34" s="281"/>
      <c r="V34" s="283"/>
    </row>
    <row r="35" spans="1:22" ht="22" customHeight="1">
      <c r="A35" s="151" t="s">
        <v>97</v>
      </c>
      <c r="B35" s="102">
        <v>401703</v>
      </c>
      <c r="C35" s="53" t="s">
        <v>254</v>
      </c>
      <c r="D35" s="54">
        <v>45616</v>
      </c>
      <c r="E35" s="55" t="s">
        <v>2</v>
      </c>
      <c r="F35" s="56">
        <v>173</v>
      </c>
      <c r="G35" s="152">
        <f>IF(OR(E35="",F35=""),"",PID_KVLohnLookup($A$1,E35,F35,LOHNTABELLE!$H$4))</f>
        <v>2900</v>
      </c>
      <c r="H35" s="153">
        <f>IF(AND(ISNUMBER(D35),ISNUMBER(F35)),ROUNDDOWN(MIN(IF(OR(ISBLANK(I35),I35=""),EOMONTH(DATE(EINSTELLUNG!$C$35,$A$1,1),0),I35)-MAX(D35,DATE(EINSTELLUNG!$C$35,$A$1,1))+1)/DAY(EOMONTH(DATE(EINSTELLUNG!$C$35,$A$1,1),0))*F35,2),"")</f>
        <v>11.16</v>
      </c>
      <c r="I35" s="57">
        <v>46144</v>
      </c>
      <c r="J35" s="58"/>
      <c r="K35" s="152">
        <f t="shared" ref="K35:K66" si="1">IF(OR(B35="",C35=""),"",IFERROR(IF(OR(MONTH(D35)=1,MONTH(D35)=3,MONTH(D35)=5,MONTH(D35)=7,MONTH(D35)=8,MONTH(D35)=10,MONTH(D35)=12),(G35/31)*J35,IF(OR(MONTH(D35)=4,MONTH(D35)=6,MONTH(D35)=9,MONTH(D35)=11),(G35/30)*J35,(G35/DAY(EOMONTH(D35,0)))*J35)),0))</f>
        <v>0</v>
      </c>
      <c r="L35" s="15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187.09677419354838</v>
      </c>
      <c r="M35" s="59"/>
      <c r="N35" s="75" t="s">
        <v>194</v>
      </c>
      <c r="O35" s="307" t="s">
        <v>98</v>
      </c>
      <c r="P35" s="255"/>
      <c r="Q35" s="256">
        <f>EINSTELLUNG!C10</f>
        <v>400000</v>
      </c>
      <c r="R35" s="256"/>
      <c r="S35" s="256">
        <f>EINSTELLUNG!C26</f>
        <v>420000</v>
      </c>
      <c r="T35" s="256"/>
      <c r="U35" s="256">
        <f>S35-Q35</f>
        <v>20000</v>
      </c>
      <c r="V35" s="257"/>
    </row>
    <row r="36" spans="1:22" ht="22" customHeight="1">
      <c r="A36" s="151" t="s">
        <v>99</v>
      </c>
      <c r="B36" s="101">
        <v>401715</v>
      </c>
      <c r="C36" s="45" t="s">
        <v>256</v>
      </c>
      <c r="D36" s="46">
        <v>45755</v>
      </c>
      <c r="E36" s="47" t="s">
        <v>2</v>
      </c>
      <c r="F36" s="48">
        <v>173</v>
      </c>
      <c r="G36" s="152">
        <f>IF(OR(E36="",F36=""),"",PID_KVLohnLookup($A$1,E36,F36,LOHNTABELLE!$H$4))</f>
        <v>2900</v>
      </c>
      <c r="H36" s="153">
        <f>IF(AND(ISNUMBER(D36),ISNUMBER(F36)),ROUNDDOWN(MIN(IF(OR(ISBLANK(I36),I36=""),EOMONTH(DATE(EINSTELLUNG!$C$35,$A$1,1),0),I36)-MAX(D36,DATE(EINSTELLUNG!$C$35,$A$1,1))+1)/DAY(EOMONTH(DATE(EINSTELLUNG!$C$35,$A$1,1),0))*F36,2),"")</f>
        <v>173</v>
      </c>
      <c r="I36" s="49"/>
      <c r="J36" s="50"/>
      <c r="K36" s="152">
        <f t="shared" si="1"/>
        <v>0</v>
      </c>
      <c r="L36" s="15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51"/>
      <c r="N36" s="74"/>
      <c r="O36" s="307" t="s">
        <v>100</v>
      </c>
      <c r="P36" s="255"/>
      <c r="Q36" s="256">
        <f>EINSTELLUNG!D10</f>
        <v>100000</v>
      </c>
      <c r="R36" s="256"/>
      <c r="S36" s="256">
        <f ca="1">SumMergedCells(Q17:R29)</f>
        <v>156533.9871</v>
      </c>
      <c r="T36" s="256"/>
      <c r="U36" s="256">
        <f t="shared" ref="U36:U41" ca="1" si="2">S36-Q36</f>
        <v>56533.987099999998</v>
      </c>
      <c r="V36" s="257"/>
    </row>
    <row r="37" spans="1:22" ht="22" customHeight="1">
      <c r="A37" s="151" t="s">
        <v>101</v>
      </c>
      <c r="B37" s="102">
        <v>401716</v>
      </c>
      <c r="C37" s="53" t="s">
        <v>257</v>
      </c>
      <c r="D37" s="54">
        <v>45800</v>
      </c>
      <c r="E37" s="55" t="s">
        <v>2</v>
      </c>
      <c r="F37" s="56">
        <v>173</v>
      </c>
      <c r="G37" s="152">
        <f>IF(OR(E37="",F37=""),"",PID_KVLohnLookup($A$1,E37,F37,LOHNTABELLE!$H$4))</f>
        <v>2900</v>
      </c>
      <c r="H37" s="153">
        <f>IF(AND(ISNUMBER(D37),ISNUMBER(F37)),ROUNDDOWN(MIN(IF(OR(ISBLANK(I37),I37=""),EOMONTH(DATE(EINSTELLUNG!$C$35,$A$1,1),0),I37)-MAX(D37,DATE(EINSTELLUNG!$C$35,$A$1,1))+1)/DAY(EOMONTH(DATE(EINSTELLUNG!$C$35,$A$1,1),0))*F37,2),"")</f>
        <v>173</v>
      </c>
      <c r="I37" s="57"/>
      <c r="J37" s="58"/>
      <c r="K37" s="152">
        <f t="shared" si="1"/>
        <v>0</v>
      </c>
      <c r="L37" s="15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2900</v>
      </c>
      <c r="M37" s="59"/>
      <c r="N37" s="75"/>
      <c r="O37" s="307" t="s">
        <v>102</v>
      </c>
      <c r="P37" s="255"/>
      <c r="Q37" s="278">
        <f>IF(ISERROR(Q36/Q35), 0, Q36/Q35)</f>
        <v>0.25</v>
      </c>
      <c r="R37" s="278"/>
      <c r="S37" s="278">
        <f ca="1">IF(ISERROR(S36/S35), 0, S36/S35)</f>
        <v>0.37269996928571431</v>
      </c>
      <c r="T37" s="278"/>
      <c r="U37" s="278">
        <f t="shared" ca="1" si="2"/>
        <v>0.12269996928571431</v>
      </c>
      <c r="V37" s="279"/>
    </row>
    <row r="38" spans="1:22" ht="22" customHeight="1">
      <c r="A38" s="151" t="s">
        <v>103</v>
      </c>
      <c r="B38" s="101">
        <v>401717</v>
      </c>
      <c r="C38" s="45" t="s">
        <v>258</v>
      </c>
      <c r="D38" s="46">
        <v>45814</v>
      </c>
      <c r="E38" s="47" t="s">
        <v>2</v>
      </c>
      <c r="F38" s="48">
        <v>86.5</v>
      </c>
      <c r="G38" s="152">
        <f>IF(OR(E38="",F38=""),"",PID_KVLohnLookup($A$1,E38,F38,LOHNTABELLE!$H$4))</f>
        <v>2152</v>
      </c>
      <c r="H38" s="153">
        <f>IF(AND(ISNUMBER(D38),ISNUMBER(F38)),ROUNDDOWN(MIN(IF(OR(ISBLANK(I38),I38=""),EOMONTH(DATE(EINSTELLUNG!$C$35,$A$1,1),0),I38)-MAX(D38,DATE(EINSTELLUNG!$C$35,$A$1,1))+1)/DAY(EOMONTH(DATE(EINSTELLUNG!$C$35,$A$1,1),0))*F38,2),"")</f>
        <v>86.5</v>
      </c>
      <c r="I38" s="49"/>
      <c r="J38" s="50"/>
      <c r="K38" s="152">
        <f t="shared" si="1"/>
        <v>0</v>
      </c>
      <c r="L38" s="15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51"/>
      <c r="N38" s="74"/>
      <c r="O38" s="307" t="s">
        <v>104</v>
      </c>
      <c r="P38" s="255"/>
      <c r="Q38" s="269">
        <f>EINSTELLUNG!F10</f>
        <v>30000</v>
      </c>
      <c r="R38" s="269"/>
      <c r="S38" s="269">
        <f>EINSTELLUNG!F26</f>
        <v>31000</v>
      </c>
      <c r="T38" s="269"/>
      <c r="U38" s="269">
        <f t="shared" si="2"/>
        <v>1000</v>
      </c>
      <c r="V38" s="270"/>
    </row>
    <row r="39" spans="1:22" ht="22" customHeight="1">
      <c r="A39" s="151" t="s">
        <v>105</v>
      </c>
      <c r="B39" s="102">
        <v>401722</v>
      </c>
      <c r="C39" s="53" t="s">
        <v>259</v>
      </c>
      <c r="D39" s="54">
        <v>45848</v>
      </c>
      <c r="E39" s="55" t="s">
        <v>2</v>
      </c>
      <c r="F39" s="56">
        <v>86.5</v>
      </c>
      <c r="G39" s="152">
        <f>IF(OR(E39="",F39=""),"",PID_KVLohnLookup($A$1,E39,F39,LOHNTABELLE!$H$4))</f>
        <v>2152</v>
      </c>
      <c r="H39" s="153">
        <f>IF(AND(ISNUMBER(D39),ISNUMBER(F39)),ROUNDDOWN(MIN(IF(OR(ISBLANK(I39),I39=""),EOMONTH(DATE(EINSTELLUNG!$C$35,$A$1,1),0),I39)-MAX(D39,DATE(EINSTELLUNG!$C$35,$A$1,1))+1)/DAY(EOMONTH(DATE(EINSTELLUNG!$C$35,$A$1,1),0))*F39,2),"")</f>
        <v>86.5</v>
      </c>
      <c r="I39" s="57"/>
      <c r="J39" s="58"/>
      <c r="K39" s="152">
        <f t="shared" si="1"/>
        <v>0</v>
      </c>
      <c r="L39" s="15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9"/>
      <c r="N39" s="75"/>
      <c r="O39" s="307" t="s">
        <v>106</v>
      </c>
      <c r="P39" s="255"/>
      <c r="Q39" s="256">
        <f>IF(Q38=0, 0, Q35/Q38)</f>
        <v>13.333333333333334</v>
      </c>
      <c r="R39" s="256"/>
      <c r="S39" s="256">
        <f>IF(S38=0, 0, S35/S38)</f>
        <v>13.548387096774194</v>
      </c>
      <c r="T39" s="256"/>
      <c r="U39" s="256">
        <f t="shared" si="2"/>
        <v>0.21505376344086002</v>
      </c>
      <c r="V39" s="257"/>
    </row>
    <row r="40" spans="1:22" ht="22" customHeight="1">
      <c r="A40" s="151" t="s">
        <v>107</v>
      </c>
      <c r="B40" s="101">
        <v>401723</v>
      </c>
      <c r="C40" s="45" t="s">
        <v>260</v>
      </c>
      <c r="D40" s="49">
        <v>45852</v>
      </c>
      <c r="E40" s="47" t="s">
        <v>2</v>
      </c>
      <c r="F40" s="48">
        <v>86.5</v>
      </c>
      <c r="G40" s="152">
        <f>IF(OR(E40="",F40=""),"",PID_KVLohnLookup($A$1,E40,F40,LOHNTABELLE!$H$4))</f>
        <v>2152</v>
      </c>
      <c r="H40" s="153">
        <f>IF(AND(ISNUMBER(D40),ISNUMBER(F40)),ROUNDDOWN(MIN(IF(OR(ISBLANK(I40),I40=""),EOMONTH(DATE(EINSTELLUNG!$C$35,$A$1,1),0),I40)-MAX(D40,DATE(EINSTELLUNG!$C$35,$A$1,1))+1)/DAY(EOMONTH(DATE(EINSTELLUNG!$C$35,$A$1,1),0))*F40,2),"")</f>
        <v>86.5</v>
      </c>
      <c r="I40" s="49"/>
      <c r="J40" s="50"/>
      <c r="K40" s="152">
        <f t="shared" si="1"/>
        <v>0</v>
      </c>
      <c r="L40" s="15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51"/>
      <c r="N40" s="74"/>
      <c r="O40" s="307" t="s">
        <v>108</v>
      </c>
      <c r="P40" s="255"/>
      <c r="Q40" s="256">
        <f>IF(Q12=0, 0, Q35/Q12)</f>
        <v>49.346589472151877</v>
      </c>
      <c r="R40" s="256"/>
      <c r="S40" s="256">
        <f>IF(Q12=0, 0, S35/Q12)</f>
        <v>51.813918945759475</v>
      </c>
      <c r="T40" s="256"/>
      <c r="U40" s="256">
        <f t="shared" si="2"/>
        <v>2.4673294736075988</v>
      </c>
      <c r="V40" s="257"/>
    </row>
    <row r="41" spans="1:22" ht="22" customHeight="1">
      <c r="A41" s="151" t="s">
        <v>109</v>
      </c>
      <c r="B41" s="102">
        <v>401726</v>
      </c>
      <c r="C41" s="53" t="s">
        <v>261</v>
      </c>
      <c r="D41" s="57">
        <v>45870</v>
      </c>
      <c r="E41" s="55" t="s">
        <v>2</v>
      </c>
      <c r="F41" s="56">
        <v>86.5</v>
      </c>
      <c r="G41" s="152">
        <f>IF(OR(E41="",F41=""),"",PID_KVLohnLookup($A$1,E41,F41,LOHNTABELLE!$H$4))</f>
        <v>2152</v>
      </c>
      <c r="H41" s="153">
        <f>IF(AND(ISNUMBER(D41),ISNUMBER(F41)),ROUNDDOWN(MIN(IF(OR(ISBLANK(I41),I41=""),EOMONTH(DATE(EINSTELLUNG!$C$35,$A$1,1),0),I41)-MAX(D41,DATE(EINSTELLUNG!$C$35,$A$1,1))+1)/DAY(EOMONTH(DATE(EINSTELLUNG!$C$35,$A$1,1),0))*F41,2),"")</f>
        <v>86.5</v>
      </c>
      <c r="I41" s="57"/>
      <c r="J41" s="58"/>
      <c r="K41" s="152">
        <f t="shared" si="1"/>
        <v>0</v>
      </c>
      <c r="L41" s="15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9"/>
      <c r="N41" s="75"/>
      <c r="O41" s="307" t="s">
        <v>110</v>
      </c>
      <c r="P41" s="255"/>
      <c r="Q41" s="269">
        <f>IF(Q12=0, 0, Q38/Q12)</f>
        <v>3.7009942104113911</v>
      </c>
      <c r="R41" s="269"/>
      <c r="S41" s="269">
        <f>IF(Q12=0, 0, S38/Q12)</f>
        <v>3.8243606840917708</v>
      </c>
      <c r="T41" s="269"/>
      <c r="U41" s="269">
        <f t="shared" si="2"/>
        <v>0.12336647368037967</v>
      </c>
      <c r="V41" s="270"/>
    </row>
    <row r="42" spans="1:22" ht="22" customHeight="1">
      <c r="A42" s="151" t="s">
        <v>111</v>
      </c>
      <c r="B42" s="101">
        <v>401730</v>
      </c>
      <c r="C42" s="45" t="s">
        <v>263</v>
      </c>
      <c r="D42" s="46">
        <v>45895</v>
      </c>
      <c r="E42" s="47" t="s">
        <v>2</v>
      </c>
      <c r="F42" s="48">
        <v>86.5</v>
      </c>
      <c r="G42" s="152">
        <f>IF(OR(E42="",F42=""),"",PID_KVLohnLookup($A$1,E42,F42,LOHNTABELLE!$H$4))</f>
        <v>2152</v>
      </c>
      <c r="H42" s="153">
        <f>IF(AND(ISNUMBER(D42),ISNUMBER(F42)),ROUNDDOWN(MIN(IF(OR(ISBLANK(I42),I42=""),EOMONTH(DATE(EINSTELLUNG!$C$35,$A$1,1),0),I42)-MAX(D42,DATE(EINSTELLUNG!$C$35,$A$1,1))+1)/DAY(EOMONTH(DATE(EINSTELLUNG!$C$35,$A$1,1),0))*F42,2),"")</f>
        <v>86.5</v>
      </c>
      <c r="I42" s="49"/>
      <c r="J42" s="50"/>
      <c r="K42" s="152">
        <f t="shared" si="1"/>
        <v>0</v>
      </c>
      <c r="L42" s="15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51"/>
      <c r="N42" s="74"/>
      <c r="O42" s="306" t="s">
        <v>112</v>
      </c>
      <c r="P42" s="263"/>
      <c r="Q42" s="264">
        <f>IFERROR(Q17/Q8, 0)</f>
        <v>16.351613547617351</v>
      </c>
      <c r="R42" s="264"/>
      <c r="S42" s="264"/>
      <c r="T42" s="264"/>
      <c r="U42" s="264"/>
      <c r="V42" s="265"/>
    </row>
    <row r="43" spans="1:22" ht="22" customHeight="1">
      <c r="A43" s="151" t="s">
        <v>113</v>
      </c>
      <c r="B43" s="102">
        <v>401731</v>
      </c>
      <c r="C43" s="53" t="s">
        <v>262</v>
      </c>
      <c r="D43" s="57">
        <v>45899</v>
      </c>
      <c r="E43" s="55" t="s">
        <v>2</v>
      </c>
      <c r="F43" s="56">
        <v>86.5</v>
      </c>
      <c r="G43" s="152">
        <f>IF(OR(E43="",F43=""),"",PID_KVLohnLookup($A$1,E43,F43,LOHNTABELLE!$H$4))</f>
        <v>2152</v>
      </c>
      <c r="H43" s="153">
        <f>IF(AND(ISNUMBER(D43),ISNUMBER(F43)),ROUNDDOWN(MIN(IF(OR(ISBLANK(I43),I43=""),EOMONTH(DATE(EINSTELLUNG!$C$35,$A$1,1),0),I43)-MAX(D43,DATE(EINSTELLUNG!$C$35,$A$1,1))+1)/DAY(EOMONTH(DATE(EINSTELLUNG!$C$35,$A$1,1),0))*F43,2),"")</f>
        <v>86.5</v>
      </c>
      <c r="I43" s="57"/>
      <c r="J43" s="58"/>
      <c r="K43" s="152">
        <f t="shared" si="1"/>
        <v>0</v>
      </c>
      <c r="L43" s="15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9"/>
      <c r="N43" s="75"/>
      <c r="O43" s="164"/>
      <c r="P43" s="164"/>
      <c r="Q43" s="164"/>
      <c r="R43" s="149"/>
      <c r="S43" s="149"/>
      <c r="T43" s="149"/>
      <c r="U43" s="149"/>
      <c r="V43" s="149"/>
    </row>
    <row r="44" spans="1:22" ht="22" customHeight="1">
      <c r="A44" s="151" t="s">
        <v>114</v>
      </c>
      <c r="B44" s="101">
        <v>401734</v>
      </c>
      <c r="C44" s="45" t="s">
        <v>264</v>
      </c>
      <c r="D44" s="46">
        <v>45904</v>
      </c>
      <c r="E44" s="47" t="s">
        <v>2</v>
      </c>
      <c r="F44" s="48">
        <v>86.5</v>
      </c>
      <c r="G44" s="152">
        <f>IF(OR(E44="",F44=""),"",PID_KVLohnLookup($A$1,E44,F44,LOHNTABELLE!$H$4))</f>
        <v>2152</v>
      </c>
      <c r="H44" s="153">
        <f>IF(AND(ISNUMBER(D44),ISNUMBER(F44)),ROUNDDOWN(MIN(IF(OR(ISBLANK(I44),I44=""),EOMONTH(DATE(EINSTELLUNG!$C$35,$A$1,1),0),I44)-MAX(D44,DATE(EINSTELLUNG!$C$35,$A$1,1))+1)/DAY(EOMONTH(DATE(EINSTELLUNG!$C$35,$A$1,1),0))*F44,2),"")</f>
        <v>86.5</v>
      </c>
      <c r="I44" s="49"/>
      <c r="J44" s="50"/>
      <c r="K44" s="152">
        <f t="shared" si="1"/>
        <v>0</v>
      </c>
      <c r="L44" s="15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51"/>
      <c r="N44" s="74"/>
      <c r="O44" s="275" t="s">
        <v>115</v>
      </c>
      <c r="P44" s="275"/>
      <c r="Q44" s="275"/>
      <c r="R44" s="275"/>
      <c r="S44" s="275"/>
      <c r="T44" s="275"/>
      <c r="U44" s="275"/>
      <c r="V44" s="275"/>
    </row>
    <row r="45" spans="1:22" ht="22" customHeight="1">
      <c r="A45" s="151" t="s">
        <v>116</v>
      </c>
      <c r="B45" s="102">
        <v>401736</v>
      </c>
      <c r="C45" s="53" t="s">
        <v>265</v>
      </c>
      <c r="D45" s="54">
        <v>45906</v>
      </c>
      <c r="E45" s="55" t="s">
        <v>2</v>
      </c>
      <c r="F45" s="56">
        <v>86.5</v>
      </c>
      <c r="G45" s="152">
        <f>IF(OR(E45="",F45=""),"",PID_KVLohnLookup($A$1,E45,F45,LOHNTABELLE!$H$4))</f>
        <v>2152</v>
      </c>
      <c r="H45" s="153">
        <f>IF(AND(ISNUMBER(D45),ISNUMBER(F45)),ROUNDDOWN(MIN(IF(OR(ISBLANK(I45),I45=""),EOMONTH(DATE(EINSTELLUNG!$C$35,$A$1,1),0),I45)-MAX(D45,DATE(EINSTELLUNG!$C$35,$A$1,1))+1)/DAY(EOMONTH(DATE(EINSTELLUNG!$C$35,$A$1,1),0))*F45,2),"")</f>
        <v>69.75</v>
      </c>
      <c r="I45" s="57">
        <v>46167</v>
      </c>
      <c r="J45" s="58"/>
      <c r="K45" s="152">
        <f t="shared" si="1"/>
        <v>0</v>
      </c>
      <c r="L45" s="15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1735.483870967742</v>
      </c>
      <c r="M45" s="59"/>
      <c r="N45" s="75" t="s">
        <v>186</v>
      </c>
      <c r="O45" s="276"/>
      <c r="P45" s="276"/>
      <c r="Q45" s="276"/>
      <c r="R45" s="277"/>
      <c r="S45" s="277"/>
      <c r="T45" s="277"/>
      <c r="U45" s="277"/>
      <c r="V45" s="149"/>
    </row>
    <row r="46" spans="1:22" ht="22" customHeight="1">
      <c r="A46" s="151" t="s">
        <v>117</v>
      </c>
      <c r="B46" s="101">
        <v>401737</v>
      </c>
      <c r="C46" s="45" t="s">
        <v>266</v>
      </c>
      <c r="D46" s="46">
        <v>45906</v>
      </c>
      <c r="E46" s="47" t="s">
        <v>2</v>
      </c>
      <c r="F46" s="48">
        <v>86.5</v>
      </c>
      <c r="G46" s="152">
        <f>IF(OR(E46="",F46=""),"",PID_KVLohnLookup($A$1,E46,F46,LOHNTABELLE!$H$4))</f>
        <v>2152</v>
      </c>
      <c r="H46" s="153">
        <f>IF(AND(ISNUMBER(D46),ISNUMBER(F46)),ROUNDDOWN(MIN(IF(OR(ISBLANK(I46),I46=""),EOMONTH(DATE(EINSTELLUNG!$C$35,$A$1,1),0),I46)-MAX(D46,DATE(EINSTELLUNG!$C$35,$A$1,1))+1)/DAY(EOMONTH(DATE(EINSTELLUNG!$C$35,$A$1,1),0))*F46,2),"")</f>
        <v>86.5</v>
      </c>
      <c r="I46" s="49"/>
      <c r="J46" s="50"/>
      <c r="K46" s="152">
        <f t="shared" si="1"/>
        <v>0</v>
      </c>
      <c r="L46" s="15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51"/>
      <c r="N46" s="74"/>
      <c r="O46" s="149"/>
      <c r="P46" s="149"/>
      <c r="Q46" s="149"/>
      <c r="R46" s="149"/>
      <c r="S46" s="149"/>
      <c r="T46" s="149"/>
      <c r="U46" s="149"/>
      <c r="V46" s="149"/>
    </row>
    <row r="47" spans="1:22" ht="22" customHeight="1">
      <c r="A47" s="151" t="s">
        <v>118</v>
      </c>
      <c r="B47" s="102">
        <v>401738</v>
      </c>
      <c r="C47" s="53" t="s">
        <v>267</v>
      </c>
      <c r="D47" s="54">
        <v>45909</v>
      </c>
      <c r="E47" s="55" t="s">
        <v>2</v>
      </c>
      <c r="F47" s="56">
        <v>86.5</v>
      </c>
      <c r="G47" s="152">
        <f>IF(OR(E47="",F47=""),"",PID_KVLohnLookup($A$1,E47,F47,LOHNTABELLE!$H$4))</f>
        <v>2152</v>
      </c>
      <c r="H47" s="153">
        <f>IF(AND(ISNUMBER(D47),ISNUMBER(F47)),ROUNDDOWN(MIN(IF(OR(ISBLANK(I47),I47=""),EOMONTH(DATE(EINSTELLUNG!$C$35,$A$1,1),0),I47)-MAX(D47,DATE(EINSTELLUNG!$C$35,$A$1,1))+1)/DAY(EOMONTH(DATE(EINSTELLUNG!$C$35,$A$1,1),0))*F47,2),"")</f>
        <v>86.5</v>
      </c>
      <c r="I47" s="57"/>
      <c r="J47" s="58"/>
      <c r="K47" s="152">
        <f t="shared" si="1"/>
        <v>0</v>
      </c>
      <c r="L47" s="15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9"/>
      <c r="N47" s="75"/>
      <c r="O47" s="149"/>
      <c r="P47" s="149"/>
      <c r="Q47" s="149"/>
      <c r="R47" s="149"/>
      <c r="S47" s="149"/>
      <c r="T47" s="149"/>
      <c r="U47" s="149"/>
      <c r="V47" s="149"/>
    </row>
    <row r="48" spans="1:22" ht="22" customHeight="1">
      <c r="A48" s="151" t="s">
        <v>119</v>
      </c>
      <c r="B48" s="101">
        <v>401745</v>
      </c>
      <c r="C48" s="45" t="s">
        <v>271</v>
      </c>
      <c r="D48" s="46">
        <v>45934</v>
      </c>
      <c r="E48" s="47" t="s">
        <v>2</v>
      </c>
      <c r="F48" s="48">
        <v>86.5</v>
      </c>
      <c r="G48" s="152">
        <f>IF(OR(E48="",F48=""),"",PID_KVLohnLookup($A$1,E48,F48,LOHNTABELLE!$H$4))</f>
        <v>2152</v>
      </c>
      <c r="H48" s="153">
        <f>IF(AND(ISNUMBER(D48),ISNUMBER(F48)),ROUNDDOWN(MIN(IF(OR(ISBLANK(I48),I48=""),EOMONTH(DATE(EINSTELLUNG!$C$35,$A$1,1),0),I48)-MAX(D48,DATE(EINSTELLUNG!$C$35,$A$1,1))+1)/DAY(EOMONTH(DATE(EINSTELLUNG!$C$35,$A$1,1),0))*F48,2),"")</f>
        <v>86.5</v>
      </c>
      <c r="I48" s="49"/>
      <c r="J48" s="50"/>
      <c r="K48" s="152">
        <f t="shared" si="1"/>
        <v>0</v>
      </c>
      <c r="L48" s="15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51"/>
      <c r="N48" s="74"/>
      <c r="O48" s="149"/>
      <c r="P48" s="149"/>
      <c r="Q48" s="149"/>
      <c r="R48" s="149"/>
      <c r="S48" s="149"/>
      <c r="T48" s="149"/>
      <c r="U48" s="149"/>
      <c r="V48" s="149"/>
    </row>
    <row r="49" spans="1:22" ht="22" customHeight="1">
      <c r="A49" s="151" t="s">
        <v>120</v>
      </c>
      <c r="B49" s="102">
        <v>401746</v>
      </c>
      <c r="C49" s="53" t="s">
        <v>270</v>
      </c>
      <c r="D49" s="54">
        <v>45941</v>
      </c>
      <c r="E49" s="55" t="s">
        <v>2</v>
      </c>
      <c r="F49" s="56">
        <v>86.5</v>
      </c>
      <c r="G49" s="152">
        <f>IF(OR(E49="",F49=""),"",PID_KVLohnLookup($A$1,E49,F49,LOHNTABELLE!$H$4))</f>
        <v>2152</v>
      </c>
      <c r="H49" s="153">
        <f>IF(AND(ISNUMBER(D49),ISNUMBER(F49)),ROUNDDOWN(MIN(IF(OR(ISBLANK(I49),I49=""),EOMONTH(DATE(EINSTELLUNG!$C$35,$A$1,1),0),I49)-MAX(D49,DATE(EINSTELLUNG!$C$35,$A$1,1))+1)/DAY(EOMONTH(DATE(EINSTELLUNG!$C$35,$A$1,1),0))*F49,2),"")</f>
        <v>86.5</v>
      </c>
      <c r="I49" s="57"/>
      <c r="J49" s="58"/>
      <c r="K49" s="152">
        <f t="shared" si="1"/>
        <v>0</v>
      </c>
      <c r="L49" s="15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59"/>
      <c r="N49" s="75"/>
      <c r="O49" s="149"/>
      <c r="P49" s="149"/>
      <c r="Q49" s="149"/>
      <c r="R49" s="149"/>
      <c r="S49" s="149"/>
      <c r="T49" s="149"/>
      <c r="U49" s="149"/>
      <c r="V49" s="149"/>
    </row>
    <row r="50" spans="1:22" ht="22" customHeight="1">
      <c r="A50" s="151" t="s">
        <v>121</v>
      </c>
      <c r="B50" s="101">
        <v>401747</v>
      </c>
      <c r="C50" s="45" t="s">
        <v>268</v>
      </c>
      <c r="D50" s="46">
        <v>45941</v>
      </c>
      <c r="E50" s="47" t="s">
        <v>2</v>
      </c>
      <c r="F50" s="48">
        <v>86.5</v>
      </c>
      <c r="G50" s="152">
        <f>IF(OR(E50="",F50=""),"",PID_KVLohnLookup($A$1,E50,F50,LOHNTABELLE!$H$4))</f>
        <v>2152</v>
      </c>
      <c r="H50" s="153">
        <f>IF(AND(ISNUMBER(D50),ISNUMBER(F50)),ROUNDDOWN(MIN(IF(OR(ISBLANK(I50),I50=""),EOMONTH(DATE(EINSTELLUNG!$C$35,$A$1,1),0),I50)-MAX(D50,DATE(EINSTELLUNG!$C$35,$A$1,1))+1)/DAY(EOMONTH(DATE(EINSTELLUNG!$C$35,$A$1,1),0))*F50,2),"")</f>
        <v>86.5</v>
      </c>
      <c r="I50" s="49"/>
      <c r="J50" s="50"/>
      <c r="K50" s="152">
        <f t="shared" si="1"/>
        <v>0</v>
      </c>
      <c r="L50" s="15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51"/>
      <c r="N50" s="74"/>
      <c r="O50" s="149"/>
      <c r="P50" s="149"/>
      <c r="Q50" s="149"/>
      <c r="R50" s="149"/>
      <c r="S50" s="149"/>
      <c r="T50" s="149"/>
      <c r="U50" s="149"/>
      <c r="V50" s="149"/>
    </row>
    <row r="51" spans="1:22" ht="22" customHeight="1">
      <c r="A51" s="151" t="s">
        <v>122</v>
      </c>
      <c r="B51" s="102">
        <v>401748</v>
      </c>
      <c r="C51" s="53" t="s">
        <v>269</v>
      </c>
      <c r="D51" s="54">
        <v>45941</v>
      </c>
      <c r="E51" s="55" t="s">
        <v>2</v>
      </c>
      <c r="F51" s="56">
        <v>138.4</v>
      </c>
      <c r="G51" s="152">
        <f>IF(OR(E51="",F51=""),"",PID_KVLohnLookup($A$1,E51,F51,LOHNTABELLE!$H$4))</f>
        <v>2400</v>
      </c>
      <c r="H51" s="153">
        <f>IF(AND(ISNUMBER(D51),ISNUMBER(F51)),ROUNDDOWN(MIN(IF(OR(ISBLANK(I51),I51=""),EOMONTH(DATE(EINSTELLUNG!$C$35,$A$1,1),0),I51)-MAX(D51,DATE(EINSTELLUNG!$C$35,$A$1,1))+1)/DAY(EOMONTH(DATE(EINSTELLUNG!$C$35,$A$1,1),0))*F51,2),"")</f>
        <v>138.4</v>
      </c>
      <c r="I51" s="57"/>
      <c r="J51" s="58"/>
      <c r="K51" s="152">
        <f t="shared" si="1"/>
        <v>0</v>
      </c>
      <c r="L51" s="15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2400</v>
      </c>
      <c r="M51" s="59"/>
      <c r="N51" s="75"/>
    </row>
    <row r="52" spans="1:22" ht="22" customHeight="1">
      <c r="A52" s="151" t="s">
        <v>123</v>
      </c>
      <c r="B52" s="101">
        <v>401751</v>
      </c>
      <c r="C52" s="45" t="s">
        <v>272</v>
      </c>
      <c r="D52" s="46">
        <v>45961</v>
      </c>
      <c r="E52" s="47" t="s">
        <v>2</v>
      </c>
      <c r="F52" s="48">
        <v>86.5</v>
      </c>
      <c r="G52" s="152">
        <f>IF(OR(E52="",F52=""),"",PID_KVLohnLookup($A$1,E52,F52,LOHNTABELLE!$H$4))</f>
        <v>2152</v>
      </c>
      <c r="H52" s="153">
        <f>IF(AND(ISNUMBER(D52),ISNUMBER(F52)),ROUNDDOWN(MIN(IF(OR(ISBLANK(I52),I52=""),EOMONTH(DATE(EINSTELLUNG!$C$35,$A$1,1),0),I52)-MAX(D52,DATE(EINSTELLUNG!$C$35,$A$1,1))+1)/DAY(EOMONTH(DATE(EINSTELLUNG!$C$35,$A$1,1),0))*F52,2),"")</f>
        <v>86.5</v>
      </c>
      <c r="I52" s="49"/>
      <c r="J52" s="50"/>
      <c r="K52" s="152">
        <f t="shared" si="1"/>
        <v>0</v>
      </c>
      <c r="L52" s="15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2152</v>
      </c>
      <c r="M52" s="51"/>
      <c r="N52" s="74"/>
    </row>
    <row r="53" spans="1:22" ht="22" customHeight="1">
      <c r="A53" s="151" t="s">
        <v>124</v>
      </c>
      <c r="B53" s="102">
        <v>401752</v>
      </c>
      <c r="C53" s="53" t="s">
        <v>273</v>
      </c>
      <c r="D53" s="54">
        <v>45986</v>
      </c>
      <c r="E53" s="55" t="s">
        <v>2</v>
      </c>
      <c r="F53" s="56">
        <v>173</v>
      </c>
      <c r="G53" s="152">
        <f>IF(OR(E53="",F53=""),"",PID_KVLohnLookup($A$1,E53,F53,LOHNTABELLE!$H$4))</f>
        <v>2900</v>
      </c>
      <c r="H53" s="153">
        <f>IF(AND(ISNUMBER(D53),ISNUMBER(F53)),ROUNDDOWN(MIN(IF(OR(ISBLANK(I53),I53=""),EOMONTH(DATE(EINSTELLUNG!$C$35,$A$1,1),0),I53)-MAX(D53,DATE(EINSTELLUNG!$C$35,$A$1,1))+1)/DAY(EOMONTH(DATE(EINSTELLUNG!$C$35,$A$1,1),0))*F53,2),"")</f>
        <v>173</v>
      </c>
      <c r="I53" s="57"/>
      <c r="J53" s="58"/>
      <c r="K53" s="152">
        <f t="shared" si="1"/>
        <v>0</v>
      </c>
      <c r="L53" s="15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9"/>
      <c r="N53" s="75"/>
    </row>
    <row r="54" spans="1:22" ht="22" customHeight="1">
      <c r="A54" s="151" t="s">
        <v>125</v>
      </c>
      <c r="B54" s="101">
        <v>401999</v>
      </c>
      <c r="C54" s="45" t="s">
        <v>358</v>
      </c>
      <c r="D54" s="46">
        <v>46041</v>
      </c>
      <c r="E54" s="47" t="s">
        <v>2</v>
      </c>
      <c r="F54" s="48">
        <v>151.38</v>
      </c>
      <c r="G54" s="152">
        <f>IF(OR(E54="",F54=""),"",PID_KVLohnLookup($A$1,E54,F54,LOHNTABELLE!$H$4))</f>
        <v>2500</v>
      </c>
      <c r="H54" s="153">
        <f>IF(AND(ISNUMBER(D54),ISNUMBER(F54)),ROUNDDOWN(MIN(IF(OR(ISBLANK(I54),I54=""),EOMONTH(DATE(EINSTELLUNG!$C$35,$A$1,1),0),I54)-MAX(D54,DATE(EINSTELLUNG!$C$35,$A$1,1))+1)/DAY(EOMONTH(DATE(EINSTELLUNG!$C$35,$A$1,1),0))*F54,2),"")</f>
        <v>151.38</v>
      </c>
      <c r="I54" s="49"/>
      <c r="J54" s="50"/>
      <c r="K54" s="152">
        <f t="shared" si="1"/>
        <v>0</v>
      </c>
      <c r="L54" s="15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2500</v>
      </c>
      <c r="M54" s="51"/>
      <c r="N54" s="74"/>
    </row>
    <row r="55" spans="1:22" ht="22" customHeight="1">
      <c r="A55" s="151" t="s">
        <v>126</v>
      </c>
      <c r="B55" s="102">
        <v>401999</v>
      </c>
      <c r="C55" s="53" t="s">
        <v>295</v>
      </c>
      <c r="D55" s="57">
        <v>46082</v>
      </c>
      <c r="E55" s="55" t="s">
        <v>2</v>
      </c>
      <c r="F55" s="56">
        <v>173</v>
      </c>
      <c r="G55" s="152">
        <f>IF(OR(E55="",F55=""),"",PID_KVLohnLookup($A$1,E55,F55,LOHNTABELLE!$H$4))</f>
        <v>2900</v>
      </c>
      <c r="H55" s="153">
        <f>IF(AND(ISNUMBER(D55),ISNUMBER(F55)),ROUNDDOWN(MIN(IF(OR(ISBLANK(I55),I55=""),EOMONTH(DATE(EINSTELLUNG!$C$35,$A$1,1),0),I55)-MAX(D55,DATE(EINSTELLUNG!$C$35,$A$1,1))+1)/DAY(EOMONTH(DATE(EINSTELLUNG!$C$35,$A$1,1),0))*F55,2),"")</f>
        <v>173</v>
      </c>
      <c r="I55" s="57"/>
      <c r="J55" s="58"/>
      <c r="K55" s="152">
        <f t="shared" si="1"/>
        <v>0</v>
      </c>
      <c r="L55" s="15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9"/>
      <c r="N55" s="75"/>
    </row>
    <row r="56" spans="1:22" ht="22" customHeight="1">
      <c r="A56" s="151" t="s">
        <v>127</v>
      </c>
      <c r="B56" s="101">
        <v>402000</v>
      </c>
      <c r="C56" s="45" t="s">
        <v>298</v>
      </c>
      <c r="D56" s="49">
        <v>46143</v>
      </c>
      <c r="E56" s="47" t="s">
        <v>2</v>
      </c>
      <c r="F56" s="48">
        <v>173</v>
      </c>
      <c r="G56" s="152">
        <f>IF(OR(E56="",F56=""),"",PID_KVLohnLookup($A$1,E56,F56,LOHNTABELLE!$H$4))</f>
        <v>2900</v>
      </c>
      <c r="H56" s="153">
        <f>IF(AND(ISNUMBER(D56),ISNUMBER(F56)),ROUNDDOWN(MIN(IF(OR(ISBLANK(I56),I56=""),EOMONTH(DATE(EINSTELLUNG!$C$35,$A$1,1),0),I56)-MAX(D56,DATE(EINSTELLUNG!$C$35,$A$1,1))+1)/DAY(EOMONTH(DATE(EINSTELLUNG!$C$35,$A$1,1),0))*F56,2),"")</f>
        <v>173</v>
      </c>
      <c r="I56" s="49"/>
      <c r="J56" s="50"/>
      <c r="K56" s="152">
        <f t="shared" si="1"/>
        <v>0</v>
      </c>
      <c r="L56" s="15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51"/>
      <c r="N56" s="74"/>
    </row>
    <row r="57" spans="1:22" ht="22" customHeight="1">
      <c r="A57" s="151" t="s">
        <v>128</v>
      </c>
      <c r="B57" s="102">
        <v>402004</v>
      </c>
      <c r="C57" s="53" t="s">
        <v>299</v>
      </c>
      <c r="D57" s="57">
        <v>46122</v>
      </c>
      <c r="E57" s="55" t="s">
        <v>2</v>
      </c>
      <c r="F57" s="56">
        <v>173</v>
      </c>
      <c r="G57" s="152">
        <f>IF(OR(E57="",F57=""),"",PID_KVLohnLookup($A$1,E57,F57,LOHNTABELLE!$H$4))</f>
        <v>2900</v>
      </c>
      <c r="H57" s="153">
        <f>IF(AND(ISNUMBER(D57),ISNUMBER(F57)),ROUNDDOWN(MIN(IF(OR(ISBLANK(I57),I57=""),EOMONTH(DATE(EINSTELLUNG!$C$35,$A$1,1),0),I57)-MAX(D57,DATE(EINSTELLUNG!$C$35,$A$1,1))+1)/DAY(EOMONTH(DATE(EINSTELLUNG!$C$35,$A$1,1),0))*F57,2),"")</f>
        <v>173</v>
      </c>
      <c r="I57" s="57"/>
      <c r="J57" s="58"/>
      <c r="K57" s="152">
        <f t="shared" si="1"/>
        <v>0</v>
      </c>
      <c r="L57" s="15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9"/>
      <c r="N57" s="75"/>
    </row>
    <row r="58" spans="1:22" ht="22" customHeight="1">
      <c r="A58" s="151" t="s">
        <v>129</v>
      </c>
      <c r="B58" s="101">
        <v>402405</v>
      </c>
      <c r="C58" s="45" t="s">
        <v>301</v>
      </c>
      <c r="D58" s="49">
        <v>46054</v>
      </c>
      <c r="E58" s="47" t="s">
        <v>2</v>
      </c>
      <c r="F58" s="48">
        <v>173</v>
      </c>
      <c r="G58" s="152">
        <f>IF(OR(E58="",F58=""),"",PID_KVLohnLookup($A$1,E58,F58,LOHNTABELLE!$H$4))</f>
        <v>2900</v>
      </c>
      <c r="H58" s="153">
        <f>IF(AND(ISNUMBER(D58),ISNUMBER(F58)),ROUNDDOWN(MIN(IF(OR(ISBLANK(I58),I58=""),EOMONTH(DATE(EINSTELLUNG!$C$35,$A$1,1),0),I58)-MAX(D58,DATE(EINSTELLUNG!$C$35,$A$1,1))+1)/DAY(EOMONTH(DATE(EINSTELLUNG!$C$35,$A$1,1),0))*F58,2),"")</f>
        <v>173</v>
      </c>
      <c r="I58" s="49"/>
      <c r="J58" s="50"/>
      <c r="K58" s="152">
        <f t="shared" si="1"/>
        <v>0</v>
      </c>
      <c r="L58" s="15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51"/>
      <c r="N58" s="74"/>
    </row>
    <row r="59" spans="1:22" ht="22" customHeight="1">
      <c r="A59" s="151" t="s">
        <v>130</v>
      </c>
      <c r="B59" s="102">
        <v>500600</v>
      </c>
      <c r="C59" s="53" t="s">
        <v>305</v>
      </c>
      <c r="D59" s="57">
        <v>46054</v>
      </c>
      <c r="E59" s="55" t="s">
        <v>2</v>
      </c>
      <c r="F59" s="56">
        <v>173</v>
      </c>
      <c r="G59" s="152">
        <f>IF(OR(E59="",F59=""),"",PID_KVLohnLookup($A$1,E59,F59,LOHNTABELLE!$H$4))</f>
        <v>2900</v>
      </c>
      <c r="H59" s="153">
        <f>IF(AND(ISNUMBER(D59),ISNUMBER(F59)),ROUNDDOWN(MIN(IF(OR(ISBLANK(I59),I59=""),EOMONTH(DATE(EINSTELLUNG!$C$35,$A$1,1),0),I59)-MAX(D59,DATE(EINSTELLUNG!$C$35,$A$1,1))+1)/DAY(EOMONTH(DATE(EINSTELLUNG!$C$35,$A$1,1),0))*F59,2),"")</f>
        <v>173</v>
      </c>
      <c r="I59" s="57"/>
      <c r="J59" s="58"/>
      <c r="K59" s="152">
        <f t="shared" si="1"/>
        <v>0</v>
      </c>
      <c r="L59" s="15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59"/>
      <c r="N59" s="75"/>
    </row>
    <row r="60" spans="1:22" ht="22" customHeight="1">
      <c r="A60" s="151" t="s">
        <v>131</v>
      </c>
      <c r="B60" s="101">
        <v>502000</v>
      </c>
      <c r="C60" s="45" t="s">
        <v>300</v>
      </c>
      <c r="D60" s="49">
        <v>46147</v>
      </c>
      <c r="E60" s="47" t="s">
        <v>2</v>
      </c>
      <c r="F60" s="48">
        <v>173</v>
      </c>
      <c r="G60" s="152">
        <f>IF(OR(E60="",F60=""),"",PID_KVLohnLookup($A$1,E60,F60,LOHNTABELLE!$H$4))</f>
        <v>2900</v>
      </c>
      <c r="H60" s="153">
        <f>IF(AND(ISNUMBER(D60),ISNUMBER(F60)),ROUNDDOWN(MIN(IF(OR(ISBLANK(I60),I60=""),EOMONTH(DATE(EINSTELLUNG!$C$35,$A$1,1),0),I60)-MAX(D60,DATE(EINSTELLUNG!$C$35,$A$1,1))+1)/DAY(EOMONTH(DATE(EINSTELLUNG!$C$35,$A$1,1),0))*F60,2),"")</f>
        <v>150.66999999999999</v>
      </c>
      <c r="I60" s="49"/>
      <c r="J60" s="50"/>
      <c r="K60" s="152">
        <f t="shared" si="1"/>
        <v>0</v>
      </c>
      <c r="L60" s="15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2525.8064516129034</v>
      </c>
      <c r="M60" s="51"/>
      <c r="N60" s="74"/>
    </row>
    <row r="61" spans="1:22" ht="22" customHeight="1">
      <c r="A61" s="151" t="s">
        <v>132</v>
      </c>
      <c r="B61" s="102">
        <v>503000</v>
      </c>
      <c r="C61" s="53" t="s">
        <v>302</v>
      </c>
      <c r="D61" s="57">
        <v>42401</v>
      </c>
      <c r="E61" s="55" t="s">
        <v>2</v>
      </c>
      <c r="F61" s="56">
        <v>173</v>
      </c>
      <c r="G61" s="152">
        <f>IF(OR(E61="",F61=""),"",PID_KVLohnLookup($A$1,E61,F61,LOHNTABELLE!$H$4))</f>
        <v>2900</v>
      </c>
      <c r="H61" s="153">
        <f>IF(AND(ISNUMBER(D61),ISNUMBER(F61)),ROUNDDOWN(MIN(IF(OR(ISBLANK(I61),I61=""),EOMONTH(DATE(EINSTELLUNG!$C$35,$A$1,1),0),I61)-MAX(D61,DATE(EINSTELLUNG!$C$35,$A$1,1))+1)/DAY(EOMONTH(DATE(EINSTELLUNG!$C$35,$A$1,1),0))*F61,2),"")</f>
        <v>173</v>
      </c>
      <c r="I61" s="57"/>
      <c r="J61" s="58"/>
      <c r="K61" s="152">
        <f t="shared" si="1"/>
        <v>0</v>
      </c>
      <c r="L61" s="15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59"/>
      <c r="N61" s="75"/>
    </row>
    <row r="62" spans="1:22" ht="22" customHeight="1">
      <c r="A62" s="151" t="s">
        <v>133</v>
      </c>
      <c r="B62" s="101">
        <v>504000</v>
      </c>
      <c r="C62" s="45" t="s">
        <v>303</v>
      </c>
      <c r="D62" s="49">
        <v>46054</v>
      </c>
      <c r="E62" s="47" t="s">
        <v>3</v>
      </c>
      <c r="F62" s="48">
        <v>138.4</v>
      </c>
      <c r="G62" s="152">
        <f>IF(OR(E62="",F62=""),"",PID_KVLohnLookup($A$1,E62,F62,LOHNTABELLE!$H$4))</f>
        <v>1665.6</v>
      </c>
      <c r="H62" s="153">
        <f>IF(AND(ISNUMBER(D62),ISNUMBER(F62)),ROUNDDOWN(MIN(IF(OR(ISBLANK(I62),I62=""),EOMONTH(DATE(EINSTELLUNG!$C$35,$A$1,1),0),I62)-MAX(D62,DATE(EINSTELLUNG!$C$35,$A$1,1))+1)/DAY(EOMONTH(DATE(EINSTELLUNG!$C$35,$A$1,1),0))*F62,2),"")</f>
        <v>138.4</v>
      </c>
      <c r="I62" s="49"/>
      <c r="J62" s="50"/>
      <c r="K62" s="152">
        <f t="shared" si="1"/>
        <v>0</v>
      </c>
      <c r="L62" s="15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1665.6</v>
      </c>
      <c r="M62" s="51"/>
      <c r="N62" s="74"/>
    </row>
    <row r="63" spans="1:22" ht="22" customHeight="1">
      <c r="A63" s="151" t="s">
        <v>134</v>
      </c>
      <c r="B63" s="102">
        <v>505000</v>
      </c>
      <c r="C63" s="53" t="s">
        <v>304</v>
      </c>
      <c r="D63" s="57">
        <v>46054</v>
      </c>
      <c r="E63" s="55" t="s">
        <v>2</v>
      </c>
      <c r="F63" s="56">
        <v>138.4</v>
      </c>
      <c r="G63" s="152">
        <f>IF(OR(E63="",F63=""),"",PID_KVLohnLookup($A$1,E63,F63,LOHNTABELLE!$H$4))</f>
        <v>2400</v>
      </c>
      <c r="H63" s="153">
        <f>IF(AND(ISNUMBER(D63),ISNUMBER(F63)),ROUNDDOWN(MIN(IF(OR(ISBLANK(I63),I63=""),EOMONTH(DATE(EINSTELLUNG!$C$35,$A$1,1),0),I63)-MAX(D63,DATE(EINSTELLUNG!$C$35,$A$1,1))+1)/DAY(EOMONTH(DATE(EINSTELLUNG!$C$35,$A$1,1),0))*F63,2),"")</f>
        <v>138.4</v>
      </c>
      <c r="I63" s="57"/>
      <c r="J63" s="58"/>
      <c r="K63" s="152">
        <f t="shared" si="1"/>
        <v>0</v>
      </c>
      <c r="L63" s="154">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2400</v>
      </c>
      <c r="M63" s="59"/>
      <c r="N63" s="75"/>
    </row>
    <row r="64" spans="1:22" ht="22" customHeight="1">
      <c r="A64" s="151" t="s">
        <v>135</v>
      </c>
      <c r="B64" s="101">
        <v>525025</v>
      </c>
      <c r="C64" s="45" t="s">
        <v>359</v>
      </c>
      <c r="D64" s="49">
        <v>46040</v>
      </c>
      <c r="E64" s="47" t="s">
        <v>2</v>
      </c>
      <c r="F64" s="48">
        <v>129.75</v>
      </c>
      <c r="G64" s="152">
        <f>IF(OR(E64="",F64=""),"",PID_KVLohnLookup($A$1,E64,F64,LOHNTABELLE!$H$4))</f>
        <v>2300</v>
      </c>
      <c r="H64" s="153">
        <f>IF(AND(ISNUMBER(D64),ISNUMBER(F64)),ROUNDDOWN(MIN(IF(OR(ISBLANK(I64),I64=""),EOMONTH(DATE(EINSTELLUNG!$C$35,$A$1,1),0),I64)-MAX(D64,DATE(EINSTELLUNG!$C$35,$A$1,1))+1)/DAY(EOMONTH(DATE(EINSTELLUNG!$C$35,$A$1,1),0))*F64,2),"")</f>
        <v>129.75</v>
      </c>
      <c r="I64" s="49"/>
      <c r="J64" s="50"/>
      <c r="K64" s="152">
        <f t="shared" si="1"/>
        <v>0</v>
      </c>
      <c r="L64" s="154">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2300</v>
      </c>
      <c r="M64" s="51"/>
      <c r="N64" s="74"/>
    </row>
    <row r="65" spans="1:14" ht="22" customHeight="1">
      <c r="A65" s="151" t="s">
        <v>136</v>
      </c>
      <c r="B65" s="102">
        <v>700000</v>
      </c>
      <c r="C65" s="53" t="s">
        <v>312</v>
      </c>
      <c r="D65" s="57">
        <v>46054</v>
      </c>
      <c r="E65" s="55" t="s">
        <v>2</v>
      </c>
      <c r="F65" s="56">
        <v>173</v>
      </c>
      <c r="G65" s="152">
        <f>IF(OR(E65="",F65=""),"",PID_KVLohnLookup($A$1,E65,F65,LOHNTABELLE!$H$4))</f>
        <v>2900</v>
      </c>
      <c r="H65" s="153">
        <f>IF(AND(ISNUMBER(D65),ISNUMBER(F65)),ROUNDDOWN(MIN(IF(OR(ISBLANK(I65),I65=""),EOMONTH(DATE(EINSTELLUNG!$C$35,$A$1,1),0),I65)-MAX(D65,DATE(EINSTELLUNG!$C$35,$A$1,1))+1)/DAY(EOMONTH(DATE(EINSTELLUNG!$C$35,$A$1,1),0))*F65,2),"")</f>
        <v>173</v>
      </c>
      <c r="I65" s="57"/>
      <c r="J65" s="58"/>
      <c r="K65" s="152">
        <f t="shared" si="1"/>
        <v>0</v>
      </c>
      <c r="L65" s="154">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2900</v>
      </c>
      <c r="M65" s="59"/>
      <c r="N65" s="75"/>
    </row>
    <row r="66" spans="1:14" ht="22" customHeight="1">
      <c r="A66" s="151" t="s">
        <v>137</v>
      </c>
      <c r="B66" s="101">
        <v>800000</v>
      </c>
      <c r="C66" s="45" t="s">
        <v>313</v>
      </c>
      <c r="D66" s="49">
        <v>46096</v>
      </c>
      <c r="E66" s="47" t="s">
        <v>2</v>
      </c>
      <c r="F66" s="48">
        <v>173</v>
      </c>
      <c r="G66" s="152">
        <f>IF(OR(E66="",F66=""),"",PID_KVLohnLookup($A$1,E66,F66,LOHNTABELLE!$H$4))</f>
        <v>2900</v>
      </c>
      <c r="H66" s="153">
        <f>IF(AND(ISNUMBER(D66),ISNUMBER(F66)),ROUNDDOWN(MIN(IF(OR(ISBLANK(I66),I66=""),EOMONTH(DATE(EINSTELLUNG!$C$35,$A$1,1),0),I66)-MAX(D66,DATE(EINSTELLUNG!$C$35,$A$1,1))+1)/DAY(EOMONTH(DATE(EINSTELLUNG!$C$35,$A$1,1),0))*F66,2),"")</f>
        <v>173</v>
      </c>
      <c r="I66" s="49"/>
      <c r="J66" s="50"/>
      <c r="K66" s="152">
        <f t="shared" si="1"/>
        <v>0</v>
      </c>
      <c r="L66" s="154">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2900</v>
      </c>
      <c r="M66" s="51"/>
      <c r="N66" s="74"/>
    </row>
    <row r="67" spans="1:14" ht="22" customHeight="1">
      <c r="A67" s="151" t="s">
        <v>138</v>
      </c>
      <c r="B67" s="102"/>
      <c r="C67" s="53"/>
      <c r="D67" s="57"/>
      <c r="E67" s="55"/>
      <c r="F67" s="56"/>
      <c r="G67" s="152" t="str">
        <f>IF(OR(E67="",F67=""),"",PID_KVLohnLookup($A$1,E67,F67,LOHNTABELLE!$H$4))</f>
        <v/>
      </c>
      <c r="H67" s="153" t="str">
        <f>IF(AND(ISNUMBER(D67),ISNUMBER(F67)),ROUNDDOWN(MIN(IF(OR(ISBLANK(I67),I67=""),EOMONTH(DATE(EINSTELLUNG!$C$35,$A$1,1),0),I67)-MAX(D67,DATE(EINSTELLUNG!$C$35,$A$1,1))+1)/DAY(EOMONTH(DATE(EINSTELLUNG!$C$35,$A$1,1),0))*F67,2),"")</f>
        <v/>
      </c>
      <c r="I67" s="57"/>
      <c r="J67" s="58"/>
      <c r="K67" s="152" t="str">
        <f t="shared" ref="K67:K82" si="3">IF(OR(B67="",C67=""),"",IFERROR(IF(OR(MONTH(D67)=1,MONTH(D67)=3,MONTH(D67)=5,MONTH(D67)=7,MONTH(D67)=8,MONTH(D67)=10,MONTH(D67)=12),(G67/31)*J67,IF(OR(MONTH(D67)=4,MONTH(D67)=6,MONTH(D67)=9,MONTH(D67)=11),(G67/30)*J67,(G67/DAY(EOMONTH(D67,0)))*J67)),0))</f>
        <v/>
      </c>
      <c r="L67" s="15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9"/>
      <c r="N67" s="75"/>
    </row>
    <row r="68" spans="1:14" ht="22" customHeight="1">
      <c r="A68" s="151" t="s">
        <v>139</v>
      </c>
      <c r="B68" s="101"/>
      <c r="C68" s="45"/>
      <c r="D68" s="49"/>
      <c r="E68" s="47"/>
      <c r="F68" s="48"/>
      <c r="G68" s="152" t="str">
        <f>IF(OR(E68="",F68=""),"",PID_KVLohnLookup($A$1,E68,F68,LOHNTABELLE!$H$4))</f>
        <v/>
      </c>
      <c r="H68" s="153" t="str">
        <f>IF(AND(ISNUMBER(D68),ISNUMBER(F68)),ROUNDDOWN(MIN(IF(OR(ISBLANK(I68),I68=""),EOMONTH(DATE(EINSTELLUNG!$C$35,$A$1,1),0),I68)-MAX(D68,DATE(EINSTELLUNG!$C$35,$A$1,1))+1)/DAY(EOMONTH(DATE(EINSTELLUNG!$C$35,$A$1,1),0))*F68,2),"")</f>
        <v/>
      </c>
      <c r="I68" s="49"/>
      <c r="J68" s="50"/>
      <c r="K68" s="152" t="str">
        <f t="shared" si="3"/>
        <v/>
      </c>
      <c r="L68" s="15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51"/>
      <c r="N68" s="74"/>
    </row>
    <row r="69" spans="1:14" ht="22" customHeight="1">
      <c r="A69" s="151" t="s">
        <v>140</v>
      </c>
      <c r="B69" s="102"/>
      <c r="C69" s="53"/>
      <c r="D69" s="57"/>
      <c r="E69" s="55"/>
      <c r="F69" s="56"/>
      <c r="G69" s="152" t="str">
        <f>IF(OR(E69="",F69=""),"",PID_KVLohnLookup($A$1,E69,F69,LOHNTABELLE!$H$4))</f>
        <v/>
      </c>
      <c r="H69" s="153" t="str">
        <f>IF(AND(ISNUMBER(D69),ISNUMBER(F69)),ROUNDDOWN(MIN(IF(OR(ISBLANK(I69),I69=""),EOMONTH(DATE(EINSTELLUNG!$C$35,$A$1,1),0),I69)-MAX(D69,DATE(EINSTELLUNG!$C$35,$A$1,1))+1)/DAY(EOMONTH(DATE(EINSTELLUNG!$C$35,$A$1,1),0))*F69,2),"")</f>
        <v/>
      </c>
      <c r="I69" s="57"/>
      <c r="J69" s="58"/>
      <c r="K69" s="152" t="str">
        <f t="shared" si="3"/>
        <v/>
      </c>
      <c r="L69" s="15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9"/>
      <c r="N69" s="75"/>
    </row>
    <row r="70" spans="1:14" ht="22" customHeight="1">
      <c r="A70" s="151" t="s">
        <v>141</v>
      </c>
      <c r="B70" s="101"/>
      <c r="C70" s="45"/>
      <c r="D70" s="49"/>
      <c r="E70" s="47"/>
      <c r="F70" s="48"/>
      <c r="G70" s="152" t="str">
        <f>IF(OR(E70="",F70=""),"",PID_KVLohnLookup($A$1,E70,F70,LOHNTABELLE!$H$4))</f>
        <v/>
      </c>
      <c r="H70" s="153" t="str">
        <f>IF(AND(ISNUMBER(D70),ISNUMBER(F70)),ROUNDDOWN(MIN(IF(OR(ISBLANK(I70),I70=""),EOMONTH(DATE(EINSTELLUNG!$C$35,$A$1,1),0),I70)-MAX(D70,DATE(EINSTELLUNG!$C$35,$A$1,1))+1)/DAY(EOMONTH(DATE(EINSTELLUNG!$C$35,$A$1,1),0))*F70,2),"")</f>
        <v/>
      </c>
      <c r="I70" s="49"/>
      <c r="J70" s="50"/>
      <c r="K70" s="152" t="str">
        <f t="shared" si="3"/>
        <v/>
      </c>
      <c r="L70" s="15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51"/>
      <c r="N70" s="74"/>
    </row>
    <row r="71" spans="1:14" ht="22" customHeight="1">
      <c r="A71" s="151" t="s">
        <v>142</v>
      </c>
      <c r="B71" s="102"/>
      <c r="C71" s="53"/>
      <c r="D71" s="57"/>
      <c r="E71" s="55"/>
      <c r="F71" s="56"/>
      <c r="G71" s="152" t="str">
        <f>IF(OR(E71="",F71=""),"",PID_KVLohnLookup($A$1,E71,F71,LOHNTABELLE!$H$4))</f>
        <v/>
      </c>
      <c r="H71" s="153" t="str">
        <f>IF(AND(ISNUMBER(D71),ISNUMBER(F71)),ROUNDDOWN(MIN(IF(OR(ISBLANK(I71),I71=""),EOMONTH(DATE(EINSTELLUNG!$C$35,$A$1,1),0),I71)-MAX(D71,DATE(EINSTELLUNG!$C$35,$A$1,1))+1)/DAY(EOMONTH(DATE(EINSTELLUNG!$C$35,$A$1,1),0))*F71,2),"")</f>
        <v/>
      </c>
      <c r="I71" s="57"/>
      <c r="J71" s="58"/>
      <c r="K71" s="152" t="str">
        <f t="shared" si="3"/>
        <v/>
      </c>
      <c r="L71" s="15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9"/>
      <c r="N71" s="75"/>
    </row>
    <row r="72" spans="1:14" ht="22" customHeight="1">
      <c r="A72" s="151" t="s">
        <v>143</v>
      </c>
      <c r="B72" s="101"/>
      <c r="C72" s="45"/>
      <c r="D72" s="49"/>
      <c r="E72" s="47"/>
      <c r="F72" s="48"/>
      <c r="G72" s="152" t="str">
        <f>IF(OR(E72="",F72=""),"",PID_KVLohnLookup($A$1,E72,F72,LOHNTABELLE!$H$4))</f>
        <v/>
      </c>
      <c r="H72" s="153" t="str">
        <f>IF(AND(ISNUMBER(D72),ISNUMBER(F72)),ROUNDDOWN(MIN(IF(OR(ISBLANK(I72),I72=""),EOMONTH(DATE(EINSTELLUNG!$C$35,$A$1,1),0),I72)-MAX(D72,DATE(EINSTELLUNG!$C$35,$A$1,1))+1)/DAY(EOMONTH(DATE(EINSTELLUNG!$C$35,$A$1,1),0))*F72,2),"")</f>
        <v/>
      </c>
      <c r="I72" s="49"/>
      <c r="J72" s="50"/>
      <c r="K72" s="152" t="str">
        <f t="shared" si="3"/>
        <v/>
      </c>
      <c r="L72" s="15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51"/>
      <c r="N72" s="74"/>
    </row>
    <row r="73" spans="1:14" ht="22" customHeight="1">
      <c r="A73" s="151" t="s">
        <v>144</v>
      </c>
      <c r="B73" s="102"/>
      <c r="C73" s="53"/>
      <c r="D73" s="57"/>
      <c r="E73" s="55"/>
      <c r="F73" s="56"/>
      <c r="G73" s="152" t="str">
        <f>IF(OR(E73="",F73=""),"",PID_KVLohnLookup($A$1,E73,F73,LOHNTABELLE!$H$4))</f>
        <v/>
      </c>
      <c r="H73" s="153" t="str">
        <f>IF(AND(ISNUMBER(D73),ISNUMBER(F73)),ROUNDDOWN(MIN(IF(OR(ISBLANK(I73),I73=""),EOMONTH(DATE(EINSTELLUNG!$C$35,$A$1,1),0),I73)-MAX(D73,DATE(EINSTELLUNG!$C$35,$A$1,1))+1)/DAY(EOMONTH(DATE(EINSTELLUNG!$C$35,$A$1,1),0))*F73,2),"")</f>
        <v/>
      </c>
      <c r="I73" s="57"/>
      <c r="J73" s="58"/>
      <c r="K73" s="152" t="str">
        <f t="shared" si="3"/>
        <v/>
      </c>
      <c r="L73" s="15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9"/>
      <c r="N73" s="75"/>
    </row>
    <row r="74" spans="1:14" ht="22" customHeight="1">
      <c r="A74" s="151" t="s">
        <v>145</v>
      </c>
      <c r="B74" s="101"/>
      <c r="C74" s="45"/>
      <c r="D74" s="49"/>
      <c r="E74" s="47"/>
      <c r="F74" s="48"/>
      <c r="G74" s="152" t="str">
        <f>IF(OR(E74="",F74=""),"",PID_KVLohnLookup($A$1,E74,F74,LOHNTABELLE!$H$4))</f>
        <v/>
      </c>
      <c r="H74" s="153" t="str">
        <f>IF(AND(ISNUMBER(D74),ISNUMBER(F74)),ROUNDDOWN(MIN(IF(OR(ISBLANK(I74),I74=""),EOMONTH(DATE(EINSTELLUNG!$C$35,$A$1,1),0),I74)-MAX(D74,DATE(EINSTELLUNG!$C$35,$A$1,1))+1)/DAY(EOMONTH(DATE(EINSTELLUNG!$C$35,$A$1,1),0))*F74,2),"")</f>
        <v/>
      </c>
      <c r="I74" s="49"/>
      <c r="J74" s="50"/>
      <c r="K74" s="152" t="str">
        <f t="shared" si="3"/>
        <v/>
      </c>
      <c r="L74" s="15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51"/>
      <c r="N74" s="74"/>
    </row>
    <row r="75" spans="1:14" ht="22" customHeight="1">
      <c r="A75" s="151" t="s">
        <v>146</v>
      </c>
      <c r="B75" s="102"/>
      <c r="C75" s="53"/>
      <c r="D75" s="57"/>
      <c r="E75" s="55"/>
      <c r="F75" s="56"/>
      <c r="G75" s="152" t="str">
        <f>IF(OR(E75="",F75=""),"",PID_KVLohnLookup($A$1,E75,F75,LOHNTABELLE!$H$4))</f>
        <v/>
      </c>
      <c r="H75" s="153" t="str">
        <f>IF(AND(ISNUMBER(D75),ISNUMBER(F75)),ROUNDDOWN(MIN(IF(OR(ISBLANK(I75),I75=""),EOMONTH(DATE(EINSTELLUNG!$C$35,$A$1,1),0),I75)-MAX(D75,DATE(EINSTELLUNG!$C$35,$A$1,1))+1)/DAY(EOMONTH(DATE(EINSTELLUNG!$C$35,$A$1,1),0))*F75,2),"")</f>
        <v/>
      </c>
      <c r="I75" s="57"/>
      <c r="J75" s="58"/>
      <c r="K75" s="152" t="str">
        <f t="shared" si="3"/>
        <v/>
      </c>
      <c r="L75" s="15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9"/>
      <c r="N75" s="75"/>
    </row>
    <row r="76" spans="1:14" ht="22" customHeight="1">
      <c r="A76" s="151" t="s">
        <v>147</v>
      </c>
      <c r="B76" s="101"/>
      <c r="C76" s="45"/>
      <c r="D76" s="49"/>
      <c r="E76" s="47"/>
      <c r="F76" s="48"/>
      <c r="G76" s="152" t="str">
        <f>IF(OR(E76="",F76=""),"",PID_KVLohnLookup($A$1,E76,F76,LOHNTABELLE!$H$4))</f>
        <v/>
      </c>
      <c r="H76" s="153" t="str">
        <f>IF(AND(ISNUMBER(D76),ISNUMBER(F76)),ROUNDDOWN(MIN(IF(OR(ISBLANK(I76),I76=""),EOMONTH(DATE(EINSTELLUNG!$C$35,$A$1,1),0),I76)-MAX(D76,DATE(EINSTELLUNG!$C$35,$A$1,1))+1)/DAY(EOMONTH(DATE(EINSTELLUNG!$C$35,$A$1,1),0))*F76,2),"")</f>
        <v/>
      </c>
      <c r="I76" s="49"/>
      <c r="J76" s="50"/>
      <c r="K76" s="152" t="str">
        <f t="shared" si="3"/>
        <v/>
      </c>
      <c r="L76" s="15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51"/>
      <c r="N76" s="74"/>
    </row>
    <row r="77" spans="1:14" ht="22" customHeight="1">
      <c r="A77" s="151" t="s">
        <v>148</v>
      </c>
      <c r="B77" s="102"/>
      <c r="C77" s="53"/>
      <c r="D77" s="57"/>
      <c r="E77" s="55"/>
      <c r="F77" s="56"/>
      <c r="G77" s="152" t="str">
        <f>IF(OR(E77="",F77=""),"",PID_KVLohnLookup($A$1,E77,F77,LOHNTABELLE!$H$4))</f>
        <v/>
      </c>
      <c r="H77" s="153" t="str">
        <f>IF(AND(ISNUMBER(D77),ISNUMBER(F77)),ROUNDDOWN(MIN(IF(OR(ISBLANK(I77),I77=""),EOMONTH(DATE(EINSTELLUNG!$C$35,$A$1,1),0),I77)-MAX(D77,DATE(EINSTELLUNG!$C$35,$A$1,1))+1)/DAY(EOMONTH(DATE(EINSTELLUNG!$C$35,$A$1,1),0))*F77,2),"")</f>
        <v/>
      </c>
      <c r="I77" s="57"/>
      <c r="J77" s="58"/>
      <c r="K77" s="152" t="str">
        <f t="shared" si="3"/>
        <v/>
      </c>
      <c r="L77" s="15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9"/>
      <c r="N77" s="75"/>
    </row>
    <row r="78" spans="1:14" ht="22" customHeight="1">
      <c r="A78" s="151" t="s">
        <v>149</v>
      </c>
      <c r="B78" s="101"/>
      <c r="C78" s="45"/>
      <c r="D78" s="49"/>
      <c r="E78" s="47"/>
      <c r="F78" s="48"/>
      <c r="G78" s="152" t="str">
        <f>IF(OR(E78="",F78=""),"",PID_KVLohnLookup($A$1,E78,F78,LOHNTABELLE!$H$4))</f>
        <v/>
      </c>
      <c r="H78" s="153" t="str">
        <f>IF(AND(ISNUMBER(D78),ISNUMBER(F78)),ROUNDDOWN(MIN(IF(OR(ISBLANK(I78),I78=""),EOMONTH(DATE(EINSTELLUNG!$C$35,$A$1,1),0),I78)-MAX(D78,DATE(EINSTELLUNG!$C$35,$A$1,1))+1)/DAY(EOMONTH(DATE(EINSTELLUNG!$C$35,$A$1,1),0))*F78,2),"")</f>
        <v/>
      </c>
      <c r="I78" s="49"/>
      <c r="J78" s="50"/>
      <c r="K78" s="152" t="str">
        <f t="shared" si="3"/>
        <v/>
      </c>
      <c r="L78" s="15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51"/>
      <c r="N78" s="74"/>
    </row>
    <row r="79" spans="1:14" ht="22" customHeight="1">
      <c r="A79" s="151" t="s">
        <v>150</v>
      </c>
      <c r="B79" s="102"/>
      <c r="C79" s="53"/>
      <c r="D79" s="57"/>
      <c r="E79" s="55"/>
      <c r="F79" s="56"/>
      <c r="G79" s="152" t="str">
        <f>IF(OR(E79="",F79=""),"",PID_KVLohnLookup($A$1,E79,F79,LOHNTABELLE!$H$4))</f>
        <v/>
      </c>
      <c r="H79" s="153" t="str">
        <f>IF(AND(ISNUMBER(D79),ISNUMBER(F79)),ROUNDDOWN(MIN(IF(OR(ISBLANK(I79),I79=""),EOMONTH(DATE(EINSTELLUNG!$C$35,$A$1,1),0),I79)-MAX(D79,DATE(EINSTELLUNG!$C$35,$A$1,1))+1)/DAY(EOMONTH(DATE(EINSTELLUNG!$C$35,$A$1,1),0))*F79,2),"")</f>
        <v/>
      </c>
      <c r="I79" s="57"/>
      <c r="J79" s="58"/>
      <c r="K79" s="152" t="str">
        <f t="shared" si="3"/>
        <v/>
      </c>
      <c r="L79" s="15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9"/>
      <c r="N79" s="75"/>
    </row>
    <row r="80" spans="1:14" ht="22" customHeight="1">
      <c r="A80" s="151" t="s">
        <v>151</v>
      </c>
      <c r="B80" s="101"/>
      <c r="C80" s="45"/>
      <c r="D80" s="49"/>
      <c r="E80" s="47"/>
      <c r="F80" s="48"/>
      <c r="G80" s="152" t="str">
        <f>IF(OR(E80="",F80=""),"",PID_KVLohnLookup($A$1,E80,F80,LOHNTABELLE!$H$4))</f>
        <v/>
      </c>
      <c r="H80" s="153" t="str">
        <f>IF(AND(ISNUMBER(D80),ISNUMBER(F80)),ROUNDDOWN(MIN(IF(OR(ISBLANK(I80),I80=""),EOMONTH(DATE(EINSTELLUNG!$C$35,$A$1,1),0),I80)-MAX(D80,DATE(EINSTELLUNG!$C$35,$A$1,1))+1)/DAY(EOMONTH(DATE(EINSTELLUNG!$C$35,$A$1,1),0))*F80,2),"")</f>
        <v/>
      </c>
      <c r="I80" s="49"/>
      <c r="J80" s="50"/>
      <c r="K80" s="152" t="str">
        <f t="shared" si="3"/>
        <v/>
      </c>
      <c r="L80" s="15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51"/>
      <c r="N80" s="74"/>
    </row>
    <row r="81" spans="1:14" ht="22" customHeight="1">
      <c r="A81" s="151" t="s">
        <v>152</v>
      </c>
      <c r="B81" s="102"/>
      <c r="C81" s="53"/>
      <c r="D81" s="57"/>
      <c r="E81" s="55"/>
      <c r="F81" s="56"/>
      <c r="G81" s="152" t="str">
        <f>IF(OR(E81="",F81=""),"",PID_KVLohnLookup($A$1,E81,F81,LOHNTABELLE!$H$4))</f>
        <v/>
      </c>
      <c r="H81" s="153" t="str">
        <f>IF(AND(ISNUMBER(D81),ISNUMBER(F81)),ROUNDDOWN(MIN(IF(OR(ISBLANK(I81),I81=""),EOMONTH(DATE(EINSTELLUNG!$C$35,$A$1,1),0),I81)-MAX(D81,DATE(EINSTELLUNG!$C$35,$A$1,1))+1)/DAY(EOMONTH(DATE(EINSTELLUNG!$C$35,$A$1,1),0))*F81,2),"")</f>
        <v/>
      </c>
      <c r="I81" s="57"/>
      <c r="J81" s="58"/>
      <c r="K81" s="152" t="str">
        <f t="shared" si="3"/>
        <v/>
      </c>
      <c r="L81" s="15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9"/>
      <c r="N81" s="75"/>
    </row>
    <row r="82" spans="1:14" ht="22" customHeight="1" thickBot="1">
      <c r="A82" s="165" t="s">
        <v>153</v>
      </c>
      <c r="B82" s="103"/>
      <c r="C82" s="62"/>
      <c r="D82" s="63"/>
      <c r="E82" s="64"/>
      <c r="F82" s="65"/>
      <c r="G82" s="166" t="str">
        <f>IF(OR(E82="",F82=""),"",PID_KVLohnLookup($A$1,E82,F82,LOHNTABELLE!$H$4))</f>
        <v/>
      </c>
      <c r="H82" s="159" t="str">
        <f>IF(AND(ISNUMBER(D82),ISNUMBER(F82)),ROUNDDOWN(MIN(IF(OR(ISBLANK(I82),I82=""),EOMONTH(DATE(EINSTELLUNG!$C$35,$A$1,1),0),I82)-MAX(D82,DATE(EINSTELLUNG!$C$35,$A$1,1))+1)/DAY(EOMONTH(DATE(EINSTELLUNG!$C$35,$A$1,1),0))*F82,2),"")</f>
        <v/>
      </c>
      <c r="I82" s="63"/>
      <c r="J82" s="66"/>
      <c r="K82" s="166" t="str">
        <f t="shared" si="3"/>
        <v/>
      </c>
      <c r="L82" s="16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7"/>
      <c r="N82" s="78"/>
    </row>
    <row r="100" spans="26:26" ht="16" customHeight="1">
      <c r="Z100" s="142"/>
    </row>
  </sheetData>
  <sheetProtection algorithmName="SHA-512" hashValue="L8q6a7Q5hc/MSrUm9sEPyLtWpI76IYUX9MVpgAsz8FRbiEakMx5bkDA18J/XeKuC8dcFTyNnqRb6eoCG3wTEAA==" saltValue="vVo0mbtSKh+6C+hq3E475w==" spinCount="100000" sheet="1" objects="1" scenarios="1" sort="0"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EA01B69C-9C55-B341-B293-EDB77CCB546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DBCEE0E7-419E-654C-883B-DDDE42977206}">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D4615810-E6F7-784E-876B-6EE21DE37F6E}">
          <x14:formula1>
            <xm:f>KV_DROPDOWN_HELPER!$AJY$1:$AJY$12</xm:f>
          </x14:formula1>
          <xm:sqref>E3:E82</xm:sqref>
        </x14:dataValidation>
        <x14:dataValidation type="list" allowBlank="1" showInputMessage="1" showErrorMessage="1" xr:uid="{C454DD67-CE9B-E14E-9031-788DAAEFAA23}">
          <x14:formula1>
            <xm:f>KV_DROPDOWN_HELPER!$LL$1:$LL$13</xm:f>
          </x14:formula1>
          <xm:sqref>F16 F24 F27 F29</xm:sqref>
        </x14:dataValidation>
        <x14:dataValidation type="list" allowBlank="1" showInputMessage="1" showErrorMessage="1" xr:uid="{5ED60DB1-219C-A745-B302-58C4BAE4CF95}">
          <x14:formula1>
            <xm:f>KV_DROPDOWN_HELPER!$LM$1:$LM$13</xm:f>
          </x14:formula1>
          <xm:sqref>F19</xm:sqref>
        </x14:dataValidation>
        <x14:dataValidation type="list" allowBlank="1" showInputMessage="1" showErrorMessage="1" xr:uid="{D6F40077-0E9A-C348-8729-FC9AE8CC5963}">
          <x14:formula1>
            <xm:f>KV_DROPDOWN_HELPER!$LN$1:$LN$13</xm:f>
          </x14:formula1>
          <xm:sqref>F23</xm:sqref>
        </x14:dataValidation>
        <x14:dataValidation type="list" allowBlank="1" showInputMessage="1" showErrorMessage="1" xr:uid="{D7CCFA66-49BD-4D43-B055-2BEC903C7CA0}">
          <x14:formula1>
            <xm:f>KV_DROPDOWN_HELPER!$LJ$1:$LJ$13</xm:f>
          </x14:formula1>
          <xm:sqref>F4 F5 F8</xm:sqref>
        </x14:dataValidation>
        <x14:dataValidation type="list" allowBlank="1" showInputMessage="1" showErrorMessage="1" xr:uid="{B2C9CF0F-3A0B-B244-B487-998B8B6954CE}">
          <x14:formula1>
            <xm:f>KV_DROPDOWN_HELPER!$LK$1:$LK$13</xm:f>
          </x14:formula1>
          <xm:sqref>F7 F9 F10 F11 F14 F20 F62</xm:sqref>
        </x14:dataValidation>
        <x14:dataValidation type="list" allowBlank="1" showInputMessage="1" showErrorMessage="1" xr:uid="{C0C255C8-5BD3-284F-B281-86B7E0355DE0}">
          <x14:formula1>
            <xm:f>KV_DROPDOWN_HELPER!$LI$1:$LI$18</xm:f>
          </x14:formula1>
          <xm:sqref>F3 F6 F12 F13 F15 F17 F18 F21 F22 F25 F26 F28 F30 F31 F32 F33 F34 F35 F36 F37 F38 F39 F40 F41 F42 F43 F44 F45 F46 F47 F48 F49 F50 F51 F52 F53 F54 F55 F56 F57 F58 F59 F60 F61 F63 F64 F65 F66</xm:sqref>
        </x14:dataValidation>
        <x14:dataValidation type="list" allowBlank="1" showInputMessage="1" showErrorMessage="1" xr:uid="{0A835573-4702-4870-BF88-FC7A996A4332}">
          <x14:formula1>
            <xm:f>KV_DROPDOWN_HELPER!$LO$1:$LO$13</xm:f>
          </x14:formula1>
          <xm:sqref>F67 F68 F69 F70 F71 F72 F73 F74 F75 F76 F77 F78 F79 F80 F81 F82</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1F051E-963B-254F-8AE7-161E8976A58D}">
  <sheetPr codeName="Tabelle8"/>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169" customWidth="1"/>
    <col min="2" max="2" width="9.1796875" style="169" customWidth="1"/>
    <col min="3" max="3" width="35.6328125" style="141" customWidth="1"/>
    <col min="4" max="4" width="13.6328125" style="141" customWidth="1"/>
    <col min="5" max="5" width="9.6328125" style="141" customWidth="1"/>
    <col min="6" max="6" width="10.6328125" style="141" customWidth="1"/>
    <col min="7" max="7" width="13.6328125" style="141" customWidth="1"/>
    <col min="8" max="8" width="11.6328125" style="141" customWidth="1"/>
    <col min="9" max="10" width="13.6328125" style="141" customWidth="1"/>
    <col min="11" max="11" width="14.6328125" style="141" customWidth="1"/>
    <col min="12" max="12" width="14.6328125" style="162" customWidth="1"/>
    <col min="13" max="13" width="17.81640625" style="141" customWidth="1"/>
    <col min="14" max="14" width="34.6328125" style="141" customWidth="1"/>
    <col min="15" max="15" width="12.6328125" style="141" customWidth="1"/>
    <col min="16" max="16" width="16.6328125" style="141" customWidth="1"/>
    <col min="17" max="17" width="14.6328125" style="141" customWidth="1"/>
    <col min="18" max="18" width="13.6328125" style="141" customWidth="1"/>
    <col min="19" max="19" width="9.6328125" style="141" customWidth="1"/>
    <col min="20" max="20" width="10.6328125" style="141" customWidth="1"/>
    <col min="21" max="21" width="7.6328125" style="141" customWidth="1"/>
    <col min="22" max="27" width="9.1796875" style="141"/>
    <col min="28" max="28" width="10.6328125" style="141" bestFit="1" customWidth="1"/>
    <col min="29" max="16384" width="9.1796875" style="141"/>
  </cols>
  <sheetData>
    <row r="1" spans="1:28" ht="18" customHeight="1">
      <c r="A1" s="301">
        <v>6</v>
      </c>
      <c r="B1" s="304" t="s">
        <v>180</v>
      </c>
      <c r="C1" s="280" t="s">
        <v>39</v>
      </c>
      <c r="D1" s="280" t="s">
        <v>181</v>
      </c>
      <c r="E1" s="280" t="s">
        <v>0</v>
      </c>
      <c r="F1" s="280" t="s">
        <v>40</v>
      </c>
      <c r="G1" s="280" t="s">
        <v>41</v>
      </c>
      <c r="H1" s="280" t="s">
        <v>42</v>
      </c>
      <c r="I1" s="280" t="s">
        <v>182</v>
      </c>
      <c r="J1" s="280" t="s">
        <v>43</v>
      </c>
      <c r="K1" s="280" t="s">
        <v>44</v>
      </c>
      <c r="L1" s="280" t="s">
        <v>45</v>
      </c>
      <c r="M1" s="280" t="s">
        <v>46</v>
      </c>
      <c r="N1" s="282" t="s">
        <v>183</v>
      </c>
      <c r="AB1" s="143">
        <f>DATE(EINSTELLUNG!$C$35,$A$1,1)</f>
        <v>46174</v>
      </c>
    </row>
    <row r="2" spans="1:28" ht="18" customHeight="1" thickBot="1">
      <c r="A2" s="287"/>
      <c r="B2" s="305"/>
      <c r="C2" s="294"/>
      <c r="D2" s="294"/>
      <c r="E2" s="294"/>
      <c r="F2" s="294"/>
      <c r="G2" s="294"/>
      <c r="H2" s="294"/>
      <c r="I2" s="294"/>
      <c r="J2" s="294"/>
      <c r="K2" s="294"/>
      <c r="L2" s="294"/>
      <c r="M2" s="294"/>
      <c r="N2" s="298"/>
      <c r="O2" s="144"/>
      <c r="P2" s="144"/>
      <c r="Q2" s="144"/>
      <c r="S2" s="208" t="s">
        <v>394</v>
      </c>
      <c r="T2" s="208"/>
      <c r="U2" s="208"/>
      <c r="V2" s="208"/>
      <c r="AB2" s="143">
        <f>EOMONTH(DATE(EINSTELLUNG!$C$35,$A$1,1),0)</f>
        <v>46203</v>
      </c>
    </row>
    <row r="3" spans="1:28" ht="22" customHeight="1">
      <c r="A3" s="145" t="s">
        <v>401</v>
      </c>
      <c r="B3" s="100">
        <v>401010</v>
      </c>
      <c r="C3" s="37" t="s">
        <v>224</v>
      </c>
      <c r="D3" s="38">
        <v>39388</v>
      </c>
      <c r="E3" s="39" t="s">
        <v>2</v>
      </c>
      <c r="F3" s="68">
        <v>169</v>
      </c>
      <c r="G3" s="146">
        <f>IF(OR(E3="",F3=""),"",PID_KVLohnLookup($A$1,E3,F3,LOHNTABELLE!$H$4))</f>
        <v>2000</v>
      </c>
      <c r="H3" s="147">
        <f>IF(AND(ISNUMBER(D3),ISNUMBER(F3)),ROUNDDOWN(MIN(IF(OR(ISBLANK(I3),I3=""),EOMONTH(DATE(EINSTELLUNG!$C$35,$A$1,1),0),I3)-MAX(D3,DATE(EINSTELLUNG!$C$35,$A$1,1))+1)/DAY(EOMONTH(DATE(EINSTELLUNG!$C$35,$A$1,1),0))*F3,2),"")</f>
        <v>169</v>
      </c>
      <c r="I3" s="41"/>
      <c r="J3" s="42"/>
      <c r="K3" s="146">
        <f t="shared" ref="K3:K34" si="0">IF(OR(B3="",C3=""),"",IFERROR(IF(OR(MONTH(D3)=1,MONTH(D3)=3,MONTH(D3)=5,MONTH(D3)=7,MONTH(D3)=8,MONTH(D3)=10,MONTH(D3)=12),(G3/31)*J3,IF(OR(MONTH(D3)=4,MONTH(D3)=6,MONTH(D3)=9,MONTH(D3)=11),(G3/30)*J3,(G3/DAY(EOMONTH(D3,0)))*J3)),0))</f>
        <v>0</v>
      </c>
      <c r="L3" s="14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3"/>
      <c r="N3" s="73"/>
      <c r="O3" s="236" t="s">
        <v>47</v>
      </c>
      <c r="P3" s="236" t="s">
        <v>48</v>
      </c>
      <c r="Q3" s="236" t="s">
        <v>49</v>
      </c>
      <c r="R3" s="272" t="s">
        <v>50</v>
      </c>
      <c r="S3" s="149"/>
      <c r="T3" s="149"/>
      <c r="U3" s="149"/>
      <c r="V3" s="149"/>
      <c r="AB3" s="150"/>
    </row>
    <row r="4" spans="1:28" ht="22" customHeight="1">
      <c r="A4" s="151" t="s">
        <v>51</v>
      </c>
      <c r="B4" s="101">
        <v>401047</v>
      </c>
      <c r="C4" s="45" t="s">
        <v>226</v>
      </c>
      <c r="D4" s="46">
        <v>41154</v>
      </c>
      <c r="E4" s="47" t="s">
        <v>4</v>
      </c>
      <c r="F4" s="69">
        <v>173</v>
      </c>
      <c r="G4" s="152">
        <f>IF(OR(E4="",F4=""),"",PID_KVLohnLookup($A$1,E4,F4,LOHNTABELLE!$H$4))</f>
        <v>2123</v>
      </c>
      <c r="H4" s="153">
        <f>IF(AND(ISNUMBER(D4),ISNUMBER(F4)),ROUNDDOWN(MIN(IF(OR(ISBLANK(I4),I4=""),EOMONTH(DATE(EINSTELLUNG!$C$35,$A$1,1),0),I4)-MAX(D4,DATE(EINSTELLUNG!$C$35,$A$1,1))+1)/DAY(EOMONTH(DATE(EINSTELLUNG!$C$35,$A$1,1),0))*F4,2),"")</f>
        <v>115.33</v>
      </c>
      <c r="I4" s="49">
        <v>46193</v>
      </c>
      <c r="J4" s="50">
        <v>5</v>
      </c>
      <c r="K4" s="152">
        <f t="shared" si="0"/>
        <v>353.83333333333331</v>
      </c>
      <c r="L4" s="15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1769.1666666666665</v>
      </c>
      <c r="M4" s="51"/>
      <c r="N4" s="74" t="s">
        <v>185</v>
      </c>
      <c r="O4" s="237"/>
      <c r="P4" s="237"/>
      <c r="Q4" s="237"/>
      <c r="R4" s="273"/>
      <c r="S4" s="149"/>
      <c r="T4" s="149"/>
      <c r="U4" s="149"/>
      <c r="V4" s="149"/>
    </row>
    <row r="5" spans="1:28" ht="22" customHeight="1">
      <c r="A5" s="151" t="s">
        <v>52</v>
      </c>
      <c r="B5" s="102">
        <v>401049</v>
      </c>
      <c r="C5" s="53" t="s">
        <v>225</v>
      </c>
      <c r="D5" s="54">
        <v>41130</v>
      </c>
      <c r="E5" s="55" t="s">
        <v>4</v>
      </c>
      <c r="F5" s="56">
        <v>173</v>
      </c>
      <c r="G5" s="152">
        <f>IF(OR(E5="",F5=""),"",PID_KVLohnLookup($A$1,E5,F5,LOHNTABELLE!$H$4))</f>
        <v>2123</v>
      </c>
      <c r="H5" s="153">
        <f>IF(AND(ISNUMBER(D5),ISNUMBER(F5)),ROUNDDOWN(MIN(IF(OR(ISBLANK(I5),I5=""),EOMONTH(DATE(EINSTELLUNG!$C$35,$A$1,1),0),I5)-MAX(D5,DATE(EINSTELLUNG!$C$35,$A$1,1))+1)/DAY(EOMONTH(DATE(EINSTELLUNG!$C$35,$A$1,1),0))*F5,2),"")</f>
        <v>173</v>
      </c>
      <c r="I5" s="57"/>
      <c r="J5" s="58"/>
      <c r="K5" s="152">
        <f t="shared" si="0"/>
        <v>0</v>
      </c>
      <c r="L5" s="15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2123</v>
      </c>
      <c r="M5" s="59"/>
      <c r="N5" s="75"/>
      <c r="O5" s="155" cm="1">
        <f t="array" ref="O5">SUMPRODUCT((F3:F82/4.310808)/5*2.08)</f>
        <v>878.39161475064532</v>
      </c>
      <c r="P5" s="156">
        <f>EINSTELLUNG!I11</f>
        <v>600</v>
      </c>
      <c r="Q5" s="156">
        <f>P5-O5</f>
        <v>-278.39161475064532</v>
      </c>
      <c r="R5" s="157">
        <f>IFERROR(Q5*Q42, 0)</f>
        <v>-4552.1106898075441</v>
      </c>
      <c r="S5" s="149"/>
      <c r="T5" s="149"/>
      <c r="U5" s="149"/>
      <c r="V5" s="149"/>
    </row>
    <row r="6" spans="1:28" ht="22" customHeight="1">
      <c r="A6" s="151" t="s">
        <v>53</v>
      </c>
      <c r="B6" s="101">
        <v>401051</v>
      </c>
      <c r="C6" s="45" t="s">
        <v>227</v>
      </c>
      <c r="D6" s="46">
        <v>41176</v>
      </c>
      <c r="E6" s="47" t="s">
        <v>2</v>
      </c>
      <c r="F6" s="48">
        <v>173</v>
      </c>
      <c r="G6" s="152">
        <f>IF(OR(E6="",F6=""),"",PID_KVLohnLookup($A$1,E6,F6,LOHNTABELLE!$H$4))</f>
        <v>2900</v>
      </c>
      <c r="H6" s="153">
        <f>IF(AND(ISNUMBER(D6),ISNUMBER(F6)),ROUNDDOWN(MIN(IF(OR(ISBLANK(I6),I6=""),EOMONTH(DATE(EINSTELLUNG!$C$35,$A$1,1),0),I6)-MAX(D6,DATE(EINSTELLUNG!$C$35,$A$1,1))+1)/DAY(EOMONTH(DATE(EINSTELLUNG!$C$35,$A$1,1),0))*F6,2),"")</f>
        <v>173</v>
      </c>
      <c r="I6" s="49"/>
      <c r="J6" s="50"/>
      <c r="K6" s="152">
        <f t="shared" si="0"/>
        <v>0</v>
      </c>
      <c r="L6" s="15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2900</v>
      </c>
      <c r="M6" s="51"/>
      <c r="N6" s="74"/>
      <c r="O6" s="266" t="str">
        <f>IF(Q5&lt;0, "Schlecht! Zu wenig Urlaub abgebaut.", IF(Q5&gt;0, "Gut! Mehr Urlaub abgebaut als aufgebaut.", ""))</f>
        <v>Schlecht! Zu wenig Urlaub abgebaut.</v>
      </c>
      <c r="P6" s="267"/>
      <c r="Q6" s="267"/>
      <c r="R6" s="268"/>
      <c r="S6" s="149"/>
      <c r="T6" s="149"/>
      <c r="U6" s="149"/>
      <c r="V6" s="149"/>
    </row>
    <row r="7" spans="1:28" ht="22" customHeight="1" thickBot="1">
      <c r="A7" s="151" t="s">
        <v>54</v>
      </c>
      <c r="B7" s="102">
        <v>401089</v>
      </c>
      <c r="C7" s="53" t="s">
        <v>241</v>
      </c>
      <c r="D7" s="54">
        <v>44868</v>
      </c>
      <c r="E7" s="55" t="s">
        <v>3</v>
      </c>
      <c r="F7" s="56">
        <v>173</v>
      </c>
      <c r="G7" s="152">
        <f>IF(OR(E7="",F7=""),"",PID_KVLohnLookup($A$1,E7,F7,LOHNTABELLE!$H$4))</f>
        <v>2082</v>
      </c>
      <c r="H7" s="153">
        <f>IF(AND(ISNUMBER(D7),ISNUMBER(F7)),ROUNDDOWN(MIN(IF(OR(ISBLANK(I7),I7=""),EOMONTH(DATE(EINSTELLUNG!$C$35,$A$1,1),0),I7)-MAX(D7,DATE(EINSTELLUNG!$C$35,$A$1,1))+1)/DAY(EOMONTH(DATE(EINSTELLUNG!$C$35,$A$1,1),0))*F7,2),"")</f>
        <v>173</v>
      </c>
      <c r="I7" s="57"/>
      <c r="J7" s="58"/>
      <c r="K7" s="152">
        <f t="shared" si="0"/>
        <v>0</v>
      </c>
      <c r="L7" s="15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2082</v>
      </c>
      <c r="M7" s="59"/>
      <c r="N7" s="75"/>
      <c r="O7" s="149"/>
      <c r="P7" s="149"/>
      <c r="Q7" s="149"/>
      <c r="R7" s="149"/>
      <c r="S7" s="149"/>
      <c r="T7" s="149"/>
      <c r="U7" s="149"/>
      <c r="V7" s="149"/>
    </row>
    <row r="8" spans="1:28" ht="22" customHeight="1">
      <c r="A8" s="151" t="s">
        <v>55</v>
      </c>
      <c r="B8" s="101">
        <v>401138</v>
      </c>
      <c r="C8" s="45" t="s">
        <v>228</v>
      </c>
      <c r="D8" s="46">
        <v>42006</v>
      </c>
      <c r="E8" s="47" t="s">
        <v>4</v>
      </c>
      <c r="F8" s="48">
        <v>173</v>
      </c>
      <c r="G8" s="152">
        <f>IF(OR(E8="",F8=""),"",PID_KVLohnLookup($A$1,E8,F8,LOHNTABELLE!$H$4))</f>
        <v>2123</v>
      </c>
      <c r="H8" s="153">
        <f>IF(AND(ISNUMBER(D8),ISNUMBER(F8)),ROUNDDOWN(MIN(IF(OR(ISBLANK(I8),I8=""),EOMONTH(DATE(EINSTELLUNG!$C$35,$A$1,1),0),I8)-MAX(D8,DATE(EINSTELLUNG!$C$35,$A$1,1))+1)/DAY(EOMONTH(DATE(EINSTELLUNG!$C$35,$A$1,1),0))*F8,2),"")</f>
        <v>173</v>
      </c>
      <c r="I8" s="49"/>
      <c r="J8" s="50"/>
      <c r="K8" s="152">
        <f t="shared" si="0"/>
        <v>0</v>
      </c>
      <c r="L8" s="15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2123</v>
      </c>
      <c r="M8" s="51"/>
      <c r="N8" s="74"/>
      <c r="O8" s="250" t="s">
        <v>56</v>
      </c>
      <c r="P8" s="251"/>
      <c r="Q8" s="252">
        <f>SUM(H3:H82)</f>
        <v>9044.68</v>
      </c>
      <c r="R8" s="253"/>
      <c r="S8" s="149"/>
      <c r="T8" s="149"/>
      <c r="U8" s="149"/>
      <c r="V8" s="149"/>
    </row>
    <row r="9" spans="1:28" ht="22" customHeight="1">
      <c r="A9" s="151" t="s">
        <v>57</v>
      </c>
      <c r="B9" s="102">
        <v>401197</v>
      </c>
      <c r="C9" s="53" t="s">
        <v>229</v>
      </c>
      <c r="D9" s="54">
        <v>42644</v>
      </c>
      <c r="E9" s="55" t="s">
        <v>3</v>
      </c>
      <c r="F9" s="56">
        <v>173</v>
      </c>
      <c r="G9" s="152">
        <f>IF(OR(E9="",F9=""),"",PID_KVLohnLookup($A$1,E9,F9,LOHNTABELLE!$H$4))</f>
        <v>2082</v>
      </c>
      <c r="H9" s="153">
        <f>IF(AND(ISNUMBER(D9),ISNUMBER(F9)),ROUNDDOWN(MIN(IF(OR(ISBLANK(I9),I9=""),EOMONTH(DATE(EINSTELLUNG!$C$35,$A$1,1),0),I9)-MAX(D9,DATE(EINSTELLUNG!$C$35,$A$1,1))+1)/DAY(EOMONTH(DATE(EINSTELLUNG!$C$35,$A$1,1),0))*F9,2),"")</f>
        <v>173</v>
      </c>
      <c r="I9" s="57"/>
      <c r="J9" s="58"/>
      <c r="K9" s="152">
        <f t="shared" si="0"/>
        <v>0</v>
      </c>
      <c r="L9" s="15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9"/>
      <c r="N9" s="75"/>
      <c r="O9" s="254" t="s">
        <v>58</v>
      </c>
      <c r="P9" s="255"/>
      <c r="Q9" s="269">
        <f>EINSTELLUNG!L27</f>
        <v>6</v>
      </c>
      <c r="R9" s="270"/>
      <c r="S9" s="158">
        <f>IFERROR(Q9/Q8, 0)</f>
        <v>6.6337338634423772E-4</v>
      </c>
      <c r="T9" s="149"/>
      <c r="U9" s="149"/>
      <c r="V9" s="149"/>
    </row>
    <row r="10" spans="1:28" ht="22" customHeight="1">
      <c r="A10" s="151" t="s">
        <v>59</v>
      </c>
      <c r="B10" s="101">
        <v>401214</v>
      </c>
      <c r="C10" s="45" t="s">
        <v>255</v>
      </c>
      <c r="D10" s="46">
        <v>45636</v>
      </c>
      <c r="E10" s="47" t="s">
        <v>3</v>
      </c>
      <c r="F10" s="48">
        <v>173</v>
      </c>
      <c r="G10" s="152">
        <f>IF(OR(E10="",F10=""),"",PID_KVLohnLookup($A$1,E10,F10,LOHNTABELLE!$H$4))</f>
        <v>2082</v>
      </c>
      <c r="H10" s="153">
        <f>IF(AND(ISNUMBER(D10),ISNUMBER(F10)),ROUNDDOWN(MIN(IF(OR(ISBLANK(I10),I10=""),EOMONTH(DATE(EINSTELLUNG!$C$35,$A$1,1),0),I10)-MAX(D10,DATE(EINSTELLUNG!$C$35,$A$1,1))+1)/DAY(EOMONTH(DATE(EINSTELLUNG!$C$35,$A$1,1),0))*F10,2),"")</f>
        <v>173</v>
      </c>
      <c r="I10" s="49"/>
      <c r="J10" s="50"/>
      <c r="K10" s="152">
        <f t="shared" si="0"/>
        <v>0</v>
      </c>
      <c r="L10" s="15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51"/>
      <c r="N10" s="74"/>
      <c r="O10" s="254" t="s">
        <v>60</v>
      </c>
      <c r="P10" s="255"/>
      <c r="Q10" s="269">
        <f>EINSTELLUNG!I27</f>
        <v>150</v>
      </c>
      <c r="R10" s="270"/>
      <c r="S10" s="149"/>
      <c r="T10" s="149"/>
      <c r="U10" s="149"/>
      <c r="V10" s="149"/>
    </row>
    <row r="11" spans="1:28" ht="22" customHeight="1">
      <c r="A11" s="151" t="s">
        <v>61</v>
      </c>
      <c r="B11" s="102">
        <v>401276</v>
      </c>
      <c r="C11" s="53" t="s">
        <v>230</v>
      </c>
      <c r="D11" s="54">
        <v>43252</v>
      </c>
      <c r="E11" s="55" t="s">
        <v>3</v>
      </c>
      <c r="F11" s="56">
        <v>173</v>
      </c>
      <c r="G11" s="152">
        <f>IF(OR(E11="",F11=""),"",PID_KVLohnLookup($A$1,E11,F11,LOHNTABELLE!$H$4))</f>
        <v>2082</v>
      </c>
      <c r="H11" s="153">
        <f>IF(AND(ISNUMBER(D11),ISNUMBER(F11)),ROUNDDOWN(MIN(IF(OR(ISBLANK(I11),I11=""),EOMONTH(DATE(EINSTELLUNG!$C$35,$A$1,1),0),I11)-MAX(D11,DATE(EINSTELLUNG!$C$35,$A$1,1))+1)/DAY(EOMONTH(DATE(EINSTELLUNG!$C$35,$A$1,1),0))*F11,2),"")</f>
        <v>173</v>
      </c>
      <c r="I11" s="57"/>
      <c r="J11" s="58"/>
      <c r="K11" s="152">
        <f t="shared" si="0"/>
        <v>0</v>
      </c>
      <c r="L11" s="15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2082</v>
      </c>
      <c r="M11" s="59"/>
      <c r="N11" s="75"/>
      <c r="O11" s="254" t="s">
        <v>62</v>
      </c>
      <c r="P11" s="255"/>
      <c r="Q11" s="269">
        <f>P5</f>
        <v>600</v>
      </c>
      <c r="R11" s="270"/>
      <c r="S11" s="149"/>
      <c r="T11" s="149"/>
      <c r="U11" s="149"/>
      <c r="V11" s="149"/>
    </row>
    <row r="12" spans="1:28" ht="22" customHeight="1">
      <c r="A12" s="151" t="s">
        <v>63</v>
      </c>
      <c r="B12" s="101">
        <v>401276</v>
      </c>
      <c r="C12" s="45" t="s">
        <v>406</v>
      </c>
      <c r="D12" s="46">
        <v>38899</v>
      </c>
      <c r="E12" s="47" t="s">
        <v>2</v>
      </c>
      <c r="F12" s="48">
        <v>55</v>
      </c>
      <c r="G12" s="152">
        <f>IF(OR(E12="",F12=""),"",PID_KVLohnLookup($A$1,E12,F12,LOHNTABELLE!$H$4))</f>
        <v>666</v>
      </c>
      <c r="H12" s="153">
        <f>IF(AND(ISNUMBER(D12),ISNUMBER(F12)),ROUNDDOWN(MIN(IF(OR(ISBLANK(I12),I12=""),EOMONTH(DATE(EINSTELLUNG!$C$35,$A$1,1),0),I12)-MAX(D12,DATE(EINSTELLUNG!$C$35,$A$1,1))+1)/DAY(EOMONTH(DATE(EINSTELLUNG!$C$35,$A$1,1),0))*F12,2),"")</f>
        <v>55</v>
      </c>
      <c r="I12" s="49"/>
      <c r="J12" s="50"/>
      <c r="K12" s="152">
        <f t="shared" si="0"/>
        <v>0</v>
      </c>
      <c r="L12" s="15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51"/>
      <c r="N12" s="74"/>
      <c r="O12" s="254" t="s">
        <v>64</v>
      </c>
      <c r="P12" s="255"/>
      <c r="Q12" s="258">
        <v>100</v>
      </c>
      <c r="R12" s="259"/>
      <c r="S12" s="149"/>
      <c r="T12" s="149"/>
      <c r="U12" s="149"/>
      <c r="V12" s="149"/>
    </row>
    <row r="13" spans="1:28" ht="22" customHeight="1">
      <c r="A13" s="151" t="s">
        <v>65</v>
      </c>
      <c r="B13" s="102">
        <v>401307</v>
      </c>
      <c r="C13" s="53" t="s">
        <v>231</v>
      </c>
      <c r="D13" s="54">
        <v>43571</v>
      </c>
      <c r="E13" s="55" t="s">
        <v>2</v>
      </c>
      <c r="F13" s="56">
        <v>55</v>
      </c>
      <c r="G13" s="152">
        <f>IF(OR(E13="",F13=""),"",PID_KVLohnLookup($A$1,E13,F13,LOHNTABELLE!$H$4))</f>
        <v>666</v>
      </c>
      <c r="H13" s="153">
        <f>IF(AND(ISNUMBER(D13),ISNUMBER(F13)),ROUNDDOWN(MIN(IF(OR(ISBLANK(I13),I13=""),EOMONTH(DATE(EINSTELLUNG!$C$35,$A$1,1),0),I13)-MAX(D13,DATE(EINSTELLUNG!$C$35,$A$1,1))+1)/DAY(EOMONTH(DATE(EINSTELLUNG!$C$35,$A$1,1),0))*F13,2),"")</f>
        <v>55</v>
      </c>
      <c r="I13" s="57"/>
      <c r="J13" s="58"/>
      <c r="K13" s="152">
        <f t="shared" si="0"/>
        <v>0</v>
      </c>
      <c r="L13" s="15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666</v>
      </c>
      <c r="M13" s="59"/>
      <c r="N13" s="75"/>
      <c r="O13" s="254" t="s">
        <v>66</v>
      </c>
      <c r="P13" s="255"/>
      <c r="Q13" s="269">
        <f>Q8-Q9-Q10-Q11-Q12</f>
        <v>8188.68</v>
      </c>
      <c r="R13" s="270"/>
      <c r="S13" s="149"/>
      <c r="T13" s="149"/>
      <c r="U13" s="149"/>
      <c r="V13" s="149"/>
    </row>
    <row r="14" spans="1:28" ht="22" customHeight="1">
      <c r="A14" s="151" t="s">
        <v>67</v>
      </c>
      <c r="B14" s="101">
        <v>401308</v>
      </c>
      <c r="C14" s="45" t="s">
        <v>232</v>
      </c>
      <c r="D14" s="46">
        <v>43579</v>
      </c>
      <c r="E14" s="47" t="s">
        <v>3</v>
      </c>
      <c r="F14" s="48">
        <v>173</v>
      </c>
      <c r="G14" s="152">
        <f>IF(OR(E14="",F14=""),"",PID_KVLohnLookup($A$1,E14,F14,LOHNTABELLE!$H$4))</f>
        <v>2082</v>
      </c>
      <c r="H14" s="153">
        <f>IF(AND(ISNUMBER(D14),ISNUMBER(F14)),ROUNDDOWN(MIN(IF(OR(ISBLANK(I14),I14=""),EOMONTH(DATE(EINSTELLUNG!$C$35,$A$1,1),0),I14)-MAX(D14,DATE(EINSTELLUNG!$C$35,$A$1,1))+1)/DAY(EOMONTH(DATE(EINSTELLUNG!$C$35,$A$1,1),0))*F14,2),"")</f>
        <v>173</v>
      </c>
      <c r="I14" s="49"/>
      <c r="J14" s="50"/>
      <c r="K14" s="152">
        <f t="shared" si="0"/>
        <v>0</v>
      </c>
      <c r="L14" s="15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2082</v>
      </c>
      <c r="M14" s="51"/>
      <c r="N14" s="74"/>
      <c r="O14" s="254" t="s">
        <v>68</v>
      </c>
      <c r="P14" s="255"/>
      <c r="Q14" s="269">
        <f>EINSTELLUNG!L11</f>
        <v>9300</v>
      </c>
      <c r="R14" s="270"/>
      <c r="S14" s="149"/>
      <c r="T14" s="149"/>
      <c r="U14" s="149"/>
      <c r="V14" s="149"/>
    </row>
    <row r="15" spans="1:28" ht="22" customHeight="1" thickBot="1">
      <c r="A15" s="151" t="s">
        <v>69</v>
      </c>
      <c r="B15" s="102">
        <v>401394</v>
      </c>
      <c r="C15" s="53" t="s">
        <v>233</v>
      </c>
      <c r="D15" s="54">
        <v>44379</v>
      </c>
      <c r="E15" s="55" t="s">
        <v>2</v>
      </c>
      <c r="F15" s="56">
        <v>173</v>
      </c>
      <c r="G15" s="152">
        <f>IF(OR(E15="",F15=""),"",PID_KVLohnLookup($A$1,E15,F15,LOHNTABELLE!$H$4))</f>
        <v>2900</v>
      </c>
      <c r="H15" s="153">
        <f>IF(AND(ISNUMBER(D15),ISNUMBER(F15)),ROUNDDOWN(MIN(IF(OR(ISBLANK(I15),I15=""),EOMONTH(DATE(EINSTELLUNG!$C$35,$A$1,1),0),I15)-MAX(D15,DATE(EINSTELLUNG!$C$35,$A$1,1))+1)/DAY(EOMONTH(DATE(EINSTELLUNG!$C$35,$A$1,1),0))*F15,2),"")</f>
        <v>173</v>
      </c>
      <c r="I15" s="57"/>
      <c r="J15" s="58"/>
      <c r="K15" s="152">
        <f t="shared" si="0"/>
        <v>0</v>
      </c>
      <c r="L15" s="15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2900</v>
      </c>
      <c r="M15" s="59"/>
      <c r="N15" s="75"/>
      <c r="O15" s="240" t="s">
        <v>70</v>
      </c>
      <c r="P15" s="241"/>
      <c r="Q15" s="242">
        <f>Q13-Q14</f>
        <v>-1111.3199999999997</v>
      </c>
      <c r="R15" s="243"/>
      <c r="S15" s="160"/>
      <c r="T15" s="160"/>
      <c r="U15" s="160"/>
      <c r="V15" s="149"/>
    </row>
    <row r="16" spans="1:28" ht="22" customHeight="1" thickBot="1">
      <c r="A16" s="151" t="s">
        <v>71</v>
      </c>
      <c r="B16" s="101">
        <v>401406</v>
      </c>
      <c r="C16" s="45" t="s">
        <v>407</v>
      </c>
      <c r="D16" s="46">
        <v>36850</v>
      </c>
      <c r="E16" s="47" t="s">
        <v>10</v>
      </c>
      <c r="F16" s="48">
        <v>151.38</v>
      </c>
      <c r="G16" s="152">
        <f>IF(OR(E16="",F16=""),"",PID_KVLohnLookup($A$1,E16,F16,LOHNTABELLE!$H$4))</f>
        <v>2012.5</v>
      </c>
      <c r="H16" s="153">
        <f>IF(AND(ISNUMBER(D16),ISNUMBER(F16)),ROUNDDOWN(MIN(IF(OR(ISBLANK(I16),I16=""),EOMONTH(DATE(EINSTELLUNG!$C$35,$A$1,1),0),I16)-MAX(D16,DATE(EINSTELLUNG!$C$35,$A$1,1))+1)/DAY(EOMONTH(DATE(EINSTELLUNG!$C$35,$A$1,1),0))*F16,2),"")</f>
        <v>151.38</v>
      </c>
      <c r="I16" s="49"/>
      <c r="J16" s="50"/>
      <c r="K16" s="152">
        <f t="shared" si="0"/>
        <v>0</v>
      </c>
      <c r="L16" s="15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2012.5</v>
      </c>
      <c r="M16" s="51"/>
      <c r="N16" s="74"/>
      <c r="O16" s="319" t="str">
        <f>IF(Q15&lt;0, "Schlecht! Zu wenig Stunden für Dienstplan.", IF(Q15&gt;0, "Du hast mehr als genug Stunden für Dienstplan.", ""))</f>
        <v>Schlecht! Zu wenig Stunden für Dienstplan.</v>
      </c>
      <c r="P16" s="245"/>
      <c r="Q16" s="245"/>
      <c r="R16" s="246"/>
      <c r="S16" s="161"/>
      <c r="T16" s="161"/>
      <c r="U16" s="161"/>
      <c r="V16" s="161"/>
      <c r="W16" s="162"/>
    </row>
    <row r="17" spans="1:29" ht="22" customHeight="1">
      <c r="A17" s="151" t="s">
        <v>72</v>
      </c>
      <c r="B17" s="102">
        <v>401432</v>
      </c>
      <c r="C17" s="53" t="s">
        <v>235</v>
      </c>
      <c r="D17" s="57">
        <v>44441</v>
      </c>
      <c r="E17" s="55" t="s">
        <v>2</v>
      </c>
      <c r="F17" s="56">
        <v>173</v>
      </c>
      <c r="G17" s="152">
        <f>IF(OR(E17="",F17=""),"",PID_KVLohnLookup($A$1,E17,F17,LOHNTABELLE!$H$4))</f>
        <v>2900</v>
      </c>
      <c r="H17" s="153">
        <f>IF(AND(ISNUMBER(D17),ISNUMBER(F17)),ROUNDDOWN(MIN(IF(OR(ISBLANK(I17),I17=""),EOMONTH(DATE(EINSTELLUNG!$C$35,$A$1,1),0),I17)-MAX(D17,DATE(EINSTELLUNG!$C$35,$A$1,1))+1)/DAY(EOMONTH(DATE(EINSTELLUNG!$C$35,$A$1,1),0))*F17,2),"")</f>
        <v>173</v>
      </c>
      <c r="I17" s="57"/>
      <c r="J17" s="58"/>
      <c r="K17" s="152">
        <f t="shared" si="0"/>
        <v>0</v>
      </c>
      <c r="L17" s="15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2900</v>
      </c>
      <c r="M17" s="59"/>
      <c r="N17" s="75"/>
      <c r="O17" s="316" t="s">
        <v>73</v>
      </c>
      <c r="P17" s="251"/>
      <c r="Q17" s="260">
        <f>SUM(L3:L82)</f>
        <v>147893.76666666666</v>
      </c>
      <c r="R17" s="261"/>
      <c r="S17" s="149"/>
      <c r="T17" s="149"/>
      <c r="U17" s="149"/>
      <c r="V17" s="149"/>
      <c r="W17" s="162"/>
    </row>
    <row r="18" spans="1:29" ht="22" customHeight="1">
      <c r="A18" s="151" t="s">
        <v>74</v>
      </c>
      <c r="B18" s="101">
        <v>401476</v>
      </c>
      <c r="C18" s="45" t="s">
        <v>237</v>
      </c>
      <c r="D18" s="46">
        <v>44504</v>
      </c>
      <c r="E18" s="47" t="s">
        <v>2</v>
      </c>
      <c r="F18" s="48">
        <v>173</v>
      </c>
      <c r="G18" s="152">
        <f>IF(OR(E18="",F18=""),"",PID_KVLohnLookup($A$1,E18,F18,LOHNTABELLE!$H$4))</f>
        <v>2900</v>
      </c>
      <c r="H18" s="153">
        <f>IF(AND(ISNUMBER(D18),ISNUMBER(F18)),ROUNDDOWN(MIN(IF(OR(ISBLANK(I18),I18=""),EOMONTH(DATE(EINSTELLUNG!$C$35,$A$1,1),0),I18)-MAX(D18,DATE(EINSTELLUNG!$C$35,$A$1,1))+1)/DAY(EOMONTH(DATE(EINSTELLUNG!$C$35,$A$1,1),0))*F18,2),"")</f>
        <v>173</v>
      </c>
      <c r="I18" s="49"/>
      <c r="J18" s="50"/>
      <c r="K18" s="152">
        <f t="shared" si="0"/>
        <v>0</v>
      </c>
      <c r="L18" s="15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2900</v>
      </c>
      <c r="M18" s="51"/>
      <c r="N18" s="74"/>
      <c r="O18" s="308" t="s">
        <v>385</v>
      </c>
      <c r="P18" s="249"/>
      <c r="Q18" s="238">
        <v>20</v>
      </c>
      <c r="R18" s="239"/>
      <c r="S18" s="149"/>
      <c r="T18" s="149"/>
      <c r="U18" s="149"/>
      <c r="V18" s="149"/>
    </row>
    <row r="19" spans="1:29" ht="22" customHeight="1">
      <c r="A19" s="151" t="s">
        <v>75</v>
      </c>
      <c r="B19" s="102">
        <v>401479</v>
      </c>
      <c r="C19" s="53" t="s">
        <v>238</v>
      </c>
      <c r="D19" s="54">
        <v>44511</v>
      </c>
      <c r="E19" s="55" t="s">
        <v>6</v>
      </c>
      <c r="F19" s="56">
        <v>173</v>
      </c>
      <c r="G19" s="152">
        <f>IF(OR(E19="",F19=""),"",PID_KVLohnLookup($A$1,E19,F19,LOHNTABELLE!$H$4))</f>
        <v>2160</v>
      </c>
      <c r="H19" s="153">
        <f>IF(AND(ISNUMBER(D19),ISNUMBER(F19)),ROUNDDOWN(MIN(IF(OR(ISBLANK(I19),I19=""),EOMONTH(DATE(EINSTELLUNG!$C$35,$A$1,1),0),I19)-MAX(D19,DATE(EINSTELLUNG!$C$35,$A$1,1))+1)/DAY(EOMONTH(DATE(EINSTELLUNG!$C$35,$A$1,1),0))*F19,2),"")</f>
        <v>173</v>
      </c>
      <c r="I19" s="57"/>
      <c r="J19" s="58"/>
      <c r="K19" s="152">
        <f t="shared" si="0"/>
        <v>0</v>
      </c>
      <c r="L19" s="15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2160</v>
      </c>
      <c r="M19" s="59"/>
      <c r="N19" s="75"/>
      <c r="O19" s="308" t="s">
        <v>296</v>
      </c>
      <c r="P19" s="249"/>
      <c r="Q19" s="238">
        <v>333</v>
      </c>
      <c r="R19" s="239"/>
      <c r="S19" s="149"/>
      <c r="T19" s="149"/>
      <c r="U19" s="149"/>
      <c r="V19" s="149"/>
    </row>
    <row r="20" spans="1:29" ht="22" customHeight="1">
      <c r="A20" s="151" t="s">
        <v>76</v>
      </c>
      <c r="B20" s="101">
        <v>401481</v>
      </c>
      <c r="C20" s="45" t="s">
        <v>239</v>
      </c>
      <c r="D20" s="46">
        <v>44531</v>
      </c>
      <c r="E20" s="47" t="s">
        <v>3</v>
      </c>
      <c r="F20" s="48">
        <v>173</v>
      </c>
      <c r="G20" s="152">
        <f>IF(OR(E20="",F20=""),"",PID_KVLohnLookup($A$1,E20,F20,LOHNTABELLE!$H$4))</f>
        <v>2082</v>
      </c>
      <c r="H20" s="153">
        <f>IF(AND(ISNUMBER(D20),ISNUMBER(F20)),ROUNDDOWN(MIN(IF(OR(ISBLANK(I20),I20=""),EOMONTH(DATE(EINSTELLUNG!$C$35,$A$1,1),0),I20)-MAX(D20,DATE(EINSTELLUNG!$C$35,$A$1,1))+1)/DAY(EOMONTH(DATE(EINSTELLUNG!$C$35,$A$1,1),0))*F20,2),"")</f>
        <v>173</v>
      </c>
      <c r="I20" s="49"/>
      <c r="J20" s="50"/>
      <c r="K20" s="152">
        <f t="shared" si="0"/>
        <v>0</v>
      </c>
      <c r="L20" s="15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2082</v>
      </c>
      <c r="M20" s="51"/>
      <c r="N20" s="74"/>
      <c r="O20" s="308" t="s">
        <v>296</v>
      </c>
      <c r="P20" s="249"/>
      <c r="Q20" s="238">
        <v>35</v>
      </c>
      <c r="R20" s="239"/>
      <c r="S20" s="149"/>
      <c r="T20" s="149"/>
      <c r="U20" s="149"/>
      <c r="V20" s="149"/>
    </row>
    <row r="21" spans="1:29" ht="22" customHeight="1">
      <c r="A21" s="151" t="s">
        <v>77</v>
      </c>
      <c r="B21" s="102">
        <v>401558</v>
      </c>
      <c r="C21" s="53" t="s">
        <v>236</v>
      </c>
      <c r="D21" s="54">
        <v>44460</v>
      </c>
      <c r="E21" s="55" t="s">
        <v>2</v>
      </c>
      <c r="F21" s="56">
        <v>173</v>
      </c>
      <c r="G21" s="152">
        <f>IF(OR(E21="",F21=""),"",PID_KVLohnLookup($A$1,E21,F21,LOHNTABELLE!$H$4))</f>
        <v>2900</v>
      </c>
      <c r="H21" s="153">
        <f>IF(AND(ISNUMBER(D21),ISNUMBER(F21)),ROUNDDOWN(MIN(IF(OR(ISBLANK(I21),I21=""),EOMONTH(DATE(EINSTELLUNG!$C$35,$A$1,1),0),I21)-MAX(D21,DATE(EINSTELLUNG!$C$35,$A$1,1))+1)/DAY(EOMONTH(DATE(EINSTELLUNG!$C$35,$A$1,1),0))*F21,2),"")</f>
        <v>173</v>
      </c>
      <c r="I21" s="57"/>
      <c r="J21" s="58"/>
      <c r="K21" s="152">
        <f t="shared" si="0"/>
        <v>0</v>
      </c>
      <c r="L21" s="15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2900</v>
      </c>
      <c r="M21" s="59"/>
      <c r="N21" s="75"/>
      <c r="O21" s="308" t="s">
        <v>296</v>
      </c>
      <c r="P21" s="249"/>
      <c r="Q21" s="238">
        <v>100</v>
      </c>
      <c r="R21" s="239"/>
      <c r="S21" s="149"/>
      <c r="T21" s="149"/>
      <c r="U21" s="149"/>
      <c r="V21" s="149"/>
    </row>
    <row r="22" spans="1:29" ht="22" customHeight="1">
      <c r="A22" s="151" t="s">
        <v>78</v>
      </c>
      <c r="B22" s="101">
        <v>401564</v>
      </c>
      <c r="C22" s="45" t="s">
        <v>240</v>
      </c>
      <c r="D22" s="46">
        <v>44824</v>
      </c>
      <c r="E22" s="47" t="s">
        <v>2</v>
      </c>
      <c r="F22" s="48">
        <v>151.38</v>
      </c>
      <c r="G22" s="152">
        <f>IF(OR(E22="",F22=""),"",PID_KVLohnLookup($A$1,E22,F22,LOHNTABELLE!$H$4))</f>
        <v>2500</v>
      </c>
      <c r="H22" s="153">
        <f>IF(AND(ISNUMBER(D22),ISNUMBER(F22)),ROUNDDOWN(MIN(IF(OR(ISBLANK(I22),I22=""),EOMONTH(DATE(EINSTELLUNG!$C$35,$A$1,1),0),I22)-MAX(D22,DATE(EINSTELLUNG!$C$35,$A$1,1))+1)/DAY(EOMONTH(DATE(EINSTELLUNG!$C$35,$A$1,1),0))*F22,2),"")</f>
        <v>151.38</v>
      </c>
      <c r="I22" s="49"/>
      <c r="J22" s="50"/>
      <c r="K22" s="152">
        <f t="shared" si="0"/>
        <v>0</v>
      </c>
      <c r="L22" s="15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2500</v>
      </c>
      <c r="M22" s="51"/>
      <c r="N22" s="74"/>
      <c r="O22" s="308" t="s">
        <v>296</v>
      </c>
      <c r="P22" s="249"/>
      <c r="Q22" s="238"/>
      <c r="R22" s="239"/>
      <c r="S22" s="149"/>
      <c r="T22" s="149"/>
      <c r="U22" s="149"/>
      <c r="V22" s="149"/>
    </row>
    <row r="23" spans="1:29" ht="22" customHeight="1">
      <c r="A23" s="151" t="s">
        <v>79</v>
      </c>
      <c r="B23" s="102">
        <v>401583</v>
      </c>
      <c r="C23" s="53" t="s">
        <v>242</v>
      </c>
      <c r="D23" s="54">
        <v>44900</v>
      </c>
      <c r="E23" s="55" t="s">
        <v>13</v>
      </c>
      <c r="F23" s="56">
        <v>173</v>
      </c>
      <c r="G23" s="152">
        <f>IF(OR(E23="",F23=""),"",PID_KVLohnLookup($A$1,E23,F23,LOHNTABELLE!$H$4))</f>
        <v>2328</v>
      </c>
      <c r="H23" s="153">
        <f>IF(AND(ISNUMBER(D23),ISNUMBER(F23)),ROUNDDOWN(MIN(IF(OR(ISBLANK(I23),I23=""),EOMONTH(DATE(EINSTELLUNG!$C$35,$A$1,1),0),I23)-MAX(D23,DATE(EINSTELLUNG!$C$35,$A$1,1))+1)/DAY(EOMONTH(DATE(EINSTELLUNG!$C$35,$A$1,1),0))*F23,2),"")</f>
        <v>173</v>
      </c>
      <c r="I23" s="57"/>
      <c r="J23" s="58"/>
      <c r="K23" s="152">
        <f t="shared" si="0"/>
        <v>0</v>
      </c>
      <c r="L23" s="15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2328</v>
      </c>
      <c r="M23" s="59"/>
      <c r="N23" s="75"/>
      <c r="O23" s="308" t="s">
        <v>296</v>
      </c>
      <c r="P23" s="249"/>
      <c r="Q23" s="238">
        <v>5000</v>
      </c>
      <c r="R23" s="239"/>
      <c r="S23" s="149"/>
      <c r="T23" s="149"/>
      <c r="U23" s="149"/>
      <c r="V23" s="149"/>
      <c r="W23" s="162"/>
    </row>
    <row r="24" spans="1:29" ht="22" customHeight="1">
      <c r="A24" s="151" t="s">
        <v>80</v>
      </c>
      <c r="B24" s="101">
        <v>401589</v>
      </c>
      <c r="C24" s="45" t="s">
        <v>243</v>
      </c>
      <c r="D24" s="46">
        <v>44926</v>
      </c>
      <c r="E24" s="47" t="s">
        <v>10</v>
      </c>
      <c r="F24" s="48">
        <v>173</v>
      </c>
      <c r="G24" s="152">
        <f>IF(OR(E24="",F24=""),"",PID_KVLohnLookup($A$1,E24,F24,LOHNTABELLE!$H$4))</f>
        <v>2300</v>
      </c>
      <c r="H24" s="153">
        <f>IF(AND(ISNUMBER(D24),ISNUMBER(F24)),ROUNDDOWN(MIN(IF(OR(ISBLANK(I24),I24=""),EOMONTH(DATE(EINSTELLUNG!$C$35,$A$1,1),0),I24)-MAX(D24,DATE(EINSTELLUNG!$C$35,$A$1,1))+1)/DAY(EOMONTH(DATE(EINSTELLUNG!$C$35,$A$1,1),0))*F24,2),"")</f>
        <v>173</v>
      </c>
      <c r="I24" s="49"/>
      <c r="J24" s="50"/>
      <c r="K24" s="152">
        <f t="shared" si="0"/>
        <v>0</v>
      </c>
      <c r="L24" s="15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2300</v>
      </c>
      <c r="M24" s="51"/>
      <c r="N24" s="74"/>
      <c r="O24" s="308"/>
      <c r="P24" s="249"/>
      <c r="Q24" s="238"/>
      <c r="R24" s="239"/>
      <c r="S24" s="149"/>
      <c r="T24" s="149"/>
      <c r="U24" s="149"/>
      <c r="V24" s="149"/>
      <c r="W24" s="162"/>
    </row>
    <row r="25" spans="1:29" ht="22" customHeight="1">
      <c r="A25" s="151" t="s">
        <v>81</v>
      </c>
      <c r="B25" s="102">
        <v>401602</v>
      </c>
      <c r="C25" s="53" t="s">
        <v>244</v>
      </c>
      <c r="D25" s="54">
        <v>45975</v>
      </c>
      <c r="E25" s="55" t="s">
        <v>2</v>
      </c>
      <c r="F25" s="56">
        <v>169</v>
      </c>
      <c r="G25" s="152">
        <f>IF(OR(E25="",F25=""),"",PID_KVLohnLookup($A$1,E25,F25,LOHNTABELLE!$H$4))</f>
        <v>2000</v>
      </c>
      <c r="H25" s="153">
        <f>IF(AND(ISNUMBER(D25),ISNUMBER(F25)),ROUNDDOWN(MIN(IF(OR(ISBLANK(I25),I25=""),EOMONTH(DATE(EINSTELLUNG!$C$35,$A$1,1),0),I25)-MAX(D25,DATE(EINSTELLUNG!$C$35,$A$1,1))+1)/DAY(EOMONTH(DATE(EINSTELLUNG!$C$35,$A$1,1),0))*F25,2),"")</f>
        <v>169</v>
      </c>
      <c r="I25" s="57"/>
      <c r="J25" s="58"/>
      <c r="K25" s="152">
        <f t="shared" si="0"/>
        <v>0</v>
      </c>
      <c r="L25" s="15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2000</v>
      </c>
      <c r="M25" s="59"/>
      <c r="N25" s="75"/>
      <c r="O25" s="308"/>
      <c r="P25" s="249"/>
      <c r="Q25" s="238"/>
      <c r="R25" s="239"/>
      <c r="S25" s="149"/>
      <c r="T25" s="149"/>
      <c r="U25" s="149"/>
      <c r="V25" s="149"/>
    </row>
    <row r="26" spans="1:29" ht="22" customHeight="1">
      <c r="A26" s="151" t="s">
        <v>82</v>
      </c>
      <c r="B26" s="101">
        <v>401605</v>
      </c>
      <c r="C26" s="45" t="s">
        <v>245</v>
      </c>
      <c r="D26" s="46">
        <v>44986</v>
      </c>
      <c r="E26" s="47" t="s">
        <v>2</v>
      </c>
      <c r="F26" s="48">
        <v>173</v>
      </c>
      <c r="G26" s="152">
        <f>IF(OR(E26="",F26=""),"",PID_KVLohnLookup($A$1,E26,F26,LOHNTABELLE!$H$4))</f>
        <v>2900</v>
      </c>
      <c r="H26" s="153">
        <f>IF(AND(ISNUMBER(D26),ISNUMBER(F26)),ROUNDDOWN(MIN(IF(OR(ISBLANK(I26),I26=""),EOMONTH(DATE(EINSTELLUNG!$C$35,$A$1,1),0),I26)-MAX(D26,DATE(EINSTELLUNG!$C$35,$A$1,1))+1)/DAY(EOMONTH(DATE(EINSTELLUNG!$C$35,$A$1,1),0))*F26,2),"")</f>
        <v>173</v>
      </c>
      <c r="I26" s="49"/>
      <c r="J26" s="50"/>
      <c r="K26" s="152">
        <f t="shared" si="0"/>
        <v>0</v>
      </c>
      <c r="L26" s="15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51"/>
      <c r="N26" s="74"/>
      <c r="O26" s="308"/>
      <c r="P26" s="249"/>
      <c r="Q26" s="238"/>
      <c r="R26" s="239"/>
      <c r="S26" s="149"/>
      <c r="T26" s="149"/>
      <c r="U26" s="149"/>
      <c r="V26" s="149"/>
    </row>
    <row r="27" spans="1:29" ht="22" customHeight="1">
      <c r="A27" s="151" t="s">
        <v>83</v>
      </c>
      <c r="B27" s="102">
        <v>401605</v>
      </c>
      <c r="C27" s="53" t="s">
        <v>407</v>
      </c>
      <c r="D27" s="54">
        <v>36850</v>
      </c>
      <c r="E27" s="55" t="s">
        <v>10</v>
      </c>
      <c r="F27" s="56">
        <v>151.38</v>
      </c>
      <c r="G27" s="152">
        <f>IF(OR(E27="",F27=""),"",PID_KVLohnLookup($A$1,E27,F27,LOHNTABELLE!$H$4))</f>
        <v>2012.5</v>
      </c>
      <c r="H27" s="153">
        <f>IF(AND(ISNUMBER(D27),ISNUMBER(F27)),ROUNDDOWN(MIN(IF(OR(ISBLANK(I27),I27=""),EOMONTH(DATE(EINSTELLUNG!$C$35,$A$1,1),0),I27)-MAX(D27,DATE(EINSTELLUNG!$C$35,$A$1,1))+1)/DAY(EOMONTH(DATE(EINSTELLUNG!$C$35,$A$1,1),0))*F27,2),"")</f>
        <v>151.38</v>
      </c>
      <c r="I27" s="57"/>
      <c r="J27" s="58"/>
      <c r="K27" s="152">
        <f t="shared" si="0"/>
        <v>0</v>
      </c>
      <c r="L27" s="15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2012.5</v>
      </c>
      <c r="M27" s="59"/>
      <c r="N27" s="75"/>
      <c r="O27" s="308"/>
      <c r="P27" s="249"/>
      <c r="Q27" s="238"/>
      <c r="R27" s="239"/>
      <c r="S27" s="247" t="s">
        <v>84</v>
      </c>
      <c r="T27" s="247"/>
      <c r="U27" s="247"/>
      <c r="V27" s="247"/>
    </row>
    <row r="28" spans="1:29" ht="22" customHeight="1">
      <c r="A28" s="151" t="s">
        <v>85</v>
      </c>
      <c r="B28" s="101">
        <v>401626</v>
      </c>
      <c r="C28" s="45" t="s">
        <v>246</v>
      </c>
      <c r="D28" s="46">
        <v>45063</v>
      </c>
      <c r="E28" s="47" t="s">
        <v>2</v>
      </c>
      <c r="F28" s="48">
        <v>173</v>
      </c>
      <c r="G28" s="152">
        <f>IF(OR(E28="",F28=""),"",PID_KVLohnLookup($A$1,E28,F28,LOHNTABELLE!$H$4))</f>
        <v>2900</v>
      </c>
      <c r="H28" s="153">
        <f>IF(AND(ISNUMBER(D28),ISNUMBER(F28)),ROUNDDOWN(MIN(IF(OR(ISBLANK(I28),I28=""),EOMONTH(DATE(EINSTELLUNG!$C$35,$A$1,1),0),I28)-MAX(D28,DATE(EINSTELLUNG!$C$35,$A$1,1))+1)/DAY(EOMONTH(DATE(EINSTELLUNG!$C$35,$A$1,1),0))*F28,2),"")</f>
        <v>173</v>
      </c>
      <c r="I28" s="49"/>
      <c r="J28" s="50"/>
      <c r="K28" s="152">
        <f t="shared" si="0"/>
        <v>0</v>
      </c>
      <c r="L28" s="15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51"/>
      <c r="N28" s="74"/>
      <c r="O28" s="308"/>
      <c r="P28" s="249"/>
      <c r="Q28" s="238"/>
      <c r="R28" s="239"/>
      <c r="S28" s="149"/>
      <c r="T28" s="149"/>
      <c r="U28" s="149"/>
      <c r="V28" s="149"/>
    </row>
    <row r="29" spans="1:29" ht="22" customHeight="1" thickBot="1">
      <c r="A29" s="151" t="s">
        <v>86</v>
      </c>
      <c r="B29" s="102">
        <v>401633</v>
      </c>
      <c r="C29" s="53" t="s">
        <v>247</v>
      </c>
      <c r="D29" s="54">
        <v>45089</v>
      </c>
      <c r="E29" s="55" t="s">
        <v>10</v>
      </c>
      <c r="F29" s="56">
        <v>173</v>
      </c>
      <c r="G29" s="152">
        <f>IF(OR(E29="",F29=""),"",PID_KVLohnLookup($A$1,E29,F29,LOHNTABELLE!$H$4))</f>
        <v>2300</v>
      </c>
      <c r="H29" s="153">
        <f>IF(AND(ISNUMBER(D29),ISNUMBER(F29)),ROUNDDOWN(MIN(IF(OR(ISBLANK(I29),I29=""),EOMONTH(DATE(EINSTELLUNG!$C$35,$A$1,1),0),I29)-MAX(D29,DATE(EINSTELLUNG!$C$35,$A$1,1))+1)/DAY(EOMONTH(DATE(EINSTELLUNG!$C$35,$A$1,1),0))*F29,2),"")</f>
        <v>173</v>
      </c>
      <c r="I29" s="57"/>
      <c r="J29" s="58"/>
      <c r="K29" s="152">
        <f t="shared" si="0"/>
        <v>0</v>
      </c>
      <c r="L29" s="15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2300</v>
      </c>
      <c r="M29" s="59"/>
      <c r="N29" s="75"/>
      <c r="O29" s="312" t="s">
        <v>87</v>
      </c>
      <c r="P29" s="241"/>
      <c r="Q29" s="295">
        <f>EINSTELLUNG!O11</f>
        <v>1250</v>
      </c>
      <c r="R29" s="296"/>
      <c r="S29" s="149"/>
      <c r="T29" s="149"/>
      <c r="U29" s="149"/>
      <c r="V29" s="149"/>
    </row>
    <row r="30" spans="1:29" ht="22" customHeight="1" thickBot="1">
      <c r="A30" s="151" t="s">
        <v>88</v>
      </c>
      <c r="B30" s="101">
        <v>401647</v>
      </c>
      <c r="C30" s="45" t="s">
        <v>248</v>
      </c>
      <c r="D30" s="46">
        <v>45182</v>
      </c>
      <c r="E30" s="47" t="s">
        <v>2</v>
      </c>
      <c r="F30" s="48">
        <v>173</v>
      </c>
      <c r="G30" s="152">
        <f>IF(OR(E30="",F30=""),"",PID_KVLohnLookup($A$1,E30,F30,LOHNTABELLE!$H$4))</f>
        <v>2900</v>
      </c>
      <c r="H30" s="153">
        <f>IF(AND(ISNUMBER(D30),ISNUMBER(F30)),ROUNDDOWN(MIN(IF(OR(ISBLANK(I30),I30=""),EOMONTH(DATE(EINSTELLUNG!$C$35,$A$1,1),0),I30)-MAX(D30,DATE(EINSTELLUNG!$C$35,$A$1,1))+1)/DAY(EOMONTH(DATE(EINSTELLUNG!$C$35,$A$1,1),0))*F30,2),"")</f>
        <v>173</v>
      </c>
      <c r="I30" s="49"/>
      <c r="J30" s="50"/>
      <c r="K30" s="152">
        <f t="shared" si="0"/>
        <v>0</v>
      </c>
      <c r="L30" s="15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51"/>
      <c r="N30" s="74"/>
      <c r="O30" s="149"/>
      <c r="P30" s="149"/>
      <c r="Q30" s="149"/>
      <c r="R30" s="149"/>
      <c r="S30" s="149"/>
      <c r="T30" s="149"/>
      <c r="U30" s="149"/>
      <c r="V30" s="149"/>
      <c r="W30" s="163"/>
      <c r="X30" s="163"/>
      <c r="Y30" s="163"/>
      <c r="Z30" s="163"/>
      <c r="AA30" s="163"/>
      <c r="AB30" s="163"/>
      <c r="AC30" s="163"/>
    </row>
    <row r="31" spans="1:29" ht="22" customHeight="1" thickBot="1">
      <c r="A31" s="151" t="s">
        <v>89</v>
      </c>
      <c r="B31" s="102">
        <v>401661</v>
      </c>
      <c r="C31" s="53" t="s">
        <v>249</v>
      </c>
      <c r="D31" s="54">
        <v>45261</v>
      </c>
      <c r="E31" s="55" t="s">
        <v>2</v>
      </c>
      <c r="F31" s="56">
        <v>173</v>
      </c>
      <c r="G31" s="152">
        <f>IF(OR(E31="",F31=""),"",PID_KVLohnLookup($A$1,E31,F31,LOHNTABELLE!$H$4))</f>
        <v>2900</v>
      </c>
      <c r="H31" s="153">
        <f>IF(AND(ISNUMBER(D31),ISNUMBER(F31)),ROUNDDOWN(MIN(IF(OR(ISBLANK(I31),I31=""),EOMONTH(DATE(EINSTELLUNG!$C$35,$A$1,1),0),I31)-MAX(D31,DATE(EINSTELLUNG!$C$35,$A$1,1))+1)/DAY(EOMONTH(DATE(EINSTELLUNG!$C$35,$A$1,1),0))*F31,2),"")</f>
        <v>173</v>
      </c>
      <c r="I31" s="57"/>
      <c r="J31" s="58"/>
      <c r="K31" s="152">
        <f t="shared" si="0"/>
        <v>0</v>
      </c>
      <c r="L31" s="15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9"/>
      <c r="N31" s="75"/>
      <c r="O31" s="309">
        <v>0</v>
      </c>
      <c r="P31" s="300"/>
      <c r="Q31" s="284">
        <v>1.6393442622950821E-2</v>
      </c>
      <c r="R31" s="285"/>
      <c r="S31" s="149"/>
      <c r="T31" s="149"/>
      <c r="U31" s="149"/>
      <c r="V31" s="149"/>
    </row>
    <row r="32" spans="1:29" ht="22" customHeight="1" thickBot="1">
      <c r="A32" s="151" t="s">
        <v>91</v>
      </c>
      <c r="B32" s="101">
        <v>401670</v>
      </c>
      <c r="C32" s="45" t="s">
        <v>250</v>
      </c>
      <c r="D32" s="49">
        <v>45358</v>
      </c>
      <c r="E32" s="47" t="s">
        <v>2</v>
      </c>
      <c r="F32" s="48">
        <v>173</v>
      </c>
      <c r="G32" s="152">
        <f>IF(OR(E32="",F32=""),"",PID_KVLohnLookup($A$1,E32,F32,LOHNTABELLE!$H$4))</f>
        <v>2900</v>
      </c>
      <c r="H32" s="153">
        <f>IF(AND(ISNUMBER(D32),ISNUMBER(F32)),ROUNDDOWN(MIN(IF(OR(ISBLANK(I32),I32=""),EOMONTH(DATE(EINSTELLUNG!$C$35,$A$1,1),0),I32)-MAX(D32,DATE(EINSTELLUNG!$C$35,$A$1,1))+1)/DAY(EOMONTH(DATE(EINSTELLUNG!$C$35,$A$1,1),0))*F32,2),"")</f>
        <v>173</v>
      </c>
      <c r="I32" s="49"/>
      <c r="J32" s="50"/>
      <c r="K32" s="152">
        <f t="shared" si="0"/>
        <v>0</v>
      </c>
      <c r="L32" s="15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51"/>
      <c r="N32" s="74"/>
      <c r="O32" s="149"/>
      <c r="P32" s="149"/>
      <c r="Q32" s="149"/>
      <c r="R32" s="149"/>
      <c r="S32" s="149"/>
      <c r="T32" s="149"/>
      <c r="U32" s="149"/>
      <c r="V32" s="149"/>
    </row>
    <row r="33" spans="1:22" ht="22" customHeight="1">
      <c r="A33" s="151" t="s">
        <v>92</v>
      </c>
      <c r="B33" s="102">
        <v>401678</v>
      </c>
      <c r="C33" s="53" t="s">
        <v>251</v>
      </c>
      <c r="D33" s="54">
        <v>45414</v>
      </c>
      <c r="E33" s="55" t="s">
        <v>2</v>
      </c>
      <c r="F33" s="56">
        <v>173</v>
      </c>
      <c r="G33" s="152">
        <f>IF(OR(E33="",F33=""),"",PID_KVLohnLookup($A$1,E33,F33,LOHNTABELLE!$H$4))</f>
        <v>2900</v>
      </c>
      <c r="H33" s="153">
        <f>IF(AND(ISNUMBER(D33),ISNUMBER(F33)),ROUNDDOWN(MIN(IF(OR(ISBLANK(I33),I33=""),EOMONTH(DATE(EINSTELLUNG!$C$35,$A$1,1),0),I33)-MAX(D33,DATE(EINSTELLUNG!$C$35,$A$1,1))+1)/DAY(EOMONTH(DATE(EINSTELLUNG!$C$35,$A$1,1),0))*F33,2),"")</f>
        <v>173</v>
      </c>
      <c r="I33" s="57"/>
      <c r="J33" s="58"/>
      <c r="K33" s="152">
        <f t="shared" si="0"/>
        <v>0</v>
      </c>
      <c r="L33" s="15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9"/>
      <c r="N33" s="75"/>
      <c r="O33" s="310"/>
      <c r="P33" s="291"/>
      <c r="Q33" s="280" t="str">
        <f>EINSTELLUNG!B3</f>
        <v>Budget</v>
      </c>
      <c r="R33" s="280"/>
      <c r="S33" s="280" t="str">
        <f>EINSTELLUNG!B19</f>
        <v>Projection/Aktuell Zahlen</v>
      </c>
      <c r="T33" s="280"/>
      <c r="U33" s="280" t="s">
        <v>95</v>
      </c>
      <c r="V33" s="282"/>
    </row>
    <row r="34" spans="1:22" ht="22" customHeight="1">
      <c r="A34" s="151" t="s">
        <v>96</v>
      </c>
      <c r="B34" s="101">
        <v>401690</v>
      </c>
      <c r="C34" s="45" t="s">
        <v>253</v>
      </c>
      <c r="D34" s="46">
        <v>45536</v>
      </c>
      <c r="E34" s="47" t="s">
        <v>2</v>
      </c>
      <c r="F34" s="48">
        <v>151.38</v>
      </c>
      <c r="G34" s="152">
        <f>IF(OR(E34="",F34=""),"",PID_KVLohnLookup($A$1,E34,F34,LOHNTABELLE!$H$4))</f>
        <v>2500</v>
      </c>
      <c r="H34" s="153">
        <f>IF(AND(ISNUMBER(D34),ISNUMBER(F34)),ROUNDDOWN(MIN(IF(OR(ISBLANK(I34),I34=""),EOMONTH(DATE(EINSTELLUNG!$C$35,$A$1,1),0),I34)-MAX(D34,DATE(EINSTELLUNG!$C$35,$A$1,1))+1)/DAY(EOMONTH(DATE(EINSTELLUNG!$C$35,$A$1,1),0))*F34,2),"")</f>
        <v>151.38</v>
      </c>
      <c r="I34" s="49"/>
      <c r="J34" s="50"/>
      <c r="K34" s="152">
        <f t="shared" si="0"/>
        <v>0</v>
      </c>
      <c r="L34" s="15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2500</v>
      </c>
      <c r="M34" s="51"/>
      <c r="N34" s="74"/>
      <c r="O34" s="311"/>
      <c r="P34" s="293"/>
      <c r="Q34" s="281"/>
      <c r="R34" s="281"/>
      <c r="S34" s="281"/>
      <c r="T34" s="281"/>
      <c r="U34" s="281"/>
      <c r="V34" s="283"/>
    </row>
    <row r="35" spans="1:22" ht="22" customHeight="1">
      <c r="A35" s="151" t="s">
        <v>97</v>
      </c>
      <c r="B35" s="102">
        <v>401715</v>
      </c>
      <c r="C35" s="53" t="s">
        <v>256</v>
      </c>
      <c r="D35" s="57">
        <v>45755</v>
      </c>
      <c r="E35" s="55" t="s">
        <v>2</v>
      </c>
      <c r="F35" s="56">
        <v>173</v>
      </c>
      <c r="G35" s="152">
        <f>IF(OR(E35="",F35=""),"",PID_KVLohnLookup($A$1,E35,F35,LOHNTABELLE!$H$4))</f>
        <v>2900</v>
      </c>
      <c r="H35" s="153">
        <f>IF(AND(ISNUMBER(D35),ISNUMBER(F35)),ROUNDDOWN(MIN(IF(OR(ISBLANK(I35),I35=""),EOMONTH(DATE(EINSTELLUNG!$C$35,$A$1,1),0),I35)-MAX(D35,DATE(EINSTELLUNG!$C$35,$A$1,1))+1)/DAY(EOMONTH(DATE(EINSTELLUNG!$C$35,$A$1,1),0))*F35,2),"")</f>
        <v>173</v>
      </c>
      <c r="I35" s="57"/>
      <c r="J35" s="58"/>
      <c r="K35" s="152">
        <f t="shared" ref="K35:K66" si="1">IF(OR(B35="",C35=""),"",IFERROR(IF(OR(MONTH(D35)=1,MONTH(D35)=3,MONTH(D35)=5,MONTH(D35)=7,MONTH(D35)=8,MONTH(D35)=10,MONTH(D35)=12),(G35/31)*J35,IF(OR(MONTH(D35)=4,MONTH(D35)=6,MONTH(D35)=9,MONTH(D35)=11),(G35/30)*J35,(G35/DAY(EOMONTH(D35,0)))*J35)),0))</f>
        <v>0</v>
      </c>
      <c r="L35" s="15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59"/>
      <c r="N35" s="75"/>
      <c r="O35" s="307" t="s">
        <v>98</v>
      </c>
      <c r="P35" s="255"/>
      <c r="Q35" s="256">
        <f>EINSTELLUNG!C11</f>
        <v>400000</v>
      </c>
      <c r="R35" s="256"/>
      <c r="S35" s="256">
        <f>EINSTELLUNG!C27</f>
        <v>435000</v>
      </c>
      <c r="T35" s="256"/>
      <c r="U35" s="256">
        <f>S35-Q35</f>
        <v>35000</v>
      </c>
      <c r="V35" s="257"/>
    </row>
    <row r="36" spans="1:22" ht="22" customHeight="1">
      <c r="A36" s="151" t="s">
        <v>99</v>
      </c>
      <c r="B36" s="101">
        <v>401716</v>
      </c>
      <c r="C36" s="45" t="s">
        <v>257</v>
      </c>
      <c r="D36" s="46">
        <v>45800</v>
      </c>
      <c r="E36" s="47" t="s">
        <v>2</v>
      </c>
      <c r="F36" s="48">
        <v>173</v>
      </c>
      <c r="G36" s="152">
        <f>IF(OR(E36="",F36=""),"",PID_KVLohnLookup($A$1,E36,F36,LOHNTABELLE!$H$4))</f>
        <v>2900</v>
      </c>
      <c r="H36" s="153">
        <f>IF(AND(ISNUMBER(D36),ISNUMBER(F36)),ROUNDDOWN(MIN(IF(OR(ISBLANK(I36),I36=""),EOMONTH(DATE(EINSTELLUNG!$C$35,$A$1,1),0),I36)-MAX(D36,DATE(EINSTELLUNG!$C$35,$A$1,1))+1)/DAY(EOMONTH(DATE(EINSTELLUNG!$C$35,$A$1,1),0))*F36,2),"")</f>
        <v>173</v>
      </c>
      <c r="I36" s="49"/>
      <c r="J36" s="50"/>
      <c r="K36" s="152">
        <f t="shared" si="1"/>
        <v>0</v>
      </c>
      <c r="L36" s="15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2900</v>
      </c>
      <c r="M36" s="51"/>
      <c r="N36" s="74"/>
      <c r="O36" s="307" t="s">
        <v>100</v>
      </c>
      <c r="P36" s="255"/>
      <c r="Q36" s="256">
        <f>EINSTELLUNG!D11</f>
        <v>100000</v>
      </c>
      <c r="R36" s="256"/>
      <c r="S36" s="256">
        <f ca="1">SumMergedCells(Q17:R29)</f>
        <v>154631.76670000001</v>
      </c>
      <c r="T36" s="256"/>
      <c r="U36" s="256">
        <f t="shared" ref="U36:U41" ca="1" si="2">S36-Q36</f>
        <v>54631.766700000007</v>
      </c>
      <c r="V36" s="257"/>
    </row>
    <row r="37" spans="1:22" ht="22" customHeight="1">
      <c r="A37" s="151" t="s">
        <v>101</v>
      </c>
      <c r="B37" s="102">
        <v>401717</v>
      </c>
      <c r="C37" s="53" t="s">
        <v>258</v>
      </c>
      <c r="D37" s="54">
        <v>45814</v>
      </c>
      <c r="E37" s="55" t="s">
        <v>2</v>
      </c>
      <c r="F37" s="56">
        <v>86.5</v>
      </c>
      <c r="G37" s="152">
        <f>IF(OR(E37="",F37=""),"",PID_KVLohnLookup($A$1,E37,F37,LOHNTABELLE!$H$4))</f>
        <v>2152</v>
      </c>
      <c r="H37" s="153">
        <f>IF(AND(ISNUMBER(D37),ISNUMBER(F37)),ROUNDDOWN(MIN(IF(OR(ISBLANK(I37),I37=""),EOMONTH(DATE(EINSTELLUNG!$C$35,$A$1,1),0),I37)-MAX(D37,DATE(EINSTELLUNG!$C$35,$A$1,1))+1)/DAY(EOMONTH(DATE(EINSTELLUNG!$C$35,$A$1,1),0))*F37,2),"")</f>
        <v>86.5</v>
      </c>
      <c r="I37" s="57"/>
      <c r="J37" s="58"/>
      <c r="K37" s="152">
        <f t="shared" si="1"/>
        <v>0</v>
      </c>
      <c r="L37" s="15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9"/>
      <c r="N37" s="75"/>
      <c r="O37" s="307" t="s">
        <v>102</v>
      </c>
      <c r="P37" s="255"/>
      <c r="Q37" s="278">
        <f>IF(ISERROR(Q36/Q35), 0, Q36/Q35)</f>
        <v>0.25</v>
      </c>
      <c r="R37" s="278"/>
      <c r="S37" s="278">
        <f ca="1">IF(ISERROR(S36/S35), 0, S36/S35)</f>
        <v>0.35547532574712648</v>
      </c>
      <c r="T37" s="278"/>
      <c r="U37" s="278">
        <f t="shared" ca="1" si="2"/>
        <v>0.10547532574712648</v>
      </c>
      <c r="V37" s="279"/>
    </row>
    <row r="38" spans="1:22" ht="22" customHeight="1">
      <c r="A38" s="151" t="s">
        <v>103</v>
      </c>
      <c r="B38" s="101">
        <v>401722</v>
      </c>
      <c r="C38" s="45" t="s">
        <v>259</v>
      </c>
      <c r="D38" s="46">
        <v>45848</v>
      </c>
      <c r="E38" s="47" t="s">
        <v>2</v>
      </c>
      <c r="F38" s="48">
        <v>86.5</v>
      </c>
      <c r="G38" s="152">
        <f>IF(OR(E38="",F38=""),"",PID_KVLohnLookup($A$1,E38,F38,LOHNTABELLE!$H$4))</f>
        <v>2152</v>
      </c>
      <c r="H38" s="153">
        <f>IF(AND(ISNUMBER(D38),ISNUMBER(F38)),ROUNDDOWN(MIN(IF(OR(ISBLANK(I38),I38=""),EOMONTH(DATE(EINSTELLUNG!$C$35,$A$1,1),0),I38)-MAX(D38,DATE(EINSTELLUNG!$C$35,$A$1,1))+1)/DAY(EOMONTH(DATE(EINSTELLUNG!$C$35,$A$1,1),0))*F38,2),"")</f>
        <v>86.5</v>
      </c>
      <c r="I38" s="49"/>
      <c r="J38" s="50"/>
      <c r="K38" s="152">
        <f t="shared" si="1"/>
        <v>0</v>
      </c>
      <c r="L38" s="15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51"/>
      <c r="N38" s="74"/>
      <c r="O38" s="307" t="s">
        <v>104</v>
      </c>
      <c r="P38" s="255"/>
      <c r="Q38" s="269">
        <f>EINSTELLUNG!F11</f>
        <v>30000</v>
      </c>
      <c r="R38" s="269"/>
      <c r="S38" s="269">
        <f>EINSTELLUNG!F27</f>
        <v>31000</v>
      </c>
      <c r="T38" s="269"/>
      <c r="U38" s="269">
        <f t="shared" si="2"/>
        <v>1000</v>
      </c>
      <c r="V38" s="270"/>
    </row>
    <row r="39" spans="1:22" ht="22" customHeight="1">
      <c r="A39" s="151" t="s">
        <v>105</v>
      </c>
      <c r="B39" s="102">
        <v>401723</v>
      </c>
      <c r="C39" s="53" t="s">
        <v>260</v>
      </c>
      <c r="D39" s="54">
        <v>45852</v>
      </c>
      <c r="E39" s="55" t="s">
        <v>2</v>
      </c>
      <c r="F39" s="56">
        <v>86.5</v>
      </c>
      <c r="G39" s="152">
        <f>IF(OR(E39="",F39=""),"",PID_KVLohnLookup($A$1,E39,F39,LOHNTABELLE!$H$4))</f>
        <v>2152</v>
      </c>
      <c r="H39" s="153">
        <f>IF(AND(ISNUMBER(D39),ISNUMBER(F39)),ROUNDDOWN(MIN(IF(OR(ISBLANK(I39),I39=""),EOMONTH(DATE(EINSTELLUNG!$C$35,$A$1,1),0),I39)-MAX(D39,DATE(EINSTELLUNG!$C$35,$A$1,1))+1)/DAY(EOMONTH(DATE(EINSTELLUNG!$C$35,$A$1,1),0))*F39,2),"")</f>
        <v>86.5</v>
      </c>
      <c r="I39" s="57"/>
      <c r="J39" s="58"/>
      <c r="K39" s="152">
        <f t="shared" si="1"/>
        <v>0</v>
      </c>
      <c r="L39" s="15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9"/>
      <c r="N39" s="75"/>
      <c r="O39" s="307" t="s">
        <v>106</v>
      </c>
      <c r="P39" s="255"/>
      <c r="Q39" s="256">
        <f>IF(Q38=0, 0, Q35/Q38)</f>
        <v>13.333333333333334</v>
      </c>
      <c r="R39" s="256"/>
      <c r="S39" s="256">
        <f>IF(S38=0, 0, S35/S38)</f>
        <v>14.03225806451613</v>
      </c>
      <c r="T39" s="256"/>
      <c r="U39" s="256">
        <f t="shared" si="2"/>
        <v>0.69892473118279597</v>
      </c>
      <c r="V39" s="257"/>
    </row>
    <row r="40" spans="1:22" ht="22" customHeight="1">
      <c r="A40" s="151" t="s">
        <v>107</v>
      </c>
      <c r="B40" s="101">
        <v>401726</v>
      </c>
      <c r="C40" s="45" t="s">
        <v>261</v>
      </c>
      <c r="D40" s="46">
        <v>45870</v>
      </c>
      <c r="E40" s="47" t="s">
        <v>2</v>
      </c>
      <c r="F40" s="48">
        <v>86.5</v>
      </c>
      <c r="G40" s="152">
        <f>IF(OR(E40="",F40=""),"",PID_KVLohnLookup($A$1,E40,F40,LOHNTABELLE!$H$4))</f>
        <v>2152</v>
      </c>
      <c r="H40" s="153">
        <f>IF(AND(ISNUMBER(D40),ISNUMBER(F40)),ROUNDDOWN(MIN(IF(OR(ISBLANK(I40),I40=""),EOMONTH(DATE(EINSTELLUNG!$C$35,$A$1,1),0),I40)-MAX(D40,DATE(EINSTELLUNG!$C$35,$A$1,1))+1)/DAY(EOMONTH(DATE(EINSTELLUNG!$C$35,$A$1,1),0))*F40,2),"")</f>
        <v>86.5</v>
      </c>
      <c r="I40" s="49"/>
      <c r="J40" s="50"/>
      <c r="K40" s="152">
        <f t="shared" si="1"/>
        <v>0</v>
      </c>
      <c r="L40" s="15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51"/>
      <c r="N40" s="74"/>
      <c r="O40" s="307" t="s">
        <v>108</v>
      </c>
      <c r="P40" s="255"/>
      <c r="Q40" s="256">
        <f>IF(Q12=0, 0, Q35/Q12)</f>
        <v>4000</v>
      </c>
      <c r="R40" s="256"/>
      <c r="S40" s="256">
        <f>IF(Q12=0, 0, S35/Q12)</f>
        <v>4350</v>
      </c>
      <c r="T40" s="256"/>
      <c r="U40" s="256">
        <f t="shared" si="2"/>
        <v>350</v>
      </c>
      <c r="V40" s="257"/>
    </row>
    <row r="41" spans="1:22" ht="22" customHeight="1">
      <c r="A41" s="151" t="s">
        <v>109</v>
      </c>
      <c r="B41" s="102">
        <v>401730</v>
      </c>
      <c r="C41" s="53" t="s">
        <v>263</v>
      </c>
      <c r="D41" s="57">
        <v>45895</v>
      </c>
      <c r="E41" s="55" t="s">
        <v>2</v>
      </c>
      <c r="F41" s="56">
        <v>86.5</v>
      </c>
      <c r="G41" s="152">
        <f>IF(OR(E41="",F41=""),"",PID_KVLohnLookup($A$1,E41,F41,LOHNTABELLE!$H$4))</f>
        <v>2152</v>
      </c>
      <c r="H41" s="153">
        <f>IF(AND(ISNUMBER(D41),ISNUMBER(F41)),ROUNDDOWN(MIN(IF(OR(ISBLANK(I41),I41=""),EOMONTH(DATE(EINSTELLUNG!$C$35,$A$1,1),0),I41)-MAX(D41,DATE(EINSTELLUNG!$C$35,$A$1,1))+1)/DAY(EOMONTH(DATE(EINSTELLUNG!$C$35,$A$1,1),0))*F41,2),"")</f>
        <v>86.5</v>
      </c>
      <c r="I41" s="57"/>
      <c r="J41" s="58"/>
      <c r="K41" s="152">
        <f t="shared" si="1"/>
        <v>0</v>
      </c>
      <c r="L41" s="15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9"/>
      <c r="N41" s="75"/>
      <c r="O41" s="307" t="s">
        <v>110</v>
      </c>
      <c r="P41" s="255"/>
      <c r="Q41" s="269">
        <f>IF(Q12=0, 0, Q38/Q12)</f>
        <v>300</v>
      </c>
      <c r="R41" s="269"/>
      <c r="S41" s="269">
        <f>IF(Q12=0, 0, S38/Q12)</f>
        <v>310</v>
      </c>
      <c r="T41" s="269"/>
      <c r="U41" s="269">
        <f t="shared" si="2"/>
        <v>10</v>
      </c>
      <c r="V41" s="270"/>
    </row>
    <row r="42" spans="1:22" ht="22" customHeight="1">
      <c r="A42" s="151" t="s">
        <v>111</v>
      </c>
      <c r="B42" s="101">
        <v>401731</v>
      </c>
      <c r="C42" s="45" t="s">
        <v>262</v>
      </c>
      <c r="D42" s="46">
        <v>45899</v>
      </c>
      <c r="E42" s="47" t="s">
        <v>2</v>
      </c>
      <c r="F42" s="48">
        <v>86.5</v>
      </c>
      <c r="G42" s="152">
        <f>IF(OR(E42="",F42=""),"",PID_KVLohnLookup($A$1,E42,F42,LOHNTABELLE!$H$4))</f>
        <v>2152</v>
      </c>
      <c r="H42" s="153">
        <f>IF(AND(ISNUMBER(D42),ISNUMBER(F42)),ROUNDDOWN(MIN(IF(OR(ISBLANK(I42),I42=""),EOMONTH(DATE(EINSTELLUNG!$C$35,$A$1,1),0),I42)-MAX(D42,DATE(EINSTELLUNG!$C$35,$A$1,1))+1)/DAY(EOMONTH(DATE(EINSTELLUNG!$C$35,$A$1,1),0))*F42,2),"")</f>
        <v>86.5</v>
      </c>
      <c r="I42" s="49"/>
      <c r="J42" s="50"/>
      <c r="K42" s="152">
        <f t="shared" si="1"/>
        <v>0</v>
      </c>
      <c r="L42" s="15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51"/>
      <c r="N42" s="74"/>
      <c r="O42" s="306" t="s">
        <v>112</v>
      </c>
      <c r="P42" s="263"/>
      <c r="Q42" s="264">
        <f>IFERROR(Q17/Q8, 0)</f>
        <v>16.351464802145202</v>
      </c>
      <c r="R42" s="264"/>
      <c r="S42" s="264"/>
      <c r="T42" s="264"/>
      <c r="U42" s="264"/>
      <c r="V42" s="265"/>
    </row>
    <row r="43" spans="1:22" ht="22" customHeight="1">
      <c r="A43" s="151" t="s">
        <v>113</v>
      </c>
      <c r="B43" s="102">
        <v>401734</v>
      </c>
      <c r="C43" s="53" t="s">
        <v>264</v>
      </c>
      <c r="D43" s="54">
        <v>45904</v>
      </c>
      <c r="E43" s="55" t="s">
        <v>2</v>
      </c>
      <c r="F43" s="56">
        <v>86.5</v>
      </c>
      <c r="G43" s="152">
        <f>IF(OR(E43="",F43=""),"",PID_KVLohnLookup($A$1,E43,F43,LOHNTABELLE!$H$4))</f>
        <v>2152</v>
      </c>
      <c r="H43" s="153">
        <f>IF(AND(ISNUMBER(D43),ISNUMBER(F43)),ROUNDDOWN(MIN(IF(OR(ISBLANK(I43),I43=""),EOMONTH(DATE(EINSTELLUNG!$C$35,$A$1,1),0),I43)-MAX(D43,DATE(EINSTELLUNG!$C$35,$A$1,1))+1)/DAY(EOMONTH(DATE(EINSTELLUNG!$C$35,$A$1,1),0))*F43,2),"")</f>
        <v>86.5</v>
      </c>
      <c r="I43" s="57"/>
      <c r="J43" s="58"/>
      <c r="K43" s="152">
        <f t="shared" si="1"/>
        <v>0</v>
      </c>
      <c r="L43" s="15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9"/>
      <c r="N43" s="75"/>
      <c r="O43" s="164"/>
      <c r="P43" s="164"/>
      <c r="Q43" s="164"/>
      <c r="R43" s="149"/>
      <c r="S43" s="149"/>
      <c r="T43" s="149"/>
      <c r="U43" s="149"/>
      <c r="V43" s="149"/>
    </row>
    <row r="44" spans="1:22" ht="22" customHeight="1">
      <c r="A44" s="151" t="s">
        <v>114</v>
      </c>
      <c r="B44" s="101">
        <v>401737</v>
      </c>
      <c r="C44" s="45" t="s">
        <v>266</v>
      </c>
      <c r="D44" s="46">
        <v>45906</v>
      </c>
      <c r="E44" s="47" t="s">
        <v>2</v>
      </c>
      <c r="F44" s="48">
        <v>86.5</v>
      </c>
      <c r="G44" s="152">
        <f>IF(OR(E44="",F44=""),"",PID_KVLohnLookup($A$1,E44,F44,LOHNTABELLE!$H$4))</f>
        <v>2152</v>
      </c>
      <c r="H44" s="153">
        <f>IF(AND(ISNUMBER(D44),ISNUMBER(F44)),ROUNDDOWN(MIN(IF(OR(ISBLANK(I44),I44=""),EOMONTH(DATE(EINSTELLUNG!$C$35,$A$1,1),0),I44)-MAX(D44,DATE(EINSTELLUNG!$C$35,$A$1,1))+1)/DAY(EOMONTH(DATE(EINSTELLUNG!$C$35,$A$1,1),0))*F44,2),"")</f>
        <v>86.5</v>
      </c>
      <c r="I44" s="49"/>
      <c r="J44" s="50"/>
      <c r="K44" s="152">
        <f t="shared" si="1"/>
        <v>0</v>
      </c>
      <c r="L44" s="15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51"/>
      <c r="N44" s="74"/>
      <c r="O44" s="275" t="s">
        <v>115</v>
      </c>
      <c r="P44" s="275"/>
      <c r="Q44" s="275"/>
      <c r="R44" s="275"/>
      <c r="S44" s="275"/>
      <c r="T44" s="275"/>
      <c r="U44" s="275"/>
      <c r="V44" s="275"/>
    </row>
    <row r="45" spans="1:22" ht="22" customHeight="1">
      <c r="A45" s="151" t="s">
        <v>116</v>
      </c>
      <c r="B45" s="102">
        <v>401738</v>
      </c>
      <c r="C45" s="70" t="s">
        <v>267</v>
      </c>
      <c r="D45" s="57">
        <v>45909</v>
      </c>
      <c r="E45" s="55" t="s">
        <v>2</v>
      </c>
      <c r="F45" s="56">
        <v>86.5</v>
      </c>
      <c r="G45" s="152">
        <f>IF(OR(E45="",F45=""),"",PID_KVLohnLookup($A$1,E45,F45,LOHNTABELLE!$H$4))</f>
        <v>2152</v>
      </c>
      <c r="H45" s="153">
        <f>IF(AND(ISNUMBER(D45),ISNUMBER(F45)),ROUNDDOWN(MIN(IF(OR(ISBLANK(I45),I45=""),EOMONTH(DATE(EINSTELLUNG!$C$35,$A$1,1),0),I45)-MAX(D45,DATE(EINSTELLUNG!$C$35,$A$1,1))+1)/DAY(EOMONTH(DATE(EINSTELLUNG!$C$35,$A$1,1),0))*F45,2),"")</f>
        <v>86.5</v>
      </c>
      <c r="I45" s="57"/>
      <c r="J45" s="58"/>
      <c r="K45" s="152">
        <f t="shared" si="1"/>
        <v>0</v>
      </c>
      <c r="L45" s="15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9"/>
      <c r="N45" s="75"/>
      <c r="O45" s="276" t="s">
        <v>408</v>
      </c>
      <c r="P45" s="276"/>
      <c r="Q45" s="276"/>
      <c r="R45" s="277"/>
      <c r="S45" s="277"/>
      <c r="T45" s="277"/>
      <c r="U45" s="277"/>
      <c r="V45" s="149"/>
    </row>
    <row r="46" spans="1:22" ht="22" customHeight="1">
      <c r="A46" s="151" t="s">
        <v>117</v>
      </c>
      <c r="B46" s="101">
        <v>401745</v>
      </c>
      <c r="C46" s="45" t="s">
        <v>271</v>
      </c>
      <c r="D46" s="46">
        <v>45934</v>
      </c>
      <c r="E46" s="47" t="s">
        <v>2</v>
      </c>
      <c r="F46" s="48">
        <v>86.5</v>
      </c>
      <c r="G46" s="152">
        <f>IF(OR(E46="",F46=""),"",PID_KVLohnLookup($A$1,E46,F46,LOHNTABELLE!$H$4))</f>
        <v>2152</v>
      </c>
      <c r="H46" s="153">
        <f>IF(AND(ISNUMBER(D46),ISNUMBER(F46)),ROUNDDOWN(MIN(IF(OR(ISBLANK(I46),I46=""),EOMONTH(DATE(EINSTELLUNG!$C$35,$A$1,1),0),I46)-MAX(D46,DATE(EINSTELLUNG!$C$35,$A$1,1))+1)/DAY(EOMONTH(DATE(EINSTELLUNG!$C$35,$A$1,1),0))*F46,2),"")</f>
        <v>86.5</v>
      </c>
      <c r="I46" s="49"/>
      <c r="J46" s="50"/>
      <c r="K46" s="152">
        <f t="shared" si="1"/>
        <v>0</v>
      </c>
      <c r="L46" s="15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51"/>
      <c r="N46" s="74"/>
      <c r="O46" s="149"/>
      <c r="P46" s="149"/>
      <c r="Q46" s="149"/>
      <c r="R46" s="149"/>
      <c r="S46" s="149"/>
      <c r="T46" s="149"/>
      <c r="U46" s="149"/>
      <c r="V46" s="149"/>
    </row>
    <row r="47" spans="1:22" ht="22" customHeight="1">
      <c r="A47" s="151" t="s">
        <v>118</v>
      </c>
      <c r="B47" s="102">
        <v>401746</v>
      </c>
      <c r="C47" s="53" t="s">
        <v>270</v>
      </c>
      <c r="D47" s="54">
        <v>45941</v>
      </c>
      <c r="E47" s="55" t="s">
        <v>2</v>
      </c>
      <c r="F47" s="56">
        <v>86.5</v>
      </c>
      <c r="G47" s="152">
        <f>IF(OR(E47="",F47=""),"",PID_KVLohnLookup($A$1,E47,F47,LOHNTABELLE!$H$4))</f>
        <v>2152</v>
      </c>
      <c r="H47" s="153">
        <f>IF(AND(ISNUMBER(D47),ISNUMBER(F47)),ROUNDDOWN(MIN(IF(OR(ISBLANK(I47),I47=""),EOMONTH(DATE(EINSTELLUNG!$C$35,$A$1,1),0),I47)-MAX(D47,DATE(EINSTELLUNG!$C$35,$A$1,1))+1)/DAY(EOMONTH(DATE(EINSTELLUNG!$C$35,$A$1,1),0))*F47,2),"")</f>
        <v>86.5</v>
      </c>
      <c r="I47" s="57"/>
      <c r="J47" s="58"/>
      <c r="K47" s="152">
        <f t="shared" si="1"/>
        <v>0</v>
      </c>
      <c r="L47" s="15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9"/>
      <c r="N47" s="75"/>
      <c r="O47" s="149"/>
      <c r="P47" s="149"/>
      <c r="Q47" s="149"/>
      <c r="R47" s="149"/>
      <c r="S47" s="149"/>
      <c r="T47" s="149"/>
      <c r="U47" s="149"/>
      <c r="V47" s="149"/>
    </row>
    <row r="48" spans="1:22" ht="22" customHeight="1">
      <c r="A48" s="151" t="s">
        <v>119</v>
      </c>
      <c r="B48" s="101">
        <v>401747</v>
      </c>
      <c r="C48" s="45" t="s">
        <v>268</v>
      </c>
      <c r="D48" s="46">
        <v>45941</v>
      </c>
      <c r="E48" s="47" t="s">
        <v>2</v>
      </c>
      <c r="F48" s="48">
        <v>86.5</v>
      </c>
      <c r="G48" s="152">
        <f>IF(OR(E48="",F48=""),"",PID_KVLohnLookup($A$1,E48,F48,LOHNTABELLE!$H$4))</f>
        <v>2152</v>
      </c>
      <c r="H48" s="153">
        <f>IF(AND(ISNUMBER(D48),ISNUMBER(F48)),ROUNDDOWN(MIN(IF(OR(ISBLANK(I48),I48=""),EOMONTH(DATE(EINSTELLUNG!$C$35,$A$1,1),0),I48)-MAX(D48,DATE(EINSTELLUNG!$C$35,$A$1,1))+1)/DAY(EOMONTH(DATE(EINSTELLUNG!$C$35,$A$1,1),0))*F48,2),"")</f>
        <v>86.5</v>
      </c>
      <c r="I48" s="49"/>
      <c r="J48" s="50"/>
      <c r="K48" s="152">
        <f t="shared" si="1"/>
        <v>0</v>
      </c>
      <c r="L48" s="15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51"/>
      <c r="N48" s="74"/>
      <c r="O48" s="149"/>
      <c r="P48" s="149"/>
      <c r="Q48" s="149"/>
      <c r="R48" s="149"/>
      <c r="S48" s="149"/>
      <c r="T48" s="149"/>
      <c r="U48" s="149"/>
      <c r="V48" s="149"/>
    </row>
    <row r="49" spans="1:22" ht="22" customHeight="1">
      <c r="A49" s="151" t="s">
        <v>120</v>
      </c>
      <c r="B49" s="102">
        <v>401748</v>
      </c>
      <c r="C49" s="53" t="s">
        <v>269</v>
      </c>
      <c r="D49" s="54">
        <v>45941</v>
      </c>
      <c r="E49" s="55" t="s">
        <v>2</v>
      </c>
      <c r="F49" s="56">
        <v>138.4</v>
      </c>
      <c r="G49" s="152">
        <f>IF(OR(E49="",F49=""),"",PID_KVLohnLookup($A$1,E49,F49,LOHNTABELLE!$H$4))</f>
        <v>2400</v>
      </c>
      <c r="H49" s="153">
        <f>IF(AND(ISNUMBER(D49),ISNUMBER(F49)),ROUNDDOWN(MIN(IF(OR(ISBLANK(I49),I49=""),EOMONTH(DATE(EINSTELLUNG!$C$35,$A$1,1),0),I49)-MAX(D49,DATE(EINSTELLUNG!$C$35,$A$1,1))+1)/DAY(EOMONTH(DATE(EINSTELLUNG!$C$35,$A$1,1),0))*F49,2),"")</f>
        <v>138.4</v>
      </c>
      <c r="I49" s="57"/>
      <c r="J49" s="58"/>
      <c r="K49" s="152">
        <f t="shared" si="1"/>
        <v>0</v>
      </c>
      <c r="L49" s="15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2400</v>
      </c>
      <c r="M49" s="59"/>
      <c r="N49" s="75"/>
      <c r="O49" s="149"/>
      <c r="P49" s="149"/>
      <c r="Q49" s="149"/>
      <c r="R49" s="149"/>
      <c r="S49" s="149"/>
      <c r="T49" s="149"/>
      <c r="U49" s="149"/>
      <c r="V49" s="149"/>
    </row>
    <row r="50" spans="1:22" ht="22" customHeight="1">
      <c r="A50" s="151" t="s">
        <v>121</v>
      </c>
      <c r="B50" s="101">
        <v>401751</v>
      </c>
      <c r="C50" s="45" t="s">
        <v>272</v>
      </c>
      <c r="D50" s="46">
        <v>45961</v>
      </c>
      <c r="E50" s="47" t="s">
        <v>2</v>
      </c>
      <c r="F50" s="48">
        <v>86.5</v>
      </c>
      <c r="G50" s="152">
        <f>IF(OR(E50="",F50=""),"",PID_KVLohnLookup($A$1,E50,F50,LOHNTABELLE!$H$4))</f>
        <v>2152</v>
      </c>
      <c r="H50" s="153">
        <f>IF(AND(ISNUMBER(D50),ISNUMBER(F50)),ROUNDDOWN(MIN(IF(OR(ISBLANK(I50),I50=""),EOMONTH(DATE(EINSTELLUNG!$C$35,$A$1,1),0),I50)-MAX(D50,DATE(EINSTELLUNG!$C$35,$A$1,1))+1)/DAY(EOMONTH(DATE(EINSTELLUNG!$C$35,$A$1,1),0))*F50,2),"")</f>
        <v>86.5</v>
      </c>
      <c r="I50" s="49"/>
      <c r="J50" s="50"/>
      <c r="K50" s="152">
        <f t="shared" si="1"/>
        <v>0</v>
      </c>
      <c r="L50" s="15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2152</v>
      </c>
      <c r="M50" s="51"/>
      <c r="N50" s="74"/>
      <c r="O50" s="149"/>
      <c r="P50" s="149"/>
      <c r="Q50" s="149"/>
      <c r="R50" s="149"/>
      <c r="S50" s="149"/>
      <c r="T50" s="149"/>
      <c r="U50" s="149"/>
      <c r="V50" s="149"/>
    </row>
    <row r="51" spans="1:22" ht="22" customHeight="1">
      <c r="A51" s="151" t="s">
        <v>122</v>
      </c>
      <c r="B51" s="102">
        <v>401752</v>
      </c>
      <c r="C51" s="53" t="s">
        <v>273</v>
      </c>
      <c r="D51" s="54">
        <v>45986</v>
      </c>
      <c r="E51" s="55" t="s">
        <v>2</v>
      </c>
      <c r="F51" s="56">
        <v>173</v>
      </c>
      <c r="G51" s="152">
        <f>IF(OR(E51="",F51=""),"",PID_KVLohnLookup($A$1,E51,F51,LOHNTABELLE!$H$4))</f>
        <v>2900</v>
      </c>
      <c r="H51" s="153">
        <f>IF(AND(ISNUMBER(D51),ISNUMBER(F51)),ROUNDDOWN(MIN(IF(OR(ISBLANK(I51),I51=""),EOMONTH(DATE(EINSTELLUNG!$C$35,$A$1,1),0),I51)-MAX(D51,DATE(EINSTELLUNG!$C$35,$A$1,1))+1)/DAY(EOMONTH(DATE(EINSTELLUNG!$C$35,$A$1,1),0))*F51,2),"")</f>
        <v>173</v>
      </c>
      <c r="I51" s="57"/>
      <c r="J51" s="58"/>
      <c r="K51" s="152">
        <f t="shared" si="1"/>
        <v>0</v>
      </c>
      <c r="L51" s="15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59"/>
      <c r="N51" s="75"/>
    </row>
    <row r="52" spans="1:22" ht="22" customHeight="1">
      <c r="A52" s="151" t="s">
        <v>123</v>
      </c>
      <c r="B52" s="101">
        <v>401999</v>
      </c>
      <c r="C52" s="45" t="s">
        <v>358</v>
      </c>
      <c r="D52" s="46">
        <v>46041</v>
      </c>
      <c r="E52" s="47" t="s">
        <v>2</v>
      </c>
      <c r="F52" s="48">
        <v>151.38</v>
      </c>
      <c r="G52" s="152">
        <f>IF(OR(E52="",F52=""),"",PID_KVLohnLookup($A$1,E52,F52,LOHNTABELLE!$H$4))</f>
        <v>2500</v>
      </c>
      <c r="H52" s="153">
        <f>IF(AND(ISNUMBER(D52),ISNUMBER(F52)),ROUNDDOWN(MIN(IF(OR(ISBLANK(I52),I52=""),EOMONTH(DATE(EINSTELLUNG!$C$35,$A$1,1),0),I52)-MAX(D52,DATE(EINSTELLUNG!$C$35,$A$1,1))+1)/DAY(EOMONTH(DATE(EINSTELLUNG!$C$35,$A$1,1),0))*F52,2),"")</f>
        <v>151.38</v>
      </c>
      <c r="I52" s="49"/>
      <c r="J52" s="50"/>
      <c r="K52" s="152">
        <f t="shared" si="1"/>
        <v>0</v>
      </c>
      <c r="L52" s="15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2500</v>
      </c>
      <c r="M52" s="51"/>
      <c r="N52" s="74"/>
    </row>
    <row r="53" spans="1:22" ht="22" customHeight="1">
      <c r="A53" s="151" t="s">
        <v>124</v>
      </c>
      <c r="B53" s="102">
        <v>401999</v>
      </c>
      <c r="C53" s="53" t="s">
        <v>295</v>
      </c>
      <c r="D53" s="57">
        <v>46082</v>
      </c>
      <c r="E53" s="55" t="s">
        <v>2</v>
      </c>
      <c r="F53" s="56">
        <v>173</v>
      </c>
      <c r="G53" s="152">
        <f>IF(OR(E53="",F53=""),"",PID_KVLohnLookup($A$1,E53,F53,LOHNTABELLE!$H$4))</f>
        <v>2900</v>
      </c>
      <c r="H53" s="153">
        <f>IF(AND(ISNUMBER(D53),ISNUMBER(F53)),ROUNDDOWN(MIN(IF(OR(ISBLANK(I53),I53=""),EOMONTH(DATE(EINSTELLUNG!$C$35,$A$1,1),0),I53)-MAX(D53,DATE(EINSTELLUNG!$C$35,$A$1,1))+1)/DAY(EOMONTH(DATE(EINSTELLUNG!$C$35,$A$1,1),0))*F53,2),"")</f>
        <v>173</v>
      </c>
      <c r="I53" s="57"/>
      <c r="J53" s="58"/>
      <c r="K53" s="152">
        <f t="shared" si="1"/>
        <v>0</v>
      </c>
      <c r="L53" s="15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9"/>
      <c r="N53" s="75"/>
    </row>
    <row r="54" spans="1:22" ht="22" customHeight="1">
      <c r="A54" s="151" t="s">
        <v>125</v>
      </c>
      <c r="B54" s="101">
        <v>402000</v>
      </c>
      <c r="C54" s="45" t="s">
        <v>298</v>
      </c>
      <c r="D54" s="49">
        <v>46143</v>
      </c>
      <c r="E54" s="47" t="s">
        <v>2</v>
      </c>
      <c r="F54" s="48">
        <v>173</v>
      </c>
      <c r="G54" s="152">
        <f>IF(OR(E54="",F54=""),"",PID_KVLohnLookup($A$1,E54,F54,LOHNTABELLE!$H$4))</f>
        <v>2900</v>
      </c>
      <c r="H54" s="153">
        <f>IF(AND(ISNUMBER(D54),ISNUMBER(F54)),ROUNDDOWN(MIN(IF(OR(ISBLANK(I54),I54=""),EOMONTH(DATE(EINSTELLUNG!$C$35,$A$1,1),0),I54)-MAX(D54,DATE(EINSTELLUNG!$C$35,$A$1,1))+1)/DAY(EOMONTH(DATE(EINSTELLUNG!$C$35,$A$1,1),0))*F54,2),"")</f>
        <v>173</v>
      </c>
      <c r="I54" s="49"/>
      <c r="J54" s="50"/>
      <c r="K54" s="152">
        <f t="shared" si="1"/>
        <v>0</v>
      </c>
      <c r="L54" s="15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51"/>
      <c r="N54" s="74"/>
    </row>
    <row r="55" spans="1:22" ht="22" customHeight="1">
      <c r="A55" s="151" t="s">
        <v>126</v>
      </c>
      <c r="B55" s="102">
        <v>402004</v>
      </c>
      <c r="C55" s="53" t="s">
        <v>299</v>
      </c>
      <c r="D55" s="57">
        <v>46122</v>
      </c>
      <c r="E55" s="55" t="s">
        <v>2</v>
      </c>
      <c r="F55" s="56">
        <v>173</v>
      </c>
      <c r="G55" s="152">
        <f>IF(OR(E55="",F55=""),"",PID_KVLohnLookup($A$1,E55,F55,LOHNTABELLE!$H$4))</f>
        <v>2900</v>
      </c>
      <c r="H55" s="153">
        <f>IF(AND(ISNUMBER(D55),ISNUMBER(F55)),ROUNDDOWN(MIN(IF(OR(ISBLANK(I55),I55=""),EOMONTH(DATE(EINSTELLUNG!$C$35,$A$1,1),0),I55)-MAX(D55,DATE(EINSTELLUNG!$C$35,$A$1,1))+1)/DAY(EOMONTH(DATE(EINSTELLUNG!$C$35,$A$1,1),0))*F55,2),"")</f>
        <v>173</v>
      </c>
      <c r="I55" s="57"/>
      <c r="J55" s="58"/>
      <c r="K55" s="152">
        <f t="shared" si="1"/>
        <v>0</v>
      </c>
      <c r="L55" s="15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9"/>
      <c r="N55" s="75"/>
    </row>
    <row r="56" spans="1:22" ht="22" customHeight="1">
      <c r="A56" s="151" t="s">
        <v>127</v>
      </c>
      <c r="B56" s="101">
        <v>402405</v>
      </c>
      <c r="C56" s="45" t="s">
        <v>301</v>
      </c>
      <c r="D56" s="49">
        <v>46054</v>
      </c>
      <c r="E56" s="47" t="s">
        <v>2</v>
      </c>
      <c r="F56" s="48">
        <v>173</v>
      </c>
      <c r="G56" s="152">
        <f>IF(OR(E56="",F56=""),"",PID_KVLohnLookup($A$1,E56,F56,LOHNTABELLE!$H$4))</f>
        <v>2900</v>
      </c>
      <c r="H56" s="153">
        <f>IF(AND(ISNUMBER(D56),ISNUMBER(F56)),ROUNDDOWN(MIN(IF(OR(ISBLANK(I56),I56=""),EOMONTH(DATE(EINSTELLUNG!$C$35,$A$1,1),0),I56)-MAX(D56,DATE(EINSTELLUNG!$C$35,$A$1,1))+1)/DAY(EOMONTH(DATE(EINSTELLUNG!$C$35,$A$1,1),0))*F56,2),"")</f>
        <v>173</v>
      </c>
      <c r="I56" s="49"/>
      <c r="J56" s="50"/>
      <c r="K56" s="152">
        <f t="shared" si="1"/>
        <v>0</v>
      </c>
      <c r="L56" s="15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51"/>
      <c r="N56" s="74"/>
    </row>
    <row r="57" spans="1:22" ht="22" customHeight="1">
      <c r="A57" s="151" t="s">
        <v>128</v>
      </c>
      <c r="B57" s="102">
        <v>500600</v>
      </c>
      <c r="C57" s="53" t="s">
        <v>305</v>
      </c>
      <c r="D57" s="57">
        <v>46054</v>
      </c>
      <c r="E57" s="55" t="s">
        <v>2</v>
      </c>
      <c r="F57" s="56">
        <v>173</v>
      </c>
      <c r="G57" s="152">
        <f>IF(OR(E57="",F57=""),"",PID_KVLohnLookup($A$1,E57,F57,LOHNTABELLE!$H$4))</f>
        <v>2900</v>
      </c>
      <c r="H57" s="153">
        <f>IF(AND(ISNUMBER(D57),ISNUMBER(F57)),ROUNDDOWN(MIN(IF(OR(ISBLANK(I57),I57=""),EOMONTH(DATE(EINSTELLUNG!$C$35,$A$1,1),0),I57)-MAX(D57,DATE(EINSTELLUNG!$C$35,$A$1,1))+1)/DAY(EOMONTH(DATE(EINSTELLUNG!$C$35,$A$1,1),0))*F57,2),"")</f>
        <v>173</v>
      </c>
      <c r="I57" s="57"/>
      <c r="J57" s="58"/>
      <c r="K57" s="152">
        <f t="shared" si="1"/>
        <v>0</v>
      </c>
      <c r="L57" s="15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9"/>
      <c r="N57" s="75"/>
    </row>
    <row r="58" spans="1:22" ht="22" customHeight="1">
      <c r="A58" s="151" t="s">
        <v>129</v>
      </c>
      <c r="B58" s="101">
        <v>502000</v>
      </c>
      <c r="C58" s="45" t="s">
        <v>300</v>
      </c>
      <c r="D58" s="49">
        <v>46147</v>
      </c>
      <c r="E58" s="47" t="s">
        <v>2</v>
      </c>
      <c r="F58" s="48">
        <v>173</v>
      </c>
      <c r="G58" s="152">
        <f>IF(OR(E58="",F58=""),"",PID_KVLohnLookup($A$1,E58,F58,LOHNTABELLE!$H$4))</f>
        <v>2900</v>
      </c>
      <c r="H58" s="153">
        <f>IF(AND(ISNUMBER(D58),ISNUMBER(F58)),ROUNDDOWN(MIN(IF(OR(ISBLANK(I58),I58=""),EOMONTH(DATE(EINSTELLUNG!$C$35,$A$1,1),0),I58)-MAX(D58,DATE(EINSTELLUNG!$C$35,$A$1,1))+1)/DAY(EOMONTH(DATE(EINSTELLUNG!$C$35,$A$1,1),0))*F58,2),"")</f>
        <v>173</v>
      </c>
      <c r="I58" s="49"/>
      <c r="J58" s="50"/>
      <c r="K58" s="152">
        <f t="shared" si="1"/>
        <v>0</v>
      </c>
      <c r="L58" s="15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51"/>
      <c r="N58" s="74"/>
    </row>
    <row r="59" spans="1:22" ht="22" customHeight="1">
      <c r="A59" s="151" t="s">
        <v>130</v>
      </c>
      <c r="B59" s="102">
        <v>503000</v>
      </c>
      <c r="C59" s="53" t="s">
        <v>302</v>
      </c>
      <c r="D59" s="57">
        <v>42401</v>
      </c>
      <c r="E59" s="55" t="s">
        <v>2</v>
      </c>
      <c r="F59" s="56">
        <v>173</v>
      </c>
      <c r="G59" s="152">
        <f>IF(OR(E59="",F59=""),"",PID_KVLohnLookup($A$1,E59,F59,LOHNTABELLE!$H$4))</f>
        <v>2900</v>
      </c>
      <c r="H59" s="153">
        <f>IF(AND(ISNUMBER(D59),ISNUMBER(F59)),ROUNDDOWN(MIN(IF(OR(ISBLANK(I59),I59=""),EOMONTH(DATE(EINSTELLUNG!$C$35,$A$1,1),0),I59)-MAX(D59,DATE(EINSTELLUNG!$C$35,$A$1,1))+1)/DAY(EOMONTH(DATE(EINSTELLUNG!$C$35,$A$1,1),0))*F59,2),"")</f>
        <v>173</v>
      </c>
      <c r="I59" s="57"/>
      <c r="J59" s="58"/>
      <c r="K59" s="152">
        <f t="shared" si="1"/>
        <v>0</v>
      </c>
      <c r="L59" s="15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59"/>
      <c r="N59" s="75"/>
    </row>
    <row r="60" spans="1:22" ht="22" customHeight="1">
      <c r="A60" s="151" t="s">
        <v>131</v>
      </c>
      <c r="B60" s="101">
        <v>504000</v>
      </c>
      <c r="C60" s="45" t="s">
        <v>303</v>
      </c>
      <c r="D60" s="49">
        <v>46054</v>
      </c>
      <c r="E60" s="47" t="s">
        <v>3</v>
      </c>
      <c r="F60" s="48">
        <v>138.4</v>
      </c>
      <c r="G60" s="152">
        <f>IF(OR(E60="",F60=""),"",PID_KVLohnLookup($A$1,E60,F60,LOHNTABELLE!$H$4))</f>
        <v>1665.6</v>
      </c>
      <c r="H60" s="153">
        <f>IF(AND(ISNUMBER(D60),ISNUMBER(F60)),ROUNDDOWN(MIN(IF(OR(ISBLANK(I60),I60=""),EOMONTH(DATE(EINSTELLUNG!$C$35,$A$1,1),0),I60)-MAX(D60,DATE(EINSTELLUNG!$C$35,$A$1,1))+1)/DAY(EOMONTH(DATE(EINSTELLUNG!$C$35,$A$1,1),0))*F60,2),"")</f>
        <v>138.4</v>
      </c>
      <c r="I60" s="49"/>
      <c r="J60" s="50"/>
      <c r="K60" s="152">
        <f t="shared" si="1"/>
        <v>0</v>
      </c>
      <c r="L60" s="15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1665.6</v>
      </c>
      <c r="M60" s="51"/>
      <c r="N60" s="74"/>
    </row>
    <row r="61" spans="1:22" ht="22" customHeight="1">
      <c r="A61" s="151" t="s">
        <v>132</v>
      </c>
      <c r="B61" s="102">
        <v>505000</v>
      </c>
      <c r="C61" s="53" t="s">
        <v>304</v>
      </c>
      <c r="D61" s="57">
        <v>46054</v>
      </c>
      <c r="E61" s="55" t="s">
        <v>2</v>
      </c>
      <c r="F61" s="56">
        <v>138.4</v>
      </c>
      <c r="G61" s="152">
        <f>IF(OR(E61="",F61=""),"",PID_KVLohnLookup($A$1,E61,F61,LOHNTABELLE!$H$4))</f>
        <v>2400</v>
      </c>
      <c r="H61" s="153">
        <f>IF(AND(ISNUMBER(D61),ISNUMBER(F61)),ROUNDDOWN(MIN(IF(OR(ISBLANK(I61),I61=""),EOMONTH(DATE(EINSTELLUNG!$C$35,$A$1,1),0),I61)-MAX(D61,DATE(EINSTELLUNG!$C$35,$A$1,1))+1)/DAY(EOMONTH(DATE(EINSTELLUNG!$C$35,$A$1,1),0))*F61,2),"")</f>
        <v>138.4</v>
      </c>
      <c r="I61" s="57"/>
      <c r="J61" s="58"/>
      <c r="K61" s="152">
        <f t="shared" si="1"/>
        <v>0</v>
      </c>
      <c r="L61" s="15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2400</v>
      </c>
      <c r="M61" s="59"/>
      <c r="N61" s="75"/>
    </row>
    <row r="62" spans="1:22" ht="22" customHeight="1">
      <c r="A62" s="151" t="s">
        <v>133</v>
      </c>
      <c r="B62" s="101">
        <v>525025</v>
      </c>
      <c r="C62" s="45" t="s">
        <v>359</v>
      </c>
      <c r="D62" s="49">
        <v>46040</v>
      </c>
      <c r="E62" s="47" t="s">
        <v>2</v>
      </c>
      <c r="F62" s="48">
        <v>129.75</v>
      </c>
      <c r="G62" s="152">
        <f>IF(OR(E62="",F62=""),"",PID_KVLohnLookup($A$1,E62,F62,LOHNTABELLE!$H$4))</f>
        <v>2300</v>
      </c>
      <c r="H62" s="153">
        <f>IF(AND(ISNUMBER(D62),ISNUMBER(F62)),ROUNDDOWN(MIN(IF(OR(ISBLANK(I62),I62=""),EOMONTH(DATE(EINSTELLUNG!$C$35,$A$1,1),0),I62)-MAX(D62,DATE(EINSTELLUNG!$C$35,$A$1,1))+1)/DAY(EOMONTH(DATE(EINSTELLUNG!$C$35,$A$1,1),0))*F62,2),"")</f>
        <v>129.75</v>
      </c>
      <c r="I62" s="49"/>
      <c r="J62" s="50"/>
      <c r="K62" s="152">
        <f t="shared" si="1"/>
        <v>0</v>
      </c>
      <c r="L62" s="15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51"/>
      <c r="N62" s="74"/>
    </row>
    <row r="63" spans="1:22" ht="22" customHeight="1">
      <c r="A63" s="151" t="s">
        <v>134</v>
      </c>
      <c r="B63" s="102">
        <v>700000</v>
      </c>
      <c r="C63" s="53" t="s">
        <v>312</v>
      </c>
      <c r="D63" s="57">
        <v>46054</v>
      </c>
      <c r="E63" s="55" t="s">
        <v>2</v>
      </c>
      <c r="F63" s="56">
        <v>173</v>
      </c>
      <c r="G63" s="152">
        <f>IF(OR(E63="",F63=""),"",PID_KVLohnLookup($A$1,E63,F63,LOHNTABELLE!$H$4))</f>
        <v>2900</v>
      </c>
      <c r="H63" s="153">
        <f>IF(AND(ISNUMBER(D63),ISNUMBER(F63)),ROUNDDOWN(MIN(IF(OR(ISBLANK(I63),I63=""),EOMONTH(DATE(EINSTELLUNG!$C$35,$A$1,1),0),I63)-MAX(D63,DATE(EINSTELLUNG!$C$35,$A$1,1))+1)/DAY(EOMONTH(DATE(EINSTELLUNG!$C$35,$A$1,1),0))*F63,2),"")</f>
        <v>173</v>
      </c>
      <c r="I63" s="57"/>
      <c r="J63" s="58"/>
      <c r="K63" s="152">
        <f t="shared" si="1"/>
        <v>0</v>
      </c>
      <c r="L63" s="154">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2900</v>
      </c>
      <c r="M63" s="59"/>
      <c r="N63" s="75"/>
    </row>
    <row r="64" spans="1:22" ht="22" customHeight="1">
      <c r="A64" s="151" t="s">
        <v>135</v>
      </c>
      <c r="B64" s="101">
        <v>800000</v>
      </c>
      <c r="C64" s="45" t="s">
        <v>313</v>
      </c>
      <c r="D64" s="49">
        <v>46096</v>
      </c>
      <c r="E64" s="47" t="s">
        <v>2</v>
      </c>
      <c r="F64" s="48">
        <v>173</v>
      </c>
      <c r="G64" s="152">
        <f>IF(OR(E64="",F64=""),"",PID_KVLohnLookup($A$1,E64,F64,LOHNTABELLE!$H$4))</f>
        <v>2900</v>
      </c>
      <c r="H64" s="153">
        <f>IF(AND(ISNUMBER(D64),ISNUMBER(F64)),ROUNDDOWN(MIN(IF(OR(ISBLANK(I64),I64=""),EOMONTH(DATE(EINSTELLUNG!$C$35,$A$1,1),0),I64)-MAX(D64,DATE(EINSTELLUNG!$C$35,$A$1,1))+1)/DAY(EOMONTH(DATE(EINSTELLUNG!$C$35,$A$1,1),0))*F64,2),"")</f>
        <v>173</v>
      </c>
      <c r="I64" s="49"/>
      <c r="J64" s="50"/>
      <c r="K64" s="152">
        <f t="shared" si="1"/>
        <v>0</v>
      </c>
      <c r="L64" s="154">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2900</v>
      </c>
      <c r="M64" s="51"/>
      <c r="N64" s="74"/>
    </row>
    <row r="65" spans="1:14" ht="22" customHeight="1">
      <c r="A65" s="151" t="s">
        <v>136</v>
      </c>
      <c r="B65" s="102"/>
      <c r="C65" s="53"/>
      <c r="D65" s="57"/>
      <c r="E65" s="55"/>
      <c r="F65" s="56"/>
      <c r="G65" s="152" t="str">
        <f>IF(OR(E65="",F65=""),"",PID_KVLohnLookup($A$1,E65,F65,LOHNTABELLE!$H$4))</f>
        <v/>
      </c>
      <c r="H65" s="153" t="str">
        <f>IF(AND(ISNUMBER(D65),ISNUMBER(F65)),ROUNDDOWN(MIN(IF(OR(ISBLANK(I65),I65=""),EOMONTH(DATE(EINSTELLUNG!$C$35,$A$1,1),0),I65)-MAX(D65,DATE(EINSTELLUNG!$C$35,$A$1,1))+1)/DAY(EOMONTH(DATE(EINSTELLUNG!$C$35,$A$1,1),0))*F65,2),"")</f>
        <v/>
      </c>
      <c r="I65" s="57"/>
      <c r="J65" s="58"/>
      <c r="K65" s="152" t="str">
        <f t="shared" si="1"/>
        <v/>
      </c>
      <c r="L65" s="15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9"/>
      <c r="N65" s="75"/>
    </row>
    <row r="66" spans="1:14" ht="22" customHeight="1">
      <c r="A66" s="151" t="s">
        <v>137</v>
      </c>
      <c r="B66" s="101"/>
      <c r="C66" s="45"/>
      <c r="D66" s="49"/>
      <c r="E66" s="47"/>
      <c r="F66" s="48"/>
      <c r="G66" s="152" t="str">
        <f>IF(OR(E66="",F66=""),"",PID_KVLohnLookup($A$1,E66,F66,LOHNTABELLE!$H$4))</f>
        <v/>
      </c>
      <c r="H66" s="153" t="str">
        <f>IF(AND(ISNUMBER(D66),ISNUMBER(F66)),ROUNDDOWN(MIN(IF(OR(ISBLANK(I66),I66=""),EOMONTH(DATE(EINSTELLUNG!$C$35,$A$1,1),0),I66)-MAX(D66,DATE(EINSTELLUNG!$C$35,$A$1,1))+1)/DAY(EOMONTH(DATE(EINSTELLUNG!$C$35,$A$1,1),0))*F66,2),"")</f>
        <v/>
      </c>
      <c r="I66" s="49"/>
      <c r="J66" s="50"/>
      <c r="K66" s="152" t="str">
        <f t="shared" si="1"/>
        <v/>
      </c>
      <c r="L66" s="15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51"/>
      <c r="N66" s="74"/>
    </row>
    <row r="67" spans="1:14" ht="22" customHeight="1">
      <c r="A67" s="151" t="s">
        <v>138</v>
      </c>
      <c r="B67" s="102"/>
      <c r="C67" s="53"/>
      <c r="D67" s="57"/>
      <c r="E67" s="55"/>
      <c r="F67" s="56"/>
      <c r="G67" s="152" t="str">
        <f>IF(OR(E67="",F67=""),"",PID_KVLohnLookup($A$1,E67,F67,LOHNTABELLE!$H$4))</f>
        <v/>
      </c>
      <c r="H67" s="153" t="str">
        <f>IF(AND(ISNUMBER(D67),ISNUMBER(F67)),ROUNDDOWN(MIN(IF(OR(ISBLANK(I67),I67=""),EOMONTH(DATE(EINSTELLUNG!$C$35,$A$1,1),0),I67)-MAX(D67,DATE(EINSTELLUNG!$C$35,$A$1,1))+1)/DAY(EOMONTH(DATE(EINSTELLUNG!$C$35,$A$1,1),0))*F67,2),"")</f>
        <v/>
      </c>
      <c r="I67" s="57"/>
      <c r="J67" s="58"/>
      <c r="K67" s="152" t="str">
        <f t="shared" ref="K67:K82" si="3">IF(OR(B67="",C67=""),"",IFERROR(IF(OR(MONTH(D67)=1,MONTH(D67)=3,MONTH(D67)=5,MONTH(D67)=7,MONTH(D67)=8,MONTH(D67)=10,MONTH(D67)=12),(G67/31)*J67,IF(OR(MONTH(D67)=4,MONTH(D67)=6,MONTH(D67)=9,MONTH(D67)=11),(G67/30)*J67,(G67/DAY(EOMONTH(D67,0)))*J67)),0))</f>
        <v/>
      </c>
      <c r="L67" s="15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9"/>
      <c r="N67" s="75"/>
    </row>
    <row r="68" spans="1:14" ht="22" customHeight="1">
      <c r="A68" s="151" t="s">
        <v>139</v>
      </c>
      <c r="B68" s="101"/>
      <c r="C68" s="45"/>
      <c r="D68" s="49"/>
      <c r="E68" s="47"/>
      <c r="F68" s="48"/>
      <c r="G68" s="152" t="str">
        <f>IF(OR(E68="",F68=""),"",PID_KVLohnLookup($A$1,E68,F68,LOHNTABELLE!$H$4))</f>
        <v/>
      </c>
      <c r="H68" s="153" t="str">
        <f>IF(AND(ISNUMBER(D68),ISNUMBER(F68)),ROUNDDOWN(MIN(IF(OR(ISBLANK(I68),I68=""),EOMONTH(DATE(EINSTELLUNG!$C$35,$A$1,1),0),I68)-MAX(D68,DATE(EINSTELLUNG!$C$35,$A$1,1))+1)/DAY(EOMONTH(DATE(EINSTELLUNG!$C$35,$A$1,1),0))*F68,2),"")</f>
        <v/>
      </c>
      <c r="I68" s="49"/>
      <c r="J68" s="50"/>
      <c r="K68" s="152" t="str">
        <f t="shared" si="3"/>
        <v/>
      </c>
      <c r="L68" s="15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51"/>
      <c r="N68" s="74"/>
    </row>
    <row r="69" spans="1:14" ht="22" customHeight="1">
      <c r="A69" s="151" t="s">
        <v>140</v>
      </c>
      <c r="B69" s="102"/>
      <c r="C69" s="53"/>
      <c r="D69" s="57"/>
      <c r="E69" s="55"/>
      <c r="F69" s="56"/>
      <c r="G69" s="152" t="str">
        <f>IF(OR(E69="",F69=""),"",PID_KVLohnLookup($A$1,E69,F69,LOHNTABELLE!$H$4))</f>
        <v/>
      </c>
      <c r="H69" s="153" t="str">
        <f>IF(AND(ISNUMBER(D69),ISNUMBER(F69)),ROUNDDOWN(MIN(IF(OR(ISBLANK(I69),I69=""),EOMONTH(DATE(EINSTELLUNG!$C$35,$A$1,1),0),I69)-MAX(D69,DATE(EINSTELLUNG!$C$35,$A$1,1))+1)/DAY(EOMONTH(DATE(EINSTELLUNG!$C$35,$A$1,1),0))*F69,2),"")</f>
        <v/>
      </c>
      <c r="I69" s="57"/>
      <c r="J69" s="58"/>
      <c r="K69" s="152" t="str">
        <f t="shared" si="3"/>
        <v/>
      </c>
      <c r="L69" s="15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9"/>
      <c r="N69" s="75"/>
    </row>
    <row r="70" spans="1:14" ht="22" customHeight="1">
      <c r="A70" s="151" t="s">
        <v>141</v>
      </c>
      <c r="B70" s="101"/>
      <c r="C70" s="45"/>
      <c r="D70" s="49"/>
      <c r="E70" s="47"/>
      <c r="F70" s="48"/>
      <c r="G70" s="152" t="str">
        <f>IF(OR(E70="",F70=""),"",PID_KVLohnLookup($A$1,E70,F70,LOHNTABELLE!$H$4))</f>
        <v/>
      </c>
      <c r="H70" s="153" t="str">
        <f>IF(AND(ISNUMBER(D70),ISNUMBER(F70)),ROUNDDOWN(MIN(IF(OR(ISBLANK(I70),I70=""),EOMONTH(DATE(EINSTELLUNG!$C$35,$A$1,1),0),I70)-MAX(D70,DATE(EINSTELLUNG!$C$35,$A$1,1))+1)/DAY(EOMONTH(DATE(EINSTELLUNG!$C$35,$A$1,1),0))*F70,2),"")</f>
        <v/>
      </c>
      <c r="I70" s="49"/>
      <c r="J70" s="50"/>
      <c r="K70" s="152" t="str">
        <f t="shared" si="3"/>
        <v/>
      </c>
      <c r="L70" s="15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51"/>
      <c r="N70" s="74"/>
    </row>
    <row r="71" spans="1:14" ht="22" customHeight="1">
      <c r="A71" s="151" t="s">
        <v>142</v>
      </c>
      <c r="B71" s="102"/>
      <c r="C71" s="53"/>
      <c r="D71" s="57"/>
      <c r="E71" s="55"/>
      <c r="F71" s="56"/>
      <c r="G71" s="152" t="str">
        <f>IF(OR(E71="",F71=""),"",PID_KVLohnLookup($A$1,E71,F71,LOHNTABELLE!$H$4))</f>
        <v/>
      </c>
      <c r="H71" s="153" t="str">
        <f>IF(AND(ISNUMBER(D71),ISNUMBER(F71)),ROUNDDOWN(MIN(IF(OR(ISBLANK(I71),I71=""),EOMONTH(DATE(EINSTELLUNG!$C$35,$A$1,1),0),I71)-MAX(D71,DATE(EINSTELLUNG!$C$35,$A$1,1))+1)/DAY(EOMONTH(DATE(EINSTELLUNG!$C$35,$A$1,1),0))*F71,2),"")</f>
        <v/>
      </c>
      <c r="I71" s="57"/>
      <c r="J71" s="58"/>
      <c r="K71" s="152" t="str">
        <f t="shared" si="3"/>
        <v/>
      </c>
      <c r="L71" s="15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9"/>
      <c r="N71" s="75"/>
    </row>
    <row r="72" spans="1:14" ht="22" customHeight="1">
      <c r="A72" s="151" t="s">
        <v>143</v>
      </c>
      <c r="B72" s="101"/>
      <c r="C72" s="45"/>
      <c r="D72" s="49"/>
      <c r="E72" s="47"/>
      <c r="F72" s="48"/>
      <c r="G72" s="152" t="str">
        <f>IF(OR(E72="",F72=""),"",PID_KVLohnLookup($A$1,E72,F72,LOHNTABELLE!$H$4))</f>
        <v/>
      </c>
      <c r="H72" s="153" t="str">
        <f>IF(AND(ISNUMBER(D72),ISNUMBER(F72)),ROUNDDOWN(MIN(IF(OR(ISBLANK(I72),I72=""),EOMONTH(DATE(EINSTELLUNG!$C$35,$A$1,1),0),I72)-MAX(D72,DATE(EINSTELLUNG!$C$35,$A$1,1))+1)/DAY(EOMONTH(DATE(EINSTELLUNG!$C$35,$A$1,1),0))*F72,2),"")</f>
        <v/>
      </c>
      <c r="I72" s="49"/>
      <c r="J72" s="50"/>
      <c r="K72" s="152" t="str">
        <f t="shared" si="3"/>
        <v/>
      </c>
      <c r="L72" s="15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51"/>
      <c r="N72" s="74"/>
    </row>
    <row r="73" spans="1:14" ht="22" customHeight="1">
      <c r="A73" s="151" t="s">
        <v>144</v>
      </c>
      <c r="B73" s="102"/>
      <c r="C73" s="53"/>
      <c r="D73" s="57"/>
      <c r="E73" s="55"/>
      <c r="F73" s="56"/>
      <c r="G73" s="152" t="str">
        <f>IF(OR(E73="",F73=""),"",PID_KVLohnLookup($A$1,E73,F73,LOHNTABELLE!$H$4))</f>
        <v/>
      </c>
      <c r="H73" s="153" t="str">
        <f>IF(AND(ISNUMBER(D73),ISNUMBER(F73)),ROUNDDOWN(MIN(IF(OR(ISBLANK(I73),I73=""),EOMONTH(DATE(EINSTELLUNG!$C$35,$A$1,1),0),I73)-MAX(D73,DATE(EINSTELLUNG!$C$35,$A$1,1))+1)/DAY(EOMONTH(DATE(EINSTELLUNG!$C$35,$A$1,1),0))*F73,2),"")</f>
        <v/>
      </c>
      <c r="I73" s="57"/>
      <c r="J73" s="58"/>
      <c r="K73" s="152" t="str">
        <f t="shared" si="3"/>
        <v/>
      </c>
      <c r="L73" s="15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9"/>
      <c r="N73" s="75"/>
    </row>
    <row r="74" spans="1:14" ht="22" customHeight="1">
      <c r="A74" s="151" t="s">
        <v>145</v>
      </c>
      <c r="B74" s="101"/>
      <c r="C74" s="45"/>
      <c r="D74" s="49"/>
      <c r="E74" s="47"/>
      <c r="F74" s="48"/>
      <c r="G74" s="152" t="str">
        <f>IF(OR(E74="",F74=""),"",PID_KVLohnLookup($A$1,E74,F74,LOHNTABELLE!$H$4))</f>
        <v/>
      </c>
      <c r="H74" s="153" t="str">
        <f>IF(AND(ISNUMBER(D74),ISNUMBER(F74)),ROUNDDOWN(MIN(IF(OR(ISBLANK(I74),I74=""),EOMONTH(DATE(EINSTELLUNG!$C$35,$A$1,1),0),I74)-MAX(D74,DATE(EINSTELLUNG!$C$35,$A$1,1))+1)/DAY(EOMONTH(DATE(EINSTELLUNG!$C$35,$A$1,1),0))*F74,2),"")</f>
        <v/>
      </c>
      <c r="I74" s="49"/>
      <c r="J74" s="50"/>
      <c r="K74" s="152" t="str">
        <f t="shared" si="3"/>
        <v/>
      </c>
      <c r="L74" s="15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51"/>
      <c r="N74" s="74"/>
    </row>
    <row r="75" spans="1:14" ht="22" customHeight="1">
      <c r="A75" s="151" t="s">
        <v>146</v>
      </c>
      <c r="B75" s="102"/>
      <c r="C75" s="53"/>
      <c r="D75" s="57"/>
      <c r="E75" s="55"/>
      <c r="F75" s="56"/>
      <c r="G75" s="152" t="str">
        <f>IF(OR(E75="",F75=""),"",PID_KVLohnLookup($A$1,E75,F75,LOHNTABELLE!$H$4))</f>
        <v/>
      </c>
      <c r="H75" s="153" t="str">
        <f>IF(AND(ISNUMBER(D75),ISNUMBER(F75)),ROUNDDOWN(MIN(IF(OR(ISBLANK(I75),I75=""),EOMONTH(DATE(EINSTELLUNG!$C$35,$A$1,1),0),I75)-MAX(D75,DATE(EINSTELLUNG!$C$35,$A$1,1))+1)/DAY(EOMONTH(DATE(EINSTELLUNG!$C$35,$A$1,1),0))*F75,2),"")</f>
        <v/>
      </c>
      <c r="I75" s="57"/>
      <c r="J75" s="58"/>
      <c r="K75" s="152" t="str">
        <f t="shared" si="3"/>
        <v/>
      </c>
      <c r="L75" s="15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9"/>
      <c r="N75" s="75"/>
    </row>
    <row r="76" spans="1:14" ht="22" customHeight="1">
      <c r="A76" s="151" t="s">
        <v>147</v>
      </c>
      <c r="B76" s="101"/>
      <c r="C76" s="45"/>
      <c r="D76" s="49"/>
      <c r="E76" s="47"/>
      <c r="F76" s="48"/>
      <c r="G76" s="152" t="str">
        <f>IF(OR(E76="",F76=""),"",PID_KVLohnLookup($A$1,E76,F76,LOHNTABELLE!$H$4))</f>
        <v/>
      </c>
      <c r="H76" s="153" t="str">
        <f>IF(AND(ISNUMBER(D76),ISNUMBER(F76)),ROUNDDOWN(MIN(IF(OR(ISBLANK(I76),I76=""),EOMONTH(DATE(EINSTELLUNG!$C$35,$A$1,1),0),I76)-MAX(D76,DATE(EINSTELLUNG!$C$35,$A$1,1))+1)/DAY(EOMONTH(DATE(EINSTELLUNG!$C$35,$A$1,1),0))*F76,2),"")</f>
        <v/>
      </c>
      <c r="I76" s="49"/>
      <c r="J76" s="50"/>
      <c r="K76" s="152" t="str">
        <f t="shared" si="3"/>
        <v/>
      </c>
      <c r="L76" s="15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51"/>
      <c r="N76" s="74"/>
    </row>
    <row r="77" spans="1:14" ht="22" customHeight="1">
      <c r="A77" s="151" t="s">
        <v>148</v>
      </c>
      <c r="B77" s="102"/>
      <c r="C77" s="53"/>
      <c r="D77" s="57"/>
      <c r="E77" s="55"/>
      <c r="F77" s="56"/>
      <c r="G77" s="152" t="str">
        <f>IF(OR(E77="",F77=""),"",PID_KVLohnLookup($A$1,E77,F77,LOHNTABELLE!$H$4))</f>
        <v/>
      </c>
      <c r="H77" s="153" t="str">
        <f>IF(AND(ISNUMBER(D77),ISNUMBER(F77)),ROUNDDOWN(MIN(IF(OR(ISBLANK(I77),I77=""),EOMONTH(DATE(EINSTELLUNG!$C$35,$A$1,1),0),I77)-MAX(D77,DATE(EINSTELLUNG!$C$35,$A$1,1))+1)/DAY(EOMONTH(DATE(EINSTELLUNG!$C$35,$A$1,1),0))*F77,2),"")</f>
        <v/>
      </c>
      <c r="I77" s="57"/>
      <c r="J77" s="58"/>
      <c r="K77" s="152" t="str">
        <f t="shared" si="3"/>
        <v/>
      </c>
      <c r="L77" s="15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9"/>
      <c r="N77" s="75"/>
    </row>
    <row r="78" spans="1:14" ht="22" customHeight="1">
      <c r="A78" s="151" t="s">
        <v>149</v>
      </c>
      <c r="B78" s="101"/>
      <c r="C78" s="45"/>
      <c r="D78" s="49"/>
      <c r="E78" s="47"/>
      <c r="F78" s="48"/>
      <c r="G78" s="152" t="str">
        <f>IF(OR(E78="",F78=""),"",PID_KVLohnLookup($A$1,E78,F78,LOHNTABELLE!$H$4))</f>
        <v/>
      </c>
      <c r="H78" s="153" t="str">
        <f>IF(AND(ISNUMBER(D78),ISNUMBER(F78)),ROUNDDOWN(MIN(IF(OR(ISBLANK(I78),I78=""),EOMONTH(DATE(EINSTELLUNG!$C$35,$A$1,1),0),I78)-MAX(D78,DATE(EINSTELLUNG!$C$35,$A$1,1))+1)/DAY(EOMONTH(DATE(EINSTELLUNG!$C$35,$A$1,1),0))*F78,2),"")</f>
        <v/>
      </c>
      <c r="I78" s="49"/>
      <c r="J78" s="50"/>
      <c r="K78" s="152" t="str">
        <f t="shared" si="3"/>
        <v/>
      </c>
      <c r="L78" s="15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51"/>
      <c r="N78" s="74"/>
    </row>
    <row r="79" spans="1:14" ht="22" customHeight="1">
      <c r="A79" s="151" t="s">
        <v>150</v>
      </c>
      <c r="B79" s="102"/>
      <c r="C79" s="53"/>
      <c r="D79" s="57"/>
      <c r="E79" s="55"/>
      <c r="F79" s="56"/>
      <c r="G79" s="152" t="str">
        <f>IF(OR(E79="",F79=""),"",PID_KVLohnLookup($A$1,E79,F79,LOHNTABELLE!$H$4))</f>
        <v/>
      </c>
      <c r="H79" s="153" t="str">
        <f>IF(AND(ISNUMBER(D79),ISNUMBER(F79)),ROUNDDOWN(MIN(IF(OR(ISBLANK(I79),I79=""),EOMONTH(DATE(EINSTELLUNG!$C$35,$A$1,1),0),I79)-MAX(D79,DATE(EINSTELLUNG!$C$35,$A$1,1))+1)/DAY(EOMONTH(DATE(EINSTELLUNG!$C$35,$A$1,1),0))*F79,2),"")</f>
        <v/>
      </c>
      <c r="I79" s="57"/>
      <c r="J79" s="58"/>
      <c r="K79" s="152" t="str">
        <f t="shared" si="3"/>
        <v/>
      </c>
      <c r="L79" s="15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9"/>
      <c r="N79" s="75"/>
    </row>
    <row r="80" spans="1:14" ht="22" customHeight="1">
      <c r="A80" s="151" t="s">
        <v>151</v>
      </c>
      <c r="B80" s="101"/>
      <c r="C80" s="45"/>
      <c r="D80" s="49"/>
      <c r="E80" s="47"/>
      <c r="F80" s="48"/>
      <c r="G80" s="152" t="str">
        <f>IF(OR(E80="",F80=""),"",PID_KVLohnLookup($A$1,E80,F80,LOHNTABELLE!$H$4))</f>
        <v/>
      </c>
      <c r="H80" s="153" t="str">
        <f>IF(AND(ISNUMBER(D80),ISNUMBER(F80)),ROUNDDOWN(MIN(IF(OR(ISBLANK(I80),I80=""),EOMONTH(DATE(EINSTELLUNG!$C$35,$A$1,1),0),I80)-MAX(D80,DATE(EINSTELLUNG!$C$35,$A$1,1))+1)/DAY(EOMONTH(DATE(EINSTELLUNG!$C$35,$A$1,1),0))*F80,2),"")</f>
        <v/>
      </c>
      <c r="I80" s="49"/>
      <c r="J80" s="50"/>
      <c r="K80" s="152" t="str">
        <f t="shared" si="3"/>
        <v/>
      </c>
      <c r="L80" s="15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51"/>
      <c r="N80" s="74"/>
    </row>
    <row r="81" spans="1:14" ht="22" customHeight="1">
      <c r="A81" s="151" t="s">
        <v>152</v>
      </c>
      <c r="B81" s="102"/>
      <c r="C81" s="53"/>
      <c r="D81" s="57"/>
      <c r="E81" s="55"/>
      <c r="F81" s="56"/>
      <c r="G81" s="152" t="str">
        <f>IF(OR(E81="",F81=""),"",PID_KVLohnLookup($A$1,E81,F81,LOHNTABELLE!$H$4))</f>
        <v/>
      </c>
      <c r="H81" s="153" t="str">
        <f>IF(AND(ISNUMBER(D81),ISNUMBER(F81)),ROUNDDOWN(MIN(IF(OR(ISBLANK(I81),I81=""),EOMONTH(DATE(EINSTELLUNG!$C$35,$A$1,1),0),I81)-MAX(D81,DATE(EINSTELLUNG!$C$35,$A$1,1))+1)/DAY(EOMONTH(DATE(EINSTELLUNG!$C$35,$A$1,1),0))*F81,2),"")</f>
        <v/>
      </c>
      <c r="I81" s="57"/>
      <c r="J81" s="58"/>
      <c r="K81" s="152" t="str">
        <f t="shared" si="3"/>
        <v/>
      </c>
      <c r="L81" s="15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9"/>
      <c r="N81" s="75"/>
    </row>
    <row r="82" spans="1:14" ht="22" customHeight="1" thickBot="1">
      <c r="A82" s="165" t="s">
        <v>153</v>
      </c>
      <c r="B82" s="103"/>
      <c r="C82" s="62"/>
      <c r="D82" s="63"/>
      <c r="E82" s="64"/>
      <c r="F82" s="65"/>
      <c r="G82" s="166" t="str">
        <f>IF(OR(E82="",F82=""),"",PID_KVLohnLookup($A$1,E82,F82,LOHNTABELLE!$H$4))</f>
        <v/>
      </c>
      <c r="H82" s="159" t="str">
        <f>IF(AND(ISNUMBER(D82),ISNUMBER(F82)),ROUNDDOWN(MIN(IF(OR(ISBLANK(I82),I82=""),EOMONTH(DATE(EINSTELLUNG!$C$35,$A$1,1),0),I82)-MAX(D82,DATE(EINSTELLUNG!$C$35,$A$1,1))+1)/DAY(EOMONTH(DATE(EINSTELLUNG!$C$35,$A$1,1),0))*F82,2),"")</f>
        <v/>
      </c>
      <c r="I82" s="63"/>
      <c r="J82" s="66"/>
      <c r="K82" s="166" t="str">
        <f t="shared" si="3"/>
        <v/>
      </c>
      <c r="L82" s="16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7"/>
      <c r="N82" s="78"/>
    </row>
    <row r="100" spans="26:26" ht="16" customHeight="1">
      <c r="Z100" s="142"/>
    </row>
  </sheetData>
  <sheetProtection algorithmName="SHA-512" hashValue="+C/+dfi6NccohqadPyCxvasppLWmOcENhsb/kJRFCYyij68fl49wxhy7ksYTDFAVFYrtPGdHJ+oSNFoFUxbAxQ==" saltValue="Rvrc8Wsxw7eNIBmo73b0gQ==" spinCount="100000" sheet="1" objects="1" scenarios="1" sort="0" autoFilter="0"/>
  <sortState xmlns:xlrd2="http://schemas.microsoft.com/office/spreadsheetml/2017/richdata2" ref="B3:N82">
    <sortCondition ref="B3:B82"/>
    <sortCondition ref="C3:C82"/>
  </sortState>
  <dataConsolidate/>
  <mergeCells count="102">
    <mergeCell ref="O9:P9"/>
    <mergeCell ref="Q9:R9"/>
    <mergeCell ref="O10:P10"/>
    <mergeCell ref="Q10:R10"/>
    <mergeCell ref="O11:P11"/>
    <mergeCell ref="Q11:R11"/>
    <mergeCell ref="O44:V44"/>
    <mergeCell ref="O45:U45"/>
    <mergeCell ref="B1:B2"/>
    <mergeCell ref="C1:C2"/>
    <mergeCell ref="D1:D2"/>
    <mergeCell ref="I1:I2"/>
    <mergeCell ref="J1:J2"/>
    <mergeCell ref="K1:K2"/>
    <mergeCell ref="L1:L2"/>
    <mergeCell ref="P3:P4"/>
    <mergeCell ref="Q3:Q4"/>
    <mergeCell ref="R3:R4"/>
    <mergeCell ref="O6:R6"/>
    <mergeCell ref="O8:P8"/>
    <mergeCell ref="Q8:R8"/>
    <mergeCell ref="O3:O4"/>
    <mergeCell ref="O17:P17"/>
    <mergeCell ref="Q17:R17"/>
    <mergeCell ref="O18:P18"/>
    <mergeCell ref="Q18:R18"/>
    <mergeCell ref="O19:P19"/>
    <mergeCell ref="Q19:R19"/>
    <mergeCell ref="O12:P12"/>
    <mergeCell ref="Q12:R12"/>
    <mergeCell ref="O13:P13"/>
    <mergeCell ref="Q13:R13"/>
    <mergeCell ref="O14:P14"/>
    <mergeCell ref="Q14:R14"/>
    <mergeCell ref="O26:P26"/>
    <mergeCell ref="Q26:R26"/>
    <mergeCell ref="O27:P27"/>
    <mergeCell ref="Q27:R27"/>
    <mergeCell ref="O20:P20"/>
    <mergeCell ref="Q20:R20"/>
    <mergeCell ref="O21:P21"/>
    <mergeCell ref="Q21:R21"/>
    <mergeCell ref="O22:P22"/>
    <mergeCell ref="Q22:R22"/>
    <mergeCell ref="O23:P23"/>
    <mergeCell ref="Q23:R23"/>
    <mergeCell ref="O24:P24"/>
    <mergeCell ref="Q24:R24"/>
    <mergeCell ref="O25:P25"/>
    <mergeCell ref="Q25:R25"/>
    <mergeCell ref="O33:P34"/>
    <mergeCell ref="Q33:R34"/>
    <mergeCell ref="S33:T34"/>
    <mergeCell ref="U33:V34"/>
    <mergeCell ref="O35:P35"/>
    <mergeCell ref="Q35:R35"/>
    <mergeCell ref="S35:T35"/>
    <mergeCell ref="U35:V35"/>
    <mergeCell ref="S27:V27"/>
    <mergeCell ref="O29:P29"/>
    <mergeCell ref="Q29:R29"/>
    <mergeCell ref="O31:P31"/>
    <mergeCell ref="Q31:R31"/>
    <mergeCell ref="O28:P28"/>
    <mergeCell ref="Q28:R28"/>
    <mergeCell ref="U38:V38"/>
    <mergeCell ref="O39:P39"/>
    <mergeCell ref="Q39:R39"/>
    <mergeCell ref="S39:T39"/>
    <mergeCell ref="U39:V39"/>
    <mergeCell ref="O36:P36"/>
    <mergeCell ref="Q36:R36"/>
    <mergeCell ref="S36:T36"/>
    <mergeCell ref="U36:V36"/>
    <mergeCell ref="O37:P37"/>
    <mergeCell ref="Q37:R37"/>
    <mergeCell ref="S37:T37"/>
    <mergeCell ref="U37:V37"/>
    <mergeCell ref="N1:N2"/>
    <mergeCell ref="A1:A2"/>
    <mergeCell ref="E1:E2"/>
    <mergeCell ref="F1:F2"/>
    <mergeCell ref="G1:G2"/>
    <mergeCell ref="H1:H2"/>
    <mergeCell ref="M1:M2"/>
    <mergeCell ref="S2:V2"/>
    <mergeCell ref="O42:P42"/>
    <mergeCell ref="Q42:V42"/>
    <mergeCell ref="O15:P15"/>
    <mergeCell ref="Q15:R15"/>
    <mergeCell ref="O16:R16"/>
    <mergeCell ref="O40:P40"/>
    <mergeCell ref="Q40:R40"/>
    <mergeCell ref="S40:T40"/>
    <mergeCell ref="U40:V40"/>
    <mergeCell ref="O41:P41"/>
    <mergeCell ref="Q41:R41"/>
    <mergeCell ref="S41:T41"/>
    <mergeCell ref="U41:V41"/>
    <mergeCell ref="O38:P38"/>
    <mergeCell ref="Q38:R38"/>
    <mergeCell ref="S38:T38"/>
  </mergeCells>
  <dataValidations count="2">
    <dataValidation type="list" allowBlank="1" showInputMessage="1" showErrorMessage="1" errorTitle="Ungültiger Austrittsgrund" error="Bitte nur einen Wert aus der Liste auswählen." promptTitle="Austrittsgrund" prompt="Bitte den passenden Austrittsgrund auswählen." sqref="N3:N82" xr:uid="{B033B1C7-2769-5F48-B4A3-B00BCAEE027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C8C502F-2178-C143-89E9-B247DFF3F52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43DE37D-B43C-7F48-9B8D-5FE13E1DB97F}">
          <x14:formula1>
            <xm:f>KV_DROPDOWN_HELPER!$AJY$1:$AJY$12</xm:f>
          </x14:formula1>
          <xm:sqref>E3:E82</xm:sqref>
        </x14:dataValidation>
        <x14:dataValidation type="list" allowBlank="1" showInputMessage="1" showErrorMessage="1" xr:uid="{B5186D4A-E319-5E45-97ED-BC0AA1306824}">
          <x14:formula1>
            <xm:f>KV_DROPDOWN_HELPER!$OL$1:$OL$13</xm:f>
          </x14:formula1>
          <xm:sqref>F4 F5 F8</xm:sqref>
        </x14:dataValidation>
        <x14:dataValidation type="list" allowBlank="1" showInputMessage="1" showErrorMessage="1" xr:uid="{60D04F49-F6E2-DE4E-81B8-D126292D1FC0}">
          <x14:formula1>
            <xm:f>KV_DROPDOWN_HELPER!$OP$1:$OP$13</xm:f>
          </x14:formula1>
          <xm:sqref>F23</xm:sqref>
        </x14:dataValidation>
        <x14:dataValidation type="list" allowBlank="1" showInputMessage="1" showErrorMessage="1" xr:uid="{1433216C-F0C8-7B46-B5CD-7E035796D5CD}">
          <x14:formula1>
            <xm:f>KV_DROPDOWN_HELPER!$OO$1:$OO$13</xm:f>
          </x14:formula1>
          <xm:sqref>F19</xm:sqref>
        </x14:dataValidation>
        <x14:dataValidation type="list" allowBlank="1" showInputMessage="1" showErrorMessage="1" xr:uid="{D01590A6-FA62-E94A-ACDE-90FA0AA5E72A}">
          <x14:formula1>
            <xm:f>KV_DROPDOWN_HELPER!$ON$1:$ON$13</xm:f>
          </x14:formula1>
          <xm:sqref>F16 F24 F27 F29</xm:sqref>
        </x14:dataValidation>
        <x14:dataValidation type="list" allowBlank="1" showInputMessage="1" showErrorMessage="1" xr:uid="{C9DCE8D8-284A-473A-9FAC-9446427DAF1C}">
          <x14:formula1>
            <xm:f>KV_DROPDOWN_HELPER!$OK$1:$OK$18</xm:f>
          </x14:formula1>
          <xm:sqref>F3 F6 F12 F13 F15 F17 F18 F21 F22 F25 F26 F28 F30 F31 F32 F33 F34 F35 F36 F37 F38 F39 F40 F41 F42 F43 F44 F45 F46 F47 F48 F49 F50 F51 F52 F53 F54 F55 F56 F57 F58 F59 F61 F62 F63 F64</xm:sqref>
        </x14:dataValidation>
        <x14:dataValidation type="list" allowBlank="1" showInputMessage="1" showErrorMessage="1" xr:uid="{8092244E-8A59-4D1A-8D30-E7094D11CFB3}">
          <x14:formula1>
            <xm:f>KV_DROPDOWN_HELPER!$OM$1:$OM$13</xm:f>
          </x14:formula1>
          <xm:sqref>F7 F9 F10 F11 F14 F20 F60</xm:sqref>
        </x14:dataValidation>
        <x14:dataValidation type="list" allowBlank="1" showInputMessage="1" showErrorMessage="1" xr:uid="{CBA6A94C-1587-4F76-9A2D-0CBD2C042E18}">
          <x14:formula1>
            <xm:f>KV_DROPDOWN_HELPER!$OQ$1:$OQ$13</xm:f>
          </x14:formula1>
          <xm:sqref>F65 F66 F67 F68 F69 F70 F71 F72 F73 F74 F75 F76 F77 F78 F79 F80 F81 F82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2182FA-4A8B-4EFF-84FF-24677E264240}">
  <sheetPr codeName="Tabelle9"/>
  <dimension ref="A1:AC100"/>
  <sheetViews>
    <sheetView showGridLines="0" showRowColHeaders="0" zoomScaleNormal="100" workbookViewId="0">
      <pane ySplit="2" topLeftCell="A36" activePane="bottomLeft" state="frozen"/>
      <selection activeCell="T24" sqref="T24"/>
      <selection pane="bottomLeft" sqref="A1:A2"/>
    </sheetView>
  </sheetViews>
  <sheetFormatPr baseColWidth="10" defaultColWidth="9.1796875" defaultRowHeight="16" customHeight="1"/>
  <cols>
    <col min="1" max="1" width="4.453125" style="169" customWidth="1"/>
    <col min="2" max="2" width="9.1796875" style="169" customWidth="1"/>
    <col min="3" max="3" width="35.6328125" style="141" customWidth="1"/>
    <col min="4" max="4" width="13.6328125" style="141" customWidth="1"/>
    <col min="5" max="5" width="9.6328125" style="141" customWidth="1"/>
    <col min="6" max="6" width="10.6328125" style="141" customWidth="1"/>
    <col min="7" max="7" width="13.6328125" style="141" customWidth="1"/>
    <col min="8" max="8" width="11.6328125" style="141" customWidth="1"/>
    <col min="9" max="10" width="13.6328125" style="141" customWidth="1"/>
    <col min="11" max="11" width="14.6328125" style="141" customWidth="1"/>
    <col min="12" max="12" width="14.6328125" style="162" customWidth="1"/>
    <col min="13" max="13" width="17.81640625" style="141" customWidth="1"/>
    <col min="14" max="14" width="34.6328125" style="141" customWidth="1"/>
    <col min="15" max="15" width="12.6328125" style="141" customWidth="1"/>
    <col min="16" max="16" width="16.6328125" style="141" customWidth="1"/>
    <col min="17" max="17" width="14.6328125" style="141" customWidth="1"/>
    <col min="18" max="18" width="13.6328125" style="141" customWidth="1"/>
    <col min="19" max="19" width="9.6328125" style="141" customWidth="1"/>
    <col min="20" max="20" width="10.6328125" style="141" customWidth="1"/>
    <col min="21" max="21" width="7.6328125" style="141" customWidth="1"/>
    <col min="22" max="27" width="9.1796875" style="141"/>
    <col min="28" max="28" width="10.6328125" style="141" bestFit="1" customWidth="1"/>
    <col min="29" max="16384" width="9.1796875" style="141"/>
  </cols>
  <sheetData>
    <row r="1" spans="1:28" ht="18" customHeight="1">
      <c r="A1" s="301">
        <v>7</v>
      </c>
      <c r="B1" s="304" t="s">
        <v>180</v>
      </c>
      <c r="C1" s="280" t="s">
        <v>39</v>
      </c>
      <c r="D1" s="280" t="s">
        <v>181</v>
      </c>
      <c r="E1" s="280" t="s">
        <v>0</v>
      </c>
      <c r="F1" s="280" t="s">
        <v>40</v>
      </c>
      <c r="G1" s="280" t="s">
        <v>41</v>
      </c>
      <c r="H1" s="280" t="s">
        <v>42</v>
      </c>
      <c r="I1" s="280" t="s">
        <v>182</v>
      </c>
      <c r="J1" s="280" t="s">
        <v>43</v>
      </c>
      <c r="K1" s="280" t="s">
        <v>44</v>
      </c>
      <c r="L1" s="280" t="s">
        <v>45</v>
      </c>
      <c r="M1" s="280" t="s">
        <v>46</v>
      </c>
      <c r="N1" s="282" t="s">
        <v>183</v>
      </c>
      <c r="AB1" s="143">
        <f>DATE(EINSTELLUNG!$C$35,$A$1,1)</f>
        <v>46204</v>
      </c>
    </row>
    <row r="2" spans="1:28" ht="18" customHeight="1" thickBot="1">
      <c r="A2" s="287"/>
      <c r="B2" s="305"/>
      <c r="C2" s="294"/>
      <c r="D2" s="294"/>
      <c r="E2" s="294"/>
      <c r="F2" s="294"/>
      <c r="G2" s="294"/>
      <c r="H2" s="294"/>
      <c r="I2" s="294"/>
      <c r="J2" s="294"/>
      <c r="K2" s="294"/>
      <c r="L2" s="294"/>
      <c r="M2" s="294"/>
      <c r="N2" s="298"/>
      <c r="O2" s="144"/>
      <c r="P2" s="144"/>
      <c r="Q2" s="144"/>
      <c r="S2" s="208" t="s">
        <v>394</v>
      </c>
      <c r="T2" s="208"/>
      <c r="U2" s="208"/>
      <c r="V2" s="208"/>
      <c r="AB2" s="143">
        <f>EOMONTH(DATE(EINSTELLUNG!$C$35,$A$1,1),0)</f>
        <v>46234</v>
      </c>
    </row>
    <row r="3" spans="1:28" ht="22" customHeight="1">
      <c r="A3" s="145" t="s">
        <v>401</v>
      </c>
      <c r="B3" s="100">
        <v>401010</v>
      </c>
      <c r="C3" s="37" t="s">
        <v>224</v>
      </c>
      <c r="D3" s="38">
        <v>39388</v>
      </c>
      <c r="E3" s="39" t="s">
        <v>2</v>
      </c>
      <c r="F3" s="68">
        <v>169</v>
      </c>
      <c r="G3" s="146">
        <f>IF(OR(E3="",F3=""),"",PID_KVLohnLookup($A$1,E3,F3,LOHNTABELLE!$H$4))</f>
        <v>2000</v>
      </c>
      <c r="H3" s="147">
        <f>IF(AND(ISNUMBER(D3),ISNUMBER(F3)),ROUNDDOWN(MIN(IF(OR(ISBLANK(I3),I3=""),EOMONTH(DATE(EINSTELLUNG!$C$35,$A$1,1),0),I3)-MAX(D3,DATE(EINSTELLUNG!$C$35,$A$1,1))+1)/DAY(EOMONTH(DATE(EINSTELLUNG!$C$35,$A$1,1),0))*F3,2),"")</f>
        <v>169</v>
      </c>
      <c r="I3" s="41"/>
      <c r="J3" s="42"/>
      <c r="K3" s="146">
        <f t="shared" ref="K3:K34" si="0">IF(OR(B3="",C3=""),"",IFERROR(IF(OR(MONTH(D3)=1,MONTH(D3)=3,MONTH(D3)=5,MONTH(D3)=7,MONTH(D3)=8,MONTH(D3)=10,MONTH(D3)=12),(G3/31)*J3,IF(OR(MONTH(D3)=4,MONTH(D3)=6,MONTH(D3)=9,MONTH(D3)=11),(G3/30)*J3,(G3/DAY(EOMONTH(D3,0)))*J3)),0))</f>
        <v>0</v>
      </c>
      <c r="L3" s="14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3"/>
      <c r="N3" s="73"/>
      <c r="O3" s="236" t="s">
        <v>47</v>
      </c>
      <c r="P3" s="236" t="s">
        <v>48</v>
      </c>
      <c r="Q3" s="236" t="s">
        <v>49</v>
      </c>
      <c r="R3" s="272" t="s">
        <v>50</v>
      </c>
      <c r="S3" s="149"/>
      <c r="T3" s="149"/>
      <c r="U3" s="149"/>
      <c r="V3" s="149"/>
      <c r="AB3" s="150"/>
    </row>
    <row r="4" spans="1:28" ht="22" customHeight="1">
      <c r="A4" s="151" t="s">
        <v>51</v>
      </c>
      <c r="B4" s="101">
        <v>401049</v>
      </c>
      <c r="C4" s="45" t="s">
        <v>225</v>
      </c>
      <c r="D4" s="46">
        <v>41130</v>
      </c>
      <c r="E4" s="47" t="s">
        <v>4</v>
      </c>
      <c r="F4" s="48">
        <v>173</v>
      </c>
      <c r="G4" s="152">
        <f>IF(OR(E4="",F4=""),"",PID_KVLohnLookup($A$1,E4,F4,LOHNTABELLE!$H$4))</f>
        <v>2123</v>
      </c>
      <c r="H4" s="153">
        <f>IF(AND(ISNUMBER(D4),ISNUMBER(F4)),ROUNDDOWN(MIN(IF(OR(ISBLANK(I4),I4=""),EOMONTH(DATE(EINSTELLUNG!$C$35,$A$1,1),0),I4)-MAX(D4,DATE(EINSTELLUNG!$C$35,$A$1,1))+1)/DAY(EOMONTH(DATE(EINSTELLUNG!$C$35,$A$1,1),0))*F4,2),"")</f>
        <v>173</v>
      </c>
      <c r="I4" s="49"/>
      <c r="J4" s="50"/>
      <c r="K4" s="152">
        <f t="shared" si="0"/>
        <v>0</v>
      </c>
      <c r="L4" s="15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51"/>
      <c r="N4" s="74"/>
      <c r="O4" s="237"/>
      <c r="P4" s="237"/>
      <c r="Q4" s="237"/>
      <c r="R4" s="273"/>
      <c r="S4" s="149"/>
      <c r="T4" s="149"/>
      <c r="U4" s="149"/>
      <c r="V4" s="149"/>
    </row>
    <row r="5" spans="1:28" ht="22" customHeight="1">
      <c r="A5" s="151" t="s">
        <v>52</v>
      </c>
      <c r="B5" s="102">
        <v>401051</v>
      </c>
      <c r="C5" s="53" t="s">
        <v>227</v>
      </c>
      <c r="D5" s="54">
        <v>41176</v>
      </c>
      <c r="E5" s="55" t="s">
        <v>2</v>
      </c>
      <c r="F5" s="56">
        <v>173</v>
      </c>
      <c r="G5" s="152">
        <f>IF(OR(E5="",F5=""),"",PID_KVLohnLookup($A$1,E5,F5,LOHNTABELLE!$H$4))</f>
        <v>2900</v>
      </c>
      <c r="H5" s="153">
        <f>IF(AND(ISNUMBER(D5),ISNUMBER(F5)),ROUNDDOWN(MIN(IF(OR(ISBLANK(I5),I5=""),EOMONTH(DATE(EINSTELLUNG!$C$35,$A$1,1),0),I5)-MAX(D5,DATE(EINSTELLUNG!$C$35,$A$1,1))+1)/DAY(EOMONTH(DATE(EINSTELLUNG!$C$35,$A$1,1),0))*F5,2),"")</f>
        <v>173</v>
      </c>
      <c r="I5" s="57"/>
      <c r="J5" s="58"/>
      <c r="K5" s="152">
        <f t="shared" si="0"/>
        <v>0</v>
      </c>
      <c r="L5" s="15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9"/>
      <c r="N5" s="75"/>
      <c r="O5" s="155" cm="1">
        <f t="array" ref="O5">SUMPRODUCT((F3:F82/4.310808)/5*2.08)</f>
        <v>857.52313719376957</v>
      </c>
      <c r="P5" s="156">
        <f>EINSTELLUNG!I12</f>
        <v>600</v>
      </c>
      <c r="Q5" s="156">
        <f>P5-O5</f>
        <v>-257.52313719376957</v>
      </c>
      <c r="R5" s="157">
        <f>IFERROR(Q5*Q42, 0)</f>
        <v>-4216.99434247312</v>
      </c>
      <c r="S5" s="149"/>
      <c r="T5" s="149"/>
      <c r="U5" s="149"/>
      <c r="V5" s="149"/>
    </row>
    <row r="6" spans="1:28" ht="22" customHeight="1">
      <c r="A6" s="151" t="s">
        <v>53</v>
      </c>
      <c r="B6" s="101">
        <v>401089</v>
      </c>
      <c r="C6" s="45" t="s">
        <v>241</v>
      </c>
      <c r="D6" s="46">
        <v>44868</v>
      </c>
      <c r="E6" s="47" t="s">
        <v>3</v>
      </c>
      <c r="F6" s="48">
        <v>173</v>
      </c>
      <c r="G6" s="152">
        <f>IF(OR(E6="",F6=""),"",PID_KVLohnLookup($A$1,E6,F6,LOHNTABELLE!$H$4))</f>
        <v>2082</v>
      </c>
      <c r="H6" s="153">
        <f>IF(AND(ISNUMBER(D6),ISNUMBER(F6)),ROUNDDOWN(MIN(IF(OR(ISBLANK(I6),I6=""),EOMONTH(DATE(EINSTELLUNG!$C$35,$A$1,1),0),I6)-MAX(D6,DATE(EINSTELLUNG!$C$35,$A$1,1))+1)/DAY(EOMONTH(DATE(EINSTELLUNG!$C$35,$A$1,1),0))*F6,2),"")</f>
        <v>173</v>
      </c>
      <c r="I6" s="49"/>
      <c r="J6" s="50"/>
      <c r="K6" s="152">
        <f t="shared" si="0"/>
        <v>0</v>
      </c>
      <c r="L6" s="15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51"/>
      <c r="N6" s="74"/>
      <c r="O6" s="266" t="str">
        <f>IF(Q5&lt;0, "Schlecht! Zu wenig Urlaub abgebaut.", IF(Q5&gt;0, "Gut! Mehr Urlaub abgebaut als aufgebaut.", ""))</f>
        <v>Schlecht! Zu wenig Urlaub abgebaut.</v>
      </c>
      <c r="P6" s="267"/>
      <c r="Q6" s="267"/>
      <c r="R6" s="268"/>
      <c r="S6" s="149"/>
      <c r="T6" s="149"/>
      <c r="U6" s="149"/>
      <c r="V6" s="149"/>
    </row>
    <row r="7" spans="1:28" ht="22" customHeight="1" thickBot="1">
      <c r="A7" s="151" t="s">
        <v>54</v>
      </c>
      <c r="B7" s="102">
        <v>401138</v>
      </c>
      <c r="C7" s="53" t="s">
        <v>228</v>
      </c>
      <c r="D7" s="54">
        <v>42006</v>
      </c>
      <c r="E7" s="55" t="s">
        <v>4</v>
      </c>
      <c r="F7" s="140">
        <v>173</v>
      </c>
      <c r="G7" s="152">
        <f>IF(OR(E7="",F7=""),"",PID_KVLohnLookup($A$1,E7,F7,LOHNTABELLE!$H$4))</f>
        <v>2123</v>
      </c>
      <c r="H7" s="153">
        <f>IF(AND(ISNUMBER(D7),ISNUMBER(F7)),ROUNDDOWN(MIN(IF(OR(ISBLANK(I7),I7=""),EOMONTH(DATE(EINSTELLUNG!$C$35,$A$1,1),0),I7)-MAX(D7,DATE(EINSTELLUNG!$C$35,$A$1,1))+1)/DAY(EOMONTH(DATE(EINSTELLUNG!$C$35,$A$1,1),0))*F7,2),"")</f>
        <v>173</v>
      </c>
      <c r="I7" s="57"/>
      <c r="J7" s="58"/>
      <c r="K7" s="152">
        <f t="shared" si="0"/>
        <v>0</v>
      </c>
      <c r="L7" s="15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9"/>
      <c r="N7" s="75"/>
      <c r="O7" s="149"/>
      <c r="P7" s="149"/>
      <c r="Q7" s="149"/>
      <c r="R7" s="149"/>
      <c r="S7" s="149"/>
      <c r="T7" s="149"/>
      <c r="U7" s="149"/>
      <c r="V7" s="149"/>
    </row>
    <row r="8" spans="1:28" ht="22" customHeight="1">
      <c r="A8" s="151" t="s">
        <v>55</v>
      </c>
      <c r="B8" s="101">
        <v>401197</v>
      </c>
      <c r="C8" s="45" t="s">
        <v>229</v>
      </c>
      <c r="D8" s="46">
        <v>42644</v>
      </c>
      <c r="E8" s="47" t="s">
        <v>3</v>
      </c>
      <c r="F8" s="48">
        <v>173</v>
      </c>
      <c r="G8" s="152">
        <f>IF(OR(E8="",F8=""),"",PID_KVLohnLookup($A$1,E8,F8,LOHNTABELLE!$H$4))</f>
        <v>2082</v>
      </c>
      <c r="H8" s="153">
        <f>IF(AND(ISNUMBER(D8),ISNUMBER(F8)),ROUNDDOWN(MIN(IF(OR(ISBLANK(I8),I8=""),EOMONTH(DATE(EINSTELLUNG!$C$35,$A$1,1),0),I8)-MAX(D8,DATE(EINSTELLUNG!$C$35,$A$1,1))+1)/DAY(EOMONTH(DATE(EINSTELLUNG!$C$35,$A$1,1),0))*F8,2),"")</f>
        <v>173</v>
      </c>
      <c r="I8" s="49"/>
      <c r="J8" s="50"/>
      <c r="K8" s="152">
        <f t="shared" si="0"/>
        <v>0</v>
      </c>
      <c r="L8" s="15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51"/>
      <c r="N8" s="74"/>
      <c r="O8" s="250" t="s">
        <v>56</v>
      </c>
      <c r="P8" s="251"/>
      <c r="Q8" s="252">
        <f>SUM(H3:H82)</f>
        <v>8852.61</v>
      </c>
      <c r="R8" s="253"/>
      <c r="S8" s="149"/>
      <c r="T8" s="149"/>
      <c r="U8" s="149"/>
      <c r="V8" s="149"/>
    </row>
    <row r="9" spans="1:28" ht="22" customHeight="1">
      <c r="A9" s="151" t="s">
        <v>57</v>
      </c>
      <c r="B9" s="102">
        <v>401214</v>
      </c>
      <c r="C9" s="53" t="s">
        <v>255</v>
      </c>
      <c r="D9" s="54">
        <v>45636</v>
      </c>
      <c r="E9" s="55" t="s">
        <v>3</v>
      </c>
      <c r="F9" s="56">
        <v>173</v>
      </c>
      <c r="G9" s="152">
        <f>IF(OR(E9="",F9=""),"",PID_KVLohnLookup($A$1,E9,F9,LOHNTABELLE!$H$4))</f>
        <v>2082</v>
      </c>
      <c r="H9" s="153">
        <f>IF(AND(ISNUMBER(D9),ISNUMBER(F9)),ROUNDDOWN(MIN(IF(OR(ISBLANK(I9),I9=""),EOMONTH(DATE(EINSTELLUNG!$C$35,$A$1,1),0),I9)-MAX(D9,DATE(EINSTELLUNG!$C$35,$A$1,1))+1)/DAY(EOMONTH(DATE(EINSTELLUNG!$C$35,$A$1,1),0))*F9,2),"")</f>
        <v>173</v>
      </c>
      <c r="I9" s="57"/>
      <c r="J9" s="58"/>
      <c r="K9" s="152">
        <f t="shared" si="0"/>
        <v>0</v>
      </c>
      <c r="L9" s="15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9"/>
      <c r="N9" s="75"/>
      <c r="O9" s="254" t="s">
        <v>58</v>
      </c>
      <c r="P9" s="255"/>
      <c r="Q9" s="269">
        <f>EINSTELLUNG!L28</f>
        <v>7</v>
      </c>
      <c r="R9" s="270"/>
      <c r="S9" s="158">
        <f>IFERROR(Q9/Q8, 0)</f>
        <v>7.9072725444812313E-4</v>
      </c>
      <c r="T9" s="149"/>
      <c r="U9" s="149"/>
      <c r="V9" s="149"/>
    </row>
    <row r="10" spans="1:28" ht="22" customHeight="1">
      <c r="A10" s="151" t="s">
        <v>59</v>
      </c>
      <c r="B10" s="101">
        <v>401276</v>
      </c>
      <c r="C10" s="45" t="s">
        <v>230</v>
      </c>
      <c r="D10" s="46">
        <v>43252</v>
      </c>
      <c r="E10" s="47" t="s">
        <v>3</v>
      </c>
      <c r="F10" s="48">
        <v>173</v>
      </c>
      <c r="G10" s="152">
        <f>IF(OR(E10="",F10=""),"",PID_KVLohnLookup($A$1,E10,F10,LOHNTABELLE!$H$4))</f>
        <v>2082</v>
      </c>
      <c r="H10" s="153">
        <f>IF(AND(ISNUMBER(D10),ISNUMBER(F10)),ROUNDDOWN(MIN(IF(OR(ISBLANK(I10),I10=""),EOMONTH(DATE(EINSTELLUNG!$C$35,$A$1,1),0),I10)-MAX(D10,DATE(EINSTELLUNG!$C$35,$A$1,1))+1)/DAY(EOMONTH(DATE(EINSTELLUNG!$C$35,$A$1,1),0))*F10,2),"")</f>
        <v>173</v>
      </c>
      <c r="I10" s="49"/>
      <c r="J10" s="50"/>
      <c r="K10" s="152">
        <f t="shared" si="0"/>
        <v>0</v>
      </c>
      <c r="L10" s="15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51"/>
      <c r="N10" s="74"/>
      <c r="O10" s="254" t="s">
        <v>60</v>
      </c>
      <c r="P10" s="255"/>
      <c r="Q10" s="269">
        <f>EINSTELLUNG!I28</f>
        <v>0</v>
      </c>
      <c r="R10" s="270"/>
      <c r="S10" s="149"/>
      <c r="T10" s="149"/>
      <c r="U10" s="149"/>
      <c r="V10" s="149"/>
    </row>
    <row r="11" spans="1:28" ht="22" customHeight="1">
      <c r="A11" s="151" t="s">
        <v>61</v>
      </c>
      <c r="B11" s="102">
        <v>401276</v>
      </c>
      <c r="C11" s="53" t="s">
        <v>406</v>
      </c>
      <c r="D11" s="54">
        <v>38899</v>
      </c>
      <c r="E11" s="55" t="s">
        <v>2</v>
      </c>
      <c r="F11" s="56">
        <v>55</v>
      </c>
      <c r="G11" s="152">
        <f>IF(OR(E11="",F11=""),"",PID_KVLohnLookup($A$1,E11,F11,LOHNTABELLE!$H$4))</f>
        <v>666</v>
      </c>
      <c r="H11" s="153">
        <f>IF(AND(ISNUMBER(D11),ISNUMBER(F11)),ROUNDDOWN(MIN(IF(OR(ISBLANK(I11),I11=""),EOMONTH(DATE(EINSTELLUNG!$C$35,$A$1,1),0),I11)-MAX(D11,DATE(EINSTELLUNG!$C$35,$A$1,1))+1)/DAY(EOMONTH(DATE(EINSTELLUNG!$C$35,$A$1,1),0))*F11,2),"")</f>
        <v>55</v>
      </c>
      <c r="I11" s="57"/>
      <c r="J11" s="58"/>
      <c r="K11" s="152">
        <f t="shared" si="0"/>
        <v>0</v>
      </c>
      <c r="L11" s="15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9"/>
      <c r="N11" s="75"/>
      <c r="O11" s="254" t="s">
        <v>62</v>
      </c>
      <c r="P11" s="255"/>
      <c r="Q11" s="269">
        <f>P5</f>
        <v>600</v>
      </c>
      <c r="R11" s="270"/>
      <c r="S11" s="149"/>
      <c r="T11" s="149"/>
      <c r="U11" s="149"/>
      <c r="V11" s="149"/>
    </row>
    <row r="12" spans="1:28" ht="22" customHeight="1">
      <c r="A12" s="151" t="s">
        <v>63</v>
      </c>
      <c r="B12" s="101">
        <v>401307</v>
      </c>
      <c r="C12" s="45" t="s">
        <v>231</v>
      </c>
      <c r="D12" s="46">
        <v>43571</v>
      </c>
      <c r="E12" s="47" t="s">
        <v>2</v>
      </c>
      <c r="F12" s="48">
        <v>55</v>
      </c>
      <c r="G12" s="152">
        <f>IF(OR(E12="",F12=""),"",PID_KVLohnLookup($A$1,E12,F12,LOHNTABELLE!$H$4))</f>
        <v>666</v>
      </c>
      <c r="H12" s="153">
        <f>IF(AND(ISNUMBER(D12),ISNUMBER(F12)),ROUNDDOWN(MIN(IF(OR(ISBLANK(I12),I12=""),EOMONTH(DATE(EINSTELLUNG!$C$35,$A$1,1),0),I12)-MAX(D12,DATE(EINSTELLUNG!$C$35,$A$1,1))+1)/DAY(EOMONTH(DATE(EINSTELLUNG!$C$35,$A$1,1),0))*F12,2),"")</f>
        <v>55</v>
      </c>
      <c r="I12" s="49"/>
      <c r="J12" s="50"/>
      <c r="K12" s="152">
        <f t="shared" si="0"/>
        <v>0</v>
      </c>
      <c r="L12" s="15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51"/>
      <c r="N12" s="74"/>
      <c r="O12" s="254" t="s">
        <v>64</v>
      </c>
      <c r="P12" s="255"/>
      <c r="Q12" s="258">
        <v>-50</v>
      </c>
      <c r="R12" s="259"/>
      <c r="S12" s="149"/>
      <c r="T12" s="149"/>
      <c r="U12" s="149"/>
      <c r="V12" s="149"/>
    </row>
    <row r="13" spans="1:28" ht="22" customHeight="1">
      <c r="A13" s="151" t="s">
        <v>65</v>
      </c>
      <c r="B13" s="102">
        <v>401308</v>
      </c>
      <c r="C13" s="53" t="s">
        <v>232</v>
      </c>
      <c r="D13" s="54">
        <v>43579</v>
      </c>
      <c r="E13" s="55" t="s">
        <v>3</v>
      </c>
      <c r="F13" s="56">
        <v>173</v>
      </c>
      <c r="G13" s="152">
        <f>IF(OR(E13="",F13=""),"",PID_KVLohnLookup($A$1,E13,F13,LOHNTABELLE!$H$4))</f>
        <v>2082</v>
      </c>
      <c r="H13" s="153">
        <f>IF(AND(ISNUMBER(D13),ISNUMBER(F13)),ROUNDDOWN(MIN(IF(OR(ISBLANK(I13),I13=""),EOMONTH(DATE(EINSTELLUNG!$C$35,$A$1,1),0),I13)-MAX(D13,DATE(EINSTELLUNG!$C$35,$A$1,1))+1)/DAY(EOMONTH(DATE(EINSTELLUNG!$C$35,$A$1,1),0))*F13,2),"")</f>
        <v>173</v>
      </c>
      <c r="I13" s="57"/>
      <c r="J13" s="58"/>
      <c r="K13" s="152">
        <f t="shared" si="0"/>
        <v>0</v>
      </c>
      <c r="L13" s="15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9"/>
      <c r="N13" s="75"/>
      <c r="O13" s="254" t="s">
        <v>66</v>
      </c>
      <c r="P13" s="255"/>
      <c r="Q13" s="269">
        <f>Q8-Q9-Q10-Q11-Q12</f>
        <v>8295.61</v>
      </c>
      <c r="R13" s="270"/>
      <c r="S13" s="149"/>
      <c r="T13" s="149"/>
      <c r="U13" s="149"/>
      <c r="V13" s="149"/>
    </row>
    <row r="14" spans="1:28" ht="22" customHeight="1">
      <c r="A14" s="151" t="s">
        <v>67</v>
      </c>
      <c r="B14" s="101">
        <v>401394</v>
      </c>
      <c r="C14" s="45" t="s">
        <v>233</v>
      </c>
      <c r="D14" s="46">
        <v>44379</v>
      </c>
      <c r="E14" s="47" t="s">
        <v>2</v>
      </c>
      <c r="F14" s="48">
        <v>173</v>
      </c>
      <c r="G14" s="152">
        <f>IF(OR(E14="",F14=""),"",PID_KVLohnLookup($A$1,E14,F14,LOHNTABELLE!$H$4))</f>
        <v>2900</v>
      </c>
      <c r="H14" s="153">
        <f>IF(AND(ISNUMBER(D14),ISNUMBER(F14)),ROUNDDOWN(MIN(IF(OR(ISBLANK(I14),I14=""),EOMONTH(DATE(EINSTELLUNG!$C$35,$A$1,1),0),I14)-MAX(D14,DATE(EINSTELLUNG!$C$35,$A$1,1))+1)/DAY(EOMONTH(DATE(EINSTELLUNG!$C$35,$A$1,1),0))*F14,2),"")</f>
        <v>173</v>
      </c>
      <c r="I14" s="49"/>
      <c r="J14" s="50"/>
      <c r="K14" s="152">
        <f t="shared" si="0"/>
        <v>0</v>
      </c>
      <c r="L14" s="15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51"/>
      <c r="N14" s="74"/>
      <c r="O14" s="254" t="s">
        <v>68</v>
      </c>
      <c r="P14" s="255"/>
      <c r="Q14" s="269">
        <f>EINSTELLUNG!L12</f>
        <v>9300</v>
      </c>
      <c r="R14" s="270"/>
      <c r="S14" s="149"/>
      <c r="T14" s="149"/>
      <c r="U14" s="149"/>
      <c r="V14" s="149"/>
    </row>
    <row r="15" spans="1:28" ht="22" customHeight="1" thickBot="1">
      <c r="A15" s="151" t="s">
        <v>69</v>
      </c>
      <c r="B15" s="102">
        <v>401406</v>
      </c>
      <c r="C15" s="53" t="s">
        <v>407</v>
      </c>
      <c r="D15" s="54">
        <v>36850</v>
      </c>
      <c r="E15" s="55" t="s">
        <v>10</v>
      </c>
      <c r="F15" s="56">
        <v>151.38</v>
      </c>
      <c r="G15" s="152">
        <f>IF(OR(E15="",F15=""),"",PID_KVLohnLookup($A$1,E15,F15,LOHNTABELLE!$H$4))</f>
        <v>2012.5</v>
      </c>
      <c r="H15" s="153">
        <f>IF(AND(ISNUMBER(D15),ISNUMBER(F15)),ROUNDDOWN(MIN(IF(OR(ISBLANK(I15),I15=""),EOMONTH(DATE(EINSTELLUNG!$C$35,$A$1,1),0),I15)-MAX(D15,DATE(EINSTELLUNG!$C$35,$A$1,1))+1)/DAY(EOMONTH(DATE(EINSTELLUNG!$C$35,$A$1,1),0))*F15,2),"")</f>
        <v>151.38</v>
      </c>
      <c r="I15" s="57"/>
      <c r="J15" s="58"/>
      <c r="K15" s="152">
        <f t="shared" si="0"/>
        <v>0</v>
      </c>
      <c r="L15" s="15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9"/>
      <c r="N15" s="75"/>
      <c r="O15" s="240" t="s">
        <v>70</v>
      </c>
      <c r="P15" s="241"/>
      <c r="Q15" s="242">
        <f>Q13-Q14</f>
        <v>-1004.3899999999994</v>
      </c>
      <c r="R15" s="243"/>
      <c r="S15" s="160"/>
      <c r="T15" s="160"/>
      <c r="U15" s="160"/>
      <c r="V15" s="149"/>
    </row>
    <row r="16" spans="1:28" ht="22" customHeight="1" thickBot="1">
      <c r="A16" s="151" t="s">
        <v>71</v>
      </c>
      <c r="B16" s="101">
        <v>401432</v>
      </c>
      <c r="C16" s="45" t="s">
        <v>235</v>
      </c>
      <c r="D16" s="49">
        <v>44441</v>
      </c>
      <c r="E16" s="47" t="s">
        <v>2</v>
      </c>
      <c r="F16" s="48">
        <v>173</v>
      </c>
      <c r="G16" s="152">
        <f>IF(OR(E16="",F16=""),"",PID_KVLohnLookup($A$1,E16,F16,LOHNTABELLE!$H$4))</f>
        <v>2900</v>
      </c>
      <c r="H16" s="153">
        <f>IF(AND(ISNUMBER(D16),ISNUMBER(F16)),ROUNDDOWN(MIN(IF(OR(ISBLANK(I16),I16=""),EOMONTH(DATE(EINSTELLUNG!$C$35,$A$1,1),0),I16)-MAX(D16,DATE(EINSTELLUNG!$C$35,$A$1,1))+1)/DAY(EOMONTH(DATE(EINSTELLUNG!$C$35,$A$1,1),0))*F16,2),"")</f>
        <v>173</v>
      </c>
      <c r="I16" s="49"/>
      <c r="J16" s="50"/>
      <c r="K16" s="152">
        <f t="shared" si="0"/>
        <v>0</v>
      </c>
      <c r="L16" s="15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51"/>
      <c r="N16" s="74"/>
      <c r="O16" s="319" t="str">
        <f>IF(Q15&lt;0, "Schlecht! Zu wenig Stunden für Dienstplan.", IF(Q15&gt;0, "Du hast mehr als genug Stunden für Dienstplan.", ""))</f>
        <v>Schlecht! Zu wenig Stunden für Dienstplan.</v>
      </c>
      <c r="P16" s="245"/>
      <c r="Q16" s="245"/>
      <c r="R16" s="246"/>
      <c r="S16" s="161"/>
      <c r="T16" s="161"/>
      <c r="U16" s="161"/>
      <c r="V16" s="161"/>
      <c r="W16" s="162"/>
    </row>
    <row r="17" spans="1:29" ht="22" customHeight="1">
      <c r="A17" s="151" t="s">
        <v>72</v>
      </c>
      <c r="B17" s="102">
        <v>401476</v>
      </c>
      <c r="C17" s="53" t="s">
        <v>237</v>
      </c>
      <c r="D17" s="54">
        <v>44504</v>
      </c>
      <c r="E17" s="55" t="s">
        <v>2</v>
      </c>
      <c r="F17" s="56">
        <v>173</v>
      </c>
      <c r="G17" s="152">
        <f>IF(OR(E17="",F17=""),"",PID_KVLohnLookup($A$1,E17,F17,LOHNTABELLE!$H$4))</f>
        <v>2900</v>
      </c>
      <c r="H17" s="153">
        <f>IF(AND(ISNUMBER(D17),ISNUMBER(F17)),ROUNDDOWN(MIN(IF(OR(ISBLANK(I17),I17=""),EOMONTH(DATE(EINSTELLUNG!$C$35,$A$1,1),0),I17)-MAX(D17,DATE(EINSTELLUNG!$C$35,$A$1,1))+1)/DAY(EOMONTH(DATE(EINSTELLUNG!$C$35,$A$1,1),0))*F17,2),"")</f>
        <v>139.51</v>
      </c>
      <c r="I17" s="57">
        <v>46228</v>
      </c>
      <c r="J17" s="58"/>
      <c r="K17" s="152">
        <f t="shared" si="0"/>
        <v>0</v>
      </c>
      <c r="L17" s="15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2338.7096774193546</v>
      </c>
      <c r="M17" s="59"/>
      <c r="N17" s="75" t="s">
        <v>195</v>
      </c>
      <c r="O17" s="316" t="s">
        <v>73</v>
      </c>
      <c r="P17" s="251"/>
      <c r="Q17" s="260">
        <f>SUM(L3:L82)</f>
        <v>144963.30967741937</v>
      </c>
      <c r="R17" s="261"/>
      <c r="S17" s="149"/>
      <c r="T17" s="149"/>
      <c r="U17" s="149"/>
      <c r="V17" s="149"/>
      <c r="W17" s="162"/>
    </row>
    <row r="18" spans="1:29" ht="22" customHeight="1">
      <c r="A18" s="151" t="s">
        <v>74</v>
      </c>
      <c r="B18" s="101">
        <v>401479</v>
      </c>
      <c r="C18" s="45" t="s">
        <v>238</v>
      </c>
      <c r="D18" s="46">
        <v>44511</v>
      </c>
      <c r="E18" s="47" t="s">
        <v>6</v>
      </c>
      <c r="F18" s="48">
        <v>173</v>
      </c>
      <c r="G18" s="152">
        <f>IF(OR(E18="",F18=""),"",PID_KVLohnLookup($A$1,E18,F18,LOHNTABELLE!$H$4))</f>
        <v>2160</v>
      </c>
      <c r="H18" s="153">
        <f>IF(AND(ISNUMBER(D18),ISNUMBER(F18)),ROUNDDOWN(MIN(IF(OR(ISBLANK(I18),I18=""),EOMONTH(DATE(EINSTELLUNG!$C$35,$A$1,1),0),I18)-MAX(D18,DATE(EINSTELLUNG!$C$35,$A$1,1))+1)/DAY(EOMONTH(DATE(EINSTELLUNG!$C$35,$A$1,1),0))*F18,2),"")</f>
        <v>173</v>
      </c>
      <c r="I18" s="49"/>
      <c r="J18" s="50"/>
      <c r="K18" s="152">
        <f t="shared" si="0"/>
        <v>0</v>
      </c>
      <c r="L18" s="15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2160</v>
      </c>
      <c r="M18" s="51"/>
      <c r="N18" s="74"/>
      <c r="O18" s="308" t="s">
        <v>385</v>
      </c>
      <c r="P18" s="249"/>
      <c r="Q18" s="238">
        <v>20</v>
      </c>
      <c r="R18" s="239"/>
      <c r="S18" s="149"/>
      <c r="T18" s="149"/>
      <c r="U18" s="149"/>
      <c r="V18" s="149"/>
    </row>
    <row r="19" spans="1:29" ht="22" customHeight="1">
      <c r="A19" s="151" t="s">
        <v>75</v>
      </c>
      <c r="B19" s="102">
        <v>401481</v>
      </c>
      <c r="C19" s="53" t="s">
        <v>239</v>
      </c>
      <c r="D19" s="54">
        <v>44531</v>
      </c>
      <c r="E19" s="55" t="s">
        <v>3</v>
      </c>
      <c r="F19" s="56">
        <v>173</v>
      </c>
      <c r="G19" s="152">
        <f>IF(OR(E19="",F19=""),"",PID_KVLohnLookup($A$1,E19,F19,LOHNTABELLE!$H$4))</f>
        <v>2082</v>
      </c>
      <c r="H19" s="153">
        <f>IF(AND(ISNUMBER(D19),ISNUMBER(F19)),ROUNDDOWN(MIN(IF(OR(ISBLANK(I19),I19=""),EOMONTH(DATE(EINSTELLUNG!$C$35,$A$1,1),0),I19)-MAX(D19,DATE(EINSTELLUNG!$C$35,$A$1,1))+1)/DAY(EOMONTH(DATE(EINSTELLUNG!$C$35,$A$1,1),0))*F19,2),"")</f>
        <v>173</v>
      </c>
      <c r="I19" s="57"/>
      <c r="J19" s="58"/>
      <c r="K19" s="152">
        <f t="shared" si="0"/>
        <v>0</v>
      </c>
      <c r="L19" s="15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2082</v>
      </c>
      <c r="M19" s="59"/>
      <c r="N19" s="75"/>
      <c r="O19" s="308" t="s">
        <v>296</v>
      </c>
      <c r="P19" s="249"/>
      <c r="Q19" s="238">
        <v>333</v>
      </c>
      <c r="R19" s="239"/>
      <c r="S19" s="149"/>
      <c r="T19" s="149"/>
      <c r="U19" s="149"/>
      <c r="V19" s="149"/>
    </row>
    <row r="20" spans="1:29" ht="22" customHeight="1">
      <c r="A20" s="151" t="s">
        <v>76</v>
      </c>
      <c r="B20" s="101">
        <v>401558</v>
      </c>
      <c r="C20" s="45" t="s">
        <v>236</v>
      </c>
      <c r="D20" s="46">
        <v>44460</v>
      </c>
      <c r="E20" s="47" t="s">
        <v>2</v>
      </c>
      <c r="F20" s="48">
        <v>173</v>
      </c>
      <c r="G20" s="152">
        <f>IF(OR(E20="",F20=""),"",PID_KVLohnLookup($A$1,E20,F20,LOHNTABELLE!$H$4))</f>
        <v>2900</v>
      </c>
      <c r="H20" s="153">
        <f>IF(AND(ISNUMBER(D20),ISNUMBER(F20)),ROUNDDOWN(MIN(IF(OR(ISBLANK(I20),I20=""),EOMONTH(DATE(EINSTELLUNG!$C$35,$A$1,1),0),I20)-MAX(D20,DATE(EINSTELLUNG!$C$35,$A$1,1))+1)/DAY(EOMONTH(DATE(EINSTELLUNG!$C$35,$A$1,1),0))*F20,2),"")</f>
        <v>173</v>
      </c>
      <c r="I20" s="49"/>
      <c r="J20" s="50"/>
      <c r="K20" s="152">
        <f t="shared" si="0"/>
        <v>0</v>
      </c>
      <c r="L20" s="15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2900</v>
      </c>
      <c r="M20" s="51"/>
      <c r="N20" s="74"/>
      <c r="O20" s="308" t="s">
        <v>296</v>
      </c>
      <c r="P20" s="249"/>
      <c r="Q20" s="238">
        <v>35</v>
      </c>
      <c r="R20" s="239"/>
      <c r="S20" s="149"/>
      <c r="T20" s="149"/>
      <c r="U20" s="149"/>
      <c r="V20" s="149"/>
    </row>
    <row r="21" spans="1:29" ht="22" customHeight="1">
      <c r="A21" s="151" t="s">
        <v>77</v>
      </c>
      <c r="B21" s="102">
        <v>401564</v>
      </c>
      <c r="C21" s="53" t="s">
        <v>240</v>
      </c>
      <c r="D21" s="54">
        <v>44824</v>
      </c>
      <c r="E21" s="55" t="s">
        <v>2</v>
      </c>
      <c r="F21" s="56">
        <v>151.38</v>
      </c>
      <c r="G21" s="152">
        <f>IF(OR(E21="",F21=""),"",PID_KVLohnLookup($A$1,E21,F21,LOHNTABELLE!$H$4))</f>
        <v>2500</v>
      </c>
      <c r="H21" s="153">
        <f>IF(AND(ISNUMBER(D21),ISNUMBER(F21)),ROUNDDOWN(MIN(IF(OR(ISBLANK(I21),I21=""),EOMONTH(DATE(EINSTELLUNG!$C$35,$A$1,1),0),I21)-MAX(D21,DATE(EINSTELLUNG!$C$35,$A$1,1))+1)/DAY(EOMONTH(DATE(EINSTELLUNG!$C$35,$A$1,1),0))*F21,2),"")</f>
        <v>151.38</v>
      </c>
      <c r="I21" s="57"/>
      <c r="J21" s="58"/>
      <c r="K21" s="152">
        <f t="shared" si="0"/>
        <v>0</v>
      </c>
      <c r="L21" s="15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2500</v>
      </c>
      <c r="M21" s="59"/>
      <c r="N21" s="75"/>
      <c r="O21" s="308" t="s">
        <v>296</v>
      </c>
      <c r="P21" s="249"/>
      <c r="Q21" s="238">
        <v>100</v>
      </c>
      <c r="R21" s="239"/>
      <c r="S21" s="149"/>
      <c r="T21" s="149"/>
      <c r="U21" s="149"/>
      <c r="V21" s="149"/>
    </row>
    <row r="22" spans="1:29" ht="22" customHeight="1">
      <c r="A22" s="151" t="s">
        <v>78</v>
      </c>
      <c r="B22" s="101">
        <v>401583</v>
      </c>
      <c r="C22" s="45" t="s">
        <v>242</v>
      </c>
      <c r="D22" s="46">
        <v>44900</v>
      </c>
      <c r="E22" s="47" t="s">
        <v>13</v>
      </c>
      <c r="F22" s="48">
        <v>173</v>
      </c>
      <c r="G22" s="152">
        <f>IF(OR(E22="",F22=""),"",PID_KVLohnLookup($A$1,E22,F22,LOHNTABELLE!$H$4))</f>
        <v>2328</v>
      </c>
      <c r="H22" s="153">
        <f>IF(AND(ISNUMBER(D22),ISNUMBER(F22)),ROUNDDOWN(MIN(IF(OR(ISBLANK(I22),I22=""),EOMONTH(DATE(EINSTELLUNG!$C$35,$A$1,1),0),I22)-MAX(D22,DATE(EINSTELLUNG!$C$35,$A$1,1))+1)/DAY(EOMONTH(DATE(EINSTELLUNG!$C$35,$A$1,1),0))*F22,2),"")</f>
        <v>173</v>
      </c>
      <c r="I22" s="49"/>
      <c r="J22" s="50"/>
      <c r="K22" s="152">
        <f t="shared" si="0"/>
        <v>0</v>
      </c>
      <c r="L22" s="15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2328</v>
      </c>
      <c r="M22" s="51"/>
      <c r="N22" s="74"/>
      <c r="O22" s="308" t="s">
        <v>296</v>
      </c>
      <c r="P22" s="249"/>
      <c r="Q22" s="238"/>
      <c r="R22" s="239"/>
      <c r="S22" s="149"/>
      <c r="T22" s="149"/>
      <c r="U22" s="149"/>
      <c r="V22" s="149"/>
    </row>
    <row r="23" spans="1:29" ht="22" customHeight="1">
      <c r="A23" s="151" t="s">
        <v>79</v>
      </c>
      <c r="B23" s="102">
        <v>401589</v>
      </c>
      <c r="C23" s="53" t="s">
        <v>243</v>
      </c>
      <c r="D23" s="54">
        <v>44926</v>
      </c>
      <c r="E23" s="55" t="s">
        <v>10</v>
      </c>
      <c r="F23" s="56">
        <v>173</v>
      </c>
      <c r="G23" s="152">
        <f>IF(OR(E23="",F23=""),"",PID_KVLohnLookup($A$1,E23,F23,LOHNTABELLE!$H$4))</f>
        <v>2300</v>
      </c>
      <c r="H23" s="153">
        <f>IF(AND(ISNUMBER(D23),ISNUMBER(F23)),ROUNDDOWN(MIN(IF(OR(ISBLANK(I23),I23=""),EOMONTH(DATE(EINSTELLUNG!$C$35,$A$1,1),0),I23)-MAX(D23,DATE(EINSTELLUNG!$C$35,$A$1,1))+1)/DAY(EOMONTH(DATE(EINSTELLUNG!$C$35,$A$1,1),0))*F23,2),"")</f>
        <v>173</v>
      </c>
      <c r="I23" s="57"/>
      <c r="J23" s="58"/>
      <c r="K23" s="152">
        <f t="shared" si="0"/>
        <v>0</v>
      </c>
      <c r="L23" s="15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2300</v>
      </c>
      <c r="M23" s="59"/>
      <c r="N23" s="75"/>
      <c r="O23" s="308" t="s">
        <v>296</v>
      </c>
      <c r="P23" s="249"/>
      <c r="Q23" s="238">
        <v>5000</v>
      </c>
      <c r="R23" s="239"/>
      <c r="S23" s="149"/>
      <c r="T23" s="149"/>
      <c r="U23" s="149"/>
      <c r="V23" s="149"/>
      <c r="W23" s="162"/>
    </row>
    <row r="24" spans="1:29" ht="22" customHeight="1">
      <c r="A24" s="151" t="s">
        <v>80</v>
      </c>
      <c r="B24" s="101">
        <v>401602</v>
      </c>
      <c r="C24" s="45" t="s">
        <v>244</v>
      </c>
      <c r="D24" s="46">
        <v>45975</v>
      </c>
      <c r="E24" s="47" t="s">
        <v>2</v>
      </c>
      <c r="F24" s="48">
        <v>169</v>
      </c>
      <c r="G24" s="152">
        <f>IF(OR(E24="",F24=""),"",PID_KVLohnLookup($A$1,E24,F24,LOHNTABELLE!$H$4))</f>
        <v>2000</v>
      </c>
      <c r="H24" s="153">
        <f>IF(AND(ISNUMBER(D24),ISNUMBER(F24)),ROUNDDOWN(MIN(IF(OR(ISBLANK(I24),I24=""),EOMONTH(DATE(EINSTELLUNG!$C$35,$A$1,1),0),I24)-MAX(D24,DATE(EINSTELLUNG!$C$35,$A$1,1))+1)/DAY(EOMONTH(DATE(EINSTELLUNG!$C$35,$A$1,1),0))*F24,2),"")</f>
        <v>169</v>
      </c>
      <c r="I24" s="49"/>
      <c r="J24" s="50"/>
      <c r="K24" s="152">
        <f t="shared" si="0"/>
        <v>0</v>
      </c>
      <c r="L24" s="15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2000</v>
      </c>
      <c r="M24" s="51"/>
      <c r="N24" s="74"/>
      <c r="O24" s="308"/>
      <c r="P24" s="249"/>
      <c r="Q24" s="238"/>
      <c r="R24" s="239"/>
      <c r="S24" s="149"/>
      <c r="T24" s="149"/>
      <c r="U24" s="149"/>
      <c r="V24" s="149"/>
      <c r="W24" s="162"/>
    </row>
    <row r="25" spans="1:29" ht="22" customHeight="1">
      <c r="A25" s="151" t="s">
        <v>81</v>
      </c>
      <c r="B25" s="102">
        <v>401605</v>
      </c>
      <c r="C25" s="53" t="s">
        <v>245</v>
      </c>
      <c r="D25" s="54">
        <v>44986</v>
      </c>
      <c r="E25" s="55" t="s">
        <v>2</v>
      </c>
      <c r="F25" s="56">
        <v>173</v>
      </c>
      <c r="G25" s="152">
        <f>IF(OR(E25="",F25=""),"",PID_KVLohnLookup($A$1,E25,F25,LOHNTABELLE!$H$4))</f>
        <v>2900</v>
      </c>
      <c r="H25" s="153">
        <f>IF(AND(ISNUMBER(D25),ISNUMBER(F25)),ROUNDDOWN(MIN(IF(OR(ISBLANK(I25),I25=""),EOMONTH(DATE(EINSTELLUNG!$C$35,$A$1,1),0),I25)-MAX(D25,DATE(EINSTELLUNG!$C$35,$A$1,1))+1)/DAY(EOMONTH(DATE(EINSTELLUNG!$C$35,$A$1,1),0))*F25,2),"")</f>
        <v>173</v>
      </c>
      <c r="I25" s="57"/>
      <c r="J25" s="58"/>
      <c r="K25" s="152">
        <f t="shared" si="0"/>
        <v>0</v>
      </c>
      <c r="L25" s="15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9"/>
      <c r="N25" s="75"/>
      <c r="O25" s="308"/>
      <c r="P25" s="249"/>
      <c r="Q25" s="238"/>
      <c r="R25" s="239"/>
      <c r="S25" s="149"/>
      <c r="T25" s="149"/>
      <c r="U25" s="149"/>
      <c r="V25" s="149"/>
    </row>
    <row r="26" spans="1:29" ht="22" customHeight="1">
      <c r="A26" s="151" t="s">
        <v>82</v>
      </c>
      <c r="B26" s="101">
        <v>401605</v>
      </c>
      <c r="C26" s="45" t="s">
        <v>407</v>
      </c>
      <c r="D26" s="46">
        <v>36850</v>
      </c>
      <c r="E26" s="47" t="s">
        <v>10</v>
      </c>
      <c r="F26" s="48">
        <v>151.38</v>
      </c>
      <c r="G26" s="152">
        <f>IF(OR(E26="",F26=""),"",PID_KVLohnLookup($A$1,E26,F26,LOHNTABELLE!$H$4))</f>
        <v>2012.5</v>
      </c>
      <c r="H26" s="153">
        <f>IF(AND(ISNUMBER(D26),ISNUMBER(F26)),ROUNDDOWN(MIN(IF(OR(ISBLANK(I26),I26=""),EOMONTH(DATE(EINSTELLUNG!$C$35,$A$1,1),0),I26)-MAX(D26,DATE(EINSTELLUNG!$C$35,$A$1,1))+1)/DAY(EOMONTH(DATE(EINSTELLUNG!$C$35,$A$1,1),0))*F26,2),"")</f>
        <v>151.38</v>
      </c>
      <c r="I26" s="49"/>
      <c r="J26" s="50"/>
      <c r="K26" s="152">
        <f t="shared" si="0"/>
        <v>0</v>
      </c>
      <c r="L26" s="15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2012.5</v>
      </c>
      <c r="M26" s="51"/>
      <c r="N26" s="74"/>
      <c r="O26" s="308"/>
      <c r="P26" s="249"/>
      <c r="Q26" s="238"/>
      <c r="R26" s="239"/>
      <c r="S26" s="149"/>
      <c r="T26" s="149"/>
      <c r="U26" s="149"/>
      <c r="V26" s="149"/>
    </row>
    <row r="27" spans="1:29" ht="22" customHeight="1">
      <c r="A27" s="151" t="s">
        <v>83</v>
      </c>
      <c r="B27" s="102">
        <v>401626</v>
      </c>
      <c r="C27" s="53" t="s">
        <v>246</v>
      </c>
      <c r="D27" s="54">
        <v>45063</v>
      </c>
      <c r="E27" s="55" t="s">
        <v>2</v>
      </c>
      <c r="F27" s="56">
        <v>173</v>
      </c>
      <c r="G27" s="152">
        <f>IF(OR(E27="",F27=""),"",PID_KVLohnLookup($A$1,E27,F27,LOHNTABELLE!$H$4))</f>
        <v>2900</v>
      </c>
      <c r="H27" s="153">
        <f>IF(AND(ISNUMBER(D27),ISNUMBER(F27)),ROUNDDOWN(MIN(IF(OR(ISBLANK(I27),I27=""),EOMONTH(DATE(EINSTELLUNG!$C$35,$A$1,1),0),I27)-MAX(D27,DATE(EINSTELLUNG!$C$35,$A$1,1))+1)/DAY(EOMONTH(DATE(EINSTELLUNG!$C$35,$A$1,1),0))*F27,2),"")</f>
        <v>173</v>
      </c>
      <c r="I27" s="57"/>
      <c r="J27" s="58"/>
      <c r="K27" s="152">
        <f t="shared" si="0"/>
        <v>0</v>
      </c>
      <c r="L27" s="15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9"/>
      <c r="N27" s="75"/>
      <c r="O27" s="308"/>
      <c r="P27" s="249"/>
      <c r="Q27" s="238"/>
      <c r="R27" s="239"/>
      <c r="S27" s="247" t="s">
        <v>84</v>
      </c>
      <c r="T27" s="247"/>
      <c r="U27" s="247"/>
      <c r="V27" s="247"/>
    </row>
    <row r="28" spans="1:29" ht="22" customHeight="1">
      <c r="A28" s="151" t="s">
        <v>85</v>
      </c>
      <c r="B28" s="101">
        <v>401633</v>
      </c>
      <c r="C28" s="45" t="s">
        <v>247</v>
      </c>
      <c r="D28" s="46">
        <v>45089</v>
      </c>
      <c r="E28" s="47" t="s">
        <v>10</v>
      </c>
      <c r="F28" s="48">
        <v>173</v>
      </c>
      <c r="G28" s="152">
        <f>IF(OR(E28="",F28=""),"",PID_KVLohnLookup($A$1,E28,F28,LOHNTABELLE!$H$4))</f>
        <v>2300</v>
      </c>
      <c r="H28" s="153">
        <f>IF(AND(ISNUMBER(D28),ISNUMBER(F28)),ROUNDDOWN(MIN(IF(OR(ISBLANK(I28),I28=""),EOMONTH(DATE(EINSTELLUNG!$C$35,$A$1,1),0),I28)-MAX(D28,DATE(EINSTELLUNG!$C$35,$A$1,1))+1)/DAY(EOMONTH(DATE(EINSTELLUNG!$C$35,$A$1,1),0))*F28,2),"")</f>
        <v>173</v>
      </c>
      <c r="I28" s="49"/>
      <c r="J28" s="50"/>
      <c r="K28" s="152">
        <f t="shared" si="0"/>
        <v>0</v>
      </c>
      <c r="L28" s="15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2300</v>
      </c>
      <c r="M28" s="51"/>
      <c r="N28" s="74"/>
      <c r="O28" s="308"/>
      <c r="P28" s="249"/>
      <c r="Q28" s="238"/>
      <c r="R28" s="239"/>
      <c r="S28" s="149"/>
      <c r="T28" s="149"/>
      <c r="U28" s="149"/>
      <c r="V28" s="149"/>
    </row>
    <row r="29" spans="1:29" ht="22" customHeight="1" thickBot="1">
      <c r="A29" s="151" t="s">
        <v>86</v>
      </c>
      <c r="B29" s="102">
        <v>401647</v>
      </c>
      <c r="C29" s="53" t="s">
        <v>248</v>
      </c>
      <c r="D29" s="54">
        <v>45182</v>
      </c>
      <c r="E29" s="55" t="s">
        <v>2</v>
      </c>
      <c r="F29" s="56">
        <v>173</v>
      </c>
      <c r="G29" s="152">
        <f>IF(OR(E29="",F29=""),"",PID_KVLohnLookup($A$1,E29,F29,LOHNTABELLE!$H$4))</f>
        <v>2900</v>
      </c>
      <c r="H29" s="153">
        <f>IF(AND(ISNUMBER(D29),ISNUMBER(F29)),ROUNDDOWN(MIN(IF(OR(ISBLANK(I29),I29=""),EOMONTH(DATE(EINSTELLUNG!$C$35,$A$1,1),0),I29)-MAX(D29,DATE(EINSTELLUNG!$C$35,$A$1,1))+1)/DAY(EOMONTH(DATE(EINSTELLUNG!$C$35,$A$1,1),0))*F29,2),"")</f>
        <v>173</v>
      </c>
      <c r="I29" s="57"/>
      <c r="J29" s="58"/>
      <c r="K29" s="152">
        <f t="shared" si="0"/>
        <v>0</v>
      </c>
      <c r="L29" s="15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9"/>
      <c r="N29" s="75"/>
      <c r="O29" s="312" t="s">
        <v>87</v>
      </c>
      <c r="P29" s="241"/>
      <c r="Q29" s="295">
        <f>EINSTELLUNG!O12</f>
        <v>1250</v>
      </c>
      <c r="R29" s="296"/>
      <c r="S29" s="149"/>
      <c r="T29" s="149"/>
      <c r="U29" s="149"/>
      <c r="V29" s="149"/>
    </row>
    <row r="30" spans="1:29" ht="22" customHeight="1" thickBot="1">
      <c r="A30" s="151" t="s">
        <v>88</v>
      </c>
      <c r="B30" s="101">
        <v>401661</v>
      </c>
      <c r="C30" s="45" t="s">
        <v>249</v>
      </c>
      <c r="D30" s="46">
        <v>45261</v>
      </c>
      <c r="E30" s="47" t="s">
        <v>2</v>
      </c>
      <c r="F30" s="48">
        <v>173</v>
      </c>
      <c r="G30" s="152">
        <f>IF(OR(E30="",F30=""),"",PID_KVLohnLookup($A$1,E30,F30,LOHNTABELLE!$H$4))</f>
        <v>2900</v>
      </c>
      <c r="H30" s="153">
        <f>IF(AND(ISNUMBER(D30),ISNUMBER(F30)),ROUNDDOWN(MIN(IF(OR(ISBLANK(I30),I30=""),EOMONTH(DATE(EINSTELLUNG!$C$35,$A$1,1),0),I30)-MAX(D30,DATE(EINSTELLUNG!$C$35,$A$1,1))+1)/DAY(EOMONTH(DATE(EINSTELLUNG!$C$35,$A$1,1),0))*F30,2),"")</f>
        <v>173</v>
      </c>
      <c r="I30" s="49"/>
      <c r="J30" s="50"/>
      <c r="K30" s="152">
        <f t="shared" si="0"/>
        <v>0</v>
      </c>
      <c r="L30" s="15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51"/>
      <c r="N30" s="74"/>
      <c r="O30" s="149"/>
      <c r="P30" s="149"/>
      <c r="Q30" s="149"/>
      <c r="R30" s="149"/>
      <c r="S30" s="149"/>
      <c r="T30" s="149"/>
      <c r="U30" s="149"/>
      <c r="V30" s="149"/>
      <c r="W30" s="163"/>
      <c r="X30" s="163"/>
      <c r="Y30" s="163"/>
      <c r="Z30" s="163"/>
      <c r="AA30" s="163"/>
      <c r="AB30" s="163"/>
      <c r="AC30" s="163"/>
    </row>
    <row r="31" spans="1:29" ht="22" customHeight="1" thickBot="1">
      <c r="A31" s="151" t="s">
        <v>89</v>
      </c>
      <c r="B31" s="102">
        <v>401670</v>
      </c>
      <c r="C31" s="53" t="s">
        <v>250</v>
      </c>
      <c r="D31" s="54">
        <v>45358</v>
      </c>
      <c r="E31" s="55" t="s">
        <v>2</v>
      </c>
      <c r="F31" s="56">
        <v>173</v>
      </c>
      <c r="G31" s="152">
        <f>IF(OR(E31="",F31=""),"",PID_KVLohnLookup($A$1,E31,F31,LOHNTABELLE!$H$4))</f>
        <v>2900</v>
      </c>
      <c r="H31" s="153">
        <f>IF(AND(ISNUMBER(D31),ISNUMBER(F31)),ROUNDDOWN(MIN(IF(OR(ISBLANK(I31),I31=""),EOMONTH(DATE(EINSTELLUNG!$C$35,$A$1,1),0),I31)-MAX(D31,DATE(EINSTELLUNG!$C$35,$A$1,1))+1)/DAY(EOMONTH(DATE(EINSTELLUNG!$C$35,$A$1,1),0))*F31,2),"")</f>
        <v>173</v>
      </c>
      <c r="I31" s="57"/>
      <c r="J31" s="58"/>
      <c r="K31" s="152">
        <f t="shared" si="0"/>
        <v>0</v>
      </c>
      <c r="L31" s="15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9"/>
      <c r="N31" s="75"/>
      <c r="O31" s="309">
        <v>0</v>
      </c>
      <c r="P31" s="300"/>
      <c r="Q31" s="284">
        <v>1.6666666666666666E-2</v>
      </c>
      <c r="R31" s="285"/>
      <c r="S31" s="149"/>
      <c r="T31" s="149"/>
      <c r="U31" s="149"/>
      <c r="V31" s="149"/>
    </row>
    <row r="32" spans="1:29" ht="22" customHeight="1" thickBot="1">
      <c r="A32" s="151" t="s">
        <v>91</v>
      </c>
      <c r="B32" s="101">
        <v>401678</v>
      </c>
      <c r="C32" s="45" t="s">
        <v>251</v>
      </c>
      <c r="D32" s="46">
        <v>45414</v>
      </c>
      <c r="E32" s="47" t="s">
        <v>2</v>
      </c>
      <c r="F32" s="48">
        <v>173</v>
      </c>
      <c r="G32" s="152">
        <f>IF(OR(E32="",F32=""),"",PID_KVLohnLookup($A$1,E32,F32,LOHNTABELLE!$H$4))</f>
        <v>2900</v>
      </c>
      <c r="H32" s="153">
        <f>IF(AND(ISNUMBER(D32),ISNUMBER(F32)),ROUNDDOWN(MIN(IF(OR(ISBLANK(I32),I32=""),EOMONTH(DATE(EINSTELLUNG!$C$35,$A$1,1),0),I32)-MAX(D32,DATE(EINSTELLUNG!$C$35,$A$1,1))+1)/DAY(EOMONTH(DATE(EINSTELLUNG!$C$35,$A$1,1),0))*F32,2),"")</f>
        <v>173</v>
      </c>
      <c r="I32" s="49"/>
      <c r="J32" s="50"/>
      <c r="K32" s="152">
        <f t="shared" si="0"/>
        <v>0</v>
      </c>
      <c r="L32" s="15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51"/>
      <c r="N32" s="74"/>
      <c r="O32" s="149"/>
      <c r="P32" s="149"/>
      <c r="Q32" s="149"/>
      <c r="R32" s="149"/>
      <c r="S32" s="149"/>
      <c r="T32" s="149"/>
      <c r="U32" s="149"/>
      <c r="V32" s="149"/>
    </row>
    <row r="33" spans="1:22" ht="22" customHeight="1">
      <c r="A33" s="151" t="s">
        <v>92</v>
      </c>
      <c r="B33" s="102">
        <v>401690</v>
      </c>
      <c r="C33" s="53" t="s">
        <v>253</v>
      </c>
      <c r="D33" s="54">
        <v>45536</v>
      </c>
      <c r="E33" s="55" t="s">
        <v>2</v>
      </c>
      <c r="F33" s="56">
        <v>151.38</v>
      </c>
      <c r="G33" s="152">
        <f>IF(OR(E33="",F33=""),"",PID_KVLohnLookup($A$1,E33,F33,LOHNTABELLE!$H$4))</f>
        <v>2500</v>
      </c>
      <c r="H33" s="153">
        <f>IF(AND(ISNUMBER(D33),ISNUMBER(F33)),ROUNDDOWN(MIN(IF(OR(ISBLANK(I33),I33=""),EOMONTH(DATE(EINSTELLUNG!$C$35,$A$1,1),0),I33)-MAX(D33,DATE(EINSTELLUNG!$C$35,$A$1,1))+1)/DAY(EOMONTH(DATE(EINSTELLUNG!$C$35,$A$1,1),0))*F33,2),"")</f>
        <v>151.38</v>
      </c>
      <c r="I33" s="57"/>
      <c r="J33" s="58"/>
      <c r="K33" s="152">
        <f t="shared" si="0"/>
        <v>0</v>
      </c>
      <c r="L33" s="15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2500</v>
      </c>
      <c r="M33" s="59"/>
      <c r="N33" s="75"/>
      <c r="O33" s="310"/>
      <c r="P33" s="291"/>
      <c r="Q33" s="280" t="str">
        <f>EINSTELLUNG!B3</f>
        <v>Budget</v>
      </c>
      <c r="R33" s="280"/>
      <c r="S33" s="280" t="str">
        <f>EINSTELLUNG!B19</f>
        <v>Projection/Aktuell Zahlen</v>
      </c>
      <c r="T33" s="280"/>
      <c r="U33" s="280" t="s">
        <v>95</v>
      </c>
      <c r="V33" s="282"/>
    </row>
    <row r="34" spans="1:22" ht="22" customHeight="1">
      <c r="A34" s="151" t="s">
        <v>96</v>
      </c>
      <c r="B34" s="101">
        <v>401715</v>
      </c>
      <c r="C34" s="45" t="s">
        <v>256</v>
      </c>
      <c r="D34" s="49">
        <v>45755</v>
      </c>
      <c r="E34" s="47" t="s">
        <v>2</v>
      </c>
      <c r="F34" s="48">
        <v>173</v>
      </c>
      <c r="G34" s="152">
        <f>IF(OR(E34="",F34=""),"",PID_KVLohnLookup($A$1,E34,F34,LOHNTABELLE!$H$4))</f>
        <v>2900</v>
      </c>
      <c r="H34" s="153">
        <f>IF(AND(ISNUMBER(D34),ISNUMBER(F34)),ROUNDDOWN(MIN(IF(OR(ISBLANK(I34),I34=""),EOMONTH(DATE(EINSTELLUNG!$C$35,$A$1,1),0),I34)-MAX(D34,DATE(EINSTELLUNG!$C$35,$A$1,1))+1)/DAY(EOMONTH(DATE(EINSTELLUNG!$C$35,$A$1,1),0))*F34,2),"")</f>
        <v>173</v>
      </c>
      <c r="I34" s="49"/>
      <c r="J34" s="50"/>
      <c r="K34" s="152">
        <f t="shared" si="0"/>
        <v>0</v>
      </c>
      <c r="L34" s="15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51"/>
      <c r="N34" s="74"/>
      <c r="O34" s="311"/>
      <c r="P34" s="293"/>
      <c r="Q34" s="281"/>
      <c r="R34" s="281"/>
      <c r="S34" s="281"/>
      <c r="T34" s="281"/>
      <c r="U34" s="281"/>
      <c r="V34" s="283"/>
    </row>
    <row r="35" spans="1:22" ht="22" customHeight="1">
      <c r="A35" s="151" t="s">
        <v>97</v>
      </c>
      <c r="B35" s="102">
        <v>401716</v>
      </c>
      <c r="C35" s="53" t="s">
        <v>257</v>
      </c>
      <c r="D35" s="54">
        <v>45800</v>
      </c>
      <c r="E35" s="55" t="s">
        <v>2</v>
      </c>
      <c r="F35" s="56">
        <v>173</v>
      </c>
      <c r="G35" s="152">
        <f>IF(OR(E35="",F35=""),"",PID_KVLohnLookup($A$1,E35,F35,LOHNTABELLE!$H$4))</f>
        <v>2900</v>
      </c>
      <c r="H35" s="153">
        <f>IF(AND(ISNUMBER(D35),ISNUMBER(F35)),ROUNDDOWN(MIN(IF(OR(ISBLANK(I35),I35=""),EOMONTH(DATE(EINSTELLUNG!$C$35,$A$1,1),0),I35)-MAX(D35,DATE(EINSTELLUNG!$C$35,$A$1,1))+1)/DAY(EOMONTH(DATE(EINSTELLUNG!$C$35,$A$1,1),0))*F35,2),"")</f>
        <v>173</v>
      </c>
      <c r="I35" s="57"/>
      <c r="J35" s="58"/>
      <c r="K35" s="152">
        <f t="shared" ref="K35:K66" si="1">IF(OR(B35="",C35=""),"",IFERROR(IF(OR(MONTH(D35)=1,MONTH(D35)=3,MONTH(D35)=5,MONTH(D35)=7,MONTH(D35)=8,MONTH(D35)=10,MONTH(D35)=12),(G35/31)*J35,IF(OR(MONTH(D35)=4,MONTH(D35)=6,MONTH(D35)=9,MONTH(D35)=11),(G35/30)*J35,(G35/DAY(EOMONTH(D35,0)))*J35)),0))</f>
        <v>0</v>
      </c>
      <c r="L35" s="15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2900</v>
      </c>
      <c r="M35" s="59"/>
      <c r="N35" s="75"/>
      <c r="O35" s="307" t="s">
        <v>98</v>
      </c>
      <c r="P35" s="255"/>
      <c r="Q35" s="256">
        <f>EINSTELLUNG!C12</f>
        <v>400000</v>
      </c>
      <c r="R35" s="256"/>
      <c r="S35" s="256">
        <f>EINSTELLUNG!C28</f>
        <v>435000</v>
      </c>
      <c r="T35" s="256"/>
      <c r="U35" s="256">
        <f>S35-Q35</f>
        <v>35000</v>
      </c>
      <c r="V35" s="257"/>
    </row>
    <row r="36" spans="1:22" ht="22" customHeight="1">
      <c r="A36" s="151" t="s">
        <v>99</v>
      </c>
      <c r="B36" s="101">
        <v>401717</v>
      </c>
      <c r="C36" s="45" t="s">
        <v>258</v>
      </c>
      <c r="D36" s="46">
        <v>45814</v>
      </c>
      <c r="E36" s="47" t="s">
        <v>2</v>
      </c>
      <c r="F36" s="48">
        <v>86.5</v>
      </c>
      <c r="G36" s="152">
        <f>IF(OR(E36="",F36=""),"",PID_KVLohnLookup($A$1,E36,F36,LOHNTABELLE!$H$4))</f>
        <v>2152</v>
      </c>
      <c r="H36" s="153">
        <f>IF(AND(ISNUMBER(D36),ISNUMBER(F36)),ROUNDDOWN(MIN(IF(OR(ISBLANK(I36),I36=""),EOMONTH(DATE(EINSTELLUNG!$C$35,$A$1,1),0),I36)-MAX(D36,DATE(EINSTELLUNG!$C$35,$A$1,1))+1)/DAY(EOMONTH(DATE(EINSTELLUNG!$C$35,$A$1,1),0))*F36,2),"")</f>
        <v>86.5</v>
      </c>
      <c r="I36" s="49"/>
      <c r="J36" s="50"/>
      <c r="K36" s="152">
        <f t="shared" si="1"/>
        <v>0</v>
      </c>
      <c r="L36" s="15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51"/>
      <c r="N36" s="74"/>
      <c r="O36" s="307" t="s">
        <v>100</v>
      </c>
      <c r="P36" s="255"/>
      <c r="Q36" s="256">
        <f>EINSTELLUNG!D12</f>
        <v>100000</v>
      </c>
      <c r="R36" s="256"/>
      <c r="S36" s="256">
        <f ca="1">SumMergedCells(Q17:R29)</f>
        <v>151701.30970000001</v>
      </c>
      <c r="T36" s="256"/>
      <c r="U36" s="256">
        <f t="shared" ref="U36:U41" ca="1" si="2">S36-Q36</f>
        <v>51701.309700000013</v>
      </c>
      <c r="V36" s="257"/>
    </row>
    <row r="37" spans="1:22" ht="22" customHeight="1">
      <c r="A37" s="151" t="s">
        <v>101</v>
      </c>
      <c r="B37" s="102">
        <v>401722</v>
      </c>
      <c r="C37" s="53" t="s">
        <v>259</v>
      </c>
      <c r="D37" s="54">
        <v>45848</v>
      </c>
      <c r="E37" s="55" t="s">
        <v>2</v>
      </c>
      <c r="F37" s="56">
        <v>86.5</v>
      </c>
      <c r="G37" s="152">
        <f>IF(OR(E37="",F37=""),"",PID_KVLohnLookup($A$1,E37,F37,LOHNTABELLE!$H$4))</f>
        <v>2152</v>
      </c>
      <c r="H37" s="153">
        <f>IF(AND(ISNUMBER(D37),ISNUMBER(F37)),ROUNDDOWN(MIN(IF(OR(ISBLANK(I37),I37=""),EOMONTH(DATE(EINSTELLUNG!$C$35,$A$1,1),0),I37)-MAX(D37,DATE(EINSTELLUNG!$C$35,$A$1,1))+1)/DAY(EOMONTH(DATE(EINSTELLUNG!$C$35,$A$1,1),0))*F37,2),"")</f>
        <v>86.5</v>
      </c>
      <c r="I37" s="57"/>
      <c r="J37" s="58"/>
      <c r="K37" s="152">
        <f t="shared" si="1"/>
        <v>0</v>
      </c>
      <c r="L37" s="15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9"/>
      <c r="N37" s="75"/>
      <c r="O37" s="307" t="s">
        <v>102</v>
      </c>
      <c r="P37" s="255"/>
      <c r="Q37" s="278">
        <f>IF(ISERROR(Q36/Q35), 0, Q36/Q35)</f>
        <v>0.25</v>
      </c>
      <c r="R37" s="278"/>
      <c r="S37" s="278">
        <f ca="1">IF(ISERROR(S36/S35), 0, S36/S35)</f>
        <v>0.34873864298850576</v>
      </c>
      <c r="T37" s="278"/>
      <c r="U37" s="278">
        <f t="shared" ca="1" si="2"/>
        <v>9.8738642988505765E-2</v>
      </c>
      <c r="V37" s="279"/>
    </row>
    <row r="38" spans="1:22" ht="22" customHeight="1">
      <c r="A38" s="151" t="s">
        <v>103</v>
      </c>
      <c r="B38" s="101">
        <v>401723</v>
      </c>
      <c r="C38" s="45" t="s">
        <v>260</v>
      </c>
      <c r="D38" s="46">
        <v>45852</v>
      </c>
      <c r="E38" s="47" t="s">
        <v>2</v>
      </c>
      <c r="F38" s="48">
        <v>86.5</v>
      </c>
      <c r="G38" s="152">
        <f>IF(OR(E38="",F38=""),"",PID_KVLohnLookup($A$1,E38,F38,LOHNTABELLE!$H$4))</f>
        <v>2152</v>
      </c>
      <c r="H38" s="153">
        <f>IF(AND(ISNUMBER(D38),ISNUMBER(F38)),ROUNDDOWN(MIN(IF(OR(ISBLANK(I38),I38=""),EOMONTH(DATE(EINSTELLUNG!$C$35,$A$1,1),0),I38)-MAX(D38,DATE(EINSTELLUNG!$C$35,$A$1,1))+1)/DAY(EOMONTH(DATE(EINSTELLUNG!$C$35,$A$1,1),0))*F38,2),"")</f>
        <v>86.5</v>
      </c>
      <c r="I38" s="49"/>
      <c r="J38" s="50"/>
      <c r="K38" s="152">
        <f t="shared" si="1"/>
        <v>0</v>
      </c>
      <c r="L38" s="15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51"/>
      <c r="N38" s="74"/>
      <c r="O38" s="307" t="s">
        <v>104</v>
      </c>
      <c r="P38" s="255"/>
      <c r="Q38" s="269">
        <f>EINSTELLUNG!F12</f>
        <v>30000</v>
      </c>
      <c r="R38" s="269"/>
      <c r="S38" s="269">
        <f>EINSTELLUNG!F28</f>
        <v>31000</v>
      </c>
      <c r="T38" s="269"/>
      <c r="U38" s="269">
        <f t="shared" si="2"/>
        <v>1000</v>
      </c>
      <c r="V38" s="270"/>
    </row>
    <row r="39" spans="1:22" ht="22" customHeight="1">
      <c r="A39" s="151" t="s">
        <v>105</v>
      </c>
      <c r="B39" s="102">
        <v>401726</v>
      </c>
      <c r="C39" s="53" t="s">
        <v>261</v>
      </c>
      <c r="D39" s="54">
        <v>45870</v>
      </c>
      <c r="E39" s="55" t="s">
        <v>2</v>
      </c>
      <c r="F39" s="56">
        <v>86.5</v>
      </c>
      <c r="G39" s="152">
        <f>IF(OR(E39="",F39=""),"",PID_KVLohnLookup($A$1,E39,F39,LOHNTABELLE!$H$4))</f>
        <v>2152</v>
      </c>
      <c r="H39" s="153">
        <f>IF(AND(ISNUMBER(D39),ISNUMBER(F39)),ROUNDDOWN(MIN(IF(OR(ISBLANK(I39),I39=""),EOMONTH(DATE(EINSTELLUNG!$C$35,$A$1,1),0),I39)-MAX(D39,DATE(EINSTELLUNG!$C$35,$A$1,1))+1)/DAY(EOMONTH(DATE(EINSTELLUNG!$C$35,$A$1,1),0))*F39,2),"")</f>
        <v>86.5</v>
      </c>
      <c r="I39" s="57"/>
      <c r="J39" s="58"/>
      <c r="K39" s="152">
        <f t="shared" si="1"/>
        <v>0</v>
      </c>
      <c r="L39" s="15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9"/>
      <c r="N39" s="75"/>
      <c r="O39" s="307" t="s">
        <v>106</v>
      </c>
      <c r="P39" s="255"/>
      <c r="Q39" s="256">
        <f>IF(Q38=0, 0, Q35/Q38)</f>
        <v>13.333333333333334</v>
      </c>
      <c r="R39" s="256"/>
      <c r="S39" s="256">
        <f>IF(S38=0, 0, S35/S38)</f>
        <v>14.03225806451613</v>
      </c>
      <c r="T39" s="256"/>
      <c r="U39" s="256">
        <f t="shared" si="2"/>
        <v>0.69892473118279597</v>
      </c>
      <c r="V39" s="257"/>
    </row>
    <row r="40" spans="1:22" ht="22" customHeight="1">
      <c r="A40" s="151" t="s">
        <v>107</v>
      </c>
      <c r="B40" s="101">
        <v>401730</v>
      </c>
      <c r="C40" s="45" t="s">
        <v>263</v>
      </c>
      <c r="D40" s="49">
        <v>45895</v>
      </c>
      <c r="E40" s="47" t="s">
        <v>2</v>
      </c>
      <c r="F40" s="48">
        <v>86.5</v>
      </c>
      <c r="G40" s="152">
        <f>IF(OR(E40="",F40=""),"",PID_KVLohnLookup($A$1,E40,F40,LOHNTABELLE!$H$4))</f>
        <v>2152</v>
      </c>
      <c r="H40" s="153">
        <f>IF(AND(ISNUMBER(D40),ISNUMBER(F40)),ROUNDDOWN(MIN(IF(OR(ISBLANK(I40),I40=""),EOMONTH(DATE(EINSTELLUNG!$C$35,$A$1,1),0),I40)-MAX(D40,DATE(EINSTELLUNG!$C$35,$A$1,1))+1)/DAY(EOMONTH(DATE(EINSTELLUNG!$C$35,$A$1,1),0))*F40,2),"")</f>
        <v>86.5</v>
      </c>
      <c r="I40" s="49"/>
      <c r="J40" s="50"/>
      <c r="K40" s="152">
        <f t="shared" si="1"/>
        <v>0</v>
      </c>
      <c r="L40" s="15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51"/>
      <c r="N40" s="74"/>
      <c r="O40" s="307" t="s">
        <v>108</v>
      </c>
      <c r="P40" s="255"/>
      <c r="Q40" s="256">
        <f>IF(Q13=0, 0, Q35/Q13)</f>
        <v>48.218274484938419</v>
      </c>
      <c r="R40" s="256"/>
      <c r="S40" s="256">
        <f>IF(Q13=0, 0, S35/Q13)</f>
        <v>52.437373502370527</v>
      </c>
      <c r="T40" s="256"/>
      <c r="U40" s="256">
        <f t="shared" si="2"/>
        <v>4.2190990174321072</v>
      </c>
      <c r="V40" s="257"/>
    </row>
    <row r="41" spans="1:22" ht="22" customHeight="1">
      <c r="A41" s="151" t="s">
        <v>109</v>
      </c>
      <c r="B41" s="102">
        <v>401731</v>
      </c>
      <c r="C41" s="53" t="s">
        <v>262</v>
      </c>
      <c r="D41" s="54">
        <v>45899</v>
      </c>
      <c r="E41" s="55" t="s">
        <v>2</v>
      </c>
      <c r="F41" s="56">
        <v>86.5</v>
      </c>
      <c r="G41" s="152">
        <f>IF(OR(E41="",F41=""),"",PID_KVLohnLookup($A$1,E41,F41,LOHNTABELLE!$H$4))</f>
        <v>2152</v>
      </c>
      <c r="H41" s="153">
        <f>IF(AND(ISNUMBER(D41),ISNUMBER(F41)),ROUNDDOWN(MIN(IF(OR(ISBLANK(I41),I41=""),EOMONTH(DATE(EINSTELLUNG!$C$35,$A$1,1),0),I41)-MAX(D41,DATE(EINSTELLUNG!$C$35,$A$1,1))+1)/DAY(EOMONTH(DATE(EINSTELLUNG!$C$35,$A$1,1),0))*F41,2),"")</f>
        <v>86.5</v>
      </c>
      <c r="I41" s="57"/>
      <c r="J41" s="58"/>
      <c r="K41" s="152">
        <f t="shared" si="1"/>
        <v>0</v>
      </c>
      <c r="L41" s="15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9"/>
      <c r="N41" s="75"/>
      <c r="O41" s="307" t="s">
        <v>110</v>
      </c>
      <c r="P41" s="255"/>
      <c r="Q41" s="269">
        <f>IF(Q13=0, 0, Q38/Q13)</f>
        <v>3.616370586370381</v>
      </c>
      <c r="R41" s="269"/>
      <c r="S41" s="269">
        <f>IF(Q13=0, 0, S38/Q13)</f>
        <v>3.7369162725827274</v>
      </c>
      <c r="T41" s="269"/>
      <c r="U41" s="269">
        <f t="shared" si="2"/>
        <v>0.1205456862123464</v>
      </c>
      <c r="V41" s="270"/>
    </row>
    <row r="42" spans="1:22" ht="22" customHeight="1">
      <c r="A42" s="151" t="s">
        <v>111</v>
      </c>
      <c r="B42" s="101">
        <v>401734</v>
      </c>
      <c r="C42" s="45" t="s">
        <v>264</v>
      </c>
      <c r="D42" s="46">
        <v>45904</v>
      </c>
      <c r="E42" s="47" t="s">
        <v>2</v>
      </c>
      <c r="F42" s="48">
        <v>86.5</v>
      </c>
      <c r="G42" s="152">
        <f>IF(OR(E42="",F42=""),"",PID_KVLohnLookup($A$1,E42,F42,LOHNTABELLE!$H$4))</f>
        <v>2152</v>
      </c>
      <c r="H42" s="153">
        <f>IF(AND(ISNUMBER(D42),ISNUMBER(F42)),ROUNDDOWN(MIN(IF(OR(ISBLANK(I42),I42=""),EOMONTH(DATE(EINSTELLUNG!$C$35,$A$1,1),0),I42)-MAX(D42,DATE(EINSTELLUNG!$C$35,$A$1,1))+1)/DAY(EOMONTH(DATE(EINSTELLUNG!$C$35,$A$1,1),0))*F42,2),"")</f>
        <v>86.5</v>
      </c>
      <c r="I42" s="49"/>
      <c r="J42" s="50"/>
      <c r="K42" s="152">
        <f t="shared" si="1"/>
        <v>0</v>
      </c>
      <c r="L42" s="15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51"/>
      <c r="N42" s="74"/>
      <c r="O42" s="306" t="s">
        <v>112</v>
      </c>
      <c r="P42" s="263"/>
      <c r="Q42" s="264">
        <f>IFERROR(Q17/Q8, 0)</f>
        <v>16.375205693848407</v>
      </c>
      <c r="R42" s="264"/>
      <c r="S42" s="264"/>
      <c r="T42" s="264"/>
      <c r="U42" s="264"/>
      <c r="V42" s="265"/>
    </row>
    <row r="43" spans="1:22" ht="22" customHeight="1">
      <c r="A43" s="151" t="s">
        <v>113</v>
      </c>
      <c r="B43" s="102">
        <v>401737</v>
      </c>
      <c r="C43" s="53" t="s">
        <v>266</v>
      </c>
      <c r="D43" s="54">
        <v>45906</v>
      </c>
      <c r="E43" s="55" t="s">
        <v>2</v>
      </c>
      <c r="F43" s="56">
        <v>86.5</v>
      </c>
      <c r="G43" s="152">
        <f>IF(OR(E43="",F43=""),"",PID_KVLohnLookup($A$1,E43,F43,LOHNTABELLE!$H$4))</f>
        <v>2152</v>
      </c>
      <c r="H43" s="153">
        <f>IF(AND(ISNUMBER(D43),ISNUMBER(F43)),ROUNDDOWN(MIN(IF(OR(ISBLANK(I43),I43=""),EOMONTH(DATE(EINSTELLUNG!$C$35,$A$1,1),0),I43)-MAX(D43,DATE(EINSTELLUNG!$C$35,$A$1,1))+1)/DAY(EOMONTH(DATE(EINSTELLUNG!$C$35,$A$1,1),0))*F43,2),"")</f>
        <v>86.5</v>
      </c>
      <c r="I43" s="57"/>
      <c r="J43" s="58"/>
      <c r="K43" s="152">
        <f t="shared" si="1"/>
        <v>0</v>
      </c>
      <c r="L43" s="15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9"/>
      <c r="N43" s="75"/>
      <c r="O43" s="164"/>
      <c r="P43" s="164"/>
      <c r="Q43" s="164"/>
      <c r="R43" s="149"/>
      <c r="S43" s="149"/>
      <c r="T43" s="149"/>
      <c r="U43" s="149"/>
      <c r="V43" s="149"/>
    </row>
    <row r="44" spans="1:22" ht="22" customHeight="1">
      <c r="A44" s="151" t="s">
        <v>114</v>
      </c>
      <c r="B44" s="101">
        <v>401738</v>
      </c>
      <c r="C44" s="45" t="s">
        <v>267</v>
      </c>
      <c r="D44" s="49">
        <v>45909</v>
      </c>
      <c r="E44" s="47" t="s">
        <v>2</v>
      </c>
      <c r="F44" s="48">
        <v>86.5</v>
      </c>
      <c r="G44" s="152">
        <f>IF(OR(E44="",F44=""),"",PID_KVLohnLookup($A$1,E44,F44,LOHNTABELLE!$H$4))</f>
        <v>2152</v>
      </c>
      <c r="H44" s="153">
        <f>IF(AND(ISNUMBER(D44),ISNUMBER(F44)),ROUNDDOWN(MIN(IF(OR(ISBLANK(I44),I44=""),EOMONTH(DATE(EINSTELLUNG!$C$35,$A$1,1),0),I44)-MAX(D44,DATE(EINSTELLUNG!$C$35,$A$1,1))+1)/DAY(EOMONTH(DATE(EINSTELLUNG!$C$35,$A$1,1),0))*F44,2),"")</f>
        <v>86.5</v>
      </c>
      <c r="I44" s="49"/>
      <c r="J44" s="50"/>
      <c r="K44" s="152">
        <f t="shared" si="1"/>
        <v>0</v>
      </c>
      <c r="L44" s="15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51"/>
      <c r="N44" s="74"/>
      <c r="O44" s="275" t="s">
        <v>115</v>
      </c>
      <c r="P44" s="275"/>
      <c r="Q44" s="275"/>
      <c r="R44" s="275"/>
      <c r="S44" s="275"/>
      <c r="T44" s="275"/>
      <c r="U44" s="275"/>
      <c r="V44" s="275"/>
    </row>
    <row r="45" spans="1:22" ht="22" customHeight="1">
      <c r="A45" s="151" t="s">
        <v>116</v>
      </c>
      <c r="B45" s="102">
        <v>401745</v>
      </c>
      <c r="C45" s="53" t="s">
        <v>271</v>
      </c>
      <c r="D45" s="54">
        <v>45934</v>
      </c>
      <c r="E45" s="55" t="s">
        <v>2</v>
      </c>
      <c r="F45" s="56">
        <v>86.5</v>
      </c>
      <c r="G45" s="152">
        <f>IF(OR(E45="",F45=""),"",PID_KVLohnLookup($A$1,E45,F45,LOHNTABELLE!$H$4))</f>
        <v>2152</v>
      </c>
      <c r="H45" s="153">
        <f>IF(AND(ISNUMBER(D45),ISNUMBER(F45)),ROUNDDOWN(MIN(IF(OR(ISBLANK(I45),I45=""),EOMONTH(DATE(EINSTELLUNG!$C$35,$A$1,1),0),I45)-MAX(D45,DATE(EINSTELLUNG!$C$35,$A$1,1))+1)/DAY(EOMONTH(DATE(EINSTELLUNG!$C$35,$A$1,1),0))*F45,2),"")</f>
        <v>86.5</v>
      </c>
      <c r="I45" s="57"/>
      <c r="J45" s="58"/>
      <c r="K45" s="152">
        <f t="shared" si="1"/>
        <v>0</v>
      </c>
      <c r="L45" s="15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9"/>
      <c r="N45" s="75"/>
      <c r="O45" s="276"/>
      <c r="P45" s="276"/>
      <c r="Q45" s="276"/>
      <c r="R45" s="277"/>
      <c r="S45" s="277"/>
      <c r="T45" s="277"/>
      <c r="U45" s="277"/>
      <c r="V45" s="149"/>
    </row>
    <row r="46" spans="1:22" ht="22" customHeight="1">
      <c r="A46" s="151" t="s">
        <v>117</v>
      </c>
      <c r="B46" s="101">
        <v>401746</v>
      </c>
      <c r="C46" s="45" t="s">
        <v>270</v>
      </c>
      <c r="D46" s="46">
        <v>45941</v>
      </c>
      <c r="E46" s="47" t="s">
        <v>2</v>
      </c>
      <c r="F46" s="48">
        <v>86.5</v>
      </c>
      <c r="G46" s="152">
        <f>IF(OR(E46="",F46=""),"",PID_KVLohnLookup($A$1,E46,F46,LOHNTABELLE!$H$4))</f>
        <v>2152</v>
      </c>
      <c r="H46" s="153">
        <f>IF(AND(ISNUMBER(D46),ISNUMBER(F46)),ROUNDDOWN(MIN(IF(OR(ISBLANK(I46),I46=""),EOMONTH(DATE(EINSTELLUNG!$C$35,$A$1,1),0),I46)-MAX(D46,DATE(EINSTELLUNG!$C$35,$A$1,1))+1)/DAY(EOMONTH(DATE(EINSTELLUNG!$C$35,$A$1,1),0))*F46,2),"")</f>
        <v>86.5</v>
      </c>
      <c r="I46" s="49"/>
      <c r="J46" s="50"/>
      <c r="K46" s="152">
        <f t="shared" si="1"/>
        <v>0</v>
      </c>
      <c r="L46" s="15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51"/>
      <c r="N46" s="74"/>
      <c r="O46" s="149"/>
      <c r="P46" s="149"/>
      <c r="Q46" s="149"/>
      <c r="R46" s="149"/>
      <c r="S46" s="149"/>
      <c r="T46" s="149"/>
      <c r="U46" s="149"/>
      <c r="V46" s="149"/>
    </row>
    <row r="47" spans="1:22" ht="22" customHeight="1">
      <c r="A47" s="151" t="s">
        <v>118</v>
      </c>
      <c r="B47" s="102">
        <v>401747</v>
      </c>
      <c r="C47" s="53" t="s">
        <v>268</v>
      </c>
      <c r="D47" s="54">
        <v>45941</v>
      </c>
      <c r="E47" s="55" t="s">
        <v>2</v>
      </c>
      <c r="F47" s="56">
        <v>86.5</v>
      </c>
      <c r="G47" s="152">
        <f>IF(OR(E47="",F47=""),"",PID_KVLohnLookup($A$1,E47,F47,LOHNTABELLE!$H$4))</f>
        <v>2152</v>
      </c>
      <c r="H47" s="153">
        <f>IF(AND(ISNUMBER(D47),ISNUMBER(F47)),ROUNDDOWN(MIN(IF(OR(ISBLANK(I47),I47=""),EOMONTH(DATE(EINSTELLUNG!$C$35,$A$1,1),0),I47)-MAX(D47,DATE(EINSTELLUNG!$C$35,$A$1,1))+1)/DAY(EOMONTH(DATE(EINSTELLUNG!$C$35,$A$1,1),0))*F47,2),"")</f>
        <v>86.5</v>
      </c>
      <c r="I47" s="57"/>
      <c r="J47" s="58"/>
      <c r="K47" s="152">
        <f t="shared" si="1"/>
        <v>0</v>
      </c>
      <c r="L47" s="15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9"/>
      <c r="N47" s="75"/>
      <c r="O47" s="149"/>
      <c r="P47" s="149"/>
      <c r="Q47" s="149"/>
      <c r="R47" s="149"/>
      <c r="S47" s="149"/>
      <c r="T47" s="149"/>
      <c r="U47" s="149"/>
      <c r="V47" s="149"/>
    </row>
    <row r="48" spans="1:22" ht="22" customHeight="1">
      <c r="A48" s="151" t="s">
        <v>119</v>
      </c>
      <c r="B48" s="101">
        <v>401748</v>
      </c>
      <c r="C48" s="45" t="s">
        <v>269</v>
      </c>
      <c r="D48" s="46">
        <v>45941</v>
      </c>
      <c r="E48" s="47" t="s">
        <v>2</v>
      </c>
      <c r="F48" s="48">
        <v>138.4</v>
      </c>
      <c r="G48" s="152">
        <f>IF(OR(E48="",F48=""),"",PID_KVLohnLookup($A$1,E48,F48,LOHNTABELLE!$H$4))</f>
        <v>2400</v>
      </c>
      <c r="H48" s="153">
        <f>IF(AND(ISNUMBER(D48),ISNUMBER(F48)),ROUNDDOWN(MIN(IF(OR(ISBLANK(I48),I48=""),EOMONTH(DATE(EINSTELLUNG!$C$35,$A$1,1),0),I48)-MAX(D48,DATE(EINSTELLUNG!$C$35,$A$1,1))+1)/DAY(EOMONTH(DATE(EINSTELLUNG!$C$35,$A$1,1),0))*F48,2),"")</f>
        <v>138.4</v>
      </c>
      <c r="I48" s="49"/>
      <c r="J48" s="50"/>
      <c r="K48" s="152">
        <f t="shared" si="1"/>
        <v>0</v>
      </c>
      <c r="L48" s="15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2400</v>
      </c>
      <c r="M48" s="51"/>
      <c r="N48" s="74"/>
      <c r="O48" s="149"/>
      <c r="P48" s="149"/>
      <c r="Q48" s="149"/>
      <c r="R48" s="149"/>
      <c r="S48" s="149"/>
      <c r="T48" s="149"/>
      <c r="U48" s="149"/>
      <c r="V48" s="149"/>
    </row>
    <row r="49" spans="1:22" ht="22" customHeight="1">
      <c r="A49" s="151" t="s">
        <v>120</v>
      </c>
      <c r="B49" s="102">
        <v>401751</v>
      </c>
      <c r="C49" s="53" t="s">
        <v>272</v>
      </c>
      <c r="D49" s="54">
        <v>45961</v>
      </c>
      <c r="E49" s="55" t="s">
        <v>2</v>
      </c>
      <c r="F49" s="56">
        <v>86.5</v>
      </c>
      <c r="G49" s="152">
        <f>IF(OR(E49="",F49=""),"",PID_KVLohnLookup($A$1,E49,F49,LOHNTABELLE!$H$4))</f>
        <v>2152</v>
      </c>
      <c r="H49" s="153">
        <f>IF(AND(ISNUMBER(D49),ISNUMBER(F49)),ROUNDDOWN(MIN(IF(OR(ISBLANK(I49),I49=""),EOMONTH(DATE(EINSTELLUNG!$C$35,$A$1,1),0),I49)-MAX(D49,DATE(EINSTELLUNG!$C$35,$A$1,1))+1)/DAY(EOMONTH(DATE(EINSTELLUNG!$C$35,$A$1,1),0))*F49,2),"")</f>
        <v>86.5</v>
      </c>
      <c r="I49" s="57"/>
      <c r="J49" s="58"/>
      <c r="K49" s="152">
        <f t="shared" si="1"/>
        <v>0</v>
      </c>
      <c r="L49" s="15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2152</v>
      </c>
      <c r="M49" s="59"/>
      <c r="N49" s="75"/>
      <c r="O49" s="149"/>
      <c r="P49" s="149"/>
      <c r="Q49" s="149"/>
      <c r="R49" s="149"/>
      <c r="S49" s="149"/>
      <c r="T49" s="149"/>
      <c r="U49" s="149"/>
      <c r="V49" s="149"/>
    </row>
    <row r="50" spans="1:22" ht="22" customHeight="1">
      <c r="A50" s="151" t="s">
        <v>121</v>
      </c>
      <c r="B50" s="101">
        <v>401752</v>
      </c>
      <c r="C50" s="45" t="s">
        <v>273</v>
      </c>
      <c r="D50" s="46">
        <v>45986</v>
      </c>
      <c r="E50" s="47" t="s">
        <v>2</v>
      </c>
      <c r="F50" s="48">
        <v>173</v>
      </c>
      <c r="G50" s="152">
        <f>IF(OR(E50="",F50=""),"",PID_KVLohnLookup($A$1,E50,F50,LOHNTABELLE!$H$4))</f>
        <v>2900</v>
      </c>
      <c r="H50" s="153">
        <f>IF(AND(ISNUMBER(D50),ISNUMBER(F50)),ROUNDDOWN(MIN(IF(OR(ISBLANK(I50),I50=""),EOMONTH(DATE(EINSTELLUNG!$C$35,$A$1,1),0),I50)-MAX(D50,DATE(EINSTELLUNG!$C$35,$A$1,1))+1)/DAY(EOMONTH(DATE(EINSTELLUNG!$C$35,$A$1,1),0))*F50,2),"")</f>
        <v>173</v>
      </c>
      <c r="I50" s="49"/>
      <c r="J50" s="50"/>
      <c r="K50" s="152">
        <f t="shared" si="1"/>
        <v>0</v>
      </c>
      <c r="L50" s="15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51"/>
      <c r="N50" s="74"/>
      <c r="O50" s="149"/>
      <c r="P50" s="149"/>
      <c r="Q50" s="149"/>
      <c r="R50" s="149"/>
      <c r="S50" s="149"/>
      <c r="T50" s="149"/>
      <c r="U50" s="149"/>
      <c r="V50" s="149"/>
    </row>
    <row r="51" spans="1:22" ht="22" customHeight="1">
      <c r="A51" s="151" t="s">
        <v>122</v>
      </c>
      <c r="B51" s="102">
        <v>401999</v>
      </c>
      <c r="C51" s="53" t="s">
        <v>358</v>
      </c>
      <c r="D51" s="54">
        <v>46041</v>
      </c>
      <c r="E51" s="55" t="s">
        <v>2</v>
      </c>
      <c r="F51" s="56">
        <v>151.38</v>
      </c>
      <c r="G51" s="152">
        <f>IF(OR(E51="",F51=""),"",PID_KVLohnLookup($A$1,E51,F51,LOHNTABELLE!$H$4))</f>
        <v>2500</v>
      </c>
      <c r="H51" s="153">
        <f>IF(AND(ISNUMBER(D51),ISNUMBER(F51)),ROUNDDOWN(MIN(IF(OR(ISBLANK(I51),I51=""),EOMONTH(DATE(EINSTELLUNG!$C$35,$A$1,1),0),I51)-MAX(D51,DATE(EINSTELLUNG!$C$35,$A$1,1))+1)/DAY(EOMONTH(DATE(EINSTELLUNG!$C$35,$A$1,1),0))*F51,2),"")</f>
        <v>151.38</v>
      </c>
      <c r="I51" s="57"/>
      <c r="J51" s="58"/>
      <c r="K51" s="152">
        <f t="shared" si="1"/>
        <v>0</v>
      </c>
      <c r="L51" s="15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2500</v>
      </c>
      <c r="M51" s="59"/>
      <c r="N51" s="75"/>
    </row>
    <row r="52" spans="1:22" ht="22" customHeight="1">
      <c r="A52" s="151" t="s">
        <v>123</v>
      </c>
      <c r="B52" s="101">
        <v>401999</v>
      </c>
      <c r="C52" s="45" t="s">
        <v>295</v>
      </c>
      <c r="D52" s="49">
        <v>46082</v>
      </c>
      <c r="E52" s="47" t="s">
        <v>2</v>
      </c>
      <c r="F52" s="48">
        <v>173</v>
      </c>
      <c r="G52" s="152">
        <f>IF(OR(E52="",F52=""),"",PID_KVLohnLookup($A$1,E52,F52,LOHNTABELLE!$H$4))</f>
        <v>2900</v>
      </c>
      <c r="H52" s="153">
        <f>IF(AND(ISNUMBER(D52),ISNUMBER(F52)),ROUNDDOWN(MIN(IF(OR(ISBLANK(I52),I52=""),EOMONTH(DATE(EINSTELLUNG!$C$35,$A$1,1),0),I52)-MAX(D52,DATE(EINSTELLUNG!$C$35,$A$1,1))+1)/DAY(EOMONTH(DATE(EINSTELLUNG!$C$35,$A$1,1),0))*F52,2),"")</f>
        <v>173</v>
      </c>
      <c r="I52" s="49"/>
      <c r="J52" s="50"/>
      <c r="K52" s="152">
        <f t="shared" si="1"/>
        <v>0</v>
      </c>
      <c r="L52" s="15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51"/>
      <c r="N52" s="74"/>
    </row>
    <row r="53" spans="1:22" ht="22" customHeight="1">
      <c r="A53" s="151" t="s">
        <v>124</v>
      </c>
      <c r="B53" s="102">
        <v>402000</v>
      </c>
      <c r="C53" s="53" t="s">
        <v>298</v>
      </c>
      <c r="D53" s="57">
        <v>46143</v>
      </c>
      <c r="E53" s="55" t="s">
        <v>2</v>
      </c>
      <c r="F53" s="56">
        <v>173</v>
      </c>
      <c r="G53" s="152">
        <f>IF(OR(E53="",F53=""),"",PID_KVLohnLookup($A$1,E53,F53,LOHNTABELLE!$H$4))</f>
        <v>2900</v>
      </c>
      <c r="H53" s="153">
        <f>IF(AND(ISNUMBER(D53),ISNUMBER(F53)),ROUNDDOWN(MIN(IF(OR(ISBLANK(I53),I53=""),EOMONTH(DATE(EINSTELLUNG!$C$35,$A$1,1),0),I53)-MAX(D53,DATE(EINSTELLUNG!$C$35,$A$1,1))+1)/DAY(EOMONTH(DATE(EINSTELLUNG!$C$35,$A$1,1),0))*F53,2),"")</f>
        <v>173</v>
      </c>
      <c r="I53" s="57"/>
      <c r="J53" s="58"/>
      <c r="K53" s="152">
        <f t="shared" si="1"/>
        <v>0</v>
      </c>
      <c r="L53" s="15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9"/>
      <c r="N53" s="75"/>
    </row>
    <row r="54" spans="1:22" ht="22" customHeight="1">
      <c r="A54" s="151" t="s">
        <v>125</v>
      </c>
      <c r="B54" s="101">
        <v>402004</v>
      </c>
      <c r="C54" s="45" t="s">
        <v>299</v>
      </c>
      <c r="D54" s="49">
        <v>46122</v>
      </c>
      <c r="E54" s="47" t="s">
        <v>2</v>
      </c>
      <c r="F54" s="48">
        <v>173</v>
      </c>
      <c r="G54" s="152">
        <f>IF(OR(E54="",F54=""),"",PID_KVLohnLookup($A$1,E54,F54,LOHNTABELLE!$H$4))</f>
        <v>2900</v>
      </c>
      <c r="H54" s="153">
        <f>IF(AND(ISNUMBER(D54),ISNUMBER(F54)),ROUNDDOWN(MIN(IF(OR(ISBLANK(I54),I54=""),EOMONTH(DATE(EINSTELLUNG!$C$35,$A$1,1),0),I54)-MAX(D54,DATE(EINSTELLUNG!$C$35,$A$1,1))+1)/DAY(EOMONTH(DATE(EINSTELLUNG!$C$35,$A$1,1),0))*F54,2),"")</f>
        <v>173</v>
      </c>
      <c r="I54" s="49"/>
      <c r="J54" s="50"/>
      <c r="K54" s="152">
        <f t="shared" si="1"/>
        <v>0</v>
      </c>
      <c r="L54" s="15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51"/>
      <c r="N54" s="74"/>
    </row>
    <row r="55" spans="1:22" ht="22" customHeight="1">
      <c r="A55" s="151" t="s">
        <v>126</v>
      </c>
      <c r="B55" s="102">
        <v>402405</v>
      </c>
      <c r="C55" s="53" t="s">
        <v>301</v>
      </c>
      <c r="D55" s="57">
        <v>46054</v>
      </c>
      <c r="E55" s="55" t="s">
        <v>2</v>
      </c>
      <c r="F55" s="56">
        <v>173</v>
      </c>
      <c r="G55" s="152">
        <f>IF(OR(E55="",F55=""),"",PID_KVLohnLookup($A$1,E55,F55,LOHNTABELLE!$H$4))</f>
        <v>2900</v>
      </c>
      <c r="H55" s="153">
        <f>IF(AND(ISNUMBER(D55),ISNUMBER(F55)),ROUNDDOWN(MIN(IF(OR(ISBLANK(I55),I55=""),EOMONTH(DATE(EINSTELLUNG!$C$35,$A$1,1),0),I55)-MAX(D55,DATE(EINSTELLUNG!$C$35,$A$1,1))+1)/DAY(EOMONTH(DATE(EINSTELLUNG!$C$35,$A$1,1),0))*F55,2),"")</f>
        <v>173</v>
      </c>
      <c r="I55" s="57"/>
      <c r="J55" s="58"/>
      <c r="K55" s="152">
        <f t="shared" si="1"/>
        <v>0</v>
      </c>
      <c r="L55" s="15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9"/>
      <c r="N55" s="75"/>
    </row>
    <row r="56" spans="1:22" ht="22" customHeight="1">
      <c r="A56" s="151" t="s">
        <v>127</v>
      </c>
      <c r="B56" s="101">
        <v>500600</v>
      </c>
      <c r="C56" s="45" t="s">
        <v>305</v>
      </c>
      <c r="D56" s="49">
        <v>46054</v>
      </c>
      <c r="E56" s="47" t="s">
        <v>2</v>
      </c>
      <c r="F56" s="48">
        <v>173</v>
      </c>
      <c r="G56" s="152">
        <f>IF(OR(E56="",F56=""),"",PID_KVLohnLookup($A$1,E56,F56,LOHNTABELLE!$H$4))</f>
        <v>2900</v>
      </c>
      <c r="H56" s="153">
        <f>IF(AND(ISNUMBER(D56),ISNUMBER(F56)),ROUNDDOWN(MIN(IF(OR(ISBLANK(I56),I56=""),EOMONTH(DATE(EINSTELLUNG!$C$35,$A$1,1),0),I56)-MAX(D56,DATE(EINSTELLUNG!$C$35,$A$1,1))+1)/DAY(EOMONTH(DATE(EINSTELLUNG!$C$35,$A$1,1),0))*F56,2),"")</f>
        <v>173</v>
      </c>
      <c r="I56" s="49"/>
      <c r="J56" s="50"/>
      <c r="K56" s="152">
        <f t="shared" si="1"/>
        <v>0</v>
      </c>
      <c r="L56" s="15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51"/>
      <c r="N56" s="74"/>
    </row>
    <row r="57" spans="1:22" ht="22" customHeight="1">
      <c r="A57" s="151" t="s">
        <v>128</v>
      </c>
      <c r="B57" s="102">
        <v>502000</v>
      </c>
      <c r="C57" s="53" t="s">
        <v>300</v>
      </c>
      <c r="D57" s="57">
        <v>46147</v>
      </c>
      <c r="E57" s="55" t="s">
        <v>2</v>
      </c>
      <c r="F57" s="56">
        <v>173</v>
      </c>
      <c r="G57" s="152">
        <f>IF(OR(E57="",F57=""),"",PID_KVLohnLookup($A$1,E57,F57,LOHNTABELLE!$H$4))</f>
        <v>2900</v>
      </c>
      <c r="H57" s="153">
        <f>IF(AND(ISNUMBER(D57),ISNUMBER(F57)),ROUNDDOWN(MIN(IF(OR(ISBLANK(I57),I57=""),EOMONTH(DATE(EINSTELLUNG!$C$35,$A$1,1),0),I57)-MAX(D57,DATE(EINSTELLUNG!$C$35,$A$1,1))+1)/DAY(EOMONTH(DATE(EINSTELLUNG!$C$35,$A$1,1),0))*F57,2),"")</f>
        <v>173</v>
      </c>
      <c r="I57" s="57"/>
      <c r="J57" s="58"/>
      <c r="K57" s="152">
        <f t="shared" si="1"/>
        <v>0</v>
      </c>
      <c r="L57" s="15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9"/>
      <c r="N57" s="75"/>
    </row>
    <row r="58" spans="1:22" ht="22" customHeight="1">
      <c r="A58" s="151" t="s">
        <v>129</v>
      </c>
      <c r="B58" s="101">
        <v>503000</v>
      </c>
      <c r="C58" s="45" t="s">
        <v>302</v>
      </c>
      <c r="D58" s="49">
        <v>42401</v>
      </c>
      <c r="E58" s="47" t="s">
        <v>2</v>
      </c>
      <c r="F58" s="48">
        <v>173</v>
      </c>
      <c r="G58" s="152">
        <f>IF(OR(E58="",F58=""),"",PID_KVLohnLookup($A$1,E58,F58,LOHNTABELLE!$H$4))</f>
        <v>2900</v>
      </c>
      <c r="H58" s="153">
        <f>IF(AND(ISNUMBER(D58),ISNUMBER(F58)),ROUNDDOWN(MIN(IF(OR(ISBLANK(I58),I58=""),EOMONTH(DATE(EINSTELLUNG!$C$35,$A$1,1),0),I58)-MAX(D58,DATE(EINSTELLUNG!$C$35,$A$1,1))+1)/DAY(EOMONTH(DATE(EINSTELLUNG!$C$35,$A$1,1),0))*F58,2),"")</f>
        <v>173</v>
      </c>
      <c r="I58" s="49"/>
      <c r="J58" s="50"/>
      <c r="K58" s="152">
        <f t="shared" si="1"/>
        <v>0</v>
      </c>
      <c r="L58" s="15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2900</v>
      </c>
      <c r="M58" s="51"/>
      <c r="N58" s="74"/>
    </row>
    <row r="59" spans="1:22" ht="22" customHeight="1">
      <c r="A59" s="151" t="s">
        <v>130</v>
      </c>
      <c r="B59" s="102">
        <v>504000</v>
      </c>
      <c r="C59" s="53" t="s">
        <v>303</v>
      </c>
      <c r="D59" s="57">
        <v>46054</v>
      </c>
      <c r="E59" s="55" t="s">
        <v>3</v>
      </c>
      <c r="F59" s="56">
        <v>138.4</v>
      </c>
      <c r="G59" s="152">
        <f>IF(OR(E59="",F59=""),"",PID_KVLohnLookup($A$1,E59,F59,LOHNTABELLE!$H$4))</f>
        <v>1665.6</v>
      </c>
      <c r="H59" s="153">
        <f>IF(AND(ISNUMBER(D59),ISNUMBER(F59)),ROUNDDOWN(MIN(IF(OR(ISBLANK(I59),I59=""),EOMONTH(DATE(EINSTELLUNG!$C$35,$A$1,1),0),I59)-MAX(D59,DATE(EINSTELLUNG!$C$35,$A$1,1))+1)/DAY(EOMONTH(DATE(EINSTELLUNG!$C$35,$A$1,1),0))*F59,2),"")</f>
        <v>138.4</v>
      </c>
      <c r="I59" s="57"/>
      <c r="J59" s="58"/>
      <c r="K59" s="152">
        <f t="shared" si="1"/>
        <v>0</v>
      </c>
      <c r="L59" s="15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1665.6</v>
      </c>
      <c r="M59" s="59"/>
      <c r="N59" s="75"/>
    </row>
    <row r="60" spans="1:22" ht="22" customHeight="1">
      <c r="A60" s="151" t="s">
        <v>131</v>
      </c>
      <c r="B60" s="101">
        <v>505000</v>
      </c>
      <c r="C60" s="45" t="s">
        <v>304</v>
      </c>
      <c r="D60" s="49">
        <v>46054</v>
      </c>
      <c r="E60" s="47" t="s">
        <v>2</v>
      </c>
      <c r="F60" s="48">
        <v>138.4</v>
      </c>
      <c r="G60" s="152">
        <f>IF(OR(E60="",F60=""),"",PID_KVLohnLookup($A$1,E60,F60,LOHNTABELLE!$H$4))</f>
        <v>2400</v>
      </c>
      <c r="H60" s="153">
        <f>IF(AND(ISNUMBER(D60),ISNUMBER(F60)),ROUNDDOWN(MIN(IF(OR(ISBLANK(I60),I60=""),EOMONTH(DATE(EINSTELLUNG!$C$35,$A$1,1),0),I60)-MAX(D60,DATE(EINSTELLUNG!$C$35,$A$1,1))+1)/DAY(EOMONTH(DATE(EINSTELLUNG!$C$35,$A$1,1),0))*F60,2),"")</f>
        <v>138.4</v>
      </c>
      <c r="I60" s="49"/>
      <c r="J60" s="50"/>
      <c r="K60" s="152">
        <f t="shared" si="1"/>
        <v>0</v>
      </c>
      <c r="L60" s="15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2400</v>
      </c>
      <c r="M60" s="51"/>
      <c r="N60" s="74"/>
    </row>
    <row r="61" spans="1:22" ht="22" customHeight="1">
      <c r="A61" s="151" t="s">
        <v>132</v>
      </c>
      <c r="B61" s="102">
        <v>525025</v>
      </c>
      <c r="C61" s="70" t="s">
        <v>359</v>
      </c>
      <c r="D61" s="57">
        <v>46040</v>
      </c>
      <c r="E61" s="55" t="s">
        <v>2</v>
      </c>
      <c r="F61" s="56">
        <v>129.75</v>
      </c>
      <c r="G61" s="152">
        <f>IF(OR(E61="",F61=""),"",PID_KVLohnLookup($A$1,E61,F61,LOHNTABELLE!$H$4))</f>
        <v>2300</v>
      </c>
      <c r="H61" s="153">
        <f>IF(AND(ISNUMBER(D61),ISNUMBER(F61)),ROUNDDOWN(MIN(IF(OR(ISBLANK(I61),I61=""),EOMONTH(DATE(EINSTELLUNG!$C$35,$A$1,1),0),I61)-MAX(D61,DATE(EINSTELLUNG!$C$35,$A$1,1))+1)/DAY(EOMONTH(DATE(EINSTELLUNG!$C$35,$A$1,1),0))*F61,2),"")</f>
        <v>129.75</v>
      </c>
      <c r="I61" s="57"/>
      <c r="J61" s="58"/>
      <c r="K61" s="152">
        <f t="shared" si="1"/>
        <v>0</v>
      </c>
      <c r="L61" s="15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2300</v>
      </c>
      <c r="M61" s="59"/>
      <c r="N61" s="75"/>
    </row>
    <row r="62" spans="1:22" ht="22" customHeight="1">
      <c r="A62" s="151" t="s">
        <v>133</v>
      </c>
      <c r="B62" s="101">
        <v>700000</v>
      </c>
      <c r="C62" s="45" t="s">
        <v>312</v>
      </c>
      <c r="D62" s="49">
        <v>46054</v>
      </c>
      <c r="E62" s="47" t="s">
        <v>2</v>
      </c>
      <c r="F62" s="48">
        <v>173</v>
      </c>
      <c r="G62" s="152">
        <f>IF(OR(E62="",F62=""),"",PID_KVLohnLookup($A$1,E62,F62,LOHNTABELLE!$H$4))</f>
        <v>2900</v>
      </c>
      <c r="H62" s="153">
        <f>IF(AND(ISNUMBER(D62),ISNUMBER(F62)),ROUNDDOWN(MIN(IF(OR(ISBLANK(I62),I62=""),EOMONTH(DATE(EINSTELLUNG!$C$35,$A$1,1),0),I62)-MAX(D62,DATE(EINSTELLUNG!$C$35,$A$1,1))+1)/DAY(EOMONTH(DATE(EINSTELLUNG!$C$35,$A$1,1),0))*F62,2),"")</f>
        <v>173</v>
      </c>
      <c r="I62" s="49"/>
      <c r="J62" s="50"/>
      <c r="K62" s="152">
        <f t="shared" si="1"/>
        <v>0</v>
      </c>
      <c r="L62" s="15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2900</v>
      </c>
      <c r="M62" s="51"/>
      <c r="N62" s="74"/>
    </row>
    <row r="63" spans="1:22" ht="22" customHeight="1">
      <c r="A63" s="151" t="s">
        <v>134</v>
      </c>
      <c r="B63" s="102">
        <v>800000</v>
      </c>
      <c r="C63" s="53" t="s">
        <v>313</v>
      </c>
      <c r="D63" s="57">
        <v>46096</v>
      </c>
      <c r="E63" s="55" t="s">
        <v>2</v>
      </c>
      <c r="F63" s="56">
        <v>129.75</v>
      </c>
      <c r="G63" s="152">
        <f>IF(OR(E63="",F63=""),"",PID_KVLohnLookup($A$1,E63,F63,LOHNTABELLE!$H$4))</f>
        <v>2300</v>
      </c>
      <c r="H63" s="153">
        <f>IF(AND(ISNUMBER(D63),ISNUMBER(F63)),ROUNDDOWN(MIN(IF(OR(ISBLANK(I63),I63=""),EOMONTH(DATE(EINSTELLUNG!$C$35,$A$1,1),0),I63)-MAX(D63,DATE(EINSTELLUNG!$C$35,$A$1,1))+1)/DAY(EOMONTH(DATE(EINSTELLUNG!$C$35,$A$1,1),0))*F63,2),"")</f>
        <v>129.75</v>
      </c>
      <c r="I63" s="57"/>
      <c r="J63" s="58"/>
      <c r="K63" s="152">
        <f t="shared" si="1"/>
        <v>0</v>
      </c>
      <c r="L63" s="154">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2300</v>
      </c>
      <c r="M63" s="59"/>
      <c r="N63" s="75"/>
    </row>
    <row r="64" spans="1:22" ht="22" customHeight="1">
      <c r="A64" s="151" t="s">
        <v>135</v>
      </c>
      <c r="B64" s="101"/>
      <c r="C64" s="45"/>
      <c r="D64" s="49"/>
      <c r="E64" s="47"/>
      <c r="F64" s="48"/>
      <c r="G64" s="152" t="str">
        <f>IF(OR(E64="",F64=""),"",PID_KVLohnLookup($A$1,E64,F64,LOHNTABELLE!$H$4))</f>
        <v/>
      </c>
      <c r="H64" s="153" t="str">
        <f>IF(AND(ISNUMBER(D64),ISNUMBER(F64)),ROUNDDOWN(MIN(IF(OR(ISBLANK(I64),I64=""),EOMONTH(DATE(EINSTELLUNG!$C$35,$A$1,1),0),I64)-MAX(D64,DATE(EINSTELLUNG!$C$35,$A$1,1))+1)/DAY(EOMONTH(DATE(EINSTELLUNG!$C$35,$A$1,1),0))*F64,2),"")</f>
        <v/>
      </c>
      <c r="I64" s="49"/>
      <c r="J64" s="50"/>
      <c r="K64" s="152" t="str">
        <f t="shared" si="1"/>
        <v/>
      </c>
      <c r="L64" s="15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51"/>
      <c r="N64" s="74"/>
    </row>
    <row r="65" spans="1:14" ht="22" customHeight="1">
      <c r="A65" s="151" t="s">
        <v>136</v>
      </c>
      <c r="B65" s="102"/>
      <c r="C65" s="53"/>
      <c r="D65" s="57"/>
      <c r="E65" s="55"/>
      <c r="F65" s="56"/>
      <c r="G65" s="152" t="str">
        <f>IF(OR(E65="",F65=""),"",PID_KVLohnLookup($A$1,E65,F65,LOHNTABELLE!$H$4))</f>
        <v/>
      </c>
      <c r="H65" s="153" t="str">
        <f>IF(AND(ISNUMBER(D65),ISNUMBER(F65)),ROUNDDOWN(MIN(IF(OR(ISBLANK(I65),I65=""),EOMONTH(DATE(EINSTELLUNG!$C$35,$A$1,1),0),I65)-MAX(D65,DATE(EINSTELLUNG!$C$35,$A$1,1))+1)/DAY(EOMONTH(DATE(EINSTELLUNG!$C$35,$A$1,1),0))*F65,2),"")</f>
        <v/>
      </c>
      <c r="I65" s="57"/>
      <c r="J65" s="58"/>
      <c r="K65" s="152" t="str">
        <f t="shared" si="1"/>
        <v/>
      </c>
      <c r="L65" s="15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9"/>
      <c r="N65" s="75"/>
    </row>
    <row r="66" spans="1:14" ht="22" customHeight="1">
      <c r="A66" s="151" t="s">
        <v>137</v>
      </c>
      <c r="B66" s="101"/>
      <c r="C66" s="45"/>
      <c r="D66" s="49"/>
      <c r="E66" s="47"/>
      <c r="F66" s="48"/>
      <c r="G66" s="152" t="str">
        <f>IF(OR(E66="",F66=""),"",PID_KVLohnLookup($A$1,E66,F66,LOHNTABELLE!$H$4))</f>
        <v/>
      </c>
      <c r="H66" s="153" t="str">
        <f>IF(AND(ISNUMBER(D66),ISNUMBER(F66)),ROUNDDOWN(MIN(IF(OR(ISBLANK(I66),I66=""),EOMONTH(DATE(EINSTELLUNG!$C$35,$A$1,1),0),I66)-MAX(D66,DATE(EINSTELLUNG!$C$35,$A$1,1))+1)/DAY(EOMONTH(DATE(EINSTELLUNG!$C$35,$A$1,1),0))*F66,2),"")</f>
        <v/>
      </c>
      <c r="I66" s="49"/>
      <c r="J66" s="50"/>
      <c r="K66" s="152" t="str">
        <f t="shared" si="1"/>
        <v/>
      </c>
      <c r="L66" s="15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51"/>
      <c r="N66" s="74"/>
    </row>
    <row r="67" spans="1:14" ht="22" customHeight="1">
      <c r="A67" s="151" t="s">
        <v>138</v>
      </c>
      <c r="B67" s="102"/>
      <c r="C67" s="53"/>
      <c r="D67" s="57"/>
      <c r="E67" s="55"/>
      <c r="F67" s="56"/>
      <c r="G67" s="152" t="str">
        <f>IF(OR(E67="",F67=""),"",PID_KVLohnLookup($A$1,E67,F67,LOHNTABELLE!$H$4))</f>
        <v/>
      </c>
      <c r="H67" s="153" t="str">
        <f>IF(AND(ISNUMBER(D67),ISNUMBER(F67)),ROUNDDOWN(MIN(IF(OR(ISBLANK(I67),I67=""),EOMONTH(DATE(EINSTELLUNG!$C$35,$A$1,1),0),I67)-MAX(D67,DATE(EINSTELLUNG!$C$35,$A$1,1))+1)/DAY(EOMONTH(DATE(EINSTELLUNG!$C$35,$A$1,1),0))*F67,2),"")</f>
        <v/>
      </c>
      <c r="I67" s="57"/>
      <c r="J67" s="58"/>
      <c r="K67" s="152" t="str">
        <f t="shared" ref="K67:K82" si="3">IF(OR(B67="",C67=""),"",IFERROR(IF(OR(MONTH(D67)=1,MONTH(D67)=3,MONTH(D67)=5,MONTH(D67)=7,MONTH(D67)=8,MONTH(D67)=10,MONTH(D67)=12),(G67/31)*J67,IF(OR(MONTH(D67)=4,MONTH(D67)=6,MONTH(D67)=9,MONTH(D67)=11),(G67/30)*J67,(G67/DAY(EOMONTH(D67,0)))*J67)),0))</f>
        <v/>
      </c>
      <c r="L67" s="15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9"/>
      <c r="N67" s="75"/>
    </row>
    <row r="68" spans="1:14" ht="22" customHeight="1">
      <c r="A68" s="151" t="s">
        <v>139</v>
      </c>
      <c r="B68" s="101"/>
      <c r="C68" s="45"/>
      <c r="D68" s="49"/>
      <c r="E68" s="47"/>
      <c r="F68" s="48"/>
      <c r="G68" s="152" t="str">
        <f>IF(OR(E68="",F68=""),"",PID_KVLohnLookup($A$1,E68,F68,LOHNTABELLE!$H$4))</f>
        <v/>
      </c>
      <c r="H68" s="153" t="str">
        <f>IF(AND(ISNUMBER(D68),ISNUMBER(F68)),ROUNDDOWN(MIN(IF(OR(ISBLANK(I68),I68=""),EOMONTH(DATE(EINSTELLUNG!$C$35,$A$1,1),0),I68)-MAX(D68,DATE(EINSTELLUNG!$C$35,$A$1,1))+1)/DAY(EOMONTH(DATE(EINSTELLUNG!$C$35,$A$1,1),0))*F68,2),"")</f>
        <v/>
      </c>
      <c r="I68" s="49"/>
      <c r="J68" s="50"/>
      <c r="K68" s="152" t="str">
        <f t="shared" si="3"/>
        <v/>
      </c>
      <c r="L68" s="15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51"/>
      <c r="N68" s="74"/>
    </row>
    <row r="69" spans="1:14" ht="22" customHeight="1">
      <c r="A69" s="151" t="s">
        <v>140</v>
      </c>
      <c r="B69" s="102"/>
      <c r="C69" s="53"/>
      <c r="D69" s="57"/>
      <c r="E69" s="55"/>
      <c r="F69" s="56"/>
      <c r="G69" s="152" t="str">
        <f>IF(OR(E69="",F69=""),"",PID_KVLohnLookup($A$1,E69,F69,LOHNTABELLE!$H$4))</f>
        <v/>
      </c>
      <c r="H69" s="153" t="str">
        <f>IF(AND(ISNUMBER(D69),ISNUMBER(F69)),ROUNDDOWN(MIN(IF(OR(ISBLANK(I69),I69=""),EOMONTH(DATE(EINSTELLUNG!$C$35,$A$1,1),0),I69)-MAX(D69,DATE(EINSTELLUNG!$C$35,$A$1,1))+1)/DAY(EOMONTH(DATE(EINSTELLUNG!$C$35,$A$1,1),0))*F69,2),"")</f>
        <v/>
      </c>
      <c r="I69" s="57"/>
      <c r="J69" s="58"/>
      <c r="K69" s="152" t="str">
        <f t="shared" si="3"/>
        <v/>
      </c>
      <c r="L69" s="15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9"/>
      <c r="N69" s="75"/>
    </row>
    <row r="70" spans="1:14" ht="22" customHeight="1">
      <c r="A70" s="151" t="s">
        <v>141</v>
      </c>
      <c r="B70" s="101"/>
      <c r="C70" s="45"/>
      <c r="D70" s="49"/>
      <c r="E70" s="47"/>
      <c r="F70" s="48"/>
      <c r="G70" s="152" t="str">
        <f>IF(OR(E70="",F70=""),"",PID_KVLohnLookup($A$1,E70,F70,LOHNTABELLE!$H$4))</f>
        <v/>
      </c>
      <c r="H70" s="153" t="str">
        <f>IF(AND(ISNUMBER(D70),ISNUMBER(F70)),ROUNDDOWN(MIN(IF(OR(ISBLANK(I70),I70=""),EOMONTH(DATE(EINSTELLUNG!$C$35,$A$1,1),0),I70)-MAX(D70,DATE(EINSTELLUNG!$C$35,$A$1,1))+1)/DAY(EOMONTH(DATE(EINSTELLUNG!$C$35,$A$1,1),0))*F70,2),"")</f>
        <v/>
      </c>
      <c r="I70" s="49"/>
      <c r="J70" s="50"/>
      <c r="K70" s="152" t="str">
        <f t="shared" si="3"/>
        <v/>
      </c>
      <c r="L70" s="15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51"/>
      <c r="N70" s="74"/>
    </row>
    <row r="71" spans="1:14" ht="22" customHeight="1">
      <c r="A71" s="151" t="s">
        <v>142</v>
      </c>
      <c r="B71" s="102"/>
      <c r="C71" s="53"/>
      <c r="D71" s="57"/>
      <c r="E71" s="55"/>
      <c r="F71" s="56"/>
      <c r="G71" s="152" t="str">
        <f>IF(OR(E71="",F71=""),"",PID_KVLohnLookup($A$1,E71,F71,LOHNTABELLE!$H$4))</f>
        <v/>
      </c>
      <c r="H71" s="153" t="str">
        <f>IF(AND(ISNUMBER(D71),ISNUMBER(F71)),ROUNDDOWN(MIN(IF(OR(ISBLANK(I71),I71=""),EOMONTH(DATE(EINSTELLUNG!$C$35,$A$1,1),0),I71)-MAX(D71,DATE(EINSTELLUNG!$C$35,$A$1,1))+1)/DAY(EOMONTH(DATE(EINSTELLUNG!$C$35,$A$1,1),0))*F71,2),"")</f>
        <v/>
      </c>
      <c r="I71" s="57"/>
      <c r="J71" s="58"/>
      <c r="K71" s="152" t="str">
        <f t="shared" si="3"/>
        <v/>
      </c>
      <c r="L71" s="15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9"/>
      <c r="N71" s="75"/>
    </row>
    <row r="72" spans="1:14" ht="22" customHeight="1">
      <c r="A72" s="151" t="s">
        <v>143</v>
      </c>
      <c r="B72" s="101"/>
      <c r="C72" s="45"/>
      <c r="D72" s="49"/>
      <c r="E72" s="47"/>
      <c r="F72" s="48"/>
      <c r="G72" s="152" t="str">
        <f>IF(OR(E72="",F72=""),"",PID_KVLohnLookup($A$1,E72,F72,LOHNTABELLE!$H$4))</f>
        <v/>
      </c>
      <c r="H72" s="153" t="str">
        <f>IF(AND(ISNUMBER(D72),ISNUMBER(F72)),ROUNDDOWN(MIN(IF(OR(ISBLANK(I72),I72=""),EOMONTH(DATE(EINSTELLUNG!$C$35,$A$1,1),0),I72)-MAX(D72,DATE(EINSTELLUNG!$C$35,$A$1,1))+1)/DAY(EOMONTH(DATE(EINSTELLUNG!$C$35,$A$1,1),0))*F72,2),"")</f>
        <v/>
      </c>
      <c r="I72" s="49"/>
      <c r="J72" s="50"/>
      <c r="K72" s="152" t="str">
        <f t="shared" si="3"/>
        <v/>
      </c>
      <c r="L72" s="15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51"/>
      <c r="N72" s="74"/>
    </row>
    <row r="73" spans="1:14" ht="22" customHeight="1">
      <c r="A73" s="151" t="s">
        <v>144</v>
      </c>
      <c r="B73" s="102"/>
      <c r="C73" s="53"/>
      <c r="D73" s="57"/>
      <c r="E73" s="55"/>
      <c r="F73" s="56"/>
      <c r="G73" s="152" t="str">
        <f>IF(OR(E73="",F73=""),"",PID_KVLohnLookup($A$1,E73,F73,LOHNTABELLE!$H$4))</f>
        <v/>
      </c>
      <c r="H73" s="153" t="str">
        <f>IF(AND(ISNUMBER(D73),ISNUMBER(F73)),ROUNDDOWN(MIN(IF(OR(ISBLANK(I73),I73=""),EOMONTH(DATE(EINSTELLUNG!$C$35,$A$1,1),0),I73)-MAX(D73,DATE(EINSTELLUNG!$C$35,$A$1,1))+1)/DAY(EOMONTH(DATE(EINSTELLUNG!$C$35,$A$1,1),0))*F73,2),"")</f>
        <v/>
      </c>
      <c r="I73" s="57"/>
      <c r="J73" s="58"/>
      <c r="K73" s="152" t="str">
        <f t="shared" si="3"/>
        <v/>
      </c>
      <c r="L73" s="15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9"/>
      <c r="N73" s="75"/>
    </row>
    <row r="74" spans="1:14" ht="22" customHeight="1">
      <c r="A74" s="151" t="s">
        <v>145</v>
      </c>
      <c r="B74" s="101"/>
      <c r="C74" s="45"/>
      <c r="D74" s="49"/>
      <c r="E74" s="47"/>
      <c r="F74" s="48"/>
      <c r="G74" s="152" t="str">
        <f>IF(OR(E74="",F74=""),"",PID_KVLohnLookup($A$1,E74,F74,LOHNTABELLE!$H$4))</f>
        <v/>
      </c>
      <c r="H74" s="153" t="str">
        <f>IF(AND(ISNUMBER(D74),ISNUMBER(F74)),ROUNDDOWN(MIN(IF(OR(ISBLANK(I74),I74=""),EOMONTH(DATE(EINSTELLUNG!$C$35,$A$1,1),0),I74)-MAX(D74,DATE(EINSTELLUNG!$C$35,$A$1,1))+1)/DAY(EOMONTH(DATE(EINSTELLUNG!$C$35,$A$1,1),0))*F74,2),"")</f>
        <v/>
      </c>
      <c r="I74" s="49"/>
      <c r="J74" s="50"/>
      <c r="K74" s="152" t="str">
        <f t="shared" si="3"/>
        <v/>
      </c>
      <c r="L74" s="15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51"/>
      <c r="N74" s="74"/>
    </row>
    <row r="75" spans="1:14" ht="22" customHeight="1">
      <c r="A75" s="151" t="s">
        <v>146</v>
      </c>
      <c r="B75" s="102"/>
      <c r="C75" s="53"/>
      <c r="D75" s="57"/>
      <c r="E75" s="55"/>
      <c r="F75" s="56"/>
      <c r="G75" s="152" t="str">
        <f>IF(OR(E75="",F75=""),"",PID_KVLohnLookup($A$1,E75,F75,LOHNTABELLE!$H$4))</f>
        <v/>
      </c>
      <c r="H75" s="153" t="str">
        <f>IF(AND(ISNUMBER(D75),ISNUMBER(F75)),ROUNDDOWN(MIN(IF(OR(ISBLANK(I75),I75=""),EOMONTH(DATE(EINSTELLUNG!$C$35,$A$1,1),0),I75)-MAX(D75,DATE(EINSTELLUNG!$C$35,$A$1,1))+1)/DAY(EOMONTH(DATE(EINSTELLUNG!$C$35,$A$1,1),0))*F75,2),"")</f>
        <v/>
      </c>
      <c r="I75" s="57"/>
      <c r="J75" s="58"/>
      <c r="K75" s="152" t="str">
        <f t="shared" si="3"/>
        <v/>
      </c>
      <c r="L75" s="15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9"/>
      <c r="N75" s="75"/>
    </row>
    <row r="76" spans="1:14" ht="22" customHeight="1">
      <c r="A76" s="151" t="s">
        <v>147</v>
      </c>
      <c r="B76" s="101"/>
      <c r="C76" s="45"/>
      <c r="D76" s="49"/>
      <c r="E76" s="47"/>
      <c r="F76" s="48"/>
      <c r="G76" s="152" t="str">
        <f>IF(OR(E76="",F76=""),"",PID_KVLohnLookup($A$1,E76,F76,LOHNTABELLE!$H$4))</f>
        <v/>
      </c>
      <c r="H76" s="153" t="str">
        <f>IF(AND(ISNUMBER(D76),ISNUMBER(F76)),ROUNDDOWN(MIN(IF(OR(ISBLANK(I76),I76=""),EOMONTH(DATE(EINSTELLUNG!$C$35,$A$1,1),0),I76)-MAX(D76,DATE(EINSTELLUNG!$C$35,$A$1,1))+1)/DAY(EOMONTH(DATE(EINSTELLUNG!$C$35,$A$1,1),0))*F76,2),"")</f>
        <v/>
      </c>
      <c r="I76" s="49"/>
      <c r="J76" s="50"/>
      <c r="K76" s="152" t="str">
        <f t="shared" si="3"/>
        <v/>
      </c>
      <c r="L76" s="15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51"/>
      <c r="N76" s="74"/>
    </row>
    <row r="77" spans="1:14" ht="22" customHeight="1">
      <c r="A77" s="151" t="s">
        <v>148</v>
      </c>
      <c r="B77" s="102"/>
      <c r="C77" s="53"/>
      <c r="D77" s="57"/>
      <c r="E77" s="55"/>
      <c r="F77" s="56"/>
      <c r="G77" s="152" t="str">
        <f>IF(OR(E77="",F77=""),"",PID_KVLohnLookup($A$1,E77,F77,LOHNTABELLE!$H$4))</f>
        <v/>
      </c>
      <c r="H77" s="153" t="str">
        <f>IF(AND(ISNUMBER(D77),ISNUMBER(F77)),ROUNDDOWN(MIN(IF(OR(ISBLANK(I77),I77=""),EOMONTH(DATE(EINSTELLUNG!$C$35,$A$1,1),0),I77)-MAX(D77,DATE(EINSTELLUNG!$C$35,$A$1,1))+1)/DAY(EOMONTH(DATE(EINSTELLUNG!$C$35,$A$1,1),0))*F77,2),"")</f>
        <v/>
      </c>
      <c r="I77" s="57"/>
      <c r="J77" s="58"/>
      <c r="K77" s="152" t="str">
        <f t="shared" si="3"/>
        <v/>
      </c>
      <c r="L77" s="15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9"/>
      <c r="N77" s="75"/>
    </row>
    <row r="78" spans="1:14" ht="22" customHeight="1">
      <c r="A78" s="151" t="s">
        <v>149</v>
      </c>
      <c r="B78" s="101"/>
      <c r="C78" s="45"/>
      <c r="D78" s="49"/>
      <c r="E78" s="47"/>
      <c r="F78" s="48"/>
      <c r="G78" s="152" t="str">
        <f>IF(OR(E78="",F78=""),"",PID_KVLohnLookup($A$1,E78,F78,LOHNTABELLE!$H$4))</f>
        <v/>
      </c>
      <c r="H78" s="153" t="str">
        <f>IF(AND(ISNUMBER(D78),ISNUMBER(F78)),ROUNDDOWN(MIN(IF(OR(ISBLANK(I78),I78=""),EOMONTH(DATE(EINSTELLUNG!$C$35,$A$1,1),0),I78)-MAX(D78,DATE(EINSTELLUNG!$C$35,$A$1,1))+1)/DAY(EOMONTH(DATE(EINSTELLUNG!$C$35,$A$1,1),0))*F78,2),"")</f>
        <v/>
      </c>
      <c r="I78" s="49"/>
      <c r="J78" s="50"/>
      <c r="K78" s="152" t="str">
        <f t="shared" si="3"/>
        <v/>
      </c>
      <c r="L78" s="15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51"/>
      <c r="N78" s="74"/>
    </row>
    <row r="79" spans="1:14" ht="22" customHeight="1">
      <c r="A79" s="151" t="s">
        <v>150</v>
      </c>
      <c r="B79" s="102"/>
      <c r="C79" s="53"/>
      <c r="D79" s="57"/>
      <c r="E79" s="55"/>
      <c r="F79" s="56"/>
      <c r="G79" s="152" t="str">
        <f>IF(OR(E79="",F79=""),"",PID_KVLohnLookup($A$1,E79,F79,LOHNTABELLE!$H$4))</f>
        <v/>
      </c>
      <c r="H79" s="153" t="str">
        <f>IF(AND(ISNUMBER(D79),ISNUMBER(F79)),ROUNDDOWN(MIN(IF(OR(ISBLANK(I79),I79=""),EOMONTH(DATE(EINSTELLUNG!$C$35,$A$1,1),0),I79)-MAX(D79,DATE(EINSTELLUNG!$C$35,$A$1,1))+1)/DAY(EOMONTH(DATE(EINSTELLUNG!$C$35,$A$1,1),0))*F79,2),"")</f>
        <v/>
      </c>
      <c r="I79" s="57"/>
      <c r="J79" s="58"/>
      <c r="K79" s="152" t="str">
        <f t="shared" si="3"/>
        <v/>
      </c>
      <c r="L79" s="15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9"/>
      <c r="N79" s="75"/>
    </row>
    <row r="80" spans="1:14" ht="22" customHeight="1">
      <c r="A80" s="151" t="s">
        <v>151</v>
      </c>
      <c r="B80" s="101"/>
      <c r="C80" s="45"/>
      <c r="D80" s="49"/>
      <c r="E80" s="47"/>
      <c r="F80" s="48"/>
      <c r="G80" s="152" t="str">
        <f>IF(OR(E80="",F80=""),"",PID_KVLohnLookup($A$1,E80,F80,LOHNTABELLE!$H$4))</f>
        <v/>
      </c>
      <c r="H80" s="153" t="str">
        <f>IF(AND(ISNUMBER(D80),ISNUMBER(F80)),ROUNDDOWN(MIN(IF(OR(ISBLANK(I80),I80=""),EOMONTH(DATE(EINSTELLUNG!$C$35,$A$1,1),0),I80)-MAX(D80,DATE(EINSTELLUNG!$C$35,$A$1,1))+1)/DAY(EOMONTH(DATE(EINSTELLUNG!$C$35,$A$1,1),0))*F80,2),"")</f>
        <v/>
      </c>
      <c r="I80" s="49"/>
      <c r="J80" s="50"/>
      <c r="K80" s="152" t="str">
        <f t="shared" si="3"/>
        <v/>
      </c>
      <c r="L80" s="15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51"/>
      <c r="N80" s="74"/>
    </row>
    <row r="81" spans="1:14" ht="22" customHeight="1">
      <c r="A81" s="151" t="s">
        <v>152</v>
      </c>
      <c r="B81" s="102"/>
      <c r="C81" s="53"/>
      <c r="D81" s="57"/>
      <c r="E81" s="55"/>
      <c r="F81" s="56"/>
      <c r="G81" s="152" t="str">
        <f>IF(OR(E81="",F81=""),"",PID_KVLohnLookup($A$1,E81,F81,LOHNTABELLE!$H$4))</f>
        <v/>
      </c>
      <c r="H81" s="153" t="str">
        <f>IF(AND(ISNUMBER(D81),ISNUMBER(F81)),ROUNDDOWN(MIN(IF(OR(ISBLANK(I81),I81=""),EOMONTH(DATE(EINSTELLUNG!$C$35,$A$1,1),0),I81)-MAX(D81,DATE(EINSTELLUNG!$C$35,$A$1,1))+1)/DAY(EOMONTH(DATE(EINSTELLUNG!$C$35,$A$1,1),0))*F81,2),"")</f>
        <v/>
      </c>
      <c r="I81" s="57"/>
      <c r="J81" s="58"/>
      <c r="K81" s="152" t="str">
        <f t="shared" si="3"/>
        <v/>
      </c>
      <c r="L81" s="15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9"/>
      <c r="N81" s="75"/>
    </row>
    <row r="82" spans="1:14" ht="22" customHeight="1" thickBot="1">
      <c r="A82" s="165" t="s">
        <v>153</v>
      </c>
      <c r="B82" s="103"/>
      <c r="C82" s="62"/>
      <c r="D82" s="63"/>
      <c r="E82" s="64"/>
      <c r="F82" s="65"/>
      <c r="G82" s="166" t="str">
        <f>IF(OR(E82="",F82=""),"",PID_KVLohnLookup($A$1,E82,F82,LOHNTABELLE!$H$4))</f>
        <v/>
      </c>
      <c r="H82" s="159" t="str">
        <f>IF(AND(ISNUMBER(D82),ISNUMBER(F82)),ROUNDDOWN(MIN(IF(OR(ISBLANK(I82),I82=""),EOMONTH(DATE(EINSTELLUNG!$C$35,$A$1,1),0),I82)-MAX(D82,DATE(EINSTELLUNG!$C$35,$A$1,1))+1)/DAY(EOMONTH(DATE(EINSTELLUNG!$C$35,$A$1,1),0))*F82,2),"")</f>
        <v/>
      </c>
      <c r="I82" s="63"/>
      <c r="J82" s="66"/>
      <c r="K82" s="166" t="str">
        <f t="shared" si="3"/>
        <v/>
      </c>
      <c r="L82" s="16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7"/>
      <c r="N82" s="78"/>
    </row>
    <row r="83" spans="1:14" ht="16" customHeight="1">
      <c r="A83" s="168"/>
      <c r="B83" s="168"/>
    </row>
    <row r="100" spans="26:26" ht="16" customHeight="1">
      <c r="Z100" s="142"/>
    </row>
  </sheetData>
  <sheetProtection algorithmName="SHA-512" hashValue="kjPEoEkS5vpo19PsRoOpAg4Pp0JNjgC15DRXjwcD2Xtc9Bfrd1tJgvPOxKyLL5PsAis+wlsJ5oUkudkD1MLDoA==" saltValue="K3L4rYNDQqb3p/GFHUSXiw==" spinCount="100000" sheet="1" objects="1" scenarios="1" sort="0"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921463F6-1826-894A-9CAE-6DC803614B2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B606A58-1221-1945-8238-41290EDC0CD8}">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80AC36DC-8F9E-1F44-BDD0-BD58E8973ECE}">
          <x14:formula1>
            <xm:f>KV_DROPDOWN_HELPER!$AJY$1:$AJY$12</xm:f>
          </x14:formula1>
          <xm:sqref>E3:E82</xm:sqref>
        </x14:dataValidation>
        <x14:dataValidation type="list" allowBlank="1" showInputMessage="1" showErrorMessage="1" xr:uid="{C6D7D017-C46B-644B-AF6F-A6836A616D90}">
          <x14:formula1>
            <xm:f>KV_DROPDOWN_HELPER!$RN$1:$RN$13</xm:f>
          </x14:formula1>
          <xm:sqref>F4 F7</xm:sqref>
        </x14:dataValidation>
        <x14:dataValidation type="list" allowBlank="1" showInputMessage="1" showErrorMessage="1" xr:uid="{B9ABD554-0AD5-1F4D-85DC-2B115FAE3575}">
          <x14:formula1>
            <xm:f>KV_DROPDOWN_HELPER!$RR$1:$RR$13</xm:f>
          </x14:formula1>
          <xm:sqref>F22</xm:sqref>
        </x14:dataValidation>
        <x14:dataValidation type="list" allowBlank="1" showInputMessage="1" showErrorMessage="1" xr:uid="{D6298043-07D6-7841-B2A0-655EA0682284}">
          <x14:formula1>
            <xm:f>KV_DROPDOWN_HELPER!$RS$1:$RS$13</xm:f>
          </x14:formula1>
          <xm:sqref>F64 F65 F66 F67 F68 F69 F70 F71 F72 F73 F74 F75 F76 F77 F78 F79 F80 F81 F82</xm:sqref>
        </x14:dataValidation>
        <x14:dataValidation type="list" allowBlank="1" showInputMessage="1" showErrorMessage="1" xr:uid="{EE87EF88-3180-4C00-B24D-7DF2092CF2BE}">
          <x14:formula1>
            <xm:f>KV_DROPDOWN_HELPER!$RO$1:$RO$13</xm:f>
          </x14:formula1>
          <xm:sqref>F6 F8 F9 F10 F13 F19 F59</xm:sqref>
        </x14:dataValidation>
        <x14:dataValidation type="list" allowBlank="1" showInputMessage="1" showErrorMessage="1" xr:uid="{03481AD6-FB32-4537-916C-8410EA123045}">
          <x14:formula1>
            <xm:f>KV_DROPDOWN_HELPER!$RQ$1:$RQ$13</xm:f>
          </x14:formula1>
          <xm:sqref>F18</xm:sqref>
        </x14:dataValidation>
        <x14:dataValidation type="list" allowBlank="1" showInputMessage="1" showErrorMessage="1" xr:uid="{3DA398A5-CF64-40F0-BCFF-54C51844858F}">
          <x14:formula1>
            <xm:f>KV_DROPDOWN_HELPER!$RM$1:$RM$18</xm:f>
          </x14:formula1>
          <xm:sqref>F3 F5 F11 F12 F14 F16 F17 F20 F21 F24 F25 F27 F29 F30 F31 F32 F33 F34 F35 F36 F37 F38 F39 F40 F41 F42 F43 F44 F45 F46 F47 F48 F49 F50 F51 F52 F53 F54 F55 F56 F57 F58 F60 F61 F62 F63</xm:sqref>
        </x14:dataValidation>
        <x14:dataValidation type="list" allowBlank="1" showInputMessage="1" showErrorMessage="1" xr:uid="{6B8A718E-120D-47B9-AF80-E76513992071}">
          <x14:formula1>
            <xm:f>KV_DROPDOWN_HELPER!$RP$1:$RP$13</xm:f>
          </x14:formula1>
          <xm:sqref>F15 F23 F26 F28</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F744A6-82D4-4CE3-9E32-A09C123FE41D}">
  <sheetPr codeName="Tabelle10"/>
  <dimension ref="A1:AC100"/>
  <sheetViews>
    <sheetView showGridLines="0" showRowColHeaders="0" zoomScaleNormal="100" workbookViewId="0">
      <pane ySplit="2" topLeftCell="A3" activePane="bottomLeft" state="frozen"/>
      <selection activeCell="T24" sqref="T24"/>
      <selection pane="bottomLeft" sqref="A1:A2"/>
    </sheetView>
  </sheetViews>
  <sheetFormatPr baseColWidth="10" defaultColWidth="9.1796875" defaultRowHeight="16" customHeight="1"/>
  <cols>
    <col min="1" max="1" width="4.453125" style="169" customWidth="1"/>
    <col min="2" max="2" width="9.1796875" style="169" customWidth="1"/>
    <col min="3" max="3" width="35.6328125" style="141" customWidth="1"/>
    <col min="4" max="4" width="13.6328125" style="141" customWidth="1"/>
    <col min="5" max="5" width="9.6328125" style="141" customWidth="1"/>
    <col min="6" max="6" width="10.6328125" style="141" customWidth="1"/>
    <col min="7" max="7" width="13.6328125" style="141" customWidth="1"/>
    <col min="8" max="8" width="11.6328125" style="141" customWidth="1"/>
    <col min="9" max="10" width="13.6328125" style="141" customWidth="1"/>
    <col min="11" max="11" width="14.6328125" style="141" customWidth="1"/>
    <col min="12" max="12" width="14.6328125" style="162" customWidth="1"/>
    <col min="13" max="13" width="17.81640625" style="141" customWidth="1"/>
    <col min="14" max="14" width="34.6328125" style="141" customWidth="1"/>
    <col min="15" max="15" width="12.6328125" style="141" customWidth="1"/>
    <col min="16" max="16" width="16.6328125" style="141" customWidth="1"/>
    <col min="17" max="17" width="14.6328125" style="141" customWidth="1"/>
    <col min="18" max="18" width="13.6328125" style="141" customWidth="1"/>
    <col min="19" max="19" width="9.6328125" style="141" customWidth="1"/>
    <col min="20" max="20" width="10.6328125" style="141" customWidth="1"/>
    <col min="21" max="21" width="7.6328125" style="141" customWidth="1"/>
    <col min="22" max="27" width="9.1796875" style="141"/>
    <col min="28" max="28" width="10.6328125" style="141" bestFit="1" customWidth="1"/>
    <col min="29" max="16384" width="9.1796875" style="141"/>
  </cols>
  <sheetData>
    <row r="1" spans="1:28" ht="18" customHeight="1">
      <c r="A1" s="301">
        <v>8</v>
      </c>
      <c r="B1" s="304" t="s">
        <v>180</v>
      </c>
      <c r="C1" s="280" t="s">
        <v>39</v>
      </c>
      <c r="D1" s="280" t="s">
        <v>181</v>
      </c>
      <c r="E1" s="280" t="s">
        <v>0</v>
      </c>
      <c r="F1" s="280" t="s">
        <v>40</v>
      </c>
      <c r="G1" s="280" t="s">
        <v>41</v>
      </c>
      <c r="H1" s="280" t="s">
        <v>42</v>
      </c>
      <c r="I1" s="280" t="s">
        <v>182</v>
      </c>
      <c r="J1" s="280" t="s">
        <v>43</v>
      </c>
      <c r="K1" s="280" t="s">
        <v>44</v>
      </c>
      <c r="L1" s="280" t="s">
        <v>45</v>
      </c>
      <c r="M1" s="280" t="s">
        <v>46</v>
      </c>
      <c r="N1" s="282" t="s">
        <v>183</v>
      </c>
      <c r="AB1" s="143">
        <f>DATE(EINSTELLUNG!$C$35,$A$1,1)</f>
        <v>46235</v>
      </c>
    </row>
    <row r="2" spans="1:28" ht="18" customHeight="1" thickBot="1">
      <c r="A2" s="287"/>
      <c r="B2" s="305"/>
      <c r="C2" s="294"/>
      <c r="D2" s="294"/>
      <c r="E2" s="294"/>
      <c r="F2" s="294"/>
      <c r="G2" s="294"/>
      <c r="H2" s="294"/>
      <c r="I2" s="294"/>
      <c r="J2" s="294"/>
      <c r="K2" s="294"/>
      <c r="L2" s="294"/>
      <c r="M2" s="294"/>
      <c r="N2" s="298"/>
      <c r="O2" s="144"/>
      <c r="P2" s="144"/>
      <c r="Q2" s="144"/>
      <c r="S2" s="208" t="s">
        <v>394</v>
      </c>
      <c r="T2" s="208"/>
      <c r="U2" s="208"/>
      <c r="V2" s="208"/>
      <c r="AB2" s="143">
        <f>EOMONTH(DATE(EINSTELLUNG!$C$35,$A$1,1),0)</f>
        <v>46265</v>
      </c>
    </row>
    <row r="3" spans="1:28" ht="22" customHeight="1">
      <c r="A3" s="145" t="s">
        <v>401</v>
      </c>
      <c r="B3" s="100">
        <v>401010</v>
      </c>
      <c r="C3" s="37" t="s">
        <v>224</v>
      </c>
      <c r="D3" s="38">
        <v>39388</v>
      </c>
      <c r="E3" s="39" t="s">
        <v>2</v>
      </c>
      <c r="F3" s="68">
        <v>169</v>
      </c>
      <c r="G3" s="146">
        <f>IF(OR(E3="",F3=""),"",PID_KVLohnLookup($A$1,E3,F3,LOHNTABELLE!$H$4))</f>
        <v>2000</v>
      </c>
      <c r="H3" s="147">
        <f>IF(AND(ISNUMBER(D3),ISNUMBER(F3)),ROUNDDOWN(MIN(IF(OR(ISBLANK(I3),I3=""),EOMONTH(DATE(EINSTELLUNG!$C$35,$A$1,1),0),I3)-MAX(D3,DATE(EINSTELLUNG!$C$35,$A$1,1))+1)/DAY(EOMONTH(DATE(EINSTELLUNG!$C$35,$A$1,1),0))*F3,2),"")</f>
        <v>169</v>
      </c>
      <c r="I3" s="41"/>
      <c r="J3" s="42"/>
      <c r="K3" s="146">
        <f t="shared" ref="K3:K34" si="0">IF(OR(B3="",C3=""),"",IFERROR(IF(OR(MONTH(D3)=1,MONTH(D3)=3,MONTH(D3)=5,MONTH(D3)=7,MONTH(D3)=8,MONTH(D3)=10,MONTH(D3)=12),(G3/31)*J3,IF(OR(MONTH(D3)=4,MONTH(D3)=6,MONTH(D3)=9,MONTH(D3)=11),(G3/30)*J3,(G3/DAY(EOMONTH(D3,0)))*J3)),0))</f>
        <v>0</v>
      </c>
      <c r="L3" s="14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3"/>
      <c r="N3" s="73"/>
      <c r="O3" s="236" t="s">
        <v>47</v>
      </c>
      <c r="P3" s="236" t="s">
        <v>48</v>
      </c>
      <c r="Q3" s="236" t="s">
        <v>49</v>
      </c>
      <c r="R3" s="272" t="s">
        <v>50</v>
      </c>
      <c r="S3" s="149"/>
      <c r="T3" s="149"/>
      <c r="U3" s="149"/>
      <c r="V3" s="149"/>
      <c r="AB3" s="150"/>
    </row>
    <row r="4" spans="1:28" ht="22" customHeight="1">
      <c r="A4" s="151" t="s">
        <v>51</v>
      </c>
      <c r="B4" s="101">
        <v>401049</v>
      </c>
      <c r="C4" s="45" t="s">
        <v>225</v>
      </c>
      <c r="D4" s="46">
        <v>41130</v>
      </c>
      <c r="E4" s="47" t="s">
        <v>4</v>
      </c>
      <c r="F4" s="48">
        <v>173</v>
      </c>
      <c r="G4" s="152">
        <f>IF(OR(E4="",F4=""),"",PID_KVLohnLookup($A$1,E4,F4,LOHNTABELLE!$H$4))</f>
        <v>2123</v>
      </c>
      <c r="H4" s="153">
        <f>IF(AND(ISNUMBER(D4),ISNUMBER(F4)),ROUNDDOWN(MIN(IF(OR(ISBLANK(I4),I4=""),EOMONTH(DATE(EINSTELLUNG!$C$35,$A$1,1),0),I4)-MAX(D4,DATE(EINSTELLUNG!$C$35,$A$1,1))+1)/DAY(EOMONTH(DATE(EINSTELLUNG!$C$35,$A$1,1),0))*F4,2),"")</f>
        <v>173</v>
      </c>
      <c r="I4" s="49"/>
      <c r="J4" s="50"/>
      <c r="K4" s="152">
        <f t="shared" si="0"/>
        <v>0</v>
      </c>
      <c r="L4" s="15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51"/>
      <c r="N4" s="74"/>
      <c r="O4" s="237"/>
      <c r="P4" s="237"/>
      <c r="Q4" s="237"/>
      <c r="R4" s="273"/>
      <c r="S4" s="149"/>
      <c r="T4" s="149"/>
      <c r="U4" s="149"/>
      <c r="V4" s="149"/>
    </row>
    <row r="5" spans="1:28" ht="22" customHeight="1">
      <c r="A5" s="151" t="s">
        <v>52</v>
      </c>
      <c r="B5" s="102">
        <v>401051</v>
      </c>
      <c r="C5" s="53" t="s">
        <v>227</v>
      </c>
      <c r="D5" s="54">
        <v>41176</v>
      </c>
      <c r="E5" s="55" t="s">
        <v>2</v>
      </c>
      <c r="F5" s="56">
        <v>173</v>
      </c>
      <c r="G5" s="152">
        <f>IF(OR(E5="",F5=""),"",PID_KVLohnLookup($A$1,E5,F5,LOHNTABELLE!$H$4))</f>
        <v>2900</v>
      </c>
      <c r="H5" s="153">
        <f>IF(AND(ISNUMBER(D5),ISNUMBER(F5)),ROUNDDOWN(MIN(IF(OR(ISBLANK(I5),I5=""),EOMONTH(DATE(EINSTELLUNG!$C$35,$A$1,1),0),I5)-MAX(D5,DATE(EINSTELLUNG!$C$35,$A$1,1))+1)/DAY(EOMONTH(DATE(EINSTELLUNG!$C$35,$A$1,1),0))*F5,2),"")</f>
        <v>173</v>
      </c>
      <c r="I5" s="57"/>
      <c r="J5" s="58"/>
      <c r="K5" s="152">
        <f t="shared" si="0"/>
        <v>0</v>
      </c>
      <c r="L5" s="15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9"/>
      <c r="N5" s="75"/>
      <c r="O5" s="155" cm="1">
        <f t="array" ref="O5">SUMPRODUCT((F3:F82/4.310808)/5*2.08)</f>
        <v>840.82835514826911</v>
      </c>
      <c r="P5" s="156">
        <f>EINSTELLUNG!I13</f>
        <v>620</v>
      </c>
      <c r="Q5" s="156">
        <f>P5-O5</f>
        <v>-220.82835514826911</v>
      </c>
      <c r="R5" s="157">
        <f>IFERROR(Q5*Q42, 0)</f>
        <v>-3614.7359518058811</v>
      </c>
      <c r="S5" s="149"/>
      <c r="T5" s="149"/>
      <c r="U5" s="149"/>
      <c r="V5" s="149"/>
    </row>
    <row r="6" spans="1:28" ht="22" customHeight="1">
      <c r="A6" s="151" t="s">
        <v>53</v>
      </c>
      <c r="B6" s="101">
        <v>401089</v>
      </c>
      <c r="C6" s="45" t="s">
        <v>241</v>
      </c>
      <c r="D6" s="46">
        <v>44868</v>
      </c>
      <c r="E6" s="47" t="s">
        <v>3</v>
      </c>
      <c r="F6" s="48">
        <v>173</v>
      </c>
      <c r="G6" s="152">
        <f>IF(OR(E6="",F6=""),"",PID_KVLohnLookup($A$1,E6,F6,LOHNTABELLE!$H$4))</f>
        <v>2082</v>
      </c>
      <c r="H6" s="153">
        <f>IF(AND(ISNUMBER(D6),ISNUMBER(F6)),ROUNDDOWN(MIN(IF(OR(ISBLANK(I6),I6=""),EOMONTH(DATE(EINSTELLUNG!$C$35,$A$1,1),0),I6)-MAX(D6,DATE(EINSTELLUNG!$C$35,$A$1,1))+1)/DAY(EOMONTH(DATE(EINSTELLUNG!$C$35,$A$1,1),0))*F6,2),"")</f>
        <v>173</v>
      </c>
      <c r="I6" s="49"/>
      <c r="J6" s="50"/>
      <c r="K6" s="152">
        <f t="shared" si="0"/>
        <v>0</v>
      </c>
      <c r="L6" s="15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51"/>
      <c r="N6" s="74"/>
      <c r="O6" s="266" t="str">
        <f>IF(Q5&lt;0, "Schlecht! Zu wenig Urlaub abgebaut.", IF(Q5&gt;0, "Gut! Mehr Urlaub abgebaut als aufgebaut.", ""))</f>
        <v>Schlecht! Zu wenig Urlaub abgebaut.</v>
      </c>
      <c r="P6" s="267"/>
      <c r="Q6" s="267"/>
      <c r="R6" s="268"/>
      <c r="S6" s="149"/>
      <c r="T6" s="149"/>
      <c r="U6" s="149"/>
      <c r="V6" s="149"/>
    </row>
    <row r="7" spans="1:28" ht="22" customHeight="1" thickBot="1">
      <c r="A7" s="151" t="s">
        <v>54</v>
      </c>
      <c r="B7" s="102">
        <v>401138</v>
      </c>
      <c r="C7" s="53" t="s">
        <v>228</v>
      </c>
      <c r="D7" s="54">
        <v>42006</v>
      </c>
      <c r="E7" s="55" t="s">
        <v>4</v>
      </c>
      <c r="F7" s="56">
        <v>173</v>
      </c>
      <c r="G7" s="152">
        <f>IF(OR(E7="",F7=""),"",PID_KVLohnLookup($A$1,E7,F7,LOHNTABELLE!$H$4))</f>
        <v>2123</v>
      </c>
      <c r="H7" s="153">
        <f>IF(AND(ISNUMBER(D7),ISNUMBER(F7)),ROUNDDOWN(MIN(IF(OR(ISBLANK(I7),I7=""),EOMONTH(DATE(EINSTELLUNG!$C$35,$A$1,1),0),I7)-MAX(D7,DATE(EINSTELLUNG!$C$35,$A$1,1))+1)/DAY(EOMONTH(DATE(EINSTELLUNG!$C$35,$A$1,1),0))*F7,2),"")</f>
        <v>173</v>
      </c>
      <c r="I7" s="57"/>
      <c r="J7" s="58"/>
      <c r="K7" s="152">
        <f t="shared" si="0"/>
        <v>0</v>
      </c>
      <c r="L7" s="15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9"/>
      <c r="N7" s="75"/>
      <c r="O7" s="149"/>
      <c r="P7" s="149"/>
      <c r="Q7" s="149"/>
      <c r="R7" s="149"/>
      <c r="S7" s="149"/>
      <c r="T7" s="149"/>
      <c r="U7" s="149"/>
      <c r="V7" s="149"/>
    </row>
    <row r="8" spans="1:28" ht="22" customHeight="1">
      <c r="A8" s="151" t="s">
        <v>55</v>
      </c>
      <c r="B8" s="101">
        <v>401197</v>
      </c>
      <c r="C8" s="45" t="s">
        <v>229</v>
      </c>
      <c r="D8" s="46">
        <v>42644</v>
      </c>
      <c r="E8" s="47" t="s">
        <v>3</v>
      </c>
      <c r="F8" s="48">
        <v>173</v>
      </c>
      <c r="G8" s="152">
        <f>IF(OR(E8="",F8=""),"",PID_KVLohnLookup($A$1,E8,F8,LOHNTABELLE!$H$4))</f>
        <v>2082</v>
      </c>
      <c r="H8" s="153">
        <f>IF(AND(ISNUMBER(D8),ISNUMBER(F8)),ROUNDDOWN(MIN(IF(OR(ISBLANK(I8),I8=""),EOMONTH(DATE(EINSTELLUNG!$C$35,$A$1,1),0),I8)-MAX(D8,DATE(EINSTELLUNG!$C$35,$A$1,1))+1)/DAY(EOMONTH(DATE(EINSTELLUNG!$C$35,$A$1,1),0))*F8,2),"")</f>
        <v>173</v>
      </c>
      <c r="I8" s="49"/>
      <c r="J8" s="50"/>
      <c r="K8" s="152">
        <f t="shared" si="0"/>
        <v>0</v>
      </c>
      <c r="L8" s="15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51"/>
      <c r="N8" s="74"/>
      <c r="O8" s="250" t="s">
        <v>56</v>
      </c>
      <c r="P8" s="251"/>
      <c r="Q8" s="252">
        <f>SUM(H3:H82)</f>
        <v>8713.1</v>
      </c>
      <c r="R8" s="253"/>
      <c r="S8" s="149"/>
      <c r="T8" s="149"/>
      <c r="U8" s="149"/>
      <c r="V8" s="149"/>
    </row>
    <row r="9" spans="1:28" ht="22" customHeight="1">
      <c r="A9" s="151" t="s">
        <v>57</v>
      </c>
      <c r="B9" s="102">
        <v>401214</v>
      </c>
      <c r="C9" s="53" t="s">
        <v>255</v>
      </c>
      <c r="D9" s="54">
        <v>45636</v>
      </c>
      <c r="E9" s="55" t="s">
        <v>3</v>
      </c>
      <c r="F9" s="56">
        <v>173</v>
      </c>
      <c r="G9" s="152">
        <f>IF(OR(E9="",F9=""),"",PID_KVLohnLookup($A$1,E9,F9,LOHNTABELLE!$H$4))</f>
        <v>2082</v>
      </c>
      <c r="H9" s="153">
        <f>IF(AND(ISNUMBER(D9),ISNUMBER(F9)),ROUNDDOWN(MIN(IF(OR(ISBLANK(I9),I9=""),EOMONTH(DATE(EINSTELLUNG!$C$35,$A$1,1),0),I9)-MAX(D9,DATE(EINSTELLUNG!$C$35,$A$1,1))+1)/DAY(EOMONTH(DATE(EINSTELLUNG!$C$35,$A$1,1),0))*F9,2),"")</f>
        <v>173</v>
      </c>
      <c r="I9" s="57"/>
      <c r="J9" s="58"/>
      <c r="K9" s="152">
        <f t="shared" si="0"/>
        <v>0</v>
      </c>
      <c r="L9" s="15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9"/>
      <c r="N9" s="75"/>
      <c r="O9" s="254" t="s">
        <v>58</v>
      </c>
      <c r="P9" s="255"/>
      <c r="Q9" s="269">
        <f>EINSTELLUNG!L29</f>
        <v>8</v>
      </c>
      <c r="R9" s="270"/>
      <c r="S9" s="158">
        <f>IFERROR(Q9/Q8, 0)</f>
        <v>9.1815771654175894E-4</v>
      </c>
      <c r="T9" s="149"/>
      <c r="U9" s="149"/>
      <c r="V9" s="149"/>
    </row>
    <row r="10" spans="1:28" ht="22" customHeight="1">
      <c r="A10" s="151" t="s">
        <v>59</v>
      </c>
      <c r="B10" s="101">
        <v>401276</v>
      </c>
      <c r="C10" s="45" t="s">
        <v>230</v>
      </c>
      <c r="D10" s="46">
        <v>43252</v>
      </c>
      <c r="E10" s="47" t="s">
        <v>3</v>
      </c>
      <c r="F10" s="48">
        <v>173</v>
      </c>
      <c r="G10" s="152">
        <f>IF(OR(E10="",F10=""),"",PID_KVLohnLookup($A$1,E10,F10,LOHNTABELLE!$H$4))</f>
        <v>2082</v>
      </c>
      <c r="H10" s="153">
        <f>IF(AND(ISNUMBER(D10),ISNUMBER(F10)),ROUNDDOWN(MIN(IF(OR(ISBLANK(I10),I10=""),EOMONTH(DATE(EINSTELLUNG!$C$35,$A$1,1),0),I10)-MAX(D10,DATE(EINSTELLUNG!$C$35,$A$1,1))+1)/DAY(EOMONTH(DATE(EINSTELLUNG!$C$35,$A$1,1),0))*F10,2),"")</f>
        <v>173</v>
      </c>
      <c r="I10" s="49"/>
      <c r="J10" s="50"/>
      <c r="K10" s="152">
        <f t="shared" si="0"/>
        <v>0</v>
      </c>
      <c r="L10" s="15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51"/>
      <c r="N10" s="74"/>
      <c r="O10" s="254" t="s">
        <v>60</v>
      </c>
      <c r="P10" s="255"/>
      <c r="Q10" s="269">
        <f>EINSTELLUNG!I29</f>
        <v>150</v>
      </c>
      <c r="R10" s="270"/>
      <c r="S10" s="149"/>
      <c r="T10" s="149"/>
      <c r="U10" s="149"/>
      <c r="V10" s="149"/>
    </row>
    <row r="11" spans="1:28" ht="22" customHeight="1">
      <c r="A11" s="151" t="s">
        <v>61</v>
      </c>
      <c r="B11" s="102">
        <v>401276</v>
      </c>
      <c r="C11" s="53" t="s">
        <v>406</v>
      </c>
      <c r="D11" s="54">
        <v>38899</v>
      </c>
      <c r="E11" s="55" t="s">
        <v>2</v>
      </c>
      <c r="F11" s="56">
        <v>55</v>
      </c>
      <c r="G11" s="152">
        <f>IF(OR(E11="",F11=""),"",PID_KVLohnLookup($A$1,E11,F11,LOHNTABELLE!$H$4))</f>
        <v>666</v>
      </c>
      <c r="H11" s="153">
        <f>IF(AND(ISNUMBER(D11),ISNUMBER(F11)),ROUNDDOWN(MIN(IF(OR(ISBLANK(I11),I11=""),EOMONTH(DATE(EINSTELLUNG!$C$35,$A$1,1),0),I11)-MAX(D11,DATE(EINSTELLUNG!$C$35,$A$1,1))+1)/DAY(EOMONTH(DATE(EINSTELLUNG!$C$35,$A$1,1),0))*F11,2),"")</f>
        <v>55</v>
      </c>
      <c r="I11" s="57"/>
      <c r="J11" s="58"/>
      <c r="K11" s="152">
        <f t="shared" si="0"/>
        <v>0</v>
      </c>
      <c r="L11" s="15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9"/>
      <c r="N11" s="75"/>
      <c r="O11" s="254" t="s">
        <v>62</v>
      </c>
      <c r="P11" s="255"/>
      <c r="Q11" s="269">
        <f>P5</f>
        <v>620</v>
      </c>
      <c r="R11" s="270"/>
      <c r="S11" s="149"/>
      <c r="T11" s="149"/>
      <c r="U11" s="149"/>
      <c r="V11" s="149"/>
    </row>
    <row r="12" spans="1:28" ht="22" customHeight="1">
      <c r="A12" s="151" t="s">
        <v>63</v>
      </c>
      <c r="B12" s="101">
        <v>401307</v>
      </c>
      <c r="C12" s="45" t="s">
        <v>231</v>
      </c>
      <c r="D12" s="46">
        <v>43571</v>
      </c>
      <c r="E12" s="47" t="s">
        <v>2</v>
      </c>
      <c r="F12" s="48">
        <v>55</v>
      </c>
      <c r="G12" s="152">
        <f>IF(OR(E12="",F12=""),"",PID_KVLohnLookup($A$1,E12,F12,LOHNTABELLE!$H$4))</f>
        <v>666</v>
      </c>
      <c r="H12" s="153">
        <f>IF(AND(ISNUMBER(D12),ISNUMBER(F12)),ROUNDDOWN(MIN(IF(OR(ISBLANK(I12),I12=""),EOMONTH(DATE(EINSTELLUNG!$C$35,$A$1,1),0),I12)-MAX(D12,DATE(EINSTELLUNG!$C$35,$A$1,1))+1)/DAY(EOMONTH(DATE(EINSTELLUNG!$C$35,$A$1,1),0))*F12,2),"")</f>
        <v>55</v>
      </c>
      <c r="I12" s="49"/>
      <c r="J12" s="50"/>
      <c r="K12" s="152">
        <f t="shared" si="0"/>
        <v>0</v>
      </c>
      <c r="L12" s="15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51"/>
      <c r="N12" s="74"/>
      <c r="O12" s="254" t="s">
        <v>66</v>
      </c>
      <c r="P12" s="255"/>
      <c r="Q12" s="269">
        <f>Q8-Q9-Q10-Q11</f>
        <v>7935.1</v>
      </c>
      <c r="R12" s="270"/>
      <c r="S12" s="149"/>
      <c r="T12" s="149"/>
      <c r="U12" s="149"/>
      <c r="V12" s="149"/>
    </row>
    <row r="13" spans="1:28" ht="22" customHeight="1">
      <c r="A13" s="151" t="s">
        <v>65</v>
      </c>
      <c r="B13" s="102">
        <v>401308</v>
      </c>
      <c r="C13" s="53" t="s">
        <v>232</v>
      </c>
      <c r="D13" s="54">
        <v>43579</v>
      </c>
      <c r="E13" s="55" t="s">
        <v>3</v>
      </c>
      <c r="F13" s="56">
        <v>173</v>
      </c>
      <c r="G13" s="152">
        <f>IF(OR(E13="",F13=""),"",PID_KVLohnLookup($A$1,E13,F13,LOHNTABELLE!$H$4))</f>
        <v>2082</v>
      </c>
      <c r="H13" s="153">
        <f>IF(AND(ISNUMBER(D13),ISNUMBER(F13)),ROUNDDOWN(MIN(IF(OR(ISBLANK(I13),I13=""),EOMONTH(DATE(EINSTELLUNG!$C$35,$A$1,1),0),I13)-MAX(D13,DATE(EINSTELLUNG!$C$35,$A$1,1))+1)/DAY(EOMONTH(DATE(EINSTELLUNG!$C$35,$A$1,1),0))*F13,2),"")</f>
        <v>173</v>
      </c>
      <c r="I13" s="57"/>
      <c r="J13" s="58"/>
      <c r="K13" s="152">
        <f t="shared" si="0"/>
        <v>0</v>
      </c>
      <c r="L13" s="15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9"/>
      <c r="N13" s="75"/>
      <c r="O13" s="254" t="s">
        <v>68</v>
      </c>
      <c r="P13" s="255"/>
      <c r="Q13" s="269">
        <f>EINSTELLUNG!L13</f>
        <v>9300</v>
      </c>
      <c r="R13" s="270"/>
      <c r="S13" s="149"/>
      <c r="T13" s="149"/>
      <c r="U13" s="149"/>
      <c r="V13" s="149"/>
    </row>
    <row r="14" spans="1:28" ht="22" customHeight="1" thickBot="1">
      <c r="A14" s="151" t="s">
        <v>67</v>
      </c>
      <c r="B14" s="101">
        <v>401394</v>
      </c>
      <c r="C14" s="45" t="s">
        <v>233</v>
      </c>
      <c r="D14" s="46">
        <v>44379</v>
      </c>
      <c r="E14" s="47" t="s">
        <v>2</v>
      </c>
      <c r="F14" s="48">
        <v>173</v>
      </c>
      <c r="G14" s="152">
        <f>IF(OR(E14="",F14=""),"",PID_KVLohnLookup($A$1,E14,F14,LOHNTABELLE!$H$4))</f>
        <v>2900</v>
      </c>
      <c r="H14" s="153">
        <f>IF(AND(ISNUMBER(D14),ISNUMBER(F14)),ROUNDDOWN(MIN(IF(OR(ISBLANK(I14),I14=""),EOMONTH(DATE(EINSTELLUNG!$C$35,$A$1,1),0),I14)-MAX(D14,DATE(EINSTELLUNG!$C$35,$A$1,1))+1)/DAY(EOMONTH(DATE(EINSTELLUNG!$C$35,$A$1,1),0))*F14,2),"")</f>
        <v>173</v>
      </c>
      <c r="I14" s="49"/>
      <c r="J14" s="50"/>
      <c r="K14" s="152">
        <f t="shared" si="0"/>
        <v>0</v>
      </c>
      <c r="L14" s="15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51"/>
      <c r="N14" s="74"/>
      <c r="O14" s="240" t="s">
        <v>70</v>
      </c>
      <c r="P14" s="241"/>
      <c r="Q14" s="242">
        <f>Q12-Q13</f>
        <v>-1364.8999999999996</v>
      </c>
      <c r="R14" s="243"/>
      <c r="S14" s="149"/>
      <c r="T14" s="149"/>
      <c r="U14" s="149"/>
      <c r="V14" s="149"/>
    </row>
    <row r="15" spans="1:28" ht="22" customHeight="1">
      <c r="A15" s="151" t="s">
        <v>69</v>
      </c>
      <c r="B15" s="102">
        <v>401406</v>
      </c>
      <c r="C15" s="53" t="s">
        <v>407</v>
      </c>
      <c r="D15" s="54">
        <v>36850</v>
      </c>
      <c r="E15" s="55" t="s">
        <v>10</v>
      </c>
      <c r="F15" s="56">
        <v>151.38</v>
      </c>
      <c r="G15" s="152">
        <f>IF(OR(E15="",F15=""),"",PID_KVLohnLookup($A$1,E15,F15,LOHNTABELLE!$H$4))</f>
        <v>2012.5</v>
      </c>
      <c r="H15" s="153">
        <f>IF(AND(ISNUMBER(D15),ISNUMBER(F15)),ROUNDDOWN(MIN(IF(OR(ISBLANK(I15),I15=""),EOMONTH(DATE(EINSTELLUNG!$C$35,$A$1,1),0),I15)-MAX(D15,DATE(EINSTELLUNG!$C$35,$A$1,1))+1)/DAY(EOMONTH(DATE(EINSTELLUNG!$C$35,$A$1,1),0))*F15,2),"")</f>
        <v>151.38</v>
      </c>
      <c r="I15" s="57"/>
      <c r="J15" s="58"/>
      <c r="K15" s="152">
        <f t="shared" si="0"/>
        <v>0</v>
      </c>
      <c r="L15" s="15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9"/>
      <c r="N15" s="75"/>
      <c r="O15" s="302" t="str">
        <f>IF(Q14&lt;0, "Schlecht! Zu wenig Stunden für Dienstplan.", IF(Q14&gt;0, "Du hast mehr als genug Stunden für Dienstplan.", ""))</f>
        <v>Schlecht! Zu wenig Stunden für Dienstplan.</v>
      </c>
      <c r="P15" s="303"/>
      <c r="Q15" s="303"/>
      <c r="R15" s="303"/>
      <c r="S15" s="160"/>
      <c r="T15" s="160"/>
      <c r="U15" s="160"/>
      <c r="V15" s="149"/>
    </row>
    <row r="16" spans="1:28" ht="22" customHeight="1" thickBot="1">
      <c r="A16" s="151" t="s">
        <v>71</v>
      </c>
      <c r="B16" s="101">
        <v>401432</v>
      </c>
      <c r="C16" s="45" t="s">
        <v>235</v>
      </c>
      <c r="D16" s="49">
        <v>44441</v>
      </c>
      <c r="E16" s="47" t="s">
        <v>2</v>
      </c>
      <c r="F16" s="48">
        <v>173</v>
      </c>
      <c r="G16" s="152">
        <f>IF(OR(E16="",F16=""),"",PID_KVLohnLookup($A$1,E16,F16,LOHNTABELLE!$H$4))</f>
        <v>2900</v>
      </c>
      <c r="H16" s="153">
        <f>IF(AND(ISNUMBER(D16),ISNUMBER(F16)),ROUNDDOWN(MIN(IF(OR(ISBLANK(I16),I16=""),EOMONTH(DATE(EINSTELLUNG!$C$35,$A$1,1),0),I16)-MAX(D16,DATE(EINSTELLUNG!$C$35,$A$1,1))+1)/DAY(EOMONTH(DATE(EINSTELLUNG!$C$35,$A$1,1),0))*F16,2),"")</f>
        <v>173</v>
      </c>
      <c r="I16" s="49"/>
      <c r="J16" s="50"/>
      <c r="K16" s="152">
        <f t="shared" si="0"/>
        <v>0</v>
      </c>
      <c r="L16" s="15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51"/>
      <c r="N16" s="74"/>
      <c r="O16" s="313"/>
      <c r="P16" s="314"/>
      <c r="Q16" s="314"/>
      <c r="R16" s="315"/>
      <c r="S16" s="161"/>
      <c r="T16" s="161"/>
      <c r="U16" s="161"/>
      <c r="V16" s="161"/>
      <c r="W16" s="162"/>
    </row>
    <row r="17" spans="1:29" ht="22" customHeight="1">
      <c r="A17" s="151" t="s">
        <v>72</v>
      </c>
      <c r="B17" s="102">
        <v>401479</v>
      </c>
      <c r="C17" s="53" t="s">
        <v>238</v>
      </c>
      <c r="D17" s="54">
        <v>44511</v>
      </c>
      <c r="E17" s="55" t="s">
        <v>6</v>
      </c>
      <c r="F17" s="56">
        <v>173</v>
      </c>
      <c r="G17" s="152">
        <f>IF(OR(E17="",F17=""),"",PID_KVLohnLookup($A$1,E17,F17,LOHNTABELLE!$H$4))</f>
        <v>2160</v>
      </c>
      <c r="H17" s="153">
        <f>IF(AND(ISNUMBER(D17),ISNUMBER(F17)),ROUNDDOWN(MIN(IF(OR(ISBLANK(I17),I17=""),EOMONTH(DATE(EINSTELLUNG!$C$35,$A$1,1),0),I17)-MAX(D17,DATE(EINSTELLUNG!$C$35,$A$1,1))+1)/DAY(EOMONTH(DATE(EINSTELLUNG!$C$35,$A$1,1),0))*F17,2),"")</f>
        <v>173</v>
      </c>
      <c r="I17" s="57"/>
      <c r="J17" s="58"/>
      <c r="K17" s="152">
        <f t="shared" si="0"/>
        <v>0</v>
      </c>
      <c r="L17" s="15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9"/>
      <c r="N17" s="75"/>
      <c r="O17" s="316" t="s">
        <v>73</v>
      </c>
      <c r="P17" s="251"/>
      <c r="Q17" s="260">
        <f>SUM(L3:L82)</f>
        <v>142624.6</v>
      </c>
      <c r="R17" s="261"/>
      <c r="S17" s="149"/>
      <c r="T17" s="149"/>
      <c r="U17" s="149"/>
      <c r="V17" s="149"/>
      <c r="W17" s="162"/>
    </row>
    <row r="18" spans="1:29" ht="22" customHeight="1">
      <c r="A18" s="151" t="s">
        <v>74</v>
      </c>
      <c r="B18" s="101">
        <v>401481</v>
      </c>
      <c r="C18" s="45" t="s">
        <v>239</v>
      </c>
      <c r="D18" s="46">
        <v>44531</v>
      </c>
      <c r="E18" s="47" t="s">
        <v>3</v>
      </c>
      <c r="F18" s="48">
        <v>173</v>
      </c>
      <c r="G18" s="152">
        <f>IF(OR(E18="",F18=""),"",PID_KVLohnLookup($A$1,E18,F18,LOHNTABELLE!$H$4))</f>
        <v>2082</v>
      </c>
      <c r="H18" s="153">
        <f>IF(AND(ISNUMBER(D18),ISNUMBER(F18)),ROUNDDOWN(MIN(IF(OR(ISBLANK(I18),I18=""),EOMONTH(DATE(EINSTELLUNG!$C$35,$A$1,1),0),I18)-MAX(D18,DATE(EINSTELLUNG!$C$35,$A$1,1))+1)/DAY(EOMONTH(DATE(EINSTELLUNG!$C$35,$A$1,1),0))*F18,2),"")</f>
        <v>173</v>
      </c>
      <c r="I18" s="49"/>
      <c r="J18" s="50"/>
      <c r="K18" s="152">
        <f t="shared" si="0"/>
        <v>0</v>
      </c>
      <c r="L18" s="15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51"/>
      <c r="N18" s="74"/>
      <c r="O18" s="308" t="s">
        <v>385</v>
      </c>
      <c r="P18" s="249"/>
      <c r="Q18" s="238">
        <v>20</v>
      </c>
      <c r="R18" s="239"/>
      <c r="S18" s="149"/>
      <c r="T18" s="149"/>
      <c r="U18" s="149"/>
      <c r="V18" s="149"/>
    </row>
    <row r="19" spans="1:29" ht="22" customHeight="1">
      <c r="A19" s="151" t="s">
        <v>75</v>
      </c>
      <c r="B19" s="102">
        <v>401558</v>
      </c>
      <c r="C19" s="53" t="s">
        <v>236</v>
      </c>
      <c r="D19" s="54">
        <v>44460</v>
      </c>
      <c r="E19" s="55" t="s">
        <v>2</v>
      </c>
      <c r="F19" s="56">
        <v>173</v>
      </c>
      <c r="G19" s="152">
        <f>IF(OR(E19="",F19=""),"",PID_KVLohnLookup($A$1,E19,F19,LOHNTABELLE!$H$4))</f>
        <v>2900</v>
      </c>
      <c r="H19" s="153">
        <f>IF(AND(ISNUMBER(D19),ISNUMBER(F19)),ROUNDDOWN(MIN(IF(OR(ISBLANK(I19),I19=""),EOMONTH(DATE(EINSTELLUNG!$C$35,$A$1,1),0),I19)-MAX(D19,DATE(EINSTELLUNG!$C$35,$A$1,1))+1)/DAY(EOMONTH(DATE(EINSTELLUNG!$C$35,$A$1,1),0))*F19,2),"")</f>
        <v>173</v>
      </c>
      <c r="I19" s="57"/>
      <c r="J19" s="58"/>
      <c r="K19" s="152">
        <f t="shared" si="0"/>
        <v>0</v>
      </c>
      <c r="L19" s="15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2900</v>
      </c>
      <c r="M19" s="59"/>
      <c r="N19" s="75"/>
      <c r="O19" s="308" t="s">
        <v>296</v>
      </c>
      <c r="P19" s="249"/>
      <c r="Q19" s="238">
        <v>333</v>
      </c>
      <c r="R19" s="239"/>
      <c r="S19" s="149"/>
      <c r="T19" s="149"/>
      <c r="U19" s="149"/>
      <c r="V19" s="149"/>
    </row>
    <row r="20" spans="1:29" ht="22" customHeight="1">
      <c r="A20" s="151" t="s">
        <v>76</v>
      </c>
      <c r="B20" s="101">
        <v>401564</v>
      </c>
      <c r="C20" s="45" t="s">
        <v>240</v>
      </c>
      <c r="D20" s="46">
        <v>44824</v>
      </c>
      <c r="E20" s="47" t="s">
        <v>2</v>
      </c>
      <c r="F20" s="48">
        <v>151.38</v>
      </c>
      <c r="G20" s="152">
        <f>IF(OR(E20="",F20=""),"",PID_KVLohnLookup($A$1,E20,F20,LOHNTABELLE!$H$4))</f>
        <v>2500</v>
      </c>
      <c r="H20" s="153">
        <f>IF(AND(ISNUMBER(D20),ISNUMBER(F20)),ROUNDDOWN(MIN(IF(OR(ISBLANK(I20),I20=""),EOMONTH(DATE(EINSTELLUNG!$C$35,$A$1,1),0),I20)-MAX(D20,DATE(EINSTELLUNG!$C$35,$A$1,1))+1)/DAY(EOMONTH(DATE(EINSTELLUNG!$C$35,$A$1,1),0))*F20,2),"")</f>
        <v>151.38</v>
      </c>
      <c r="I20" s="49"/>
      <c r="J20" s="50"/>
      <c r="K20" s="152">
        <f t="shared" si="0"/>
        <v>0</v>
      </c>
      <c r="L20" s="15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2500</v>
      </c>
      <c r="M20" s="51"/>
      <c r="N20" s="74"/>
      <c r="O20" s="308" t="s">
        <v>296</v>
      </c>
      <c r="P20" s="249"/>
      <c r="Q20" s="238">
        <v>35</v>
      </c>
      <c r="R20" s="239"/>
      <c r="S20" s="149"/>
      <c r="T20" s="149"/>
      <c r="U20" s="149"/>
      <c r="V20" s="149"/>
    </row>
    <row r="21" spans="1:29" ht="22" customHeight="1">
      <c r="A21" s="151" t="s">
        <v>77</v>
      </c>
      <c r="B21" s="102">
        <v>401583</v>
      </c>
      <c r="C21" s="53" t="s">
        <v>242</v>
      </c>
      <c r="D21" s="54">
        <v>44900</v>
      </c>
      <c r="E21" s="55" t="s">
        <v>13</v>
      </c>
      <c r="F21" s="56">
        <v>173</v>
      </c>
      <c r="G21" s="152">
        <f>IF(OR(E21="",F21=""),"",PID_KVLohnLookup($A$1,E21,F21,LOHNTABELLE!$H$4))</f>
        <v>2328</v>
      </c>
      <c r="H21" s="153">
        <f>IF(AND(ISNUMBER(D21),ISNUMBER(F21)),ROUNDDOWN(MIN(IF(OR(ISBLANK(I21),I21=""),EOMONTH(DATE(EINSTELLUNG!$C$35,$A$1,1),0),I21)-MAX(D21,DATE(EINSTELLUNG!$C$35,$A$1,1))+1)/DAY(EOMONTH(DATE(EINSTELLUNG!$C$35,$A$1,1),0))*F21,2),"")</f>
        <v>173</v>
      </c>
      <c r="I21" s="57"/>
      <c r="J21" s="58"/>
      <c r="K21" s="152">
        <f t="shared" si="0"/>
        <v>0</v>
      </c>
      <c r="L21" s="15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2328</v>
      </c>
      <c r="M21" s="59"/>
      <c r="N21" s="75"/>
      <c r="O21" s="308" t="s">
        <v>296</v>
      </c>
      <c r="P21" s="249"/>
      <c r="Q21" s="238">
        <v>100</v>
      </c>
      <c r="R21" s="239"/>
      <c r="S21" s="149"/>
      <c r="T21" s="149"/>
      <c r="U21" s="149"/>
      <c r="V21" s="149"/>
    </row>
    <row r="22" spans="1:29" ht="22" customHeight="1">
      <c r="A22" s="151" t="s">
        <v>78</v>
      </c>
      <c r="B22" s="101">
        <v>401589</v>
      </c>
      <c r="C22" s="45" t="s">
        <v>243</v>
      </c>
      <c r="D22" s="46">
        <v>44926</v>
      </c>
      <c r="E22" s="47" t="s">
        <v>10</v>
      </c>
      <c r="F22" s="48">
        <v>173</v>
      </c>
      <c r="G22" s="152">
        <f>IF(OR(E22="",F22=""),"",PID_KVLohnLookup($A$1,E22,F22,LOHNTABELLE!$H$4))</f>
        <v>2300</v>
      </c>
      <c r="H22" s="153">
        <f>IF(AND(ISNUMBER(D22),ISNUMBER(F22)),ROUNDDOWN(MIN(IF(OR(ISBLANK(I22),I22=""),EOMONTH(DATE(EINSTELLUNG!$C$35,$A$1,1),0),I22)-MAX(D22,DATE(EINSTELLUNG!$C$35,$A$1,1))+1)/DAY(EOMONTH(DATE(EINSTELLUNG!$C$35,$A$1,1),0))*F22,2),"")</f>
        <v>173</v>
      </c>
      <c r="I22" s="49"/>
      <c r="J22" s="50"/>
      <c r="K22" s="152">
        <f t="shared" si="0"/>
        <v>0</v>
      </c>
      <c r="L22" s="15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51"/>
      <c r="N22" s="74"/>
      <c r="O22" s="308" t="s">
        <v>296</v>
      </c>
      <c r="P22" s="249"/>
      <c r="Q22" s="238"/>
      <c r="R22" s="239"/>
      <c r="S22" s="149"/>
      <c r="T22" s="149"/>
      <c r="U22" s="149"/>
      <c r="V22" s="149"/>
    </row>
    <row r="23" spans="1:29" ht="22" customHeight="1">
      <c r="A23" s="151" t="s">
        <v>79</v>
      </c>
      <c r="B23" s="102">
        <v>401602</v>
      </c>
      <c r="C23" s="53" t="s">
        <v>244</v>
      </c>
      <c r="D23" s="54">
        <v>45975</v>
      </c>
      <c r="E23" s="55" t="s">
        <v>2</v>
      </c>
      <c r="F23" s="56">
        <v>169</v>
      </c>
      <c r="G23" s="152">
        <f>IF(OR(E23="",F23=""),"",PID_KVLohnLookup($A$1,E23,F23,LOHNTABELLE!$H$4))</f>
        <v>2000</v>
      </c>
      <c r="H23" s="153">
        <f>IF(AND(ISNUMBER(D23),ISNUMBER(F23)),ROUNDDOWN(MIN(IF(OR(ISBLANK(I23),I23=""),EOMONTH(DATE(EINSTELLUNG!$C$35,$A$1,1),0),I23)-MAX(D23,DATE(EINSTELLUNG!$C$35,$A$1,1))+1)/DAY(EOMONTH(DATE(EINSTELLUNG!$C$35,$A$1,1),0))*F23,2),"")</f>
        <v>169</v>
      </c>
      <c r="I23" s="57"/>
      <c r="J23" s="58"/>
      <c r="K23" s="152">
        <f t="shared" si="0"/>
        <v>0</v>
      </c>
      <c r="L23" s="15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2000</v>
      </c>
      <c r="M23" s="59"/>
      <c r="N23" s="75"/>
      <c r="O23" s="308" t="s">
        <v>296</v>
      </c>
      <c r="P23" s="249"/>
      <c r="Q23" s="238">
        <v>5000</v>
      </c>
      <c r="R23" s="239"/>
      <c r="S23" s="149"/>
      <c r="T23" s="149"/>
      <c r="U23" s="149"/>
      <c r="V23" s="149"/>
      <c r="W23" s="162"/>
    </row>
    <row r="24" spans="1:29" ht="22" customHeight="1">
      <c r="A24" s="151" t="s">
        <v>80</v>
      </c>
      <c r="B24" s="101">
        <v>401605</v>
      </c>
      <c r="C24" s="45" t="s">
        <v>245</v>
      </c>
      <c r="D24" s="46">
        <v>44986</v>
      </c>
      <c r="E24" s="47" t="s">
        <v>2</v>
      </c>
      <c r="F24" s="48">
        <v>173</v>
      </c>
      <c r="G24" s="152">
        <f>IF(OR(E24="",F24=""),"",PID_KVLohnLookup($A$1,E24,F24,LOHNTABELLE!$H$4))</f>
        <v>2900</v>
      </c>
      <c r="H24" s="153">
        <f>IF(AND(ISNUMBER(D24),ISNUMBER(F24)),ROUNDDOWN(MIN(IF(OR(ISBLANK(I24),I24=""),EOMONTH(DATE(EINSTELLUNG!$C$35,$A$1,1),0),I24)-MAX(D24,DATE(EINSTELLUNG!$C$35,$A$1,1))+1)/DAY(EOMONTH(DATE(EINSTELLUNG!$C$35,$A$1,1),0))*F24,2),"")</f>
        <v>173</v>
      </c>
      <c r="I24" s="49"/>
      <c r="J24" s="50"/>
      <c r="K24" s="152">
        <f t="shared" si="0"/>
        <v>0</v>
      </c>
      <c r="L24" s="15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2900</v>
      </c>
      <c r="M24" s="51"/>
      <c r="N24" s="74"/>
      <c r="O24" s="308"/>
      <c r="P24" s="249"/>
      <c r="Q24" s="238"/>
      <c r="R24" s="239"/>
      <c r="S24" s="149"/>
      <c r="T24" s="149"/>
      <c r="U24" s="149"/>
      <c r="V24" s="149"/>
      <c r="W24" s="162"/>
    </row>
    <row r="25" spans="1:29" ht="22" customHeight="1">
      <c r="A25" s="151" t="s">
        <v>81</v>
      </c>
      <c r="B25" s="102">
        <v>401605</v>
      </c>
      <c r="C25" s="53" t="s">
        <v>407</v>
      </c>
      <c r="D25" s="54">
        <v>36850</v>
      </c>
      <c r="E25" s="55" t="s">
        <v>10</v>
      </c>
      <c r="F25" s="56">
        <v>151.38</v>
      </c>
      <c r="G25" s="152">
        <f>IF(OR(E25="",F25=""),"",PID_KVLohnLookup($A$1,E25,F25,LOHNTABELLE!$H$4))</f>
        <v>2012.5</v>
      </c>
      <c r="H25" s="153">
        <f>IF(AND(ISNUMBER(D25),ISNUMBER(F25)),ROUNDDOWN(MIN(IF(OR(ISBLANK(I25),I25=""),EOMONTH(DATE(EINSTELLUNG!$C$35,$A$1,1),0),I25)-MAX(D25,DATE(EINSTELLUNG!$C$35,$A$1,1))+1)/DAY(EOMONTH(DATE(EINSTELLUNG!$C$35,$A$1,1),0))*F25,2),"")</f>
        <v>151.38</v>
      </c>
      <c r="I25" s="57"/>
      <c r="J25" s="58"/>
      <c r="K25" s="152">
        <f t="shared" si="0"/>
        <v>0</v>
      </c>
      <c r="L25" s="15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9"/>
      <c r="N25" s="75"/>
      <c r="O25" s="308"/>
      <c r="P25" s="249"/>
      <c r="Q25" s="238"/>
      <c r="R25" s="239"/>
      <c r="S25" s="149"/>
      <c r="T25" s="149"/>
      <c r="U25" s="149"/>
      <c r="V25" s="149"/>
    </row>
    <row r="26" spans="1:29" ht="22" customHeight="1">
      <c r="A26" s="151" t="s">
        <v>82</v>
      </c>
      <c r="B26" s="101">
        <v>401626</v>
      </c>
      <c r="C26" s="45" t="s">
        <v>246</v>
      </c>
      <c r="D26" s="46">
        <v>45063</v>
      </c>
      <c r="E26" s="47" t="s">
        <v>2</v>
      </c>
      <c r="F26" s="48">
        <v>173</v>
      </c>
      <c r="G26" s="152">
        <f>IF(OR(E26="",F26=""),"",PID_KVLohnLookup($A$1,E26,F26,LOHNTABELLE!$H$4))</f>
        <v>2900</v>
      </c>
      <c r="H26" s="153">
        <f>IF(AND(ISNUMBER(D26),ISNUMBER(F26)),ROUNDDOWN(MIN(IF(OR(ISBLANK(I26),I26=""),EOMONTH(DATE(EINSTELLUNG!$C$35,$A$1,1),0),I26)-MAX(D26,DATE(EINSTELLUNG!$C$35,$A$1,1))+1)/DAY(EOMONTH(DATE(EINSTELLUNG!$C$35,$A$1,1),0))*F26,2),"")</f>
        <v>173</v>
      </c>
      <c r="I26" s="49"/>
      <c r="J26" s="50"/>
      <c r="K26" s="152">
        <f t="shared" si="0"/>
        <v>0</v>
      </c>
      <c r="L26" s="15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51"/>
      <c r="N26" s="74"/>
      <c r="O26" s="308"/>
      <c r="P26" s="249"/>
      <c r="Q26" s="238"/>
      <c r="R26" s="239"/>
      <c r="S26" s="149"/>
      <c r="T26" s="149"/>
      <c r="U26" s="149"/>
      <c r="V26" s="149"/>
    </row>
    <row r="27" spans="1:29" ht="22" customHeight="1">
      <c r="A27" s="151" t="s">
        <v>83</v>
      </c>
      <c r="B27" s="102">
        <v>401633</v>
      </c>
      <c r="C27" s="53" t="s">
        <v>247</v>
      </c>
      <c r="D27" s="54">
        <v>45089</v>
      </c>
      <c r="E27" s="55" t="s">
        <v>10</v>
      </c>
      <c r="F27" s="140">
        <v>173</v>
      </c>
      <c r="G27" s="152">
        <f>IF(OR(E27="",F27=""),"",PID_KVLohnLookup($A$1,E27,F27,LOHNTABELLE!$H$4))</f>
        <v>2300</v>
      </c>
      <c r="H27" s="153">
        <f>IF(AND(ISNUMBER(D27),ISNUMBER(F27)),ROUNDDOWN(MIN(IF(OR(ISBLANK(I27),I27=""),EOMONTH(DATE(EINSTELLUNG!$C$35,$A$1,1),0),I27)-MAX(D27,DATE(EINSTELLUNG!$C$35,$A$1,1))+1)/DAY(EOMONTH(DATE(EINSTELLUNG!$C$35,$A$1,1),0))*F27,2),"")</f>
        <v>173</v>
      </c>
      <c r="I27" s="57"/>
      <c r="J27" s="58"/>
      <c r="K27" s="152">
        <f t="shared" si="0"/>
        <v>0</v>
      </c>
      <c r="L27" s="15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9"/>
      <c r="N27" s="75"/>
      <c r="O27" s="308"/>
      <c r="P27" s="249"/>
      <c r="Q27" s="238"/>
      <c r="R27" s="239"/>
      <c r="S27" s="247" t="s">
        <v>84</v>
      </c>
      <c r="T27" s="247"/>
      <c r="U27" s="247"/>
      <c r="V27" s="247"/>
    </row>
    <row r="28" spans="1:29" ht="22" customHeight="1">
      <c r="A28" s="151" t="s">
        <v>85</v>
      </c>
      <c r="B28" s="101">
        <v>401647</v>
      </c>
      <c r="C28" s="45" t="s">
        <v>248</v>
      </c>
      <c r="D28" s="46">
        <v>45182</v>
      </c>
      <c r="E28" s="47" t="s">
        <v>2</v>
      </c>
      <c r="F28" s="48">
        <v>173</v>
      </c>
      <c r="G28" s="152">
        <f>IF(OR(E28="",F28=""),"",PID_KVLohnLookup($A$1,E28,F28,LOHNTABELLE!$H$4))</f>
        <v>2900</v>
      </c>
      <c r="H28" s="153">
        <f>IF(AND(ISNUMBER(D28),ISNUMBER(F28)),ROUNDDOWN(MIN(IF(OR(ISBLANK(I28),I28=""),EOMONTH(DATE(EINSTELLUNG!$C$35,$A$1,1),0),I28)-MAX(D28,DATE(EINSTELLUNG!$C$35,$A$1,1))+1)/DAY(EOMONTH(DATE(EINSTELLUNG!$C$35,$A$1,1),0))*F28,2),"")</f>
        <v>173</v>
      </c>
      <c r="I28" s="49"/>
      <c r="J28" s="50"/>
      <c r="K28" s="152">
        <f t="shared" si="0"/>
        <v>0</v>
      </c>
      <c r="L28" s="15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51"/>
      <c r="N28" s="74"/>
      <c r="O28" s="308"/>
      <c r="P28" s="249"/>
      <c r="Q28" s="238"/>
      <c r="R28" s="239"/>
      <c r="S28" s="149"/>
      <c r="T28" s="149"/>
      <c r="U28" s="149"/>
      <c r="V28" s="149"/>
    </row>
    <row r="29" spans="1:29" ht="22" customHeight="1" thickBot="1">
      <c r="A29" s="151" t="s">
        <v>86</v>
      </c>
      <c r="B29" s="102">
        <v>401661</v>
      </c>
      <c r="C29" s="53" t="s">
        <v>249</v>
      </c>
      <c r="D29" s="54">
        <v>45261</v>
      </c>
      <c r="E29" s="55" t="s">
        <v>2</v>
      </c>
      <c r="F29" s="56">
        <v>173</v>
      </c>
      <c r="G29" s="152">
        <f>IF(OR(E29="",F29=""),"",PID_KVLohnLookup($A$1,E29,F29,LOHNTABELLE!$H$4))</f>
        <v>2900</v>
      </c>
      <c r="H29" s="153">
        <f>IF(AND(ISNUMBER(D29),ISNUMBER(F29)),ROUNDDOWN(MIN(IF(OR(ISBLANK(I29),I29=""),EOMONTH(DATE(EINSTELLUNG!$C$35,$A$1,1),0),I29)-MAX(D29,DATE(EINSTELLUNG!$C$35,$A$1,1))+1)/DAY(EOMONTH(DATE(EINSTELLUNG!$C$35,$A$1,1),0))*F29,2),"")</f>
        <v>173</v>
      </c>
      <c r="I29" s="57"/>
      <c r="J29" s="58"/>
      <c r="K29" s="152">
        <f t="shared" si="0"/>
        <v>0</v>
      </c>
      <c r="L29" s="15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9"/>
      <c r="N29" s="75"/>
      <c r="O29" s="312" t="s">
        <v>87</v>
      </c>
      <c r="P29" s="241"/>
      <c r="Q29" s="295">
        <f>EINSTELLUNG!O13</f>
        <v>1250</v>
      </c>
      <c r="R29" s="296"/>
      <c r="S29" s="149"/>
      <c r="T29" s="149"/>
      <c r="U29" s="149"/>
      <c r="V29" s="149"/>
    </row>
    <row r="30" spans="1:29" ht="22" customHeight="1" thickBot="1">
      <c r="A30" s="151" t="s">
        <v>88</v>
      </c>
      <c r="B30" s="101">
        <v>401670</v>
      </c>
      <c r="C30" s="45" t="s">
        <v>250</v>
      </c>
      <c r="D30" s="46">
        <v>45358</v>
      </c>
      <c r="E30" s="47" t="s">
        <v>2</v>
      </c>
      <c r="F30" s="48">
        <v>173</v>
      </c>
      <c r="G30" s="152">
        <f>IF(OR(E30="",F30=""),"",PID_KVLohnLookup($A$1,E30,F30,LOHNTABELLE!$H$4))</f>
        <v>2900</v>
      </c>
      <c r="H30" s="153">
        <f>IF(AND(ISNUMBER(D30),ISNUMBER(F30)),ROUNDDOWN(MIN(IF(OR(ISBLANK(I30),I30=""),EOMONTH(DATE(EINSTELLUNG!$C$35,$A$1,1),0),I30)-MAX(D30,DATE(EINSTELLUNG!$C$35,$A$1,1))+1)/DAY(EOMONTH(DATE(EINSTELLUNG!$C$35,$A$1,1),0))*F30,2),"")</f>
        <v>173</v>
      </c>
      <c r="I30" s="49"/>
      <c r="J30" s="50"/>
      <c r="K30" s="152">
        <f t="shared" si="0"/>
        <v>0</v>
      </c>
      <c r="L30" s="15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51"/>
      <c r="N30" s="74"/>
      <c r="O30" s="149"/>
      <c r="P30" s="149"/>
      <c r="Q30" s="149"/>
      <c r="R30" s="149"/>
      <c r="S30" s="149"/>
      <c r="T30" s="149"/>
      <c r="U30" s="149"/>
      <c r="V30" s="149"/>
      <c r="W30" s="163"/>
      <c r="X30" s="163"/>
      <c r="Y30" s="163"/>
      <c r="Z30" s="163"/>
      <c r="AA30" s="163"/>
      <c r="AB30" s="163"/>
      <c r="AC30" s="163"/>
    </row>
    <row r="31" spans="1:29" ht="22" customHeight="1" thickBot="1">
      <c r="A31" s="151" t="s">
        <v>89</v>
      </c>
      <c r="B31" s="102">
        <v>401678</v>
      </c>
      <c r="C31" s="53" t="s">
        <v>251</v>
      </c>
      <c r="D31" s="54">
        <v>45414</v>
      </c>
      <c r="E31" s="55" t="s">
        <v>2</v>
      </c>
      <c r="F31" s="56">
        <v>173</v>
      </c>
      <c r="G31" s="152">
        <f>IF(OR(E31="",F31=""),"",PID_KVLohnLookup($A$1,E31,F31,LOHNTABELLE!$H$4))</f>
        <v>2900</v>
      </c>
      <c r="H31" s="153">
        <f>IF(AND(ISNUMBER(D31),ISNUMBER(F31)),ROUNDDOWN(MIN(IF(OR(ISBLANK(I31),I31=""),EOMONTH(DATE(EINSTELLUNG!$C$35,$A$1,1),0),I31)-MAX(D31,DATE(EINSTELLUNG!$C$35,$A$1,1))+1)/DAY(EOMONTH(DATE(EINSTELLUNG!$C$35,$A$1,1),0))*F31,2),"")</f>
        <v>173</v>
      </c>
      <c r="I31" s="57"/>
      <c r="J31" s="58"/>
      <c r="K31" s="152">
        <f t="shared" si="0"/>
        <v>0</v>
      </c>
      <c r="L31" s="15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9"/>
      <c r="N31" s="75"/>
      <c r="O31" s="309">
        <v>0</v>
      </c>
      <c r="P31" s="300"/>
      <c r="Q31" s="284">
        <v>0</v>
      </c>
      <c r="R31" s="285"/>
      <c r="S31" s="149"/>
      <c r="T31" s="149"/>
      <c r="U31" s="149"/>
      <c r="V31" s="149"/>
    </row>
    <row r="32" spans="1:29" ht="22" customHeight="1" thickBot="1">
      <c r="A32" s="151" t="s">
        <v>91</v>
      </c>
      <c r="B32" s="101">
        <v>401690</v>
      </c>
      <c r="C32" s="45" t="s">
        <v>253</v>
      </c>
      <c r="D32" s="46">
        <v>45536</v>
      </c>
      <c r="E32" s="47" t="s">
        <v>2</v>
      </c>
      <c r="F32" s="48">
        <v>151.38</v>
      </c>
      <c r="G32" s="152">
        <f>IF(OR(E32="",F32=""),"",PID_KVLohnLookup($A$1,E32,F32,LOHNTABELLE!$H$4))</f>
        <v>2500</v>
      </c>
      <c r="H32" s="153">
        <f>IF(AND(ISNUMBER(D32),ISNUMBER(F32)),ROUNDDOWN(MIN(IF(OR(ISBLANK(I32),I32=""),EOMONTH(DATE(EINSTELLUNG!$C$35,$A$1,1),0),I32)-MAX(D32,DATE(EINSTELLUNG!$C$35,$A$1,1))+1)/DAY(EOMONTH(DATE(EINSTELLUNG!$C$35,$A$1,1),0))*F32,2),"")</f>
        <v>151.38</v>
      </c>
      <c r="I32" s="49"/>
      <c r="J32" s="50"/>
      <c r="K32" s="152">
        <f t="shared" si="0"/>
        <v>0</v>
      </c>
      <c r="L32" s="15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2500</v>
      </c>
      <c r="M32" s="51"/>
      <c r="N32" s="74"/>
      <c r="O32" s="149"/>
      <c r="P32" s="149"/>
      <c r="Q32" s="149"/>
      <c r="R32" s="149"/>
      <c r="S32" s="149"/>
      <c r="T32" s="149"/>
      <c r="U32" s="149"/>
      <c r="V32" s="149"/>
    </row>
    <row r="33" spans="1:22" ht="22" customHeight="1">
      <c r="A33" s="151" t="s">
        <v>92</v>
      </c>
      <c r="B33" s="102">
        <v>401715</v>
      </c>
      <c r="C33" s="53" t="s">
        <v>256</v>
      </c>
      <c r="D33" s="54">
        <v>45755</v>
      </c>
      <c r="E33" s="55" t="s">
        <v>2</v>
      </c>
      <c r="F33" s="56">
        <v>173</v>
      </c>
      <c r="G33" s="152">
        <f>IF(OR(E33="",F33=""),"",PID_KVLohnLookup($A$1,E33,F33,LOHNTABELLE!$H$4))</f>
        <v>2900</v>
      </c>
      <c r="H33" s="153">
        <f>IF(AND(ISNUMBER(D33),ISNUMBER(F33)),ROUNDDOWN(MIN(IF(OR(ISBLANK(I33),I33=""),EOMONTH(DATE(EINSTELLUNG!$C$35,$A$1,1),0),I33)-MAX(D33,DATE(EINSTELLUNG!$C$35,$A$1,1))+1)/DAY(EOMONTH(DATE(EINSTELLUNG!$C$35,$A$1,1),0))*F33,2),"")</f>
        <v>173</v>
      </c>
      <c r="I33" s="57"/>
      <c r="J33" s="58"/>
      <c r="K33" s="152">
        <f t="shared" si="0"/>
        <v>0</v>
      </c>
      <c r="L33" s="15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9"/>
      <c r="N33" s="75"/>
      <c r="O33" s="310"/>
      <c r="P33" s="291"/>
      <c r="Q33" s="280" t="str">
        <f>EINSTELLUNG!B3</f>
        <v>Budget</v>
      </c>
      <c r="R33" s="280"/>
      <c r="S33" s="280" t="str">
        <f>EINSTELLUNG!B19</f>
        <v>Projection/Aktuell Zahlen</v>
      </c>
      <c r="T33" s="280"/>
      <c r="U33" s="280" t="s">
        <v>95</v>
      </c>
      <c r="V33" s="282"/>
    </row>
    <row r="34" spans="1:22" ht="22" customHeight="1">
      <c r="A34" s="151" t="s">
        <v>96</v>
      </c>
      <c r="B34" s="101">
        <v>401716</v>
      </c>
      <c r="C34" s="45" t="s">
        <v>257</v>
      </c>
      <c r="D34" s="46">
        <v>45800</v>
      </c>
      <c r="E34" s="47" t="s">
        <v>2</v>
      </c>
      <c r="F34" s="48">
        <v>173</v>
      </c>
      <c r="G34" s="152">
        <f>IF(OR(E34="",F34=""),"",PID_KVLohnLookup($A$1,E34,F34,LOHNTABELLE!$H$4))</f>
        <v>2900</v>
      </c>
      <c r="H34" s="153">
        <f>IF(AND(ISNUMBER(D34),ISNUMBER(F34)),ROUNDDOWN(MIN(IF(OR(ISBLANK(I34),I34=""),EOMONTH(DATE(EINSTELLUNG!$C$35,$A$1,1),0),I34)-MAX(D34,DATE(EINSTELLUNG!$C$35,$A$1,1))+1)/DAY(EOMONTH(DATE(EINSTELLUNG!$C$35,$A$1,1),0))*F34,2),"")</f>
        <v>173</v>
      </c>
      <c r="I34" s="49"/>
      <c r="J34" s="50"/>
      <c r="K34" s="152">
        <f t="shared" si="0"/>
        <v>0</v>
      </c>
      <c r="L34" s="15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51"/>
      <c r="N34" s="74"/>
      <c r="O34" s="311"/>
      <c r="P34" s="293"/>
      <c r="Q34" s="281"/>
      <c r="R34" s="281"/>
      <c r="S34" s="281"/>
      <c r="T34" s="281"/>
      <c r="U34" s="281"/>
      <c r="V34" s="283"/>
    </row>
    <row r="35" spans="1:22" ht="22" customHeight="1">
      <c r="A35" s="151" t="s">
        <v>97</v>
      </c>
      <c r="B35" s="102">
        <v>401717</v>
      </c>
      <c r="C35" s="53" t="s">
        <v>258</v>
      </c>
      <c r="D35" s="54">
        <v>45814</v>
      </c>
      <c r="E35" s="55" t="s">
        <v>2</v>
      </c>
      <c r="F35" s="56">
        <v>86.5</v>
      </c>
      <c r="G35" s="152">
        <f>IF(OR(E35="",F35=""),"",PID_KVLohnLookup($A$1,E35,F35,LOHNTABELLE!$H$4))</f>
        <v>2152</v>
      </c>
      <c r="H35" s="153">
        <f>IF(AND(ISNUMBER(D35),ISNUMBER(F35)),ROUNDDOWN(MIN(IF(OR(ISBLANK(I35),I35=""),EOMONTH(DATE(EINSTELLUNG!$C$35,$A$1,1),0),I35)-MAX(D35,DATE(EINSTELLUNG!$C$35,$A$1,1))+1)/DAY(EOMONTH(DATE(EINSTELLUNG!$C$35,$A$1,1),0))*F35,2),"")</f>
        <v>86.5</v>
      </c>
      <c r="I35" s="57"/>
      <c r="J35" s="58"/>
      <c r="K35" s="152">
        <f t="shared" ref="K35:K66" si="1">IF(OR(B35="",C35=""),"",IFERROR(IF(OR(MONTH(D35)=1,MONTH(D35)=3,MONTH(D35)=5,MONTH(D35)=7,MONTH(D35)=8,MONTH(D35)=10,MONTH(D35)=12),(G35/31)*J35,IF(OR(MONTH(D35)=4,MONTH(D35)=6,MONTH(D35)=9,MONTH(D35)=11),(G35/30)*J35,(G35/DAY(EOMONTH(D35,0)))*J35)),0))</f>
        <v>0</v>
      </c>
      <c r="L35" s="15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9"/>
      <c r="N35" s="75"/>
      <c r="O35" s="307" t="s">
        <v>98</v>
      </c>
      <c r="P35" s="255"/>
      <c r="Q35" s="256">
        <f>EINSTELLUNG!C13</f>
        <v>400000</v>
      </c>
      <c r="R35" s="256"/>
      <c r="S35" s="256">
        <f>EINSTELLUNG!C29</f>
        <v>435000</v>
      </c>
      <c r="T35" s="256"/>
      <c r="U35" s="256">
        <f>S35-Q35</f>
        <v>35000</v>
      </c>
      <c r="V35" s="257"/>
    </row>
    <row r="36" spans="1:22" ht="22" customHeight="1">
      <c r="A36" s="151" t="s">
        <v>99</v>
      </c>
      <c r="B36" s="101">
        <v>401722</v>
      </c>
      <c r="C36" s="45" t="s">
        <v>259</v>
      </c>
      <c r="D36" s="46">
        <v>45848</v>
      </c>
      <c r="E36" s="47" t="s">
        <v>2</v>
      </c>
      <c r="F36" s="48">
        <v>86.5</v>
      </c>
      <c r="G36" s="152">
        <f>IF(OR(E36="",F36=""),"",PID_KVLohnLookup($A$1,E36,F36,LOHNTABELLE!$H$4))</f>
        <v>2152</v>
      </c>
      <c r="H36" s="153">
        <f>IF(AND(ISNUMBER(D36),ISNUMBER(F36)),ROUNDDOWN(MIN(IF(OR(ISBLANK(I36),I36=""),EOMONTH(DATE(EINSTELLUNG!$C$35,$A$1,1),0),I36)-MAX(D36,DATE(EINSTELLUNG!$C$35,$A$1,1))+1)/DAY(EOMONTH(DATE(EINSTELLUNG!$C$35,$A$1,1),0))*F36,2),"")</f>
        <v>86.5</v>
      </c>
      <c r="I36" s="49"/>
      <c r="J36" s="50"/>
      <c r="K36" s="152">
        <f t="shared" si="1"/>
        <v>0</v>
      </c>
      <c r="L36" s="15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51"/>
      <c r="N36" s="74"/>
      <c r="O36" s="307" t="s">
        <v>100</v>
      </c>
      <c r="P36" s="255"/>
      <c r="Q36" s="256">
        <f>EINSTELLUNG!D13</f>
        <v>100000</v>
      </c>
      <c r="R36" s="256"/>
      <c r="S36" s="256">
        <f ca="1">SumMergedCells(Q17:R29)</f>
        <v>149362.6</v>
      </c>
      <c r="T36" s="256"/>
      <c r="U36" s="256">
        <f t="shared" ref="U36:U41" ca="1" si="2">S36-Q36</f>
        <v>49362.600000000006</v>
      </c>
      <c r="V36" s="257"/>
    </row>
    <row r="37" spans="1:22" ht="22" customHeight="1">
      <c r="A37" s="151" t="s">
        <v>101</v>
      </c>
      <c r="B37" s="102">
        <v>401723</v>
      </c>
      <c r="C37" s="53" t="s">
        <v>260</v>
      </c>
      <c r="D37" s="54">
        <v>45852</v>
      </c>
      <c r="E37" s="55" t="s">
        <v>2</v>
      </c>
      <c r="F37" s="56">
        <v>86.5</v>
      </c>
      <c r="G37" s="152">
        <f>IF(OR(E37="",F37=""),"",PID_KVLohnLookup($A$1,E37,F37,LOHNTABELLE!$H$4))</f>
        <v>2152</v>
      </c>
      <c r="H37" s="153">
        <f>IF(AND(ISNUMBER(D37),ISNUMBER(F37)),ROUNDDOWN(MIN(IF(OR(ISBLANK(I37),I37=""),EOMONTH(DATE(EINSTELLUNG!$C$35,$A$1,1),0),I37)-MAX(D37,DATE(EINSTELLUNG!$C$35,$A$1,1))+1)/DAY(EOMONTH(DATE(EINSTELLUNG!$C$35,$A$1,1),0))*F37,2),"")</f>
        <v>86.5</v>
      </c>
      <c r="I37" s="57"/>
      <c r="J37" s="58"/>
      <c r="K37" s="152">
        <f t="shared" si="1"/>
        <v>0</v>
      </c>
      <c r="L37" s="15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9"/>
      <c r="N37" s="75"/>
      <c r="O37" s="307" t="s">
        <v>102</v>
      </c>
      <c r="P37" s="255"/>
      <c r="Q37" s="278">
        <f>IF(ISERROR(Q36/Q35), 0, Q36/Q35)</f>
        <v>0.25</v>
      </c>
      <c r="R37" s="278"/>
      <c r="S37" s="278">
        <f ca="1">IF(ISERROR(S36/S35), 0, S36/S35)</f>
        <v>0.34336229885057473</v>
      </c>
      <c r="T37" s="278"/>
      <c r="U37" s="278">
        <f t="shared" ca="1" si="2"/>
        <v>9.3362298850574732E-2</v>
      </c>
      <c r="V37" s="279"/>
    </row>
    <row r="38" spans="1:22" ht="22" customHeight="1">
      <c r="A38" s="151" t="s">
        <v>103</v>
      </c>
      <c r="B38" s="101">
        <v>401726</v>
      </c>
      <c r="C38" s="45" t="s">
        <v>261</v>
      </c>
      <c r="D38" s="46">
        <v>45870</v>
      </c>
      <c r="E38" s="47" t="s">
        <v>2</v>
      </c>
      <c r="F38" s="48">
        <v>86.5</v>
      </c>
      <c r="G38" s="152">
        <f>IF(OR(E38="",F38=""),"",PID_KVLohnLookup($A$1,E38,F38,LOHNTABELLE!$H$4))</f>
        <v>2152</v>
      </c>
      <c r="H38" s="153">
        <f>IF(AND(ISNUMBER(D38),ISNUMBER(F38)),ROUNDDOWN(MIN(IF(OR(ISBLANK(I38),I38=""),EOMONTH(DATE(EINSTELLUNG!$C$35,$A$1,1),0),I38)-MAX(D38,DATE(EINSTELLUNG!$C$35,$A$1,1))+1)/DAY(EOMONTH(DATE(EINSTELLUNG!$C$35,$A$1,1),0))*F38,2),"")</f>
        <v>86.5</v>
      </c>
      <c r="I38" s="49"/>
      <c r="J38" s="50"/>
      <c r="K38" s="152">
        <f t="shared" si="1"/>
        <v>0</v>
      </c>
      <c r="L38" s="15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51"/>
      <c r="N38" s="74"/>
      <c r="O38" s="307" t="s">
        <v>104</v>
      </c>
      <c r="P38" s="255"/>
      <c r="Q38" s="269">
        <f>EINSTELLUNG!F13</f>
        <v>30000</v>
      </c>
      <c r="R38" s="269"/>
      <c r="S38" s="269">
        <f>EINSTELLUNG!F29</f>
        <v>31000</v>
      </c>
      <c r="T38" s="269"/>
      <c r="U38" s="269">
        <f t="shared" si="2"/>
        <v>1000</v>
      </c>
      <c r="V38" s="270"/>
    </row>
    <row r="39" spans="1:22" ht="22" customHeight="1">
      <c r="A39" s="151" t="s">
        <v>105</v>
      </c>
      <c r="B39" s="102">
        <v>401730</v>
      </c>
      <c r="C39" s="53" t="s">
        <v>263</v>
      </c>
      <c r="D39" s="57">
        <v>45895</v>
      </c>
      <c r="E39" s="55" t="s">
        <v>2</v>
      </c>
      <c r="F39" s="56">
        <v>86.5</v>
      </c>
      <c r="G39" s="152">
        <f>IF(OR(E39="",F39=""),"",PID_KVLohnLookup($A$1,E39,F39,LOHNTABELLE!$H$4))</f>
        <v>2152</v>
      </c>
      <c r="H39" s="153">
        <f>IF(AND(ISNUMBER(D39),ISNUMBER(F39)),ROUNDDOWN(MIN(IF(OR(ISBLANK(I39),I39=""),EOMONTH(DATE(EINSTELLUNG!$C$35,$A$1,1),0),I39)-MAX(D39,DATE(EINSTELLUNG!$C$35,$A$1,1))+1)/DAY(EOMONTH(DATE(EINSTELLUNG!$C$35,$A$1,1),0))*F39,2),"")</f>
        <v>86.5</v>
      </c>
      <c r="I39" s="57"/>
      <c r="J39" s="58"/>
      <c r="K39" s="152">
        <f t="shared" si="1"/>
        <v>0</v>
      </c>
      <c r="L39" s="15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9"/>
      <c r="N39" s="75"/>
      <c r="O39" s="307" t="s">
        <v>106</v>
      </c>
      <c r="P39" s="255"/>
      <c r="Q39" s="256">
        <f>IF(Q38=0, 0, Q35/Q38)</f>
        <v>13.333333333333334</v>
      </c>
      <c r="R39" s="256"/>
      <c r="S39" s="256">
        <f>IF(S38=0, 0, S35/S38)</f>
        <v>14.03225806451613</v>
      </c>
      <c r="T39" s="256"/>
      <c r="U39" s="256">
        <f t="shared" si="2"/>
        <v>0.69892473118279597</v>
      </c>
      <c r="V39" s="257"/>
    </row>
    <row r="40" spans="1:22" ht="22" customHeight="1">
      <c r="A40" s="151" t="s">
        <v>107</v>
      </c>
      <c r="B40" s="101">
        <v>401731</v>
      </c>
      <c r="C40" s="45" t="s">
        <v>262</v>
      </c>
      <c r="D40" s="46">
        <v>45899</v>
      </c>
      <c r="E40" s="47" t="s">
        <v>2</v>
      </c>
      <c r="F40" s="48">
        <v>86.5</v>
      </c>
      <c r="G40" s="152">
        <f>IF(OR(E40="",F40=""),"",PID_KVLohnLookup($A$1,E40,F40,LOHNTABELLE!$H$4))</f>
        <v>2152</v>
      </c>
      <c r="H40" s="153">
        <f>IF(AND(ISNUMBER(D40),ISNUMBER(F40)),ROUNDDOWN(MIN(IF(OR(ISBLANK(I40),I40=""),EOMONTH(DATE(EINSTELLUNG!$C$35,$A$1,1),0),I40)-MAX(D40,DATE(EINSTELLUNG!$C$35,$A$1,1))+1)/DAY(EOMONTH(DATE(EINSTELLUNG!$C$35,$A$1,1),0))*F40,2),"")</f>
        <v>86.5</v>
      </c>
      <c r="I40" s="49"/>
      <c r="J40" s="50"/>
      <c r="K40" s="152">
        <f t="shared" si="1"/>
        <v>0</v>
      </c>
      <c r="L40" s="15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51"/>
      <c r="N40" s="74"/>
      <c r="O40" s="307" t="s">
        <v>108</v>
      </c>
      <c r="P40" s="255"/>
      <c r="Q40" s="256">
        <f>IF(Q12=0, 0, Q35/Q12)</f>
        <v>50.408942546407729</v>
      </c>
      <c r="R40" s="256"/>
      <c r="S40" s="256">
        <f>IF(Q12=0, 0, S35/Q12)</f>
        <v>54.81972501921841</v>
      </c>
      <c r="T40" s="256"/>
      <c r="U40" s="256">
        <f t="shared" si="2"/>
        <v>4.4107824728106806</v>
      </c>
      <c r="V40" s="257"/>
    </row>
    <row r="41" spans="1:22" ht="22" customHeight="1">
      <c r="A41" s="151" t="s">
        <v>109</v>
      </c>
      <c r="B41" s="102">
        <v>401734</v>
      </c>
      <c r="C41" s="53" t="s">
        <v>264</v>
      </c>
      <c r="D41" s="54">
        <v>45904</v>
      </c>
      <c r="E41" s="55" t="s">
        <v>2</v>
      </c>
      <c r="F41" s="56">
        <v>86.5</v>
      </c>
      <c r="G41" s="152">
        <f>IF(OR(E41="",F41=""),"",PID_KVLohnLookup($A$1,E41,F41,LOHNTABELLE!$H$4))</f>
        <v>2152</v>
      </c>
      <c r="H41" s="153">
        <f>IF(AND(ISNUMBER(D41),ISNUMBER(F41)),ROUNDDOWN(MIN(IF(OR(ISBLANK(I41),I41=""),EOMONTH(DATE(EINSTELLUNG!$C$35,$A$1,1),0),I41)-MAX(D41,DATE(EINSTELLUNG!$C$35,$A$1,1))+1)/DAY(EOMONTH(DATE(EINSTELLUNG!$C$35,$A$1,1),0))*F41,2),"")</f>
        <v>86.5</v>
      </c>
      <c r="I41" s="57"/>
      <c r="J41" s="58"/>
      <c r="K41" s="152">
        <f t="shared" si="1"/>
        <v>0</v>
      </c>
      <c r="L41" s="15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9"/>
      <c r="N41" s="75"/>
      <c r="O41" s="307" t="s">
        <v>110</v>
      </c>
      <c r="P41" s="255"/>
      <c r="Q41" s="269">
        <f>IF(Q12=0, 0, Q38/Q12)</f>
        <v>3.7806706909805796</v>
      </c>
      <c r="R41" s="269"/>
      <c r="S41" s="269">
        <f>IF(Q12=0, 0, S38/Q12)</f>
        <v>3.9066930473465993</v>
      </c>
      <c r="T41" s="269"/>
      <c r="U41" s="269">
        <f t="shared" si="2"/>
        <v>0.12602235636601966</v>
      </c>
      <c r="V41" s="270"/>
    </row>
    <row r="42" spans="1:22" ht="22" customHeight="1">
      <c r="A42" s="151" t="s">
        <v>111</v>
      </c>
      <c r="B42" s="101">
        <v>401737</v>
      </c>
      <c r="C42" s="45" t="s">
        <v>266</v>
      </c>
      <c r="D42" s="46">
        <v>45906</v>
      </c>
      <c r="E42" s="47" t="s">
        <v>2</v>
      </c>
      <c r="F42" s="48">
        <v>86.5</v>
      </c>
      <c r="G42" s="152">
        <f>IF(OR(E42="",F42=""),"",PID_KVLohnLookup($A$1,E42,F42,LOHNTABELLE!$H$4))</f>
        <v>2152</v>
      </c>
      <c r="H42" s="153">
        <f>IF(AND(ISNUMBER(D42),ISNUMBER(F42)),ROUNDDOWN(MIN(IF(OR(ISBLANK(I42),I42=""),EOMONTH(DATE(EINSTELLUNG!$C$35,$A$1,1),0),I42)-MAX(D42,DATE(EINSTELLUNG!$C$35,$A$1,1))+1)/DAY(EOMONTH(DATE(EINSTELLUNG!$C$35,$A$1,1),0))*F42,2),"")</f>
        <v>86.5</v>
      </c>
      <c r="I42" s="49"/>
      <c r="J42" s="50"/>
      <c r="K42" s="152">
        <f t="shared" si="1"/>
        <v>0</v>
      </c>
      <c r="L42" s="15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51"/>
      <c r="N42" s="74"/>
      <c r="O42" s="306" t="s">
        <v>112</v>
      </c>
      <c r="P42" s="263"/>
      <c r="Q42" s="264">
        <f>IFERROR(Q17/Q8, 0)</f>
        <v>16.36898463233522</v>
      </c>
      <c r="R42" s="264"/>
      <c r="S42" s="264"/>
      <c r="T42" s="264"/>
      <c r="U42" s="264"/>
      <c r="V42" s="265"/>
    </row>
    <row r="43" spans="1:22" ht="22" customHeight="1">
      <c r="A43" s="151" t="s">
        <v>113</v>
      </c>
      <c r="B43" s="102">
        <v>401738</v>
      </c>
      <c r="C43" s="53" t="s">
        <v>267</v>
      </c>
      <c r="D43" s="57">
        <v>45909</v>
      </c>
      <c r="E43" s="55" t="s">
        <v>2</v>
      </c>
      <c r="F43" s="56">
        <v>86.5</v>
      </c>
      <c r="G43" s="152">
        <f>IF(OR(E43="",F43=""),"",PID_KVLohnLookup($A$1,E43,F43,LOHNTABELLE!$H$4))</f>
        <v>2152</v>
      </c>
      <c r="H43" s="153">
        <f>IF(AND(ISNUMBER(D43),ISNUMBER(F43)),ROUNDDOWN(MIN(IF(OR(ISBLANK(I43),I43=""),EOMONTH(DATE(EINSTELLUNG!$C$35,$A$1,1),0),I43)-MAX(D43,DATE(EINSTELLUNG!$C$35,$A$1,1))+1)/DAY(EOMONTH(DATE(EINSTELLUNG!$C$35,$A$1,1),0))*F43,2),"")</f>
        <v>86.5</v>
      </c>
      <c r="I43" s="57"/>
      <c r="J43" s="58"/>
      <c r="K43" s="152">
        <f t="shared" si="1"/>
        <v>0</v>
      </c>
      <c r="L43" s="15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9"/>
      <c r="N43" s="75"/>
      <c r="O43" s="164"/>
      <c r="P43" s="164"/>
      <c r="Q43" s="164"/>
      <c r="R43" s="149"/>
      <c r="S43" s="149"/>
      <c r="T43" s="149"/>
      <c r="U43" s="149"/>
      <c r="V43" s="149"/>
    </row>
    <row r="44" spans="1:22" ht="22" customHeight="1">
      <c r="A44" s="151" t="s">
        <v>114</v>
      </c>
      <c r="B44" s="101">
        <v>401745</v>
      </c>
      <c r="C44" s="45" t="s">
        <v>271</v>
      </c>
      <c r="D44" s="46">
        <v>45934</v>
      </c>
      <c r="E44" s="47" t="s">
        <v>2</v>
      </c>
      <c r="F44" s="48">
        <v>86.5</v>
      </c>
      <c r="G44" s="152">
        <f>IF(OR(E44="",F44=""),"",PID_KVLohnLookup($A$1,E44,F44,LOHNTABELLE!$H$4))</f>
        <v>2152</v>
      </c>
      <c r="H44" s="153">
        <f>IF(AND(ISNUMBER(D44),ISNUMBER(F44)),ROUNDDOWN(MIN(IF(OR(ISBLANK(I44),I44=""),EOMONTH(DATE(EINSTELLUNG!$C$35,$A$1,1),0),I44)-MAX(D44,DATE(EINSTELLUNG!$C$35,$A$1,1))+1)/DAY(EOMONTH(DATE(EINSTELLUNG!$C$35,$A$1,1),0))*F44,2),"")</f>
        <v>86.5</v>
      </c>
      <c r="I44" s="49"/>
      <c r="J44" s="50"/>
      <c r="K44" s="152">
        <f t="shared" si="1"/>
        <v>0</v>
      </c>
      <c r="L44" s="15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51"/>
      <c r="N44" s="74"/>
      <c r="O44" s="275" t="s">
        <v>115</v>
      </c>
      <c r="P44" s="275"/>
      <c r="Q44" s="275"/>
      <c r="R44" s="275"/>
      <c r="S44" s="275"/>
      <c r="T44" s="275"/>
      <c r="U44" s="275"/>
      <c r="V44" s="275"/>
    </row>
    <row r="45" spans="1:22" ht="22" customHeight="1">
      <c r="A45" s="151" t="s">
        <v>116</v>
      </c>
      <c r="B45" s="102">
        <v>401746</v>
      </c>
      <c r="C45" s="53" t="s">
        <v>270</v>
      </c>
      <c r="D45" s="54">
        <v>45941</v>
      </c>
      <c r="E45" s="55" t="s">
        <v>2</v>
      </c>
      <c r="F45" s="56">
        <v>86.5</v>
      </c>
      <c r="G45" s="152">
        <f>IF(OR(E45="",F45=""),"",PID_KVLohnLookup($A$1,E45,F45,LOHNTABELLE!$H$4))</f>
        <v>2152</v>
      </c>
      <c r="H45" s="153">
        <f>IF(AND(ISNUMBER(D45),ISNUMBER(F45)),ROUNDDOWN(MIN(IF(OR(ISBLANK(I45),I45=""),EOMONTH(DATE(EINSTELLUNG!$C$35,$A$1,1),0),I45)-MAX(D45,DATE(EINSTELLUNG!$C$35,$A$1,1))+1)/DAY(EOMONTH(DATE(EINSTELLUNG!$C$35,$A$1,1),0))*F45,2),"")</f>
        <v>86.5</v>
      </c>
      <c r="I45" s="57"/>
      <c r="J45" s="58"/>
      <c r="K45" s="152">
        <f t="shared" si="1"/>
        <v>0</v>
      </c>
      <c r="L45" s="15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9"/>
      <c r="N45" s="75"/>
      <c r="O45" s="276"/>
      <c r="P45" s="276"/>
      <c r="Q45" s="276"/>
      <c r="R45" s="277"/>
      <c r="S45" s="277"/>
      <c r="T45" s="277"/>
      <c r="U45" s="277"/>
      <c r="V45" s="149"/>
    </row>
    <row r="46" spans="1:22" ht="22" customHeight="1">
      <c r="A46" s="151" t="s">
        <v>117</v>
      </c>
      <c r="B46" s="101">
        <v>401747</v>
      </c>
      <c r="C46" s="45" t="s">
        <v>268</v>
      </c>
      <c r="D46" s="46">
        <v>45941</v>
      </c>
      <c r="E46" s="47" t="s">
        <v>2</v>
      </c>
      <c r="F46" s="48">
        <v>86.5</v>
      </c>
      <c r="G46" s="152">
        <f>IF(OR(E46="",F46=""),"",PID_KVLohnLookup($A$1,E46,F46,LOHNTABELLE!$H$4))</f>
        <v>2152</v>
      </c>
      <c r="H46" s="153">
        <f>IF(AND(ISNUMBER(D46),ISNUMBER(F46)),ROUNDDOWN(MIN(IF(OR(ISBLANK(I46),I46=""),EOMONTH(DATE(EINSTELLUNG!$C$35,$A$1,1),0),I46)-MAX(D46,DATE(EINSTELLUNG!$C$35,$A$1,1))+1)/DAY(EOMONTH(DATE(EINSTELLUNG!$C$35,$A$1,1),0))*F46,2),"")</f>
        <v>86.5</v>
      </c>
      <c r="I46" s="49"/>
      <c r="J46" s="50"/>
      <c r="K46" s="152">
        <f t="shared" si="1"/>
        <v>0</v>
      </c>
      <c r="L46" s="15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51"/>
      <c r="N46" s="74"/>
      <c r="O46" s="149"/>
      <c r="P46" s="149"/>
      <c r="Q46" s="149"/>
      <c r="R46" s="149"/>
      <c r="S46" s="149"/>
      <c r="T46" s="149"/>
      <c r="U46" s="149"/>
      <c r="V46" s="149"/>
    </row>
    <row r="47" spans="1:22" ht="22" customHeight="1">
      <c r="A47" s="151" t="s">
        <v>118</v>
      </c>
      <c r="B47" s="102">
        <v>401748</v>
      </c>
      <c r="C47" s="53" t="s">
        <v>269</v>
      </c>
      <c r="D47" s="54">
        <v>45941</v>
      </c>
      <c r="E47" s="55" t="s">
        <v>2</v>
      </c>
      <c r="F47" s="56">
        <v>138.4</v>
      </c>
      <c r="G47" s="152">
        <f>IF(OR(E47="",F47=""),"",PID_KVLohnLookup($A$1,E47,F47,LOHNTABELLE!$H$4))</f>
        <v>2400</v>
      </c>
      <c r="H47" s="153">
        <f>IF(AND(ISNUMBER(D47),ISNUMBER(F47)),ROUNDDOWN(MIN(IF(OR(ISBLANK(I47),I47=""),EOMONTH(DATE(EINSTELLUNG!$C$35,$A$1,1),0),I47)-MAX(D47,DATE(EINSTELLUNG!$C$35,$A$1,1))+1)/DAY(EOMONTH(DATE(EINSTELLUNG!$C$35,$A$1,1),0))*F47,2),"")</f>
        <v>138.4</v>
      </c>
      <c r="I47" s="57"/>
      <c r="J47" s="58"/>
      <c r="K47" s="152">
        <f t="shared" si="1"/>
        <v>0</v>
      </c>
      <c r="L47" s="15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2400</v>
      </c>
      <c r="M47" s="59"/>
      <c r="N47" s="75"/>
      <c r="O47" s="149"/>
      <c r="P47" s="149"/>
      <c r="Q47" s="149"/>
      <c r="R47" s="149"/>
      <c r="S47" s="149"/>
      <c r="T47" s="149"/>
      <c r="U47" s="149"/>
      <c r="V47" s="149"/>
    </row>
    <row r="48" spans="1:22" ht="22" customHeight="1">
      <c r="A48" s="151" t="s">
        <v>119</v>
      </c>
      <c r="B48" s="101">
        <v>401751</v>
      </c>
      <c r="C48" s="45" t="s">
        <v>272</v>
      </c>
      <c r="D48" s="46">
        <v>45961</v>
      </c>
      <c r="E48" s="47" t="s">
        <v>2</v>
      </c>
      <c r="F48" s="48">
        <v>86.5</v>
      </c>
      <c r="G48" s="152">
        <f>IF(OR(E48="",F48=""),"",PID_KVLohnLookup($A$1,E48,F48,LOHNTABELLE!$H$4))</f>
        <v>2152</v>
      </c>
      <c r="H48" s="153">
        <f>IF(AND(ISNUMBER(D48),ISNUMBER(F48)),ROUNDDOWN(MIN(IF(OR(ISBLANK(I48),I48=""),EOMONTH(DATE(EINSTELLUNG!$C$35,$A$1,1),0),I48)-MAX(D48,DATE(EINSTELLUNG!$C$35,$A$1,1))+1)/DAY(EOMONTH(DATE(EINSTELLUNG!$C$35,$A$1,1),0))*F48,2),"")</f>
        <v>86.5</v>
      </c>
      <c r="I48" s="49"/>
      <c r="J48" s="50"/>
      <c r="K48" s="152">
        <f t="shared" si="1"/>
        <v>0</v>
      </c>
      <c r="L48" s="15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51"/>
      <c r="N48" s="74"/>
      <c r="O48" s="149"/>
      <c r="P48" s="149"/>
      <c r="Q48" s="149"/>
      <c r="R48" s="149"/>
      <c r="S48" s="149"/>
      <c r="T48" s="149"/>
      <c r="U48" s="149"/>
      <c r="V48" s="149"/>
    </row>
    <row r="49" spans="1:22" ht="22" customHeight="1">
      <c r="A49" s="151" t="s">
        <v>120</v>
      </c>
      <c r="B49" s="102">
        <v>401752</v>
      </c>
      <c r="C49" s="53" t="s">
        <v>273</v>
      </c>
      <c r="D49" s="54">
        <v>45986</v>
      </c>
      <c r="E49" s="55" t="s">
        <v>2</v>
      </c>
      <c r="F49" s="56">
        <v>173</v>
      </c>
      <c r="G49" s="152">
        <f>IF(OR(E49="",F49=""),"",PID_KVLohnLookup($A$1,E49,F49,LOHNTABELLE!$H$4))</f>
        <v>2900</v>
      </c>
      <c r="H49" s="153">
        <f>IF(AND(ISNUMBER(D49),ISNUMBER(F49)),ROUNDDOWN(MIN(IF(OR(ISBLANK(I49),I49=""),EOMONTH(DATE(EINSTELLUNG!$C$35,$A$1,1),0),I49)-MAX(D49,DATE(EINSTELLUNG!$C$35,$A$1,1))+1)/DAY(EOMONTH(DATE(EINSTELLUNG!$C$35,$A$1,1),0))*F49,2),"")</f>
        <v>173</v>
      </c>
      <c r="I49" s="57"/>
      <c r="J49" s="58"/>
      <c r="K49" s="152">
        <f t="shared" si="1"/>
        <v>0</v>
      </c>
      <c r="L49" s="15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2900</v>
      </c>
      <c r="M49" s="59"/>
      <c r="N49" s="75"/>
      <c r="O49" s="149"/>
      <c r="P49" s="149"/>
      <c r="Q49" s="149"/>
      <c r="R49" s="149"/>
      <c r="S49" s="149"/>
      <c r="T49" s="149"/>
      <c r="U49" s="149"/>
      <c r="V49" s="149"/>
    </row>
    <row r="50" spans="1:22" ht="22" customHeight="1">
      <c r="A50" s="151" t="s">
        <v>121</v>
      </c>
      <c r="B50" s="101">
        <v>401999</v>
      </c>
      <c r="C50" s="45" t="s">
        <v>358</v>
      </c>
      <c r="D50" s="46">
        <v>46041</v>
      </c>
      <c r="E50" s="47" t="s">
        <v>2</v>
      </c>
      <c r="F50" s="48">
        <v>151.38</v>
      </c>
      <c r="G50" s="152">
        <f>IF(OR(E50="",F50=""),"",PID_KVLohnLookup($A$1,E50,F50,LOHNTABELLE!$H$4))</f>
        <v>2500</v>
      </c>
      <c r="H50" s="153">
        <f>IF(AND(ISNUMBER(D50),ISNUMBER(F50)),ROUNDDOWN(MIN(IF(OR(ISBLANK(I50),I50=""),EOMONTH(DATE(EINSTELLUNG!$C$35,$A$1,1),0),I50)-MAX(D50,DATE(EINSTELLUNG!$C$35,$A$1,1))+1)/DAY(EOMONTH(DATE(EINSTELLUNG!$C$35,$A$1,1),0))*F50,2),"")</f>
        <v>151.38</v>
      </c>
      <c r="I50" s="49"/>
      <c r="J50" s="50"/>
      <c r="K50" s="152">
        <f t="shared" si="1"/>
        <v>0</v>
      </c>
      <c r="L50" s="15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51"/>
      <c r="N50" s="74"/>
      <c r="O50" s="149"/>
      <c r="P50" s="149"/>
      <c r="Q50" s="149"/>
      <c r="R50" s="149"/>
      <c r="S50" s="149"/>
      <c r="T50" s="149"/>
      <c r="U50" s="149"/>
      <c r="V50" s="149"/>
    </row>
    <row r="51" spans="1:22" ht="22" customHeight="1">
      <c r="A51" s="151" t="s">
        <v>122</v>
      </c>
      <c r="B51" s="102">
        <v>401999</v>
      </c>
      <c r="C51" s="53" t="s">
        <v>295</v>
      </c>
      <c r="D51" s="57">
        <v>46082</v>
      </c>
      <c r="E51" s="55" t="s">
        <v>2</v>
      </c>
      <c r="F51" s="56">
        <v>173</v>
      </c>
      <c r="G51" s="152">
        <f>IF(OR(E51="",F51=""),"",PID_KVLohnLookup($A$1,E51,F51,LOHNTABELLE!$H$4))</f>
        <v>2900</v>
      </c>
      <c r="H51" s="153">
        <f>IF(AND(ISNUMBER(D51),ISNUMBER(F51)),ROUNDDOWN(MIN(IF(OR(ISBLANK(I51),I51=""),EOMONTH(DATE(EINSTELLUNG!$C$35,$A$1,1),0),I51)-MAX(D51,DATE(EINSTELLUNG!$C$35,$A$1,1))+1)/DAY(EOMONTH(DATE(EINSTELLUNG!$C$35,$A$1,1),0))*F51,2),"")</f>
        <v>173</v>
      </c>
      <c r="I51" s="57"/>
      <c r="J51" s="58"/>
      <c r="K51" s="152">
        <f t="shared" si="1"/>
        <v>0</v>
      </c>
      <c r="L51" s="15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59"/>
      <c r="N51" s="75"/>
    </row>
    <row r="52" spans="1:22" ht="22" customHeight="1">
      <c r="A52" s="151" t="s">
        <v>123</v>
      </c>
      <c r="B52" s="101">
        <v>402000</v>
      </c>
      <c r="C52" s="45" t="s">
        <v>298</v>
      </c>
      <c r="D52" s="49">
        <v>46143</v>
      </c>
      <c r="E52" s="47" t="s">
        <v>2</v>
      </c>
      <c r="F52" s="48">
        <v>173</v>
      </c>
      <c r="G52" s="152">
        <f>IF(OR(E52="",F52=""),"",PID_KVLohnLookup($A$1,E52,F52,LOHNTABELLE!$H$4))</f>
        <v>2900</v>
      </c>
      <c r="H52" s="153">
        <f>IF(AND(ISNUMBER(D52),ISNUMBER(F52)),ROUNDDOWN(MIN(IF(OR(ISBLANK(I52),I52=""),EOMONTH(DATE(EINSTELLUNG!$C$35,$A$1,1),0),I52)-MAX(D52,DATE(EINSTELLUNG!$C$35,$A$1,1))+1)/DAY(EOMONTH(DATE(EINSTELLUNG!$C$35,$A$1,1),0))*F52,2),"")</f>
        <v>173</v>
      </c>
      <c r="I52" s="49"/>
      <c r="J52" s="50"/>
      <c r="K52" s="152">
        <f t="shared" si="1"/>
        <v>0</v>
      </c>
      <c r="L52" s="15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51"/>
      <c r="N52" s="74"/>
    </row>
    <row r="53" spans="1:22" ht="22" customHeight="1">
      <c r="A53" s="151" t="s">
        <v>124</v>
      </c>
      <c r="B53" s="102">
        <v>402004</v>
      </c>
      <c r="C53" s="70" t="s">
        <v>299</v>
      </c>
      <c r="D53" s="57">
        <v>46122</v>
      </c>
      <c r="E53" s="55" t="s">
        <v>2</v>
      </c>
      <c r="F53" s="56">
        <v>173</v>
      </c>
      <c r="G53" s="152">
        <f>IF(OR(E53="",F53=""),"",PID_KVLohnLookup($A$1,E53,F53,LOHNTABELLE!$H$4))</f>
        <v>2900</v>
      </c>
      <c r="H53" s="153">
        <f>IF(AND(ISNUMBER(D53),ISNUMBER(F53)),ROUNDDOWN(MIN(IF(OR(ISBLANK(I53),I53=""),EOMONTH(DATE(EINSTELLUNG!$C$35,$A$1,1),0),I53)-MAX(D53,DATE(EINSTELLUNG!$C$35,$A$1,1))+1)/DAY(EOMONTH(DATE(EINSTELLUNG!$C$35,$A$1,1),0))*F53,2),"")</f>
        <v>173</v>
      </c>
      <c r="I53" s="57"/>
      <c r="J53" s="58"/>
      <c r="K53" s="152">
        <f t="shared" si="1"/>
        <v>0</v>
      </c>
      <c r="L53" s="15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9"/>
      <c r="N53" s="75"/>
    </row>
    <row r="54" spans="1:22" ht="22" customHeight="1">
      <c r="A54" s="151" t="s">
        <v>125</v>
      </c>
      <c r="B54" s="101">
        <v>402405</v>
      </c>
      <c r="C54" s="45" t="s">
        <v>301</v>
      </c>
      <c r="D54" s="49">
        <v>46054</v>
      </c>
      <c r="E54" s="47" t="s">
        <v>2</v>
      </c>
      <c r="F54" s="48">
        <v>173</v>
      </c>
      <c r="G54" s="152">
        <f>IF(OR(E54="",F54=""),"",PID_KVLohnLookup($A$1,E54,F54,LOHNTABELLE!$H$4))</f>
        <v>2900</v>
      </c>
      <c r="H54" s="153">
        <f>IF(AND(ISNUMBER(D54),ISNUMBER(F54)),ROUNDDOWN(MIN(IF(OR(ISBLANK(I54),I54=""),EOMONTH(DATE(EINSTELLUNG!$C$35,$A$1,1),0),I54)-MAX(D54,DATE(EINSTELLUNG!$C$35,$A$1,1))+1)/DAY(EOMONTH(DATE(EINSTELLUNG!$C$35,$A$1,1),0))*F54,2),"")</f>
        <v>173</v>
      </c>
      <c r="I54" s="49"/>
      <c r="J54" s="50"/>
      <c r="K54" s="152">
        <f t="shared" si="1"/>
        <v>0</v>
      </c>
      <c r="L54" s="15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51"/>
      <c r="N54" s="74"/>
    </row>
    <row r="55" spans="1:22" ht="22" customHeight="1">
      <c r="A55" s="151" t="s">
        <v>126</v>
      </c>
      <c r="B55" s="102">
        <v>500600</v>
      </c>
      <c r="C55" s="53" t="s">
        <v>305</v>
      </c>
      <c r="D55" s="57">
        <v>46054</v>
      </c>
      <c r="E55" s="55" t="s">
        <v>2</v>
      </c>
      <c r="F55" s="56">
        <v>173</v>
      </c>
      <c r="G55" s="152">
        <f>IF(OR(E55="",F55=""),"",PID_KVLohnLookup($A$1,E55,F55,LOHNTABELLE!$H$4))</f>
        <v>2900</v>
      </c>
      <c r="H55" s="153">
        <f>IF(AND(ISNUMBER(D55),ISNUMBER(F55)),ROUNDDOWN(MIN(IF(OR(ISBLANK(I55),I55=""),EOMONTH(DATE(EINSTELLUNG!$C$35,$A$1,1),0),I55)-MAX(D55,DATE(EINSTELLUNG!$C$35,$A$1,1))+1)/DAY(EOMONTH(DATE(EINSTELLUNG!$C$35,$A$1,1),0))*F55,2),"")</f>
        <v>173</v>
      </c>
      <c r="I55" s="57"/>
      <c r="J55" s="58"/>
      <c r="K55" s="152">
        <f t="shared" si="1"/>
        <v>0</v>
      </c>
      <c r="L55" s="15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9"/>
      <c r="N55" s="75"/>
    </row>
    <row r="56" spans="1:22" ht="22" customHeight="1">
      <c r="A56" s="151" t="s">
        <v>127</v>
      </c>
      <c r="B56" s="101">
        <v>502000</v>
      </c>
      <c r="C56" s="45" t="s">
        <v>300</v>
      </c>
      <c r="D56" s="49">
        <v>46147</v>
      </c>
      <c r="E56" s="47" t="s">
        <v>2</v>
      </c>
      <c r="F56" s="48">
        <v>173</v>
      </c>
      <c r="G56" s="152">
        <f>IF(OR(E56="",F56=""),"",PID_KVLohnLookup($A$1,E56,F56,LOHNTABELLE!$H$4))</f>
        <v>2900</v>
      </c>
      <c r="H56" s="153">
        <f>IF(AND(ISNUMBER(D56),ISNUMBER(F56)),ROUNDDOWN(MIN(IF(OR(ISBLANK(I56),I56=""),EOMONTH(DATE(EINSTELLUNG!$C$35,$A$1,1),0),I56)-MAX(D56,DATE(EINSTELLUNG!$C$35,$A$1,1))+1)/DAY(EOMONTH(DATE(EINSTELLUNG!$C$35,$A$1,1),0))*F56,2),"")</f>
        <v>173</v>
      </c>
      <c r="I56" s="49"/>
      <c r="J56" s="50"/>
      <c r="K56" s="152">
        <f t="shared" si="1"/>
        <v>0</v>
      </c>
      <c r="L56" s="15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51"/>
      <c r="N56" s="74"/>
    </row>
    <row r="57" spans="1:22" ht="22" customHeight="1">
      <c r="A57" s="151" t="s">
        <v>128</v>
      </c>
      <c r="B57" s="102">
        <v>503000</v>
      </c>
      <c r="C57" s="53" t="s">
        <v>302</v>
      </c>
      <c r="D57" s="57">
        <v>42401</v>
      </c>
      <c r="E57" s="55" t="s">
        <v>2</v>
      </c>
      <c r="F57" s="56">
        <v>173</v>
      </c>
      <c r="G57" s="152">
        <f>IF(OR(E57="",F57=""),"",PID_KVLohnLookup($A$1,E57,F57,LOHNTABELLE!$H$4))</f>
        <v>2900</v>
      </c>
      <c r="H57" s="153">
        <f>IF(AND(ISNUMBER(D57),ISNUMBER(F57)),ROUNDDOWN(MIN(IF(OR(ISBLANK(I57),I57=""),EOMONTH(DATE(EINSTELLUNG!$C$35,$A$1,1),0),I57)-MAX(D57,DATE(EINSTELLUNG!$C$35,$A$1,1))+1)/DAY(EOMONTH(DATE(EINSTELLUNG!$C$35,$A$1,1),0))*F57,2),"")</f>
        <v>173</v>
      </c>
      <c r="I57" s="57"/>
      <c r="J57" s="58"/>
      <c r="K57" s="152">
        <f t="shared" si="1"/>
        <v>0</v>
      </c>
      <c r="L57" s="15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9"/>
      <c r="N57" s="75"/>
    </row>
    <row r="58" spans="1:22" ht="22" customHeight="1">
      <c r="A58" s="151" t="s">
        <v>129</v>
      </c>
      <c r="B58" s="101">
        <v>504000</v>
      </c>
      <c r="C58" s="45" t="s">
        <v>303</v>
      </c>
      <c r="D58" s="49">
        <v>46054</v>
      </c>
      <c r="E58" s="47" t="s">
        <v>3</v>
      </c>
      <c r="F58" s="48">
        <v>138.4</v>
      </c>
      <c r="G58" s="152">
        <f>IF(OR(E58="",F58=""),"",PID_KVLohnLookup($A$1,E58,F58,LOHNTABELLE!$H$4))</f>
        <v>1665.6</v>
      </c>
      <c r="H58" s="153">
        <f>IF(AND(ISNUMBER(D58),ISNUMBER(F58)),ROUNDDOWN(MIN(IF(OR(ISBLANK(I58),I58=""),EOMONTH(DATE(EINSTELLUNG!$C$35,$A$1,1),0),I58)-MAX(D58,DATE(EINSTELLUNG!$C$35,$A$1,1))+1)/DAY(EOMONTH(DATE(EINSTELLUNG!$C$35,$A$1,1),0))*F58,2),"")</f>
        <v>138.4</v>
      </c>
      <c r="I58" s="49"/>
      <c r="J58" s="50"/>
      <c r="K58" s="152">
        <f t="shared" si="1"/>
        <v>0</v>
      </c>
      <c r="L58" s="15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51"/>
      <c r="N58" s="74"/>
    </row>
    <row r="59" spans="1:22" ht="22" customHeight="1">
      <c r="A59" s="151" t="s">
        <v>130</v>
      </c>
      <c r="B59" s="102">
        <v>505000</v>
      </c>
      <c r="C59" s="53" t="s">
        <v>304</v>
      </c>
      <c r="D59" s="57">
        <v>46054</v>
      </c>
      <c r="E59" s="55" t="s">
        <v>2</v>
      </c>
      <c r="F59" s="56">
        <v>138.4</v>
      </c>
      <c r="G59" s="152">
        <f>IF(OR(E59="",F59=""),"",PID_KVLohnLookup($A$1,E59,F59,LOHNTABELLE!$H$4))</f>
        <v>2400</v>
      </c>
      <c r="H59" s="153">
        <f>IF(AND(ISNUMBER(D59),ISNUMBER(F59)),ROUNDDOWN(MIN(IF(OR(ISBLANK(I59),I59=""),EOMONTH(DATE(EINSTELLUNG!$C$35,$A$1,1),0),I59)-MAX(D59,DATE(EINSTELLUNG!$C$35,$A$1,1))+1)/DAY(EOMONTH(DATE(EINSTELLUNG!$C$35,$A$1,1),0))*F59,2),"")</f>
        <v>138.4</v>
      </c>
      <c r="I59" s="57"/>
      <c r="J59" s="58"/>
      <c r="K59" s="152">
        <f t="shared" si="1"/>
        <v>0</v>
      </c>
      <c r="L59" s="15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59"/>
      <c r="N59" s="75"/>
    </row>
    <row r="60" spans="1:22" ht="22" customHeight="1">
      <c r="A60" s="151" t="s">
        <v>131</v>
      </c>
      <c r="B60" s="101">
        <v>525025</v>
      </c>
      <c r="C60" s="45" t="s">
        <v>359</v>
      </c>
      <c r="D60" s="49">
        <v>46040</v>
      </c>
      <c r="E60" s="47" t="s">
        <v>2</v>
      </c>
      <c r="F60" s="48">
        <v>129.75</v>
      </c>
      <c r="G60" s="152">
        <f>IF(OR(E60="",F60=""),"",PID_KVLohnLookup($A$1,E60,F60,LOHNTABELLE!$H$4))</f>
        <v>2300</v>
      </c>
      <c r="H60" s="153">
        <f>IF(AND(ISNUMBER(D60),ISNUMBER(F60)),ROUNDDOWN(MIN(IF(OR(ISBLANK(I60),I60=""),EOMONTH(DATE(EINSTELLUNG!$C$35,$A$1,1),0),I60)-MAX(D60,DATE(EINSTELLUNG!$C$35,$A$1,1))+1)/DAY(EOMONTH(DATE(EINSTELLUNG!$C$35,$A$1,1),0))*F60,2),"")</f>
        <v>129.75</v>
      </c>
      <c r="I60" s="49"/>
      <c r="J60" s="50"/>
      <c r="K60" s="152">
        <f t="shared" si="1"/>
        <v>0</v>
      </c>
      <c r="L60" s="15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51"/>
      <c r="N60" s="74"/>
    </row>
    <row r="61" spans="1:22" ht="22" customHeight="1">
      <c r="A61" s="151" t="s">
        <v>132</v>
      </c>
      <c r="B61" s="102">
        <v>700000</v>
      </c>
      <c r="C61" s="53" t="s">
        <v>312</v>
      </c>
      <c r="D61" s="57">
        <v>46054</v>
      </c>
      <c r="E61" s="55" t="s">
        <v>2</v>
      </c>
      <c r="F61" s="56">
        <v>173</v>
      </c>
      <c r="G61" s="152">
        <f>IF(OR(E61="",F61=""),"",PID_KVLohnLookup($A$1,E61,F61,LOHNTABELLE!$H$4))</f>
        <v>2900</v>
      </c>
      <c r="H61" s="153">
        <f>IF(AND(ISNUMBER(D61),ISNUMBER(F61)),ROUNDDOWN(MIN(IF(OR(ISBLANK(I61),I61=""),EOMONTH(DATE(EINSTELLUNG!$C$35,$A$1,1),0),I61)-MAX(D61,DATE(EINSTELLUNG!$C$35,$A$1,1))+1)/DAY(EOMONTH(DATE(EINSTELLUNG!$C$35,$A$1,1),0))*F61,2),"")</f>
        <v>173</v>
      </c>
      <c r="I61" s="57"/>
      <c r="J61" s="58"/>
      <c r="K61" s="152">
        <f t="shared" si="1"/>
        <v>0</v>
      </c>
      <c r="L61" s="15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59"/>
      <c r="N61" s="75"/>
    </row>
    <row r="62" spans="1:22" ht="22" customHeight="1">
      <c r="A62" s="151" t="s">
        <v>133</v>
      </c>
      <c r="B62" s="101">
        <v>800000</v>
      </c>
      <c r="C62" s="45" t="s">
        <v>313</v>
      </c>
      <c r="D62" s="49">
        <v>46096</v>
      </c>
      <c r="E62" s="47" t="s">
        <v>2</v>
      </c>
      <c r="F62" s="48">
        <v>129.75</v>
      </c>
      <c r="G62" s="152">
        <f>IF(OR(E62="",F62=""),"",PID_KVLohnLookup($A$1,E62,F62,LOHNTABELLE!$H$4))</f>
        <v>2300</v>
      </c>
      <c r="H62" s="153">
        <f>IF(AND(ISNUMBER(D62),ISNUMBER(F62)),ROUNDDOWN(MIN(IF(OR(ISBLANK(I62),I62=""),EOMONTH(DATE(EINSTELLUNG!$C$35,$A$1,1),0),I62)-MAX(D62,DATE(EINSTELLUNG!$C$35,$A$1,1))+1)/DAY(EOMONTH(DATE(EINSTELLUNG!$C$35,$A$1,1),0))*F62,2),"")</f>
        <v>129.75</v>
      </c>
      <c r="I62" s="49"/>
      <c r="J62" s="50"/>
      <c r="K62" s="152">
        <f t="shared" si="1"/>
        <v>0</v>
      </c>
      <c r="L62" s="15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2300</v>
      </c>
      <c r="M62" s="51"/>
      <c r="N62" s="74"/>
    </row>
    <row r="63" spans="1:22" ht="22" customHeight="1">
      <c r="A63" s="151" t="s">
        <v>134</v>
      </c>
      <c r="B63" s="102"/>
      <c r="C63" s="53"/>
      <c r="D63" s="57"/>
      <c r="E63" s="55"/>
      <c r="F63" s="56"/>
      <c r="G63" s="152" t="str">
        <f>IF(OR(E63="",F63=""),"",PID_KVLohnLookup($A$1,E63,F63,LOHNTABELLE!$H$4))</f>
        <v/>
      </c>
      <c r="H63" s="153" t="str">
        <f>IF(AND(ISNUMBER(D63),ISNUMBER(F63)),ROUNDDOWN(MIN(IF(OR(ISBLANK(I63),I63=""),EOMONTH(DATE(EINSTELLUNG!$C$35,$A$1,1),0),I63)-MAX(D63,DATE(EINSTELLUNG!$C$35,$A$1,1))+1)/DAY(EOMONTH(DATE(EINSTELLUNG!$C$35,$A$1,1),0))*F63,2),"")</f>
        <v/>
      </c>
      <c r="I63" s="57"/>
      <c r="J63" s="58"/>
      <c r="K63" s="152" t="str">
        <f t="shared" si="1"/>
        <v/>
      </c>
      <c r="L63" s="15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9"/>
      <c r="N63" s="75"/>
    </row>
    <row r="64" spans="1:22" ht="22" customHeight="1">
      <c r="A64" s="151" t="s">
        <v>135</v>
      </c>
      <c r="B64" s="101"/>
      <c r="C64" s="45"/>
      <c r="D64" s="49"/>
      <c r="E64" s="47"/>
      <c r="F64" s="48"/>
      <c r="G64" s="152" t="str">
        <f>IF(OR(E64="",F64=""),"",PID_KVLohnLookup($A$1,E64,F64,LOHNTABELLE!$H$4))</f>
        <v/>
      </c>
      <c r="H64" s="153" t="str">
        <f>IF(AND(ISNUMBER(D64),ISNUMBER(F64)),ROUNDDOWN(MIN(IF(OR(ISBLANK(I64),I64=""),EOMONTH(DATE(EINSTELLUNG!$C$35,$A$1,1),0),I64)-MAX(D64,DATE(EINSTELLUNG!$C$35,$A$1,1))+1)/DAY(EOMONTH(DATE(EINSTELLUNG!$C$35,$A$1,1),0))*F64,2),"")</f>
        <v/>
      </c>
      <c r="I64" s="49"/>
      <c r="J64" s="50"/>
      <c r="K64" s="152" t="str">
        <f t="shared" si="1"/>
        <v/>
      </c>
      <c r="L64" s="15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51"/>
      <c r="N64" s="74"/>
    </row>
    <row r="65" spans="1:14" ht="22" customHeight="1">
      <c r="A65" s="151" t="s">
        <v>136</v>
      </c>
      <c r="B65" s="102"/>
      <c r="C65" s="53"/>
      <c r="D65" s="57"/>
      <c r="E65" s="55"/>
      <c r="F65" s="56"/>
      <c r="G65" s="152" t="str">
        <f>IF(OR(E65="",F65=""),"",PID_KVLohnLookup($A$1,E65,F65,LOHNTABELLE!$H$4))</f>
        <v/>
      </c>
      <c r="H65" s="153" t="str">
        <f>IF(AND(ISNUMBER(D65),ISNUMBER(F65)),ROUNDDOWN(MIN(IF(OR(ISBLANK(I65),I65=""),EOMONTH(DATE(EINSTELLUNG!$C$35,$A$1,1),0),I65)-MAX(D65,DATE(EINSTELLUNG!$C$35,$A$1,1))+1)/DAY(EOMONTH(DATE(EINSTELLUNG!$C$35,$A$1,1),0))*F65,2),"")</f>
        <v/>
      </c>
      <c r="I65" s="57"/>
      <c r="J65" s="58"/>
      <c r="K65" s="152" t="str">
        <f t="shared" si="1"/>
        <v/>
      </c>
      <c r="L65" s="15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9"/>
      <c r="N65" s="75"/>
    </row>
    <row r="66" spans="1:14" ht="22" customHeight="1">
      <c r="A66" s="151" t="s">
        <v>137</v>
      </c>
      <c r="B66" s="101"/>
      <c r="C66" s="45"/>
      <c r="D66" s="49"/>
      <c r="E66" s="47"/>
      <c r="F66" s="48"/>
      <c r="G66" s="152" t="str">
        <f>IF(OR(E66="",F66=""),"",PID_KVLohnLookup($A$1,E66,F66,LOHNTABELLE!$H$4))</f>
        <v/>
      </c>
      <c r="H66" s="153" t="str">
        <f>IF(AND(ISNUMBER(D66),ISNUMBER(F66)),ROUNDDOWN(MIN(IF(OR(ISBLANK(I66),I66=""),EOMONTH(DATE(EINSTELLUNG!$C$35,$A$1,1),0),I66)-MAX(D66,DATE(EINSTELLUNG!$C$35,$A$1,1))+1)/DAY(EOMONTH(DATE(EINSTELLUNG!$C$35,$A$1,1),0))*F66,2),"")</f>
        <v/>
      </c>
      <c r="I66" s="49"/>
      <c r="J66" s="50"/>
      <c r="K66" s="152" t="str">
        <f t="shared" si="1"/>
        <v/>
      </c>
      <c r="L66" s="15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51"/>
      <c r="N66" s="74"/>
    </row>
    <row r="67" spans="1:14" ht="22" customHeight="1">
      <c r="A67" s="151" t="s">
        <v>138</v>
      </c>
      <c r="B67" s="102"/>
      <c r="C67" s="53"/>
      <c r="D67" s="57"/>
      <c r="E67" s="55"/>
      <c r="F67" s="56"/>
      <c r="G67" s="152" t="str">
        <f>IF(OR(E67="",F67=""),"",PID_KVLohnLookup($A$1,E67,F67,LOHNTABELLE!$H$4))</f>
        <v/>
      </c>
      <c r="H67" s="153" t="str">
        <f>IF(AND(ISNUMBER(D67),ISNUMBER(F67)),ROUNDDOWN(MIN(IF(OR(ISBLANK(I67),I67=""),EOMONTH(DATE(EINSTELLUNG!$C$35,$A$1,1),0),I67)-MAX(D67,DATE(EINSTELLUNG!$C$35,$A$1,1))+1)/DAY(EOMONTH(DATE(EINSTELLUNG!$C$35,$A$1,1),0))*F67,2),"")</f>
        <v/>
      </c>
      <c r="I67" s="57"/>
      <c r="J67" s="58"/>
      <c r="K67" s="152" t="str">
        <f t="shared" ref="K67:K82" si="3">IF(OR(B67="",C67=""),"",IFERROR(IF(OR(MONTH(D67)=1,MONTH(D67)=3,MONTH(D67)=5,MONTH(D67)=7,MONTH(D67)=8,MONTH(D67)=10,MONTH(D67)=12),(G67/31)*J67,IF(OR(MONTH(D67)=4,MONTH(D67)=6,MONTH(D67)=9,MONTH(D67)=11),(G67/30)*J67,(G67/DAY(EOMONTH(D67,0)))*J67)),0))</f>
        <v/>
      </c>
      <c r="L67" s="15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9"/>
      <c r="N67" s="75"/>
    </row>
    <row r="68" spans="1:14" ht="22" customHeight="1">
      <c r="A68" s="151" t="s">
        <v>139</v>
      </c>
      <c r="B68" s="101"/>
      <c r="C68" s="45"/>
      <c r="D68" s="49"/>
      <c r="E68" s="47"/>
      <c r="F68" s="48"/>
      <c r="G68" s="152" t="str">
        <f>IF(OR(E68="",F68=""),"",PID_KVLohnLookup($A$1,E68,F68,LOHNTABELLE!$H$4))</f>
        <v/>
      </c>
      <c r="H68" s="153" t="str">
        <f>IF(AND(ISNUMBER(D68),ISNUMBER(F68)),ROUNDDOWN(MIN(IF(OR(ISBLANK(I68),I68=""),EOMONTH(DATE(EINSTELLUNG!$C$35,$A$1,1),0),I68)-MAX(D68,DATE(EINSTELLUNG!$C$35,$A$1,1))+1)/DAY(EOMONTH(DATE(EINSTELLUNG!$C$35,$A$1,1),0))*F68,2),"")</f>
        <v/>
      </c>
      <c r="I68" s="49"/>
      <c r="J68" s="50"/>
      <c r="K68" s="152" t="str">
        <f t="shared" si="3"/>
        <v/>
      </c>
      <c r="L68" s="15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51"/>
      <c r="N68" s="74"/>
    </row>
    <row r="69" spans="1:14" ht="22" customHeight="1">
      <c r="A69" s="151" t="s">
        <v>140</v>
      </c>
      <c r="B69" s="102"/>
      <c r="C69" s="53"/>
      <c r="D69" s="57"/>
      <c r="E69" s="55"/>
      <c r="F69" s="56"/>
      <c r="G69" s="152" t="str">
        <f>IF(OR(E69="",F69=""),"",PID_KVLohnLookup($A$1,E69,F69,LOHNTABELLE!$H$4))</f>
        <v/>
      </c>
      <c r="H69" s="153" t="str">
        <f>IF(AND(ISNUMBER(D69),ISNUMBER(F69)),ROUNDDOWN(MIN(IF(OR(ISBLANK(I69),I69=""),EOMONTH(DATE(EINSTELLUNG!$C$35,$A$1,1),0),I69)-MAX(D69,DATE(EINSTELLUNG!$C$35,$A$1,1))+1)/DAY(EOMONTH(DATE(EINSTELLUNG!$C$35,$A$1,1),0))*F69,2),"")</f>
        <v/>
      </c>
      <c r="I69" s="57"/>
      <c r="J69" s="58"/>
      <c r="K69" s="152" t="str">
        <f t="shared" si="3"/>
        <v/>
      </c>
      <c r="L69" s="15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9"/>
      <c r="N69" s="75"/>
    </row>
    <row r="70" spans="1:14" ht="22" customHeight="1">
      <c r="A70" s="151" t="s">
        <v>141</v>
      </c>
      <c r="B70" s="101"/>
      <c r="C70" s="45"/>
      <c r="D70" s="49"/>
      <c r="E70" s="47"/>
      <c r="F70" s="48"/>
      <c r="G70" s="152" t="str">
        <f>IF(OR(E70="",F70=""),"",PID_KVLohnLookup($A$1,E70,F70,LOHNTABELLE!$H$4))</f>
        <v/>
      </c>
      <c r="H70" s="153" t="str">
        <f>IF(AND(ISNUMBER(D70),ISNUMBER(F70)),ROUNDDOWN(MIN(IF(OR(ISBLANK(I70),I70=""),EOMONTH(DATE(EINSTELLUNG!$C$35,$A$1,1),0),I70)-MAX(D70,DATE(EINSTELLUNG!$C$35,$A$1,1))+1)/DAY(EOMONTH(DATE(EINSTELLUNG!$C$35,$A$1,1),0))*F70,2),"")</f>
        <v/>
      </c>
      <c r="I70" s="49"/>
      <c r="J70" s="50"/>
      <c r="K70" s="152" t="str">
        <f t="shared" si="3"/>
        <v/>
      </c>
      <c r="L70" s="15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51"/>
      <c r="N70" s="74"/>
    </row>
    <row r="71" spans="1:14" ht="22" customHeight="1">
      <c r="A71" s="151" t="s">
        <v>142</v>
      </c>
      <c r="B71" s="102"/>
      <c r="C71" s="53"/>
      <c r="D71" s="57"/>
      <c r="E71" s="55"/>
      <c r="F71" s="56"/>
      <c r="G71" s="152" t="str">
        <f>IF(OR(E71="",F71=""),"",PID_KVLohnLookup($A$1,E71,F71,LOHNTABELLE!$H$4))</f>
        <v/>
      </c>
      <c r="H71" s="153" t="str">
        <f>IF(AND(ISNUMBER(D71),ISNUMBER(F71)),ROUNDDOWN(MIN(IF(OR(ISBLANK(I71),I71=""),EOMONTH(DATE(EINSTELLUNG!$C$35,$A$1,1),0),I71)-MAX(D71,DATE(EINSTELLUNG!$C$35,$A$1,1))+1)/DAY(EOMONTH(DATE(EINSTELLUNG!$C$35,$A$1,1),0))*F71,2),"")</f>
        <v/>
      </c>
      <c r="I71" s="57"/>
      <c r="J71" s="58"/>
      <c r="K71" s="152" t="str">
        <f t="shared" si="3"/>
        <v/>
      </c>
      <c r="L71" s="15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9"/>
      <c r="N71" s="75"/>
    </row>
    <row r="72" spans="1:14" ht="22" customHeight="1">
      <c r="A72" s="151" t="s">
        <v>143</v>
      </c>
      <c r="B72" s="101"/>
      <c r="C72" s="45"/>
      <c r="D72" s="49"/>
      <c r="E72" s="47"/>
      <c r="F72" s="48"/>
      <c r="G72" s="152" t="str">
        <f>IF(OR(E72="",F72=""),"",PID_KVLohnLookup($A$1,E72,F72,LOHNTABELLE!$H$4))</f>
        <v/>
      </c>
      <c r="H72" s="153" t="str">
        <f>IF(AND(ISNUMBER(D72),ISNUMBER(F72)),ROUNDDOWN(MIN(IF(OR(ISBLANK(I72),I72=""),EOMONTH(DATE(EINSTELLUNG!$C$35,$A$1,1),0),I72)-MAX(D72,DATE(EINSTELLUNG!$C$35,$A$1,1))+1)/DAY(EOMONTH(DATE(EINSTELLUNG!$C$35,$A$1,1),0))*F72,2),"")</f>
        <v/>
      </c>
      <c r="I72" s="49"/>
      <c r="J72" s="50"/>
      <c r="K72" s="152" t="str">
        <f t="shared" si="3"/>
        <v/>
      </c>
      <c r="L72" s="15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51"/>
      <c r="N72" s="74"/>
    </row>
    <row r="73" spans="1:14" ht="22" customHeight="1">
      <c r="A73" s="151" t="s">
        <v>144</v>
      </c>
      <c r="B73" s="102"/>
      <c r="C73" s="53"/>
      <c r="D73" s="57"/>
      <c r="E73" s="55"/>
      <c r="F73" s="56"/>
      <c r="G73" s="152" t="str">
        <f>IF(OR(E73="",F73=""),"",PID_KVLohnLookup($A$1,E73,F73,LOHNTABELLE!$H$4))</f>
        <v/>
      </c>
      <c r="H73" s="153" t="str">
        <f>IF(AND(ISNUMBER(D73),ISNUMBER(F73)),ROUNDDOWN(MIN(IF(OR(ISBLANK(I73),I73=""),EOMONTH(DATE(EINSTELLUNG!$C$35,$A$1,1),0),I73)-MAX(D73,DATE(EINSTELLUNG!$C$35,$A$1,1))+1)/DAY(EOMONTH(DATE(EINSTELLUNG!$C$35,$A$1,1),0))*F73,2),"")</f>
        <v/>
      </c>
      <c r="I73" s="57"/>
      <c r="J73" s="58"/>
      <c r="K73" s="152" t="str">
        <f t="shared" si="3"/>
        <v/>
      </c>
      <c r="L73" s="15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9"/>
      <c r="N73" s="75"/>
    </row>
    <row r="74" spans="1:14" ht="22" customHeight="1">
      <c r="A74" s="151" t="s">
        <v>145</v>
      </c>
      <c r="B74" s="101"/>
      <c r="C74" s="45"/>
      <c r="D74" s="49"/>
      <c r="E74" s="47"/>
      <c r="F74" s="48"/>
      <c r="G74" s="152" t="str">
        <f>IF(OR(E74="",F74=""),"",PID_KVLohnLookup($A$1,E74,F74,LOHNTABELLE!$H$4))</f>
        <v/>
      </c>
      <c r="H74" s="153" t="str">
        <f>IF(AND(ISNUMBER(D74),ISNUMBER(F74)),ROUNDDOWN(MIN(IF(OR(ISBLANK(I74),I74=""),EOMONTH(DATE(EINSTELLUNG!$C$35,$A$1,1),0),I74)-MAX(D74,DATE(EINSTELLUNG!$C$35,$A$1,1))+1)/DAY(EOMONTH(DATE(EINSTELLUNG!$C$35,$A$1,1),0))*F74,2),"")</f>
        <v/>
      </c>
      <c r="I74" s="49"/>
      <c r="J74" s="50"/>
      <c r="K74" s="152" t="str">
        <f t="shared" si="3"/>
        <v/>
      </c>
      <c r="L74" s="15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51"/>
      <c r="N74" s="74"/>
    </row>
    <row r="75" spans="1:14" ht="22" customHeight="1">
      <c r="A75" s="151" t="s">
        <v>146</v>
      </c>
      <c r="B75" s="102"/>
      <c r="C75" s="53"/>
      <c r="D75" s="57"/>
      <c r="E75" s="55"/>
      <c r="F75" s="56"/>
      <c r="G75" s="152" t="str">
        <f>IF(OR(E75="",F75=""),"",PID_KVLohnLookup($A$1,E75,F75,LOHNTABELLE!$H$4))</f>
        <v/>
      </c>
      <c r="H75" s="153" t="str">
        <f>IF(AND(ISNUMBER(D75),ISNUMBER(F75)),ROUNDDOWN(MIN(IF(OR(ISBLANK(I75),I75=""),EOMONTH(DATE(EINSTELLUNG!$C$35,$A$1,1),0),I75)-MAX(D75,DATE(EINSTELLUNG!$C$35,$A$1,1))+1)/DAY(EOMONTH(DATE(EINSTELLUNG!$C$35,$A$1,1),0))*F75,2),"")</f>
        <v/>
      </c>
      <c r="I75" s="57"/>
      <c r="J75" s="58"/>
      <c r="K75" s="152" t="str">
        <f t="shared" si="3"/>
        <v/>
      </c>
      <c r="L75" s="15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9"/>
      <c r="N75" s="75"/>
    </row>
    <row r="76" spans="1:14" ht="22" customHeight="1">
      <c r="A76" s="151" t="s">
        <v>147</v>
      </c>
      <c r="B76" s="101"/>
      <c r="C76" s="45"/>
      <c r="D76" s="49"/>
      <c r="E76" s="47"/>
      <c r="F76" s="48"/>
      <c r="G76" s="152" t="str">
        <f>IF(OR(E76="",F76=""),"",PID_KVLohnLookup($A$1,E76,F76,LOHNTABELLE!$H$4))</f>
        <v/>
      </c>
      <c r="H76" s="153" t="str">
        <f>IF(AND(ISNUMBER(D76),ISNUMBER(F76)),ROUNDDOWN(MIN(IF(OR(ISBLANK(I76),I76=""),EOMONTH(DATE(EINSTELLUNG!$C$35,$A$1,1),0),I76)-MAX(D76,DATE(EINSTELLUNG!$C$35,$A$1,1))+1)/DAY(EOMONTH(DATE(EINSTELLUNG!$C$35,$A$1,1),0))*F76,2),"")</f>
        <v/>
      </c>
      <c r="I76" s="49"/>
      <c r="J76" s="50"/>
      <c r="K76" s="152" t="str">
        <f t="shared" si="3"/>
        <v/>
      </c>
      <c r="L76" s="15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51"/>
      <c r="N76" s="74"/>
    </row>
    <row r="77" spans="1:14" ht="22" customHeight="1">
      <c r="A77" s="151" t="s">
        <v>148</v>
      </c>
      <c r="B77" s="102"/>
      <c r="C77" s="53"/>
      <c r="D77" s="57"/>
      <c r="E77" s="55"/>
      <c r="F77" s="56"/>
      <c r="G77" s="152" t="str">
        <f>IF(OR(E77="",F77=""),"",PID_KVLohnLookup($A$1,E77,F77,LOHNTABELLE!$H$4))</f>
        <v/>
      </c>
      <c r="H77" s="153" t="str">
        <f>IF(AND(ISNUMBER(D77),ISNUMBER(F77)),ROUNDDOWN(MIN(IF(OR(ISBLANK(I77),I77=""),EOMONTH(DATE(EINSTELLUNG!$C$35,$A$1,1),0),I77)-MAX(D77,DATE(EINSTELLUNG!$C$35,$A$1,1))+1)/DAY(EOMONTH(DATE(EINSTELLUNG!$C$35,$A$1,1),0))*F77,2),"")</f>
        <v/>
      </c>
      <c r="I77" s="57"/>
      <c r="J77" s="58"/>
      <c r="K77" s="152" t="str">
        <f t="shared" si="3"/>
        <v/>
      </c>
      <c r="L77" s="15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9"/>
      <c r="N77" s="75"/>
    </row>
    <row r="78" spans="1:14" ht="22" customHeight="1">
      <c r="A78" s="151" t="s">
        <v>149</v>
      </c>
      <c r="B78" s="101"/>
      <c r="C78" s="45"/>
      <c r="D78" s="49"/>
      <c r="E78" s="47"/>
      <c r="F78" s="48"/>
      <c r="G78" s="152" t="str">
        <f>IF(OR(E78="",F78=""),"",PID_KVLohnLookup($A$1,E78,F78,LOHNTABELLE!$H$4))</f>
        <v/>
      </c>
      <c r="H78" s="153" t="str">
        <f>IF(AND(ISNUMBER(D78),ISNUMBER(F78)),ROUNDDOWN(MIN(IF(OR(ISBLANK(I78),I78=""),EOMONTH(DATE(EINSTELLUNG!$C$35,$A$1,1),0),I78)-MAX(D78,DATE(EINSTELLUNG!$C$35,$A$1,1))+1)/DAY(EOMONTH(DATE(EINSTELLUNG!$C$35,$A$1,1),0))*F78,2),"")</f>
        <v/>
      </c>
      <c r="I78" s="49"/>
      <c r="J78" s="50"/>
      <c r="K78" s="152" t="str">
        <f t="shared" si="3"/>
        <v/>
      </c>
      <c r="L78" s="15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51"/>
      <c r="N78" s="74"/>
    </row>
    <row r="79" spans="1:14" ht="22" customHeight="1">
      <c r="A79" s="151" t="s">
        <v>150</v>
      </c>
      <c r="B79" s="102"/>
      <c r="C79" s="53"/>
      <c r="D79" s="57"/>
      <c r="E79" s="55"/>
      <c r="F79" s="56"/>
      <c r="G79" s="152" t="str">
        <f>IF(OR(E79="",F79=""),"",PID_KVLohnLookup($A$1,E79,F79,LOHNTABELLE!$H$4))</f>
        <v/>
      </c>
      <c r="H79" s="153" t="str">
        <f>IF(AND(ISNUMBER(D79),ISNUMBER(F79)),ROUNDDOWN(MIN(IF(OR(ISBLANK(I79),I79=""),EOMONTH(DATE(EINSTELLUNG!$C$35,$A$1,1),0),I79)-MAX(D79,DATE(EINSTELLUNG!$C$35,$A$1,1))+1)/DAY(EOMONTH(DATE(EINSTELLUNG!$C$35,$A$1,1),0))*F79,2),"")</f>
        <v/>
      </c>
      <c r="I79" s="57"/>
      <c r="J79" s="58"/>
      <c r="K79" s="152" t="str">
        <f t="shared" si="3"/>
        <v/>
      </c>
      <c r="L79" s="15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9"/>
      <c r="N79" s="75"/>
    </row>
    <row r="80" spans="1:14" ht="22" customHeight="1">
      <c r="A80" s="151" t="s">
        <v>151</v>
      </c>
      <c r="B80" s="101"/>
      <c r="C80" s="45"/>
      <c r="D80" s="49"/>
      <c r="E80" s="47"/>
      <c r="F80" s="48"/>
      <c r="G80" s="152" t="str">
        <f>IF(OR(E80="",F80=""),"",PID_KVLohnLookup($A$1,E80,F80,LOHNTABELLE!$H$4))</f>
        <v/>
      </c>
      <c r="H80" s="153" t="str">
        <f>IF(AND(ISNUMBER(D80),ISNUMBER(F80)),ROUNDDOWN(MIN(IF(OR(ISBLANK(I80),I80=""),EOMONTH(DATE(EINSTELLUNG!$C$35,$A$1,1),0),I80)-MAX(D80,DATE(EINSTELLUNG!$C$35,$A$1,1))+1)/DAY(EOMONTH(DATE(EINSTELLUNG!$C$35,$A$1,1),0))*F80,2),"")</f>
        <v/>
      </c>
      <c r="I80" s="49"/>
      <c r="J80" s="50"/>
      <c r="K80" s="152" t="str">
        <f t="shared" si="3"/>
        <v/>
      </c>
      <c r="L80" s="15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51"/>
      <c r="N80" s="74"/>
    </row>
    <row r="81" spans="1:14" ht="22" customHeight="1">
      <c r="A81" s="151" t="s">
        <v>152</v>
      </c>
      <c r="B81" s="102"/>
      <c r="C81" s="53"/>
      <c r="D81" s="57"/>
      <c r="E81" s="55"/>
      <c r="F81" s="56"/>
      <c r="G81" s="152" t="str">
        <f>IF(OR(E81="",F81=""),"",PID_KVLohnLookup($A$1,E81,F81,LOHNTABELLE!$H$4))</f>
        <v/>
      </c>
      <c r="H81" s="153" t="str">
        <f>IF(AND(ISNUMBER(D81),ISNUMBER(F81)),ROUNDDOWN(MIN(IF(OR(ISBLANK(I81),I81=""),EOMONTH(DATE(EINSTELLUNG!$C$35,$A$1,1),0),I81)-MAX(D81,DATE(EINSTELLUNG!$C$35,$A$1,1))+1)/DAY(EOMONTH(DATE(EINSTELLUNG!$C$35,$A$1,1),0))*F81,2),"")</f>
        <v/>
      </c>
      <c r="I81" s="57"/>
      <c r="J81" s="58"/>
      <c r="K81" s="152" t="str">
        <f t="shared" si="3"/>
        <v/>
      </c>
      <c r="L81" s="15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9"/>
      <c r="N81" s="75"/>
    </row>
    <row r="82" spans="1:14" ht="22" customHeight="1" thickBot="1">
      <c r="A82" s="165" t="s">
        <v>153</v>
      </c>
      <c r="B82" s="103"/>
      <c r="C82" s="62"/>
      <c r="D82" s="63"/>
      <c r="E82" s="64"/>
      <c r="F82" s="65"/>
      <c r="G82" s="166" t="str">
        <f>IF(OR(E82="",F82=""),"",PID_KVLohnLookup($A$1,E82,F82,LOHNTABELLE!$H$4))</f>
        <v/>
      </c>
      <c r="H82" s="159" t="str">
        <f>IF(AND(ISNUMBER(D82),ISNUMBER(F82)),ROUNDDOWN(MIN(IF(OR(ISBLANK(I82),I82=""),EOMONTH(DATE(EINSTELLUNG!$C$35,$A$1,1),0),I82)-MAX(D82,DATE(EINSTELLUNG!$C$35,$A$1,1))+1)/DAY(EOMONTH(DATE(EINSTELLUNG!$C$35,$A$1,1),0))*F82,2),"")</f>
        <v/>
      </c>
      <c r="I82" s="63"/>
      <c r="J82" s="66"/>
      <c r="K82" s="166" t="str">
        <f t="shared" si="3"/>
        <v/>
      </c>
      <c r="L82" s="16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7"/>
      <c r="N82" s="78"/>
    </row>
    <row r="83" spans="1:14" ht="16" customHeight="1">
      <c r="A83" s="168"/>
      <c r="B83" s="168"/>
    </row>
    <row r="100" spans="26:26" ht="16" customHeight="1">
      <c r="Z100" s="142"/>
    </row>
  </sheetData>
  <sheetProtection algorithmName="SHA-512" hashValue="Bix6StBRa1htk63XuaSR9WGvvoisd3idHlexdqLhfI2bTKfMFEgertb6YGNkJEFI4XJp7wfBX9B6GJWvIgbvSA==" saltValue="RvbzqY7BrCIj4cTkuFg6gA==" spinCount="100000" sheet="1" objects="1" scenarios="1" sort="0"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717CF47F-6F63-174B-89D5-FBFB8892FCCE}">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C8578976-A194-294C-9DBB-491A4EFA82C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7AAA925-8277-4048-B3FD-A9439DBA26C9}">
          <x14:formula1>
            <xm:f>KV_DROPDOWN_HELPER!$AJY$1:$AJY$12</xm:f>
          </x14:formula1>
          <xm:sqref>E3:E82</xm:sqref>
        </x14:dataValidation>
        <x14:dataValidation type="list" allowBlank="1" showInputMessage="1" showErrorMessage="1" xr:uid="{0E268F3C-2679-A148-9A73-D6C635BAF714}">
          <x14:formula1>
            <xm:f>KV_DROPDOWN_HELPER!$UP$1:$UP$13</xm:f>
          </x14:formula1>
          <xm:sqref>F4 F7</xm:sqref>
        </x14:dataValidation>
        <x14:dataValidation type="list" allowBlank="1" showInputMessage="1" showErrorMessage="1" xr:uid="{6C2114E8-D67A-B34C-8950-9BF09EAF5002}">
          <x14:formula1>
            <xm:f>KV_DROPDOWN_HELPER!$UQ$1:$UQ$13</xm:f>
          </x14:formula1>
          <xm:sqref>F6 F8 F9 F10 F13 F18 F58</xm:sqref>
        </x14:dataValidation>
        <x14:dataValidation type="list" allowBlank="1" showInputMessage="1" showErrorMessage="1" xr:uid="{BDB044CB-8A06-AC4A-B816-8E156E0CB47C}">
          <x14:formula1>
            <xm:f>KV_DROPDOWN_HELPER!$UR$1:$UR$13</xm:f>
          </x14:formula1>
          <xm:sqref>F15 F22 F25 F27</xm:sqref>
        </x14:dataValidation>
        <x14:dataValidation type="list" allowBlank="1" showInputMessage="1" showErrorMessage="1" xr:uid="{D40A1B68-1553-114A-98F1-176F6BE8BC14}">
          <x14:formula1>
            <xm:f>KV_DROPDOWN_HELPER!$UT$1:$UT$13</xm:f>
          </x14:formula1>
          <xm:sqref>F21</xm:sqref>
        </x14:dataValidation>
        <x14:dataValidation type="list" allowBlank="1" showInputMessage="1" showErrorMessage="1" xr:uid="{54453507-4C72-AE40-809E-BAB1DE4526AC}">
          <x14:formula1>
            <xm:f>KV_DROPDOWN_HELPER!$UU$1:$UU$13</xm:f>
          </x14:formula1>
          <xm:sqref>F63 F64 F65 F66 F67 F68 F69 F70 F71 F72 F73 F74 F75 F76 F77 F78 F79 F80 F81 F82</xm:sqref>
        </x14:dataValidation>
        <x14:dataValidation type="list" allowBlank="1" showInputMessage="1" showErrorMessage="1" xr:uid="{B614A0DF-855E-40CB-A12D-09AFC0F3561C}">
          <x14:formula1>
            <xm:f>KV_DROPDOWN_HELPER!$UO$1:$UO$18</xm:f>
          </x14:formula1>
          <xm:sqref>F3 F5 F11 F12 F14 F16 F19 F20 F23 F24 F26 F28 F29 F30 F31 F32 F33 F34 F35 F36 F37 F38 F39 F40 F41 F42 F43 F44 F45 F46 F47 F48 F49 F50 F51 F52 F53 F54 F55 F56 F57 F59 F60 F61 F62</xm:sqref>
        </x14:dataValidation>
        <x14:dataValidation type="list" allowBlank="1" showInputMessage="1" showErrorMessage="1" xr:uid="{737416DE-2E39-4096-A760-1E07B7EF4BBA}">
          <x14:formula1>
            <xm:f>KV_DROPDOWN_HELPER!$US$1:$US$13</xm:f>
          </x14:formula1>
          <xm:sqref>F17</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50326F-DE46-4259-A651-5F915B6F5B71}">
  <sheetPr codeName="Tabelle11"/>
  <dimension ref="A1:AC100"/>
  <sheetViews>
    <sheetView showGridLines="0" showRowColHeaders="0" zoomScaleNormal="100" workbookViewId="0">
      <pane ySplit="2" topLeftCell="A3" activePane="bottomLeft" state="frozen"/>
      <selection activeCell="T24" sqref="T24"/>
      <selection pane="bottomLeft" activeCell="N12" sqref="N12"/>
    </sheetView>
  </sheetViews>
  <sheetFormatPr baseColWidth="10" defaultColWidth="9.1796875" defaultRowHeight="16" customHeight="1"/>
  <cols>
    <col min="1" max="1" width="4.453125" style="169" customWidth="1"/>
    <col min="2" max="2" width="9.1796875" style="169" customWidth="1"/>
    <col min="3" max="3" width="35.6328125" style="141" customWidth="1"/>
    <col min="4" max="4" width="13.6328125" style="141" customWidth="1"/>
    <col min="5" max="5" width="9.6328125" style="141" customWidth="1"/>
    <col min="6" max="6" width="10.6328125" style="141" customWidth="1"/>
    <col min="7" max="7" width="13.6328125" style="141" customWidth="1"/>
    <col min="8" max="8" width="11.6328125" style="141" customWidth="1"/>
    <col min="9" max="10" width="13.6328125" style="141" customWidth="1"/>
    <col min="11" max="11" width="14.6328125" style="141" customWidth="1"/>
    <col min="12" max="12" width="14.6328125" style="162" customWidth="1"/>
    <col min="13" max="13" width="17.81640625" style="141" customWidth="1"/>
    <col min="14" max="14" width="34.6328125" style="141" customWidth="1"/>
    <col min="15" max="15" width="12.6328125" style="141" customWidth="1"/>
    <col min="16" max="16" width="16.6328125" style="141" customWidth="1"/>
    <col min="17" max="17" width="14.6328125" style="141" customWidth="1"/>
    <col min="18" max="18" width="13.6328125" style="141" customWidth="1"/>
    <col min="19" max="19" width="9.6328125" style="141" customWidth="1"/>
    <col min="20" max="20" width="10.6328125" style="141" customWidth="1"/>
    <col min="21" max="21" width="7.6328125" style="141" customWidth="1"/>
    <col min="22" max="27" width="9.1796875" style="141"/>
    <col min="28" max="28" width="10.6328125" style="141" bestFit="1" customWidth="1"/>
    <col min="29" max="16384" width="9.1796875" style="141"/>
  </cols>
  <sheetData>
    <row r="1" spans="1:28" ht="18" customHeight="1">
      <c r="A1" s="301">
        <v>9</v>
      </c>
      <c r="B1" s="304" t="s">
        <v>180</v>
      </c>
      <c r="C1" s="280" t="s">
        <v>39</v>
      </c>
      <c r="D1" s="280" t="s">
        <v>181</v>
      </c>
      <c r="E1" s="280" t="s">
        <v>0</v>
      </c>
      <c r="F1" s="280" t="s">
        <v>40</v>
      </c>
      <c r="G1" s="280" t="s">
        <v>41</v>
      </c>
      <c r="H1" s="280" t="s">
        <v>42</v>
      </c>
      <c r="I1" s="280" t="s">
        <v>182</v>
      </c>
      <c r="J1" s="280" t="s">
        <v>43</v>
      </c>
      <c r="K1" s="280" t="s">
        <v>44</v>
      </c>
      <c r="L1" s="280" t="s">
        <v>45</v>
      </c>
      <c r="M1" s="280" t="s">
        <v>46</v>
      </c>
      <c r="N1" s="282" t="s">
        <v>183</v>
      </c>
      <c r="AB1" s="143">
        <f>DATE(EINSTELLUNG!$C$35,$A$1,1)</f>
        <v>46266</v>
      </c>
    </row>
    <row r="2" spans="1:28" ht="18" customHeight="1" thickBot="1">
      <c r="A2" s="287"/>
      <c r="B2" s="305"/>
      <c r="C2" s="294"/>
      <c r="D2" s="294"/>
      <c r="E2" s="294"/>
      <c r="F2" s="294"/>
      <c r="G2" s="294"/>
      <c r="H2" s="294"/>
      <c r="I2" s="294"/>
      <c r="J2" s="294"/>
      <c r="K2" s="294"/>
      <c r="L2" s="294"/>
      <c r="M2" s="294"/>
      <c r="N2" s="298"/>
      <c r="O2" s="144"/>
      <c r="P2" s="144"/>
      <c r="Q2" s="144"/>
      <c r="S2" s="208" t="s">
        <v>394</v>
      </c>
      <c r="T2" s="208"/>
      <c r="U2" s="208"/>
      <c r="V2" s="208"/>
      <c r="AB2" s="143">
        <f>EOMONTH(DATE(EINSTELLUNG!$C$35,$A$1,1),0)</f>
        <v>46295</v>
      </c>
    </row>
    <row r="3" spans="1:28" ht="22" customHeight="1">
      <c r="A3" s="145" t="s">
        <v>401</v>
      </c>
      <c r="B3" s="100">
        <v>401010</v>
      </c>
      <c r="C3" s="37" t="s">
        <v>224</v>
      </c>
      <c r="D3" s="38">
        <v>39388</v>
      </c>
      <c r="E3" s="39" t="s">
        <v>2</v>
      </c>
      <c r="F3" s="68">
        <v>169</v>
      </c>
      <c r="G3" s="146">
        <f>IF(OR(E3="",F3=""),"",PID_KVLohnLookup($A$1,E3,F3,LOHNTABELLE!$H$4))</f>
        <v>2000</v>
      </c>
      <c r="H3" s="147">
        <f>IF(AND(ISNUMBER(D3),ISNUMBER(F3)),ROUNDDOWN(MIN(IF(OR(ISBLANK(I3),I3=""),EOMONTH(DATE(EINSTELLUNG!$C$35,$A$1,1),0),I3)-MAX(D3,DATE(EINSTELLUNG!$C$35,$A$1,1))+1)/DAY(EOMONTH(DATE(EINSTELLUNG!$C$35,$A$1,1),0))*F3,2),"")</f>
        <v>169</v>
      </c>
      <c r="I3" s="41"/>
      <c r="J3" s="42"/>
      <c r="K3" s="146">
        <f t="shared" ref="K3:K34" si="0">IF(OR(B3="",C3=""),"",IFERROR(IF(OR(MONTH(D3)=1,MONTH(D3)=3,MONTH(D3)=5,MONTH(D3)=7,MONTH(D3)=8,MONTH(D3)=10,MONTH(D3)=12),(G3/31)*J3,IF(OR(MONTH(D3)=4,MONTH(D3)=6,MONTH(D3)=9,MONTH(D3)=11),(G3/30)*J3,(G3/DAY(EOMONTH(D3,0)))*J3)),0))</f>
        <v>0</v>
      </c>
      <c r="L3" s="14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3"/>
      <c r="N3" s="73"/>
      <c r="O3" s="236" t="s">
        <v>47</v>
      </c>
      <c r="P3" s="236" t="s">
        <v>48</v>
      </c>
      <c r="Q3" s="236" t="s">
        <v>49</v>
      </c>
      <c r="R3" s="272" t="s">
        <v>50</v>
      </c>
      <c r="S3" s="149"/>
      <c r="T3" s="149"/>
      <c r="U3" s="149"/>
      <c r="V3" s="149"/>
      <c r="AB3" s="150"/>
    </row>
    <row r="4" spans="1:28" ht="22" customHeight="1">
      <c r="A4" s="151" t="s">
        <v>51</v>
      </c>
      <c r="B4" s="101">
        <v>401049</v>
      </c>
      <c r="C4" s="45" t="s">
        <v>225</v>
      </c>
      <c r="D4" s="46">
        <v>41130</v>
      </c>
      <c r="E4" s="47" t="s">
        <v>4</v>
      </c>
      <c r="F4" s="48">
        <v>173</v>
      </c>
      <c r="G4" s="152">
        <f>IF(OR(E4="",F4=""),"",PID_KVLohnLookup($A$1,E4,F4,LOHNTABELLE!$H$4))</f>
        <v>2123</v>
      </c>
      <c r="H4" s="153">
        <f>IF(AND(ISNUMBER(D4),ISNUMBER(F4)),ROUNDDOWN(MIN(IF(OR(ISBLANK(I4),I4=""),EOMONTH(DATE(EINSTELLUNG!$C$35,$A$1,1),0),I4)-MAX(D4,DATE(EINSTELLUNG!$C$35,$A$1,1))+1)/DAY(EOMONTH(DATE(EINSTELLUNG!$C$35,$A$1,1),0))*F4,2),"")</f>
        <v>173</v>
      </c>
      <c r="I4" s="49"/>
      <c r="J4" s="50"/>
      <c r="K4" s="152">
        <f t="shared" si="0"/>
        <v>0</v>
      </c>
      <c r="L4" s="15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51"/>
      <c r="N4" s="74"/>
      <c r="O4" s="237"/>
      <c r="P4" s="237"/>
      <c r="Q4" s="237"/>
      <c r="R4" s="273"/>
      <c r="S4" s="149"/>
      <c r="T4" s="149"/>
      <c r="U4" s="149"/>
      <c r="V4" s="149"/>
    </row>
    <row r="5" spans="1:28" ht="22" customHeight="1">
      <c r="A5" s="151" t="s">
        <v>52</v>
      </c>
      <c r="B5" s="102">
        <v>401051</v>
      </c>
      <c r="C5" s="53" t="s">
        <v>227</v>
      </c>
      <c r="D5" s="54">
        <v>41176</v>
      </c>
      <c r="E5" s="55" t="s">
        <v>2</v>
      </c>
      <c r="F5" s="56">
        <v>173</v>
      </c>
      <c r="G5" s="152">
        <f>IF(OR(E5="",F5=""),"",PID_KVLohnLookup($A$1,E5,F5,LOHNTABELLE!$H$4))</f>
        <v>2900</v>
      </c>
      <c r="H5" s="153">
        <f>IF(AND(ISNUMBER(D5),ISNUMBER(F5)),ROUNDDOWN(MIN(IF(OR(ISBLANK(I5),I5=""),EOMONTH(DATE(EINSTELLUNG!$C$35,$A$1,1),0),I5)-MAX(D5,DATE(EINSTELLUNG!$C$35,$A$1,1))+1)/DAY(EOMONTH(DATE(EINSTELLUNG!$C$35,$A$1,1),0))*F5,2),"")</f>
        <v>173</v>
      </c>
      <c r="I5" s="57"/>
      <c r="J5" s="58"/>
      <c r="K5" s="152">
        <f t="shared" si="0"/>
        <v>0</v>
      </c>
      <c r="L5" s="15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9"/>
      <c r="N5" s="75"/>
      <c r="O5" s="155" cm="1">
        <f t="array" ref="O5">SUMPRODUCT((F3:F82/4.310808)/5*2.08)</f>
        <v>836.65465963689394</v>
      </c>
      <c r="P5" s="156">
        <f>EINSTELLUNG!I14</f>
        <v>600</v>
      </c>
      <c r="Q5" s="156">
        <f>P5-O5</f>
        <v>-236.65465963689394</v>
      </c>
      <c r="R5" s="157">
        <f>IFERROR(Q5*Q42, 0)</f>
        <v>-3898.7300740369892</v>
      </c>
      <c r="S5" s="149"/>
      <c r="T5" s="149"/>
      <c r="U5" s="149"/>
      <c r="V5" s="149"/>
    </row>
    <row r="6" spans="1:28" ht="22" customHeight="1">
      <c r="A6" s="151" t="s">
        <v>53</v>
      </c>
      <c r="B6" s="101">
        <v>401089</v>
      </c>
      <c r="C6" s="45" t="s">
        <v>241</v>
      </c>
      <c r="D6" s="46">
        <v>44868</v>
      </c>
      <c r="E6" s="47" t="s">
        <v>3</v>
      </c>
      <c r="F6" s="48">
        <v>173</v>
      </c>
      <c r="G6" s="152">
        <f>IF(OR(E6="",F6=""),"",PID_KVLohnLookup($A$1,E6,F6,LOHNTABELLE!$H$4))</f>
        <v>2082</v>
      </c>
      <c r="H6" s="153">
        <f>IF(AND(ISNUMBER(D6),ISNUMBER(F6)),ROUNDDOWN(MIN(IF(OR(ISBLANK(I6),I6=""),EOMONTH(DATE(EINSTELLUNG!$C$35,$A$1,1),0),I6)-MAX(D6,DATE(EINSTELLUNG!$C$35,$A$1,1))+1)/DAY(EOMONTH(DATE(EINSTELLUNG!$C$35,$A$1,1),0))*F6,2),"")</f>
        <v>173</v>
      </c>
      <c r="I6" s="49"/>
      <c r="J6" s="50"/>
      <c r="K6" s="152">
        <f t="shared" si="0"/>
        <v>0</v>
      </c>
      <c r="L6" s="15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51"/>
      <c r="N6" s="74"/>
      <c r="O6" s="266" t="str">
        <f>IF(Q5&lt;0, "Schlecht! Zu wenig Urlaub abgebaut.", IF(Q5&gt;0, "Gut! Mehr Urlaub abgebaut als aufgebaut.", ""))</f>
        <v>Schlecht! Zu wenig Urlaub abgebaut.</v>
      </c>
      <c r="P6" s="267"/>
      <c r="Q6" s="267"/>
      <c r="R6" s="268"/>
      <c r="S6" s="149"/>
      <c r="T6" s="149"/>
      <c r="U6" s="149"/>
      <c r="V6" s="149"/>
    </row>
    <row r="7" spans="1:28" ht="22" customHeight="1" thickBot="1">
      <c r="A7" s="151" t="s">
        <v>54</v>
      </c>
      <c r="B7" s="102">
        <v>401138</v>
      </c>
      <c r="C7" s="53" t="s">
        <v>228</v>
      </c>
      <c r="D7" s="54">
        <v>42006</v>
      </c>
      <c r="E7" s="55" t="s">
        <v>4</v>
      </c>
      <c r="F7" s="56">
        <v>173</v>
      </c>
      <c r="G7" s="152">
        <f>IF(OR(E7="",F7=""),"",PID_KVLohnLookup($A$1,E7,F7,LOHNTABELLE!$H$4))</f>
        <v>2123</v>
      </c>
      <c r="H7" s="153">
        <f>IF(AND(ISNUMBER(D7),ISNUMBER(F7)),ROUNDDOWN(MIN(IF(OR(ISBLANK(I7),I7=""),EOMONTH(DATE(EINSTELLUNG!$C$35,$A$1,1),0),I7)-MAX(D7,DATE(EINSTELLUNG!$C$35,$A$1,1))+1)/DAY(EOMONTH(DATE(EINSTELLUNG!$C$35,$A$1,1),0))*F7,2),"")</f>
        <v>173</v>
      </c>
      <c r="I7" s="57"/>
      <c r="J7" s="58"/>
      <c r="K7" s="152">
        <f t="shared" si="0"/>
        <v>0</v>
      </c>
      <c r="L7" s="15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9"/>
      <c r="N7" s="75"/>
      <c r="O7" s="149"/>
      <c r="P7" s="149"/>
      <c r="Q7" s="149"/>
      <c r="R7" s="149"/>
      <c r="S7" s="149"/>
      <c r="T7" s="149"/>
      <c r="U7" s="149"/>
      <c r="V7" s="149"/>
    </row>
    <row r="8" spans="1:28" ht="22" customHeight="1">
      <c r="A8" s="151" t="s">
        <v>55</v>
      </c>
      <c r="B8" s="101">
        <v>401197</v>
      </c>
      <c r="C8" s="45" t="s">
        <v>229</v>
      </c>
      <c r="D8" s="46">
        <v>42644</v>
      </c>
      <c r="E8" s="47" t="s">
        <v>3</v>
      </c>
      <c r="F8" s="48">
        <v>173</v>
      </c>
      <c r="G8" s="152">
        <f>IF(OR(E8="",F8=""),"",PID_KVLohnLookup($A$1,E8,F8,LOHNTABELLE!$H$4))</f>
        <v>2082</v>
      </c>
      <c r="H8" s="153">
        <f>IF(AND(ISNUMBER(D8),ISNUMBER(F8)),ROUNDDOWN(MIN(IF(OR(ISBLANK(I8),I8=""),EOMONTH(DATE(EINSTELLUNG!$C$35,$A$1,1),0),I8)-MAX(D8,DATE(EINSTELLUNG!$C$35,$A$1,1))+1)/DAY(EOMONTH(DATE(EINSTELLUNG!$C$35,$A$1,1),0))*F8,2),"")</f>
        <v>173</v>
      </c>
      <c r="I8" s="49"/>
      <c r="J8" s="50"/>
      <c r="K8" s="152">
        <f t="shared" si="0"/>
        <v>0</v>
      </c>
      <c r="L8" s="15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51"/>
      <c r="N8" s="74"/>
      <c r="O8" s="250" t="s">
        <v>56</v>
      </c>
      <c r="P8" s="251"/>
      <c r="Q8" s="252">
        <f>SUM(H3:H82)</f>
        <v>8554.5099999999984</v>
      </c>
      <c r="R8" s="253"/>
      <c r="S8" s="149"/>
      <c r="T8" s="149"/>
      <c r="U8" s="149"/>
      <c r="V8" s="149"/>
    </row>
    <row r="9" spans="1:28" ht="22" customHeight="1">
      <c r="A9" s="151" t="s">
        <v>57</v>
      </c>
      <c r="B9" s="102">
        <v>401214</v>
      </c>
      <c r="C9" s="53" t="s">
        <v>255</v>
      </c>
      <c r="D9" s="54">
        <v>45636</v>
      </c>
      <c r="E9" s="55" t="s">
        <v>3</v>
      </c>
      <c r="F9" s="56">
        <v>173</v>
      </c>
      <c r="G9" s="152">
        <f>IF(OR(E9="",F9=""),"",PID_KVLohnLookup($A$1,E9,F9,LOHNTABELLE!$H$4))</f>
        <v>2082</v>
      </c>
      <c r="H9" s="153">
        <f>IF(AND(ISNUMBER(D9),ISNUMBER(F9)),ROUNDDOWN(MIN(IF(OR(ISBLANK(I9),I9=""),EOMONTH(DATE(EINSTELLUNG!$C$35,$A$1,1),0),I9)-MAX(D9,DATE(EINSTELLUNG!$C$35,$A$1,1))+1)/DAY(EOMONTH(DATE(EINSTELLUNG!$C$35,$A$1,1),0))*F9,2),"")</f>
        <v>173</v>
      </c>
      <c r="I9" s="57"/>
      <c r="J9" s="58"/>
      <c r="K9" s="152">
        <f t="shared" si="0"/>
        <v>0</v>
      </c>
      <c r="L9" s="15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9"/>
      <c r="N9" s="75"/>
      <c r="O9" s="254" t="s">
        <v>58</v>
      </c>
      <c r="P9" s="255"/>
      <c r="Q9" s="269">
        <f>EINSTELLUNG!L30</f>
        <v>9</v>
      </c>
      <c r="R9" s="270"/>
      <c r="S9" s="158">
        <f>IFERROR(Q9/Q8, 0)</f>
        <v>1.0520766239094936E-3</v>
      </c>
      <c r="T9" s="149"/>
      <c r="U9" s="149"/>
      <c r="V9" s="149"/>
    </row>
    <row r="10" spans="1:28" ht="22" customHeight="1">
      <c r="A10" s="151" t="s">
        <v>59</v>
      </c>
      <c r="B10" s="101">
        <v>401276</v>
      </c>
      <c r="C10" s="45" t="s">
        <v>230</v>
      </c>
      <c r="D10" s="46">
        <v>43252</v>
      </c>
      <c r="E10" s="47" t="s">
        <v>3</v>
      </c>
      <c r="F10" s="48">
        <v>173</v>
      </c>
      <c r="G10" s="152">
        <f>IF(OR(E10="",F10=""),"",PID_KVLohnLookup($A$1,E10,F10,LOHNTABELLE!$H$4))</f>
        <v>2082</v>
      </c>
      <c r="H10" s="153">
        <f>IF(AND(ISNUMBER(D10),ISNUMBER(F10)),ROUNDDOWN(MIN(IF(OR(ISBLANK(I10),I10=""),EOMONTH(DATE(EINSTELLUNG!$C$35,$A$1,1),0),I10)-MAX(D10,DATE(EINSTELLUNG!$C$35,$A$1,1))+1)/DAY(EOMONTH(DATE(EINSTELLUNG!$C$35,$A$1,1),0))*F10,2),"")</f>
        <v>173</v>
      </c>
      <c r="I10" s="49"/>
      <c r="J10" s="50"/>
      <c r="K10" s="152">
        <f t="shared" si="0"/>
        <v>0</v>
      </c>
      <c r="L10" s="15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51"/>
      <c r="N10" s="74"/>
      <c r="O10" s="254" t="s">
        <v>60</v>
      </c>
      <c r="P10" s="255"/>
      <c r="Q10" s="269">
        <f>EINSTELLUNG!I30</f>
        <v>0</v>
      </c>
      <c r="R10" s="270"/>
      <c r="S10" s="149"/>
      <c r="T10" s="149"/>
      <c r="U10" s="149"/>
      <c r="V10" s="149"/>
    </row>
    <row r="11" spans="1:28" ht="22" customHeight="1">
      <c r="A11" s="151" t="s">
        <v>61</v>
      </c>
      <c r="B11" s="102">
        <v>401276</v>
      </c>
      <c r="C11" s="53" t="s">
        <v>406</v>
      </c>
      <c r="D11" s="54">
        <v>38899</v>
      </c>
      <c r="E11" s="55" t="s">
        <v>2</v>
      </c>
      <c r="F11" s="56">
        <v>55</v>
      </c>
      <c r="G11" s="152">
        <f>IF(OR(E11="",F11=""),"",PID_KVLohnLookup($A$1,E11,F11,LOHNTABELLE!$H$4))</f>
        <v>666</v>
      </c>
      <c r="H11" s="153">
        <f>IF(AND(ISNUMBER(D11),ISNUMBER(F11)),ROUNDDOWN(MIN(IF(OR(ISBLANK(I11),I11=""),EOMONTH(DATE(EINSTELLUNG!$C$35,$A$1,1),0),I11)-MAX(D11,DATE(EINSTELLUNG!$C$35,$A$1,1))+1)/DAY(EOMONTH(DATE(EINSTELLUNG!$C$35,$A$1,1),0))*F11,2),"")</f>
        <v>55</v>
      </c>
      <c r="I11" s="57"/>
      <c r="J11" s="58"/>
      <c r="K11" s="152">
        <f t="shared" si="0"/>
        <v>0</v>
      </c>
      <c r="L11" s="15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9"/>
      <c r="N11" s="75"/>
      <c r="O11" s="254" t="s">
        <v>62</v>
      </c>
      <c r="P11" s="255"/>
      <c r="Q11" s="269">
        <f>P5</f>
        <v>600</v>
      </c>
      <c r="R11" s="270"/>
      <c r="S11" s="149"/>
      <c r="T11" s="149"/>
      <c r="U11" s="149"/>
      <c r="V11" s="149"/>
    </row>
    <row r="12" spans="1:28" ht="22" customHeight="1">
      <c r="A12" s="151" t="s">
        <v>63</v>
      </c>
      <c r="B12" s="101">
        <v>401307</v>
      </c>
      <c r="C12" s="45" t="s">
        <v>231</v>
      </c>
      <c r="D12" s="46">
        <v>43571</v>
      </c>
      <c r="E12" s="47" t="s">
        <v>2</v>
      </c>
      <c r="F12" s="48">
        <v>55</v>
      </c>
      <c r="G12" s="152">
        <f>IF(OR(E12="",F12=""),"",PID_KVLohnLookup($A$1,E12,F12,LOHNTABELLE!$H$4))</f>
        <v>666</v>
      </c>
      <c r="H12" s="153">
        <f>IF(AND(ISNUMBER(D12),ISNUMBER(F12)),ROUNDDOWN(MIN(IF(OR(ISBLANK(I12),I12=""),EOMONTH(DATE(EINSTELLUNG!$C$35,$A$1,1),0),I12)-MAX(D12,DATE(EINSTELLUNG!$C$35,$A$1,1))+1)/DAY(EOMONTH(DATE(EINSTELLUNG!$C$35,$A$1,1),0))*F12,2),"")</f>
        <v>55</v>
      </c>
      <c r="I12" s="49"/>
      <c r="J12" s="50"/>
      <c r="K12" s="152">
        <f t="shared" si="0"/>
        <v>0</v>
      </c>
      <c r="L12" s="15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51"/>
      <c r="N12" s="74"/>
      <c r="O12" s="254" t="s">
        <v>64</v>
      </c>
      <c r="P12" s="255"/>
      <c r="Q12" s="258">
        <v>167</v>
      </c>
      <c r="R12" s="259"/>
      <c r="S12" s="149"/>
      <c r="T12" s="149"/>
      <c r="U12" s="149"/>
      <c r="V12" s="149"/>
    </row>
    <row r="13" spans="1:28" ht="22" customHeight="1">
      <c r="A13" s="151" t="s">
        <v>65</v>
      </c>
      <c r="B13" s="102">
        <v>401308</v>
      </c>
      <c r="C13" s="53" t="s">
        <v>232</v>
      </c>
      <c r="D13" s="54">
        <v>43579</v>
      </c>
      <c r="E13" s="55" t="s">
        <v>3</v>
      </c>
      <c r="F13" s="56">
        <v>173</v>
      </c>
      <c r="G13" s="152">
        <f>IF(OR(E13="",F13=""),"",PID_KVLohnLookup($A$1,E13,F13,LOHNTABELLE!$H$4))</f>
        <v>2082</v>
      </c>
      <c r="H13" s="153">
        <f>IF(AND(ISNUMBER(D13),ISNUMBER(F13)),ROUNDDOWN(MIN(IF(OR(ISBLANK(I13),I13=""),EOMONTH(DATE(EINSTELLUNG!$C$35,$A$1,1),0),I13)-MAX(D13,DATE(EINSTELLUNG!$C$35,$A$1,1))+1)/DAY(EOMONTH(DATE(EINSTELLUNG!$C$35,$A$1,1),0))*F13,2),"")</f>
        <v>173</v>
      </c>
      <c r="I13" s="57"/>
      <c r="J13" s="58"/>
      <c r="K13" s="152">
        <f t="shared" si="0"/>
        <v>0</v>
      </c>
      <c r="L13" s="15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9"/>
      <c r="N13" s="75"/>
      <c r="O13" s="254" t="s">
        <v>66</v>
      </c>
      <c r="P13" s="255"/>
      <c r="Q13" s="269">
        <f>Q8-Q9-Q10-Q11-Q12</f>
        <v>7778.5099999999984</v>
      </c>
      <c r="R13" s="270"/>
      <c r="S13" s="149"/>
      <c r="T13" s="149"/>
      <c r="U13" s="149"/>
      <c r="V13" s="149"/>
    </row>
    <row r="14" spans="1:28" ht="22" customHeight="1">
      <c r="A14" s="151" t="s">
        <v>67</v>
      </c>
      <c r="B14" s="101">
        <v>401394</v>
      </c>
      <c r="C14" s="45" t="s">
        <v>233</v>
      </c>
      <c r="D14" s="46">
        <v>44379</v>
      </c>
      <c r="E14" s="47" t="s">
        <v>2</v>
      </c>
      <c r="F14" s="48">
        <v>173</v>
      </c>
      <c r="G14" s="152">
        <f>IF(OR(E14="",F14=""),"",PID_KVLohnLookup($A$1,E14,F14,LOHNTABELLE!$H$4))</f>
        <v>2900</v>
      </c>
      <c r="H14" s="153">
        <f>IF(AND(ISNUMBER(D14),ISNUMBER(F14)),ROUNDDOWN(MIN(IF(OR(ISBLANK(I14),I14=""),EOMONTH(DATE(EINSTELLUNG!$C$35,$A$1,1),0),I14)-MAX(D14,DATE(EINSTELLUNG!$C$35,$A$1,1))+1)/DAY(EOMONTH(DATE(EINSTELLUNG!$C$35,$A$1,1),0))*F14,2),"")</f>
        <v>173</v>
      </c>
      <c r="I14" s="49"/>
      <c r="J14" s="50"/>
      <c r="K14" s="152">
        <f t="shared" si="0"/>
        <v>0</v>
      </c>
      <c r="L14" s="15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51"/>
      <c r="N14" s="74"/>
      <c r="O14" s="254" t="s">
        <v>68</v>
      </c>
      <c r="P14" s="255"/>
      <c r="Q14" s="269">
        <f>EINSTELLUNG!L14</f>
        <v>9300</v>
      </c>
      <c r="R14" s="270"/>
      <c r="S14" s="149"/>
      <c r="T14" s="149"/>
      <c r="U14" s="149"/>
      <c r="V14" s="149"/>
    </row>
    <row r="15" spans="1:28" ht="22" customHeight="1" thickBot="1">
      <c r="A15" s="151" t="s">
        <v>69</v>
      </c>
      <c r="B15" s="102">
        <v>401406</v>
      </c>
      <c r="C15" s="53" t="s">
        <v>407</v>
      </c>
      <c r="D15" s="54">
        <v>36850</v>
      </c>
      <c r="E15" s="55" t="s">
        <v>10</v>
      </c>
      <c r="F15" s="56">
        <v>151.38</v>
      </c>
      <c r="G15" s="152">
        <f>IF(OR(E15="",F15=""),"",PID_KVLohnLookup($A$1,E15,F15,LOHNTABELLE!$H$4))</f>
        <v>2012.5</v>
      </c>
      <c r="H15" s="153">
        <f>IF(AND(ISNUMBER(D15),ISNUMBER(F15)),ROUNDDOWN(MIN(IF(OR(ISBLANK(I15),I15=""),EOMONTH(DATE(EINSTELLUNG!$C$35,$A$1,1),0),I15)-MAX(D15,DATE(EINSTELLUNG!$C$35,$A$1,1))+1)/DAY(EOMONTH(DATE(EINSTELLUNG!$C$35,$A$1,1),0))*F15,2),"")</f>
        <v>151.38</v>
      </c>
      <c r="I15" s="57"/>
      <c r="J15" s="58"/>
      <c r="K15" s="152">
        <f t="shared" si="0"/>
        <v>0</v>
      </c>
      <c r="L15" s="15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9"/>
      <c r="N15" s="75"/>
      <c r="O15" s="240" t="s">
        <v>70</v>
      </c>
      <c r="P15" s="241"/>
      <c r="Q15" s="242">
        <f>Q13-Q14</f>
        <v>-1521.4900000000016</v>
      </c>
      <c r="R15" s="243"/>
      <c r="S15" s="160"/>
      <c r="T15" s="160"/>
      <c r="U15" s="160"/>
      <c r="V15" s="149"/>
    </row>
    <row r="16" spans="1:28" ht="22" customHeight="1" thickBot="1">
      <c r="A16" s="151" t="s">
        <v>71</v>
      </c>
      <c r="B16" s="101">
        <v>401432</v>
      </c>
      <c r="C16" s="45" t="s">
        <v>235</v>
      </c>
      <c r="D16" s="49">
        <v>44441</v>
      </c>
      <c r="E16" s="47" t="s">
        <v>2</v>
      </c>
      <c r="F16" s="48">
        <v>173</v>
      </c>
      <c r="G16" s="152">
        <f>IF(OR(E16="",F16=""),"",PID_KVLohnLookup($A$1,E16,F16,LOHNTABELLE!$H$4))</f>
        <v>2900</v>
      </c>
      <c r="H16" s="153">
        <f>IF(AND(ISNUMBER(D16),ISNUMBER(F16)),ROUNDDOWN(MIN(IF(OR(ISBLANK(I16),I16=""),EOMONTH(DATE(EINSTELLUNG!$C$35,$A$1,1),0),I16)-MAX(D16,DATE(EINSTELLUNG!$C$35,$A$1,1))+1)/DAY(EOMONTH(DATE(EINSTELLUNG!$C$35,$A$1,1),0))*F16,2),"")</f>
        <v>173</v>
      </c>
      <c r="I16" s="49"/>
      <c r="J16" s="50"/>
      <c r="K16" s="152">
        <f t="shared" si="0"/>
        <v>0</v>
      </c>
      <c r="L16" s="15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51"/>
      <c r="N16" s="74"/>
      <c r="O16" s="319" t="str">
        <f>IF(Q15&lt;0, "Schlecht! Zu wenig Stunden für Dienstplan.", IF(Q15&gt;0, "Du hast mehr als genug Stunden für Dienstplan.", ""))</f>
        <v>Schlecht! Zu wenig Stunden für Dienstplan.</v>
      </c>
      <c r="P16" s="245"/>
      <c r="Q16" s="245"/>
      <c r="R16" s="246"/>
      <c r="S16" s="161"/>
      <c r="T16" s="161"/>
      <c r="U16" s="161"/>
      <c r="V16" s="161"/>
      <c r="W16" s="162"/>
    </row>
    <row r="17" spans="1:29" ht="22" customHeight="1">
      <c r="A17" s="151" t="s">
        <v>72</v>
      </c>
      <c r="B17" s="102">
        <v>401479</v>
      </c>
      <c r="C17" s="53" t="s">
        <v>238</v>
      </c>
      <c r="D17" s="54">
        <v>44511</v>
      </c>
      <c r="E17" s="55" t="s">
        <v>6</v>
      </c>
      <c r="F17" s="56">
        <v>173</v>
      </c>
      <c r="G17" s="152">
        <f>IF(OR(E17="",F17=""),"",PID_KVLohnLookup($A$1,E17,F17,LOHNTABELLE!$H$4))</f>
        <v>2160</v>
      </c>
      <c r="H17" s="153">
        <f>IF(AND(ISNUMBER(D17),ISNUMBER(F17)),ROUNDDOWN(MIN(IF(OR(ISBLANK(I17),I17=""),EOMONTH(DATE(EINSTELLUNG!$C$35,$A$1,1),0),I17)-MAX(D17,DATE(EINSTELLUNG!$C$35,$A$1,1))+1)/DAY(EOMONTH(DATE(EINSTELLUNG!$C$35,$A$1,1),0))*F17,2),"")</f>
        <v>173</v>
      </c>
      <c r="I17" s="57"/>
      <c r="J17" s="58"/>
      <c r="K17" s="152">
        <f t="shared" si="0"/>
        <v>0</v>
      </c>
      <c r="L17" s="15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9"/>
      <c r="N17" s="75"/>
      <c r="O17" s="316" t="s">
        <v>73</v>
      </c>
      <c r="P17" s="251"/>
      <c r="Q17" s="260">
        <f>SUM(L3:L82)</f>
        <v>140929.93333333335</v>
      </c>
      <c r="R17" s="261"/>
      <c r="S17" s="149"/>
      <c r="T17" s="149"/>
      <c r="U17" s="149"/>
      <c r="V17" s="149"/>
      <c r="W17" s="162"/>
    </row>
    <row r="18" spans="1:29" ht="22" customHeight="1">
      <c r="A18" s="151" t="s">
        <v>74</v>
      </c>
      <c r="B18" s="101">
        <v>401481</v>
      </c>
      <c r="C18" s="45" t="s">
        <v>239</v>
      </c>
      <c r="D18" s="46">
        <v>44531</v>
      </c>
      <c r="E18" s="47" t="s">
        <v>3</v>
      </c>
      <c r="F18" s="48">
        <v>173</v>
      </c>
      <c r="G18" s="152">
        <f>IF(OR(E18="",F18=""),"",PID_KVLohnLookup($A$1,E18,F18,LOHNTABELLE!$H$4))</f>
        <v>2082</v>
      </c>
      <c r="H18" s="153">
        <f>IF(AND(ISNUMBER(D18),ISNUMBER(F18)),ROUNDDOWN(MIN(IF(OR(ISBLANK(I18),I18=""),EOMONTH(DATE(EINSTELLUNG!$C$35,$A$1,1),0),I18)-MAX(D18,DATE(EINSTELLUNG!$C$35,$A$1,1))+1)/DAY(EOMONTH(DATE(EINSTELLUNG!$C$35,$A$1,1),0))*F18,2),"")</f>
        <v>173</v>
      </c>
      <c r="I18" s="49"/>
      <c r="J18" s="50"/>
      <c r="K18" s="152">
        <f t="shared" si="0"/>
        <v>0</v>
      </c>
      <c r="L18" s="15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51"/>
      <c r="N18" s="74"/>
      <c r="O18" s="308" t="s">
        <v>385</v>
      </c>
      <c r="P18" s="249"/>
      <c r="Q18" s="238">
        <v>20</v>
      </c>
      <c r="R18" s="239"/>
      <c r="S18" s="149"/>
      <c r="T18" s="149"/>
      <c r="U18" s="149"/>
      <c r="V18" s="149"/>
    </row>
    <row r="19" spans="1:29" ht="22" customHeight="1">
      <c r="A19" s="151" t="s">
        <v>75</v>
      </c>
      <c r="B19" s="102">
        <v>401558</v>
      </c>
      <c r="C19" s="53" t="s">
        <v>236</v>
      </c>
      <c r="D19" s="54">
        <v>44460</v>
      </c>
      <c r="E19" s="55" t="s">
        <v>2</v>
      </c>
      <c r="F19" s="56">
        <v>173</v>
      </c>
      <c r="G19" s="152">
        <f>IF(OR(E19="",F19=""),"",PID_KVLohnLookup($A$1,E19,F19,LOHNTABELLE!$H$4))</f>
        <v>2900</v>
      </c>
      <c r="H19" s="153">
        <f>IF(AND(ISNUMBER(D19),ISNUMBER(F19)),ROUNDDOWN(MIN(IF(OR(ISBLANK(I19),I19=""),EOMONTH(DATE(EINSTELLUNG!$C$35,$A$1,1),0),I19)-MAX(D19,DATE(EINSTELLUNG!$C$35,$A$1,1))+1)/DAY(EOMONTH(DATE(EINSTELLUNG!$C$35,$A$1,1),0))*F19,2),"")</f>
        <v>57.66</v>
      </c>
      <c r="I19" s="57">
        <v>46275</v>
      </c>
      <c r="J19" s="58">
        <v>4</v>
      </c>
      <c r="K19" s="152">
        <f t="shared" si="0"/>
        <v>386.66666666666669</v>
      </c>
      <c r="L19" s="15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1353.3333333333335</v>
      </c>
      <c r="M19" s="59"/>
      <c r="N19" s="75" t="s">
        <v>186</v>
      </c>
      <c r="O19" s="308" t="s">
        <v>296</v>
      </c>
      <c r="P19" s="249"/>
      <c r="Q19" s="238">
        <v>333</v>
      </c>
      <c r="R19" s="239"/>
      <c r="S19" s="149"/>
      <c r="T19" s="149"/>
      <c r="U19" s="149"/>
      <c r="V19" s="149"/>
    </row>
    <row r="20" spans="1:29" ht="22" customHeight="1">
      <c r="A20" s="151" t="s">
        <v>76</v>
      </c>
      <c r="B20" s="101">
        <v>401564</v>
      </c>
      <c r="C20" s="45" t="s">
        <v>240</v>
      </c>
      <c r="D20" s="46">
        <v>44824</v>
      </c>
      <c r="E20" s="47" t="s">
        <v>2</v>
      </c>
      <c r="F20" s="48">
        <v>151.38</v>
      </c>
      <c r="G20" s="152">
        <f>IF(OR(E20="",F20=""),"",PID_KVLohnLookup($A$1,E20,F20,LOHNTABELLE!$H$4))</f>
        <v>2500</v>
      </c>
      <c r="H20" s="153">
        <f>IF(AND(ISNUMBER(D20),ISNUMBER(F20)),ROUNDDOWN(MIN(IF(OR(ISBLANK(I20),I20=""),EOMONTH(DATE(EINSTELLUNG!$C$35,$A$1,1),0),I20)-MAX(D20,DATE(EINSTELLUNG!$C$35,$A$1,1))+1)/DAY(EOMONTH(DATE(EINSTELLUNG!$C$35,$A$1,1),0))*F20,2),"")</f>
        <v>151.38</v>
      </c>
      <c r="I20" s="49"/>
      <c r="J20" s="50"/>
      <c r="K20" s="152">
        <f t="shared" si="0"/>
        <v>0</v>
      </c>
      <c r="L20" s="15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2500</v>
      </c>
      <c r="M20" s="51"/>
      <c r="N20" s="74"/>
      <c r="O20" s="308" t="s">
        <v>296</v>
      </c>
      <c r="P20" s="249"/>
      <c r="Q20" s="238">
        <v>35</v>
      </c>
      <c r="R20" s="239"/>
      <c r="S20" s="149"/>
      <c r="T20" s="149"/>
      <c r="U20" s="149"/>
      <c r="V20" s="149"/>
    </row>
    <row r="21" spans="1:29" ht="22" customHeight="1">
      <c r="A21" s="151" t="s">
        <v>77</v>
      </c>
      <c r="B21" s="102">
        <v>401583</v>
      </c>
      <c r="C21" s="53" t="s">
        <v>242</v>
      </c>
      <c r="D21" s="54">
        <v>44900</v>
      </c>
      <c r="E21" s="55" t="s">
        <v>13</v>
      </c>
      <c r="F21" s="56">
        <v>173</v>
      </c>
      <c r="G21" s="152">
        <f>IF(OR(E21="",F21=""),"",PID_KVLohnLookup($A$1,E21,F21,LOHNTABELLE!$H$4))</f>
        <v>2328</v>
      </c>
      <c r="H21" s="153">
        <f>IF(AND(ISNUMBER(D21),ISNUMBER(F21)),ROUNDDOWN(MIN(IF(OR(ISBLANK(I21),I21=""),EOMONTH(DATE(EINSTELLUNG!$C$35,$A$1,1),0),I21)-MAX(D21,DATE(EINSTELLUNG!$C$35,$A$1,1))+1)/DAY(EOMONTH(DATE(EINSTELLUNG!$C$35,$A$1,1),0))*F21,2),"")</f>
        <v>173</v>
      </c>
      <c r="I21" s="57"/>
      <c r="J21" s="58"/>
      <c r="K21" s="152">
        <f t="shared" si="0"/>
        <v>0</v>
      </c>
      <c r="L21" s="15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2328</v>
      </c>
      <c r="M21" s="59"/>
      <c r="N21" s="75"/>
      <c r="O21" s="308" t="s">
        <v>296</v>
      </c>
      <c r="P21" s="249"/>
      <c r="Q21" s="238">
        <v>100</v>
      </c>
      <c r="R21" s="239"/>
      <c r="S21" s="149"/>
      <c r="T21" s="149"/>
      <c r="U21" s="149"/>
      <c r="V21" s="149"/>
    </row>
    <row r="22" spans="1:29" ht="22" customHeight="1">
      <c r="A22" s="151" t="s">
        <v>78</v>
      </c>
      <c r="B22" s="101">
        <v>401589</v>
      </c>
      <c r="C22" s="45" t="s">
        <v>243</v>
      </c>
      <c r="D22" s="46">
        <v>44926</v>
      </c>
      <c r="E22" s="47" t="s">
        <v>10</v>
      </c>
      <c r="F22" s="48">
        <v>173</v>
      </c>
      <c r="G22" s="152">
        <f>IF(OR(E22="",F22=""),"",PID_KVLohnLookup($A$1,E22,F22,LOHNTABELLE!$H$4))</f>
        <v>2300</v>
      </c>
      <c r="H22" s="153">
        <f>IF(AND(ISNUMBER(D22),ISNUMBER(F22)),ROUNDDOWN(MIN(IF(OR(ISBLANK(I22),I22=""),EOMONTH(DATE(EINSTELLUNG!$C$35,$A$1,1),0),I22)-MAX(D22,DATE(EINSTELLUNG!$C$35,$A$1,1))+1)/DAY(EOMONTH(DATE(EINSTELLUNG!$C$35,$A$1,1),0))*F22,2),"")</f>
        <v>173</v>
      </c>
      <c r="I22" s="49"/>
      <c r="J22" s="50"/>
      <c r="K22" s="152">
        <f t="shared" si="0"/>
        <v>0</v>
      </c>
      <c r="L22" s="15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2300</v>
      </c>
      <c r="M22" s="51"/>
      <c r="N22" s="74"/>
      <c r="O22" s="308" t="s">
        <v>296</v>
      </c>
      <c r="P22" s="249"/>
      <c r="Q22" s="238"/>
      <c r="R22" s="239"/>
      <c r="S22" s="149"/>
      <c r="T22" s="149"/>
      <c r="U22" s="149"/>
      <c r="V22" s="149"/>
    </row>
    <row r="23" spans="1:29" ht="22" customHeight="1">
      <c r="A23" s="151" t="s">
        <v>79</v>
      </c>
      <c r="B23" s="102">
        <v>401602</v>
      </c>
      <c r="C23" s="53" t="s">
        <v>244</v>
      </c>
      <c r="D23" s="54">
        <v>45975</v>
      </c>
      <c r="E23" s="55" t="s">
        <v>2</v>
      </c>
      <c r="F23" s="56">
        <v>169</v>
      </c>
      <c r="G23" s="152">
        <f>IF(OR(E23="",F23=""),"",PID_KVLohnLookup($A$1,E23,F23,LOHNTABELLE!$H$4))</f>
        <v>2000</v>
      </c>
      <c r="H23" s="153">
        <f>IF(AND(ISNUMBER(D23),ISNUMBER(F23)),ROUNDDOWN(MIN(IF(OR(ISBLANK(I23),I23=""),EOMONTH(DATE(EINSTELLUNG!$C$35,$A$1,1),0),I23)-MAX(D23,DATE(EINSTELLUNG!$C$35,$A$1,1))+1)/DAY(EOMONTH(DATE(EINSTELLUNG!$C$35,$A$1,1),0))*F23,2),"")</f>
        <v>169</v>
      </c>
      <c r="I23" s="57"/>
      <c r="J23" s="58"/>
      <c r="K23" s="152">
        <f t="shared" si="0"/>
        <v>0</v>
      </c>
      <c r="L23" s="15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2000</v>
      </c>
      <c r="M23" s="59"/>
      <c r="N23" s="75"/>
      <c r="O23" s="308" t="s">
        <v>296</v>
      </c>
      <c r="P23" s="249"/>
      <c r="Q23" s="238">
        <v>5000</v>
      </c>
      <c r="R23" s="239"/>
      <c r="S23" s="149"/>
      <c r="T23" s="149"/>
      <c r="U23" s="149"/>
      <c r="V23" s="149"/>
      <c r="W23" s="162"/>
    </row>
    <row r="24" spans="1:29" ht="22" customHeight="1">
      <c r="A24" s="151" t="s">
        <v>80</v>
      </c>
      <c r="B24" s="101">
        <v>401605</v>
      </c>
      <c r="C24" s="45" t="s">
        <v>245</v>
      </c>
      <c r="D24" s="46">
        <v>44986</v>
      </c>
      <c r="E24" s="47" t="s">
        <v>2</v>
      </c>
      <c r="F24" s="48">
        <v>173</v>
      </c>
      <c r="G24" s="152">
        <f>IF(OR(E24="",F24=""),"",PID_KVLohnLookup($A$1,E24,F24,LOHNTABELLE!$H$4))</f>
        <v>2900</v>
      </c>
      <c r="H24" s="153">
        <f>IF(AND(ISNUMBER(D24),ISNUMBER(F24)),ROUNDDOWN(MIN(IF(OR(ISBLANK(I24),I24=""),EOMONTH(DATE(EINSTELLUNG!$C$35,$A$1,1),0),I24)-MAX(D24,DATE(EINSTELLUNG!$C$35,$A$1,1))+1)/DAY(EOMONTH(DATE(EINSTELLUNG!$C$35,$A$1,1),0))*F24,2),"")</f>
        <v>173</v>
      </c>
      <c r="I24" s="49"/>
      <c r="J24" s="50"/>
      <c r="K24" s="152">
        <f t="shared" si="0"/>
        <v>0</v>
      </c>
      <c r="L24" s="15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2900</v>
      </c>
      <c r="M24" s="51"/>
      <c r="N24" s="74"/>
      <c r="O24" s="308"/>
      <c r="P24" s="249"/>
      <c r="Q24" s="238"/>
      <c r="R24" s="239"/>
      <c r="S24" s="149"/>
      <c r="T24" s="149"/>
      <c r="U24" s="149"/>
      <c r="V24" s="149"/>
      <c r="W24" s="162"/>
    </row>
    <row r="25" spans="1:29" ht="22" customHeight="1">
      <c r="A25" s="151" t="s">
        <v>81</v>
      </c>
      <c r="B25" s="102">
        <v>401605</v>
      </c>
      <c r="C25" s="53" t="s">
        <v>407</v>
      </c>
      <c r="D25" s="54">
        <v>36850</v>
      </c>
      <c r="E25" s="55" t="s">
        <v>10</v>
      </c>
      <c r="F25" s="56">
        <v>151.38</v>
      </c>
      <c r="G25" s="152">
        <f>IF(OR(E25="",F25=""),"",PID_KVLohnLookup($A$1,E25,F25,LOHNTABELLE!$H$4))</f>
        <v>2012.5</v>
      </c>
      <c r="H25" s="153">
        <f>IF(AND(ISNUMBER(D25),ISNUMBER(F25)),ROUNDDOWN(MIN(IF(OR(ISBLANK(I25),I25=""),EOMONTH(DATE(EINSTELLUNG!$C$35,$A$1,1),0),I25)-MAX(D25,DATE(EINSTELLUNG!$C$35,$A$1,1))+1)/DAY(EOMONTH(DATE(EINSTELLUNG!$C$35,$A$1,1),0))*F25,2),"")</f>
        <v>151.38</v>
      </c>
      <c r="I25" s="57"/>
      <c r="J25" s="58"/>
      <c r="K25" s="152">
        <f t="shared" si="0"/>
        <v>0</v>
      </c>
      <c r="L25" s="15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2012.5</v>
      </c>
      <c r="M25" s="59"/>
      <c r="N25" s="75"/>
      <c r="O25" s="308"/>
      <c r="P25" s="249"/>
      <c r="Q25" s="238"/>
      <c r="R25" s="239"/>
      <c r="S25" s="149"/>
      <c r="T25" s="149"/>
      <c r="U25" s="149"/>
      <c r="V25" s="149"/>
    </row>
    <row r="26" spans="1:29" ht="22" customHeight="1">
      <c r="A26" s="151" t="s">
        <v>82</v>
      </c>
      <c r="B26" s="101">
        <v>401626</v>
      </c>
      <c r="C26" s="45" t="s">
        <v>246</v>
      </c>
      <c r="D26" s="46">
        <v>45063</v>
      </c>
      <c r="E26" s="47" t="s">
        <v>2</v>
      </c>
      <c r="F26" s="48">
        <v>173</v>
      </c>
      <c r="G26" s="152">
        <f>IF(OR(E26="",F26=""),"",PID_KVLohnLookup($A$1,E26,F26,LOHNTABELLE!$H$4))</f>
        <v>2900</v>
      </c>
      <c r="H26" s="153">
        <f>IF(AND(ISNUMBER(D26),ISNUMBER(F26)),ROUNDDOWN(MIN(IF(OR(ISBLANK(I26),I26=""),EOMONTH(DATE(EINSTELLUNG!$C$35,$A$1,1),0),I26)-MAX(D26,DATE(EINSTELLUNG!$C$35,$A$1,1))+1)/DAY(EOMONTH(DATE(EINSTELLUNG!$C$35,$A$1,1),0))*F26,2),"")</f>
        <v>173</v>
      </c>
      <c r="I26" s="49"/>
      <c r="J26" s="50"/>
      <c r="K26" s="152">
        <f t="shared" si="0"/>
        <v>0</v>
      </c>
      <c r="L26" s="15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2900</v>
      </c>
      <c r="M26" s="51"/>
      <c r="N26" s="74"/>
      <c r="O26" s="308"/>
      <c r="P26" s="249"/>
      <c r="Q26" s="238"/>
      <c r="R26" s="239"/>
      <c r="S26" s="149"/>
      <c r="T26" s="149"/>
      <c r="U26" s="149"/>
      <c r="V26" s="149"/>
    </row>
    <row r="27" spans="1:29" ht="22" customHeight="1">
      <c r="A27" s="151" t="s">
        <v>83</v>
      </c>
      <c r="B27" s="102">
        <v>401633</v>
      </c>
      <c r="C27" s="53" t="s">
        <v>247</v>
      </c>
      <c r="D27" s="54">
        <v>45089</v>
      </c>
      <c r="E27" s="55" t="s">
        <v>10</v>
      </c>
      <c r="F27" s="140">
        <v>173</v>
      </c>
      <c r="G27" s="152">
        <f>IF(OR(E27="",F27=""),"",PID_KVLohnLookup($A$1,E27,F27,LOHNTABELLE!$H$4))</f>
        <v>2300</v>
      </c>
      <c r="H27" s="153">
        <f>IF(AND(ISNUMBER(D27),ISNUMBER(F27)),ROUNDDOWN(MIN(IF(OR(ISBLANK(I27),I27=""),EOMONTH(DATE(EINSTELLUNG!$C$35,$A$1,1),0),I27)-MAX(D27,DATE(EINSTELLUNG!$C$35,$A$1,1))+1)/DAY(EOMONTH(DATE(EINSTELLUNG!$C$35,$A$1,1),0))*F27,2),"")</f>
        <v>173</v>
      </c>
      <c r="I27" s="57"/>
      <c r="J27" s="58"/>
      <c r="K27" s="152">
        <f t="shared" si="0"/>
        <v>0</v>
      </c>
      <c r="L27" s="15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2300</v>
      </c>
      <c r="M27" s="59"/>
      <c r="N27" s="75"/>
      <c r="O27" s="308"/>
      <c r="P27" s="249"/>
      <c r="Q27" s="238"/>
      <c r="R27" s="239"/>
      <c r="S27" s="247" t="s">
        <v>84</v>
      </c>
      <c r="T27" s="247"/>
      <c r="U27" s="247"/>
      <c r="V27" s="247"/>
    </row>
    <row r="28" spans="1:29" ht="22" customHeight="1">
      <c r="A28" s="151" t="s">
        <v>85</v>
      </c>
      <c r="B28" s="101">
        <v>401647</v>
      </c>
      <c r="C28" s="45" t="s">
        <v>248</v>
      </c>
      <c r="D28" s="46">
        <v>45182</v>
      </c>
      <c r="E28" s="47" t="s">
        <v>2</v>
      </c>
      <c r="F28" s="48">
        <v>173</v>
      </c>
      <c r="G28" s="152">
        <f>IF(OR(E28="",F28=""),"",PID_KVLohnLookup($A$1,E28,F28,LOHNTABELLE!$H$4))</f>
        <v>2900</v>
      </c>
      <c r="H28" s="153">
        <f>IF(AND(ISNUMBER(D28),ISNUMBER(F28)),ROUNDDOWN(MIN(IF(OR(ISBLANK(I28),I28=""),EOMONTH(DATE(EINSTELLUNG!$C$35,$A$1,1),0),I28)-MAX(D28,DATE(EINSTELLUNG!$C$35,$A$1,1))+1)/DAY(EOMONTH(DATE(EINSTELLUNG!$C$35,$A$1,1),0))*F28,2),"")</f>
        <v>173</v>
      </c>
      <c r="I28" s="49"/>
      <c r="J28" s="50"/>
      <c r="K28" s="152">
        <f t="shared" si="0"/>
        <v>0</v>
      </c>
      <c r="L28" s="15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51"/>
      <c r="N28" s="74"/>
      <c r="O28" s="308"/>
      <c r="P28" s="249"/>
      <c r="Q28" s="238"/>
      <c r="R28" s="239"/>
      <c r="S28" s="149"/>
      <c r="T28" s="149"/>
      <c r="U28" s="149"/>
      <c r="V28" s="149"/>
    </row>
    <row r="29" spans="1:29" ht="22" customHeight="1" thickBot="1">
      <c r="A29" s="151" t="s">
        <v>86</v>
      </c>
      <c r="B29" s="102">
        <v>401661</v>
      </c>
      <c r="C29" s="53" t="s">
        <v>249</v>
      </c>
      <c r="D29" s="54">
        <v>45261</v>
      </c>
      <c r="E29" s="55" t="s">
        <v>2</v>
      </c>
      <c r="F29" s="56">
        <v>173</v>
      </c>
      <c r="G29" s="152">
        <f>IF(OR(E29="",F29=""),"",PID_KVLohnLookup($A$1,E29,F29,LOHNTABELLE!$H$4))</f>
        <v>2900</v>
      </c>
      <c r="H29" s="153">
        <f>IF(AND(ISNUMBER(D29),ISNUMBER(F29)),ROUNDDOWN(MIN(IF(OR(ISBLANK(I29),I29=""),EOMONTH(DATE(EINSTELLUNG!$C$35,$A$1,1),0),I29)-MAX(D29,DATE(EINSTELLUNG!$C$35,$A$1,1))+1)/DAY(EOMONTH(DATE(EINSTELLUNG!$C$35,$A$1,1),0))*F29,2),"")</f>
        <v>173</v>
      </c>
      <c r="I29" s="57"/>
      <c r="J29" s="58"/>
      <c r="K29" s="152">
        <f t="shared" si="0"/>
        <v>0</v>
      </c>
      <c r="L29" s="15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9"/>
      <c r="N29" s="75"/>
      <c r="O29" s="312" t="s">
        <v>87</v>
      </c>
      <c r="P29" s="241"/>
      <c r="Q29" s="295">
        <f>EINSTELLUNG!O14</f>
        <v>1250</v>
      </c>
      <c r="R29" s="296"/>
      <c r="S29" s="149"/>
      <c r="T29" s="149"/>
      <c r="U29" s="149"/>
      <c r="V29" s="149"/>
    </row>
    <row r="30" spans="1:29" ht="22" customHeight="1" thickBot="1">
      <c r="A30" s="151" t="s">
        <v>88</v>
      </c>
      <c r="B30" s="101">
        <v>401670</v>
      </c>
      <c r="C30" s="45" t="s">
        <v>250</v>
      </c>
      <c r="D30" s="46">
        <v>45358</v>
      </c>
      <c r="E30" s="47" t="s">
        <v>2</v>
      </c>
      <c r="F30" s="48">
        <v>173</v>
      </c>
      <c r="G30" s="152">
        <f>IF(OR(E30="",F30=""),"",PID_KVLohnLookup($A$1,E30,F30,LOHNTABELLE!$H$4))</f>
        <v>2900</v>
      </c>
      <c r="H30" s="153">
        <f>IF(AND(ISNUMBER(D30),ISNUMBER(F30)),ROUNDDOWN(MIN(IF(OR(ISBLANK(I30),I30=""),EOMONTH(DATE(EINSTELLUNG!$C$35,$A$1,1),0),I30)-MAX(D30,DATE(EINSTELLUNG!$C$35,$A$1,1))+1)/DAY(EOMONTH(DATE(EINSTELLUNG!$C$35,$A$1,1),0))*F30,2),"")</f>
        <v>173</v>
      </c>
      <c r="I30" s="49"/>
      <c r="J30" s="50"/>
      <c r="K30" s="152">
        <f t="shared" si="0"/>
        <v>0</v>
      </c>
      <c r="L30" s="15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51"/>
      <c r="N30" s="74"/>
      <c r="O30" s="149"/>
      <c r="P30" s="149"/>
      <c r="Q30" s="149"/>
      <c r="R30" s="149"/>
      <c r="S30" s="149"/>
      <c r="T30" s="149"/>
      <c r="U30" s="149"/>
      <c r="V30" s="149"/>
      <c r="W30" s="163"/>
      <c r="X30" s="163"/>
      <c r="Y30" s="163"/>
      <c r="Z30" s="163"/>
      <c r="AA30" s="163"/>
      <c r="AB30" s="163"/>
      <c r="AC30" s="163"/>
    </row>
    <row r="31" spans="1:29" ht="22" customHeight="1" thickBot="1">
      <c r="A31" s="151" t="s">
        <v>89</v>
      </c>
      <c r="B31" s="102">
        <v>401678</v>
      </c>
      <c r="C31" s="53" t="s">
        <v>251</v>
      </c>
      <c r="D31" s="54">
        <v>45414</v>
      </c>
      <c r="E31" s="55" t="s">
        <v>2</v>
      </c>
      <c r="F31" s="56">
        <v>173</v>
      </c>
      <c r="G31" s="152">
        <f>IF(OR(E31="",F31=""),"",PID_KVLohnLookup($A$1,E31,F31,LOHNTABELLE!$H$4))</f>
        <v>2900</v>
      </c>
      <c r="H31" s="153">
        <f>IF(AND(ISNUMBER(D31),ISNUMBER(F31)),ROUNDDOWN(MIN(IF(OR(ISBLANK(I31),I31=""),EOMONTH(DATE(EINSTELLUNG!$C$35,$A$1,1),0),I31)-MAX(D31,DATE(EINSTELLUNG!$C$35,$A$1,1))+1)/DAY(EOMONTH(DATE(EINSTELLUNG!$C$35,$A$1,1),0))*F31,2),"")</f>
        <v>173</v>
      </c>
      <c r="I31" s="57"/>
      <c r="J31" s="58"/>
      <c r="K31" s="152">
        <f t="shared" si="0"/>
        <v>0</v>
      </c>
      <c r="L31" s="15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2900</v>
      </c>
      <c r="M31" s="59"/>
      <c r="N31" s="75"/>
      <c r="O31" s="309">
        <v>0</v>
      </c>
      <c r="P31" s="300"/>
      <c r="Q31" s="284">
        <v>1.6949152542372881E-2</v>
      </c>
      <c r="R31" s="285"/>
      <c r="S31" s="149"/>
      <c r="T31" s="149"/>
      <c r="U31" s="149"/>
      <c r="V31" s="149"/>
    </row>
    <row r="32" spans="1:29" ht="22" customHeight="1" thickBot="1">
      <c r="A32" s="151" t="s">
        <v>91</v>
      </c>
      <c r="B32" s="101">
        <v>401690</v>
      </c>
      <c r="C32" s="45" t="s">
        <v>253</v>
      </c>
      <c r="D32" s="46">
        <v>45536</v>
      </c>
      <c r="E32" s="47" t="s">
        <v>2</v>
      </c>
      <c r="F32" s="48">
        <v>151.38</v>
      </c>
      <c r="G32" s="152">
        <f>IF(OR(E32="",F32=""),"",PID_KVLohnLookup($A$1,E32,F32,LOHNTABELLE!$H$4))</f>
        <v>2500</v>
      </c>
      <c r="H32" s="153">
        <f>IF(AND(ISNUMBER(D32),ISNUMBER(F32)),ROUNDDOWN(MIN(IF(OR(ISBLANK(I32),I32=""),EOMONTH(DATE(EINSTELLUNG!$C$35,$A$1,1),0),I32)-MAX(D32,DATE(EINSTELLUNG!$C$35,$A$1,1))+1)/DAY(EOMONTH(DATE(EINSTELLUNG!$C$35,$A$1,1),0))*F32,2),"")</f>
        <v>151.38</v>
      </c>
      <c r="I32" s="49"/>
      <c r="J32" s="50"/>
      <c r="K32" s="152">
        <f t="shared" si="0"/>
        <v>0</v>
      </c>
      <c r="L32" s="15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2500</v>
      </c>
      <c r="M32" s="51"/>
      <c r="N32" s="74"/>
      <c r="O32" s="149"/>
      <c r="P32" s="149"/>
      <c r="Q32" s="149"/>
      <c r="R32" s="149"/>
      <c r="S32" s="149"/>
      <c r="T32" s="149"/>
      <c r="U32" s="149"/>
      <c r="V32" s="149"/>
    </row>
    <row r="33" spans="1:22" ht="22" customHeight="1">
      <c r="A33" s="151" t="s">
        <v>92</v>
      </c>
      <c r="B33" s="102">
        <v>401715</v>
      </c>
      <c r="C33" s="53" t="s">
        <v>256</v>
      </c>
      <c r="D33" s="54">
        <v>45755</v>
      </c>
      <c r="E33" s="55" t="s">
        <v>2</v>
      </c>
      <c r="F33" s="56">
        <v>173</v>
      </c>
      <c r="G33" s="152">
        <f>IF(OR(E33="",F33=""),"",PID_KVLohnLookup($A$1,E33,F33,LOHNTABELLE!$H$4))</f>
        <v>2900</v>
      </c>
      <c r="H33" s="153">
        <f>IF(AND(ISNUMBER(D33),ISNUMBER(F33)),ROUNDDOWN(MIN(IF(OR(ISBLANK(I33),I33=""),EOMONTH(DATE(EINSTELLUNG!$C$35,$A$1,1),0),I33)-MAX(D33,DATE(EINSTELLUNG!$C$35,$A$1,1))+1)/DAY(EOMONTH(DATE(EINSTELLUNG!$C$35,$A$1,1),0))*F33,2),"")</f>
        <v>173</v>
      </c>
      <c r="I33" s="57"/>
      <c r="J33" s="58"/>
      <c r="K33" s="152">
        <f t="shared" si="0"/>
        <v>0</v>
      </c>
      <c r="L33" s="15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9"/>
      <c r="N33" s="75"/>
      <c r="O33" s="310"/>
      <c r="P33" s="291"/>
      <c r="Q33" s="280" t="str">
        <f>EINSTELLUNG!B3</f>
        <v>Budget</v>
      </c>
      <c r="R33" s="280"/>
      <c r="S33" s="280" t="str">
        <f>EINSTELLUNG!B19</f>
        <v>Projection/Aktuell Zahlen</v>
      </c>
      <c r="T33" s="280"/>
      <c r="U33" s="280" t="s">
        <v>95</v>
      </c>
      <c r="V33" s="282"/>
    </row>
    <row r="34" spans="1:22" ht="22" customHeight="1">
      <c r="A34" s="151" t="s">
        <v>96</v>
      </c>
      <c r="B34" s="101">
        <v>401716</v>
      </c>
      <c r="C34" s="45" t="s">
        <v>257</v>
      </c>
      <c r="D34" s="46">
        <v>45800</v>
      </c>
      <c r="E34" s="47" t="s">
        <v>2</v>
      </c>
      <c r="F34" s="48">
        <v>173</v>
      </c>
      <c r="G34" s="152">
        <f>IF(OR(E34="",F34=""),"",PID_KVLohnLookup($A$1,E34,F34,LOHNTABELLE!$H$4))</f>
        <v>2900</v>
      </c>
      <c r="H34" s="153">
        <f>IF(AND(ISNUMBER(D34),ISNUMBER(F34)),ROUNDDOWN(MIN(IF(OR(ISBLANK(I34),I34=""),EOMONTH(DATE(EINSTELLUNG!$C$35,$A$1,1),0),I34)-MAX(D34,DATE(EINSTELLUNG!$C$35,$A$1,1))+1)/DAY(EOMONTH(DATE(EINSTELLUNG!$C$35,$A$1,1),0))*F34,2),"")</f>
        <v>173</v>
      </c>
      <c r="I34" s="49"/>
      <c r="J34" s="50"/>
      <c r="K34" s="152">
        <f t="shared" si="0"/>
        <v>0</v>
      </c>
      <c r="L34" s="15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2900</v>
      </c>
      <c r="M34" s="51"/>
      <c r="N34" s="74"/>
      <c r="O34" s="311"/>
      <c r="P34" s="293"/>
      <c r="Q34" s="281"/>
      <c r="R34" s="281"/>
      <c r="S34" s="281"/>
      <c r="T34" s="281"/>
      <c r="U34" s="281"/>
      <c r="V34" s="283"/>
    </row>
    <row r="35" spans="1:22" ht="22" customHeight="1">
      <c r="A35" s="151" t="s">
        <v>97</v>
      </c>
      <c r="B35" s="102">
        <v>401717</v>
      </c>
      <c r="C35" s="53" t="s">
        <v>258</v>
      </c>
      <c r="D35" s="54">
        <v>45814</v>
      </c>
      <c r="E35" s="55" t="s">
        <v>2</v>
      </c>
      <c r="F35" s="56">
        <v>86.5</v>
      </c>
      <c r="G35" s="152">
        <f>IF(OR(E35="",F35=""),"",PID_KVLohnLookup($A$1,E35,F35,LOHNTABELLE!$H$4))</f>
        <v>2152</v>
      </c>
      <c r="H35" s="153">
        <f>IF(AND(ISNUMBER(D35),ISNUMBER(F35)),ROUNDDOWN(MIN(IF(OR(ISBLANK(I35),I35=""),EOMONTH(DATE(EINSTELLUNG!$C$35,$A$1,1),0),I35)-MAX(D35,DATE(EINSTELLUNG!$C$35,$A$1,1))+1)/DAY(EOMONTH(DATE(EINSTELLUNG!$C$35,$A$1,1),0))*F35,2),"")</f>
        <v>86.5</v>
      </c>
      <c r="I35" s="57"/>
      <c r="J35" s="58"/>
      <c r="K35" s="152">
        <f t="shared" ref="K35:K66" si="1">IF(OR(B35="",C35=""),"",IFERROR(IF(OR(MONTH(D35)=1,MONTH(D35)=3,MONTH(D35)=5,MONTH(D35)=7,MONTH(D35)=8,MONTH(D35)=10,MONTH(D35)=12),(G35/31)*J35,IF(OR(MONTH(D35)=4,MONTH(D35)=6,MONTH(D35)=9,MONTH(D35)=11),(G35/30)*J35,(G35/DAY(EOMONTH(D35,0)))*J35)),0))</f>
        <v>0</v>
      </c>
      <c r="L35" s="15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9"/>
      <c r="N35" s="75"/>
      <c r="O35" s="307" t="s">
        <v>98</v>
      </c>
      <c r="P35" s="255"/>
      <c r="Q35" s="256">
        <f>EINSTELLUNG!C14</f>
        <v>400000</v>
      </c>
      <c r="R35" s="256"/>
      <c r="S35" s="256">
        <f>EINSTELLUNG!C30</f>
        <v>450000</v>
      </c>
      <c r="T35" s="256"/>
      <c r="U35" s="256">
        <f>S35-Q35</f>
        <v>50000</v>
      </c>
      <c r="V35" s="257"/>
    </row>
    <row r="36" spans="1:22" ht="22" customHeight="1">
      <c r="A36" s="151" t="s">
        <v>99</v>
      </c>
      <c r="B36" s="101">
        <v>401722</v>
      </c>
      <c r="C36" s="45" t="s">
        <v>259</v>
      </c>
      <c r="D36" s="46">
        <v>45848</v>
      </c>
      <c r="E36" s="47" t="s">
        <v>2</v>
      </c>
      <c r="F36" s="48">
        <v>86.5</v>
      </c>
      <c r="G36" s="152">
        <f>IF(OR(E36="",F36=""),"",PID_KVLohnLookup($A$1,E36,F36,LOHNTABELLE!$H$4))</f>
        <v>2152</v>
      </c>
      <c r="H36" s="153">
        <f>IF(AND(ISNUMBER(D36),ISNUMBER(F36)),ROUNDDOWN(MIN(IF(OR(ISBLANK(I36),I36=""),EOMONTH(DATE(EINSTELLUNG!$C$35,$A$1,1),0),I36)-MAX(D36,DATE(EINSTELLUNG!$C$35,$A$1,1))+1)/DAY(EOMONTH(DATE(EINSTELLUNG!$C$35,$A$1,1),0))*F36,2),"")</f>
        <v>86.5</v>
      </c>
      <c r="I36" s="49"/>
      <c r="J36" s="50"/>
      <c r="K36" s="152">
        <f t="shared" si="1"/>
        <v>0</v>
      </c>
      <c r="L36" s="15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51"/>
      <c r="N36" s="74"/>
      <c r="O36" s="307" t="s">
        <v>100</v>
      </c>
      <c r="P36" s="255"/>
      <c r="Q36" s="256">
        <f>EINSTELLUNG!D14</f>
        <v>100000</v>
      </c>
      <c r="R36" s="256"/>
      <c r="S36" s="256">
        <f ca="1">SumMergedCells(Q17:R29)</f>
        <v>147667.9333</v>
      </c>
      <c r="T36" s="256"/>
      <c r="U36" s="256">
        <f t="shared" ref="U36:U41" ca="1" si="2">S36-Q36</f>
        <v>47667.933300000004</v>
      </c>
      <c r="V36" s="257"/>
    </row>
    <row r="37" spans="1:22" ht="22" customHeight="1">
      <c r="A37" s="151" t="s">
        <v>101</v>
      </c>
      <c r="B37" s="102">
        <v>401723</v>
      </c>
      <c r="C37" s="53" t="s">
        <v>260</v>
      </c>
      <c r="D37" s="54">
        <v>45852</v>
      </c>
      <c r="E37" s="55" t="s">
        <v>2</v>
      </c>
      <c r="F37" s="56">
        <v>86.5</v>
      </c>
      <c r="G37" s="152">
        <f>IF(OR(E37="",F37=""),"",PID_KVLohnLookup($A$1,E37,F37,LOHNTABELLE!$H$4))</f>
        <v>2152</v>
      </c>
      <c r="H37" s="153">
        <f>IF(AND(ISNUMBER(D37),ISNUMBER(F37)),ROUNDDOWN(MIN(IF(OR(ISBLANK(I37),I37=""),EOMONTH(DATE(EINSTELLUNG!$C$35,$A$1,1),0),I37)-MAX(D37,DATE(EINSTELLUNG!$C$35,$A$1,1))+1)/DAY(EOMONTH(DATE(EINSTELLUNG!$C$35,$A$1,1),0))*F37,2),"")</f>
        <v>86.5</v>
      </c>
      <c r="I37" s="57"/>
      <c r="J37" s="58"/>
      <c r="K37" s="152">
        <f t="shared" si="1"/>
        <v>0</v>
      </c>
      <c r="L37" s="15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9"/>
      <c r="N37" s="75"/>
      <c r="O37" s="307" t="s">
        <v>102</v>
      </c>
      <c r="P37" s="255"/>
      <c r="Q37" s="278">
        <f>IF(ISERROR(Q36/Q35), 0, Q36/Q35)</f>
        <v>0.25</v>
      </c>
      <c r="R37" s="278"/>
      <c r="S37" s="278">
        <f ca="1">IF(ISERROR(S36/S35), 0, S36/S35)</f>
        <v>0.3281509628888889</v>
      </c>
      <c r="T37" s="278"/>
      <c r="U37" s="278">
        <f t="shared" ca="1" si="2"/>
        <v>7.8150962888888897E-2</v>
      </c>
      <c r="V37" s="279"/>
    </row>
    <row r="38" spans="1:22" ht="22" customHeight="1">
      <c r="A38" s="151" t="s">
        <v>103</v>
      </c>
      <c r="B38" s="101">
        <v>401726</v>
      </c>
      <c r="C38" s="45" t="s">
        <v>261</v>
      </c>
      <c r="D38" s="46">
        <v>45870</v>
      </c>
      <c r="E38" s="47" t="s">
        <v>2</v>
      </c>
      <c r="F38" s="48">
        <v>86.5</v>
      </c>
      <c r="G38" s="152">
        <f>IF(OR(E38="",F38=""),"",PID_KVLohnLookup($A$1,E38,F38,LOHNTABELLE!$H$4))</f>
        <v>2152</v>
      </c>
      <c r="H38" s="153">
        <f>IF(AND(ISNUMBER(D38),ISNUMBER(F38)),ROUNDDOWN(MIN(IF(OR(ISBLANK(I38),I38=""),EOMONTH(DATE(EINSTELLUNG!$C$35,$A$1,1),0),I38)-MAX(D38,DATE(EINSTELLUNG!$C$35,$A$1,1))+1)/DAY(EOMONTH(DATE(EINSTELLUNG!$C$35,$A$1,1),0))*F38,2),"")</f>
        <v>86.5</v>
      </c>
      <c r="I38" s="49"/>
      <c r="J38" s="50"/>
      <c r="K38" s="152">
        <f t="shared" si="1"/>
        <v>0</v>
      </c>
      <c r="L38" s="15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51"/>
      <c r="N38" s="74"/>
      <c r="O38" s="307" t="s">
        <v>104</v>
      </c>
      <c r="P38" s="255"/>
      <c r="Q38" s="269">
        <f>EINSTELLUNG!F14</f>
        <v>30000</v>
      </c>
      <c r="R38" s="269"/>
      <c r="S38" s="269">
        <f>EINSTELLUNG!F30</f>
        <v>31000</v>
      </c>
      <c r="T38" s="269"/>
      <c r="U38" s="269">
        <f t="shared" si="2"/>
        <v>1000</v>
      </c>
      <c r="V38" s="270"/>
    </row>
    <row r="39" spans="1:22" ht="22" customHeight="1">
      <c r="A39" s="151" t="s">
        <v>105</v>
      </c>
      <c r="B39" s="102">
        <v>401730</v>
      </c>
      <c r="C39" s="53" t="s">
        <v>263</v>
      </c>
      <c r="D39" s="57">
        <v>45895</v>
      </c>
      <c r="E39" s="55" t="s">
        <v>2</v>
      </c>
      <c r="F39" s="56">
        <v>86.5</v>
      </c>
      <c r="G39" s="152">
        <f>IF(OR(E39="",F39=""),"",PID_KVLohnLookup($A$1,E39,F39,LOHNTABELLE!$H$4))</f>
        <v>2152</v>
      </c>
      <c r="H39" s="153">
        <f>IF(AND(ISNUMBER(D39),ISNUMBER(F39)),ROUNDDOWN(MIN(IF(OR(ISBLANK(I39),I39=""),EOMONTH(DATE(EINSTELLUNG!$C$35,$A$1,1),0),I39)-MAX(D39,DATE(EINSTELLUNG!$C$35,$A$1,1))+1)/DAY(EOMONTH(DATE(EINSTELLUNG!$C$35,$A$1,1),0))*F39,2),"")</f>
        <v>86.5</v>
      </c>
      <c r="I39" s="57"/>
      <c r="J39" s="58"/>
      <c r="K39" s="152">
        <f t="shared" si="1"/>
        <v>0</v>
      </c>
      <c r="L39" s="15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9"/>
      <c r="N39" s="75"/>
      <c r="O39" s="307" t="s">
        <v>106</v>
      </c>
      <c r="P39" s="255"/>
      <c r="Q39" s="256">
        <f>IF(Q38=0, 0, Q35/Q38)</f>
        <v>13.333333333333334</v>
      </c>
      <c r="R39" s="256"/>
      <c r="S39" s="256">
        <f>IF(S38=0, 0, S35/S38)</f>
        <v>14.516129032258064</v>
      </c>
      <c r="T39" s="256"/>
      <c r="U39" s="256">
        <f t="shared" si="2"/>
        <v>1.1827956989247301</v>
      </c>
      <c r="V39" s="257"/>
    </row>
    <row r="40" spans="1:22" ht="22" customHeight="1">
      <c r="A40" s="151" t="s">
        <v>107</v>
      </c>
      <c r="B40" s="101">
        <v>401731</v>
      </c>
      <c r="C40" s="45" t="s">
        <v>262</v>
      </c>
      <c r="D40" s="46">
        <v>45899</v>
      </c>
      <c r="E40" s="47" t="s">
        <v>2</v>
      </c>
      <c r="F40" s="48">
        <v>86.5</v>
      </c>
      <c r="G40" s="152">
        <f>IF(OR(E40="",F40=""),"",PID_KVLohnLookup($A$1,E40,F40,LOHNTABELLE!$H$4))</f>
        <v>2152</v>
      </c>
      <c r="H40" s="153">
        <f>IF(AND(ISNUMBER(D40),ISNUMBER(F40)),ROUNDDOWN(MIN(IF(OR(ISBLANK(I40),I40=""),EOMONTH(DATE(EINSTELLUNG!$C$35,$A$1,1),0),I40)-MAX(D40,DATE(EINSTELLUNG!$C$35,$A$1,1))+1)/DAY(EOMONTH(DATE(EINSTELLUNG!$C$35,$A$1,1),0))*F40,2),"")</f>
        <v>86.5</v>
      </c>
      <c r="I40" s="49"/>
      <c r="J40" s="50"/>
      <c r="K40" s="152">
        <f t="shared" si="1"/>
        <v>0</v>
      </c>
      <c r="L40" s="15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51"/>
      <c r="N40" s="74"/>
      <c r="O40" s="307" t="s">
        <v>108</v>
      </c>
      <c r="P40" s="255"/>
      <c r="Q40" s="256">
        <f>IF(Q13=0, 0, Q35/Q13)</f>
        <v>51.423730251680603</v>
      </c>
      <c r="R40" s="256"/>
      <c r="S40" s="256">
        <f>IF(Q13=0, 0, S35/Q13)</f>
        <v>57.851696533140675</v>
      </c>
      <c r="T40" s="256"/>
      <c r="U40" s="256">
        <f t="shared" si="2"/>
        <v>6.4279662814600727</v>
      </c>
      <c r="V40" s="257"/>
    </row>
    <row r="41" spans="1:22" ht="22" customHeight="1">
      <c r="A41" s="151" t="s">
        <v>109</v>
      </c>
      <c r="B41" s="102">
        <v>401734</v>
      </c>
      <c r="C41" s="53" t="s">
        <v>264</v>
      </c>
      <c r="D41" s="54">
        <v>45904</v>
      </c>
      <c r="E41" s="55" t="s">
        <v>2</v>
      </c>
      <c r="F41" s="56">
        <v>86.5</v>
      </c>
      <c r="G41" s="152">
        <f>IF(OR(E41="",F41=""),"",PID_KVLohnLookup($A$1,E41,F41,LOHNTABELLE!$H$4))</f>
        <v>2152</v>
      </c>
      <c r="H41" s="153">
        <f>IF(AND(ISNUMBER(D41),ISNUMBER(F41)),ROUNDDOWN(MIN(IF(OR(ISBLANK(I41),I41=""),EOMONTH(DATE(EINSTELLUNG!$C$35,$A$1,1),0),I41)-MAX(D41,DATE(EINSTELLUNG!$C$35,$A$1,1))+1)/DAY(EOMONTH(DATE(EINSTELLUNG!$C$35,$A$1,1),0))*F41,2),"")</f>
        <v>86.5</v>
      </c>
      <c r="I41" s="57"/>
      <c r="J41" s="58"/>
      <c r="K41" s="152">
        <f t="shared" si="1"/>
        <v>0</v>
      </c>
      <c r="L41" s="15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9"/>
      <c r="N41" s="75"/>
      <c r="O41" s="307" t="s">
        <v>110</v>
      </c>
      <c r="P41" s="255"/>
      <c r="Q41" s="269">
        <f>IF(Q13=0, 0, Q38/Q13)</f>
        <v>3.856779768876045</v>
      </c>
      <c r="R41" s="269"/>
      <c r="S41" s="269">
        <f>IF(Q13=0, 0, S38/Q13)</f>
        <v>3.9853390945052465</v>
      </c>
      <c r="T41" s="269"/>
      <c r="U41" s="269">
        <f t="shared" si="2"/>
        <v>0.12855932562920147</v>
      </c>
      <c r="V41" s="270"/>
    </row>
    <row r="42" spans="1:22" ht="22" customHeight="1">
      <c r="A42" s="151" t="s">
        <v>111</v>
      </c>
      <c r="B42" s="101">
        <v>401737</v>
      </c>
      <c r="C42" s="45" t="s">
        <v>266</v>
      </c>
      <c r="D42" s="46">
        <v>45906</v>
      </c>
      <c r="E42" s="47" t="s">
        <v>2</v>
      </c>
      <c r="F42" s="48">
        <v>86.5</v>
      </c>
      <c r="G42" s="152">
        <f>IF(OR(E42="",F42=""),"",PID_KVLohnLookup($A$1,E42,F42,LOHNTABELLE!$H$4))</f>
        <v>2152</v>
      </c>
      <c r="H42" s="153">
        <f>IF(AND(ISNUMBER(D42),ISNUMBER(F42)),ROUNDDOWN(MIN(IF(OR(ISBLANK(I42),I42=""),EOMONTH(DATE(EINSTELLUNG!$C$35,$A$1,1),0),I42)-MAX(D42,DATE(EINSTELLUNG!$C$35,$A$1,1))+1)/DAY(EOMONTH(DATE(EINSTELLUNG!$C$35,$A$1,1),0))*F42,2),"")</f>
        <v>86.5</v>
      </c>
      <c r="I42" s="49"/>
      <c r="J42" s="50"/>
      <c r="K42" s="152">
        <f t="shared" si="1"/>
        <v>0</v>
      </c>
      <c r="L42" s="15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51"/>
      <c r="N42" s="74"/>
      <c r="O42" s="306" t="s">
        <v>112</v>
      </c>
      <c r="P42" s="263"/>
      <c r="Q42" s="264">
        <f>IFERROR(Q17/Q8, 0)</f>
        <v>16.474343163235929</v>
      </c>
      <c r="R42" s="264"/>
      <c r="S42" s="264"/>
      <c r="T42" s="264"/>
      <c r="U42" s="264"/>
      <c r="V42" s="265"/>
    </row>
    <row r="43" spans="1:22" ht="22" customHeight="1">
      <c r="A43" s="151" t="s">
        <v>113</v>
      </c>
      <c r="B43" s="102">
        <v>401738</v>
      </c>
      <c r="C43" s="53" t="s">
        <v>267</v>
      </c>
      <c r="D43" s="57">
        <v>45909</v>
      </c>
      <c r="E43" s="55" t="s">
        <v>2</v>
      </c>
      <c r="F43" s="56">
        <v>86.5</v>
      </c>
      <c r="G43" s="152">
        <f>IF(OR(E43="",F43=""),"",PID_KVLohnLookup($A$1,E43,F43,LOHNTABELLE!$H$4))</f>
        <v>2152</v>
      </c>
      <c r="H43" s="153">
        <f>IF(AND(ISNUMBER(D43),ISNUMBER(F43)),ROUNDDOWN(MIN(IF(OR(ISBLANK(I43),I43=""),EOMONTH(DATE(EINSTELLUNG!$C$35,$A$1,1),0),I43)-MAX(D43,DATE(EINSTELLUNG!$C$35,$A$1,1))+1)/DAY(EOMONTH(DATE(EINSTELLUNG!$C$35,$A$1,1),0))*F43,2),"")</f>
        <v>86.5</v>
      </c>
      <c r="I43" s="57"/>
      <c r="J43" s="58"/>
      <c r="K43" s="152">
        <f t="shared" si="1"/>
        <v>0</v>
      </c>
      <c r="L43" s="15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9"/>
      <c r="N43" s="75"/>
      <c r="O43" s="164"/>
      <c r="P43" s="164"/>
      <c r="Q43" s="164"/>
      <c r="R43" s="149"/>
      <c r="S43" s="149"/>
      <c r="T43" s="149"/>
      <c r="U43" s="149"/>
      <c r="V43" s="149"/>
    </row>
    <row r="44" spans="1:22" ht="22" customHeight="1">
      <c r="A44" s="151" t="s">
        <v>114</v>
      </c>
      <c r="B44" s="101">
        <v>401745</v>
      </c>
      <c r="C44" s="45" t="s">
        <v>271</v>
      </c>
      <c r="D44" s="46">
        <v>45934</v>
      </c>
      <c r="E44" s="47" t="s">
        <v>2</v>
      </c>
      <c r="F44" s="48">
        <v>86.5</v>
      </c>
      <c r="G44" s="152">
        <f>IF(OR(E44="",F44=""),"",PID_KVLohnLookup($A$1,E44,F44,LOHNTABELLE!$H$4))</f>
        <v>2152</v>
      </c>
      <c r="H44" s="153">
        <f>IF(AND(ISNUMBER(D44),ISNUMBER(F44)),ROUNDDOWN(MIN(IF(OR(ISBLANK(I44),I44=""),EOMONTH(DATE(EINSTELLUNG!$C$35,$A$1,1),0),I44)-MAX(D44,DATE(EINSTELLUNG!$C$35,$A$1,1))+1)/DAY(EOMONTH(DATE(EINSTELLUNG!$C$35,$A$1,1),0))*F44,2),"")</f>
        <v>86.5</v>
      </c>
      <c r="I44" s="49"/>
      <c r="J44" s="50"/>
      <c r="K44" s="152">
        <f t="shared" si="1"/>
        <v>0</v>
      </c>
      <c r="L44" s="15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51"/>
      <c r="N44" s="74"/>
      <c r="O44" s="275" t="s">
        <v>115</v>
      </c>
      <c r="P44" s="275"/>
      <c r="Q44" s="275"/>
      <c r="R44" s="275"/>
      <c r="S44" s="275"/>
      <c r="T44" s="275"/>
      <c r="U44" s="275"/>
      <c r="V44" s="275"/>
    </row>
    <row r="45" spans="1:22" ht="22" customHeight="1">
      <c r="A45" s="151" t="s">
        <v>116</v>
      </c>
      <c r="B45" s="102">
        <v>401746</v>
      </c>
      <c r="C45" s="53" t="s">
        <v>270</v>
      </c>
      <c r="D45" s="54">
        <v>45941</v>
      </c>
      <c r="E45" s="55" t="s">
        <v>2</v>
      </c>
      <c r="F45" s="56">
        <v>86.5</v>
      </c>
      <c r="G45" s="152">
        <f>IF(OR(E45="",F45=""),"",PID_KVLohnLookup($A$1,E45,F45,LOHNTABELLE!$H$4))</f>
        <v>2152</v>
      </c>
      <c r="H45" s="153">
        <f>IF(AND(ISNUMBER(D45),ISNUMBER(F45)),ROUNDDOWN(MIN(IF(OR(ISBLANK(I45),I45=""),EOMONTH(DATE(EINSTELLUNG!$C$35,$A$1,1),0),I45)-MAX(D45,DATE(EINSTELLUNG!$C$35,$A$1,1))+1)/DAY(EOMONTH(DATE(EINSTELLUNG!$C$35,$A$1,1),0))*F45,2),"")</f>
        <v>86.5</v>
      </c>
      <c r="I45" s="57"/>
      <c r="J45" s="58"/>
      <c r="K45" s="152">
        <f t="shared" si="1"/>
        <v>0</v>
      </c>
      <c r="L45" s="15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9"/>
      <c r="N45" s="75"/>
      <c r="O45" s="276"/>
      <c r="P45" s="276"/>
      <c r="Q45" s="276"/>
      <c r="R45" s="277"/>
      <c r="S45" s="277"/>
      <c r="T45" s="277"/>
      <c r="U45" s="277"/>
      <c r="V45" s="149"/>
    </row>
    <row r="46" spans="1:22" ht="22" customHeight="1">
      <c r="A46" s="151" t="s">
        <v>117</v>
      </c>
      <c r="B46" s="101">
        <v>401747</v>
      </c>
      <c r="C46" s="45" t="s">
        <v>268</v>
      </c>
      <c r="D46" s="46">
        <v>45941</v>
      </c>
      <c r="E46" s="47" t="s">
        <v>2</v>
      </c>
      <c r="F46" s="48">
        <v>86.5</v>
      </c>
      <c r="G46" s="152">
        <f>IF(OR(E46="",F46=""),"",PID_KVLohnLookup($A$1,E46,F46,LOHNTABELLE!$H$4))</f>
        <v>2152</v>
      </c>
      <c r="H46" s="153">
        <f>IF(AND(ISNUMBER(D46),ISNUMBER(F46)),ROUNDDOWN(MIN(IF(OR(ISBLANK(I46),I46=""),EOMONTH(DATE(EINSTELLUNG!$C$35,$A$1,1),0),I46)-MAX(D46,DATE(EINSTELLUNG!$C$35,$A$1,1))+1)/DAY(EOMONTH(DATE(EINSTELLUNG!$C$35,$A$1,1),0))*F46,2),"")</f>
        <v>86.5</v>
      </c>
      <c r="I46" s="49"/>
      <c r="J46" s="50"/>
      <c r="K46" s="152">
        <f t="shared" si="1"/>
        <v>0</v>
      </c>
      <c r="L46" s="15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2152</v>
      </c>
      <c r="M46" s="51"/>
      <c r="N46" s="74"/>
      <c r="O46" s="149"/>
      <c r="P46" s="149"/>
      <c r="Q46" s="149"/>
      <c r="R46" s="149"/>
      <c r="S46" s="149"/>
      <c r="T46" s="149"/>
      <c r="U46" s="149"/>
      <c r="V46" s="149"/>
    </row>
    <row r="47" spans="1:22" ht="22" customHeight="1">
      <c r="A47" s="151" t="s">
        <v>118</v>
      </c>
      <c r="B47" s="102">
        <v>401748</v>
      </c>
      <c r="C47" s="53" t="s">
        <v>269</v>
      </c>
      <c r="D47" s="54">
        <v>45941</v>
      </c>
      <c r="E47" s="55" t="s">
        <v>2</v>
      </c>
      <c r="F47" s="56">
        <v>138.4</v>
      </c>
      <c r="G47" s="152">
        <f>IF(OR(E47="",F47=""),"",PID_KVLohnLookup($A$1,E47,F47,LOHNTABELLE!$H$4))</f>
        <v>2400</v>
      </c>
      <c r="H47" s="153">
        <f>IF(AND(ISNUMBER(D47),ISNUMBER(F47)),ROUNDDOWN(MIN(IF(OR(ISBLANK(I47),I47=""),EOMONTH(DATE(EINSTELLUNG!$C$35,$A$1,1),0),I47)-MAX(D47,DATE(EINSTELLUNG!$C$35,$A$1,1))+1)/DAY(EOMONTH(DATE(EINSTELLUNG!$C$35,$A$1,1),0))*F47,2),"")</f>
        <v>138.4</v>
      </c>
      <c r="I47" s="57"/>
      <c r="J47" s="58"/>
      <c r="K47" s="152">
        <f t="shared" si="1"/>
        <v>0</v>
      </c>
      <c r="L47" s="15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2400</v>
      </c>
      <c r="M47" s="59"/>
      <c r="N47" s="75"/>
      <c r="O47" s="149"/>
      <c r="P47" s="149"/>
      <c r="Q47" s="149"/>
      <c r="R47" s="149"/>
      <c r="S47" s="149"/>
      <c r="T47" s="149"/>
      <c r="U47" s="149"/>
      <c r="V47" s="149"/>
    </row>
    <row r="48" spans="1:22" ht="22" customHeight="1">
      <c r="A48" s="151" t="s">
        <v>119</v>
      </c>
      <c r="B48" s="101">
        <v>401751</v>
      </c>
      <c r="C48" s="45" t="s">
        <v>272</v>
      </c>
      <c r="D48" s="46">
        <v>45961</v>
      </c>
      <c r="E48" s="47" t="s">
        <v>2</v>
      </c>
      <c r="F48" s="48">
        <v>86.5</v>
      </c>
      <c r="G48" s="152">
        <f>IF(OR(E48="",F48=""),"",PID_KVLohnLookup($A$1,E48,F48,LOHNTABELLE!$H$4))</f>
        <v>2152</v>
      </c>
      <c r="H48" s="153">
        <f>IF(AND(ISNUMBER(D48),ISNUMBER(F48)),ROUNDDOWN(MIN(IF(OR(ISBLANK(I48),I48=""),EOMONTH(DATE(EINSTELLUNG!$C$35,$A$1,1),0),I48)-MAX(D48,DATE(EINSTELLUNG!$C$35,$A$1,1))+1)/DAY(EOMONTH(DATE(EINSTELLUNG!$C$35,$A$1,1),0))*F48,2),"")</f>
        <v>86.5</v>
      </c>
      <c r="I48" s="49"/>
      <c r="J48" s="50"/>
      <c r="K48" s="152">
        <f t="shared" si="1"/>
        <v>0</v>
      </c>
      <c r="L48" s="15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2152</v>
      </c>
      <c r="M48" s="51"/>
      <c r="N48" s="74"/>
      <c r="O48" s="149"/>
      <c r="P48" s="149"/>
      <c r="Q48" s="149"/>
      <c r="R48" s="149"/>
      <c r="S48" s="149"/>
      <c r="T48" s="149"/>
      <c r="U48" s="149"/>
      <c r="V48" s="149"/>
    </row>
    <row r="49" spans="1:22" ht="22" customHeight="1">
      <c r="A49" s="151" t="s">
        <v>120</v>
      </c>
      <c r="B49" s="102">
        <v>401752</v>
      </c>
      <c r="C49" s="53" t="s">
        <v>273</v>
      </c>
      <c r="D49" s="54">
        <v>45986</v>
      </c>
      <c r="E49" s="55" t="s">
        <v>2</v>
      </c>
      <c r="F49" s="56">
        <v>173</v>
      </c>
      <c r="G49" s="152">
        <f>IF(OR(E49="",F49=""),"",PID_KVLohnLookup($A$1,E49,F49,LOHNTABELLE!$H$4))</f>
        <v>2900</v>
      </c>
      <c r="H49" s="153">
        <f>IF(AND(ISNUMBER(D49),ISNUMBER(F49)),ROUNDDOWN(MIN(IF(OR(ISBLANK(I49),I49=""),EOMONTH(DATE(EINSTELLUNG!$C$35,$A$1,1),0),I49)-MAX(D49,DATE(EINSTELLUNG!$C$35,$A$1,1))+1)/DAY(EOMONTH(DATE(EINSTELLUNG!$C$35,$A$1,1),0))*F49,2),"")</f>
        <v>173</v>
      </c>
      <c r="I49" s="57"/>
      <c r="J49" s="58"/>
      <c r="K49" s="152">
        <f t="shared" si="1"/>
        <v>0</v>
      </c>
      <c r="L49" s="15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2900</v>
      </c>
      <c r="M49" s="59"/>
      <c r="N49" s="75"/>
      <c r="O49" s="149"/>
      <c r="P49" s="149"/>
      <c r="Q49" s="149"/>
      <c r="R49" s="149"/>
      <c r="S49" s="149"/>
      <c r="T49" s="149"/>
      <c r="U49" s="149"/>
      <c r="V49" s="149"/>
    </row>
    <row r="50" spans="1:22" ht="22" customHeight="1">
      <c r="A50" s="151" t="s">
        <v>121</v>
      </c>
      <c r="B50" s="101">
        <v>401999</v>
      </c>
      <c r="C50" s="45" t="s">
        <v>358</v>
      </c>
      <c r="D50" s="46">
        <v>46041</v>
      </c>
      <c r="E50" s="47" t="s">
        <v>2</v>
      </c>
      <c r="F50" s="48">
        <v>151.38</v>
      </c>
      <c r="G50" s="152">
        <f>IF(OR(E50="",F50=""),"",PID_KVLohnLookup($A$1,E50,F50,LOHNTABELLE!$H$4))</f>
        <v>2500</v>
      </c>
      <c r="H50" s="153">
        <f>IF(AND(ISNUMBER(D50),ISNUMBER(F50)),ROUNDDOWN(MIN(IF(OR(ISBLANK(I50),I50=""),EOMONTH(DATE(EINSTELLUNG!$C$35,$A$1,1),0),I50)-MAX(D50,DATE(EINSTELLUNG!$C$35,$A$1,1))+1)/DAY(EOMONTH(DATE(EINSTELLUNG!$C$35,$A$1,1),0))*F50,2),"")</f>
        <v>151.38</v>
      </c>
      <c r="I50" s="49"/>
      <c r="J50" s="50"/>
      <c r="K50" s="152">
        <f t="shared" si="1"/>
        <v>0</v>
      </c>
      <c r="L50" s="15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2500</v>
      </c>
      <c r="M50" s="51"/>
      <c r="N50" s="74"/>
      <c r="O50" s="149"/>
      <c r="P50" s="149"/>
      <c r="Q50" s="149"/>
      <c r="R50" s="149"/>
      <c r="S50" s="149"/>
      <c r="T50" s="149"/>
      <c r="U50" s="149"/>
      <c r="V50" s="149"/>
    </row>
    <row r="51" spans="1:22" ht="22" customHeight="1">
      <c r="A51" s="151" t="s">
        <v>122</v>
      </c>
      <c r="B51" s="102">
        <v>401999</v>
      </c>
      <c r="C51" s="53" t="s">
        <v>295</v>
      </c>
      <c r="D51" s="57">
        <v>46082</v>
      </c>
      <c r="E51" s="55" t="s">
        <v>2</v>
      </c>
      <c r="F51" s="56">
        <v>173</v>
      </c>
      <c r="G51" s="152">
        <f>IF(OR(E51="",F51=""),"",PID_KVLohnLookup($A$1,E51,F51,LOHNTABELLE!$H$4))</f>
        <v>2900</v>
      </c>
      <c r="H51" s="153">
        <f>IF(AND(ISNUMBER(D51),ISNUMBER(F51)),ROUNDDOWN(MIN(IF(OR(ISBLANK(I51),I51=""),EOMONTH(DATE(EINSTELLUNG!$C$35,$A$1,1),0),I51)-MAX(D51,DATE(EINSTELLUNG!$C$35,$A$1,1))+1)/DAY(EOMONTH(DATE(EINSTELLUNG!$C$35,$A$1,1),0))*F51,2),"")</f>
        <v>173</v>
      </c>
      <c r="I51" s="57"/>
      <c r="J51" s="58"/>
      <c r="K51" s="152">
        <f t="shared" si="1"/>
        <v>0</v>
      </c>
      <c r="L51" s="15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2900</v>
      </c>
      <c r="M51" s="59"/>
      <c r="N51" s="75"/>
    </row>
    <row r="52" spans="1:22" ht="22" customHeight="1">
      <c r="A52" s="151" t="s">
        <v>123</v>
      </c>
      <c r="B52" s="101">
        <v>402000</v>
      </c>
      <c r="C52" s="45" t="s">
        <v>298</v>
      </c>
      <c r="D52" s="49">
        <v>46143</v>
      </c>
      <c r="E52" s="47" t="s">
        <v>2</v>
      </c>
      <c r="F52" s="48">
        <v>173</v>
      </c>
      <c r="G52" s="152">
        <f>IF(OR(E52="",F52=""),"",PID_KVLohnLookup($A$1,E52,F52,LOHNTABELLE!$H$4))</f>
        <v>2900</v>
      </c>
      <c r="H52" s="153">
        <f>IF(AND(ISNUMBER(D52),ISNUMBER(F52)),ROUNDDOWN(MIN(IF(OR(ISBLANK(I52),I52=""),EOMONTH(DATE(EINSTELLUNG!$C$35,$A$1,1),0),I52)-MAX(D52,DATE(EINSTELLUNG!$C$35,$A$1,1))+1)/DAY(EOMONTH(DATE(EINSTELLUNG!$C$35,$A$1,1),0))*F52,2),"")</f>
        <v>173</v>
      </c>
      <c r="I52" s="49"/>
      <c r="J52" s="50"/>
      <c r="K52" s="152">
        <f t="shared" si="1"/>
        <v>0</v>
      </c>
      <c r="L52" s="15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51"/>
      <c r="N52" s="74"/>
    </row>
    <row r="53" spans="1:22" ht="22" customHeight="1">
      <c r="A53" s="151" t="s">
        <v>124</v>
      </c>
      <c r="B53" s="102">
        <v>402004</v>
      </c>
      <c r="C53" s="70" t="s">
        <v>299</v>
      </c>
      <c r="D53" s="57">
        <v>46122</v>
      </c>
      <c r="E53" s="55" t="s">
        <v>2</v>
      </c>
      <c r="F53" s="56">
        <v>173</v>
      </c>
      <c r="G53" s="152">
        <f>IF(OR(E53="",F53=""),"",PID_KVLohnLookup($A$1,E53,F53,LOHNTABELLE!$H$4))</f>
        <v>2900</v>
      </c>
      <c r="H53" s="153">
        <f>IF(AND(ISNUMBER(D53),ISNUMBER(F53)),ROUNDDOWN(MIN(IF(OR(ISBLANK(I53),I53=""),EOMONTH(DATE(EINSTELLUNG!$C$35,$A$1,1),0),I53)-MAX(D53,DATE(EINSTELLUNG!$C$35,$A$1,1))+1)/DAY(EOMONTH(DATE(EINSTELLUNG!$C$35,$A$1,1),0))*F53,2),"")</f>
        <v>173</v>
      </c>
      <c r="I53" s="57"/>
      <c r="J53" s="58"/>
      <c r="K53" s="152">
        <f t="shared" si="1"/>
        <v>0</v>
      </c>
      <c r="L53" s="15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9"/>
      <c r="N53" s="75"/>
    </row>
    <row r="54" spans="1:22" ht="22" customHeight="1">
      <c r="A54" s="151" t="s">
        <v>125</v>
      </c>
      <c r="B54" s="101">
        <v>402405</v>
      </c>
      <c r="C54" s="45" t="s">
        <v>301</v>
      </c>
      <c r="D54" s="49">
        <v>46054</v>
      </c>
      <c r="E54" s="47" t="s">
        <v>2</v>
      </c>
      <c r="F54" s="48">
        <v>173</v>
      </c>
      <c r="G54" s="152">
        <f>IF(OR(E54="",F54=""),"",PID_KVLohnLookup($A$1,E54,F54,LOHNTABELLE!$H$4))</f>
        <v>2900</v>
      </c>
      <c r="H54" s="153">
        <f>IF(AND(ISNUMBER(D54),ISNUMBER(F54)),ROUNDDOWN(MIN(IF(OR(ISBLANK(I54),I54=""),EOMONTH(DATE(EINSTELLUNG!$C$35,$A$1,1),0),I54)-MAX(D54,DATE(EINSTELLUNG!$C$35,$A$1,1))+1)/DAY(EOMONTH(DATE(EINSTELLUNG!$C$35,$A$1,1),0))*F54,2),"")</f>
        <v>173</v>
      </c>
      <c r="I54" s="49"/>
      <c r="J54" s="50"/>
      <c r="K54" s="152">
        <f t="shared" si="1"/>
        <v>0</v>
      </c>
      <c r="L54" s="15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51"/>
      <c r="N54" s="74"/>
    </row>
    <row r="55" spans="1:22" ht="22" customHeight="1">
      <c r="A55" s="151" t="s">
        <v>126</v>
      </c>
      <c r="B55" s="102">
        <v>500600</v>
      </c>
      <c r="C55" s="53" t="s">
        <v>305</v>
      </c>
      <c r="D55" s="57">
        <v>46054</v>
      </c>
      <c r="E55" s="55" t="s">
        <v>2</v>
      </c>
      <c r="F55" s="56">
        <v>173</v>
      </c>
      <c r="G55" s="152">
        <f>IF(OR(E55="",F55=""),"",PID_KVLohnLookup($A$1,E55,F55,LOHNTABELLE!$H$4))</f>
        <v>2900</v>
      </c>
      <c r="H55" s="153">
        <f>IF(AND(ISNUMBER(D55),ISNUMBER(F55)),ROUNDDOWN(MIN(IF(OR(ISBLANK(I55),I55=""),EOMONTH(DATE(EINSTELLUNG!$C$35,$A$1,1),0),I55)-MAX(D55,DATE(EINSTELLUNG!$C$35,$A$1,1))+1)/DAY(EOMONTH(DATE(EINSTELLUNG!$C$35,$A$1,1),0))*F55,2),"")</f>
        <v>173</v>
      </c>
      <c r="I55" s="57"/>
      <c r="J55" s="58"/>
      <c r="K55" s="152">
        <f t="shared" si="1"/>
        <v>0</v>
      </c>
      <c r="L55" s="15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9"/>
      <c r="N55" s="75"/>
    </row>
    <row r="56" spans="1:22" ht="22" customHeight="1">
      <c r="A56" s="151" t="s">
        <v>127</v>
      </c>
      <c r="B56" s="101">
        <v>502000</v>
      </c>
      <c r="C56" s="45" t="s">
        <v>300</v>
      </c>
      <c r="D56" s="49">
        <v>46147</v>
      </c>
      <c r="E56" s="47" t="s">
        <v>2</v>
      </c>
      <c r="F56" s="48">
        <v>173</v>
      </c>
      <c r="G56" s="152">
        <f>IF(OR(E56="",F56=""),"",PID_KVLohnLookup($A$1,E56,F56,LOHNTABELLE!$H$4))</f>
        <v>2900</v>
      </c>
      <c r="H56" s="153">
        <f>IF(AND(ISNUMBER(D56),ISNUMBER(F56)),ROUNDDOWN(MIN(IF(OR(ISBLANK(I56),I56=""),EOMONTH(DATE(EINSTELLUNG!$C$35,$A$1,1),0),I56)-MAX(D56,DATE(EINSTELLUNG!$C$35,$A$1,1))+1)/DAY(EOMONTH(DATE(EINSTELLUNG!$C$35,$A$1,1),0))*F56,2),"")</f>
        <v>173</v>
      </c>
      <c r="I56" s="49"/>
      <c r="J56" s="50"/>
      <c r="K56" s="152">
        <f t="shared" si="1"/>
        <v>0</v>
      </c>
      <c r="L56" s="15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51"/>
      <c r="N56" s="74"/>
    </row>
    <row r="57" spans="1:22" ht="22" customHeight="1">
      <c r="A57" s="151" t="s">
        <v>128</v>
      </c>
      <c r="B57" s="102">
        <v>503000</v>
      </c>
      <c r="C57" s="53" t="s">
        <v>302</v>
      </c>
      <c r="D57" s="57">
        <v>42401</v>
      </c>
      <c r="E57" s="55" t="s">
        <v>2</v>
      </c>
      <c r="F57" s="56">
        <v>173</v>
      </c>
      <c r="G57" s="152">
        <f>IF(OR(E57="",F57=""),"",PID_KVLohnLookup($A$1,E57,F57,LOHNTABELLE!$H$4))</f>
        <v>2900</v>
      </c>
      <c r="H57" s="153">
        <f>IF(AND(ISNUMBER(D57),ISNUMBER(F57)),ROUNDDOWN(MIN(IF(OR(ISBLANK(I57),I57=""),EOMONTH(DATE(EINSTELLUNG!$C$35,$A$1,1),0),I57)-MAX(D57,DATE(EINSTELLUNG!$C$35,$A$1,1))+1)/DAY(EOMONTH(DATE(EINSTELLUNG!$C$35,$A$1,1),0))*F57,2),"")</f>
        <v>173</v>
      </c>
      <c r="I57" s="57"/>
      <c r="J57" s="58"/>
      <c r="K57" s="152">
        <f t="shared" si="1"/>
        <v>0</v>
      </c>
      <c r="L57" s="15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2900</v>
      </c>
      <c r="M57" s="59"/>
      <c r="N57" s="75"/>
    </row>
    <row r="58" spans="1:22" ht="22" customHeight="1">
      <c r="A58" s="151" t="s">
        <v>129</v>
      </c>
      <c r="B58" s="101">
        <v>504000</v>
      </c>
      <c r="C58" s="45" t="s">
        <v>303</v>
      </c>
      <c r="D58" s="49">
        <v>46054</v>
      </c>
      <c r="E58" s="47" t="s">
        <v>3</v>
      </c>
      <c r="F58" s="48">
        <v>138.4</v>
      </c>
      <c r="G58" s="152">
        <f>IF(OR(E58="",F58=""),"",PID_KVLohnLookup($A$1,E58,F58,LOHNTABELLE!$H$4))</f>
        <v>1665.6</v>
      </c>
      <c r="H58" s="153">
        <f>IF(AND(ISNUMBER(D58),ISNUMBER(F58)),ROUNDDOWN(MIN(IF(OR(ISBLANK(I58),I58=""),EOMONTH(DATE(EINSTELLUNG!$C$35,$A$1,1),0),I58)-MAX(D58,DATE(EINSTELLUNG!$C$35,$A$1,1))+1)/DAY(EOMONTH(DATE(EINSTELLUNG!$C$35,$A$1,1),0))*F58,2),"")</f>
        <v>138.4</v>
      </c>
      <c r="I58" s="49"/>
      <c r="J58" s="50"/>
      <c r="K58" s="152">
        <f t="shared" si="1"/>
        <v>0</v>
      </c>
      <c r="L58" s="15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1665.6</v>
      </c>
      <c r="M58" s="51"/>
      <c r="N58" s="74"/>
    </row>
    <row r="59" spans="1:22" ht="22" customHeight="1">
      <c r="A59" s="151" t="s">
        <v>130</v>
      </c>
      <c r="B59" s="102">
        <v>505000</v>
      </c>
      <c r="C59" s="53" t="s">
        <v>304</v>
      </c>
      <c r="D59" s="57">
        <v>46054</v>
      </c>
      <c r="E59" s="55" t="s">
        <v>2</v>
      </c>
      <c r="F59" s="56">
        <v>138.4</v>
      </c>
      <c r="G59" s="152">
        <f>IF(OR(E59="",F59=""),"",PID_KVLohnLookup($A$1,E59,F59,LOHNTABELLE!$H$4))</f>
        <v>2400</v>
      </c>
      <c r="H59" s="153">
        <f>IF(AND(ISNUMBER(D59),ISNUMBER(F59)),ROUNDDOWN(MIN(IF(OR(ISBLANK(I59),I59=""),EOMONTH(DATE(EINSTELLUNG!$C$35,$A$1,1),0),I59)-MAX(D59,DATE(EINSTELLUNG!$C$35,$A$1,1))+1)/DAY(EOMONTH(DATE(EINSTELLUNG!$C$35,$A$1,1),0))*F59,2),"")</f>
        <v>138.4</v>
      </c>
      <c r="I59" s="57"/>
      <c r="J59" s="58"/>
      <c r="K59" s="152">
        <f t="shared" si="1"/>
        <v>0</v>
      </c>
      <c r="L59" s="15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2400</v>
      </c>
      <c r="M59" s="59"/>
      <c r="N59" s="75"/>
    </row>
    <row r="60" spans="1:22" ht="22" customHeight="1">
      <c r="A60" s="151" t="s">
        <v>131</v>
      </c>
      <c r="B60" s="101">
        <v>525025</v>
      </c>
      <c r="C60" s="45" t="s">
        <v>359</v>
      </c>
      <c r="D60" s="49">
        <v>46040</v>
      </c>
      <c r="E60" s="47" t="s">
        <v>2</v>
      </c>
      <c r="F60" s="48">
        <v>129.75</v>
      </c>
      <c r="G60" s="152">
        <f>IF(OR(E60="",F60=""),"",PID_KVLohnLookup($A$1,E60,F60,LOHNTABELLE!$H$4))</f>
        <v>2300</v>
      </c>
      <c r="H60" s="153">
        <f>IF(AND(ISNUMBER(D60),ISNUMBER(F60)),ROUNDDOWN(MIN(IF(OR(ISBLANK(I60),I60=""),EOMONTH(DATE(EINSTELLUNG!$C$35,$A$1,1),0),I60)-MAX(D60,DATE(EINSTELLUNG!$C$35,$A$1,1))+1)/DAY(EOMONTH(DATE(EINSTELLUNG!$C$35,$A$1,1),0))*F60,2),"")</f>
        <v>129.75</v>
      </c>
      <c r="I60" s="49"/>
      <c r="J60" s="50"/>
      <c r="K60" s="152">
        <f t="shared" si="1"/>
        <v>0</v>
      </c>
      <c r="L60" s="15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2300</v>
      </c>
      <c r="M60" s="51"/>
      <c r="N60" s="74"/>
    </row>
    <row r="61" spans="1:22" ht="22" customHeight="1">
      <c r="A61" s="151" t="s">
        <v>132</v>
      </c>
      <c r="B61" s="102">
        <v>700000</v>
      </c>
      <c r="C61" s="53" t="s">
        <v>312</v>
      </c>
      <c r="D61" s="57">
        <v>46054</v>
      </c>
      <c r="E61" s="55" t="s">
        <v>2</v>
      </c>
      <c r="F61" s="56">
        <v>173</v>
      </c>
      <c r="G61" s="152">
        <f>IF(OR(E61="",F61=""),"",PID_KVLohnLookup($A$1,E61,F61,LOHNTABELLE!$H$4))</f>
        <v>2900</v>
      </c>
      <c r="H61" s="153">
        <f>IF(AND(ISNUMBER(D61),ISNUMBER(F61)),ROUNDDOWN(MIN(IF(OR(ISBLANK(I61),I61=""),EOMONTH(DATE(EINSTELLUNG!$C$35,$A$1,1),0),I61)-MAX(D61,DATE(EINSTELLUNG!$C$35,$A$1,1))+1)/DAY(EOMONTH(DATE(EINSTELLUNG!$C$35,$A$1,1),0))*F61,2),"")</f>
        <v>173</v>
      </c>
      <c r="I61" s="57"/>
      <c r="J61" s="58"/>
      <c r="K61" s="152">
        <f t="shared" si="1"/>
        <v>0</v>
      </c>
      <c r="L61" s="15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2900</v>
      </c>
      <c r="M61" s="59"/>
      <c r="N61" s="75"/>
    </row>
    <row r="62" spans="1:22" ht="22" customHeight="1">
      <c r="A62" s="151" t="s">
        <v>133</v>
      </c>
      <c r="B62" s="101">
        <v>800000</v>
      </c>
      <c r="C62" s="45" t="s">
        <v>313</v>
      </c>
      <c r="D62" s="49">
        <v>46096</v>
      </c>
      <c r="E62" s="47" t="s">
        <v>2</v>
      </c>
      <c r="F62" s="48">
        <v>86.5</v>
      </c>
      <c r="G62" s="152">
        <f>IF(OR(E62="",F62=""),"",PID_KVLohnLookup($A$1,E62,F62,LOHNTABELLE!$H$4))</f>
        <v>2152</v>
      </c>
      <c r="H62" s="153">
        <f>IF(AND(ISNUMBER(D62),ISNUMBER(F62)),ROUNDDOWN(MIN(IF(OR(ISBLANK(I62),I62=""),EOMONTH(DATE(EINSTELLUNG!$C$35,$A$1,1),0),I62)-MAX(D62,DATE(EINSTELLUNG!$C$35,$A$1,1))+1)/DAY(EOMONTH(DATE(EINSTELLUNG!$C$35,$A$1,1),0))*F62,2),"")</f>
        <v>86.5</v>
      </c>
      <c r="I62" s="49"/>
      <c r="J62" s="50"/>
      <c r="K62" s="152">
        <f t="shared" si="1"/>
        <v>0</v>
      </c>
      <c r="L62" s="154">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2152</v>
      </c>
      <c r="M62" s="51"/>
      <c r="N62" s="74"/>
    </row>
    <row r="63" spans="1:22" ht="22" customHeight="1">
      <c r="A63" s="151" t="s">
        <v>134</v>
      </c>
      <c r="B63" s="102"/>
      <c r="C63" s="53"/>
      <c r="D63" s="57"/>
      <c r="E63" s="55"/>
      <c r="F63" s="56"/>
      <c r="G63" s="152" t="str">
        <f>IF(OR(E63="",F63=""),"",PID_KVLohnLookup($A$1,E63,F63,LOHNTABELLE!$H$4))</f>
        <v/>
      </c>
      <c r="H63" s="153" t="str">
        <f>IF(AND(ISNUMBER(D63),ISNUMBER(F63)),ROUNDDOWN(MIN(IF(OR(ISBLANK(I63),I63=""),EOMONTH(DATE(EINSTELLUNG!$C$35,$A$1,1),0),I63)-MAX(D63,DATE(EINSTELLUNG!$C$35,$A$1,1))+1)/DAY(EOMONTH(DATE(EINSTELLUNG!$C$35,$A$1,1),0))*F63,2),"")</f>
        <v/>
      </c>
      <c r="I63" s="57"/>
      <c r="J63" s="58"/>
      <c r="K63" s="152" t="str">
        <f t="shared" si="1"/>
        <v/>
      </c>
      <c r="L63" s="15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9"/>
      <c r="N63" s="75"/>
    </row>
    <row r="64" spans="1:22" ht="22" customHeight="1">
      <c r="A64" s="151" t="s">
        <v>135</v>
      </c>
      <c r="B64" s="101"/>
      <c r="C64" s="45"/>
      <c r="D64" s="49"/>
      <c r="E64" s="47"/>
      <c r="F64" s="48"/>
      <c r="G64" s="152" t="str">
        <f>IF(OR(E64="",F64=""),"",PID_KVLohnLookup($A$1,E64,F64,LOHNTABELLE!$H$4))</f>
        <v/>
      </c>
      <c r="H64" s="153" t="str">
        <f>IF(AND(ISNUMBER(D64),ISNUMBER(F64)),ROUNDDOWN(MIN(IF(OR(ISBLANK(I64),I64=""),EOMONTH(DATE(EINSTELLUNG!$C$35,$A$1,1),0),I64)-MAX(D64,DATE(EINSTELLUNG!$C$35,$A$1,1))+1)/DAY(EOMONTH(DATE(EINSTELLUNG!$C$35,$A$1,1),0))*F64,2),"")</f>
        <v/>
      </c>
      <c r="I64" s="49"/>
      <c r="J64" s="50"/>
      <c r="K64" s="152" t="str">
        <f t="shared" si="1"/>
        <v/>
      </c>
      <c r="L64" s="15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51"/>
      <c r="N64" s="74"/>
    </row>
    <row r="65" spans="1:14" ht="22" customHeight="1">
      <c r="A65" s="151" t="s">
        <v>136</v>
      </c>
      <c r="B65" s="102"/>
      <c r="C65" s="53"/>
      <c r="D65" s="57"/>
      <c r="E65" s="55"/>
      <c r="F65" s="56"/>
      <c r="G65" s="152" t="str">
        <f>IF(OR(E65="",F65=""),"",PID_KVLohnLookup($A$1,E65,F65,LOHNTABELLE!$H$4))</f>
        <v/>
      </c>
      <c r="H65" s="153" t="str">
        <f>IF(AND(ISNUMBER(D65),ISNUMBER(F65)),ROUNDDOWN(MIN(IF(OR(ISBLANK(I65),I65=""),EOMONTH(DATE(EINSTELLUNG!$C$35,$A$1,1),0),I65)-MAX(D65,DATE(EINSTELLUNG!$C$35,$A$1,1))+1)/DAY(EOMONTH(DATE(EINSTELLUNG!$C$35,$A$1,1),0))*F65,2),"")</f>
        <v/>
      </c>
      <c r="I65" s="57"/>
      <c r="J65" s="58"/>
      <c r="K65" s="152" t="str">
        <f t="shared" si="1"/>
        <v/>
      </c>
      <c r="L65" s="15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9"/>
      <c r="N65" s="75"/>
    </row>
    <row r="66" spans="1:14" ht="22" customHeight="1">
      <c r="A66" s="151" t="s">
        <v>137</v>
      </c>
      <c r="B66" s="101"/>
      <c r="C66" s="45"/>
      <c r="D66" s="49"/>
      <c r="E66" s="47"/>
      <c r="F66" s="48"/>
      <c r="G66" s="152" t="str">
        <f>IF(OR(E66="",F66=""),"",PID_KVLohnLookup($A$1,E66,F66,LOHNTABELLE!$H$4))</f>
        <v/>
      </c>
      <c r="H66" s="153" t="str">
        <f>IF(AND(ISNUMBER(D66),ISNUMBER(F66)),ROUNDDOWN(MIN(IF(OR(ISBLANK(I66),I66=""),EOMONTH(DATE(EINSTELLUNG!$C$35,$A$1,1),0),I66)-MAX(D66,DATE(EINSTELLUNG!$C$35,$A$1,1))+1)/DAY(EOMONTH(DATE(EINSTELLUNG!$C$35,$A$1,1),0))*F66,2),"")</f>
        <v/>
      </c>
      <c r="I66" s="49"/>
      <c r="J66" s="50"/>
      <c r="K66" s="152" t="str">
        <f t="shared" si="1"/>
        <v/>
      </c>
      <c r="L66" s="15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51"/>
      <c r="N66" s="74"/>
    </row>
    <row r="67" spans="1:14" ht="22" customHeight="1">
      <c r="A67" s="151" t="s">
        <v>138</v>
      </c>
      <c r="B67" s="102"/>
      <c r="C67" s="53"/>
      <c r="D67" s="57"/>
      <c r="E67" s="55"/>
      <c r="F67" s="56"/>
      <c r="G67" s="152" t="str">
        <f>IF(OR(E67="",F67=""),"",PID_KVLohnLookup($A$1,E67,F67,LOHNTABELLE!$H$4))</f>
        <v/>
      </c>
      <c r="H67" s="153" t="str">
        <f>IF(AND(ISNUMBER(D67),ISNUMBER(F67)),ROUNDDOWN(MIN(IF(OR(ISBLANK(I67),I67=""),EOMONTH(DATE(EINSTELLUNG!$C$35,$A$1,1),0),I67)-MAX(D67,DATE(EINSTELLUNG!$C$35,$A$1,1))+1)/DAY(EOMONTH(DATE(EINSTELLUNG!$C$35,$A$1,1),0))*F67,2),"")</f>
        <v/>
      </c>
      <c r="I67" s="57"/>
      <c r="J67" s="58"/>
      <c r="K67" s="152" t="str">
        <f t="shared" ref="K67:K82" si="3">IF(OR(B67="",C67=""),"",IFERROR(IF(OR(MONTH(D67)=1,MONTH(D67)=3,MONTH(D67)=5,MONTH(D67)=7,MONTH(D67)=8,MONTH(D67)=10,MONTH(D67)=12),(G67/31)*J67,IF(OR(MONTH(D67)=4,MONTH(D67)=6,MONTH(D67)=9,MONTH(D67)=11),(G67/30)*J67,(G67/DAY(EOMONTH(D67,0)))*J67)),0))</f>
        <v/>
      </c>
      <c r="L67" s="15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9"/>
      <c r="N67" s="75"/>
    </row>
    <row r="68" spans="1:14" ht="22" customHeight="1">
      <c r="A68" s="151" t="s">
        <v>139</v>
      </c>
      <c r="B68" s="101"/>
      <c r="C68" s="45"/>
      <c r="D68" s="49"/>
      <c r="E68" s="47"/>
      <c r="F68" s="48"/>
      <c r="G68" s="152" t="str">
        <f>IF(OR(E68="",F68=""),"",PID_KVLohnLookup($A$1,E68,F68,LOHNTABELLE!$H$4))</f>
        <v/>
      </c>
      <c r="H68" s="153" t="str">
        <f>IF(AND(ISNUMBER(D68),ISNUMBER(F68)),ROUNDDOWN(MIN(IF(OR(ISBLANK(I68),I68=""),EOMONTH(DATE(EINSTELLUNG!$C$35,$A$1,1),0),I68)-MAX(D68,DATE(EINSTELLUNG!$C$35,$A$1,1))+1)/DAY(EOMONTH(DATE(EINSTELLUNG!$C$35,$A$1,1),0))*F68,2),"")</f>
        <v/>
      </c>
      <c r="I68" s="49"/>
      <c r="J68" s="50"/>
      <c r="K68" s="152" t="str">
        <f t="shared" si="3"/>
        <v/>
      </c>
      <c r="L68" s="15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51"/>
      <c r="N68" s="74"/>
    </row>
    <row r="69" spans="1:14" ht="22" customHeight="1">
      <c r="A69" s="151" t="s">
        <v>140</v>
      </c>
      <c r="B69" s="102"/>
      <c r="C69" s="53"/>
      <c r="D69" s="57"/>
      <c r="E69" s="55"/>
      <c r="F69" s="56"/>
      <c r="G69" s="152" t="str">
        <f>IF(OR(E69="",F69=""),"",PID_KVLohnLookup($A$1,E69,F69,LOHNTABELLE!$H$4))</f>
        <v/>
      </c>
      <c r="H69" s="153" t="str">
        <f>IF(AND(ISNUMBER(D69),ISNUMBER(F69)),ROUNDDOWN(MIN(IF(OR(ISBLANK(I69),I69=""),EOMONTH(DATE(EINSTELLUNG!$C$35,$A$1,1),0),I69)-MAX(D69,DATE(EINSTELLUNG!$C$35,$A$1,1))+1)/DAY(EOMONTH(DATE(EINSTELLUNG!$C$35,$A$1,1),0))*F69,2),"")</f>
        <v/>
      </c>
      <c r="I69" s="57"/>
      <c r="J69" s="58"/>
      <c r="K69" s="152" t="str">
        <f t="shared" si="3"/>
        <v/>
      </c>
      <c r="L69" s="15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9"/>
      <c r="N69" s="75"/>
    </row>
    <row r="70" spans="1:14" ht="22" customHeight="1">
      <c r="A70" s="151" t="s">
        <v>141</v>
      </c>
      <c r="B70" s="101"/>
      <c r="C70" s="45"/>
      <c r="D70" s="49"/>
      <c r="E70" s="47"/>
      <c r="F70" s="48"/>
      <c r="G70" s="152" t="str">
        <f>IF(OR(E70="",F70=""),"",PID_KVLohnLookup($A$1,E70,F70,LOHNTABELLE!$H$4))</f>
        <v/>
      </c>
      <c r="H70" s="153" t="str">
        <f>IF(AND(ISNUMBER(D70),ISNUMBER(F70)),ROUNDDOWN(MIN(IF(OR(ISBLANK(I70),I70=""),EOMONTH(DATE(EINSTELLUNG!$C$35,$A$1,1),0),I70)-MAX(D70,DATE(EINSTELLUNG!$C$35,$A$1,1))+1)/DAY(EOMONTH(DATE(EINSTELLUNG!$C$35,$A$1,1),0))*F70,2),"")</f>
        <v/>
      </c>
      <c r="I70" s="49"/>
      <c r="J70" s="50"/>
      <c r="K70" s="152" t="str">
        <f t="shared" si="3"/>
        <v/>
      </c>
      <c r="L70" s="15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51"/>
      <c r="N70" s="74"/>
    </row>
    <row r="71" spans="1:14" ht="22" customHeight="1">
      <c r="A71" s="151" t="s">
        <v>142</v>
      </c>
      <c r="B71" s="102"/>
      <c r="C71" s="53"/>
      <c r="D71" s="57"/>
      <c r="E71" s="55"/>
      <c r="F71" s="56"/>
      <c r="G71" s="152" t="str">
        <f>IF(OR(E71="",F71=""),"",PID_KVLohnLookup($A$1,E71,F71,LOHNTABELLE!$H$4))</f>
        <v/>
      </c>
      <c r="H71" s="153" t="str">
        <f>IF(AND(ISNUMBER(D71),ISNUMBER(F71)),ROUNDDOWN(MIN(IF(OR(ISBLANK(I71),I71=""),EOMONTH(DATE(EINSTELLUNG!$C$35,$A$1,1),0),I71)-MAX(D71,DATE(EINSTELLUNG!$C$35,$A$1,1))+1)/DAY(EOMONTH(DATE(EINSTELLUNG!$C$35,$A$1,1),0))*F71,2),"")</f>
        <v/>
      </c>
      <c r="I71" s="57"/>
      <c r="J71" s="58"/>
      <c r="K71" s="152" t="str">
        <f t="shared" si="3"/>
        <v/>
      </c>
      <c r="L71" s="15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9"/>
      <c r="N71" s="75"/>
    </row>
    <row r="72" spans="1:14" ht="22" customHeight="1">
      <c r="A72" s="151" t="s">
        <v>143</v>
      </c>
      <c r="B72" s="101"/>
      <c r="C72" s="45"/>
      <c r="D72" s="49"/>
      <c r="E72" s="47"/>
      <c r="F72" s="48"/>
      <c r="G72" s="152" t="str">
        <f>IF(OR(E72="",F72=""),"",PID_KVLohnLookup($A$1,E72,F72,LOHNTABELLE!$H$4))</f>
        <v/>
      </c>
      <c r="H72" s="153" t="str">
        <f>IF(AND(ISNUMBER(D72),ISNUMBER(F72)),ROUNDDOWN(MIN(IF(OR(ISBLANK(I72),I72=""),EOMONTH(DATE(EINSTELLUNG!$C$35,$A$1,1),0),I72)-MAX(D72,DATE(EINSTELLUNG!$C$35,$A$1,1))+1)/DAY(EOMONTH(DATE(EINSTELLUNG!$C$35,$A$1,1),0))*F72,2),"")</f>
        <v/>
      </c>
      <c r="I72" s="49"/>
      <c r="J72" s="50"/>
      <c r="K72" s="152" t="str">
        <f t="shared" si="3"/>
        <v/>
      </c>
      <c r="L72" s="15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51"/>
      <c r="N72" s="74"/>
    </row>
    <row r="73" spans="1:14" ht="22" customHeight="1">
      <c r="A73" s="151" t="s">
        <v>144</v>
      </c>
      <c r="B73" s="102"/>
      <c r="C73" s="53"/>
      <c r="D73" s="57"/>
      <c r="E73" s="55"/>
      <c r="F73" s="56"/>
      <c r="G73" s="152" t="str">
        <f>IF(OR(E73="",F73=""),"",PID_KVLohnLookup($A$1,E73,F73,LOHNTABELLE!$H$4))</f>
        <v/>
      </c>
      <c r="H73" s="153" t="str">
        <f>IF(AND(ISNUMBER(D73),ISNUMBER(F73)),ROUNDDOWN(MIN(IF(OR(ISBLANK(I73),I73=""),EOMONTH(DATE(EINSTELLUNG!$C$35,$A$1,1),0),I73)-MAX(D73,DATE(EINSTELLUNG!$C$35,$A$1,1))+1)/DAY(EOMONTH(DATE(EINSTELLUNG!$C$35,$A$1,1),0))*F73,2),"")</f>
        <v/>
      </c>
      <c r="I73" s="57"/>
      <c r="J73" s="58"/>
      <c r="K73" s="152" t="str">
        <f t="shared" si="3"/>
        <v/>
      </c>
      <c r="L73" s="15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9"/>
      <c r="N73" s="75"/>
    </row>
    <row r="74" spans="1:14" ht="22" customHeight="1">
      <c r="A74" s="151" t="s">
        <v>145</v>
      </c>
      <c r="B74" s="101"/>
      <c r="C74" s="45"/>
      <c r="D74" s="49"/>
      <c r="E74" s="47"/>
      <c r="F74" s="48"/>
      <c r="G74" s="152" t="str">
        <f>IF(OR(E74="",F74=""),"",PID_KVLohnLookup($A$1,E74,F74,LOHNTABELLE!$H$4))</f>
        <v/>
      </c>
      <c r="H74" s="153" t="str">
        <f>IF(AND(ISNUMBER(D74),ISNUMBER(F74)),ROUNDDOWN(MIN(IF(OR(ISBLANK(I74),I74=""),EOMONTH(DATE(EINSTELLUNG!$C$35,$A$1,1),0),I74)-MAX(D74,DATE(EINSTELLUNG!$C$35,$A$1,1))+1)/DAY(EOMONTH(DATE(EINSTELLUNG!$C$35,$A$1,1),0))*F74,2),"")</f>
        <v/>
      </c>
      <c r="I74" s="49"/>
      <c r="J74" s="50"/>
      <c r="K74" s="152" t="str">
        <f t="shared" si="3"/>
        <v/>
      </c>
      <c r="L74" s="15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51"/>
      <c r="N74" s="74"/>
    </row>
    <row r="75" spans="1:14" ht="22" customHeight="1">
      <c r="A75" s="151" t="s">
        <v>146</v>
      </c>
      <c r="B75" s="102"/>
      <c r="C75" s="53"/>
      <c r="D75" s="57"/>
      <c r="E75" s="55"/>
      <c r="F75" s="56"/>
      <c r="G75" s="152" t="str">
        <f>IF(OR(E75="",F75=""),"",PID_KVLohnLookup($A$1,E75,F75,LOHNTABELLE!$H$4))</f>
        <v/>
      </c>
      <c r="H75" s="153" t="str">
        <f>IF(AND(ISNUMBER(D75),ISNUMBER(F75)),ROUNDDOWN(MIN(IF(OR(ISBLANK(I75),I75=""),EOMONTH(DATE(EINSTELLUNG!$C$35,$A$1,1),0),I75)-MAX(D75,DATE(EINSTELLUNG!$C$35,$A$1,1))+1)/DAY(EOMONTH(DATE(EINSTELLUNG!$C$35,$A$1,1),0))*F75,2),"")</f>
        <v/>
      </c>
      <c r="I75" s="57"/>
      <c r="J75" s="58"/>
      <c r="K75" s="152" t="str">
        <f t="shared" si="3"/>
        <v/>
      </c>
      <c r="L75" s="15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9"/>
      <c r="N75" s="75"/>
    </row>
    <row r="76" spans="1:14" ht="22" customHeight="1">
      <c r="A76" s="151" t="s">
        <v>147</v>
      </c>
      <c r="B76" s="101"/>
      <c r="C76" s="45"/>
      <c r="D76" s="49"/>
      <c r="E76" s="47"/>
      <c r="F76" s="48"/>
      <c r="G76" s="152" t="str">
        <f>IF(OR(E76="",F76=""),"",PID_KVLohnLookup($A$1,E76,F76,LOHNTABELLE!$H$4))</f>
        <v/>
      </c>
      <c r="H76" s="153" t="str">
        <f>IF(AND(ISNUMBER(D76),ISNUMBER(F76)),ROUNDDOWN(MIN(IF(OR(ISBLANK(I76),I76=""),EOMONTH(DATE(EINSTELLUNG!$C$35,$A$1,1),0),I76)-MAX(D76,DATE(EINSTELLUNG!$C$35,$A$1,1))+1)/DAY(EOMONTH(DATE(EINSTELLUNG!$C$35,$A$1,1),0))*F76,2),"")</f>
        <v/>
      </c>
      <c r="I76" s="49"/>
      <c r="J76" s="50"/>
      <c r="K76" s="152" t="str">
        <f t="shared" si="3"/>
        <v/>
      </c>
      <c r="L76" s="15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51"/>
      <c r="N76" s="74"/>
    </row>
    <row r="77" spans="1:14" ht="22" customHeight="1">
      <c r="A77" s="151" t="s">
        <v>148</v>
      </c>
      <c r="B77" s="102"/>
      <c r="C77" s="53"/>
      <c r="D77" s="57"/>
      <c r="E77" s="55"/>
      <c r="F77" s="56"/>
      <c r="G77" s="152" t="str">
        <f>IF(OR(E77="",F77=""),"",PID_KVLohnLookup($A$1,E77,F77,LOHNTABELLE!$H$4))</f>
        <v/>
      </c>
      <c r="H77" s="153" t="str">
        <f>IF(AND(ISNUMBER(D77),ISNUMBER(F77)),ROUNDDOWN(MIN(IF(OR(ISBLANK(I77),I77=""),EOMONTH(DATE(EINSTELLUNG!$C$35,$A$1,1),0),I77)-MAX(D77,DATE(EINSTELLUNG!$C$35,$A$1,1))+1)/DAY(EOMONTH(DATE(EINSTELLUNG!$C$35,$A$1,1),0))*F77,2),"")</f>
        <v/>
      </c>
      <c r="I77" s="57"/>
      <c r="J77" s="58"/>
      <c r="K77" s="152" t="str">
        <f t="shared" si="3"/>
        <v/>
      </c>
      <c r="L77" s="15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9"/>
      <c r="N77" s="75"/>
    </row>
    <row r="78" spans="1:14" ht="22" customHeight="1">
      <c r="A78" s="151" t="s">
        <v>149</v>
      </c>
      <c r="B78" s="101"/>
      <c r="C78" s="45"/>
      <c r="D78" s="49"/>
      <c r="E78" s="47"/>
      <c r="F78" s="48"/>
      <c r="G78" s="152" t="str">
        <f>IF(OR(E78="",F78=""),"",PID_KVLohnLookup($A$1,E78,F78,LOHNTABELLE!$H$4))</f>
        <v/>
      </c>
      <c r="H78" s="153" t="str">
        <f>IF(AND(ISNUMBER(D78),ISNUMBER(F78)),ROUNDDOWN(MIN(IF(OR(ISBLANK(I78),I78=""),EOMONTH(DATE(EINSTELLUNG!$C$35,$A$1,1),0),I78)-MAX(D78,DATE(EINSTELLUNG!$C$35,$A$1,1))+1)/DAY(EOMONTH(DATE(EINSTELLUNG!$C$35,$A$1,1),0))*F78,2),"")</f>
        <v/>
      </c>
      <c r="I78" s="49"/>
      <c r="J78" s="50"/>
      <c r="K78" s="152" t="str">
        <f t="shared" si="3"/>
        <v/>
      </c>
      <c r="L78" s="15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51"/>
      <c r="N78" s="74"/>
    </row>
    <row r="79" spans="1:14" ht="22" customHeight="1">
      <c r="A79" s="151" t="s">
        <v>150</v>
      </c>
      <c r="B79" s="102"/>
      <c r="C79" s="53"/>
      <c r="D79" s="57"/>
      <c r="E79" s="55"/>
      <c r="F79" s="56"/>
      <c r="G79" s="152" t="str">
        <f>IF(OR(E79="",F79=""),"",PID_KVLohnLookup($A$1,E79,F79,LOHNTABELLE!$H$4))</f>
        <v/>
      </c>
      <c r="H79" s="153" t="str">
        <f>IF(AND(ISNUMBER(D79),ISNUMBER(F79)),ROUNDDOWN(MIN(IF(OR(ISBLANK(I79),I79=""),EOMONTH(DATE(EINSTELLUNG!$C$35,$A$1,1),0),I79)-MAX(D79,DATE(EINSTELLUNG!$C$35,$A$1,1))+1)/DAY(EOMONTH(DATE(EINSTELLUNG!$C$35,$A$1,1),0))*F79,2),"")</f>
        <v/>
      </c>
      <c r="I79" s="57"/>
      <c r="J79" s="58"/>
      <c r="K79" s="152" t="str">
        <f t="shared" si="3"/>
        <v/>
      </c>
      <c r="L79" s="15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9"/>
      <c r="N79" s="75"/>
    </row>
    <row r="80" spans="1:14" ht="22" customHeight="1">
      <c r="A80" s="151" t="s">
        <v>151</v>
      </c>
      <c r="B80" s="101"/>
      <c r="C80" s="45"/>
      <c r="D80" s="49"/>
      <c r="E80" s="47"/>
      <c r="F80" s="48"/>
      <c r="G80" s="152" t="str">
        <f>IF(OR(E80="",F80=""),"",PID_KVLohnLookup($A$1,E80,F80,LOHNTABELLE!$H$4))</f>
        <v/>
      </c>
      <c r="H80" s="153" t="str">
        <f>IF(AND(ISNUMBER(D80),ISNUMBER(F80)),ROUNDDOWN(MIN(IF(OR(ISBLANK(I80),I80=""),EOMONTH(DATE(EINSTELLUNG!$C$35,$A$1,1),0),I80)-MAX(D80,DATE(EINSTELLUNG!$C$35,$A$1,1))+1)/DAY(EOMONTH(DATE(EINSTELLUNG!$C$35,$A$1,1),0))*F80,2),"")</f>
        <v/>
      </c>
      <c r="I80" s="49"/>
      <c r="J80" s="50"/>
      <c r="K80" s="152" t="str">
        <f t="shared" si="3"/>
        <v/>
      </c>
      <c r="L80" s="15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51"/>
      <c r="N80" s="74"/>
    </row>
    <row r="81" spans="1:14" ht="22" customHeight="1">
      <c r="A81" s="151" t="s">
        <v>152</v>
      </c>
      <c r="B81" s="102"/>
      <c r="C81" s="53"/>
      <c r="D81" s="57"/>
      <c r="E81" s="55"/>
      <c r="F81" s="56"/>
      <c r="G81" s="152" t="str">
        <f>IF(OR(E81="",F81=""),"",PID_KVLohnLookup($A$1,E81,F81,LOHNTABELLE!$H$4))</f>
        <v/>
      </c>
      <c r="H81" s="153" t="str">
        <f>IF(AND(ISNUMBER(D81),ISNUMBER(F81)),ROUNDDOWN(MIN(IF(OR(ISBLANK(I81),I81=""),EOMONTH(DATE(EINSTELLUNG!$C$35,$A$1,1),0),I81)-MAX(D81,DATE(EINSTELLUNG!$C$35,$A$1,1))+1)/DAY(EOMONTH(DATE(EINSTELLUNG!$C$35,$A$1,1),0))*F81,2),"")</f>
        <v/>
      </c>
      <c r="I81" s="57"/>
      <c r="J81" s="58"/>
      <c r="K81" s="152" t="str">
        <f t="shared" si="3"/>
        <v/>
      </c>
      <c r="L81" s="15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9"/>
      <c r="N81" s="75"/>
    </row>
    <row r="82" spans="1:14" ht="22" customHeight="1" thickBot="1">
      <c r="A82" s="165" t="s">
        <v>153</v>
      </c>
      <c r="B82" s="103"/>
      <c r="C82" s="62"/>
      <c r="D82" s="63"/>
      <c r="E82" s="64"/>
      <c r="F82" s="65"/>
      <c r="G82" s="166" t="str">
        <f>IF(OR(E82="",F82=""),"",PID_KVLohnLookup($A$1,E82,F82,LOHNTABELLE!$H$4))</f>
        <v/>
      </c>
      <c r="H82" s="159" t="str">
        <f>IF(AND(ISNUMBER(D82),ISNUMBER(F82)),ROUNDDOWN(MIN(IF(OR(ISBLANK(I82),I82=""),EOMONTH(DATE(EINSTELLUNG!$C$35,$A$1,1),0),I82)-MAX(D82,DATE(EINSTELLUNG!$C$35,$A$1,1))+1)/DAY(EOMONTH(DATE(EINSTELLUNG!$C$35,$A$1,1),0))*F82,2),"")</f>
        <v/>
      </c>
      <c r="I82" s="63"/>
      <c r="J82" s="66"/>
      <c r="K82" s="166" t="str">
        <f t="shared" si="3"/>
        <v/>
      </c>
      <c r="L82" s="16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7"/>
      <c r="N82" s="78"/>
    </row>
    <row r="83" spans="1:14" ht="16" customHeight="1">
      <c r="A83" s="168"/>
      <c r="B83" s="168"/>
    </row>
    <row r="100" spans="26:26" ht="16" customHeight="1">
      <c r="Z100" s="142"/>
    </row>
  </sheetData>
  <sheetProtection algorithmName="SHA-512" hashValue="1aod0NEiFKt6wUI9IIdB/tsJHmmJt2Mnmip6Pl9sz6SxMu8zR67dSVSlMX8j27G7UH9aOwDq0T/mx1X1KiXHZg==" saltValue="5nJkKSYAjgVsHlqG62AQ9w==" spinCount="100000" sheet="1" objects="1" scenarios="1" sort="0"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A0F41737-EF39-6044-A0F1-F54223658BB7}">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15622EDB-1F57-4644-8874-FE3EA638CB5F}">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1221B16F-BA90-3F44-BDD6-D0D97F51B90D}">
          <x14:formula1>
            <xm:f>KV_DROPDOWN_HELPER!$AJY$1:$AJY$12</xm:f>
          </x14:formula1>
          <xm:sqref>E3:E82</xm:sqref>
        </x14:dataValidation>
        <x14:dataValidation type="list" allowBlank="1" showInputMessage="1" showErrorMessage="1" xr:uid="{3D3B2A0E-D92E-5747-95B1-00059EF231C2}">
          <x14:formula1>
            <xm:f>KV_DROPDOWN_HELPER!$XR$1:$XR$13</xm:f>
          </x14:formula1>
          <xm:sqref>F4 F7</xm:sqref>
        </x14:dataValidation>
        <x14:dataValidation type="list" allowBlank="1" showInputMessage="1" showErrorMessage="1" xr:uid="{6F4C9E0C-FFD4-6C48-83E0-67357C03E852}">
          <x14:formula1>
            <xm:f>KV_DROPDOWN_HELPER!$XS$1:$XS$13</xm:f>
          </x14:formula1>
          <xm:sqref>F6 F8 F9 F10 F13 F18 F58</xm:sqref>
        </x14:dataValidation>
        <x14:dataValidation type="list" allowBlank="1" showInputMessage="1" showErrorMessage="1" xr:uid="{06D7D3F2-06CB-3A40-B34B-5555628B189D}">
          <x14:formula1>
            <xm:f>KV_DROPDOWN_HELPER!$XV$1:$XV$13</xm:f>
          </x14:formula1>
          <xm:sqref>F21</xm:sqref>
        </x14:dataValidation>
        <x14:dataValidation type="list" allowBlank="1" showInputMessage="1" showErrorMessage="1" xr:uid="{E69CC798-767E-4549-849E-4EA6C2023E32}">
          <x14:formula1>
            <xm:f>KV_DROPDOWN_HELPER!$XW$1:$XW$13</xm:f>
          </x14:formula1>
          <xm:sqref>F63 F64 F65 F66 F67 F68 F69 F70 F71 F72 F73 F74 F75 F76 F77 F78 F79 F80 F81 F82</xm:sqref>
        </x14:dataValidation>
        <x14:dataValidation type="list" allowBlank="1" showInputMessage="1" showErrorMessage="1" xr:uid="{285CDD87-12C5-DD49-859B-F419BD7988B4}">
          <x14:formula1>
            <xm:f>KV_DROPDOWN_HELPER!$XU$1:$XU$13</xm:f>
          </x14:formula1>
          <xm:sqref>F17</xm:sqref>
        </x14:dataValidation>
        <x14:dataValidation type="list" allowBlank="1" showInputMessage="1" showErrorMessage="1" xr:uid="{D5D87DDB-4323-421D-960A-E1DF4A86890F}">
          <x14:formula1>
            <xm:f>KV_DROPDOWN_HELPER!$XQ$1:$XQ$18</xm:f>
          </x14:formula1>
          <xm:sqref>F3 F5 F11 F12 F14 F16 F19 F20 F23 F24 F26 F28 F29 F30 F31 F32 F33 F34 F35 F36 F37 F38 F39 F40 F41 F42 F43 F44 F45 F46 F47 F48 F49 F50 F51 F52 F53 F54 F55 F56 F57 F59 F60 F61 F62</xm:sqref>
        </x14:dataValidation>
        <x14:dataValidation type="list" allowBlank="1" showInputMessage="1" showErrorMessage="1" xr:uid="{E138E253-B4CB-471F-ABDA-C1BEC6F664A8}">
          <x14:formula1>
            <xm:f>KV_DROPDOWN_HELPER!$XT$1:$XT$13</xm:f>
          </x14:formula1>
          <xm:sqref>F15 F22 F25 F27</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4A82B2-7AD1-44B7-B6C2-31F6E26B51E1}">
  <sheetPr codeName="Tabelle12"/>
  <dimension ref="A1:AC100"/>
  <sheetViews>
    <sheetView showGridLines="0" showRowColHeaders="0" zoomScaleNormal="100" workbookViewId="0">
      <pane ySplit="2" topLeftCell="A29" activePane="bottomLeft" state="frozen"/>
      <selection activeCell="T24" sqref="T24"/>
      <selection pane="bottomLeft" sqref="A1:A2"/>
    </sheetView>
  </sheetViews>
  <sheetFormatPr baseColWidth="10" defaultColWidth="9.1796875" defaultRowHeight="16" customHeight="1"/>
  <cols>
    <col min="1" max="1" width="4.453125" style="169" customWidth="1"/>
    <col min="2" max="2" width="9.1796875" style="169" customWidth="1"/>
    <col min="3" max="3" width="35.6328125" style="141" customWidth="1"/>
    <col min="4" max="4" width="13.6328125" style="141" customWidth="1"/>
    <col min="5" max="5" width="9.6328125" style="141" customWidth="1"/>
    <col min="6" max="6" width="10.6328125" style="141" customWidth="1"/>
    <col min="7" max="7" width="13.6328125" style="141" customWidth="1"/>
    <col min="8" max="8" width="11.6328125" style="141" customWidth="1"/>
    <col min="9" max="10" width="13.6328125" style="141" customWidth="1"/>
    <col min="11" max="11" width="14.6328125" style="141" customWidth="1"/>
    <col min="12" max="12" width="14.6328125" style="162" customWidth="1"/>
    <col min="13" max="13" width="17.81640625" style="141" customWidth="1"/>
    <col min="14" max="14" width="34.6328125" style="141" customWidth="1"/>
    <col min="15" max="15" width="12.6328125" style="141" customWidth="1"/>
    <col min="16" max="16" width="16.6328125" style="141" customWidth="1"/>
    <col min="17" max="17" width="14.6328125" style="141" customWidth="1"/>
    <col min="18" max="18" width="13.6328125" style="141" customWidth="1"/>
    <col min="19" max="19" width="9.6328125" style="141" customWidth="1"/>
    <col min="20" max="20" width="10.6328125" style="141" customWidth="1"/>
    <col min="21" max="21" width="7.6328125" style="141" customWidth="1"/>
    <col min="22" max="27" width="9.1796875" style="141"/>
    <col min="28" max="28" width="10.6328125" style="141" bestFit="1" customWidth="1"/>
    <col min="29" max="16384" width="9.1796875" style="141"/>
  </cols>
  <sheetData>
    <row r="1" spans="1:28" ht="18" customHeight="1">
      <c r="A1" s="301">
        <v>10</v>
      </c>
      <c r="B1" s="304" t="s">
        <v>180</v>
      </c>
      <c r="C1" s="280" t="s">
        <v>39</v>
      </c>
      <c r="D1" s="280" t="s">
        <v>181</v>
      </c>
      <c r="E1" s="280" t="s">
        <v>0</v>
      </c>
      <c r="F1" s="280" t="s">
        <v>40</v>
      </c>
      <c r="G1" s="280" t="s">
        <v>41</v>
      </c>
      <c r="H1" s="280" t="s">
        <v>42</v>
      </c>
      <c r="I1" s="280" t="s">
        <v>182</v>
      </c>
      <c r="J1" s="280" t="s">
        <v>43</v>
      </c>
      <c r="K1" s="280" t="s">
        <v>44</v>
      </c>
      <c r="L1" s="280" t="s">
        <v>45</v>
      </c>
      <c r="M1" s="280" t="s">
        <v>46</v>
      </c>
      <c r="N1" s="282" t="s">
        <v>183</v>
      </c>
      <c r="AB1" s="143">
        <f>DATE(EINSTELLUNG!$C$35,$A$1,1)</f>
        <v>46296</v>
      </c>
    </row>
    <row r="2" spans="1:28" ht="18" customHeight="1" thickBot="1">
      <c r="A2" s="287"/>
      <c r="B2" s="305"/>
      <c r="C2" s="294"/>
      <c r="D2" s="294"/>
      <c r="E2" s="294"/>
      <c r="F2" s="294"/>
      <c r="G2" s="294"/>
      <c r="H2" s="294"/>
      <c r="I2" s="294"/>
      <c r="J2" s="294"/>
      <c r="K2" s="294"/>
      <c r="L2" s="294"/>
      <c r="M2" s="294"/>
      <c r="N2" s="298"/>
      <c r="O2" s="144"/>
      <c r="P2" s="144"/>
      <c r="Q2" s="144"/>
      <c r="S2" s="208" t="s">
        <v>394</v>
      </c>
      <c r="T2" s="208"/>
      <c r="U2" s="208"/>
      <c r="V2" s="208"/>
      <c r="AB2" s="143">
        <f>EOMONTH(DATE(EINSTELLUNG!$C$35,$A$1,1),0)</f>
        <v>46326</v>
      </c>
    </row>
    <row r="3" spans="1:28" ht="22" customHeight="1">
      <c r="A3" s="145" t="s">
        <v>401</v>
      </c>
      <c r="B3" s="100">
        <v>401010</v>
      </c>
      <c r="C3" s="37" t="s">
        <v>224</v>
      </c>
      <c r="D3" s="38">
        <v>39388</v>
      </c>
      <c r="E3" s="39" t="s">
        <v>2</v>
      </c>
      <c r="F3" s="68">
        <v>169</v>
      </c>
      <c r="G3" s="146">
        <f>IF(OR(E3="",F3=""),"",PID_KVLohnLookup($A$1,E3,F3,LOHNTABELLE!$H$4))</f>
        <v>2000</v>
      </c>
      <c r="H3" s="147">
        <f>IF(AND(ISNUMBER(D3),ISNUMBER(F3)),ROUNDDOWN(MIN(IF(OR(ISBLANK(I3),I3=""),EOMONTH(DATE(EINSTELLUNG!$C$35,$A$1,1),0),I3)-MAX(D3,DATE(EINSTELLUNG!$C$35,$A$1,1))+1)/DAY(EOMONTH(DATE(EINSTELLUNG!$C$35,$A$1,1),0))*F3,2),"")</f>
        <v>169</v>
      </c>
      <c r="I3" s="41"/>
      <c r="J3" s="42"/>
      <c r="K3" s="146">
        <f t="shared" ref="K3:K34" si="0">IF(OR(B3="",C3=""),"",IFERROR(IF(OR(MONTH(D3)=1,MONTH(D3)=3,MONTH(D3)=5,MONTH(D3)=7,MONTH(D3)=8,MONTH(D3)=10,MONTH(D3)=12),(G3/31)*J3,IF(OR(MONTH(D3)=4,MONTH(D3)=6,MONTH(D3)=9,MONTH(D3)=11),(G3/30)*J3,(G3/DAY(EOMONTH(D3,0)))*J3)),0))</f>
        <v>0</v>
      </c>
      <c r="L3" s="14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3"/>
      <c r="N3" s="73"/>
      <c r="O3" s="236" t="s">
        <v>47</v>
      </c>
      <c r="P3" s="236" t="s">
        <v>48</v>
      </c>
      <c r="Q3" s="236" t="s">
        <v>49</v>
      </c>
      <c r="R3" s="272" t="s">
        <v>50</v>
      </c>
      <c r="S3" s="149"/>
      <c r="T3" s="149"/>
      <c r="U3" s="149"/>
      <c r="V3" s="149"/>
      <c r="AB3" s="150"/>
    </row>
    <row r="4" spans="1:28" ht="22" customHeight="1">
      <c r="A4" s="151" t="s">
        <v>51</v>
      </c>
      <c r="B4" s="101">
        <v>401049</v>
      </c>
      <c r="C4" s="45" t="s">
        <v>225</v>
      </c>
      <c r="D4" s="46">
        <v>41130</v>
      </c>
      <c r="E4" s="47" t="s">
        <v>4</v>
      </c>
      <c r="F4" s="48">
        <v>173</v>
      </c>
      <c r="G4" s="152">
        <f>IF(OR(E4="",F4=""),"",PID_KVLohnLookup($A$1,E4,F4,LOHNTABELLE!$H$4))</f>
        <v>2123</v>
      </c>
      <c r="H4" s="153">
        <f>IF(AND(ISNUMBER(D4),ISNUMBER(F4)),ROUNDDOWN(MIN(IF(OR(ISBLANK(I4),I4=""),EOMONTH(DATE(EINSTELLUNG!$C$35,$A$1,1),0),I4)-MAX(D4,DATE(EINSTELLUNG!$C$35,$A$1,1))+1)/DAY(EOMONTH(DATE(EINSTELLUNG!$C$35,$A$1,1),0))*F4,2),"")</f>
        <v>173</v>
      </c>
      <c r="I4" s="49"/>
      <c r="J4" s="50"/>
      <c r="K4" s="152">
        <f t="shared" si="0"/>
        <v>0</v>
      </c>
      <c r="L4" s="15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51"/>
      <c r="N4" s="74"/>
      <c r="O4" s="237"/>
      <c r="P4" s="237"/>
      <c r="Q4" s="237"/>
      <c r="R4" s="273"/>
      <c r="S4" s="149"/>
      <c r="T4" s="149"/>
      <c r="U4" s="149"/>
      <c r="V4" s="149"/>
    </row>
    <row r="5" spans="1:28" ht="22" customHeight="1">
      <c r="A5" s="151" t="s">
        <v>52</v>
      </c>
      <c r="B5" s="102">
        <v>401051</v>
      </c>
      <c r="C5" s="53" t="s">
        <v>227</v>
      </c>
      <c r="D5" s="54">
        <v>41176</v>
      </c>
      <c r="E5" s="55" t="s">
        <v>2</v>
      </c>
      <c r="F5" s="56">
        <v>173</v>
      </c>
      <c r="G5" s="152">
        <f>IF(OR(E5="",F5=""),"",PID_KVLohnLookup($A$1,E5,F5,LOHNTABELLE!$H$4))</f>
        <v>2900</v>
      </c>
      <c r="H5" s="153">
        <f>IF(AND(ISNUMBER(D5),ISNUMBER(F5)),ROUNDDOWN(MIN(IF(OR(ISBLANK(I5),I5=""),EOMONTH(DATE(EINSTELLUNG!$C$35,$A$1,1),0),I5)-MAX(D5,DATE(EINSTELLUNG!$C$35,$A$1,1))+1)/DAY(EOMONTH(DATE(EINSTELLUNG!$C$35,$A$1,1),0))*F5,2),"")</f>
        <v>173</v>
      </c>
      <c r="I5" s="57"/>
      <c r="J5" s="58"/>
      <c r="K5" s="152">
        <f t="shared" si="0"/>
        <v>0</v>
      </c>
      <c r="L5" s="15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9"/>
      <c r="N5" s="75"/>
      <c r="O5" s="155" cm="1">
        <f t="array" ref="O5">SUMPRODUCT((F3:F82/4.310808)/5*2.08)</f>
        <v>819.95987759139359</v>
      </c>
      <c r="P5" s="156">
        <f>EINSTELLUNG!I15</f>
        <v>600</v>
      </c>
      <c r="Q5" s="156">
        <f>P5-O5</f>
        <v>-219.95987759139359</v>
      </c>
      <c r="R5" s="157">
        <f>IFERROR(Q5*Q42, 0)</f>
        <v>-3612.2197375015253</v>
      </c>
      <c r="S5" s="149"/>
      <c r="T5" s="149"/>
      <c r="U5" s="149"/>
      <c r="V5" s="149"/>
    </row>
    <row r="6" spans="1:28" ht="22" customHeight="1">
      <c r="A6" s="151" t="s">
        <v>53</v>
      </c>
      <c r="B6" s="101">
        <v>401089</v>
      </c>
      <c r="C6" s="45" t="s">
        <v>241</v>
      </c>
      <c r="D6" s="46">
        <v>44868</v>
      </c>
      <c r="E6" s="47" t="s">
        <v>3</v>
      </c>
      <c r="F6" s="48">
        <v>173</v>
      </c>
      <c r="G6" s="152">
        <f>IF(OR(E6="",F6=""),"",PID_KVLohnLookup($A$1,E6,F6,LOHNTABELLE!$H$4))</f>
        <v>2082</v>
      </c>
      <c r="H6" s="153">
        <f>IF(AND(ISNUMBER(D6),ISNUMBER(F6)),ROUNDDOWN(MIN(IF(OR(ISBLANK(I6),I6=""),EOMONTH(DATE(EINSTELLUNG!$C$35,$A$1,1),0),I6)-MAX(D6,DATE(EINSTELLUNG!$C$35,$A$1,1))+1)/DAY(EOMONTH(DATE(EINSTELLUNG!$C$35,$A$1,1),0))*F6,2),"")</f>
        <v>173</v>
      </c>
      <c r="I6" s="49"/>
      <c r="J6" s="50"/>
      <c r="K6" s="152">
        <f t="shared" si="0"/>
        <v>0</v>
      </c>
      <c r="L6" s="15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51"/>
      <c r="N6" s="74"/>
      <c r="O6" s="266" t="str">
        <f>IF(Q5&lt;0, "Schlecht! Zu wenig Urlaub abgebaut.", IF(Q5&gt;0, "Gut! Mehr Urlaub abgebaut als aufgebaut.", ""))</f>
        <v>Schlecht! Zu wenig Urlaub abgebaut.</v>
      </c>
      <c r="P6" s="267"/>
      <c r="Q6" s="267"/>
      <c r="R6" s="268"/>
      <c r="S6" s="149"/>
      <c r="T6" s="149"/>
      <c r="U6" s="149"/>
      <c r="V6" s="149"/>
    </row>
    <row r="7" spans="1:28" ht="22" customHeight="1" thickBot="1">
      <c r="A7" s="151" t="s">
        <v>54</v>
      </c>
      <c r="B7" s="102">
        <v>401138</v>
      </c>
      <c r="C7" s="53" t="s">
        <v>228</v>
      </c>
      <c r="D7" s="54">
        <v>42006</v>
      </c>
      <c r="E7" s="55" t="s">
        <v>4</v>
      </c>
      <c r="F7" s="56">
        <v>173</v>
      </c>
      <c r="G7" s="152">
        <f>IF(OR(E7="",F7=""),"",PID_KVLohnLookup($A$1,E7,F7,LOHNTABELLE!$H$4))</f>
        <v>2123</v>
      </c>
      <c r="H7" s="153">
        <f>IF(AND(ISNUMBER(D7),ISNUMBER(F7)),ROUNDDOWN(MIN(IF(OR(ISBLANK(I7),I7=""),EOMONTH(DATE(EINSTELLUNG!$C$35,$A$1,1),0),I7)-MAX(D7,DATE(EINSTELLUNG!$C$35,$A$1,1))+1)/DAY(EOMONTH(DATE(EINSTELLUNG!$C$35,$A$1,1),0))*F7,2),"")</f>
        <v>173</v>
      </c>
      <c r="I7" s="57"/>
      <c r="J7" s="58"/>
      <c r="K7" s="152">
        <f t="shared" si="0"/>
        <v>0</v>
      </c>
      <c r="L7" s="15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9"/>
      <c r="N7" s="75"/>
      <c r="O7" s="149"/>
      <c r="P7" s="149"/>
      <c r="Q7" s="149"/>
      <c r="R7" s="149"/>
      <c r="S7" s="149"/>
      <c r="T7" s="149"/>
      <c r="U7" s="149"/>
      <c r="V7" s="149"/>
    </row>
    <row r="8" spans="1:28" ht="22" customHeight="1">
      <c r="A8" s="151" t="s">
        <v>55</v>
      </c>
      <c r="B8" s="101">
        <v>401197</v>
      </c>
      <c r="C8" s="45" t="s">
        <v>229</v>
      </c>
      <c r="D8" s="46">
        <v>42644</v>
      </c>
      <c r="E8" s="47" t="s">
        <v>3</v>
      </c>
      <c r="F8" s="48">
        <v>173</v>
      </c>
      <c r="G8" s="152">
        <f>IF(OR(E8="",F8=""),"",PID_KVLohnLookup($A$1,E8,F8,LOHNTABELLE!$H$4))</f>
        <v>2082</v>
      </c>
      <c r="H8" s="153">
        <f>IF(AND(ISNUMBER(D8),ISNUMBER(F8)),ROUNDDOWN(MIN(IF(OR(ISBLANK(I8),I8=""),EOMONTH(DATE(EINSTELLUNG!$C$35,$A$1,1),0),I8)-MAX(D8,DATE(EINSTELLUNG!$C$35,$A$1,1))+1)/DAY(EOMONTH(DATE(EINSTELLUNG!$C$35,$A$1,1),0))*F8,2),"")</f>
        <v>173</v>
      </c>
      <c r="I8" s="49"/>
      <c r="J8" s="50"/>
      <c r="K8" s="152">
        <f t="shared" si="0"/>
        <v>0</v>
      </c>
      <c r="L8" s="15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51"/>
      <c r="N8" s="74"/>
      <c r="O8" s="250" t="s">
        <v>56</v>
      </c>
      <c r="P8" s="251"/>
      <c r="Q8" s="252">
        <f>SUM(H3:H82)</f>
        <v>8379.65</v>
      </c>
      <c r="R8" s="253"/>
      <c r="S8" s="149"/>
      <c r="T8" s="149"/>
      <c r="U8" s="149"/>
      <c r="V8" s="149"/>
    </row>
    <row r="9" spans="1:28" ht="22" customHeight="1">
      <c r="A9" s="151" t="s">
        <v>57</v>
      </c>
      <c r="B9" s="102">
        <v>401214</v>
      </c>
      <c r="C9" s="53" t="s">
        <v>255</v>
      </c>
      <c r="D9" s="54">
        <v>45636</v>
      </c>
      <c r="E9" s="55" t="s">
        <v>3</v>
      </c>
      <c r="F9" s="56">
        <v>173</v>
      </c>
      <c r="G9" s="152">
        <f>IF(OR(E9="",F9=""),"",PID_KVLohnLookup($A$1,E9,F9,LOHNTABELLE!$H$4))</f>
        <v>2082</v>
      </c>
      <c r="H9" s="153">
        <f>IF(AND(ISNUMBER(D9),ISNUMBER(F9)),ROUNDDOWN(MIN(IF(OR(ISBLANK(I9),I9=""),EOMONTH(DATE(EINSTELLUNG!$C$35,$A$1,1),0),I9)-MAX(D9,DATE(EINSTELLUNG!$C$35,$A$1,1))+1)/DAY(EOMONTH(DATE(EINSTELLUNG!$C$35,$A$1,1),0))*F9,2),"")</f>
        <v>173</v>
      </c>
      <c r="I9" s="57"/>
      <c r="J9" s="58"/>
      <c r="K9" s="152">
        <f t="shared" si="0"/>
        <v>0</v>
      </c>
      <c r="L9" s="15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9"/>
      <c r="N9" s="75"/>
      <c r="O9" s="254" t="s">
        <v>58</v>
      </c>
      <c r="P9" s="255"/>
      <c r="Q9" s="269">
        <f>EINSTELLUNG!L31</f>
        <v>10</v>
      </c>
      <c r="R9" s="270"/>
      <c r="S9" s="158">
        <f>IFERROR(Q9/Q8, 0)</f>
        <v>1.1933672647425609E-3</v>
      </c>
      <c r="T9" s="149"/>
      <c r="U9" s="149"/>
      <c r="V9" s="149"/>
    </row>
    <row r="10" spans="1:28" ht="22" customHeight="1">
      <c r="A10" s="151" t="s">
        <v>59</v>
      </c>
      <c r="B10" s="101">
        <v>401276</v>
      </c>
      <c r="C10" s="45" t="s">
        <v>230</v>
      </c>
      <c r="D10" s="46">
        <v>43252</v>
      </c>
      <c r="E10" s="47" t="s">
        <v>3</v>
      </c>
      <c r="F10" s="48">
        <v>173</v>
      </c>
      <c r="G10" s="152">
        <f>IF(OR(E10="",F10=""),"",PID_KVLohnLookup($A$1,E10,F10,LOHNTABELLE!$H$4))</f>
        <v>2082</v>
      </c>
      <c r="H10" s="153">
        <f>IF(AND(ISNUMBER(D10),ISNUMBER(F10)),ROUNDDOWN(MIN(IF(OR(ISBLANK(I10),I10=""),EOMONTH(DATE(EINSTELLUNG!$C$35,$A$1,1),0),I10)-MAX(D10,DATE(EINSTELLUNG!$C$35,$A$1,1))+1)/DAY(EOMONTH(DATE(EINSTELLUNG!$C$35,$A$1,1),0))*F10,2),"")</f>
        <v>173</v>
      </c>
      <c r="I10" s="49"/>
      <c r="J10" s="50"/>
      <c r="K10" s="152">
        <f t="shared" si="0"/>
        <v>0</v>
      </c>
      <c r="L10" s="15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51"/>
      <c r="N10" s="74"/>
      <c r="O10" s="254" t="s">
        <v>60</v>
      </c>
      <c r="P10" s="255"/>
      <c r="Q10" s="269">
        <f>EINSTELLUNG!I31</f>
        <v>0</v>
      </c>
      <c r="R10" s="270"/>
      <c r="S10" s="149"/>
      <c r="T10" s="149"/>
      <c r="U10" s="149"/>
      <c r="V10" s="149"/>
    </row>
    <row r="11" spans="1:28" ht="22" customHeight="1">
      <c r="A11" s="151" t="s">
        <v>61</v>
      </c>
      <c r="B11" s="102">
        <v>401276</v>
      </c>
      <c r="C11" s="53" t="s">
        <v>406</v>
      </c>
      <c r="D11" s="54">
        <v>38899</v>
      </c>
      <c r="E11" s="55" t="s">
        <v>2</v>
      </c>
      <c r="F11" s="56">
        <v>55</v>
      </c>
      <c r="G11" s="152">
        <f>IF(OR(E11="",F11=""),"",PID_KVLohnLookup($A$1,E11,F11,LOHNTABELLE!$H$4))</f>
        <v>666</v>
      </c>
      <c r="H11" s="153">
        <f>IF(AND(ISNUMBER(D11),ISNUMBER(F11)),ROUNDDOWN(MIN(IF(OR(ISBLANK(I11),I11=""),EOMONTH(DATE(EINSTELLUNG!$C$35,$A$1,1),0),I11)-MAX(D11,DATE(EINSTELLUNG!$C$35,$A$1,1))+1)/DAY(EOMONTH(DATE(EINSTELLUNG!$C$35,$A$1,1),0))*F11,2),"")</f>
        <v>55</v>
      </c>
      <c r="I11" s="57"/>
      <c r="J11" s="58"/>
      <c r="K11" s="152">
        <f t="shared" si="0"/>
        <v>0</v>
      </c>
      <c r="L11" s="15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9"/>
      <c r="N11" s="75"/>
      <c r="O11" s="254" t="s">
        <v>62</v>
      </c>
      <c r="P11" s="255"/>
      <c r="Q11" s="269">
        <f>P5</f>
        <v>600</v>
      </c>
      <c r="R11" s="270"/>
      <c r="S11" s="149"/>
      <c r="T11" s="149"/>
      <c r="U11" s="149"/>
      <c r="V11" s="149"/>
    </row>
    <row r="12" spans="1:28" ht="22" customHeight="1">
      <c r="A12" s="151" t="s">
        <v>63</v>
      </c>
      <c r="B12" s="101">
        <v>401307</v>
      </c>
      <c r="C12" s="45" t="s">
        <v>231</v>
      </c>
      <c r="D12" s="46">
        <v>43571</v>
      </c>
      <c r="E12" s="47" t="s">
        <v>2</v>
      </c>
      <c r="F12" s="48">
        <v>55</v>
      </c>
      <c r="G12" s="152">
        <f>IF(OR(E12="",F12=""),"",PID_KVLohnLookup($A$1,E12,F12,LOHNTABELLE!$H$4))</f>
        <v>666</v>
      </c>
      <c r="H12" s="153">
        <f>IF(AND(ISNUMBER(D12),ISNUMBER(F12)),ROUNDDOWN(MIN(IF(OR(ISBLANK(I12),I12=""),EOMONTH(DATE(EINSTELLUNG!$C$35,$A$1,1),0),I12)-MAX(D12,DATE(EINSTELLUNG!$C$35,$A$1,1))+1)/DAY(EOMONTH(DATE(EINSTELLUNG!$C$35,$A$1,1),0))*F12,2),"")</f>
        <v>55</v>
      </c>
      <c r="I12" s="49"/>
      <c r="J12" s="50"/>
      <c r="K12" s="152">
        <f t="shared" si="0"/>
        <v>0</v>
      </c>
      <c r="L12" s="15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51"/>
      <c r="N12" s="74"/>
      <c r="O12" s="254" t="s">
        <v>64</v>
      </c>
      <c r="P12" s="255"/>
      <c r="Q12" s="258">
        <v>-121</v>
      </c>
      <c r="R12" s="259"/>
      <c r="S12" s="149"/>
      <c r="T12" s="149"/>
      <c r="U12" s="149"/>
      <c r="V12" s="149"/>
    </row>
    <row r="13" spans="1:28" ht="22" customHeight="1">
      <c r="A13" s="151" t="s">
        <v>65</v>
      </c>
      <c r="B13" s="102">
        <v>401308</v>
      </c>
      <c r="C13" s="53" t="s">
        <v>232</v>
      </c>
      <c r="D13" s="54">
        <v>43579</v>
      </c>
      <c r="E13" s="55" t="s">
        <v>3</v>
      </c>
      <c r="F13" s="56">
        <v>173</v>
      </c>
      <c r="G13" s="152">
        <f>IF(OR(E13="",F13=""),"",PID_KVLohnLookup($A$1,E13,F13,LOHNTABELLE!$H$4))</f>
        <v>2082</v>
      </c>
      <c r="H13" s="153">
        <f>IF(AND(ISNUMBER(D13),ISNUMBER(F13)),ROUNDDOWN(MIN(IF(OR(ISBLANK(I13),I13=""),EOMONTH(DATE(EINSTELLUNG!$C$35,$A$1,1),0),I13)-MAX(D13,DATE(EINSTELLUNG!$C$35,$A$1,1))+1)/DAY(EOMONTH(DATE(EINSTELLUNG!$C$35,$A$1,1),0))*F13,2),"")</f>
        <v>173</v>
      </c>
      <c r="I13" s="57"/>
      <c r="J13" s="58"/>
      <c r="K13" s="152">
        <f t="shared" si="0"/>
        <v>0</v>
      </c>
      <c r="L13" s="15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9"/>
      <c r="N13" s="75"/>
      <c r="O13" s="254" t="s">
        <v>66</v>
      </c>
      <c r="P13" s="255"/>
      <c r="Q13" s="269">
        <f>Q8-Q9-Q10-Q11-Q12</f>
        <v>7890.65</v>
      </c>
      <c r="R13" s="270"/>
      <c r="S13" s="149"/>
      <c r="T13" s="149"/>
      <c r="U13" s="149"/>
      <c r="V13" s="149"/>
    </row>
    <row r="14" spans="1:28" ht="22" customHeight="1">
      <c r="A14" s="151" t="s">
        <v>67</v>
      </c>
      <c r="B14" s="101">
        <v>401394</v>
      </c>
      <c r="C14" s="45" t="s">
        <v>233</v>
      </c>
      <c r="D14" s="46">
        <v>44379</v>
      </c>
      <c r="E14" s="47" t="s">
        <v>2</v>
      </c>
      <c r="F14" s="48">
        <v>173</v>
      </c>
      <c r="G14" s="152">
        <f>IF(OR(E14="",F14=""),"",PID_KVLohnLookup($A$1,E14,F14,LOHNTABELLE!$H$4))</f>
        <v>2900</v>
      </c>
      <c r="H14" s="153">
        <f>IF(AND(ISNUMBER(D14),ISNUMBER(F14)),ROUNDDOWN(MIN(IF(OR(ISBLANK(I14),I14=""),EOMONTH(DATE(EINSTELLUNG!$C$35,$A$1,1),0),I14)-MAX(D14,DATE(EINSTELLUNG!$C$35,$A$1,1))+1)/DAY(EOMONTH(DATE(EINSTELLUNG!$C$35,$A$1,1),0))*F14,2),"")</f>
        <v>173</v>
      </c>
      <c r="I14" s="49"/>
      <c r="J14" s="50"/>
      <c r="K14" s="152">
        <f t="shared" si="0"/>
        <v>0</v>
      </c>
      <c r="L14" s="15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51"/>
      <c r="N14" s="74"/>
      <c r="O14" s="254" t="s">
        <v>68</v>
      </c>
      <c r="P14" s="255"/>
      <c r="Q14" s="269">
        <f>EINSTELLUNG!L15</f>
        <v>9300</v>
      </c>
      <c r="R14" s="270"/>
      <c r="S14" s="149"/>
      <c r="T14" s="149"/>
      <c r="U14" s="149"/>
      <c r="V14" s="149"/>
    </row>
    <row r="15" spans="1:28" ht="22" customHeight="1" thickBot="1">
      <c r="A15" s="151" t="s">
        <v>69</v>
      </c>
      <c r="B15" s="102">
        <v>401406</v>
      </c>
      <c r="C15" s="53" t="s">
        <v>407</v>
      </c>
      <c r="D15" s="54">
        <v>36850</v>
      </c>
      <c r="E15" s="55" t="s">
        <v>10</v>
      </c>
      <c r="F15" s="56">
        <v>151.38</v>
      </c>
      <c r="G15" s="152">
        <f>IF(OR(E15="",F15=""),"",PID_KVLohnLookup($A$1,E15,F15,LOHNTABELLE!$H$4))</f>
        <v>2012.5</v>
      </c>
      <c r="H15" s="153">
        <f>IF(AND(ISNUMBER(D15),ISNUMBER(F15)),ROUNDDOWN(MIN(IF(OR(ISBLANK(I15),I15=""),EOMONTH(DATE(EINSTELLUNG!$C$35,$A$1,1),0),I15)-MAX(D15,DATE(EINSTELLUNG!$C$35,$A$1,1))+1)/DAY(EOMONTH(DATE(EINSTELLUNG!$C$35,$A$1,1),0))*F15,2),"")</f>
        <v>151.38</v>
      </c>
      <c r="I15" s="57"/>
      <c r="J15" s="58"/>
      <c r="K15" s="152">
        <f t="shared" si="0"/>
        <v>0</v>
      </c>
      <c r="L15" s="15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9"/>
      <c r="N15" s="75"/>
      <c r="O15" s="240" t="s">
        <v>70</v>
      </c>
      <c r="P15" s="241"/>
      <c r="Q15" s="242">
        <f>Q13-Q14</f>
        <v>-1409.3500000000004</v>
      </c>
      <c r="R15" s="243"/>
      <c r="S15" s="160"/>
      <c r="T15" s="160"/>
      <c r="U15" s="160"/>
      <c r="V15" s="149"/>
    </row>
    <row r="16" spans="1:28" ht="22" customHeight="1" thickBot="1">
      <c r="A16" s="151" t="s">
        <v>71</v>
      </c>
      <c r="B16" s="101">
        <v>401432</v>
      </c>
      <c r="C16" s="45" t="s">
        <v>235</v>
      </c>
      <c r="D16" s="49">
        <v>44441</v>
      </c>
      <c r="E16" s="47" t="s">
        <v>2</v>
      </c>
      <c r="F16" s="48">
        <v>173</v>
      </c>
      <c r="G16" s="152">
        <f>IF(OR(E16="",F16=""),"",PID_KVLohnLookup($A$1,E16,F16,LOHNTABELLE!$H$4))</f>
        <v>2900</v>
      </c>
      <c r="H16" s="153">
        <f>IF(AND(ISNUMBER(D16),ISNUMBER(F16)),ROUNDDOWN(MIN(IF(OR(ISBLANK(I16),I16=""),EOMONTH(DATE(EINSTELLUNG!$C$35,$A$1,1),0),I16)-MAX(D16,DATE(EINSTELLUNG!$C$35,$A$1,1))+1)/DAY(EOMONTH(DATE(EINSTELLUNG!$C$35,$A$1,1),0))*F16,2),"")</f>
        <v>173</v>
      </c>
      <c r="I16" s="49"/>
      <c r="J16" s="50"/>
      <c r="K16" s="152">
        <f t="shared" si="0"/>
        <v>0</v>
      </c>
      <c r="L16" s="15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51"/>
      <c r="N16" s="74"/>
      <c r="O16" s="319" t="str">
        <f>IF(Q15&lt;0, "Schlecht! Zu wenig Stunden für Dienstplan.", IF(Q15&gt;0, "Du hast mehr als genug Stunden für Dienstplan.", ""))</f>
        <v>Schlecht! Zu wenig Stunden für Dienstplan.</v>
      </c>
      <c r="P16" s="245"/>
      <c r="Q16" s="245"/>
      <c r="R16" s="246"/>
      <c r="S16" s="161"/>
      <c r="T16" s="161"/>
      <c r="U16" s="161"/>
      <c r="V16" s="161"/>
      <c r="W16" s="162"/>
    </row>
    <row r="17" spans="1:29" ht="22" customHeight="1">
      <c r="A17" s="151" t="s">
        <v>72</v>
      </c>
      <c r="B17" s="102">
        <v>401479</v>
      </c>
      <c r="C17" s="53" t="s">
        <v>238</v>
      </c>
      <c r="D17" s="54">
        <v>44511</v>
      </c>
      <c r="E17" s="55" t="s">
        <v>6</v>
      </c>
      <c r="F17" s="56">
        <v>173</v>
      </c>
      <c r="G17" s="152">
        <f>IF(OR(E17="",F17=""),"",PID_KVLohnLookup($A$1,E17,F17,LOHNTABELLE!$H$4))</f>
        <v>2160</v>
      </c>
      <c r="H17" s="153">
        <f>IF(AND(ISNUMBER(D17),ISNUMBER(F17)),ROUNDDOWN(MIN(IF(OR(ISBLANK(I17),I17=""),EOMONTH(DATE(EINSTELLUNG!$C$35,$A$1,1),0),I17)-MAX(D17,DATE(EINSTELLUNG!$C$35,$A$1,1))+1)/DAY(EOMONTH(DATE(EINSTELLUNG!$C$35,$A$1,1),0))*F17,2),"")</f>
        <v>173</v>
      </c>
      <c r="I17" s="57"/>
      <c r="J17" s="58"/>
      <c r="K17" s="152">
        <f t="shared" si="0"/>
        <v>0</v>
      </c>
      <c r="L17" s="15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9"/>
      <c r="N17" s="75"/>
      <c r="O17" s="316" t="s">
        <v>73</v>
      </c>
      <c r="P17" s="251"/>
      <c r="Q17" s="260">
        <f>SUM(L3:L82)</f>
        <v>137612.08387096773</v>
      </c>
      <c r="R17" s="261"/>
      <c r="S17" s="149"/>
      <c r="T17" s="149"/>
      <c r="U17" s="149"/>
      <c r="V17" s="149"/>
      <c r="W17" s="162"/>
    </row>
    <row r="18" spans="1:29" ht="22" customHeight="1">
      <c r="A18" s="151" t="s">
        <v>74</v>
      </c>
      <c r="B18" s="101">
        <v>401481</v>
      </c>
      <c r="C18" s="45" t="s">
        <v>239</v>
      </c>
      <c r="D18" s="46">
        <v>44531</v>
      </c>
      <c r="E18" s="47" t="s">
        <v>3</v>
      </c>
      <c r="F18" s="48">
        <v>173</v>
      </c>
      <c r="G18" s="152">
        <f>IF(OR(E18="",F18=""),"",PID_KVLohnLookup($A$1,E18,F18,LOHNTABELLE!$H$4))</f>
        <v>2082</v>
      </c>
      <c r="H18" s="153">
        <f>IF(AND(ISNUMBER(D18),ISNUMBER(F18)),ROUNDDOWN(MIN(IF(OR(ISBLANK(I18),I18=""),EOMONTH(DATE(EINSTELLUNG!$C$35,$A$1,1),0),I18)-MAX(D18,DATE(EINSTELLUNG!$C$35,$A$1,1))+1)/DAY(EOMONTH(DATE(EINSTELLUNG!$C$35,$A$1,1),0))*F18,2),"")</f>
        <v>173</v>
      </c>
      <c r="I18" s="49"/>
      <c r="J18" s="50"/>
      <c r="K18" s="152">
        <f t="shared" si="0"/>
        <v>0</v>
      </c>
      <c r="L18" s="15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51"/>
      <c r="N18" s="74"/>
      <c r="O18" s="308" t="s">
        <v>385</v>
      </c>
      <c r="P18" s="249"/>
      <c r="Q18" s="238">
        <v>20</v>
      </c>
      <c r="R18" s="239"/>
      <c r="S18" s="149"/>
      <c r="T18" s="149"/>
      <c r="U18" s="149"/>
      <c r="V18" s="149"/>
    </row>
    <row r="19" spans="1:29" ht="22" customHeight="1">
      <c r="A19" s="151" t="s">
        <v>75</v>
      </c>
      <c r="B19" s="102">
        <v>401564</v>
      </c>
      <c r="C19" s="53" t="s">
        <v>240</v>
      </c>
      <c r="D19" s="54">
        <v>44824</v>
      </c>
      <c r="E19" s="55" t="s">
        <v>2</v>
      </c>
      <c r="F19" s="56">
        <v>151.38</v>
      </c>
      <c r="G19" s="152">
        <f>IF(OR(E19="",F19=""),"",PID_KVLohnLookup($A$1,E19,F19,LOHNTABELLE!$H$4))</f>
        <v>2500</v>
      </c>
      <c r="H19" s="153">
        <f>IF(AND(ISNUMBER(D19),ISNUMBER(F19)),ROUNDDOWN(MIN(IF(OR(ISBLANK(I19),I19=""),EOMONTH(DATE(EINSTELLUNG!$C$35,$A$1,1),0),I19)-MAX(D19,DATE(EINSTELLUNG!$C$35,$A$1,1))+1)/DAY(EOMONTH(DATE(EINSTELLUNG!$C$35,$A$1,1),0))*F19,2),"")</f>
        <v>151.38</v>
      </c>
      <c r="I19" s="57"/>
      <c r="J19" s="58"/>
      <c r="K19" s="152">
        <f t="shared" si="0"/>
        <v>0</v>
      </c>
      <c r="L19" s="15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2500</v>
      </c>
      <c r="M19" s="59"/>
      <c r="N19" s="75"/>
      <c r="O19" s="308" t="s">
        <v>296</v>
      </c>
      <c r="P19" s="249"/>
      <c r="Q19" s="238">
        <v>333</v>
      </c>
      <c r="R19" s="239"/>
      <c r="S19" s="149"/>
      <c r="T19" s="149"/>
      <c r="U19" s="149"/>
      <c r="V19" s="149"/>
    </row>
    <row r="20" spans="1:29" ht="22" customHeight="1">
      <c r="A20" s="151" t="s">
        <v>76</v>
      </c>
      <c r="B20" s="101">
        <v>401583</v>
      </c>
      <c r="C20" s="45" t="s">
        <v>242</v>
      </c>
      <c r="D20" s="46">
        <v>44900</v>
      </c>
      <c r="E20" s="47" t="s">
        <v>13</v>
      </c>
      <c r="F20" s="48">
        <v>173</v>
      </c>
      <c r="G20" s="152">
        <f>IF(OR(E20="",F20=""),"",PID_KVLohnLookup($A$1,E20,F20,LOHNTABELLE!$H$4))</f>
        <v>2328</v>
      </c>
      <c r="H20" s="153">
        <f>IF(AND(ISNUMBER(D20),ISNUMBER(F20)),ROUNDDOWN(MIN(IF(OR(ISBLANK(I20),I20=""),EOMONTH(DATE(EINSTELLUNG!$C$35,$A$1,1),0),I20)-MAX(D20,DATE(EINSTELLUNG!$C$35,$A$1,1))+1)/DAY(EOMONTH(DATE(EINSTELLUNG!$C$35,$A$1,1),0))*F20,2),"")</f>
        <v>173</v>
      </c>
      <c r="I20" s="49"/>
      <c r="J20" s="50"/>
      <c r="K20" s="152">
        <f t="shared" si="0"/>
        <v>0</v>
      </c>
      <c r="L20" s="15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2328</v>
      </c>
      <c r="M20" s="51"/>
      <c r="N20" s="74"/>
      <c r="O20" s="308" t="s">
        <v>296</v>
      </c>
      <c r="P20" s="249"/>
      <c r="Q20" s="238">
        <v>35</v>
      </c>
      <c r="R20" s="239"/>
      <c r="S20" s="149"/>
      <c r="T20" s="149"/>
      <c r="U20" s="149"/>
      <c r="V20" s="149"/>
    </row>
    <row r="21" spans="1:29" ht="22" customHeight="1">
      <c r="A21" s="151" t="s">
        <v>77</v>
      </c>
      <c r="B21" s="102">
        <v>401589</v>
      </c>
      <c r="C21" s="53" t="s">
        <v>243</v>
      </c>
      <c r="D21" s="54">
        <v>44926</v>
      </c>
      <c r="E21" s="55" t="s">
        <v>10</v>
      </c>
      <c r="F21" s="56">
        <v>173</v>
      </c>
      <c r="G21" s="152">
        <f>IF(OR(E21="",F21=""),"",PID_KVLohnLookup($A$1,E21,F21,LOHNTABELLE!$H$4))</f>
        <v>2300</v>
      </c>
      <c r="H21" s="153">
        <f>IF(AND(ISNUMBER(D21),ISNUMBER(F21)),ROUNDDOWN(MIN(IF(OR(ISBLANK(I21),I21=""),EOMONTH(DATE(EINSTELLUNG!$C$35,$A$1,1),0),I21)-MAX(D21,DATE(EINSTELLUNG!$C$35,$A$1,1))+1)/DAY(EOMONTH(DATE(EINSTELLUNG!$C$35,$A$1,1),0))*F21,2),"")</f>
        <v>173</v>
      </c>
      <c r="I21" s="57"/>
      <c r="J21" s="58"/>
      <c r="K21" s="152">
        <f t="shared" si="0"/>
        <v>0</v>
      </c>
      <c r="L21" s="15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59"/>
      <c r="N21" s="75"/>
      <c r="O21" s="308" t="s">
        <v>296</v>
      </c>
      <c r="P21" s="249"/>
      <c r="Q21" s="238">
        <v>100</v>
      </c>
      <c r="R21" s="239"/>
      <c r="S21" s="149"/>
      <c r="T21" s="149"/>
      <c r="U21" s="149"/>
      <c r="V21" s="149"/>
    </row>
    <row r="22" spans="1:29" ht="22" customHeight="1">
      <c r="A22" s="151" t="s">
        <v>78</v>
      </c>
      <c r="B22" s="101">
        <v>401602</v>
      </c>
      <c r="C22" s="45" t="s">
        <v>244</v>
      </c>
      <c r="D22" s="46">
        <v>45975</v>
      </c>
      <c r="E22" s="47" t="s">
        <v>2</v>
      </c>
      <c r="F22" s="48">
        <v>169</v>
      </c>
      <c r="G22" s="152">
        <f>IF(OR(E22="",F22=""),"",PID_KVLohnLookup($A$1,E22,F22,LOHNTABELLE!$H$4))</f>
        <v>2000</v>
      </c>
      <c r="H22" s="153">
        <f>IF(AND(ISNUMBER(D22),ISNUMBER(F22)),ROUNDDOWN(MIN(IF(OR(ISBLANK(I22),I22=""),EOMONTH(DATE(EINSTELLUNG!$C$35,$A$1,1),0),I22)-MAX(D22,DATE(EINSTELLUNG!$C$35,$A$1,1))+1)/DAY(EOMONTH(DATE(EINSTELLUNG!$C$35,$A$1,1),0))*F22,2),"")</f>
        <v>169</v>
      </c>
      <c r="I22" s="49"/>
      <c r="J22" s="50"/>
      <c r="K22" s="152">
        <f t="shared" si="0"/>
        <v>0</v>
      </c>
      <c r="L22" s="15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2000</v>
      </c>
      <c r="M22" s="51"/>
      <c r="N22" s="74"/>
      <c r="O22" s="308" t="s">
        <v>296</v>
      </c>
      <c r="P22" s="249"/>
      <c r="Q22" s="238"/>
      <c r="R22" s="239"/>
      <c r="S22" s="149"/>
      <c r="T22" s="149"/>
      <c r="U22" s="149"/>
      <c r="V22" s="149"/>
    </row>
    <row r="23" spans="1:29" ht="22" customHeight="1">
      <c r="A23" s="151" t="s">
        <v>79</v>
      </c>
      <c r="B23" s="102">
        <v>401605</v>
      </c>
      <c r="C23" s="53" t="s">
        <v>245</v>
      </c>
      <c r="D23" s="54">
        <v>44986</v>
      </c>
      <c r="E23" s="55" t="s">
        <v>2</v>
      </c>
      <c r="F23" s="56">
        <v>173</v>
      </c>
      <c r="G23" s="152">
        <f>IF(OR(E23="",F23=""),"",PID_KVLohnLookup($A$1,E23,F23,LOHNTABELLE!$H$4))</f>
        <v>2900</v>
      </c>
      <c r="H23" s="153">
        <f>IF(AND(ISNUMBER(D23),ISNUMBER(F23)),ROUNDDOWN(MIN(IF(OR(ISBLANK(I23),I23=""),EOMONTH(DATE(EINSTELLUNG!$C$35,$A$1,1),0),I23)-MAX(D23,DATE(EINSTELLUNG!$C$35,$A$1,1))+1)/DAY(EOMONTH(DATE(EINSTELLUNG!$C$35,$A$1,1),0))*F23,2),"")</f>
        <v>173</v>
      </c>
      <c r="I23" s="57"/>
      <c r="J23" s="58"/>
      <c r="K23" s="152">
        <f t="shared" si="0"/>
        <v>0</v>
      </c>
      <c r="L23" s="15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59"/>
      <c r="N23" s="75"/>
      <c r="O23" s="308" t="s">
        <v>296</v>
      </c>
      <c r="P23" s="249"/>
      <c r="Q23" s="238">
        <v>5000</v>
      </c>
      <c r="R23" s="239"/>
      <c r="S23" s="149"/>
      <c r="T23" s="149"/>
      <c r="U23" s="149"/>
      <c r="V23" s="149"/>
      <c r="W23" s="162"/>
    </row>
    <row r="24" spans="1:29" ht="22" customHeight="1">
      <c r="A24" s="151" t="s">
        <v>80</v>
      </c>
      <c r="B24" s="101">
        <v>401605</v>
      </c>
      <c r="C24" s="45" t="s">
        <v>407</v>
      </c>
      <c r="D24" s="46">
        <v>36850</v>
      </c>
      <c r="E24" s="47" t="s">
        <v>10</v>
      </c>
      <c r="F24" s="48">
        <v>151.38</v>
      </c>
      <c r="G24" s="152">
        <f>IF(OR(E24="",F24=""),"",PID_KVLohnLookup($A$1,E24,F24,LOHNTABELLE!$H$4))</f>
        <v>2012.5</v>
      </c>
      <c r="H24" s="153">
        <f>IF(AND(ISNUMBER(D24),ISNUMBER(F24)),ROUNDDOWN(MIN(IF(OR(ISBLANK(I24),I24=""),EOMONTH(DATE(EINSTELLUNG!$C$35,$A$1,1),0),I24)-MAX(D24,DATE(EINSTELLUNG!$C$35,$A$1,1))+1)/DAY(EOMONTH(DATE(EINSTELLUNG!$C$35,$A$1,1),0))*F24,2),"")</f>
        <v>151.38</v>
      </c>
      <c r="I24" s="49"/>
      <c r="J24" s="50"/>
      <c r="K24" s="152">
        <f t="shared" si="0"/>
        <v>0</v>
      </c>
      <c r="L24" s="15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51"/>
      <c r="N24" s="74"/>
      <c r="O24" s="308"/>
      <c r="P24" s="249"/>
      <c r="Q24" s="238"/>
      <c r="R24" s="239"/>
      <c r="S24" s="149"/>
      <c r="T24" s="149"/>
      <c r="U24" s="149"/>
      <c r="V24" s="149"/>
      <c r="W24" s="162"/>
    </row>
    <row r="25" spans="1:29" ht="22" customHeight="1">
      <c r="A25" s="151" t="s">
        <v>81</v>
      </c>
      <c r="B25" s="102">
        <v>401626</v>
      </c>
      <c r="C25" s="53" t="s">
        <v>246</v>
      </c>
      <c r="D25" s="54">
        <v>45063</v>
      </c>
      <c r="E25" s="55" t="s">
        <v>2</v>
      </c>
      <c r="F25" s="56">
        <v>173</v>
      </c>
      <c r="G25" s="152">
        <f>IF(OR(E25="",F25=""),"",PID_KVLohnLookup($A$1,E25,F25,LOHNTABELLE!$H$4))</f>
        <v>2900</v>
      </c>
      <c r="H25" s="153">
        <f>IF(AND(ISNUMBER(D25),ISNUMBER(F25)),ROUNDDOWN(MIN(IF(OR(ISBLANK(I25),I25=""),EOMONTH(DATE(EINSTELLUNG!$C$35,$A$1,1),0),I25)-MAX(D25,DATE(EINSTELLUNG!$C$35,$A$1,1))+1)/DAY(EOMONTH(DATE(EINSTELLUNG!$C$35,$A$1,1),0))*F25,2),"")</f>
        <v>173</v>
      </c>
      <c r="I25" s="57"/>
      <c r="J25" s="58"/>
      <c r="K25" s="152">
        <f t="shared" si="0"/>
        <v>0</v>
      </c>
      <c r="L25" s="15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9"/>
      <c r="N25" s="75"/>
      <c r="O25" s="308"/>
      <c r="P25" s="249"/>
      <c r="Q25" s="238"/>
      <c r="R25" s="239"/>
      <c r="S25" s="149"/>
      <c r="T25" s="149"/>
      <c r="U25" s="149"/>
      <c r="V25" s="149"/>
    </row>
    <row r="26" spans="1:29" ht="22" customHeight="1">
      <c r="A26" s="151" t="s">
        <v>82</v>
      </c>
      <c r="B26" s="101">
        <v>401633</v>
      </c>
      <c r="C26" s="45" t="s">
        <v>247</v>
      </c>
      <c r="D26" s="46">
        <v>45089</v>
      </c>
      <c r="E26" s="47" t="s">
        <v>10</v>
      </c>
      <c r="F26" s="48">
        <v>173</v>
      </c>
      <c r="G26" s="152">
        <f>IF(OR(E26="",F26=""),"",PID_KVLohnLookup($A$1,E26,F26,LOHNTABELLE!$H$4))</f>
        <v>2300</v>
      </c>
      <c r="H26" s="153">
        <f>IF(AND(ISNUMBER(D26),ISNUMBER(F26)),ROUNDDOWN(MIN(IF(OR(ISBLANK(I26),I26=""),EOMONTH(DATE(EINSTELLUNG!$C$35,$A$1,1),0),I26)-MAX(D26,DATE(EINSTELLUNG!$C$35,$A$1,1))+1)/DAY(EOMONTH(DATE(EINSTELLUNG!$C$35,$A$1,1),0))*F26,2),"")</f>
        <v>173</v>
      </c>
      <c r="I26" s="49"/>
      <c r="J26" s="50"/>
      <c r="K26" s="152">
        <f t="shared" si="0"/>
        <v>0</v>
      </c>
      <c r="L26" s="15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51"/>
      <c r="N26" s="74"/>
      <c r="O26" s="308"/>
      <c r="P26" s="249"/>
      <c r="Q26" s="238"/>
      <c r="R26" s="239"/>
      <c r="S26" s="149"/>
      <c r="T26" s="149"/>
      <c r="U26" s="149"/>
      <c r="V26" s="149"/>
    </row>
    <row r="27" spans="1:29" ht="22" customHeight="1">
      <c r="A27" s="151" t="s">
        <v>83</v>
      </c>
      <c r="B27" s="102">
        <v>401647</v>
      </c>
      <c r="C27" s="53" t="s">
        <v>248</v>
      </c>
      <c r="D27" s="54">
        <v>45182</v>
      </c>
      <c r="E27" s="55" t="s">
        <v>2</v>
      </c>
      <c r="F27" s="56">
        <v>173</v>
      </c>
      <c r="G27" s="152">
        <f>IF(OR(E27="",F27=""),"",PID_KVLohnLookup($A$1,E27,F27,LOHNTABELLE!$H$4))</f>
        <v>2900</v>
      </c>
      <c r="H27" s="153">
        <f>IF(AND(ISNUMBER(D27),ISNUMBER(F27)),ROUNDDOWN(MIN(IF(OR(ISBLANK(I27),I27=""),EOMONTH(DATE(EINSTELLUNG!$C$35,$A$1,1),0),I27)-MAX(D27,DATE(EINSTELLUNG!$C$35,$A$1,1))+1)/DAY(EOMONTH(DATE(EINSTELLUNG!$C$35,$A$1,1),0))*F27,2),"")</f>
        <v>173</v>
      </c>
      <c r="I27" s="57"/>
      <c r="J27" s="58"/>
      <c r="K27" s="152">
        <f t="shared" si="0"/>
        <v>0</v>
      </c>
      <c r="L27" s="15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9"/>
      <c r="N27" s="75"/>
      <c r="O27" s="308"/>
      <c r="P27" s="249"/>
      <c r="Q27" s="238"/>
      <c r="R27" s="239"/>
      <c r="S27" s="247" t="s">
        <v>84</v>
      </c>
      <c r="T27" s="247"/>
      <c r="U27" s="247"/>
      <c r="V27" s="247"/>
    </row>
    <row r="28" spans="1:29" ht="22" customHeight="1">
      <c r="A28" s="151" t="s">
        <v>85</v>
      </c>
      <c r="B28" s="101">
        <v>401661</v>
      </c>
      <c r="C28" s="45" t="s">
        <v>249</v>
      </c>
      <c r="D28" s="46">
        <v>45261</v>
      </c>
      <c r="E28" s="47" t="s">
        <v>2</v>
      </c>
      <c r="F28" s="48">
        <v>173</v>
      </c>
      <c r="G28" s="152">
        <f>IF(OR(E28="",F28=""),"",PID_KVLohnLookup($A$1,E28,F28,LOHNTABELLE!$H$4))</f>
        <v>2900</v>
      </c>
      <c r="H28" s="153">
        <f>IF(AND(ISNUMBER(D28),ISNUMBER(F28)),ROUNDDOWN(MIN(IF(OR(ISBLANK(I28),I28=""),EOMONTH(DATE(EINSTELLUNG!$C$35,$A$1,1),0),I28)-MAX(D28,DATE(EINSTELLUNG!$C$35,$A$1,1))+1)/DAY(EOMONTH(DATE(EINSTELLUNG!$C$35,$A$1,1),0))*F28,2),"")</f>
        <v>173</v>
      </c>
      <c r="I28" s="49"/>
      <c r="J28" s="50"/>
      <c r="K28" s="152">
        <f t="shared" si="0"/>
        <v>0</v>
      </c>
      <c r="L28" s="15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51"/>
      <c r="N28" s="74"/>
      <c r="O28" s="308"/>
      <c r="P28" s="249"/>
      <c r="Q28" s="238"/>
      <c r="R28" s="239"/>
      <c r="S28" s="149"/>
      <c r="T28" s="149"/>
      <c r="U28" s="149"/>
      <c r="V28" s="149"/>
    </row>
    <row r="29" spans="1:29" ht="22" customHeight="1" thickBot="1">
      <c r="A29" s="151" t="s">
        <v>86</v>
      </c>
      <c r="B29" s="102">
        <v>401670</v>
      </c>
      <c r="C29" s="53" t="s">
        <v>250</v>
      </c>
      <c r="D29" s="54">
        <v>45358</v>
      </c>
      <c r="E29" s="55" t="s">
        <v>2</v>
      </c>
      <c r="F29" s="56">
        <v>173</v>
      </c>
      <c r="G29" s="152">
        <f>IF(OR(E29="",F29=""),"",PID_KVLohnLookup($A$1,E29,F29,LOHNTABELLE!$H$4))</f>
        <v>2900</v>
      </c>
      <c r="H29" s="153">
        <f>IF(AND(ISNUMBER(D29),ISNUMBER(F29)),ROUNDDOWN(MIN(IF(OR(ISBLANK(I29),I29=""),EOMONTH(DATE(EINSTELLUNG!$C$35,$A$1,1),0),I29)-MAX(D29,DATE(EINSTELLUNG!$C$35,$A$1,1))+1)/DAY(EOMONTH(DATE(EINSTELLUNG!$C$35,$A$1,1),0))*F29,2),"")</f>
        <v>173</v>
      </c>
      <c r="I29" s="57"/>
      <c r="J29" s="58"/>
      <c r="K29" s="152">
        <f t="shared" si="0"/>
        <v>0</v>
      </c>
      <c r="L29" s="15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9"/>
      <c r="N29" s="75"/>
      <c r="O29" s="312" t="s">
        <v>87</v>
      </c>
      <c r="P29" s="241"/>
      <c r="Q29" s="295">
        <f>EINSTELLUNG!O15</f>
        <v>1250</v>
      </c>
      <c r="R29" s="296"/>
      <c r="S29" s="149"/>
      <c r="T29" s="149"/>
      <c r="U29" s="149"/>
      <c r="V29" s="149"/>
    </row>
    <row r="30" spans="1:29" ht="22" customHeight="1" thickBot="1">
      <c r="A30" s="151" t="s">
        <v>88</v>
      </c>
      <c r="B30" s="101">
        <v>401678</v>
      </c>
      <c r="C30" s="45" t="s">
        <v>251</v>
      </c>
      <c r="D30" s="46">
        <v>45414</v>
      </c>
      <c r="E30" s="47" t="s">
        <v>2</v>
      </c>
      <c r="F30" s="48">
        <v>173</v>
      </c>
      <c r="G30" s="152">
        <f>IF(OR(E30="",F30=""),"",PID_KVLohnLookup($A$1,E30,F30,LOHNTABELLE!$H$4))</f>
        <v>2900</v>
      </c>
      <c r="H30" s="153">
        <f>IF(AND(ISNUMBER(D30),ISNUMBER(F30)),ROUNDDOWN(MIN(IF(OR(ISBLANK(I30),I30=""),EOMONTH(DATE(EINSTELLUNG!$C$35,$A$1,1),0),I30)-MAX(D30,DATE(EINSTELLUNG!$C$35,$A$1,1))+1)/DAY(EOMONTH(DATE(EINSTELLUNG!$C$35,$A$1,1),0))*F30,2),"")</f>
        <v>173</v>
      </c>
      <c r="I30" s="49"/>
      <c r="J30" s="50"/>
      <c r="K30" s="152">
        <f t="shared" si="0"/>
        <v>0</v>
      </c>
      <c r="L30" s="15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51"/>
      <c r="N30" s="74"/>
      <c r="O30" s="149"/>
      <c r="P30" s="149"/>
      <c r="Q30" s="149"/>
      <c r="R30" s="149"/>
      <c r="S30" s="149"/>
      <c r="T30" s="149"/>
      <c r="U30" s="149"/>
      <c r="V30" s="149"/>
      <c r="W30" s="163"/>
      <c r="X30" s="163"/>
      <c r="Y30" s="163"/>
      <c r="Z30" s="163"/>
      <c r="AA30" s="163"/>
      <c r="AB30" s="163"/>
      <c r="AC30" s="163"/>
    </row>
    <row r="31" spans="1:29" ht="22" customHeight="1" thickBot="1">
      <c r="A31" s="151" t="s">
        <v>89</v>
      </c>
      <c r="B31" s="102">
        <v>401690</v>
      </c>
      <c r="C31" s="53" t="s">
        <v>253</v>
      </c>
      <c r="D31" s="54">
        <v>45536</v>
      </c>
      <c r="E31" s="55" t="s">
        <v>2</v>
      </c>
      <c r="F31" s="56">
        <v>151.38</v>
      </c>
      <c r="G31" s="152">
        <f>IF(OR(E31="",F31=""),"",PID_KVLohnLookup($A$1,E31,F31,LOHNTABELLE!$H$4))</f>
        <v>2500</v>
      </c>
      <c r="H31" s="153">
        <f>IF(AND(ISNUMBER(D31),ISNUMBER(F31)),ROUNDDOWN(MIN(IF(OR(ISBLANK(I31),I31=""),EOMONTH(DATE(EINSTELLUNG!$C$35,$A$1,1),0),I31)-MAX(D31,DATE(EINSTELLUNG!$C$35,$A$1,1))+1)/DAY(EOMONTH(DATE(EINSTELLUNG!$C$35,$A$1,1),0))*F31,2),"")</f>
        <v>151.38</v>
      </c>
      <c r="I31" s="57"/>
      <c r="J31" s="58"/>
      <c r="K31" s="152">
        <f t="shared" si="0"/>
        <v>0</v>
      </c>
      <c r="L31" s="15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2500</v>
      </c>
      <c r="M31" s="59"/>
      <c r="N31" s="75"/>
      <c r="O31" s="309">
        <v>0</v>
      </c>
      <c r="P31" s="300"/>
      <c r="Q31" s="284">
        <v>1.7241379310344827E-2</v>
      </c>
      <c r="R31" s="285"/>
      <c r="S31" s="149"/>
      <c r="T31" s="149"/>
      <c r="U31" s="149"/>
      <c r="V31" s="149"/>
    </row>
    <row r="32" spans="1:29" ht="22" customHeight="1" thickBot="1">
      <c r="A32" s="151" t="s">
        <v>91</v>
      </c>
      <c r="B32" s="101">
        <v>401715</v>
      </c>
      <c r="C32" s="45" t="s">
        <v>256</v>
      </c>
      <c r="D32" s="46">
        <v>45755</v>
      </c>
      <c r="E32" s="47" t="s">
        <v>2</v>
      </c>
      <c r="F32" s="48">
        <v>173</v>
      </c>
      <c r="G32" s="152">
        <f>IF(OR(E32="",F32=""),"",PID_KVLohnLookup($A$1,E32,F32,LOHNTABELLE!$H$4))</f>
        <v>2900</v>
      </c>
      <c r="H32" s="153">
        <f>IF(AND(ISNUMBER(D32),ISNUMBER(F32)),ROUNDDOWN(MIN(IF(OR(ISBLANK(I32),I32=""),EOMONTH(DATE(EINSTELLUNG!$C$35,$A$1,1),0),I32)-MAX(D32,DATE(EINSTELLUNG!$C$35,$A$1,1))+1)/DAY(EOMONTH(DATE(EINSTELLUNG!$C$35,$A$1,1),0))*F32,2),"")</f>
        <v>173</v>
      </c>
      <c r="I32" s="49"/>
      <c r="J32" s="50"/>
      <c r="K32" s="152">
        <f t="shared" si="0"/>
        <v>0</v>
      </c>
      <c r="L32" s="15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51"/>
      <c r="N32" s="74"/>
      <c r="O32" s="149"/>
      <c r="P32" s="149"/>
      <c r="Q32" s="149"/>
      <c r="R32" s="149"/>
      <c r="S32" s="149"/>
      <c r="T32" s="149"/>
      <c r="U32" s="149"/>
      <c r="V32" s="149"/>
    </row>
    <row r="33" spans="1:22" ht="22" customHeight="1">
      <c r="A33" s="151" t="s">
        <v>92</v>
      </c>
      <c r="B33" s="102">
        <v>401716</v>
      </c>
      <c r="C33" s="53" t="s">
        <v>257</v>
      </c>
      <c r="D33" s="54">
        <v>45800</v>
      </c>
      <c r="E33" s="55" t="s">
        <v>2</v>
      </c>
      <c r="F33" s="56">
        <v>173</v>
      </c>
      <c r="G33" s="152">
        <f>IF(OR(E33="",F33=""),"",PID_KVLohnLookup($A$1,E33,F33,LOHNTABELLE!$H$4))</f>
        <v>2900</v>
      </c>
      <c r="H33" s="153">
        <f>IF(AND(ISNUMBER(D33),ISNUMBER(F33)),ROUNDDOWN(MIN(IF(OR(ISBLANK(I33),I33=""),EOMONTH(DATE(EINSTELLUNG!$C$35,$A$1,1),0),I33)-MAX(D33,DATE(EINSTELLUNG!$C$35,$A$1,1))+1)/DAY(EOMONTH(DATE(EINSTELLUNG!$C$35,$A$1,1),0))*F33,2),"")</f>
        <v>173</v>
      </c>
      <c r="I33" s="57"/>
      <c r="J33" s="58"/>
      <c r="K33" s="152">
        <f t="shared" si="0"/>
        <v>0</v>
      </c>
      <c r="L33" s="15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9"/>
      <c r="N33" s="75"/>
      <c r="O33" s="310"/>
      <c r="P33" s="291"/>
      <c r="Q33" s="280" t="str">
        <f>EINSTELLUNG!B3</f>
        <v>Budget</v>
      </c>
      <c r="R33" s="280"/>
      <c r="S33" s="280" t="str">
        <f>EINSTELLUNG!B19</f>
        <v>Projection/Aktuell Zahlen</v>
      </c>
      <c r="T33" s="280"/>
      <c r="U33" s="280" t="s">
        <v>95</v>
      </c>
      <c r="V33" s="282"/>
    </row>
    <row r="34" spans="1:22" ht="22" customHeight="1">
      <c r="A34" s="151" t="s">
        <v>96</v>
      </c>
      <c r="B34" s="101">
        <v>401717</v>
      </c>
      <c r="C34" s="45" t="s">
        <v>258</v>
      </c>
      <c r="D34" s="46">
        <v>45814</v>
      </c>
      <c r="E34" s="47" t="s">
        <v>2</v>
      </c>
      <c r="F34" s="48">
        <v>86.5</v>
      </c>
      <c r="G34" s="152">
        <f>IF(OR(E34="",F34=""),"",PID_KVLohnLookup($A$1,E34,F34,LOHNTABELLE!$H$4))</f>
        <v>2152</v>
      </c>
      <c r="H34" s="153">
        <f>IF(AND(ISNUMBER(D34),ISNUMBER(F34)),ROUNDDOWN(MIN(IF(OR(ISBLANK(I34),I34=""),EOMONTH(DATE(EINSTELLUNG!$C$35,$A$1,1),0),I34)-MAX(D34,DATE(EINSTELLUNG!$C$35,$A$1,1))+1)/DAY(EOMONTH(DATE(EINSTELLUNG!$C$35,$A$1,1),0))*F34,2),"")</f>
        <v>86.5</v>
      </c>
      <c r="I34" s="49"/>
      <c r="J34" s="50"/>
      <c r="K34" s="152">
        <f t="shared" si="0"/>
        <v>0</v>
      </c>
      <c r="L34" s="15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51"/>
      <c r="N34" s="74"/>
      <c r="O34" s="311"/>
      <c r="P34" s="293"/>
      <c r="Q34" s="281"/>
      <c r="R34" s="281"/>
      <c r="S34" s="281"/>
      <c r="T34" s="281"/>
      <c r="U34" s="281"/>
      <c r="V34" s="283"/>
    </row>
    <row r="35" spans="1:22" ht="22" customHeight="1">
      <c r="A35" s="151" t="s">
        <v>97</v>
      </c>
      <c r="B35" s="102">
        <v>401722</v>
      </c>
      <c r="C35" s="53" t="s">
        <v>259</v>
      </c>
      <c r="D35" s="54">
        <v>45848</v>
      </c>
      <c r="E35" s="55" t="s">
        <v>2</v>
      </c>
      <c r="F35" s="56">
        <v>86.5</v>
      </c>
      <c r="G35" s="152">
        <f>IF(OR(E35="",F35=""),"",PID_KVLohnLookup($A$1,E35,F35,LOHNTABELLE!$H$4))</f>
        <v>2152</v>
      </c>
      <c r="H35" s="153">
        <f>IF(AND(ISNUMBER(D35),ISNUMBER(F35)),ROUNDDOWN(MIN(IF(OR(ISBLANK(I35),I35=""),EOMONTH(DATE(EINSTELLUNG!$C$35,$A$1,1),0),I35)-MAX(D35,DATE(EINSTELLUNG!$C$35,$A$1,1))+1)/DAY(EOMONTH(DATE(EINSTELLUNG!$C$35,$A$1,1),0))*F35,2),"")</f>
        <v>86.5</v>
      </c>
      <c r="I35" s="57"/>
      <c r="J35" s="58"/>
      <c r="K35" s="152">
        <f t="shared" ref="K35:K66" si="1">IF(OR(B35="",C35=""),"",IFERROR(IF(OR(MONTH(D35)=1,MONTH(D35)=3,MONTH(D35)=5,MONTH(D35)=7,MONTH(D35)=8,MONTH(D35)=10,MONTH(D35)=12),(G35/31)*J35,IF(OR(MONTH(D35)=4,MONTH(D35)=6,MONTH(D35)=9,MONTH(D35)=11),(G35/30)*J35,(G35/DAY(EOMONTH(D35,0)))*J35)),0))</f>
        <v>0</v>
      </c>
      <c r="L35" s="15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9"/>
      <c r="N35" s="75"/>
      <c r="O35" s="307" t="s">
        <v>98</v>
      </c>
      <c r="P35" s="255"/>
      <c r="Q35" s="256">
        <f>EINSTELLUNG!C15</f>
        <v>400000</v>
      </c>
      <c r="R35" s="256"/>
      <c r="S35" s="256">
        <f>EINSTELLUNG!C31</f>
        <v>401000</v>
      </c>
      <c r="T35" s="256"/>
      <c r="U35" s="256">
        <f>S35-Q35</f>
        <v>1000</v>
      </c>
      <c r="V35" s="257"/>
    </row>
    <row r="36" spans="1:22" ht="22" customHeight="1">
      <c r="A36" s="151" t="s">
        <v>99</v>
      </c>
      <c r="B36" s="101">
        <v>401723</v>
      </c>
      <c r="C36" s="45" t="s">
        <v>260</v>
      </c>
      <c r="D36" s="46">
        <v>45852</v>
      </c>
      <c r="E36" s="47" t="s">
        <v>2</v>
      </c>
      <c r="F36" s="48">
        <v>86.5</v>
      </c>
      <c r="G36" s="152">
        <f>IF(OR(E36="",F36=""),"",PID_KVLohnLookup($A$1,E36,F36,LOHNTABELLE!$H$4))</f>
        <v>2152</v>
      </c>
      <c r="H36" s="153">
        <f>IF(AND(ISNUMBER(D36),ISNUMBER(F36)),ROUNDDOWN(MIN(IF(OR(ISBLANK(I36),I36=""),EOMONTH(DATE(EINSTELLUNG!$C$35,$A$1,1),0),I36)-MAX(D36,DATE(EINSTELLUNG!$C$35,$A$1,1))+1)/DAY(EOMONTH(DATE(EINSTELLUNG!$C$35,$A$1,1),0))*F36,2),"")</f>
        <v>86.5</v>
      </c>
      <c r="I36" s="49"/>
      <c r="J36" s="50"/>
      <c r="K36" s="152">
        <f t="shared" si="1"/>
        <v>0</v>
      </c>
      <c r="L36" s="15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51"/>
      <c r="N36" s="74"/>
      <c r="O36" s="307" t="s">
        <v>100</v>
      </c>
      <c r="P36" s="255"/>
      <c r="Q36" s="256">
        <f>EINSTELLUNG!D15</f>
        <v>100000</v>
      </c>
      <c r="R36" s="256"/>
      <c r="S36" s="256">
        <f ca="1">SumMergedCells(Q17:R29)</f>
        <v>144350.0839</v>
      </c>
      <c r="T36" s="256"/>
      <c r="U36" s="256">
        <f t="shared" ref="U36:U41" ca="1" si="2">S36-Q36</f>
        <v>44350.083899999998</v>
      </c>
      <c r="V36" s="257"/>
    </row>
    <row r="37" spans="1:22" ht="22" customHeight="1">
      <c r="A37" s="151" t="s">
        <v>101</v>
      </c>
      <c r="B37" s="102">
        <v>401726</v>
      </c>
      <c r="C37" s="53" t="s">
        <v>261</v>
      </c>
      <c r="D37" s="54">
        <v>45870</v>
      </c>
      <c r="E37" s="55" t="s">
        <v>2</v>
      </c>
      <c r="F37" s="56">
        <v>86.5</v>
      </c>
      <c r="G37" s="152">
        <f>IF(OR(E37="",F37=""),"",PID_KVLohnLookup($A$1,E37,F37,LOHNTABELLE!$H$4))</f>
        <v>2152</v>
      </c>
      <c r="H37" s="153">
        <f>IF(AND(ISNUMBER(D37),ISNUMBER(F37)),ROUNDDOWN(MIN(IF(OR(ISBLANK(I37),I37=""),EOMONTH(DATE(EINSTELLUNG!$C$35,$A$1,1),0),I37)-MAX(D37,DATE(EINSTELLUNG!$C$35,$A$1,1))+1)/DAY(EOMONTH(DATE(EINSTELLUNG!$C$35,$A$1,1),0))*F37,2),"")</f>
        <v>86.5</v>
      </c>
      <c r="I37" s="57"/>
      <c r="J37" s="58"/>
      <c r="K37" s="152">
        <f t="shared" si="1"/>
        <v>0</v>
      </c>
      <c r="L37" s="15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9"/>
      <c r="N37" s="75"/>
      <c r="O37" s="307" t="s">
        <v>102</v>
      </c>
      <c r="P37" s="255"/>
      <c r="Q37" s="278">
        <f>IF(ISERROR(Q36/Q35), 0, Q36/Q35)</f>
        <v>0.25</v>
      </c>
      <c r="R37" s="278"/>
      <c r="S37" s="278">
        <f ca="1">IF(ISERROR(S36/S35), 0, S36/S35)</f>
        <v>0.35997527157107229</v>
      </c>
      <c r="T37" s="278"/>
      <c r="U37" s="278">
        <f t="shared" ca="1" si="2"/>
        <v>0.10997527157107229</v>
      </c>
      <c r="V37" s="279"/>
    </row>
    <row r="38" spans="1:22" ht="22" customHeight="1">
      <c r="A38" s="151" t="s">
        <v>103</v>
      </c>
      <c r="B38" s="101">
        <v>401730</v>
      </c>
      <c r="C38" s="45" t="s">
        <v>263</v>
      </c>
      <c r="D38" s="49">
        <v>45895</v>
      </c>
      <c r="E38" s="47" t="s">
        <v>2</v>
      </c>
      <c r="F38" s="48">
        <v>86.5</v>
      </c>
      <c r="G38" s="152">
        <f>IF(OR(E38="",F38=""),"",PID_KVLohnLookup($A$1,E38,F38,LOHNTABELLE!$H$4))</f>
        <v>2152</v>
      </c>
      <c r="H38" s="153">
        <f>IF(AND(ISNUMBER(D38),ISNUMBER(F38)),ROUNDDOWN(MIN(IF(OR(ISBLANK(I38),I38=""),EOMONTH(DATE(EINSTELLUNG!$C$35,$A$1,1),0),I38)-MAX(D38,DATE(EINSTELLUNG!$C$35,$A$1,1))+1)/DAY(EOMONTH(DATE(EINSTELLUNG!$C$35,$A$1,1),0))*F38,2),"")</f>
        <v>86.5</v>
      </c>
      <c r="I38" s="49"/>
      <c r="J38" s="50"/>
      <c r="K38" s="152">
        <f t="shared" si="1"/>
        <v>0</v>
      </c>
      <c r="L38" s="15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51"/>
      <c r="N38" s="74"/>
      <c r="O38" s="307" t="s">
        <v>104</v>
      </c>
      <c r="P38" s="255"/>
      <c r="Q38" s="269">
        <f>EINSTELLUNG!F15</f>
        <v>30000</v>
      </c>
      <c r="R38" s="269"/>
      <c r="S38" s="269">
        <f>EINSTELLUNG!F31</f>
        <v>31000</v>
      </c>
      <c r="T38" s="269"/>
      <c r="U38" s="269">
        <f t="shared" si="2"/>
        <v>1000</v>
      </c>
      <c r="V38" s="270"/>
    </row>
    <row r="39" spans="1:22" ht="22" customHeight="1">
      <c r="A39" s="151" t="s">
        <v>105</v>
      </c>
      <c r="B39" s="102">
        <v>401731</v>
      </c>
      <c r="C39" s="53" t="s">
        <v>262</v>
      </c>
      <c r="D39" s="54">
        <v>45899</v>
      </c>
      <c r="E39" s="55" t="s">
        <v>2</v>
      </c>
      <c r="F39" s="56">
        <v>86.5</v>
      </c>
      <c r="G39" s="152">
        <f>IF(OR(E39="",F39=""),"",PID_KVLohnLookup($A$1,E39,F39,LOHNTABELLE!$H$4))</f>
        <v>2152</v>
      </c>
      <c r="H39" s="153">
        <f>IF(AND(ISNUMBER(D39),ISNUMBER(F39)),ROUNDDOWN(MIN(IF(OR(ISBLANK(I39),I39=""),EOMONTH(DATE(EINSTELLUNG!$C$35,$A$1,1),0),I39)-MAX(D39,DATE(EINSTELLUNG!$C$35,$A$1,1))+1)/DAY(EOMONTH(DATE(EINSTELLUNG!$C$35,$A$1,1),0))*F39,2),"")</f>
        <v>86.5</v>
      </c>
      <c r="I39" s="57"/>
      <c r="J39" s="58"/>
      <c r="K39" s="152">
        <f t="shared" si="1"/>
        <v>0</v>
      </c>
      <c r="L39" s="15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9"/>
      <c r="N39" s="75"/>
      <c r="O39" s="307" t="s">
        <v>106</v>
      </c>
      <c r="P39" s="255"/>
      <c r="Q39" s="256">
        <f>IF(Q38=0, 0, Q35/Q38)</f>
        <v>13.333333333333334</v>
      </c>
      <c r="R39" s="256"/>
      <c r="S39" s="256">
        <f>IF(S38=0, 0, S35/S38)</f>
        <v>12.935483870967742</v>
      </c>
      <c r="T39" s="256"/>
      <c r="U39" s="256">
        <f t="shared" si="2"/>
        <v>-0.39784946236559193</v>
      </c>
      <c r="V39" s="257"/>
    </row>
    <row r="40" spans="1:22" ht="22" customHeight="1">
      <c r="A40" s="151" t="s">
        <v>107</v>
      </c>
      <c r="B40" s="101">
        <v>401734</v>
      </c>
      <c r="C40" s="45" t="s">
        <v>264</v>
      </c>
      <c r="D40" s="46">
        <v>45904</v>
      </c>
      <c r="E40" s="47" t="s">
        <v>2</v>
      </c>
      <c r="F40" s="48">
        <v>86.5</v>
      </c>
      <c r="G40" s="152">
        <f>IF(OR(E40="",F40=""),"",PID_KVLohnLookup($A$1,E40,F40,LOHNTABELLE!$H$4))</f>
        <v>2152</v>
      </c>
      <c r="H40" s="153">
        <f>IF(AND(ISNUMBER(D40),ISNUMBER(F40)),ROUNDDOWN(MIN(IF(OR(ISBLANK(I40),I40=""),EOMONTH(DATE(EINSTELLUNG!$C$35,$A$1,1),0),I40)-MAX(D40,DATE(EINSTELLUNG!$C$35,$A$1,1))+1)/DAY(EOMONTH(DATE(EINSTELLUNG!$C$35,$A$1,1),0))*F40,2),"")</f>
        <v>86.5</v>
      </c>
      <c r="I40" s="49"/>
      <c r="J40" s="50"/>
      <c r="K40" s="152">
        <f t="shared" si="1"/>
        <v>0</v>
      </c>
      <c r="L40" s="15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51"/>
      <c r="N40" s="74"/>
      <c r="O40" s="307" t="s">
        <v>108</v>
      </c>
      <c r="P40" s="255"/>
      <c r="Q40" s="256">
        <f>IF(Q13=0, 0, Q35/Q13)</f>
        <v>50.692908695734829</v>
      </c>
      <c r="R40" s="256"/>
      <c r="S40" s="256">
        <f>IF(Q13=0, 0, S35/Q13)</f>
        <v>50.819640967474164</v>
      </c>
      <c r="T40" s="256"/>
      <c r="U40" s="256">
        <f t="shared" si="2"/>
        <v>0.12673227173933554</v>
      </c>
      <c r="V40" s="257"/>
    </row>
    <row r="41" spans="1:22" ht="22" customHeight="1">
      <c r="A41" s="151" t="s">
        <v>109</v>
      </c>
      <c r="B41" s="102">
        <v>401737</v>
      </c>
      <c r="C41" s="53" t="s">
        <v>266</v>
      </c>
      <c r="D41" s="54">
        <v>45906</v>
      </c>
      <c r="E41" s="55" t="s">
        <v>2</v>
      </c>
      <c r="F41" s="56">
        <v>86.5</v>
      </c>
      <c r="G41" s="152">
        <f>IF(OR(E41="",F41=""),"",PID_KVLohnLookup($A$1,E41,F41,LOHNTABELLE!$H$4))</f>
        <v>2152</v>
      </c>
      <c r="H41" s="153">
        <f>IF(AND(ISNUMBER(D41),ISNUMBER(F41)),ROUNDDOWN(MIN(IF(OR(ISBLANK(I41),I41=""),EOMONTH(DATE(EINSTELLUNG!$C$35,$A$1,1),0),I41)-MAX(D41,DATE(EINSTELLUNG!$C$35,$A$1,1))+1)/DAY(EOMONTH(DATE(EINSTELLUNG!$C$35,$A$1,1),0))*F41,2),"")</f>
        <v>86.5</v>
      </c>
      <c r="I41" s="57"/>
      <c r="J41" s="58"/>
      <c r="K41" s="152">
        <f t="shared" si="1"/>
        <v>0</v>
      </c>
      <c r="L41" s="15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9"/>
      <c r="N41" s="75"/>
      <c r="O41" s="307" t="s">
        <v>110</v>
      </c>
      <c r="P41" s="255"/>
      <c r="Q41" s="269">
        <f>IF(Q13=0, 0, Q38/Q13)</f>
        <v>3.8019681521801121</v>
      </c>
      <c r="R41" s="269"/>
      <c r="S41" s="269">
        <f>IF(Q13=0, 0, S38/Q13)</f>
        <v>3.928700423919449</v>
      </c>
      <c r="T41" s="269"/>
      <c r="U41" s="269">
        <f t="shared" si="2"/>
        <v>0.12673227173933688</v>
      </c>
      <c r="V41" s="270"/>
    </row>
    <row r="42" spans="1:22" ht="22" customHeight="1">
      <c r="A42" s="151" t="s">
        <v>111</v>
      </c>
      <c r="B42" s="101">
        <v>401738</v>
      </c>
      <c r="C42" s="45" t="s">
        <v>267</v>
      </c>
      <c r="D42" s="46">
        <v>45909</v>
      </c>
      <c r="E42" s="47" t="s">
        <v>2</v>
      </c>
      <c r="F42" s="48">
        <v>86.5</v>
      </c>
      <c r="G42" s="152">
        <f>IF(OR(E42="",F42=""),"",PID_KVLohnLookup($A$1,E42,F42,LOHNTABELLE!$H$4))</f>
        <v>2152</v>
      </c>
      <c r="H42" s="153">
        <f>IF(AND(ISNUMBER(D42),ISNUMBER(F42)),ROUNDDOWN(MIN(IF(OR(ISBLANK(I42),I42=""),EOMONTH(DATE(EINSTELLUNG!$C$35,$A$1,1),0),I42)-MAX(D42,DATE(EINSTELLUNG!$C$35,$A$1,1))+1)/DAY(EOMONTH(DATE(EINSTELLUNG!$C$35,$A$1,1),0))*F42,2),"")</f>
        <v>86.5</v>
      </c>
      <c r="I42" s="49"/>
      <c r="J42" s="50"/>
      <c r="K42" s="152">
        <f t="shared" si="1"/>
        <v>0</v>
      </c>
      <c r="L42" s="15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51"/>
      <c r="N42" s="74"/>
      <c r="O42" s="306" t="s">
        <v>112</v>
      </c>
      <c r="P42" s="263"/>
      <c r="Q42" s="264">
        <f>IFERROR(Q17/Q8, 0)</f>
        <v>16.422175612462066</v>
      </c>
      <c r="R42" s="264"/>
      <c r="S42" s="264"/>
      <c r="T42" s="264"/>
      <c r="U42" s="264"/>
      <c r="V42" s="265"/>
    </row>
    <row r="43" spans="1:22" ht="22" customHeight="1">
      <c r="A43" s="151" t="s">
        <v>113</v>
      </c>
      <c r="B43" s="102">
        <v>401745</v>
      </c>
      <c r="C43" s="53" t="s">
        <v>271</v>
      </c>
      <c r="D43" s="54">
        <v>45934</v>
      </c>
      <c r="E43" s="55" t="s">
        <v>2</v>
      </c>
      <c r="F43" s="56">
        <v>86.5</v>
      </c>
      <c r="G43" s="152">
        <f>IF(OR(E43="",F43=""),"",PID_KVLohnLookup($A$1,E43,F43,LOHNTABELLE!$H$4))</f>
        <v>2152</v>
      </c>
      <c r="H43" s="153">
        <f>IF(AND(ISNUMBER(D43),ISNUMBER(F43)),ROUNDDOWN(MIN(IF(OR(ISBLANK(I43),I43=""),EOMONTH(DATE(EINSTELLUNG!$C$35,$A$1,1),0),I43)-MAX(D43,DATE(EINSTELLUNG!$C$35,$A$1,1))+1)/DAY(EOMONTH(DATE(EINSTELLUNG!$C$35,$A$1,1),0))*F43,2),"")</f>
        <v>86.5</v>
      </c>
      <c r="I43" s="57"/>
      <c r="J43" s="58"/>
      <c r="K43" s="152">
        <f t="shared" si="1"/>
        <v>0</v>
      </c>
      <c r="L43" s="15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9"/>
      <c r="N43" s="75"/>
      <c r="O43" s="164"/>
      <c r="P43" s="164"/>
      <c r="Q43" s="164"/>
      <c r="R43" s="149"/>
      <c r="S43" s="149"/>
      <c r="T43" s="149"/>
      <c r="U43" s="149"/>
      <c r="V43" s="149"/>
    </row>
    <row r="44" spans="1:22" ht="22" customHeight="1">
      <c r="A44" s="151" t="s">
        <v>114</v>
      </c>
      <c r="B44" s="101">
        <v>401746</v>
      </c>
      <c r="C44" s="45" t="s">
        <v>270</v>
      </c>
      <c r="D44" s="46">
        <v>45941</v>
      </c>
      <c r="E44" s="47" t="s">
        <v>2</v>
      </c>
      <c r="F44" s="48">
        <v>86.5</v>
      </c>
      <c r="G44" s="152">
        <f>IF(OR(E44="",F44=""),"",PID_KVLohnLookup($A$1,E44,F44,LOHNTABELLE!$H$4))</f>
        <v>2152</v>
      </c>
      <c r="H44" s="153">
        <f>IF(AND(ISNUMBER(D44),ISNUMBER(F44)),ROUNDDOWN(MIN(IF(OR(ISBLANK(I44),I44=""),EOMONTH(DATE(EINSTELLUNG!$C$35,$A$1,1),0),I44)-MAX(D44,DATE(EINSTELLUNG!$C$35,$A$1,1))+1)/DAY(EOMONTH(DATE(EINSTELLUNG!$C$35,$A$1,1),0))*F44,2),"")</f>
        <v>86.5</v>
      </c>
      <c r="I44" s="49"/>
      <c r="J44" s="50"/>
      <c r="K44" s="152">
        <f t="shared" si="1"/>
        <v>0</v>
      </c>
      <c r="L44" s="15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51"/>
      <c r="N44" s="74"/>
      <c r="O44" s="275" t="s">
        <v>115</v>
      </c>
      <c r="P44" s="275"/>
      <c r="Q44" s="275"/>
      <c r="R44" s="275"/>
      <c r="S44" s="275"/>
      <c r="T44" s="275"/>
      <c r="U44" s="275"/>
      <c r="V44" s="275"/>
    </row>
    <row r="45" spans="1:22" ht="22" customHeight="1">
      <c r="A45" s="151" t="s">
        <v>116</v>
      </c>
      <c r="B45" s="102">
        <v>401747</v>
      </c>
      <c r="C45" s="53" t="s">
        <v>268</v>
      </c>
      <c r="D45" s="54">
        <v>45941</v>
      </c>
      <c r="E45" s="55" t="s">
        <v>2</v>
      </c>
      <c r="F45" s="56">
        <v>86.5</v>
      </c>
      <c r="G45" s="152">
        <f>IF(OR(E45="",F45=""),"",PID_KVLohnLookup($A$1,E45,F45,LOHNTABELLE!$H$4))</f>
        <v>2152</v>
      </c>
      <c r="H45" s="153">
        <f>IF(AND(ISNUMBER(D45),ISNUMBER(F45)),ROUNDDOWN(MIN(IF(OR(ISBLANK(I45),I45=""),EOMONTH(DATE(EINSTELLUNG!$C$35,$A$1,1),0),I45)-MAX(D45,DATE(EINSTELLUNG!$C$35,$A$1,1))+1)/DAY(EOMONTH(DATE(EINSTELLUNG!$C$35,$A$1,1),0))*F45,2),"")</f>
        <v>86.5</v>
      </c>
      <c r="I45" s="57"/>
      <c r="J45" s="58"/>
      <c r="K45" s="152">
        <f t="shared" si="1"/>
        <v>0</v>
      </c>
      <c r="L45" s="15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9"/>
      <c r="N45" s="75"/>
      <c r="O45" s="276"/>
      <c r="P45" s="276"/>
      <c r="Q45" s="276"/>
      <c r="R45" s="277"/>
      <c r="S45" s="277"/>
      <c r="T45" s="277"/>
      <c r="U45" s="277"/>
      <c r="V45" s="149"/>
    </row>
    <row r="46" spans="1:22" ht="22" customHeight="1">
      <c r="A46" s="151" t="s">
        <v>117</v>
      </c>
      <c r="B46" s="101">
        <v>401748</v>
      </c>
      <c r="C46" s="45" t="s">
        <v>269</v>
      </c>
      <c r="D46" s="46">
        <v>45941</v>
      </c>
      <c r="E46" s="47" t="s">
        <v>2</v>
      </c>
      <c r="F46" s="48">
        <v>138.4</v>
      </c>
      <c r="G46" s="152">
        <f>IF(OR(E46="",F46=""),"",PID_KVLohnLookup($A$1,E46,F46,LOHNTABELLE!$H$4))</f>
        <v>2400</v>
      </c>
      <c r="H46" s="153">
        <f>IF(AND(ISNUMBER(D46),ISNUMBER(F46)),ROUNDDOWN(MIN(IF(OR(ISBLANK(I46),I46=""),EOMONTH(DATE(EINSTELLUNG!$C$35,$A$1,1),0),I46)-MAX(D46,DATE(EINSTELLUNG!$C$35,$A$1,1))+1)/DAY(EOMONTH(DATE(EINSTELLUNG!$C$35,$A$1,1),0))*F46,2),"")</f>
        <v>138.4</v>
      </c>
      <c r="I46" s="49"/>
      <c r="J46" s="50"/>
      <c r="K46" s="152">
        <f t="shared" si="1"/>
        <v>0</v>
      </c>
      <c r="L46" s="15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2400</v>
      </c>
      <c r="M46" s="51"/>
      <c r="N46" s="74"/>
      <c r="O46" s="149"/>
      <c r="P46" s="149"/>
      <c r="Q46" s="149"/>
      <c r="R46" s="149"/>
      <c r="S46" s="149"/>
      <c r="T46" s="149"/>
      <c r="U46" s="149"/>
      <c r="V46" s="149"/>
    </row>
    <row r="47" spans="1:22" ht="22" customHeight="1">
      <c r="A47" s="151" t="s">
        <v>118</v>
      </c>
      <c r="B47" s="102">
        <v>401751</v>
      </c>
      <c r="C47" s="53" t="s">
        <v>272</v>
      </c>
      <c r="D47" s="54">
        <v>45961</v>
      </c>
      <c r="E47" s="55" t="s">
        <v>2</v>
      </c>
      <c r="F47" s="56">
        <v>86.5</v>
      </c>
      <c r="G47" s="152">
        <f>IF(OR(E47="",F47=""),"",PID_KVLohnLookup($A$1,E47,F47,LOHNTABELLE!$H$4))</f>
        <v>2152</v>
      </c>
      <c r="H47" s="153">
        <f>IF(AND(ISNUMBER(D47),ISNUMBER(F47)),ROUNDDOWN(MIN(IF(OR(ISBLANK(I47),I47=""),EOMONTH(DATE(EINSTELLUNG!$C$35,$A$1,1),0),I47)-MAX(D47,DATE(EINSTELLUNG!$C$35,$A$1,1))+1)/DAY(EOMONTH(DATE(EINSTELLUNG!$C$35,$A$1,1),0))*F47,2),"")</f>
        <v>86.5</v>
      </c>
      <c r="I47" s="57"/>
      <c r="J47" s="58"/>
      <c r="K47" s="152">
        <f t="shared" si="1"/>
        <v>0</v>
      </c>
      <c r="L47" s="15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9"/>
      <c r="N47" s="75"/>
      <c r="O47" s="149"/>
      <c r="P47" s="149"/>
      <c r="Q47" s="149"/>
      <c r="R47" s="149"/>
      <c r="S47" s="149"/>
      <c r="T47" s="149"/>
      <c r="U47" s="149"/>
      <c r="V47" s="149"/>
    </row>
    <row r="48" spans="1:22" ht="22" customHeight="1">
      <c r="A48" s="151" t="s">
        <v>119</v>
      </c>
      <c r="B48" s="101">
        <v>401752</v>
      </c>
      <c r="C48" s="45" t="s">
        <v>273</v>
      </c>
      <c r="D48" s="46">
        <v>45986</v>
      </c>
      <c r="E48" s="47" t="s">
        <v>2</v>
      </c>
      <c r="F48" s="69">
        <v>173</v>
      </c>
      <c r="G48" s="152">
        <f>IF(OR(E48="",F48=""),"",PID_KVLohnLookup($A$1,E48,F48,LOHNTABELLE!$H$4))</f>
        <v>2900</v>
      </c>
      <c r="H48" s="153">
        <f>IF(AND(ISNUMBER(D48),ISNUMBER(F48)),ROUNDDOWN(MIN(IF(OR(ISBLANK(I48),I48=""),EOMONTH(DATE(EINSTELLUNG!$C$35,$A$1,1),0),I48)-MAX(D48,DATE(EINSTELLUNG!$C$35,$A$1,1))+1)/DAY(EOMONTH(DATE(EINSTELLUNG!$C$35,$A$1,1),0))*F48,2),"")</f>
        <v>173</v>
      </c>
      <c r="I48" s="49"/>
      <c r="J48" s="50"/>
      <c r="K48" s="152">
        <f t="shared" si="1"/>
        <v>0</v>
      </c>
      <c r="L48" s="15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2900</v>
      </c>
      <c r="M48" s="51"/>
      <c r="N48" s="74"/>
      <c r="O48" s="149"/>
      <c r="P48" s="149"/>
      <c r="Q48" s="149"/>
      <c r="R48" s="149"/>
      <c r="S48" s="149"/>
      <c r="T48" s="149"/>
      <c r="U48" s="149"/>
      <c r="V48" s="149"/>
    </row>
    <row r="49" spans="1:22" ht="22" customHeight="1">
      <c r="A49" s="151" t="s">
        <v>120</v>
      </c>
      <c r="B49" s="102">
        <v>401999</v>
      </c>
      <c r="C49" s="53" t="s">
        <v>358</v>
      </c>
      <c r="D49" s="54">
        <v>46041</v>
      </c>
      <c r="E49" s="55" t="s">
        <v>2</v>
      </c>
      <c r="F49" s="56">
        <v>151.38</v>
      </c>
      <c r="G49" s="152">
        <f>IF(OR(E49="",F49=""),"",PID_KVLohnLookup($A$1,E49,F49,LOHNTABELLE!$H$4))</f>
        <v>2500</v>
      </c>
      <c r="H49" s="153">
        <f>IF(AND(ISNUMBER(D49),ISNUMBER(F49)),ROUNDDOWN(MIN(IF(OR(ISBLANK(I49),I49=""),EOMONTH(DATE(EINSTELLUNG!$C$35,$A$1,1),0),I49)-MAX(D49,DATE(EINSTELLUNG!$C$35,$A$1,1))+1)/DAY(EOMONTH(DATE(EINSTELLUNG!$C$35,$A$1,1),0))*F49,2),"")</f>
        <v>151.38</v>
      </c>
      <c r="I49" s="57"/>
      <c r="J49" s="58"/>
      <c r="K49" s="152">
        <f t="shared" si="1"/>
        <v>0</v>
      </c>
      <c r="L49" s="15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59"/>
      <c r="N49" s="75"/>
      <c r="O49" s="149"/>
      <c r="P49" s="149"/>
      <c r="Q49" s="149"/>
      <c r="R49" s="149"/>
      <c r="S49" s="149"/>
      <c r="T49" s="149"/>
      <c r="U49" s="149"/>
      <c r="V49" s="149"/>
    </row>
    <row r="50" spans="1:22" ht="22" customHeight="1">
      <c r="A50" s="151" t="s">
        <v>121</v>
      </c>
      <c r="B50" s="101">
        <v>401999</v>
      </c>
      <c r="C50" s="60" t="s">
        <v>295</v>
      </c>
      <c r="D50" s="49">
        <v>46082</v>
      </c>
      <c r="E50" s="47" t="s">
        <v>2</v>
      </c>
      <c r="F50" s="48">
        <v>173</v>
      </c>
      <c r="G50" s="152">
        <f>IF(OR(E50="",F50=""),"",PID_KVLohnLookup($A$1,E50,F50,LOHNTABELLE!$H$4))</f>
        <v>2900</v>
      </c>
      <c r="H50" s="153">
        <f>IF(AND(ISNUMBER(D50),ISNUMBER(F50)),ROUNDDOWN(MIN(IF(OR(ISBLANK(I50),I50=""),EOMONTH(DATE(EINSTELLUNG!$C$35,$A$1,1),0),I50)-MAX(D50,DATE(EINSTELLUNG!$C$35,$A$1,1))+1)/DAY(EOMONTH(DATE(EINSTELLUNG!$C$35,$A$1,1),0))*F50,2),"")</f>
        <v>173</v>
      </c>
      <c r="I50" s="49"/>
      <c r="J50" s="50"/>
      <c r="K50" s="152">
        <f t="shared" si="1"/>
        <v>0</v>
      </c>
      <c r="L50" s="15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51"/>
      <c r="N50" s="74"/>
      <c r="O50" s="149"/>
      <c r="P50" s="149"/>
      <c r="Q50" s="149"/>
      <c r="R50" s="149"/>
      <c r="S50" s="149"/>
      <c r="T50" s="149"/>
      <c r="U50" s="149"/>
      <c r="V50" s="149"/>
    </row>
    <row r="51" spans="1:22" ht="22" customHeight="1">
      <c r="A51" s="151" t="s">
        <v>122</v>
      </c>
      <c r="B51" s="102">
        <v>402000</v>
      </c>
      <c r="C51" s="53" t="s">
        <v>298</v>
      </c>
      <c r="D51" s="57">
        <v>46143</v>
      </c>
      <c r="E51" s="55" t="s">
        <v>2</v>
      </c>
      <c r="F51" s="56">
        <v>173</v>
      </c>
      <c r="G51" s="152">
        <f>IF(OR(E51="",F51=""),"",PID_KVLohnLookup($A$1,E51,F51,LOHNTABELLE!$H$4))</f>
        <v>2900</v>
      </c>
      <c r="H51" s="153">
        <f>IF(AND(ISNUMBER(D51),ISNUMBER(F51)),ROUNDDOWN(MIN(IF(OR(ISBLANK(I51),I51=""),EOMONTH(DATE(EINSTELLUNG!$C$35,$A$1,1),0),I51)-MAX(D51,DATE(EINSTELLUNG!$C$35,$A$1,1))+1)/DAY(EOMONTH(DATE(EINSTELLUNG!$C$35,$A$1,1),0))*F51,2),"")</f>
        <v>55.8</v>
      </c>
      <c r="I51" s="57">
        <v>46305</v>
      </c>
      <c r="J51" s="58"/>
      <c r="K51" s="152">
        <f t="shared" si="1"/>
        <v>0</v>
      </c>
      <c r="L51" s="154">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935.48387096774195</v>
      </c>
      <c r="M51" s="59"/>
      <c r="N51" s="75" t="s">
        <v>195</v>
      </c>
    </row>
    <row r="52" spans="1:22" ht="22" customHeight="1">
      <c r="A52" s="151" t="s">
        <v>123</v>
      </c>
      <c r="B52" s="101">
        <v>402004</v>
      </c>
      <c r="C52" s="45" t="s">
        <v>299</v>
      </c>
      <c r="D52" s="49">
        <v>46122</v>
      </c>
      <c r="E52" s="47" t="s">
        <v>2</v>
      </c>
      <c r="F52" s="48">
        <v>173</v>
      </c>
      <c r="G52" s="152">
        <f>IF(OR(E52="",F52=""),"",PID_KVLohnLookup($A$1,E52,F52,LOHNTABELLE!$H$4))</f>
        <v>2900</v>
      </c>
      <c r="H52" s="153">
        <f>IF(AND(ISNUMBER(D52),ISNUMBER(F52)),ROUNDDOWN(MIN(IF(OR(ISBLANK(I52),I52=""),EOMONTH(DATE(EINSTELLUNG!$C$35,$A$1,1),0),I52)-MAX(D52,DATE(EINSTELLUNG!$C$35,$A$1,1))+1)/DAY(EOMONTH(DATE(EINSTELLUNG!$C$35,$A$1,1),0))*F52,2),"")</f>
        <v>173</v>
      </c>
      <c r="I52" s="49"/>
      <c r="J52" s="50"/>
      <c r="K52" s="152">
        <f t="shared" si="1"/>
        <v>0</v>
      </c>
      <c r="L52" s="15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51"/>
      <c r="N52" s="74"/>
    </row>
    <row r="53" spans="1:22" ht="22" customHeight="1">
      <c r="A53" s="151" t="s">
        <v>124</v>
      </c>
      <c r="B53" s="102">
        <v>402405</v>
      </c>
      <c r="C53" s="53" t="s">
        <v>301</v>
      </c>
      <c r="D53" s="57">
        <v>46054</v>
      </c>
      <c r="E53" s="55" t="s">
        <v>2</v>
      </c>
      <c r="F53" s="56">
        <v>173</v>
      </c>
      <c r="G53" s="152">
        <f>IF(OR(E53="",F53=""),"",PID_KVLohnLookup($A$1,E53,F53,LOHNTABELLE!$H$4))</f>
        <v>2900</v>
      </c>
      <c r="H53" s="153">
        <f>IF(AND(ISNUMBER(D53),ISNUMBER(F53)),ROUNDDOWN(MIN(IF(OR(ISBLANK(I53),I53=""),EOMONTH(DATE(EINSTELLUNG!$C$35,$A$1,1),0),I53)-MAX(D53,DATE(EINSTELLUNG!$C$35,$A$1,1))+1)/DAY(EOMONTH(DATE(EINSTELLUNG!$C$35,$A$1,1),0))*F53,2),"")</f>
        <v>173</v>
      </c>
      <c r="I53" s="57"/>
      <c r="J53" s="58"/>
      <c r="K53" s="152">
        <f t="shared" si="1"/>
        <v>0</v>
      </c>
      <c r="L53" s="15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9"/>
      <c r="N53" s="75"/>
    </row>
    <row r="54" spans="1:22" ht="22" customHeight="1">
      <c r="A54" s="151" t="s">
        <v>125</v>
      </c>
      <c r="B54" s="101">
        <v>500600</v>
      </c>
      <c r="C54" s="45" t="s">
        <v>305</v>
      </c>
      <c r="D54" s="49">
        <v>46054</v>
      </c>
      <c r="E54" s="47" t="s">
        <v>2</v>
      </c>
      <c r="F54" s="48">
        <v>173</v>
      </c>
      <c r="G54" s="152">
        <f>IF(OR(E54="",F54=""),"",PID_KVLohnLookup($A$1,E54,F54,LOHNTABELLE!$H$4))</f>
        <v>2900</v>
      </c>
      <c r="H54" s="153">
        <f>IF(AND(ISNUMBER(D54),ISNUMBER(F54)),ROUNDDOWN(MIN(IF(OR(ISBLANK(I54),I54=""),EOMONTH(DATE(EINSTELLUNG!$C$35,$A$1,1),0),I54)-MAX(D54,DATE(EINSTELLUNG!$C$35,$A$1,1))+1)/DAY(EOMONTH(DATE(EINSTELLUNG!$C$35,$A$1,1),0))*F54,2),"")</f>
        <v>173</v>
      </c>
      <c r="I54" s="49"/>
      <c r="J54" s="50"/>
      <c r="K54" s="152">
        <f t="shared" si="1"/>
        <v>0</v>
      </c>
      <c r="L54" s="15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51"/>
      <c r="N54" s="74"/>
    </row>
    <row r="55" spans="1:22" ht="22" customHeight="1">
      <c r="A55" s="151" t="s">
        <v>126</v>
      </c>
      <c r="B55" s="102">
        <v>502000</v>
      </c>
      <c r="C55" s="53" t="s">
        <v>300</v>
      </c>
      <c r="D55" s="57">
        <v>46147</v>
      </c>
      <c r="E55" s="55" t="s">
        <v>2</v>
      </c>
      <c r="F55" s="56">
        <v>173</v>
      </c>
      <c r="G55" s="152">
        <f>IF(OR(E55="",F55=""),"",PID_KVLohnLookup($A$1,E55,F55,LOHNTABELLE!$H$4))</f>
        <v>2900</v>
      </c>
      <c r="H55" s="153">
        <f>IF(AND(ISNUMBER(D55),ISNUMBER(F55)),ROUNDDOWN(MIN(IF(OR(ISBLANK(I55),I55=""),EOMONTH(DATE(EINSTELLUNG!$C$35,$A$1,1),0),I55)-MAX(D55,DATE(EINSTELLUNG!$C$35,$A$1,1))+1)/DAY(EOMONTH(DATE(EINSTELLUNG!$C$35,$A$1,1),0))*F55,2),"")</f>
        <v>173</v>
      </c>
      <c r="I55" s="57"/>
      <c r="J55" s="58"/>
      <c r="K55" s="152">
        <f t="shared" si="1"/>
        <v>0</v>
      </c>
      <c r="L55" s="15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9"/>
      <c r="N55" s="75"/>
    </row>
    <row r="56" spans="1:22" ht="22" customHeight="1">
      <c r="A56" s="151" t="s">
        <v>127</v>
      </c>
      <c r="B56" s="101">
        <v>503000</v>
      </c>
      <c r="C56" s="45" t="s">
        <v>302</v>
      </c>
      <c r="D56" s="49">
        <v>42401</v>
      </c>
      <c r="E56" s="47" t="s">
        <v>2</v>
      </c>
      <c r="F56" s="48">
        <v>173</v>
      </c>
      <c r="G56" s="152">
        <f>IF(OR(E56="",F56=""),"",PID_KVLohnLookup($A$1,E56,F56,LOHNTABELLE!$H$4))</f>
        <v>2900</v>
      </c>
      <c r="H56" s="153">
        <f>IF(AND(ISNUMBER(D56),ISNUMBER(F56)),ROUNDDOWN(MIN(IF(OR(ISBLANK(I56),I56=""),EOMONTH(DATE(EINSTELLUNG!$C$35,$A$1,1),0),I56)-MAX(D56,DATE(EINSTELLUNG!$C$35,$A$1,1))+1)/DAY(EOMONTH(DATE(EINSTELLUNG!$C$35,$A$1,1),0))*F56,2),"")</f>
        <v>173</v>
      </c>
      <c r="I56" s="49"/>
      <c r="J56" s="50"/>
      <c r="K56" s="152">
        <f t="shared" si="1"/>
        <v>0</v>
      </c>
      <c r="L56" s="15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51"/>
      <c r="N56" s="74"/>
    </row>
    <row r="57" spans="1:22" ht="22" customHeight="1">
      <c r="A57" s="151" t="s">
        <v>128</v>
      </c>
      <c r="B57" s="102">
        <v>504000</v>
      </c>
      <c r="C57" s="53" t="s">
        <v>303</v>
      </c>
      <c r="D57" s="57">
        <v>46054</v>
      </c>
      <c r="E57" s="55" t="s">
        <v>3</v>
      </c>
      <c r="F57" s="56">
        <v>138.4</v>
      </c>
      <c r="G57" s="152">
        <f>IF(OR(E57="",F57=""),"",PID_KVLohnLookup($A$1,E57,F57,LOHNTABELLE!$H$4))</f>
        <v>1665.6</v>
      </c>
      <c r="H57" s="153">
        <f>IF(AND(ISNUMBER(D57),ISNUMBER(F57)),ROUNDDOWN(MIN(IF(OR(ISBLANK(I57),I57=""),EOMONTH(DATE(EINSTELLUNG!$C$35,$A$1,1),0),I57)-MAX(D57,DATE(EINSTELLUNG!$C$35,$A$1,1))+1)/DAY(EOMONTH(DATE(EINSTELLUNG!$C$35,$A$1,1),0))*F57,2),"")</f>
        <v>138.4</v>
      </c>
      <c r="I57" s="57"/>
      <c r="J57" s="58"/>
      <c r="K57" s="152">
        <f t="shared" si="1"/>
        <v>0</v>
      </c>
      <c r="L57" s="15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59"/>
      <c r="N57" s="75"/>
    </row>
    <row r="58" spans="1:22" ht="22" customHeight="1">
      <c r="A58" s="151" t="s">
        <v>129</v>
      </c>
      <c r="B58" s="101">
        <v>505000</v>
      </c>
      <c r="C58" s="45" t="s">
        <v>304</v>
      </c>
      <c r="D58" s="49">
        <v>46054</v>
      </c>
      <c r="E58" s="47" t="s">
        <v>2</v>
      </c>
      <c r="F58" s="48">
        <v>138.4</v>
      </c>
      <c r="G58" s="152">
        <f>IF(OR(E58="",F58=""),"",PID_KVLohnLookup($A$1,E58,F58,LOHNTABELLE!$H$4))</f>
        <v>2400</v>
      </c>
      <c r="H58" s="153">
        <f>IF(AND(ISNUMBER(D58),ISNUMBER(F58)),ROUNDDOWN(MIN(IF(OR(ISBLANK(I58),I58=""),EOMONTH(DATE(EINSTELLUNG!$C$35,$A$1,1),0),I58)-MAX(D58,DATE(EINSTELLUNG!$C$35,$A$1,1))+1)/DAY(EOMONTH(DATE(EINSTELLUNG!$C$35,$A$1,1),0))*F58,2),"")</f>
        <v>138.4</v>
      </c>
      <c r="I58" s="49"/>
      <c r="J58" s="50"/>
      <c r="K58" s="152">
        <f t="shared" si="1"/>
        <v>0</v>
      </c>
      <c r="L58" s="15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51"/>
      <c r="N58" s="74"/>
    </row>
    <row r="59" spans="1:22" ht="22" customHeight="1">
      <c r="A59" s="151" t="s">
        <v>130</v>
      </c>
      <c r="B59" s="102">
        <v>525025</v>
      </c>
      <c r="C59" s="53" t="s">
        <v>359</v>
      </c>
      <c r="D59" s="57">
        <v>46040</v>
      </c>
      <c r="E59" s="55" t="s">
        <v>2</v>
      </c>
      <c r="F59" s="56">
        <v>129.75</v>
      </c>
      <c r="G59" s="152">
        <f>IF(OR(E59="",F59=""),"",PID_KVLohnLookup($A$1,E59,F59,LOHNTABELLE!$H$4))</f>
        <v>2300</v>
      </c>
      <c r="H59" s="153">
        <f>IF(AND(ISNUMBER(D59),ISNUMBER(F59)),ROUNDDOWN(MIN(IF(OR(ISBLANK(I59),I59=""),EOMONTH(DATE(EINSTELLUNG!$C$35,$A$1,1),0),I59)-MAX(D59,DATE(EINSTELLUNG!$C$35,$A$1,1))+1)/DAY(EOMONTH(DATE(EINSTELLUNG!$C$35,$A$1,1),0))*F59,2),"")</f>
        <v>129.75</v>
      </c>
      <c r="I59" s="57"/>
      <c r="J59" s="58"/>
      <c r="K59" s="152">
        <f t="shared" si="1"/>
        <v>0</v>
      </c>
      <c r="L59" s="15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59"/>
      <c r="N59" s="75"/>
    </row>
    <row r="60" spans="1:22" ht="22" customHeight="1">
      <c r="A60" s="151" t="s">
        <v>131</v>
      </c>
      <c r="B60" s="101">
        <v>700000</v>
      </c>
      <c r="C60" s="45" t="s">
        <v>312</v>
      </c>
      <c r="D60" s="49">
        <v>46054</v>
      </c>
      <c r="E60" s="47" t="s">
        <v>2</v>
      </c>
      <c r="F60" s="48">
        <v>173</v>
      </c>
      <c r="G60" s="152">
        <f>IF(OR(E60="",F60=""),"",PID_KVLohnLookup($A$1,E60,F60,LOHNTABELLE!$H$4))</f>
        <v>2900</v>
      </c>
      <c r="H60" s="153">
        <f>IF(AND(ISNUMBER(D60),ISNUMBER(F60)),ROUNDDOWN(MIN(IF(OR(ISBLANK(I60),I60=""),EOMONTH(DATE(EINSTELLUNG!$C$35,$A$1,1),0),I60)-MAX(D60,DATE(EINSTELLUNG!$C$35,$A$1,1))+1)/DAY(EOMONTH(DATE(EINSTELLUNG!$C$35,$A$1,1),0))*F60,2),"")</f>
        <v>173</v>
      </c>
      <c r="I60" s="49"/>
      <c r="J60" s="50"/>
      <c r="K60" s="152">
        <f t="shared" si="1"/>
        <v>0</v>
      </c>
      <c r="L60" s="15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51"/>
      <c r="N60" s="74"/>
    </row>
    <row r="61" spans="1:22" ht="22" customHeight="1">
      <c r="A61" s="151" t="s">
        <v>132</v>
      </c>
      <c r="B61" s="102">
        <v>800000</v>
      </c>
      <c r="C61" s="53" t="s">
        <v>313</v>
      </c>
      <c r="D61" s="57">
        <v>46096</v>
      </c>
      <c r="E61" s="55" t="s">
        <v>2</v>
      </c>
      <c r="F61" s="56">
        <v>86.5</v>
      </c>
      <c r="G61" s="152">
        <f>IF(OR(E61="",F61=""),"",PID_KVLohnLookup($A$1,E61,F61,LOHNTABELLE!$H$4))</f>
        <v>2152</v>
      </c>
      <c r="H61" s="153">
        <f>IF(AND(ISNUMBER(D61),ISNUMBER(F61)),ROUNDDOWN(MIN(IF(OR(ISBLANK(I61),I61=""),EOMONTH(DATE(EINSTELLUNG!$C$35,$A$1,1),0),I61)-MAX(D61,DATE(EINSTELLUNG!$C$35,$A$1,1))+1)/DAY(EOMONTH(DATE(EINSTELLUNG!$C$35,$A$1,1),0))*F61,2),"")</f>
        <v>86.5</v>
      </c>
      <c r="I61" s="57"/>
      <c r="J61" s="58"/>
      <c r="K61" s="152">
        <f t="shared" si="1"/>
        <v>0</v>
      </c>
      <c r="L61" s="15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2152</v>
      </c>
      <c r="M61" s="59"/>
      <c r="N61" s="75"/>
    </row>
    <row r="62" spans="1:22" ht="22" customHeight="1">
      <c r="A62" s="151" t="s">
        <v>133</v>
      </c>
      <c r="B62" s="101"/>
      <c r="C62" s="45"/>
      <c r="D62" s="49"/>
      <c r="E62" s="47"/>
      <c r="F62" s="48"/>
      <c r="G62" s="152" t="str">
        <f>IF(OR(E62="",F62=""),"",PID_KVLohnLookup($A$1,E62,F62,LOHNTABELLE!$H$4))</f>
        <v/>
      </c>
      <c r="H62" s="153" t="str">
        <f>IF(AND(ISNUMBER(D62),ISNUMBER(F62)),ROUNDDOWN(MIN(IF(OR(ISBLANK(I62),I62=""),EOMONTH(DATE(EINSTELLUNG!$C$35,$A$1,1),0),I62)-MAX(D62,DATE(EINSTELLUNG!$C$35,$A$1,1))+1)/DAY(EOMONTH(DATE(EINSTELLUNG!$C$35,$A$1,1),0))*F62,2),"")</f>
        <v/>
      </c>
      <c r="I62" s="49"/>
      <c r="J62" s="50"/>
      <c r="K62" s="152" t="str">
        <f t="shared" si="1"/>
        <v/>
      </c>
      <c r="L62" s="15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51"/>
      <c r="N62" s="74"/>
    </row>
    <row r="63" spans="1:22" ht="22" customHeight="1">
      <c r="A63" s="151" t="s">
        <v>134</v>
      </c>
      <c r="B63" s="102"/>
      <c r="C63" s="53"/>
      <c r="D63" s="57"/>
      <c r="E63" s="55"/>
      <c r="F63" s="56"/>
      <c r="G63" s="152" t="str">
        <f>IF(OR(E63="",F63=""),"",PID_KVLohnLookup($A$1,E63,F63,LOHNTABELLE!$H$4))</f>
        <v/>
      </c>
      <c r="H63" s="153" t="str">
        <f>IF(AND(ISNUMBER(D63),ISNUMBER(F63)),ROUNDDOWN(MIN(IF(OR(ISBLANK(I63),I63=""),EOMONTH(DATE(EINSTELLUNG!$C$35,$A$1,1),0),I63)-MAX(D63,DATE(EINSTELLUNG!$C$35,$A$1,1))+1)/DAY(EOMONTH(DATE(EINSTELLUNG!$C$35,$A$1,1),0))*F63,2),"")</f>
        <v/>
      </c>
      <c r="I63" s="57"/>
      <c r="J63" s="58"/>
      <c r="K63" s="152" t="str">
        <f t="shared" si="1"/>
        <v/>
      </c>
      <c r="L63" s="15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9"/>
      <c r="N63" s="75"/>
    </row>
    <row r="64" spans="1:22" ht="22" customHeight="1">
      <c r="A64" s="151" t="s">
        <v>135</v>
      </c>
      <c r="B64" s="101"/>
      <c r="C64" s="45"/>
      <c r="D64" s="49"/>
      <c r="E64" s="47"/>
      <c r="F64" s="48"/>
      <c r="G64" s="152" t="str">
        <f>IF(OR(E64="",F64=""),"",PID_KVLohnLookup($A$1,E64,F64,LOHNTABELLE!$H$4))</f>
        <v/>
      </c>
      <c r="H64" s="153" t="str">
        <f>IF(AND(ISNUMBER(D64),ISNUMBER(F64)),ROUNDDOWN(MIN(IF(OR(ISBLANK(I64),I64=""),EOMONTH(DATE(EINSTELLUNG!$C$35,$A$1,1),0),I64)-MAX(D64,DATE(EINSTELLUNG!$C$35,$A$1,1))+1)/DAY(EOMONTH(DATE(EINSTELLUNG!$C$35,$A$1,1),0))*F64,2),"")</f>
        <v/>
      </c>
      <c r="I64" s="49"/>
      <c r="J64" s="50"/>
      <c r="K64" s="152" t="str">
        <f t="shared" si="1"/>
        <v/>
      </c>
      <c r="L64" s="15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51"/>
      <c r="N64" s="74"/>
    </row>
    <row r="65" spans="1:14" ht="22" customHeight="1">
      <c r="A65" s="151" t="s">
        <v>136</v>
      </c>
      <c r="B65" s="102"/>
      <c r="C65" s="53"/>
      <c r="D65" s="57"/>
      <c r="E65" s="55"/>
      <c r="F65" s="56"/>
      <c r="G65" s="152" t="str">
        <f>IF(OR(E65="",F65=""),"",PID_KVLohnLookup($A$1,E65,F65,LOHNTABELLE!$H$4))</f>
        <v/>
      </c>
      <c r="H65" s="153" t="str">
        <f>IF(AND(ISNUMBER(D65),ISNUMBER(F65)),ROUNDDOWN(MIN(IF(OR(ISBLANK(I65),I65=""),EOMONTH(DATE(EINSTELLUNG!$C$35,$A$1,1),0),I65)-MAX(D65,DATE(EINSTELLUNG!$C$35,$A$1,1))+1)/DAY(EOMONTH(DATE(EINSTELLUNG!$C$35,$A$1,1),0))*F65,2),"")</f>
        <v/>
      </c>
      <c r="I65" s="57"/>
      <c r="J65" s="58"/>
      <c r="K65" s="152" t="str">
        <f t="shared" si="1"/>
        <v/>
      </c>
      <c r="L65" s="15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9"/>
      <c r="N65" s="75"/>
    </row>
    <row r="66" spans="1:14" ht="22" customHeight="1">
      <c r="A66" s="151" t="s">
        <v>137</v>
      </c>
      <c r="B66" s="101"/>
      <c r="C66" s="45"/>
      <c r="D66" s="49"/>
      <c r="E66" s="47"/>
      <c r="F66" s="48"/>
      <c r="G66" s="152" t="str">
        <f>IF(OR(E66="",F66=""),"",PID_KVLohnLookup($A$1,E66,F66,LOHNTABELLE!$H$4))</f>
        <v/>
      </c>
      <c r="H66" s="153" t="str">
        <f>IF(AND(ISNUMBER(D66),ISNUMBER(F66)),ROUNDDOWN(MIN(IF(OR(ISBLANK(I66),I66=""),EOMONTH(DATE(EINSTELLUNG!$C$35,$A$1,1),0),I66)-MAX(D66,DATE(EINSTELLUNG!$C$35,$A$1,1))+1)/DAY(EOMONTH(DATE(EINSTELLUNG!$C$35,$A$1,1),0))*F66,2),"")</f>
        <v/>
      </c>
      <c r="I66" s="49"/>
      <c r="J66" s="50"/>
      <c r="K66" s="152" t="str">
        <f t="shared" si="1"/>
        <v/>
      </c>
      <c r="L66" s="15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51"/>
      <c r="N66" s="74"/>
    </row>
    <row r="67" spans="1:14" ht="22" customHeight="1">
      <c r="A67" s="151" t="s">
        <v>138</v>
      </c>
      <c r="B67" s="102"/>
      <c r="C67" s="53"/>
      <c r="D67" s="57"/>
      <c r="E67" s="55"/>
      <c r="F67" s="56"/>
      <c r="G67" s="152" t="str">
        <f>IF(OR(E67="",F67=""),"",PID_KVLohnLookup($A$1,E67,F67,LOHNTABELLE!$H$4))</f>
        <v/>
      </c>
      <c r="H67" s="153" t="str">
        <f>IF(AND(ISNUMBER(D67),ISNUMBER(F67)),ROUNDDOWN(MIN(IF(OR(ISBLANK(I67),I67=""),EOMONTH(DATE(EINSTELLUNG!$C$35,$A$1,1),0),I67)-MAX(D67,DATE(EINSTELLUNG!$C$35,$A$1,1))+1)/DAY(EOMONTH(DATE(EINSTELLUNG!$C$35,$A$1,1),0))*F67,2),"")</f>
        <v/>
      </c>
      <c r="I67" s="57"/>
      <c r="J67" s="58"/>
      <c r="K67" s="152" t="str">
        <f t="shared" ref="K67:K82" si="3">IF(OR(B67="",C67=""),"",IFERROR(IF(OR(MONTH(D67)=1,MONTH(D67)=3,MONTH(D67)=5,MONTH(D67)=7,MONTH(D67)=8,MONTH(D67)=10,MONTH(D67)=12),(G67/31)*J67,IF(OR(MONTH(D67)=4,MONTH(D67)=6,MONTH(D67)=9,MONTH(D67)=11),(G67/30)*J67,(G67/DAY(EOMONTH(D67,0)))*J67)),0))</f>
        <v/>
      </c>
      <c r="L67" s="15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9"/>
      <c r="N67" s="75"/>
    </row>
    <row r="68" spans="1:14" ht="22" customHeight="1">
      <c r="A68" s="151" t="s">
        <v>139</v>
      </c>
      <c r="B68" s="101"/>
      <c r="C68" s="45"/>
      <c r="D68" s="49"/>
      <c r="E68" s="47"/>
      <c r="F68" s="48"/>
      <c r="G68" s="152" t="str">
        <f>IF(OR(E68="",F68=""),"",PID_KVLohnLookup($A$1,E68,F68,LOHNTABELLE!$H$4))</f>
        <v/>
      </c>
      <c r="H68" s="153" t="str">
        <f>IF(AND(ISNUMBER(D68),ISNUMBER(F68)),ROUNDDOWN(MIN(IF(OR(ISBLANK(I68),I68=""),EOMONTH(DATE(EINSTELLUNG!$C$35,$A$1,1),0),I68)-MAX(D68,DATE(EINSTELLUNG!$C$35,$A$1,1))+1)/DAY(EOMONTH(DATE(EINSTELLUNG!$C$35,$A$1,1),0))*F68,2),"")</f>
        <v/>
      </c>
      <c r="I68" s="49"/>
      <c r="J68" s="50"/>
      <c r="K68" s="152" t="str">
        <f t="shared" si="3"/>
        <v/>
      </c>
      <c r="L68" s="15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51"/>
      <c r="N68" s="74"/>
    </row>
    <row r="69" spans="1:14" ht="22" customHeight="1">
      <c r="A69" s="151" t="s">
        <v>140</v>
      </c>
      <c r="B69" s="102"/>
      <c r="C69" s="53"/>
      <c r="D69" s="57"/>
      <c r="E69" s="55"/>
      <c r="F69" s="56"/>
      <c r="G69" s="152" t="str">
        <f>IF(OR(E69="",F69=""),"",PID_KVLohnLookup($A$1,E69,F69,LOHNTABELLE!$H$4))</f>
        <v/>
      </c>
      <c r="H69" s="153" t="str">
        <f>IF(AND(ISNUMBER(D69),ISNUMBER(F69)),ROUNDDOWN(MIN(IF(OR(ISBLANK(I69),I69=""),EOMONTH(DATE(EINSTELLUNG!$C$35,$A$1,1),0),I69)-MAX(D69,DATE(EINSTELLUNG!$C$35,$A$1,1))+1)/DAY(EOMONTH(DATE(EINSTELLUNG!$C$35,$A$1,1),0))*F69,2),"")</f>
        <v/>
      </c>
      <c r="I69" s="57"/>
      <c r="J69" s="58"/>
      <c r="K69" s="152" t="str">
        <f t="shared" si="3"/>
        <v/>
      </c>
      <c r="L69" s="15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9"/>
      <c r="N69" s="75"/>
    </row>
    <row r="70" spans="1:14" ht="22" customHeight="1">
      <c r="A70" s="151" t="s">
        <v>141</v>
      </c>
      <c r="B70" s="101"/>
      <c r="C70" s="45"/>
      <c r="D70" s="49"/>
      <c r="E70" s="47"/>
      <c r="F70" s="48"/>
      <c r="G70" s="152" t="str">
        <f>IF(OR(E70="",F70=""),"",PID_KVLohnLookup($A$1,E70,F70,LOHNTABELLE!$H$4))</f>
        <v/>
      </c>
      <c r="H70" s="153" t="str">
        <f>IF(AND(ISNUMBER(D70),ISNUMBER(F70)),ROUNDDOWN(MIN(IF(OR(ISBLANK(I70),I70=""),EOMONTH(DATE(EINSTELLUNG!$C$35,$A$1,1),0),I70)-MAX(D70,DATE(EINSTELLUNG!$C$35,$A$1,1))+1)/DAY(EOMONTH(DATE(EINSTELLUNG!$C$35,$A$1,1),0))*F70,2),"")</f>
        <v/>
      </c>
      <c r="I70" s="49"/>
      <c r="J70" s="50"/>
      <c r="K70" s="152" t="str">
        <f t="shared" si="3"/>
        <v/>
      </c>
      <c r="L70" s="15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51"/>
      <c r="N70" s="74"/>
    </row>
    <row r="71" spans="1:14" ht="22" customHeight="1">
      <c r="A71" s="151" t="s">
        <v>142</v>
      </c>
      <c r="B71" s="102"/>
      <c r="C71" s="53"/>
      <c r="D71" s="57"/>
      <c r="E71" s="55"/>
      <c r="F71" s="56"/>
      <c r="G71" s="152" t="str">
        <f>IF(OR(E71="",F71=""),"",PID_KVLohnLookup($A$1,E71,F71,LOHNTABELLE!$H$4))</f>
        <v/>
      </c>
      <c r="H71" s="153" t="str">
        <f>IF(AND(ISNUMBER(D71),ISNUMBER(F71)),ROUNDDOWN(MIN(IF(OR(ISBLANK(I71),I71=""),EOMONTH(DATE(EINSTELLUNG!$C$35,$A$1,1),0),I71)-MAX(D71,DATE(EINSTELLUNG!$C$35,$A$1,1))+1)/DAY(EOMONTH(DATE(EINSTELLUNG!$C$35,$A$1,1),0))*F71,2),"")</f>
        <v/>
      </c>
      <c r="I71" s="57"/>
      <c r="J71" s="58"/>
      <c r="K71" s="152" t="str">
        <f t="shared" si="3"/>
        <v/>
      </c>
      <c r="L71" s="15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9"/>
      <c r="N71" s="75"/>
    </row>
    <row r="72" spans="1:14" ht="22" customHeight="1">
      <c r="A72" s="151" t="s">
        <v>143</v>
      </c>
      <c r="B72" s="101"/>
      <c r="C72" s="45"/>
      <c r="D72" s="49"/>
      <c r="E72" s="47"/>
      <c r="F72" s="48"/>
      <c r="G72" s="152" t="str">
        <f>IF(OR(E72="",F72=""),"",PID_KVLohnLookup($A$1,E72,F72,LOHNTABELLE!$H$4))</f>
        <v/>
      </c>
      <c r="H72" s="153" t="str">
        <f>IF(AND(ISNUMBER(D72),ISNUMBER(F72)),ROUNDDOWN(MIN(IF(OR(ISBLANK(I72),I72=""),EOMONTH(DATE(EINSTELLUNG!$C$35,$A$1,1),0),I72)-MAX(D72,DATE(EINSTELLUNG!$C$35,$A$1,1))+1)/DAY(EOMONTH(DATE(EINSTELLUNG!$C$35,$A$1,1),0))*F72,2),"")</f>
        <v/>
      </c>
      <c r="I72" s="49"/>
      <c r="J72" s="50"/>
      <c r="K72" s="152" t="str">
        <f t="shared" si="3"/>
        <v/>
      </c>
      <c r="L72" s="15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51"/>
      <c r="N72" s="74"/>
    </row>
    <row r="73" spans="1:14" ht="22" customHeight="1">
      <c r="A73" s="151" t="s">
        <v>144</v>
      </c>
      <c r="B73" s="102"/>
      <c r="C73" s="53"/>
      <c r="D73" s="57"/>
      <c r="E73" s="55"/>
      <c r="F73" s="56"/>
      <c r="G73" s="152" t="str">
        <f>IF(OR(E73="",F73=""),"",PID_KVLohnLookup($A$1,E73,F73,LOHNTABELLE!$H$4))</f>
        <v/>
      </c>
      <c r="H73" s="153" t="str">
        <f>IF(AND(ISNUMBER(D73),ISNUMBER(F73)),ROUNDDOWN(MIN(IF(OR(ISBLANK(I73),I73=""),EOMONTH(DATE(EINSTELLUNG!$C$35,$A$1,1),0),I73)-MAX(D73,DATE(EINSTELLUNG!$C$35,$A$1,1))+1)/DAY(EOMONTH(DATE(EINSTELLUNG!$C$35,$A$1,1),0))*F73,2),"")</f>
        <v/>
      </c>
      <c r="I73" s="57"/>
      <c r="J73" s="58"/>
      <c r="K73" s="152" t="str">
        <f t="shared" si="3"/>
        <v/>
      </c>
      <c r="L73" s="15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9"/>
      <c r="N73" s="75"/>
    </row>
    <row r="74" spans="1:14" ht="22" customHeight="1">
      <c r="A74" s="151" t="s">
        <v>145</v>
      </c>
      <c r="B74" s="101"/>
      <c r="C74" s="45"/>
      <c r="D74" s="49"/>
      <c r="E74" s="47"/>
      <c r="F74" s="48"/>
      <c r="G74" s="152" t="str">
        <f>IF(OR(E74="",F74=""),"",PID_KVLohnLookup($A$1,E74,F74,LOHNTABELLE!$H$4))</f>
        <v/>
      </c>
      <c r="H74" s="153" t="str">
        <f>IF(AND(ISNUMBER(D74),ISNUMBER(F74)),ROUNDDOWN(MIN(IF(OR(ISBLANK(I74),I74=""),EOMONTH(DATE(EINSTELLUNG!$C$35,$A$1,1),0),I74)-MAX(D74,DATE(EINSTELLUNG!$C$35,$A$1,1))+1)/DAY(EOMONTH(DATE(EINSTELLUNG!$C$35,$A$1,1),0))*F74,2),"")</f>
        <v/>
      </c>
      <c r="I74" s="49"/>
      <c r="J74" s="50"/>
      <c r="K74" s="152" t="str">
        <f t="shared" si="3"/>
        <v/>
      </c>
      <c r="L74" s="15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51"/>
      <c r="N74" s="74"/>
    </row>
    <row r="75" spans="1:14" ht="22" customHeight="1">
      <c r="A75" s="151" t="s">
        <v>146</v>
      </c>
      <c r="B75" s="102"/>
      <c r="C75" s="53"/>
      <c r="D75" s="57"/>
      <c r="E75" s="55"/>
      <c r="F75" s="56"/>
      <c r="G75" s="152" t="str">
        <f>IF(OR(E75="",F75=""),"",PID_KVLohnLookup($A$1,E75,F75,LOHNTABELLE!$H$4))</f>
        <v/>
      </c>
      <c r="H75" s="153" t="str">
        <f>IF(AND(ISNUMBER(D75),ISNUMBER(F75)),ROUNDDOWN(MIN(IF(OR(ISBLANK(I75),I75=""),EOMONTH(DATE(EINSTELLUNG!$C$35,$A$1,1),0),I75)-MAX(D75,DATE(EINSTELLUNG!$C$35,$A$1,1))+1)/DAY(EOMONTH(DATE(EINSTELLUNG!$C$35,$A$1,1),0))*F75,2),"")</f>
        <v/>
      </c>
      <c r="I75" s="57"/>
      <c r="J75" s="58"/>
      <c r="K75" s="152" t="str">
        <f t="shared" si="3"/>
        <v/>
      </c>
      <c r="L75" s="15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9"/>
      <c r="N75" s="75"/>
    </row>
    <row r="76" spans="1:14" ht="22" customHeight="1">
      <c r="A76" s="151" t="s">
        <v>147</v>
      </c>
      <c r="B76" s="101"/>
      <c r="C76" s="45"/>
      <c r="D76" s="49"/>
      <c r="E76" s="47"/>
      <c r="F76" s="48"/>
      <c r="G76" s="152" t="str">
        <f>IF(OR(E76="",F76=""),"",PID_KVLohnLookup($A$1,E76,F76,LOHNTABELLE!$H$4))</f>
        <v/>
      </c>
      <c r="H76" s="153" t="str">
        <f>IF(AND(ISNUMBER(D76),ISNUMBER(F76)),ROUNDDOWN(MIN(IF(OR(ISBLANK(I76),I76=""),EOMONTH(DATE(EINSTELLUNG!$C$35,$A$1,1),0),I76)-MAX(D76,DATE(EINSTELLUNG!$C$35,$A$1,1))+1)/DAY(EOMONTH(DATE(EINSTELLUNG!$C$35,$A$1,1),0))*F76,2),"")</f>
        <v/>
      </c>
      <c r="I76" s="49"/>
      <c r="J76" s="50"/>
      <c r="K76" s="152" t="str">
        <f t="shared" si="3"/>
        <v/>
      </c>
      <c r="L76" s="15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51"/>
      <c r="N76" s="74"/>
    </row>
    <row r="77" spans="1:14" ht="22" customHeight="1">
      <c r="A77" s="151" t="s">
        <v>148</v>
      </c>
      <c r="B77" s="102"/>
      <c r="C77" s="53"/>
      <c r="D77" s="57"/>
      <c r="E77" s="55"/>
      <c r="F77" s="56"/>
      <c r="G77" s="152" t="str">
        <f>IF(OR(E77="",F77=""),"",PID_KVLohnLookup($A$1,E77,F77,LOHNTABELLE!$H$4))</f>
        <v/>
      </c>
      <c r="H77" s="153" t="str">
        <f>IF(AND(ISNUMBER(D77),ISNUMBER(F77)),ROUNDDOWN(MIN(IF(OR(ISBLANK(I77),I77=""),EOMONTH(DATE(EINSTELLUNG!$C$35,$A$1,1),0),I77)-MAX(D77,DATE(EINSTELLUNG!$C$35,$A$1,1))+1)/DAY(EOMONTH(DATE(EINSTELLUNG!$C$35,$A$1,1),0))*F77,2),"")</f>
        <v/>
      </c>
      <c r="I77" s="57"/>
      <c r="J77" s="58"/>
      <c r="K77" s="152" t="str">
        <f t="shared" si="3"/>
        <v/>
      </c>
      <c r="L77" s="15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9"/>
      <c r="N77" s="75"/>
    </row>
    <row r="78" spans="1:14" ht="22" customHeight="1">
      <c r="A78" s="151" t="s">
        <v>149</v>
      </c>
      <c r="B78" s="101"/>
      <c r="C78" s="45"/>
      <c r="D78" s="49"/>
      <c r="E78" s="47"/>
      <c r="F78" s="48"/>
      <c r="G78" s="152" t="str">
        <f>IF(OR(E78="",F78=""),"",PID_KVLohnLookup($A$1,E78,F78,LOHNTABELLE!$H$4))</f>
        <v/>
      </c>
      <c r="H78" s="153" t="str">
        <f>IF(AND(ISNUMBER(D78),ISNUMBER(F78)),ROUNDDOWN(MIN(IF(OR(ISBLANK(I78),I78=""),EOMONTH(DATE(EINSTELLUNG!$C$35,$A$1,1),0),I78)-MAX(D78,DATE(EINSTELLUNG!$C$35,$A$1,1))+1)/DAY(EOMONTH(DATE(EINSTELLUNG!$C$35,$A$1,1),0))*F78,2),"")</f>
        <v/>
      </c>
      <c r="I78" s="49"/>
      <c r="J78" s="50"/>
      <c r="K78" s="152" t="str">
        <f t="shared" si="3"/>
        <v/>
      </c>
      <c r="L78" s="15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51"/>
      <c r="N78" s="74"/>
    </row>
    <row r="79" spans="1:14" ht="22" customHeight="1">
      <c r="A79" s="151" t="s">
        <v>150</v>
      </c>
      <c r="B79" s="102"/>
      <c r="C79" s="53"/>
      <c r="D79" s="57"/>
      <c r="E79" s="55"/>
      <c r="F79" s="56"/>
      <c r="G79" s="152" t="str">
        <f>IF(OR(E79="",F79=""),"",PID_KVLohnLookup($A$1,E79,F79,LOHNTABELLE!$H$4))</f>
        <v/>
      </c>
      <c r="H79" s="153" t="str">
        <f>IF(AND(ISNUMBER(D79),ISNUMBER(F79)),ROUNDDOWN(MIN(IF(OR(ISBLANK(I79),I79=""),EOMONTH(DATE(EINSTELLUNG!$C$35,$A$1,1),0),I79)-MAX(D79,DATE(EINSTELLUNG!$C$35,$A$1,1))+1)/DAY(EOMONTH(DATE(EINSTELLUNG!$C$35,$A$1,1),0))*F79,2),"")</f>
        <v/>
      </c>
      <c r="I79" s="57"/>
      <c r="J79" s="58"/>
      <c r="K79" s="152" t="str">
        <f t="shared" si="3"/>
        <v/>
      </c>
      <c r="L79" s="15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9"/>
      <c r="N79" s="75"/>
    </row>
    <row r="80" spans="1:14" ht="22" customHeight="1">
      <c r="A80" s="151" t="s">
        <v>151</v>
      </c>
      <c r="B80" s="101"/>
      <c r="C80" s="45"/>
      <c r="D80" s="49"/>
      <c r="E80" s="47"/>
      <c r="F80" s="48"/>
      <c r="G80" s="152" t="str">
        <f>IF(OR(E80="",F80=""),"",PID_KVLohnLookup($A$1,E80,F80,LOHNTABELLE!$H$4))</f>
        <v/>
      </c>
      <c r="H80" s="153" t="str">
        <f>IF(AND(ISNUMBER(D80),ISNUMBER(F80)),ROUNDDOWN(MIN(IF(OR(ISBLANK(I80),I80=""),EOMONTH(DATE(EINSTELLUNG!$C$35,$A$1,1),0),I80)-MAX(D80,DATE(EINSTELLUNG!$C$35,$A$1,1))+1)/DAY(EOMONTH(DATE(EINSTELLUNG!$C$35,$A$1,1),0))*F80,2),"")</f>
        <v/>
      </c>
      <c r="I80" s="49"/>
      <c r="J80" s="50"/>
      <c r="K80" s="152" t="str">
        <f t="shared" si="3"/>
        <v/>
      </c>
      <c r="L80" s="15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51"/>
      <c r="N80" s="74"/>
    </row>
    <row r="81" spans="1:14" ht="22" customHeight="1">
      <c r="A81" s="151" t="s">
        <v>152</v>
      </c>
      <c r="B81" s="102"/>
      <c r="C81" s="53"/>
      <c r="D81" s="57"/>
      <c r="E81" s="55"/>
      <c r="F81" s="56"/>
      <c r="G81" s="152" t="str">
        <f>IF(OR(E81="",F81=""),"",PID_KVLohnLookup($A$1,E81,F81,LOHNTABELLE!$H$4))</f>
        <v/>
      </c>
      <c r="H81" s="153" t="str">
        <f>IF(AND(ISNUMBER(D81),ISNUMBER(F81)),ROUNDDOWN(MIN(IF(OR(ISBLANK(I81),I81=""),EOMONTH(DATE(EINSTELLUNG!$C$35,$A$1,1),0),I81)-MAX(D81,DATE(EINSTELLUNG!$C$35,$A$1,1))+1)/DAY(EOMONTH(DATE(EINSTELLUNG!$C$35,$A$1,1),0))*F81,2),"")</f>
        <v/>
      </c>
      <c r="I81" s="57"/>
      <c r="J81" s="58"/>
      <c r="K81" s="152" t="str">
        <f t="shared" si="3"/>
        <v/>
      </c>
      <c r="L81" s="15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9"/>
      <c r="N81" s="75"/>
    </row>
    <row r="82" spans="1:14" ht="22" customHeight="1" thickBot="1">
      <c r="A82" s="165" t="s">
        <v>153</v>
      </c>
      <c r="B82" s="103"/>
      <c r="C82" s="62"/>
      <c r="D82" s="63"/>
      <c r="E82" s="64"/>
      <c r="F82" s="65"/>
      <c r="G82" s="166" t="str">
        <f>IF(OR(E82="",F82=""),"",PID_KVLohnLookup($A$1,E82,F82,LOHNTABELLE!$H$4))</f>
        <v/>
      </c>
      <c r="H82" s="159" t="str">
        <f>IF(AND(ISNUMBER(D82),ISNUMBER(F82)),ROUNDDOWN(MIN(IF(OR(ISBLANK(I82),I82=""),EOMONTH(DATE(EINSTELLUNG!$C$35,$A$1,1),0),I82)-MAX(D82,DATE(EINSTELLUNG!$C$35,$A$1,1))+1)/DAY(EOMONTH(DATE(EINSTELLUNG!$C$35,$A$1,1),0))*F82,2),"")</f>
        <v/>
      </c>
      <c r="I82" s="63"/>
      <c r="J82" s="66"/>
      <c r="K82" s="166" t="str">
        <f t="shared" si="3"/>
        <v/>
      </c>
      <c r="L82" s="16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7"/>
      <c r="N82" s="78"/>
    </row>
    <row r="83" spans="1:14" ht="16" customHeight="1">
      <c r="A83" s="168"/>
      <c r="B83" s="168"/>
    </row>
    <row r="100" spans="26:26" ht="16" customHeight="1">
      <c r="Z100" s="142"/>
    </row>
  </sheetData>
  <sheetProtection algorithmName="SHA-512" hashValue="UtLX5eDJ9tEc/5siEBCIIwhPqVFpdj7RSvNcWpycGxCsoOP/A3sjfibTFHc5yod4OHiC9YTvOd4NuZx0aXzlsw==" saltValue="ib3owC0ZbNRD8zcVkyCRXg==" spinCount="100000" sheet="1" objects="1" scenarios="1" sort="0" autoFilter="0"/>
  <sortState xmlns:xlrd2="http://schemas.microsoft.com/office/spreadsheetml/2017/richdata2" ref="B3:N82">
    <sortCondition ref="B3:B82"/>
    <sortCondition ref="C3:C82"/>
  </sortState>
  <mergeCells count="102">
    <mergeCell ref="O45:U45"/>
    <mergeCell ref="B1:B2"/>
    <mergeCell ref="O16:R16"/>
    <mergeCell ref="Q9:R9"/>
    <mergeCell ref="O10:P10"/>
    <mergeCell ref="Q10:R10"/>
    <mergeCell ref="O15:P15"/>
    <mergeCell ref="Q3:Q4"/>
    <mergeCell ref="R3:R4"/>
    <mergeCell ref="O6:R6"/>
    <mergeCell ref="O8:P8"/>
    <mergeCell ref="Q8:R8"/>
    <mergeCell ref="Q15:R15"/>
    <mergeCell ref="O42:P42"/>
    <mergeCell ref="I1:I2"/>
    <mergeCell ref="J1:J2"/>
    <mergeCell ref="K1:K2"/>
    <mergeCell ref="L1:L2"/>
    <mergeCell ref="O39:P39"/>
    <mergeCell ref="O40:P40"/>
    <mergeCell ref="O41:P41"/>
    <mergeCell ref="Q23:R23"/>
    <mergeCell ref="O24:P24"/>
    <mergeCell ref="Q24:R24"/>
    <mergeCell ref="C1:C2"/>
    <mergeCell ref="D1:D2"/>
    <mergeCell ref="O44:V44"/>
    <mergeCell ref="O38:P38"/>
    <mergeCell ref="Q38:R38"/>
    <mergeCell ref="S38:T38"/>
    <mergeCell ref="O37:P37"/>
    <mergeCell ref="O35:P35"/>
    <mergeCell ref="O36:P36"/>
    <mergeCell ref="Q36:R36"/>
    <mergeCell ref="S36:T36"/>
    <mergeCell ref="O3:O4"/>
    <mergeCell ref="P3:P4"/>
    <mergeCell ref="O9:P9"/>
    <mergeCell ref="O20:P20"/>
    <mergeCell ref="O19:P19"/>
    <mergeCell ref="O28:P28"/>
    <mergeCell ref="O11:P11"/>
    <mergeCell ref="Q11:R11"/>
    <mergeCell ref="O12:P12"/>
    <mergeCell ref="Q12:R12"/>
    <mergeCell ref="O13:P13"/>
    <mergeCell ref="Q13:R13"/>
    <mergeCell ref="O26:P26"/>
    <mergeCell ref="Q26:R26"/>
    <mergeCell ref="Q27:R27"/>
    <mergeCell ref="O22:P22"/>
    <mergeCell ref="O14:P14"/>
    <mergeCell ref="Q14:R14"/>
    <mergeCell ref="O17:P17"/>
    <mergeCell ref="Q17:R17"/>
    <mergeCell ref="O18:P18"/>
    <mergeCell ref="Q18:R18"/>
    <mergeCell ref="O25:P25"/>
    <mergeCell ref="Q25:R25"/>
    <mergeCell ref="Q19:R19"/>
    <mergeCell ref="Q22:R22"/>
    <mergeCell ref="O23:P23"/>
    <mergeCell ref="Q20:R20"/>
    <mergeCell ref="O21:P21"/>
    <mergeCell ref="Q21:R21"/>
    <mergeCell ref="Q28:R28"/>
    <mergeCell ref="U36:V36"/>
    <mergeCell ref="O29:P29"/>
    <mergeCell ref="Q29:R29"/>
    <mergeCell ref="O31:P31"/>
    <mergeCell ref="Q31:R31"/>
    <mergeCell ref="O33:P34"/>
    <mergeCell ref="Q33:R34"/>
    <mergeCell ref="S33:T34"/>
    <mergeCell ref="U33:V34"/>
    <mergeCell ref="Q35:R35"/>
    <mergeCell ref="S35:T35"/>
    <mergeCell ref="U35:V35"/>
    <mergeCell ref="N1:N2"/>
    <mergeCell ref="A1:A2"/>
    <mergeCell ref="E1:E2"/>
    <mergeCell ref="F1:F2"/>
    <mergeCell ref="G1:G2"/>
    <mergeCell ref="H1:H2"/>
    <mergeCell ref="M1:M2"/>
    <mergeCell ref="S2:V2"/>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B3352FA1-9B8E-1840-A02E-2F313A5494E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E55DB546-6F68-2B41-8927-10B6CC7C80BB}">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C369BA29-63DD-E14A-A290-9990C1F52EAE}">
          <x14:formula1>
            <xm:f>KV_DROPDOWN_HELPER!$AJY$1:$AJY$12</xm:f>
          </x14:formula1>
          <xm:sqref>E3:E82</xm:sqref>
        </x14:dataValidation>
        <x14:dataValidation type="list" allowBlank="1" showInputMessage="1" showErrorMessage="1" xr:uid="{53F18AE0-1668-2145-8470-4AE621A7F7FA}">
          <x14:formula1>
            <xm:f>KV_DROPDOWN_HELPER!$AAT$1:$AAT$13</xm:f>
          </x14:formula1>
          <xm:sqref>F4 F7</xm:sqref>
        </x14:dataValidation>
        <x14:dataValidation type="list" allowBlank="1" showInputMessage="1" showErrorMessage="1" xr:uid="{F23C6FEB-E856-914A-8DD3-DE6F46E94800}">
          <x14:formula1>
            <xm:f>KV_DROPDOWN_HELPER!$AAU$1:$AAU$13</xm:f>
          </x14:formula1>
          <xm:sqref>F6 F8 F9 F10 F13 F18 F57</xm:sqref>
        </x14:dataValidation>
        <x14:dataValidation type="list" allowBlank="1" showInputMessage="1" showErrorMessage="1" xr:uid="{7E961C3B-2F1A-054D-804E-CEF26FC2E6E1}">
          <x14:formula1>
            <xm:f>KV_DROPDOWN_HELPER!$AAV$1:$AAV$13</xm:f>
          </x14:formula1>
          <xm:sqref>F15 F21 F24 F26</xm:sqref>
        </x14:dataValidation>
        <x14:dataValidation type="list" allowBlank="1" showInputMessage="1" showErrorMessage="1" xr:uid="{1315ED99-AEB8-6E4E-9342-B14FFA75BBDB}">
          <x14:formula1>
            <xm:f>KV_DROPDOWN_HELPER!$AAX$1:$AAX$13</xm:f>
          </x14:formula1>
          <xm:sqref>F20</xm:sqref>
        </x14:dataValidation>
        <x14:dataValidation type="list" allowBlank="1" showInputMessage="1" showErrorMessage="1" xr:uid="{BB7533D5-0131-974A-9CCA-CFC9572377D5}">
          <x14:formula1>
            <xm:f>KV_DROPDOWN_HELPER!$AAY$1:$AAY$13</xm:f>
          </x14:formula1>
          <xm:sqref>F62 F63 F64 F65 F66 F67 F68 F69 F70 F71 F72 F73 F74 F75 F76 F77 F78 F79 F80 F81 F82</xm:sqref>
        </x14:dataValidation>
        <x14:dataValidation type="list" allowBlank="1" showInputMessage="1" showErrorMessage="1" xr:uid="{F06AC819-0CC3-41DB-9F3D-7A25C27432AC}">
          <x14:formula1>
            <xm:f>KV_DROPDOWN_HELPER!$AAS$1:$AAS$18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17797DA0-16B5-4299-BFBF-4B963442EFB1}">
          <x14:formula1>
            <xm:f>KV_DROPDOWN_HELPER!$AAW$1:$AAW$13</xm:f>
          </x14:formula1>
          <xm:sqref>F17</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6EAD6F-1357-44DB-BA9B-30CCEAF4322F}">
  <sheetPr codeName="Tabelle19"/>
  <dimension ref="A1:AC100"/>
  <sheetViews>
    <sheetView showGridLines="0" showRowColHeaders="0" zoomScaleNormal="100" workbookViewId="0">
      <pane ySplit="2" topLeftCell="A29" activePane="bottomLeft" state="frozen"/>
      <selection activeCell="T24" sqref="T24"/>
      <selection pane="bottomLeft" sqref="A1:A2"/>
    </sheetView>
  </sheetViews>
  <sheetFormatPr baseColWidth="10" defaultColWidth="9.1796875" defaultRowHeight="16" customHeight="1"/>
  <cols>
    <col min="1" max="1" width="4.453125" style="169" customWidth="1"/>
    <col min="2" max="2" width="9.1796875" style="169" customWidth="1"/>
    <col min="3" max="3" width="35.6328125" style="141" customWidth="1"/>
    <col min="4" max="4" width="13.6328125" style="141" customWidth="1"/>
    <col min="5" max="5" width="9.6328125" style="141" customWidth="1"/>
    <col min="6" max="6" width="10.6328125" style="141" customWidth="1"/>
    <col min="7" max="7" width="13.6328125" style="141" customWidth="1"/>
    <col min="8" max="8" width="11.6328125" style="141" customWidth="1"/>
    <col min="9" max="10" width="13.6328125" style="141" customWidth="1"/>
    <col min="11" max="11" width="14.6328125" style="141" customWidth="1"/>
    <col min="12" max="12" width="14.6328125" style="162" customWidth="1"/>
    <col min="13" max="13" width="17.81640625" style="141" customWidth="1"/>
    <col min="14" max="14" width="34.6328125" style="141" customWidth="1"/>
    <col min="15" max="15" width="12.6328125" style="141" customWidth="1"/>
    <col min="16" max="16" width="16.6328125" style="141" customWidth="1"/>
    <col min="17" max="17" width="14.6328125" style="141" customWidth="1"/>
    <col min="18" max="18" width="13.6328125" style="141" customWidth="1"/>
    <col min="19" max="19" width="9.6328125" style="141" customWidth="1"/>
    <col min="20" max="20" width="10.6328125" style="141" customWidth="1"/>
    <col min="21" max="21" width="7.6328125" style="141" customWidth="1"/>
    <col min="22" max="27" width="9.1796875" style="141"/>
    <col min="28" max="28" width="10.6328125" style="141" bestFit="1" customWidth="1"/>
    <col min="29" max="16384" width="9.1796875" style="141"/>
  </cols>
  <sheetData>
    <row r="1" spans="1:28" ht="18" customHeight="1">
      <c r="A1" s="301">
        <v>11</v>
      </c>
      <c r="B1" s="304" t="s">
        <v>180</v>
      </c>
      <c r="C1" s="280" t="s">
        <v>39</v>
      </c>
      <c r="D1" s="280" t="s">
        <v>181</v>
      </c>
      <c r="E1" s="280" t="s">
        <v>0</v>
      </c>
      <c r="F1" s="280" t="s">
        <v>40</v>
      </c>
      <c r="G1" s="280" t="s">
        <v>41</v>
      </c>
      <c r="H1" s="280" t="s">
        <v>42</v>
      </c>
      <c r="I1" s="280" t="s">
        <v>182</v>
      </c>
      <c r="J1" s="280" t="s">
        <v>43</v>
      </c>
      <c r="K1" s="280" t="s">
        <v>44</v>
      </c>
      <c r="L1" s="280" t="s">
        <v>45</v>
      </c>
      <c r="M1" s="280" t="s">
        <v>46</v>
      </c>
      <c r="N1" s="282" t="s">
        <v>183</v>
      </c>
      <c r="AB1" s="143">
        <f>DATE(EINSTELLUNG!$C$35,$A$1,1)</f>
        <v>46327</v>
      </c>
    </row>
    <row r="2" spans="1:28" ht="18" customHeight="1" thickBot="1">
      <c r="A2" s="287"/>
      <c r="B2" s="305"/>
      <c r="C2" s="294"/>
      <c r="D2" s="294"/>
      <c r="E2" s="294"/>
      <c r="F2" s="294"/>
      <c r="G2" s="294"/>
      <c r="H2" s="294"/>
      <c r="I2" s="294"/>
      <c r="J2" s="294"/>
      <c r="K2" s="294"/>
      <c r="L2" s="294"/>
      <c r="M2" s="294"/>
      <c r="N2" s="298"/>
      <c r="O2" s="144"/>
      <c r="P2" s="144"/>
      <c r="Q2" s="144"/>
      <c r="S2" s="208" t="s">
        <v>394</v>
      </c>
      <c r="T2" s="208"/>
      <c r="U2" s="208"/>
      <c r="V2" s="208"/>
      <c r="AB2" s="143">
        <f>EOMONTH(DATE(EINSTELLUNG!$C$35,$A$1,1),0)</f>
        <v>46356</v>
      </c>
    </row>
    <row r="3" spans="1:28" ht="22" customHeight="1">
      <c r="A3" s="145" t="s">
        <v>401</v>
      </c>
      <c r="B3" s="100">
        <v>401010</v>
      </c>
      <c r="C3" s="37" t="s">
        <v>224</v>
      </c>
      <c r="D3" s="38">
        <v>39388</v>
      </c>
      <c r="E3" s="39" t="s">
        <v>2</v>
      </c>
      <c r="F3" s="68">
        <v>169</v>
      </c>
      <c r="G3" s="146">
        <f>IF(OR(E3="",F3=""),"",PID_KVLohnLookup($A$1,E3,F3,LOHNTABELLE!$H$4))</f>
        <v>2000</v>
      </c>
      <c r="H3" s="147">
        <f>IF(AND(ISNUMBER(D3),ISNUMBER(F3)),ROUNDDOWN(MIN(IF(OR(ISBLANK(I3),I3=""),EOMONTH(DATE(EINSTELLUNG!$C$35,$A$1,1),0),I3)-MAX(D3,DATE(EINSTELLUNG!$C$35,$A$1,1))+1)/DAY(EOMONTH(DATE(EINSTELLUNG!$C$35,$A$1,1),0))*F3,2),"")</f>
        <v>169</v>
      </c>
      <c r="I3" s="41"/>
      <c r="J3" s="42"/>
      <c r="K3" s="146">
        <f t="shared" ref="K3:K34" si="0">IF(OR(B3="",C3=""),"",IFERROR(IF(OR(MONTH(D3)=1,MONTH(D3)=3,MONTH(D3)=5,MONTH(D3)=7,MONTH(D3)=8,MONTH(D3)=10,MONTH(D3)=12),(G3/31)*J3,IF(OR(MONTH(D3)=4,MONTH(D3)=6,MONTH(D3)=9,MONTH(D3)=11),(G3/30)*J3,(G3/DAY(EOMONTH(D3,0)))*J3)),0))</f>
        <v>0</v>
      </c>
      <c r="L3" s="14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3"/>
      <c r="N3" s="73"/>
      <c r="O3" s="236" t="s">
        <v>47</v>
      </c>
      <c r="P3" s="236" t="s">
        <v>48</v>
      </c>
      <c r="Q3" s="236" t="s">
        <v>49</v>
      </c>
      <c r="R3" s="272" t="s">
        <v>50</v>
      </c>
      <c r="S3" s="149"/>
      <c r="T3" s="149"/>
      <c r="U3" s="149"/>
      <c r="V3" s="149"/>
      <c r="AB3" s="150"/>
    </row>
    <row r="4" spans="1:28" ht="22" customHeight="1">
      <c r="A4" s="151" t="s">
        <v>51</v>
      </c>
      <c r="B4" s="101">
        <v>401049</v>
      </c>
      <c r="C4" s="45" t="s">
        <v>225</v>
      </c>
      <c r="D4" s="46">
        <v>41130</v>
      </c>
      <c r="E4" s="47" t="s">
        <v>4</v>
      </c>
      <c r="F4" s="48">
        <v>173</v>
      </c>
      <c r="G4" s="152">
        <f>IF(OR(E4="",F4=""),"",PID_KVLohnLookup($A$1,E4,F4,LOHNTABELLE!$H$4))</f>
        <v>2123</v>
      </c>
      <c r="H4" s="153">
        <f>IF(AND(ISNUMBER(D4),ISNUMBER(F4)),ROUNDDOWN(MIN(IF(OR(ISBLANK(I4),I4=""),EOMONTH(DATE(EINSTELLUNG!$C$35,$A$1,1),0),I4)-MAX(D4,DATE(EINSTELLUNG!$C$35,$A$1,1))+1)/DAY(EOMONTH(DATE(EINSTELLUNG!$C$35,$A$1,1),0))*F4,2),"")</f>
        <v>173</v>
      </c>
      <c r="I4" s="49"/>
      <c r="J4" s="50"/>
      <c r="K4" s="152">
        <f t="shared" si="0"/>
        <v>0</v>
      </c>
      <c r="L4" s="15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51"/>
      <c r="N4" s="74"/>
      <c r="O4" s="237"/>
      <c r="P4" s="237"/>
      <c r="Q4" s="237"/>
      <c r="R4" s="273"/>
      <c r="S4" s="149"/>
      <c r="T4" s="149"/>
      <c r="U4" s="149"/>
      <c r="V4" s="149"/>
    </row>
    <row r="5" spans="1:28" ht="22" customHeight="1">
      <c r="A5" s="151" t="s">
        <v>52</v>
      </c>
      <c r="B5" s="102">
        <v>401051</v>
      </c>
      <c r="C5" s="53" t="s">
        <v>227</v>
      </c>
      <c r="D5" s="54">
        <v>41176</v>
      </c>
      <c r="E5" s="55" t="s">
        <v>2</v>
      </c>
      <c r="F5" s="56">
        <v>173</v>
      </c>
      <c r="G5" s="152">
        <f>IF(OR(E5="",F5=""),"",PID_KVLohnLookup($A$1,E5,F5,LOHNTABELLE!$H$4))</f>
        <v>2900</v>
      </c>
      <c r="H5" s="153">
        <f>IF(AND(ISNUMBER(D5),ISNUMBER(F5)),ROUNDDOWN(MIN(IF(OR(ISBLANK(I5),I5=""),EOMONTH(DATE(EINSTELLUNG!$C$35,$A$1,1),0),I5)-MAX(D5,DATE(EINSTELLUNG!$C$35,$A$1,1))+1)/DAY(EOMONTH(DATE(EINSTELLUNG!$C$35,$A$1,1),0))*F5,2),"")</f>
        <v>173</v>
      </c>
      <c r="I5" s="57"/>
      <c r="J5" s="58"/>
      <c r="K5" s="152">
        <f t="shared" si="0"/>
        <v>0</v>
      </c>
      <c r="L5" s="15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9"/>
      <c r="N5" s="75"/>
      <c r="O5" s="155" cm="1">
        <f t="array" ref="O5">SUMPRODUCT((F3:F82/4.310808)/5*2.08)</f>
        <v>827.63175720189815</v>
      </c>
      <c r="P5" s="156">
        <f>EINSTELLUNG!I16</f>
        <v>600</v>
      </c>
      <c r="Q5" s="156">
        <f>P5-O5</f>
        <v>-227.63175720189815</v>
      </c>
      <c r="R5" s="157">
        <f>IFERROR(Q5*Q42, 0)</f>
        <v>-3820.727868301225</v>
      </c>
      <c r="S5" s="149"/>
      <c r="T5" s="149"/>
      <c r="U5" s="149"/>
      <c r="V5" s="149"/>
    </row>
    <row r="6" spans="1:28" ht="22" customHeight="1">
      <c r="A6" s="151" t="s">
        <v>53</v>
      </c>
      <c r="B6" s="101">
        <v>401089</v>
      </c>
      <c r="C6" s="45" t="s">
        <v>241</v>
      </c>
      <c r="D6" s="46">
        <v>44868</v>
      </c>
      <c r="E6" s="47" t="s">
        <v>3</v>
      </c>
      <c r="F6" s="48">
        <v>173</v>
      </c>
      <c r="G6" s="152">
        <f>IF(OR(E6="",F6=""),"",PID_KVLohnLookup($A$1,E6,F6,LOHNTABELLE!$H$4))</f>
        <v>2082</v>
      </c>
      <c r="H6" s="153">
        <f>IF(AND(ISNUMBER(D6),ISNUMBER(F6)),ROUNDDOWN(MIN(IF(OR(ISBLANK(I6),I6=""),EOMONTH(DATE(EINSTELLUNG!$C$35,$A$1,1),0),I6)-MAX(D6,DATE(EINSTELLUNG!$C$35,$A$1,1))+1)/DAY(EOMONTH(DATE(EINSTELLUNG!$C$35,$A$1,1),0))*F6,2),"")</f>
        <v>173</v>
      </c>
      <c r="I6" s="49"/>
      <c r="J6" s="50"/>
      <c r="K6" s="152">
        <f t="shared" si="0"/>
        <v>0</v>
      </c>
      <c r="L6" s="15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51"/>
      <c r="N6" s="74"/>
      <c r="O6" s="266" t="str">
        <f>IF(Q5&lt;0, "Schlecht! Zu wenig Urlaub abgebaut.", IF(Q5&gt;0, "Gut! Mehr Urlaub abgebaut als aufgebaut.", ""))</f>
        <v>Schlecht! Zu wenig Urlaub abgebaut.</v>
      </c>
      <c r="P6" s="267"/>
      <c r="Q6" s="267"/>
      <c r="R6" s="268"/>
      <c r="S6" s="149"/>
      <c r="T6" s="149"/>
      <c r="U6" s="149"/>
      <c r="V6" s="149"/>
    </row>
    <row r="7" spans="1:28" ht="22" customHeight="1" thickBot="1">
      <c r="A7" s="151" t="s">
        <v>54</v>
      </c>
      <c r="B7" s="102">
        <v>401138</v>
      </c>
      <c r="C7" s="53" t="s">
        <v>228</v>
      </c>
      <c r="D7" s="54">
        <v>42006</v>
      </c>
      <c r="E7" s="55" t="s">
        <v>4</v>
      </c>
      <c r="F7" s="56">
        <v>173</v>
      </c>
      <c r="G7" s="152">
        <f>IF(OR(E7="",F7=""),"",PID_KVLohnLookup($A$1,E7,F7,LOHNTABELLE!$H$4))</f>
        <v>2123</v>
      </c>
      <c r="H7" s="153">
        <f>IF(AND(ISNUMBER(D7),ISNUMBER(F7)),ROUNDDOWN(MIN(IF(OR(ISBLANK(I7),I7=""),EOMONTH(DATE(EINSTELLUNG!$C$35,$A$1,1),0),I7)-MAX(D7,DATE(EINSTELLUNG!$C$35,$A$1,1))+1)/DAY(EOMONTH(DATE(EINSTELLUNG!$C$35,$A$1,1),0))*F7,2),"")</f>
        <v>173</v>
      </c>
      <c r="I7" s="57"/>
      <c r="J7" s="58"/>
      <c r="K7" s="152">
        <f t="shared" si="0"/>
        <v>0</v>
      </c>
      <c r="L7" s="15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9"/>
      <c r="N7" s="75"/>
      <c r="O7" s="149"/>
      <c r="P7" s="149"/>
      <c r="Q7" s="149"/>
      <c r="R7" s="149"/>
      <c r="S7" s="149"/>
      <c r="T7" s="149"/>
      <c r="U7" s="149"/>
      <c r="V7" s="149"/>
    </row>
    <row r="8" spans="1:28" ht="22" customHeight="1">
      <c r="A8" s="151" t="s">
        <v>55</v>
      </c>
      <c r="B8" s="101">
        <v>401197</v>
      </c>
      <c r="C8" s="45" t="s">
        <v>229</v>
      </c>
      <c r="D8" s="46">
        <v>42644</v>
      </c>
      <c r="E8" s="47" t="s">
        <v>3</v>
      </c>
      <c r="F8" s="48">
        <v>173</v>
      </c>
      <c r="G8" s="152">
        <f>IF(OR(E8="",F8=""),"",PID_KVLohnLookup($A$1,E8,F8,LOHNTABELLE!$H$4))</f>
        <v>2082</v>
      </c>
      <c r="H8" s="153">
        <f>IF(AND(ISNUMBER(D8),ISNUMBER(F8)),ROUNDDOWN(MIN(IF(OR(ISBLANK(I8),I8=""),EOMONTH(DATE(EINSTELLUNG!$C$35,$A$1,1),0),I8)-MAX(D8,DATE(EINSTELLUNG!$C$35,$A$1,1))+1)/DAY(EOMONTH(DATE(EINSTELLUNG!$C$35,$A$1,1),0))*F8,2),"")</f>
        <v>173</v>
      </c>
      <c r="I8" s="49"/>
      <c r="J8" s="50"/>
      <c r="K8" s="152">
        <f t="shared" si="0"/>
        <v>0</v>
      </c>
      <c r="L8" s="15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51"/>
      <c r="N8" s="74"/>
      <c r="O8" s="250" t="s">
        <v>56</v>
      </c>
      <c r="P8" s="251"/>
      <c r="Q8" s="252">
        <f>SUM(H3:H82)</f>
        <v>7988.1499999999987</v>
      </c>
      <c r="R8" s="253"/>
      <c r="S8" s="149"/>
      <c r="T8" s="149"/>
      <c r="U8" s="149"/>
      <c r="V8" s="149"/>
    </row>
    <row r="9" spans="1:28" ht="22" customHeight="1">
      <c r="A9" s="151" t="s">
        <v>57</v>
      </c>
      <c r="B9" s="102">
        <v>401214</v>
      </c>
      <c r="C9" s="53" t="s">
        <v>255</v>
      </c>
      <c r="D9" s="54">
        <v>45636</v>
      </c>
      <c r="E9" s="55" t="s">
        <v>3</v>
      </c>
      <c r="F9" s="56">
        <v>173</v>
      </c>
      <c r="G9" s="152">
        <f>IF(OR(E9="",F9=""),"",PID_KVLohnLookup($A$1,E9,F9,LOHNTABELLE!$H$4))</f>
        <v>2082</v>
      </c>
      <c r="H9" s="153">
        <f>IF(AND(ISNUMBER(D9),ISNUMBER(F9)),ROUNDDOWN(MIN(IF(OR(ISBLANK(I9),I9=""),EOMONTH(DATE(EINSTELLUNG!$C$35,$A$1,1),0),I9)-MAX(D9,DATE(EINSTELLUNG!$C$35,$A$1,1))+1)/DAY(EOMONTH(DATE(EINSTELLUNG!$C$35,$A$1,1),0))*F9,2),"")</f>
        <v>173</v>
      </c>
      <c r="I9" s="57"/>
      <c r="J9" s="58"/>
      <c r="K9" s="152">
        <f t="shared" si="0"/>
        <v>0</v>
      </c>
      <c r="L9" s="15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9"/>
      <c r="N9" s="75"/>
      <c r="O9" s="254" t="s">
        <v>58</v>
      </c>
      <c r="P9" s="255"/>
      <c r="Q9" s="269">
        <f>EINSTELLUNG!L32</f>
        <v>11</v>
      </c>
      <c r="R9" s="270"/>
      <c r="S9" s="158">
        <f>IFERROR(Q9/Q8, 0)</f>
        <v>1.3770397401150457E-3</v>
      </c>
      <c r="T9" s="149"/>
      <c r="U9" s="149"/>
      <c r="V9" s="149"/>
    </row>
    <row r="10" spans="1:28" ht="22" customHeight="1">
      <c r="A10" s="151" t="s">
        <v>59</v>
      </c>
      <c r="B10" s="101">
        <v>401276</v>
      </c>
      <c r="C10" s="45" t="s">
        <v>230</v>
      </c>
      <c r="D10" s="46">
        <v>43252</v>
      </c>
      <c r="E10" s="47" t="s">
        <v>3</v>
      </c>
      <c r="F10" s="48">
        <v>173</v>
      </c>
      <c r="G10" s="152">
        <f>IF(OR(E10="",F10=""),"",PID_KVLohnLookup($A$1,E10,F10,LOHNTABELLE!$H$4))</f>
        <v>2082</v>
      </c>
      <c r="H10" s="153">
        <f>IF(AND(ISNUMBER(D10),ISNUMBER(F10)),ROUNDDOWN(MIN(IF(OR(ISBLANK(I10),I10=""),EOMONTH(DATE(EINSTELLUNG!$C$35,$A$1,1),0),I10)-MAX(D10,DATE(EINSTELLUNG!$C$35,$A$1,1))+1)/DAY(EOMONTH(DATE(EINSTELLUNG!$C$35,$A$1,1),0))*F10,2),"")</f>
        <v>173</v>
      </c>
      <c r="I10" s="49"/>
      <c r="J10" s="50"/>
      <c r="K10" s="152">
        <f t="shared" si="0"/>
        <v>0</v>
      </c>
      <c r="L10" s="15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51"/>
      <c r="N10" s="74"/>
      <c r="O10" s="254" t="s">
        <v>60</v>
      </c>
      <c r="P10" s="255"/>
      <c r="Q10" s="269">
        <f>EINSTELLUNG!I32</f>
        <v>150</v>
      </c>
      <c r="R10" s="270"/>
      <c r="S10" s="149"/>
      <c r="T10" s="149"/>
      <c r="U10" s="149"/>
      <c r="V10" s="149"/>
    </row>
    <row r="11" spans="1:28" ht="22" customHeight="1">
      <c r="A11" s="151" t="s">
        <v>61</v>
      </c>
      <c r="B11" s="102">
        <v>401276</v>
      </c>
      <c r="C11" s="53" t="s">
        <v>406</v>
      </c>
      <c r="D11" s="54">
        <v>38899</v>
      </c>
      <c r="E11" s="55" t="s">
        <v>2</v>
      </c>
      <c r="F11" s="56">
        <v>55</v>
      </c>
      <c r="G11" s="152">
        <f>IF(OR(E11="",F11=""),"",PID_KVLohnLookup($A$1,E11,F11,LOHNTABELLE!$H$4))</f>
        <v>666</v>
      </c>
      <c r="H11" s="153">
        <f>IF(AND(ISNUMBER(D11),ISNUMBER(F11)),ROUNDDOWN(MIN(IF(OR(ISBLANK(I11),I11=""),EOMONTH(DATE(EINSTELLUNG!$C$35,$A$1,1),0),I11)-MAX(D11,DATE(EINSTELLUNG!$C$35,$A$1,1))+1)/DAY(EOMONTH(DATE(EINSTELLUNG!$C$35,$A$1,1),0))*F11,2),"")</f>
        <v>55</v>
      </c>
      <c r="I11" s="57"/>
      <c r="J11" s="58"/>
      <c r="K11" s="152">
        <f t="shared" si="0"/>
        <v>0</v>
      </c>
      <c r="L11" s="15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9"/>
      <c r="N11" s="75"/>
      <c r="O11" s="254" t="s">
        <v>62</v>
      </c>
      <c r="P11" s="255"/>
      <c r="Q11" s="269">
        <f>P5</f>
        <v>600</v>
      </c>
      <c r="R11" s="270"/>
      <c r="S11" s="149"/>
      <c r="T11" s="149"/>
      <c r="U11" s="149"/>
      <c r="V11" s="149"/>
    </row>
    <row r="12" spans="1:28" ht="22" customHeight="1">
      <c r="A12" s="151" t="s">
        <v>63</v>
      </c>
      <c r="B12" s="101">
        <v>401307</v>
      </c>
      <c r="C12" s="45" t="s">
        <v>231</v>
      </c>
      <c r="D12" s="46">
        <v>43571</v>
      </c>
      <c r="E12" s="47" t="s">
        <v>2</v>
      </c>
      <c r="F12" s="48">
        <v>55</v>
      </c>
      <c r="G12" s="152">
        <f>IF(OR(E12="",F12=""),"",PID_KVLohnLookup($A$1,E12,F12,LOHNTABELLE!$H$4))</f>
        <v>666</v>
      </c>
      <c r="H12" s="153">
        <f>IF(AND(ISNUMBER(D12),ISNUMBER(F12)),ROUNDDOWN(MIN(IF(OR(ISBLANK(I12),I12=""),EOMONTH(DATE(EINSTELLUNG!$C$35,$A$1,1),0),I12)-MAX(D12,DATE(EINSTELLUNG!$C$35,$A$1,1))+1)/DAY(EOMONTH(DATE(EINSTELLUNG!$C$35,$A$1,1),0))*F12,2),"")</f>
        <v>55</v>
      </c>
      <c r="I12" s="49"/>
      <c r="J12" s="50"/>
      <c r="K12" s="152">
        <f t="shared" si="0"/>
        <v>0</v>
      </c>
      <c r="L12" s="15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51"/>
      <c r="N12" s="74"/>
      <c r="O12" s="254" t="s">
        <v>66</v>
      </c>
      <c r="P12" s="255"/>
      <c r="Q12" s="269">
        <f>Q8-Q9-Q10-Q11</f>
        <v>7227.1499999999987</v>
      </c>
      <c r="R12" s="270"/>
      <c r="S12" s="149"/>
      <c r="T12" s="149"/>
      <c r="U12" s="149"/>
      <c r="V12" s="149"/>
    </row>
    <row r="13" spans="1:28" ht="22" customHeight="1">
      <c r="A13" s="151" t="s">
        <v>65</v>
      </c>
      <c r="B13" s="102">
        <v>401308</v>
      </c>
      <c r="C13" s="53" t="s">
        <v>232</v>
      </c>
      <c r="D13" s="54">
        <v>43579</v>
      </c>
      <c r="E13" s="55" t="s">
        <v>3</v>
      </c>
      <c r="F13" s="56">
        <v>173</v>
      </c>
      <c r="G13" s="152">
        <f>IF(OR(E13="",F13=""),"",PID_KVLohnLookup($A$1,E13,F13,LOHNTABELLE!$H$4))</f>
        <v>2082</v>
      </c>
      <c r="H13" s="153">
        <f>IF(AND(ISNUMBER(D13),ISNUMBER(F13)),ROUNDDOWN(MIN(IF(OR(ISBLANK(I13),I13=""),EOMONTH(DATE(EINSTELLUNG!$C$35,$A$1,1),0),I13)-MAX(D13,DATE(EINSTELLUNG!$C$35,$A$1,1))+1)/DAY(EOMONTH(DATE(EINSTELLUNG!$C$35,$A$1,1),0))*F13,2),"")</f>
        <v>173</v>
      </c>
      <c r="I13" s="57"/>
      <c r="J13" s="58"/>
      <c r="K13" s="152">
        <f t="shared" si="0"/>
        <v>0</v>
      </c>
      <c r="L13" s="15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9"/>
      <c r="N13" s="75"/>
      <c r="O13" s="254" t="s">
        <v>68</v>
      </c>
      <c r="P13" s="255"/>
      <c r="Q13" s="269">
        <f>EINSTELLUNG!L16</f>
        <v>9300</v>
      </c>
      <c r="R13" s="270"/>
      <c r="S13" s="149"/>
      <c r="T13" s="149"/>
      <c r="U13" s="149"/>
      <c r="V13" s="149"/>
    </row>
    <row r="14" spans="1:28" ht="22" customHeight="1" thickBot="1">
      <c r="A14" s="151" t="s">
        <v>67</v>
      </c>
      <c r="B14" s="101">
        <v>401394</v>
      </c>
      <c r="C14" s="45" t="s">
        <v>233</v>
      </c>
      <c r="D14" s="46">
        <v>44379</v>
      </c>
      <c r="E14" s="47" t="s">
        <v>2</v>
      </c>
      <c r="F14" s="48">
        <v>173</v>
      </c>
      <c r="G14" s="152">
        <f>IF(OR(E14="",F14=""),"",PID_KVLohnLookup($A$1,E14,F14,LOHNTABELLE!$H$4))</f>
        <v>2900</v>
      </c>
      <c r="H14" s="153">
        <f>IF(AND(ISNUMBER(D14),ISNUMBER(F14)),ROUNDDOWN(MIN(IF(OR(ISBLANK(I14),I14=""),EOMONTH(DATE(EINSTELLUNG!$C$35,$A$1,1),0),I14)-MAX(D14,DATE(EINSTELLUNG!$C$35,$A$1,1))+1)/DAY(EOMONTH(DATE(EINSTELLUNG!$C$35,$A$1,1),0))*F14,2),"")</f>
        <v>173</v>
      </c>
      <c r="I14" s="49"/>
      <c r="J14" s="50"/>
      <c r="K14" s="152">
        <f t="shared" si="0"/>
        <v>0</v>
      </c>
      <c r="L14" s="15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51"/>
      <c r="N14" s="74"/>
      <c r="O14" s="240" t="s">
        <v>70</v>
      </c>
      <c r="P14" s="241"/>
      <c r="Q14" s="242">
        <f>Q12-Q13</f>
        <v>-2072.8500000000013</v>
      </c>
      <c r="R14" s="243"/>
      <c r="S14" s="149"/>
      <c r="T14" s="149"/>
      <c r="U14" s="149"/>
      <c r="V14" s="149"/>
    </row>
    <row r="15" spans="1:28" ht="22" customHeight="1">
      <c r="A15" s="151" t="s">
        <v>69</v>
      </c>
      <c r="B15" s="102">
        <v>401406</v>
      </c>
      <c r="C15" s="53" t="s">
        <v>407</v>
      </c>
      <c r="D15" s="54">
        <v>36850</v>
      </c>
      <c r="E15" s="55" t="s">
        <v>10</v>
      </c>
      <c r="F15" s="56">
        <v>151.38</v>
      </c>
      <c r="G15" s="152">
        <f>IF(OR(E15="",F15=""),"",PID_KVLohnLookup($A$1,E15,F15,LOHNTABELLE!$H$4))</f>
        <v>2012.5</v>
      </c>
      <c r="H15" s="153">
        <f>IF(AND(ISNUMBER(D15),ISNUMBER(F15)),ROUNDDOWN(MIN(IF(OR(ISBLANK(I15),I15=""),EOMONTH(DATE(EINSTELLUNG!$C$35,$A$1,1),0),I15)-MAX(D15,DATE(EINSTELLUNG!$C$35,$A$1,1))+1)/DAY(EOMONTH(DATE(EINSTELLUNG!$C$35,$A$1,1),0))*F15,2),"")</f>
        <v>151.38</v>
      </c>
      <c r="I15" s="57"/>
      <c r="J15" s="58"/>
      <c r="K15" s="152">
        <f t="shared" si="0"/>
        <v>0</v>
      </c>
      <c r="L15" s="15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9"/>
      <c r="N15" s="75"/>
      <c r="O15" s="302" t="str">
        <f>IF(Q14&lt;0, "Schlecht! Zu wenig Stunden für Dienstplan.", IF(Q14&gt;0, "Du hast mehr als genug Stunden für Dienstplan.", ""))</f>
        <v>Schlecht! Zu wenig Stunden für Dienstplan.</v>
      </c>
      <c r="P15" s="303"/>
      <c r="Q15" s="303"/>
      <c r="R15" s="303"/>
      <c r="S15" s="160"/>
      <c r="T15" s="160"/>
      <c r="U15" s="160"/>
      <c r="V15" s="149"/>
    </row>
    <row r="16" spans="1:28" ht="22" customHeight="1" thickBot="1">
      <c r="A16" s="151" t="s">
        <v>71</v>
      </c>
      <c r="B16" s="101">
        <v>401432</v>
      </c>
      <c r="C16" s="60" t="s">
        <v>235</v>
      </c>
      <c r="D16" s="49">
        <v>44441</v>
      </c>
      <c r="E16" s="47" t="s">
        <v>2</v>
      </c>
      <c r="F16" s="48">
        <v>173</v>
      </c>
      <c r="G16" s="152">
        <f>IF(OR(E16="",F16=""),"",PID_KVLohnLookup($A$1,E16,F16,LOHNTABELLE!$H$4))</f>
        <v>2900</v>
      </c>
      <c r="H16" s="153">
        <f>IF(AND(ISNUMBER(D16),ISNUMBER(F16)),ROUNDDOWN(MIN(IF(OR(ISBLANK(I16),I16=""),EOMONTH(DATE(EINSTELLUNG!$C$35,$A$1,1),0),I16)-MAX(D16,DATE(EINSTELLUNG!$C$35,$A$1,1))+1)/DAY(EOMONTH(DATE(EINSTELLUNG!$C$35,$A$1,1),0))*F16,2),"")</f>
        <v>173</v>
      </c>
      <c r="I16" s="49"/>
      <c r="J16" s="50"/>
      <c r="K16" s="152">
        <f t="shared" si="0"/>
        <v>0</v>
      </c>
      <c r="L16" s="15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51"/>
      <c r="N16" s="74"/>
      <c r="O16" s="313"/>
      <c r="P16" s="314"/>
      <c r="Q16" s="314"/>
      <c r="R16" s="315"/>
      <c r="S16" s="161"/>
      <c r="T16" s="161"/>
      <c r="U16" s="161"/>
      <c r="V16" s="161"/>
      <c r="W16" s="162"/>
    </row>
    <row r="17" spans="1:29" ht="22" customHeight="1">
      <c r="A17" s="151" t="s">
        <v>72</v>
      </c>
      <c r="B17" s="102">
        <v>401479</v>
      </c>
      <c r="C17" s="53" t="s">
        <v>238</v>
      </c>
      <c r="D17" s="54">
        <v>44511</v>
      </c>
      <c r="E17" s="55" t="s">
        <v>6</v>
      </c>
      <c r="F17" s="56">
        <v>173</v>
      </c>
      <c r="G17" s="152">
        <f>IF(OR(E17="",F17=""),"",PID_KVLohnLookup($A$1,E17,F17,LOHNTABELLE!$H$4))</f>
        <v>2160</v>
      </c>
      <c r="H17" s="153">
        <f>IF(AND(ISNUMBER(D17),ISNUMBER(F17)),ROUNDDOWN(MIN(IF(OR(ISBLANK(I17),I17=""),EOMONTH(DATE(EINSTELLUNG!$C$35,$A$1,1),0),I17)-MAX(D17,DATE(EINSTELLUNG!$C$35,$A$1,1))+1)/DAY(EOMONTH(DATE(EINSTELLUNG!$C$35,$A$1,1),0))*F17,2),"")</f>
        <v>173</v>
      </c>
      <c r="I17" s="57"/>
      <c r="J17" s="58"/>
      <c r="K17" s="152">
        <f t="shared" si="0"/>
        <v>0</v>
      </c>
      <c r="L17" s="15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9"/>
      <c r="N17" s="75"/>
      <c r="O17" s="316" t="s">
        <v>73</v>
      </c>
      <c r="P17" s="251"/>
      <c r="Q17" s="260">
        <f>SUM(L3:L82)</f>
        <v>134078.6</v>
      </c>
      <c r="R17" s="261"/>
      <c r="S17" s="149"/>
      <c r="T17" s="149"/>
      <c r="U17" s="149"/>
      <c r="V17" s="149"/>
      <c r="W17" s="162"/>
    </row>
    <row r="18" spans="1:29" ht="22" customHeight="1">
      <c r="A18" s="151" t="s">
        <v>74</v>
      </c>
      <c r="B18" s="101">
        <v>401481</v>
      </c>
      <c r="C18" s="45" t="s">
        <v>239</v>
      </c>
      <c r="D18" s="46">
        <v>44531</v>
      </c>
      <c r="E18" s="47" t="s">
        <v>3</v>
      </c>
      <c r="F18" s="48">
        <v>173</v>
      </c>
      <c r="G18" s="152">
        <f>IF(OR(E18="",F18=""),"",PID_KVLohnLookup($A$1,E18,F18,LOHNTABELLE!$H$4))</f>
        <v>2082</v>
      </c>
      <c r="H18" s="153">
        <f>IF(AND(ISNUMBER(D18),ISNUMBER(F18)),ROUNDDOWN(MIN(IF(OR(ISBLANK(I18),I18=""),EOMONTH(DATE(EINSTELLUNG!$C$35,$A$1,1),0),I18)-MAX(D18,DATE(EINSTELLUNG!$C$35,$A$1,1))+1)/DAY(EOMONTH(DATE(EINSTELLUNG!$C$35,$A$1,1),0))*F18,2),"")</f>
        <v>173</v>
      </c>
      <c r="I18" s="49"/>
      <c r="J18" s="50"/>
      <c r="K18" s="152">
        <f t="shared" si="0"/>
        <v>0</v>
      </c>
      <c r="L18" s="15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51"/>
      <c r="N18" s="74"/>
      <c r="O18" s="308" t="s">
        <v>385</v>
      </c>
      <c r="P18" s="249"/>
      <c r="Q18" s="238">
        <v>20</v>
      </c>
      <c r="R18" s="239"/>
      <c r="S18" s="149"/>
      <c r="T18" s="149"/>
      <c r="U18" s="149"/>
      <c r="V18" s="149"/>
    </row>
    <row r="19" spans="1:29" ht="22" customHeight="1">
      <c r="A19" s="151" t="s">
        <v>75</v>
      </c>
      <c r="B19" s="102">
        <v>401564</v>
      </c>
      <c r="C19" s="53" t="s">
        <v>240</v>
      </c>
      <c r="D19" s="54">
        <v>44824</v>
      </c>
      <c r="E19" s="55" t="s">
        <v>2</v>
      </c>
      <c r="F19" s="56">
        <v>151.38</v>
      </c>
      <c r="G19" s="152">
        <f>IF(OR(E19="",F19=""),"",PID_KVLohnLookup($A$1,E19,F19,LOHNTABELLE!$H$4))</f>
        <v>2500</v>
      </c>
      <c r="H19" s="153">
        <f>IF(AND(ISNUMBER(D19),ISNUMBER(F19)),ROUNDDOWN(MIN(IF(OR(ISBLANK(I19),I19=""),EOMONTH(DATE(EINSTELLUNG!$C$35,$A$1,1),0),I19)-MAX(D19,DATE(EINSTELLUNG!$C$35,$A$1,1))+1)/DAY(EOMONTH(DATE(EINSTELLUNG!$C$35,$A$1,1),0))*F19,2),"")</f>
        <v>151.38</v>
      </c>
      <c r="I19" s="57"/>
      <c r="J19" s="58"/>
      <c r="K19" s="152">
        <f t="shared" si="0"/>
        <v>0</v>
      </c>
      <c r="L19" s="15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2500</v>
      </c>
      <c r="M19" s="59"/>
      <c r="N19" s="75"/>
      <c r="O19" s="308" t="s">
        <v>296</v>
      </c>
      <c r="P19" s="249"/>
      <c r="Q19" s="238">
        <v>333</v>
      </c>
      <c r="R19" s="239"/>
      <c r="S19" s="149"/>
      <c r="T19" s="149"/>
      <c r="U19" s="149"/>
      <c r="V19" s="149"/>
    </row>
    <row r="20" spans="1:29" ht="22" customHeight="1">
      <c r="A20" s="151" t="s">
        <v>76</v>
      </c>
      <c r="B20" s="101">
        <v>401583</v>
      </c>
      <c r="C20" s="45" t="s">
        <v>242</v>
      </c>
      <c r="D20" s="46">
        <v>44900</v>
      </c>
      <c r="E20" s="47" t="s">
        <v>13</v>
      </c>
      <c r="F20" s="48">
        <v>173</v>
      </c>
      <c r="G20" s="152">
        <f>IF(OR(E20="",F20=""),"",PID_KVLohnLookup($A$1,E20,F20,LOHNTABELLE!$H$4))</f>
        <v>2328</v>
      </c>
      <c r="H20" s="153">
        <f>IF(AND(ISNUMBER(D20),ISNUMBER(F20)),ROUNDDOWN(MIN(IF(OR(ISBLANK(I20),I20=""),EOMONTH(DATE(EINSTELLUNG!$C$35,$A$1,1),0),I20)-MAX(D20,DATE(EINSTELLUNG!$C$35,$A$1,1))+1)/DAY(EOMONTH(DATE(EINSTELLUNG!$C$35,$A$1,1),0))*F20,2),"")</f>
        <v>173</v>
      </c>
      <c r="I20" s="49"/>
      <c r="J20" s="50"/>
      <c r="K20" s="152">
        <f t="shared" si="0"/>
        <v>0</v>
      </c>
      <c r="L20" s="15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2328</v>
      </c>
      <c r="M20" s="51"/>
      <c r="N20" s="74"/>
      <c r="O20" s="308" t="s">
        <v>296</v>
      </c>
      <c r="P20" s="249"/>
      <c r="Q20" s="238">
        <v>35</v>
      </c>
      <c r="R20" s="239"/>
      <c r="S20" s="149"/>
      <c r="T20" s="149"/>
      <c r="U20" s="149"/>
      <c r="V20" s="149"/>
    </row>
    <row r="21" spans="1:29" ht="22" customHeight="1">
      <c r="A21" s="151" t="s">
        <v>77</v>
      </c>
      <c r="B21" s="102">
        <v>401589</v>
      </c>
      <c r="C21" s="53" t="s">
        <v>243</v>
      </c>
      <c r="D21" s="54">
        <v>44926</v>
      </c>
      <c r="E21" s="55" t="s">
        <v>10</v>
      </c>
      <c r="F21" s="56">
        <v>173</v>
      </c>
      <c r="G21" s="152">
        <f>IF(OR(E21="",F21=""),"",PID_KVLohnLookup($A$1,E21,F21,LOHNTABELLE!$H$4))</f>
        <v>2300</v>
      </c>
      <c r="H21" s="153">
        <f>IF(AND(ISNUMBER(D21),ISNUMBER(F21)),ROUNDDOWN(MIN(IF(OR(ISBLANK(I21),I21=""),EOMONTH(DATE(EINSTELLUNG!$C$35,$A$1,1),0),I21)-MAX(D21,DATE(EINSTELLUNG!$C$35,$A$1,1))+1)/DAY(EOMONTH(DATE(EINSTELLUNG!$C$35,$A$1,1),0))*F21,2),"")</f>
        <v>173</v>
      </c>
      <c r="I21" s="57"/>
      <c r="J21" s="58"/>
      <c r="K21" s="152">
        <f t="shared" si="0"/>
        <v>0</v>
      </c>
      <c r="L21" s="15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59"/>
      <c r="N21" s="75"/>
      <c r="O21" s="308" t="s">
        <v>296</v>
      </c>
      <c r="P21" s="249"/>
      <c r="Q21" s="238">
        <v>100</v>
      </c>
      <c r="R21" s="239"/>
      <c r="S21" s="149"/>
      <c r="T21" s="149"/>
      <c r="U21" s="149"/>
      <c r="V21" s="149"/>
    </row>
    <row r="22" spans="1:29" ht="22" customHeight="1">
      <c r="A22" s="151" t="s">
        <v>78</v>
      </c>
      <c r="B22" s="101">
        <v>401602</v>
      </c>
      <c r="C22" s="45" t="s">
        <v>244</v>
      </c>
      <c r="D22" s="46">
        <v>45975</v>
      </c>
      <c r="E22" s="47" t="s">
        <v>2</v>
      </c>
      <c r="F22" s="48">
        <v>169</v>
      </c>
      <c r="G22" s="152">
        <f>IF(OR(E22="",F22=""),"",PID_KVLohnLookup($A$1,E22,F22,LOHNTABELLE!$H$4))</f>
        <v>2000</v>
      </c>
      <c r="H22" s="153">
        <f>IF(AND(ISNUMBER(D22),ISNUMBER(F22)),ROUNDDOWN(MIN(IF(OR(ISBLANK(I22),I22=""),EOMONTH(DATE(EINSTELLUNG!$C$35,$A$1,1),0),I22)-MAX(D22,DATE(EINSTELLUNG!$C$35,$A$1,1))+1)/DAY(EOMONTH(DATE(EINSTELLUNG!$C$35,$A$1,1),0))*F22,2),"")</f>
        <v>169</v>
      </c>
      <c r="I22" s="49"/>
      <c r="J22" s="50"/>
      <c r="K22" s="152">
        <f t="shared" si="0"/>
        <v>0</v>
      </c>
      <c r="L22" s="15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2000</v>
      </c>
      <c r="M22" s="51"/>
      <c r="N22" s="74"/>
      <c r="O22" s="308" t="s">
        <v>296</v>
      </c>
      <c r="P22" s="249"/>
      <c r="Q22" s="238"/>
      <c r="R22" s="239"/>
      <c r="S22" s="149"/>
      <c r="T22" s="149"/>
      <c r="U22" s="149"/>
      <c r="V22" s="149"/>
    </row>
    <row r="23" spans="1:29" ht="22" customHeight="1">
      <c r="A23" s="151" t="s">
        <v>79</v>
      </c>
      <c r="B23" s="102">
        <v>401605</v>
      </c>
      <c r="C23" s="53" t="s">
        <v>245</v>
      </c>
      <c r="D23" s="54">
        <v>44986</v>
      </c>
      <c r="E23" s="55" t="s">
        <v>2</v>
      </c>
      <c r="F23" s="56">
        <v>173</v>
      </c>
      <c r="G23" s="152">
        <f>IF(OR(E23="",F23=""),"",PID_KVLohnLookup($A$1,E23,F23,LOHNTABELLE!$H$4))</f>
        <v>2900</v>
      </c>
      <c r="H23" s="153">
        <f>IF(AND(ISNUMBER(D23),ISNUMBER(F23)),ROUNDDOWN(MIN(IF(OR(ISBLANK(I23),I23=""),EOMONTH(DATE(EINSTELLUNG!$C$35,$A$1,1),0),I23)-MAX(D23,DATE(EINSTELLUNG!$C$35,$A$1,1))+1)/DAY(EOMONTH(DATE(EINSTELLUNG!$C$35,$A$1,1),0))*F23,2),"")</f>
        <v>173</v>
      </c>
      <c r="I23" s="57"/>
      <c r="J23" s="58"/>
      <c r="K23" s="152">
        <f t="shared" si="0"/>
        <v>0</v>
      </c>
      <c r="L23" s="15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59"/>
      <c r="N23" s="75"/>
      <c r="O23" s="308" t="s">
        <v>296</v>
      </c>
      <c r="P23" s="249"/>
      <c r="Q23" s="238">
        <v>5000</v>
      </c>
      <c r="R23" s="239"/>
      <c r="S23" s="149"/>
      <c r="T23" s="149"/>
      <c r="U23" s="149"/>
      <c r="V23" s="149"/>
      <c r="W23" s="162"/>
    </row>
    <row r="24" spans="1:29" ht="22" customHeight="1">
      <c r="A24" s="151" t="s">
        <v>80</v>
      </c>
      <c r="B24" s="101">
        <v>401605</v>
      </c>
      <c r="C24" s="45" t="s">
        <v>407</v>
      </c>
      <c r="D24" s="46">
        <v>36850</v>
      </c>
      <c r="E24" s="47" t="s">
        <v>10</v>
      </c>
      <c r="F24" s="48">
        <v>151.38</v>
      </c>
      <c r="G24" s="152">
        <f>IF(OR(E24="",F24=""),"",PID_KVLohnLookup($A$1,E24,F24,LOHNTABELLE!$H$4))</f>
        <v>2012.5</v>
      </c>
      <c r="H24" s="153">
        <f>IF(AND(ISNUMBER(D24),ISNUMBER(F24)),ROUNDDOWN(MIN(IF(OR(ISBLANK(I24),I24=""),EOMONTH(DATE(EINSTELLUNG!$C$35,$A$1,1),0),I24)-MAX(D24,DATE(EINSTELLUNG!$C$35,$A$1,1))+1)/DAY(EOMONTH(DATE(EINSTELLUNG!$C$35,$A$1,1),0))*F24,2),"")</f>
        <v>151.38</v>
      </c>
      <c r="I24" s="49"/>
      <c r="J24" s="50"/>
      <c r="K24" s="152">
        <f t="shared" si="0"/>
        <v>0</v>
      </c>
      <c r="L24" s="15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51"/>
      <c r="N24" s="74"/>
      <c r="O24" s="308"/>
      <c r="P24" s="249"/>
      <c r="Q24" s="238"/>
      <c r="R24" s="239"/>
      <c r="S24" s="149"/>
      <c r="T24" s="149"/>
      <c r="U24" s="149"/>
      <c r="V24" s="149"/>
      <c r="W24" s="162"/>
    </row>
    <row r="25" spans="1:29" ht="22" customHeight="1">
      <c r="A25" s="151" t="s">
        <v>81</v>
      </c>
      <c r="B25" s="102">
        <v>401626</v>
      </c>
      <c r="C25" s="53" t="s">
        <v>246</v>
      </c>
      <c r="D25" s="54">
        <v>45063</v>
      </c>
      <c r="E25" s="55" t="s">
        <v>2</v>
      </c>
      <c r="F25" s="56">
        <v>173</v>
      </c>
      <c r="G25" s="152">
        <f>IF(OR(E25="",F25=""),"",PID_KVLohnLookup($A$1,E25,F25,LOHNTABELLE!$H$4))</f>
        <v>2900</v>
      </c>
      <c r="H25" s="153">
        <f>IF(AND(ISNUMBER(D25),ISNUMBER(F25)),ROUNDDOWN(MIN(IF(OR(ISBLANK(I25),I25=""),EOMONTH(DATE(EINSTELLUNG!$C$35,$A$1,1),0),I25)-MAX(D25,DATE(EINSTELLUNG!$C$35,$A$1,1))+1)/DAY(EOMONTH(DATE(EINSTELLUNG!$C$35,$A$1,1),0))*F25,2),"")</f>
        <v>173</v>
      </c>
      <c r="I25" s="57"/>
      <c r="J25" s="58"/>
      <c r="K25" s="152">
        <f t="shared" si="0"/>
        <v>0</v>
      </c>
      <c r="L25" s="15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9"/>
      <c r="N25" s="75"/>
      <c r="O25" s="308"/>
      <c r="P25" s="249"/>
      <c r="Q25" s="238"/>
      <c r="R25" s="239"/>
      <c r="S25" s="149"/>
      <c r="T25" s="149"/>
      <c r="U25" s="149"/>
      <c r="V25" s="149"/>
    </row>
    <row r="26" spans="1:29" ht="22" customHeight="1">
      <c r="A26" s="151" t="s">
        <v>82</v>
      </c>
      <c r="B26" s="101">
        <v>401633</v>
      </c>
      <c r="C26" s="45" t="s">
        <v>247</v>
      </c>
      <c r="D26" s="46">
        <v>45089</v>
      </c>
      <c r="E26" s="47" t="s">
        <v>10</v>
      </c>
      <c r="F26" s="48">
        <v>173</v>
      </c>
      <c r="G26" s="152">
        <f>IF(OR(E26="",F26=""),"",PID_KVLohnLookup($A$1,E26,F26,LOHNTABELLE!$H$4))</f>
        <v>2300</v>
      </c>
      <c r="H26" s="153">
        <f>IF(AND(ISNUMBER(D26),ISNUMBER(F26)),ROUNDDOWN(MIN(IF(OR(ISBLANK(I26),I26=""),EOMONTH(DATE(EINSTELLUNG!$C$35,$A$1,1),0),I26)-MAX(D26,DATE(EINSTELLUNG!$C$35,$A$1,1))+1)/DAY(EOMONTH(DATE(EINSTELLUNG!$C$35,$A$1,1),0))*F26,2),"")</f>
        <v>173</v>
      </c>
      <c r="I26" s="49"/>
      <c r="J26" s="50"/>
      <c r="K26" s="152">
        <f t="shared" si="0"/>
        <v>0</v>
      </c>
      <c r="L26" s="15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51"/>
      <c r="N26" s="74"/>
      <c r="O26" s="308"/>
      <c r="P26" s="249"/>
      <c r="Q26" s="238"/>
      <c r="R26" s="239"/>
      <c r="S26" s="149"/>
      <c r="T26" s="149"/>
      <c r="U26" s="149"/>
      <c r="V26" s="149"/>
    </row>
    <row r="27" spans="1:29" ht="22" customHeight="1">
      <c r="A27" s="151" t="s">
        <v>83</v>
      </c>
      <c r="B27" s="102">
        <v>401647</v>
      </c>
      <c r="C27" s="53" t="s">
        <v>248</v>
      </c>
      <c r="D27" s="54">
        <v>45182</v>
      </c>
      <c r="E27" s="55" t="s">
        <v>2</v>
      </c>
      <c r="F27" s="56">
        <v>173</v>
      </c>
      <c r="G27" s="152">
        <f>IF(OR(E27="",F27=""),"",PID_KVLohnLookup($A$1,E27,F27,LOHNTABELLE!$H$4))</f>
        <v>2900</v>
      </c>
      <c r="H27" s="153">
        <f>IF(AND(ISNUMBER(D27),ISNUMBER(F27)),ROUNDDOWN(MIN(IF(OR(ISBLANK(I27),I27=""),EOMONTH(DATE(EINSTELLUNG!$C$35,$A$1,1),0),I27)-MAX(D27,DATE(EINSTELLUNG!$C$35,$A$1,1))+1)/DAY(EOMONTH(DATE(EINSTELLUNG!$C$35,$A$1,1),0))*F27,2),"")</f>
        <v>173</v>
      </c>
      <c r="I27" s="57"/>
      <c r="J27" s="58"/>
      <c r="K27" s="152">
        <f t="shared" si="0"/>
        <v>0</v>
      </c>
      <c r="L27" s="15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9"/>
      <c r="N27" s="75"/>
      <c r="O27" s="308"/>
      <c r="P27" s="249"/>
      <c r="Q27" s="238"/>
      <c r="R27" s="239"/>
      <c r="S27" s="247" t="s">
        <v>84</v>
      </c>
      <c r="T27" s="247"/>
      <c r="U27" s="247"/>
      <c r="V27" s="247"/>
    </row>
    <row r="28" spans="1:29" ht="22" customHeight="1">
      <c r="A28" s="151" t="s">
        <v>85</v>
      </c>
      <c r="B28" s="101">
        <v>401661</v>
      </c>
      <c r="C28" s="45" t="s">
        <v>249</v>
      </c>
      <c r="D28" s="46">
        <v>45261</v>
      </c>
      <c r="E28" s="47" t="s">
        <v>2</v>
      </c>
      <c r="F28" s="48">
        <v>173</v>
      </c>
      <c r="G28" s="152">
        <f>IF(OR(E28="",F28=""),"",PID_KVLohnLookup($A$1,E28,F28,LOHNTABELLE!$H$4))</f>
        <v>2900</v>
      </c>
      <c r="H28" s="153">
        <f>IF(AND(ISNUMBER(D28),ISNUMBER(F28)),ROUNDDOWN(MIN(IF(OR(ISBLANK(I28),I28=""),EOMONTH(DATE(EINSTELLUNG!$C$35,$A$1,1),0),I28)-MAX(D28,DATE(EINSTELLUNG!$C$35,$A$1,1))+1)/DAY(EOMONTH(DATE(EINSTELLUNG!$C$35,$A$1,1),0))*F28,2),"")</f>
        <v>173</v>
      </c>
      <c r="I28" s="49"/>
      <c r="J28" s="50"/>
      <c r="K28" s="152">
        <f t="shared" si="0"/>
        <v>0</v>
      </c>
      <c r="L28" s="15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51"/>
      <c r="N28" s="74"/>
      <c r="O28" s="308"/>
      <c r="P28" s="249"/>
      <c r="Q28" s="238"/>
      <c r="R28" s="239"/>
      <c r="S28" s="149"/>
      <c r="T28" s="149"/>
      <c r="U28" s="149"/>
      <c r="V28" s="149"/>
    </row>
    <row r="29" spans="1:29" ht="22" customHeight="1" thickBot="1">
      <c r="A29" s="151" t="s">
        <v>86</v>
      </c>
      <c r="B29" s="102">
        <v>401670</v>
      </c>
      <c r="C29" s="53" t="s">
        <v>250</v>
      </c>
      <c r="D29" s="54">
        <v>45358</v>
      </c>
      <c r="E29" s="55" t="s">
        <v>2</v>
      </c>
      <c r="F29" s="56">
        <v>173</v>
      </c>
      <c r="G29" s="152">
        <f>IF(OR(E29="",F29=""),"",PID_KVLohnLookup($A$1,E29,F29,LOHNTABELLE!$H$4))</f>
        <v>2900</v>
      </c>
      <c r="H29" s="153">
        <f>IF(AND(ISNUMBER(D29),ISNUMBER(F29)),ROUNDDOWN(MIN(IF(OR(ISBLANK(I29),I29=""),EOMONTH(DATE(EINSTELLUNG!$C$35,$A$1,1),0),I29)-MAX(D29,DATE(EINSTELLUNG!$C$35,$A$1,1))+1)/DAY(EOMONTH(DATE(EINSTELLUNG!$C$35,$A$1,1),0))*F29,2),"")</f>
        <v>173</v>
      </c>
      <c r="I29" s="57"/>
      <c r="J29" s="58"/>
      <c r="K29" s="152">
        <f t="shared" si="0"/>
        <v>0</v>
      </c>
      <c r="L29" s="15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9"/>
      <c r="N29" s="75"/>
      <c r="O29" s="312" t="s">
        <v>87</v>
      </c>
      <c r="P29" s="241"/>
      <c r="Q29" s="295">
        <f>EINSTELLUNG!O16</f>
        <v>1250</v>
      </c>
      <c r="R29" s="296"/>
      <c r="S29" s="149"/>
      <c r="T29" s="149"/>
      <c r="U29" s="149"/>
      <c r="V29" s="149"/>
    </row>
    <row r="30" spans="1:29" ht="22" customHeight="1" thickBot="1">
      <c r="A30" s="151" t="s">
        <v>88</v>
      </c>
      <c r="B30" s="101">
        <v>401678</v>
      </c>
      <c r="C30" s="45" t="s">
        <v>251</v>
      </c>
      <c r="D30" s="46">
        <v>45414</v>
      </c>
      <c r="E30" s="47" t="s">
        <v>2</v>
      </c>
      <c r="F30" s="48">
        <v>173</v>
      </c>
      <c r="G30" s="152">
        <f>IF(OR(E30="",F30=""),"",PID_KVLohnLookup($A$1,E30,F30,LOHNTABELLE!$H$4))</f>
        <v>2900</v>
      </c>
      <c r="H30" s="153">
        <f>IF(AND(ISNUMBER(D30),ISNUMBER(F30)),ROUNDDOWN(MIN(IF(OR(ISBLANK(I30),I30=""),EOMONTH(DATE(EINSTELLUNG!$C$35,$A$1,1),0),I30)-MAX(D30,DATE(EINSTELLUNG!$C$35,$A$1,1))+1)/DAY(EOMONTH(DATE(EINSTELLUNG!$C$35,$A$1,1),0))*F30,2),"")</f>
        <v>173</v>
      </c>
      <c r="I30" s="49"/>
      <c r="J30" s="50"/>
      <c r="K30" s="152">
        <f t="shared" si="0"/>
        <v>0</v>
      </c>
      <c r="L30" s="15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51"/>
      <c r="N30" s="74"/>
      <c r="O30" s="149"/>
      <c r="P30" s="149"/>
      <c r="Q30" s="149"/>
      <c r="R30" s="149"/>
      <c r="S30" s="149"/>
      <c r="T30" s="149"/>
      <c r="U30" s="149"/>
      <c r="V30" s="149"/>
      <c r="W30" s="163"/>
      <c r="X30" s="163"/>
      <c r="Y30" s="163"/>
      <c r="Z30" s="163"/>
      <c r="AA30" s="163"/>
      <c r="AB30" s="163"/>
      <c r="AC30" s="163"/>
    </row>
    <row r="31" spans="1:29" ht="22" customHeight="1" thickBot="1">
      <c r="A31" s="151" t="s">
        <v>89</v>
      </c>
      <c r="B31" s="102">
        <v>401690</v>
      </c>
      <c r="C31" s="53" t="s">
        <v>253</v>
      </c>
      <c r="D31" s="54">
        <v>45536</v>
      </c>
      <c r="E31" s="55" t="s">
        <v>2</v>
      </c>
      <c r="F31" s="56">
        <v>151.38</v>
      </c>
      <c r="G31" s="152">
        <f>IF(OR(E31="",F31=""),"",PID_KVLohnLookup($A$1,E31,F31,LOHNTABELLE!$H$4))</f>
        <v>2500</v>
      </c>
      <c r="H31" s="153">
        <f>IF(AND(ISNUMBER(D31),ISNUMBER(F31)),ROUNDDOWN(MIN(IF(OR(ISBLANK(I31),I31=""),EOMONTH(DATE(EINSTELLUNG!$C$35,$A$1,1),0),I31)-MAX(D31,DATE(EINSTELLUNG!$C$35,$A$1,1))+1)/DAY(EOMONTH(DATE(EINSTELLUNG!$C$35,$A$1,1),0))*F31,2),"")</f>
        <v>151.38</v>
      </c>
      <c r="I31" s="57"/>
      <c r="J31" s="58"/>
      <c r="K31" s="152">
        <f t="shared" si="0"/>
        <v>0</v>
      </c>
      <c r="L31" s="15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2500</v>
      </c>
      <c r="M31" s="59"/>
      <c r="N31" s="75"/>
      <c r="O31" s="309">
        <v>0</v>
      </c>
      <c r="P31" s="300"/>
      <c r="Q31" s="284">
        <v>0</v>
      </c>
      <c r="R31" s="285"/>
      <c r="S31" s="149"/>
      <c r="T31" s="149"/>
      <c r="U31" s="149"/>
      <c r="V31" s="149"/>
    </row>
    <row r="32" spans="1:29" ht="22" customHeight="1" thickBot="1">
      <c r="A32" s="151" t="s">
        <v>91</v>
      </c>
      <c r="B32" s="101">
        <v>401715</v>
      </c>
      <c r="C32" s="45" t="s">
        <v>256</v>
      </c>
      <c r="D32" s="46">
        <v>45755</v>
      </c>
      <c r="E32" s="47" t="s">
        <v>2</v>
      </c>
      <c r="F32" s="48">
        <v>173</v>
      </c>
      <c r="G32" s="152">
        <f>IF(OR(E32="",F32=""),"",PID_KVLohnLookup($A$1,E32,F32,LOHNTABELLE!$H$4))</f>
        <v>2900</v>
      </c>
      <c r="H32" s="153">
        <f>IF(AND(ISNUMBER(D32),ISNUMBER(F32)),ROUNDDOWN(MIN(IF(OR(ISBLANK(I32),I32=""),EOMONTH(DATE(EINSTELLUNG!$C$35,$A$1,1),0),I32)-MAX(D32,DATE(EINSTELLUNG!$C$35,$A$1,1))+1)/DAY(EOMONTH(DATE(EINSTELLUNG!$C$35,$A$1,1),0))*F32,2),"")</f>
        <v>173</v>
      </c>
      <c r="I32" s="49"/>
      <c r="J32" s="50"/>
      <c r="K32" s="152">
        <f t="shared" si="0"/>
        <v>0</v>
      </c>
      <c r="L32" s="15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51"/>
      <c r="N32" s="74"/>
      <c r="O32" s="149"/>
      <c r="P32" s="149"/>
      <c r="Q32" s="149"/>
      <c r="R32" s="149"/>
      <c r="S32" s="149"/>
      <c r="T32" s="149"/>
      <c r="U32" s="149"/>
      <c r="V32" s="149"/>
    </row>
    <row r="33" spans="1:22" ht="22" customHeight="1">
      <c r="A33" s="151" t="s">
        <v>92</v>
      </c>
      <c r="B33" s="102">
        <v>401716</v>
      </c>
      <c r="C33" s="53" t="s">
        <v>257</v>
      </c>
      <c r="D33" s="54">
        <v>45800</v>
      </c>
      <c r="E33" s="55" t="s">
        <v>2</v>
      </c>
      <c r="F33" s="56">
        <v>173</v>
      </c>
      <c r="G33" s="152">
        <f>IF(OR(E33="",F33=""),"",PID_KVLohnLookup($A$1,E33,F33,LOHNTABELLE!$H$4))</f>
        <v>2900</v>
      </c>
      <c r="H33" s="153">
        <f>IF(AND(ISNUMBER(D33),ISNUMBER(F33)),ROUNDDOWN(MIN(IF(OR(ISBLANK(I33),I33=""),EOMONTH(DATE(EINSTELLUNG!$C$35,$A$1,1),0),I33)-MAX(D33,DATE(EINSTELLUNG!$C$35,$A$1,1))+1)/DAY(EOMONTH(DATE(EINSTELLUNG!$C$35,$A$1,1),0))*F33,2),"")</f>
        <v>173</v>
      </c>
      <c r="I33" s="57"/>
      <c r="J33" s="58"/>
      <c r="K33" s="152">
        <f t="shared" si="0"/>
        <v>0</v>
      </c>
      <c r="L33" s="15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9"/>
      <c r="N33" s="75"/>
      <c r="O33" s="310"/>
      <c r="P33" s="291"/>
      <c r="Q33" s="280" t="str">
        <f>EINSTELLUNG!B3</f>
        <v>Budget</v>
      </c>
      <c r="R33" s="280"/>
      <c r="S33" s="280" t="str">
        <f>EINSTELLUNG!B19</f>
        <v>Projection/Aktuell Zahlen</v>
      </c>
      <c r="T33" s="280"/>
      <c r="U33" s="280" t="s">
        <v>95</v>
      </c>
      <c r="V33" s="282"/>
    </row>
    <row r="34" spans="1:22" ht="22" customHeight="1">
      <c r="A34" s="151" t="s">
        <v>96</v>
      </c>
      <c r="B34" s="101">
        <v>401717</v>
      </c>
      <c r="C34" s="45" t="s">
        <v>258</v>
      </c>
      <c r="D34" s="46">
        <v>45814</v>
      </c>
      <c r="E34" s="47" t="s">
        <v>2</v>
      </c>
      <c r="F34" s="48">
        <v>86.5</v>
      </c>
      <c r="G34" s="152">
        <f>IF(OR(E34="",F34=""),"",PID_KVLohnLookup($A$1,E34,F34,LOHNTABELLE!$H$4))</f>
        <v>2152</v>
      </c>
      <c r="H34" s="153">
        <f>IF(AND(ISNUMBER(D34),ISNUMBER(F34)),ROUNDDOWN(MIN(IF(OR(ISBLANK(I34),I34=""),EOMONTH(DATE(EINSTELLUNG!$C$35,$A$1,1),0),I34)-MAX(D34,DATE(EINSTELLUNG!$C$35,$A$1,1))+1)/DAY(EOMONTH(DATE(EINSTELLUNG!$C$35,$A$1,1),0))*F34,2),"")</f>
        <v>86.5</v>
      </c>
      <c r="I34" s="49"/>
      <c r="J34" s="50"/>
      <c r="K34" s="152">
        <f t="shared" si="0"/>
        <v>0</v>
      </c>
      <c r="L34" s="15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51"/>
      <c r="N34" s="74"/>
      <c r="O34" s="311"/>
      <c r="P34" s="293"/>
      <c r="Q34" s="281"/>
      <c r="R34" s="281"/>
      <c r="S34" s="281"/>
      <c r="T34" s="281"/>
      <c r="U34" s="281"/>
      <c r="V34" s="283"/>
    </row>
    <row r="35" spans="1:22" ht="22" customHeight="1">
      <c r="A35" s="151" t="s">
        <v>97</v>
      </c>
      <c r="B35" s="102">
        <v>401722</v>
      </c>
      <c r="C35" s="53" t="s">
        <v>259</v>
      </c>
      <c r="D35" s="54">
        <v>45848</v>
      </c>
      <c r="E35" s="55" t="s">
        <v>2</v>
      </c>
      <c r="F35" s="56">
        <v>86.5</v>
      </c>
      <c r="G35" s="152">
        <f>IF(OR(E35="",F35=""),"",PID_KVLohnLookup($A$1,E35,F35,LOHNTABELLE!$H$4))</f>
        <v>2152</v>
      </c>
      <c r="H35" s="153">
        <f>IF(AND(ISNUMBER(D35),ISNUMBER(F35)),ROUNDDOWN(MIN(IF(OR(ISBLANK(I35),I35=""),EOMONTH(DATE(EINSTELLUNG!$C$35,$A$1,1),0),I35)-MAX(D35,DATE(EINSTELLUNG!$C$35,$A$1,1))+1)/DAY(EOMONTH(DATE(EINSTELLUNG!$C$35,$A$1,1),0))*F35,2),"")</f>
        <v>86.5</v>
      </c>
      <c r="I35" s="57"/>
      <c r="J35" s="58"/>
      <c r="K35" s="152">
        <f t="shared" ref="K35:K66" si="1">IF(OR(B35="",C35=""),"",IFERROR(IF(OR(MONTH(D35)=1,MONTH(D35)=3,MONTH(D35)=5,MONTH(D35)=7,MONTH(D35)=8,MONTH(D35)=10,MONTH(D35)=12),(G35/31)*J35,IF(OR(MONTH(D35)=4,MONTH(D35)=6,MONTH(D35)=9,MONTH(D35)=11),(G35/30)*J35,(G35/DAY(EOMONTH(D35,0)))*J35)),0))</f>
        <v>0</v>
      </c>
      <c r="L35" s="15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9"/>
      <c r="N35" s="75"/>
      <c r="O35" s="307" t="s">
        <v>98</v>
      </c>
      <c r="P35" s="255"/>
      <c r="Q35" s="256">
        <f>EINSTELLUNG!C16</f>
        <v>400000</v>
      </c>
      <c r="R35" s="256"/>
      <c r="S35" s="256">
        <f>EINSTELLUNG!C32</f>
        <v>398000</v>
      </c>
      <c r="T35" s="256"/>
      <c r="U35" s="256">
        <f>S35-Q35</f>
        <v>-2000</v>
      </c>
      <c r="V35" s="257"/>
    </row>
    <row r="36" spans="1:22" ht="22" customHeight="1">
      <c r="A36" s="151" t="s">
        <v>99</v>
      </c>
      <c r="B36" s="101">
        <v>401723</v>
      </c>
      <c r="C36" s="45" t="s">
        <v>260</v>
      </c>
      <c r="D36" s="46">
        <v>45852</v>
      </c>
      <c r="E36" s="47" t="s">
        <v>2</v>
      </c>
      <c r="F36" s="48">
        <v>86.5</v>
      </c>
      <c r="G36" s="152">
        <f>IF(OR(E36="",F36=""),"",PID_KVLohnLookup($A$1,E36,F36,LOHNTABELLE!$H$4))</f>
        <v>2152</v>
      </c>
      <c r="H36" s="153">
        <f>IF(AND(ISNUMBER(D36),ISNUMBER(F36)),ROUNDDOWN(MIN(IF(OR(ISBLANK(I36),I36=""),EOMONTH(DATE(EINSTELLUNG!$C$35,$A$1,1),0),I36)-MAX(D36,DATE(EINSTELLUNG!$C$35,$A$1,1))+1)/DAY(EOMONTH(DATE(EINSTELLUNG!$C$35,$A$1,1),0))*F36,2),"")</f>
        <v>86.5</v>
      </c>
      <c r="I36" s="49"/>
      <c r="J36" s="50"/>
      <c r="K36" s="152">
        <f t="shared" si="1"/>
        <v>0</v>
      </c>
      <c r="L36" s="15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51"/>
      <c r="N36" s="74"/>
      <c r="O36" s="307" t="s">
        <v>100</v>
      </c>
      <c r="P36" s="255"/>
      <c r="Q36" s="256">
        <f>EINSTELLUNG!D16</f>
        <v>100000</v>
      </c>
      <c r="R36" s="256"/>
      <c r="S36" s="256">
        <f ca="1">SumMergedCells(Q17:R29)</f>
        <v>140816.6</v>
      </c>
      <c r="T36" s="256"/>
      <c r="U36" s="256">
        <f t="shared" ref="U36:U41" ca="1" si="2">S36-Q36</f>
        <v>40816.600000000006</v>
      </c>
      <c r="V36" s="257"/>
    </row>
    <row r="37" spans="1:22" ht="22" customHeight="1">
      <c r="A37" s="151" t="s">
        <v>101</v>
      </c>
      <c r="B37" s="102">
        <v>401726</v>
      </c>
      <c r="C37" s="53" t="s">
        <v>261</v>
      </c>
      <c r="D37" s="54">
        <v>45870</v>
      </c>
      <c r="E37" s="55" t="s">
        <v>2</v>
      </c>
      <c r="F37" s="56">
        <v>86.5</v>
      </c>
      <c r="G37" s="152">
        <f>IF(OR(E37="",F37=""),"",PID_KVLohnLookup($A$1,E37,F37,LOHNTABELLE!$H$4))</f>
        <v>2152</v>
      </c>
      <c r="H37" s="153">
        <f>IF(AND(ISNUMBER(D37),ISNUMBER(F37)),ROUNDDOWN(MIN(IF(OR(ISBLANK(I37),I37=""),EOMONTH(DATE(EINSTELLUNG!$C$35,$A$1,1),0),I37)-MAX(D37,DATE(EINSTELLUNG!$C$35,$A$1,1))+1)/DAY(EOMONTH(DATE(EINSTELLUNG!$C$35,$A$1,1),0))*F37,2),"")</f>
        <v>86.5</v>
      </c>
      <c r="I37" s="57"/>
      <c r="J37" s="58"/>
      <c r="K37" s="152">
        <f t="shared" si="1"/>
        <v>0</v>
      </c>
      <c r="L37" s="15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9"/>
      <c r="N37" s="75"/>
      <c r="O37" s="307" t="s">
        <v>102</v>
      </c>
      <c r="P37" s="255"/>
      <c r="Q37" s="278">
        <f>IF(ISERROR(Q36/Q35), 0, Q36/Q35)</f>
        <v>0.25</v>
      </c>
      <c r="R37" s="278"/>
      <c r="S37" s="278">
        <f ca="1">IF(ISERROR(S36/S35), 0, S36/S35)</f>
        <v>0.35381055276381912</v>
      </c>
      <c r="T37" s="278"/>
      <c r="U37" s="278">
        <f t="shared" ca="1" si="2"/>
        <v>0.10381055276381912</v>
      </c>
      <c r="V37" s="279"/>
    </row>
    <row r="38" spans="1:22" ht="22" customHeight="1">
      <c r="A38" s="151" t="s">
        <v>103</v>
      </c>
      <c r="B38" s="101">
        <v>401730</v>
      </c>
      <c r="C38" s="45" t="s">
        <v>263</v>
      </c>
      <c r="D38" s="49">
        <v>45895</v>
      </c>
      <c r="E38" s="47" t="s">
        <v>2</v>
      </c>
      <c r="F38" s="48">
        <v>86.5</v>
      </c>
      <c r="G38" s="152">
        <f>IF(OR(E38="",F38=""),"",PID_KVLohnLookup($A$1,E38,F38,LOHNTABELLE!$H$4))</f>
        <v>2152</v>
      </c>
      <c r="H38" s="153">
        <f>IF(AND(ISNUMBER(D38),ISNUMBER(F38)),ROUNDDOWN(MIN(IF(OR(ISBLANK(I38),I38=""),EOMONTH(DATE(EINSTELLUNG!$C$35,$A$1,1),0),I38)-MAX(D38,DATE(EINSTELLUNG!$C$35,$A$1,1))+1)/DAY(EOMONTH(DATE(EINSTELLUNG!$C$35,$A$1,1),0))*F38,2),"")</f>
        <v>86.5</v>
      </c>
      <c r="I38" s="49"/>
      <c r="J38" s="50"/>
      <c r="K38" s="152">
        <f t="shared" si="1"/>
        <v>0</v>
      </c>
      <c r="L38" s="15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51"/>
      <c r="N38" s="74"/>
      <c r="O38" s="307" t="s">
        <v>104</v>
      </c>
      <c r="P38" s="255"/>
      <c r="Q38" s="269">
        <f>EINSTELLUNG!F16</f>
        <v>30000</v>
      </c>
      <c r="R38" s="269"/>
      <c r="S38" s="269">
        <f>EINSTELLUNG!F32</f>
        <v>31000</v>
      </c>
      <c r="T38" s="269"/>
      <c r="U38" s="269">
        <f t="shared" si="2"/>
        <v>1000</v>
      </c>
      <c r="V38" s="270"/>
    </row>
    <row r="39" spans="1:22" ht="22" customHeight="1">
      <c r="A39" s="151" t="s">
        <v>105</v>
      </c>
      <c r="B39" s="102">
        <v>401731</v>
      </c>
      <c r="C39" s="53" t="s">
        <v>262</v>
      </c>
      <c r="D39" s="54">
        <v>45899</v>
      </c>
      <c r="E39" s="55" t="s">
        <v>2</v>
      </c>
      <c r="F39" s="56">
        <v>86.5</v>
      </c>
      <c r="G39" s="152">
        <f>IF(OR(E39="",F39=""),"",PID_KVLohnLookup($A$1,E39,F39,LOHNTABELLE!$H$4))</f>
        <v>2152</v>
      </c>
      <c r="H39" s="153">
        <f>IF(AND(ISNUMBER(D39),ISNUMBER(F39)),ROUNDDOWN(MIN(IF(OR(ISBLANK(I39),I39=""),EOMONTH(DATE(EINSTELLUNG!$C$35,$A$1,1),0),I39)-MAX(D39,DATE(EINSTELLUNG!$C$35,$A$1,1))+1)/DAY(EOMONTH(DATE(EINSTELLUNG!$C$35,$A$1,1),0))*F39,2),"")</f>
        <v>86.5</v>
      </c>
      <c r="I39" s="57"/>
      <c r="J39" s="58"/>
      <c r="K39" s="152">
        <f t="shared" si="1"/>
        <v>0</v>
      </c>
      <c r="L39" s="15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9"/>
      <c r="N39" s="75"/>
      <c r="O39" s="307" t="s">
        <v>106</v>
      </c>
      <c r="P39" s="255"/>
      <c r="Q39" s="256">
        <f>IF(Q38=0, 0, Q35/Q38)</f>
        <v>13.333333333333334</v>
      </c>
      <c r="R39" s="256"/>
      <c r="S39" s="256">
        <f>IF(S38=0, 0, S35/S38)</f>
        <v>12.838709677419354</v>
      </c>
      <c r="T39" s="256"/>
      <c r="U39" s="256">
        <f t="shared" si="2"/>
        <v>-0.49462365591397983</v>
      </c>
      <c r="V39" s="257"/>
    </row>
    <row r="40" spans="1:22" ht="22" customHeight="1">
      <c r="A40" s="151" t="s">
        <v>107</v>
      </c>
      <c r="B40" s="101">
        <v>401734</v>
      </c>
      <c r="C40" s="45" t="s">
        <v>264</v>
      </c>
      <c r="D40" s="46">
        <v>45904</v>
      </c>
      <c r="E40" s="47" t="s">
        <v>2</v>
      </c>
      <c r="F40" s="48">
        <v>86.5</v>
      </c>
      <c r="G40" s="152">
        <f>IF(OR(E40="",F40=""),"",PID_KVLohnLookup($A$1,E40,F40,LOHNTABELLE!$H$4))</f>
        <v>2152</v>
      </c>
      <c r="H40" s="153">
        <f>IF(AND(ISNUMBER(D40),ISNUMBER(F40)),ROUNDDOWN(MIN(IF(OR(ISBLANK(I40),I40=""),EOMONTH(DATE(EINSTELLUNG!$C$35,$A$1,1),0),I40)-MAX(D40,DATE(EINSTELLUNG!$C$35,$A$1,1))+1)/DAY(EOMONTH(DATE(EINSTELLUNG!$C$35,$A$1,1),0))*F40,2),"")</f>
        <v>86.5</v>
      </c>
      <c r="I40" s="49"/>
      <c r="J40" s="50"/>
      <c r="K40" s="152">
        <f t="shared" si="1"/>
        <v>0</v>
      </c>
      <c r="L40" s="15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51"/>
      <c r="N40" s="74"/>
      <c r="O40" s="307" t="s">
        <v>108</v>
      </c>
      <c r="P40" s="255"/>
      <c r="Q40" s="256">
        <f>IF(Q12=0, 0, Q35/Q12)</f>
        <v>55.346851801885954</v>
      </c>
      <c r="R40" s="256"/>
      <c r="S40" s="256">
        <f>IF(Q12=0, 0, S35/Q12)</f>
        <v>55.070117542876524</v>
      </c>
      <c r="T40" s="256"/>
      <c r="U40" s="256">
        <f t="shared" si="2"/>
        <v>-0.27673425900943016</v>
      </c>
      <c r="V40" s="257"/>
    </row>
    <row r="41" spans="1:22" ht="22" customHeight="1">
      <c r="A41" s="151" t="s">
        <v>109</v>
      </c>
      <c r="B41" s="102">
        <v>401737</v>
      </c>
      <c r="C41" s="53" t="s">
        <v>266</v>
      </c>
      <c r="D41" s="54">
        <v>45906</v>
      </c>
      <c r="E41" s="55" t="s">
        <v>2</v>
      </c>
      <c r="F41" s="56">
        <v>86.5</v>
      </c>
      <c r="G41" s="152">
        <f>IF(OR(E41="",F41=""),"",PID_KVLohnLookup($A$1,E41,F41,LOHNTABELLE!$H$4))</f>
        <v>2152</v>
      </c>
      <c r="H41" s="153">
        <f>IF(AND(ISNUMBER(D41),ISNUMBER(F41)),ROUNDDOWN(MIN(IF(OR(ISBLANK(I41),I41=""),EOMONTH(DATE(EINSTELLUNG!$C$35,$A$1,1),0),I41)-MAX(D41,DATE(EINSTELLUNG!$C$35,$A$1,1))+1)/DAY(EOMONTH(DATE(EINSTELLUNG!$C$35,$A$1,1),0))*F41,2),"")</f>
        <v>86.5</v>
      </c>
      <c r="I41" s="57"/>
      <c r="J41" s="58"/>
      <c r="K41" s="152">
        <f t="shared" si="1"/>
        <v>0</v>
      </c>
      <c r="L41" s="15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9"/>
      <c r="N41" s="75"/>
      <c r="O41" s="307" t="s">
        <v>110</v>
      </c>
      <c r="P41" s="255"/>
      <c r="Q41" s="269">
        <f>IF(Q12=0, 0, Q38/Q12)</f>
        <v>4.1510138851414462</v>
      </c>
      <c r="R41" s="269"/>
      <c r="S41" s="269">
        <f>IF(Q12=0, 0, S38/Q12)</f>
        <v>4.2893810146461613</v>
      </c>
      <c r="T41" s="269"/>
      <c r="U41" s="269">
        <f t="shared" si="2"/>
        <v>0.13836712950471508</v>
      </c>
      <c r="V41" s="270"/>
    </row>
    <row r="42" spans="1:22" ht="22" customHeight="1">
      <c r="A42" s="151" t="s">
        <v>111</v>
      </c>
      <c r="B42" s="101">
        <v>401738</v>
      </c>
      <c r="C42" s="45" t="s">
        <v>267</v>
      </c>
      <c r="D42" s="46">
        <v>45909</v>
      </c>
      <c r="E42" s="47" t="s">
        <v>2</v>
      </c>
      <c r="F42" s="48">
        <v>86.5</v>
      </c>
      <c r="G42" s="152">
        <f>IF(OR(E42="",F42=""),"",PID_KVLohnLookup($A$1,E42,F42,LOHNTABELLE!$H$4))</f>
        <v>2152</v>
      </c>
      <c r="H42" s="153">
        <f>IF(AND(ISNUMBER(D42),ISNUMBER(F42)),ROUNDDOWN(MIN(IF(OR(ISBLANK(I42),I42=""),EOMONTH(DATE(EINSTELLUNG!$C$35,$A$1,1),0),I42)-MAX(D42,DATE(EINSTELLUNG!$C$35,$A$1,1))+1)/DAY(EOMONTH(DATE(EINSTELLUNG!$C$35,$A$1,1),0))*F42,2),"")</f>
        <v>86.5</v>
      </c>
      <c r="I42" s="49"/>
      <c r="J42" s="50"/>
      <c r="K42" s="152">
        <f t="shared" si="1"/>
        <v>0</v>
      </c>
      <c r="L42" s="15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51"/>
      <c r="N42" s="74"/>
      <c r="O42" s="306" t="s">
        <v>112</v>
      </c>
      <c r="P42" s="263"/>
      <c r="Q42" s="264">
        <f>IFERROR(Q17/Q8, 0)</f>
        <v>16.784687318089926</v>
      </c>
      <c r="R42" s="264"/>
      <c r="S42" s="264"/>
      <c r="T42" s="264"/>
      <c r="U42" s="264"/>
      <c r="V42" s="265"/>
    </row>
    <row r="43" spans="1:22" ht="22" customHeight="1">
      <c r="A43" s="151" t="s">
        <v>113</v>
      </c>
      <c r="B43" s="102">
        <v>401745</v>
      </c>
      <c r="C43" s="53" t="s">
        <v>271</v>
      </c>
      <c r="D43" s="54">
        <v>45934</v>
      </c>
      <c r="E43" s="55" t="s">
        <v>2</v>
      </c>
      <c r="F43" s="56">
        <v>86.5</v>
      </c>
      <c r="G43" s="152">
        <f>IF(OR(E43="",F43=""),"",PID_KVLohnLookup($A$1,E43,F43,LOHNTABELLE!$H$4))</f>
        <v>2152</v>
      </c>
      <c r="H43" s="153">
        <f>IF(AND(ISNUMBER(D43),ISNUMBER(F43)),ROUNDDOWN(MIN(IF(OR(ISBLANK(I43),I43=""),EOMONTH(DATE(EINSTELLUNG!$C$35,$A$1,1),0),I43)-MAX(D43,DATE(EINSTELLUNG!$C$35,$A$1,1))+1)/DAY(EOMONTH(DATE(EINSTELLUNG!$C$35,$A$1,1),0))*F43,2),"")</f>
        <v>86.5</v>
      </c>
      <c r="I43" s="57"/>
      <c r="J43" s="58"/>
      <c r="K43" s="152">
        <f t="shared" si="1"/>
        <v>0</v>
      </c>
      <c r="L43" s="15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9"/>
      <c r="N43" s="75"/>
      <c r="O43" s="164"/>
      <c r="P43" s="164"/>
      <c r="Q43" s="164"/>
      <c r="R43" s="149"/>
      <c r="S43" s="149"/>
      <c r="T43" s="149"/>
      <c r="U43" s="149"/>
      <c r="V43" s="149"/>
    </row>
    <row r="44" spans="1:22" ht="22" customHeight="1">
      <c r="A44" s="151" t="s">
        <v>114</v>
      </c>
      <c r="B44" s="101">
        <v>401746</v>
      </c>
      <c r="C44" s="45" t="s">
        <v>270</v>
      </c>
      <c r="D44" s="46">
        <v>45941</v>
      </c>
      <c r="E44" s="47" t="s">
        <v>2</v>
      </c>
      <c r="F44" s="48">
        <v>86.5</v>
      </c>
      <c r="G44" s="152">
        <f>IF(OR(E44="",F44=""),"",PID_KVLohnLookup($A$1,E44,F44,LOHNTABELLE!$H$4))</f>
        <v>2152</v>
      </c>
      <c r="H44" s="153">
        <f>IF(AND(ISNUMBER(D44),ISNUMBER(F44)),ROUNDDOWN(MIN(IF(OR(ISBLANK(I44),I44=""),EOMONTH(DATE(EINSTELLUNG!$C$35,$A$1,1),0),I44)-MAX(D44,DATE(EINSTELLUNG!$C$35,$A$1,1))+1)/DAY(EOMONTH(DATE(EINSTELLUNG!$C$35,$A$1,1),0))*F44,2),"")</f>
        <v>86.5</v>
      </c>
      <c r="I44" s="49"/>
      <c r="J44" s="50"/>
      <c r="K44" s="152">
        <f t="shared" si="1"/>
        <v>0</v>
      </c>
      <c r="L44" s="15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51"/>
      <c r="N44" s="74"/>
      <c r="O44" s="275" t="s">
        <v>115</v>
      </c>
      <c r="P44" s="275"/>
      <c r="Q44" s="275"/>
      <c r="R44" s="275"/>
      <c r="S44" s="275"/>
      <c r="T44" s="275"/>
      <c r="U44" s="275"/>
      <c r="V44" s="275"/>
    </row>
    <row r="45" spans="1:22" ht="22" customHeight="1">
      <c r="A45" s="151" t="s">
        <v>116</v>
      </c>
      <c r="B45" s="102">
        <v>401747</v>
      </c>
      <c r="C45" s="53" t="s">
        <v>268</v>
      </c>
      <c r="D45" s="54">
        <v>45941</v>
      </c>
      <c r="E45" s="55" t="s">
        <v>2</v>
      </c>
      <c r="F45" s="56">
        <v>86.5</v>
      </c>
      <c r="G45" s="152">
        <f>IF(OR(E45="",F45=""),"",PID_KVLohnLookup($A$1,E45,F45,LOHNTABELLE!$H$4))</f>
        <v>2152</v>
      </c>
      <c r="H45" s="153">
        <f>IF(AND(ISNUMBER(D45),ISNUMBER(F45)),ROUNDDOWN(MIN(IF(OR(ISBLANK(I45),I45=""),EOMONTH(DATE(EINSTELLUNG!$C$35,$A$1,1),0),I45)-MAX(D45,DATE(EINSTELLUNG!$C$35,$A$1,1))+1)/DAY(EOMONTH(DATE(EINSTELLUNG!$C$35,$A$1,1),0))*F45,2),"")</f>
        <v>86.5</v>
      </c>
      <c r="I45" s="57"/>
      <c r="J45" s="58"/>
      <c r="K45" s="152">
        <f t="shared" si="1"/>
        <v>0</v>
      </c>
      <c r="L45" s="15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9"/>
      <c r="N45" s="75"/>
      <c r="O45" s="276"/>
      <c r="P45" s="276"/>
      <c r="Q45" s="276"/>
      <c r="R45" s="277"/>
      <c r="S45" s="277"/>
      <c r="T45" s="277"/>
      <c r="U45" s="277"/>
      <c r="V45" s="149"/>
    </row>
    <row r="46" spans="1:22" ht="22" customHeight="1">
      <c r="A46" s="151" t="s">
        <v>117</v>
      </c>
      <c r="B46" s="101">
        <v>401748</v>
      </c>
      <c r="C46" s="45" t="s">
        <v>269</v>
      </c>
      <c r="D46" s="46">
        <v>45941</v>
      </c>
      <c r="E46" s="47" t="s">
        <v>2</v>
      </c>
      <c r="F46" s="48">
        <v>138.4</v>
      </c>
      <c r="G46" s="152">
        <f>IF(OR(E46="",F46=""),"",PID_KVLohnLookup($A$1,E46,F46,LOHNTABELLE!$H$4))</f>
        <v>2400</v>
      </c>
      <c r="H46" s="153">
        <f>IF(AND(ISNUMBER(D46),ISNUMBER(F46)),ROUNDDOWN(MIN(IF(OR(ISBLANK(I46),I46=""),EOMONTH(DATE(EINSTELLUNG!$C$35,$A$1,1),0),I46)-MAX(D46,DATE(EINSTELLUNG!$C$35,$A$1,1))+1)/DAY(EOMONTH(DATE(EINSTELLUNG!$C$35,$A$1,1),0))*F46,2),"")</f>
        <v>138.4</v>
      </c>
      <c r="I46" s="49"/>
      <c r="J46" s="50"/>
      <c r="K46" s="152">
        <f t="shared" si="1"/>
        <v>0</v>
      </c>
      <c r="L46" s="15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2400</v>
      </c>
      <c r="M46" s="51"/>
      <c r="N46" s="74"/>
      <c r="O46" s="149"/>
      <c r="P46" s="149"/>
      <c r="Q46" s="149"/>
      <c r="R46" s="149"/>
      <c r="S46" s="149"/>
      <c r="T46" s="149"/>
      <c r="U46" s="149"/>
      <c r="V46" s="149"/>
    </row>
    <row r="47" spans="1:22" ht="22" customHeight="1">
      <c r="A47" s="151" t="s">
        <v>118</v>
      </c>
      <c r="B47" s="102">
        <v>401751</v>
      </c>
      <c r="C47" s="53" t="s">
        <v>272</v>
      </c>
      <c r="D47" s="54">
        <v>45961</v>
      </c>
      <c r="E47" s="55" t="s">
        <v>2</v>
      </c>
      <c r="F47" s="56">
        <v>86.5</v>
      </c>
      <c r="G47" s="152">
        <f>IF(OR(E47="",F47=""),"",PID_KVLohnLookup($A$1,E47,F47,LOHNTABELLE!$H$4))</f>
        <v>2152</v>
      </c>
      <c r="H47" s="153">
        <f>IF(AND(ISNUMBER(D47),ISNUMBER(F47)),ROUNDDOWN(MIN(IF(OR(ISBLANK(I47),I47=""),EOMONTH(DATE(EINSTELLUNG!$C$35,$A$1,1),0),I47)-MAX(D47,DATE(EINSTELLUNG!$C$35,$A$1,1))+1)/DAY(EOMONTH(DATE(EINSTELLUNG!$C$35,$A$1,1),0))*F47,2),"")</f>
        <v>86.5</v>
      </c>
      <c r="I47" s="57"/>
      <c r="J47" s="58"/>
      <c r="K47" s="152">
        <f t="shared" si="1"/>
        <v>0</v>
      </c>
      <c r="L47" s="15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9"/>
      <c r="N47" s="75"/>
      <c r="O47" s="149"/>
      <c r="P47" s="149"/>
      <c r="Q47" s="149"/>
      <c r="R47" s="149"/>
      <c r="S47" s="149"/>
      <c r="T47" s="149"/>
      <c r="U47" s="149"/>
      <c r="V47" s="149"/>
    </row>
    <row r="48" spans="1:22" ht="22" customHeight="1">
      <c r="A48" s="151" t="s">
        <v>119</v>
      </c>
      <c r="B48" s="101">
        <v>401752</v>
      </c>
      <c r="C48" s="45" t="s">
        <v>273</v>
      </c>
      <c r="D48" s="46">
        <v>45986</v>
      </c>
      <c r="E48" s="47" t="s">
        <v>2</v>
      </c>
      <c r="F48" s="69">
        <v>173</v>
      </c>
      <c r="G48" s="152">
        <f>IF(OR(E48="",F48=""),"",PID_KVLohnLookup($A$1,E48,F48,LOHNTABELLE!$H$4))</f>
        <v>2900</v>
      </c>
      <c r="H48" s="153">
        <f>IF(AND(ISNUMBER(D48),ISNUMBER(F48)),ROUNDDOWN(MIN(IF(OR(ISBLANK(I48),I48=""),EOMONTH(DATE(EINSTELLUNG!$C$35,$A$1,1),0),I48)-MAX(D48,DATE(EINSTELLUNG!$C$35,$A$1,1))+1)/DAY(EOMONTH(DATE(EINSTELLUNG!$C$35,$A$1,1),0))*F48,2),"")</f>
        <v>173</v>
      </c>
      <c r="I48" s="49"/>
      <c r="J48" s="50"/>
      <c r="K48" s="152">
        <f t="shared" si="1"/>
        <v>0</v>
      </c>
      <c r="L48" s="15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2900</v>
      </c>
      <c r="M48" s="51"/>
      <c r="N48" s="74"/>
      <c r="O48" s="149"/>
      <c r="P48" s="149"/>
      <c r="Q48" s="149"/>
      <c r="R48" s="149"/>
      <c r="S48" s="149"/>
      <c r="T48" s="149"/>
      <c r="U48" s="149"/>
      <c r="V48" s="149"/>
    </row>
    <row r="49" spans="1:22" ht="22" customHeight="1">
      <c r="A49" s="151" t="s">
        <v>120</v>
      </c>
      <c r="B49" s="102">
        <v>401999</v>
      </c>
      <c r="C49" s="53" t="s">
        <v>358</v>
      </c>
      <c r="D49" s="54">
        <v>46041</v>
      </c>
      <c r="E49" s="55" t="s">
        <v>2</v>
      </c>
      <c r="F49" s="56">
        <v>151.38</v>
      </c>
      <c r="G49" s="152">
        <f>IF(OR(E49="",F49=""),"",PID_KVLohnLookup($A$1,E49,F49,LOHNTABELLE!$H$4))</f>
        <v>2500</v>
      </c>
      <c r="H49" s="153">
        <f>IF(AND(ISNUMBER(D49),ISNUMBER(F49)),ROUNDDOWN(MIN(IF(OR(ISBLANK(I49),I49=""),EOMONTH(DATE(EINSTELLUNG!$C$35,$A$1,1),0),I49)-MAX(D49,DATE(EINSTELLUNG!$C$35,$A$1,1))+1)/DAY(EOMONTH(DATE(EINSTELLUNG!$C$35,$A$1,1),0))*F49,2),"")</f>
        <v>151.38</v>
      </c>
      <c r="I49" s="57"/>
      <c r="J49" s="58"/>
      <c r="K49" s="152">
        <f t="shared" si="1"/>
        <v>0</v>
      </c>
      <c r="L49" s="15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59"/>
      <c r="N49" s="75"/>
      <c r="O49" s="149"/>
      <c r="P49" s="149"/>
      <c r="Q49" s="149"/>
      <c r="R49" s="149"/>
      <c r="S49" s="149"/>
      <c r="T49" s="149"/>
      <c r="U49" s="149"/>
      <c r="V49" s="149"/>
    </row>
    <row r="50" spans="1:22" ht="22" customHeight="1">
      <c r="A50" s="151" t="s">
        <v>121</v>
      </c>
      <c r="B50" s="101">
        <v>401999</v>
      </c>
      <c r="C50" s="45" t="s">
        <v>295</v>
      </c>
      <c r="D50" s="49">
        <v>46082</v>
      </c>
      <c r="E50" s="47" t="s">
        <v>2</v>
      </c>
      <c r="F50" s="48">
        <v>173</v>
      </c>
      <c r="G50" s="152">
        <f>IF(OR(E50="",F50=""),"",PID_KVLohnLookup($A$1,E50,F50,LOHNTABELLE!$H$4))</f>
        <v>2900</v>
      </c>
      <c r="H50" s="153">
        <f>IF(AND(ISNUMBER(D50),ISNUMBER(F50)),ROUNDDOWN(MIN(IF(OR(ISBLANK(I50),I50=""),EOMONTH(DATE(EINSTELLUNG!$C$35,$A$1,1),0),I50)-MAX(D50,DATE(EINSTELLUNG!$C$35,$A$1,1))+1)/DAY(EOMONTH(DATE(EINSTELLUNG!$C$35,$A$1,1),0))*F50,2),"")</f>
        <v>173</v>
      </c>
      <c r="I50" s="49"/>
      <c r="J50" s="50"/>
      <c r="K50" s="152">
        <f t="shared" si="1"/>
        <v>0</v>
      </c>
      <c r="L50" s="15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51"/>
      <c r="N50" s="74"/>
      <c r="O50" s="149"/>
      <c r="P50" s="149"/>
      <c r="Q50" s="149"/>
      <c r="R50" s="149"/>
      <c r="S50" s="149"/>
      <c r="T50" s="149"/>
      <c r="U50" s="149"/>
      <c r="V50" s="149"/>
    </row>
    <row r="51" spans="1:22" ht="22" customHeight="1">
      <c r="A51" s="151" t="s">
        <v>122</v>
      </c>
      <c r="B51" s="102">
        <v>402000</v>
      </c>
      <c r="C51" s="53" t="s">
        <v>298</v>
      </c>
      <c r="D51" s="57">
        <v>46143</v>
      </c>
      <c r="E51" s="55" t="s">
        <v>2</v>
      </c>
      <c r="F51" s="56">
        <v>173</v>
      </c>
      <c r="G51" s="152">
        <f>IF(OR(E51="",F51=""),"",PID_KVLohnLookup($A$1,E51,F51,LOHNTABELLE!$H$4))</f>
        <v>2900</v>
      </c>
      <c r="H51" s="153">
        <f>IF(AND(ISNUMBER(D51),ISNUMBER(F51)),ROUNDDOWN(MIN(IF(OR(ISBLANK(I51),I51=""),EOMONTH(DATE(EINSTELLUNG!$C$35,$A$1,1),0),I51)-MAX(D51,DATE(EINSTELLUNG!$C$35,$A$1,1))+1)/DAY(EOMONTH(DATE(EINSTELLUNG!$C$35,$A$1,1),0))*F51,2),"")</f>
        <v>-121.1</v>
      </c>
      <c r="I51" s="57">
        <v>46305</v>
      </c>
      <c r="J51" s="58"/>
      <c r="K51" s="152">
        <f t="shared" si="1"/>
        <v>0</v>
      </c>
      <c r="L51" s="154"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59"/>
      <c r="N51" s="75" t="s">
        <v>195</v>
      </c>
    </row>
    <row r="52" spans="1:22" ht="22" customHeight="1">
      <c r="A52" s="151" t="s">
        <v>123</v>
      </c>
      <c r="B52" s="101">
        <v>402004</v>
      </c>
      <c r="C52" s="45" t="s">
        <v>299</v>
      </c>
      <c r="D52" s="49">
        <v>46122</v>
      </c>
      <c r="E52" s="47" t="s">
        <v>2</v>
      </c>
      <c r="F52" s="48">
        <v>173</v>
      </c>
      <c r="G52" s="152">
        <f>IF(OR(E52="",F52=""),"",PID_KVLohnLookup($A$1,E52,F52,LOHNTABELLE!$H$4))</f>
        <v>2900</v>
      </c>
      <c r="H52" s="153">
        <f>IF(AND(ISNUMBER(D52),ISNUMBER(F52)),ROUNDDOWN(MIN(IF(OR(ISBLANK(I52),I52=""),EOMONTH(DATE(EINSTELLUNG!$C$35,$A$1,1),0),I52)-MAX(D52,DATE(EINSTELLUNG!$C$35,$A$1,1))+1)/DAY(EOMONTH(DATE(EINSTELLUNG!$C$35,$A$1,1),0))*F52,2),"")</f>
        <v>173</v>
      </c>
      <c r="I52" s="49"/>
      <c r="J52" s="50"/>
      <c r="K52" s="152">
        <f t="shared" si="1"/>
        <v>0</v>
      </c>
      <c r="L52" s="15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51"/>
      <c r="N52" s="74"/>
    </row>
    <row r="53" spans="1:22" ht="22" customHeight="1">
      <c r="A53" s="151" t="s">
        <v>124</v>
      </c>
      <c r="B53" s="102">
        <v>402405</v>
      </c>
      <c r="C53" s="53" t="s">
        <v>301</v>
      </c>
      <c r="D53" s="57">
        <v>46054</v>
      </c>
      <c r="E53" s="55" t="s">
        <v>2</v>
      </c>
      <c r="F53" s="56">
        <v>173</v>
      </c>
      <c r="G53" s="152">
        <f>IF(OR(E53="",F53=""),"",PID_KVLohnLookup($A$1,E53,F53,LOHNTABELLE!$H$4))</f>
        <v>2900</v>
      </c>
      <c r="H53" s="153">
        <f>IF(AND(ISNUMBER(D53),ISNUMBER(F53)),ROUNDDOWN(MIN(IF(OR(ISBLANK(I53),I53=""),EOMONTH(DATE(EINSTELLUNG!$C$35,$A$1,1),0),I53)-MAX(D53,DATE(EINSTELLUNG!$C$35,$A$1,1))+1)/DAY(EOMONTH(DATE(EINSTELLUNG!$C$35,$A$1,1),0))*F53,2),"")</f>
        <v>-121.1</v>
      </c>
      <c r="I53" s="57">
        <v>46305</v>
      </c>
      <c r="J53" s="58">
        <v>2</v>
      </c>
      <c r="K53" s="152">
        <f t="shared" si="1"/>
        <v>207.14285714285714</v>
      </c>
      <c r="L53" s="154" t="str">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
      </c>
      <c r="M53" s="59"/>
      <c r="N53" s="75" t="s">
        <v>195</v>
      </c>
    </row>
    <row r="54" spans="1:22" ht="22" customHeight="1">
      <c r="A54" s="151" t="s">
        <v>125</v>
      </c>
      <c r="B54" s="101">
        <v>500600</v>
      </c>
      <c r="C54" s="45" t="s">
        <v>305</v>
      </c>
      <c r="D54" s="49">
        <v>46054</v>
      </c>
      <c r="E54" s="47" t="s">
        <v>2</v>
      </c>
      <c r="F54" s="48">
        <v>173</v>
      </c>
      <c r="G54" s="152">
        <f>IF(OR(E54="",F54=""),"",PID_KVLohnLookup($A$1,E54,F54,LOHNTABELLE!$H$4))</f>
        <v>2900</v>
      </c>
      <c r="H54" s="153">
        <f>IF(AND(ISNUMBER(D54),ISNUMBER(F54)),ROUNDDOWN(MIN(IF(OR(ISBLANK(I54),I54=""),EOMONTH(DATE(EINSTELLUNG!$C$35,$A$1,1),0),I54)-MAX(D54,DATE(EINSTELLUNG!$C$35,$A$1,1))+1)/DAY(EOMONTH(DATE(EINSTELLUNG!$C$35,$A$1,1),0))*F54,2),"")</f>
        <v>173</v>
      </c>
      <c r="I54" s="49"/>
      <c r="J54" s="50"/>
      <c r="K54" s="152">
        <f t="shared" si="1"/>
        <v>0</v>
      </c>
      <c r="L54" s="15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51"/>
      <c r="N54" s="74"/>
    </row>
    <row r="55" spans="1:22" ht="22" customHeight="1">
      <c r="A55" s="151" t="s">
        <v>126</v>
      </c>
      <c r="B55" s="102">
        <v>502000</v>
      </c>
      <c r="C55" s="53" t="s">
        <v>300</v>
      </c>
      <c r="D55" s="57">
        <v>46147</v>
      </c>
      <c r="E55" s="55" t="s">
        <v>2</v>
      </c>
      <c r="F55" s="56">
        <v>173</v>
      </c>
      <c r="G55" s="152">
        <f>IF(OR(E55="",F55=""),"",PID_KVLohnLookup($A$1,E55,F55,LOHNTABELLE!$H$4))</f>
        <v>2900</v>
      </c>
      <c r="H55" s="153">
        <f>IF(AND(ISNUMBER(D55),ISNUMBER(F55)),ROUNDDOWN(MIN(IF(OR(ISBLANK(I55),I55=""),EOMONTH(DATE(EINSTELLUNG!$C$35,$A$1,1),0),I55)-MAX(D55,DATE(EINSTELLUNG!$C$35,$A$1,1))+1)/DAY(EOMONTH(DATE(EINSTELLUNG!$C$35,$A$1,1),0))*F55,2),"")</f>
        <v>173</v>
      </c>
      <c r="I55" s="57"/>
      <c r="J55" s="58"/>
      <c r="K55" s="152">
        <f t="shared" si="1"/>
        <v>0</v>
      </c>
      <c r="L55" s="15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9"/>
      <c r="N55" s="75"/>
    </row>
    <row r="56" spans="1:22" ht="22" customHeight="1">
      <c r="A56" s="151" t="s">
        <v>127</v>
      </c>
      <c r="B56" s="101">
        <v>503000</v>
      </c>
      <c r="C56" s="45" t="s">
        <v>302</v>
      </c>
      <c r="D56" s="49">
        <v>42401</v>
      </c>
      <c r="E56" s="47" t="s">
        <v>2</v>
      </c>
      <c r="F56" s="48">
        <v>173</v>
      </c>
      <c r="G56" s="152">
        <f>IF(OR(E56="",F56=""),"",PID_KVLohnLookup($A$1,E56,F56,LOHNTABELLE!$H$4))</f>
        <v>2900</v>
      </c>
      <c r="H56" s="153">
        <f>IF(AND(ISNUMBER(D56),ISNUMBER(F56)),ROUNDDOWN(MIN(IF(OR(ISBLANK(I56),I56=""),EOMONTH(DATE(EINSTELLUNG!$C$35,$A$1,1),0),I56)-MAX(D56,DATE(EINSTELLUNG!$C$35,$A$1,1))+1)/DAY(EOMONTH(DATE(EINSTELLUNG!$C$35,$A$1,1),0))*F56,2),"")</f>
        <v>173</v>
      </c>
      <c r="I56" s="49"/>
      <c r="J56" s="50"/>
      <c r="K56" s="152">
        <f t="shared" si="1"/>
        <v>0</v>
      </c>
      <c r="L56" s="15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2900</v>
      </c>
      <c r="M56" s="51"/>
      <c r="N56" s="74"/>
    </row>
    <row r="57" spans="1:22" ht="22" customHeight="1">
      <c r="A57" s="151" t="s">
        <v>128</v>
      </c>
      <c r="B57" s="102">
        <v>504000</v>
      </c>
      <c r="C57" s="53" t="s">
        <v>303</v>
      </c>
      <c r="D57" s="57">
        <v>46054</v>
      </c>
      <c r="E57" s="55" t="s">
        <v>3</v>
      </c>
      <c r="F57" s="56">
        <v>138.4</v>
      </c>
      <c r="G57" s="152">
        <f>IF(OR(E57="",F57=""),"",PID_KVLohnLookup($A$1,E57,F57,LOHNTABELLE!$H$4))</f>
        <v>1665.6</v>
      </c>
      <c r="H57" s="153">
        <f>IF(AND(ISNUMBER(D57),ISNUMBER(F57)),ROUNDDOWN(MIN(IF(OR(ISBLANK(I57),I57=""),EOMONTH(DATE(EINSTELLUNG!$C$35,$A$1,1),0),I57)-MAX(D57,DATE(EINSTELLUNG!$C$35,$A$1,1))+1)/DAY(EOMONTH(DATE(EINSTELLUNG!$C$35,$A$1,1),0))*F57,2),"")</f>
        <v>138.4</v>
      </c>
      <c r="I57" s="57"/>
      <c r="J57" s="58"/>
      <c r="K57" s="152">
        <f t="shared" si="1"/>
        <v>0</v>
      </c>
      <c r="L57" s="15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1665.6</v>
      </c>
      <c r="M57" s="59"/>
      <c r="N57" s="75"/>
    </row>
    <row r="58" spans="1:22" ht="22" customHeight="1">
      <c r="A58" s="151" t="s">
        <v>129</v>
      </c>
      <c r="B58" s="101">
        <v>505000</v>
      </c>
      <c r="C58" s="45" t="s">
        <v>304</v>
      </c>
      <c r="D58" s="49">
        <v>46054</v>
      </c>
      <c r="E58" s="47" t="s">
        <v>2</v>
      </c>
      <c r="F58" s="48">
        <v>138.4</v>
      </c>
      <c r="G58" s="152">
        <f>IF(OR(E58="",F58=""),"",PID_KVLohnLookup($A$1,E58,F58,LOHNTABELLE!$H$4))</f>
        <v>2400</v>
      </c>
      <c r="H58" s="153">
        <f>IF(AND(ISNUMBER(D58),ISNUMBER(F58)),ROUNDDOWN(MIN(IF(OR(ISBLANK(I58),I58=""),EOMONTH(DATE(EINSTELLUNG!$C$35,$A$1,1),0),I58)-MAX(D58,DATE(EINSTELLUNG!$C$35,$A$1,1))+1)/DAY(EOMONTH(DATE(EINSTELLUNG!$C$35,$A$1,1),0))*F58,2),"")</f>
        <v>138.4</v>
      </c>
      <c r="I58" s="49"/>
      <c r="J58" s="50"/>
      <c r="K58" s="152">
        <f t="shared" si="1"/>
        <v>0</v>
      </c>
      <c r="L58" s="15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2400</v>
      </c>
      <c r="M58" s="51"/>
      <c r="N58" s="74"/>
    </row>
    <row r="59" spans="1:22" ht="22" customHeight="1">
      <c r="A59" s="151" t="s">
        <v>130</v>
      </c>
      <c r="B59" s="102">
        <v>525025</v>
      </c>
      <c r="C59" s="53" t="s">
        <v>359</v>
      </c>
      <c r="D59" s="57">
        <v>46040</v>
      </c>
      <c r="E59" s="55" t="s">
        <v>2</v>
      </c>
      <c r="F59" s="56">
        <v>129.75</v>
      </c>
      <c r="G59" s="152">
        <f>IF(OR(E59="",F59=""),"",PID_KVLohnLookup($A$1,E59,F59,LOHNTABELLE!$H$4))</f>
        <v>2300</v>
      </c>
      <c r="H59" s="153">
        <f>IF(AND(ISNUMBER(D59),ISNUMBER(F59)),ROUNDDOWN(MIN(IF(OR(ISBLANK(I59),I59=""),EOMONTH(DATE(EINSTELLUNG!$C$35,$A$1,1),0),I59)-MAX(D59,DATE(EINSTELLUNG!$C$35,$A$1,1))+1)/DAY(EOMONTH(DATE(EINSTELLUNG!$C$35,$A$1,1),0))*F59,2),"")</f>
        <v>129.75</v>
      </c>
      <c r="I59" s="57"/>
      <c r="J59" s="58"/>
      <c r="K59" s="152">
        <f t="shared" si="1"/>
        <v>0</v>
      </c>
      <c r="L59" s="15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2300</v>
      </c>
      <c r="M59" s="59"/>
      <c r="N59" s="75"/>
    </row>
    <row r="60" spans="1:22" ht="22" customHeight="1">
      <c r="A60" s="151" t="s">
        <v>131</v>
      </c>
      <c r="B60" s="101">
        <v>700000</v>
      </c>
      <c r="C60" s="45" t="s">
        <v>312</v>
      </c>
      <c r="D60" s="49">
        <v>46054</v>
      </c>
      <c r="E60" s="47" t="s">
        <v>2</v>
      </c>
      <c r="F60" s="48">
        <v>173</v>
      </c>
      <c r="G60" s="152">
        <f>IF(OR(E60="",F60=""),"",PID_KVLohnLookup($A$1,E60,F60,LOHNTABELLE!$H$4))</f>
        <v>2900</v>
      </c>
      <c r="H60" s="153">
        <f>IF(AND(ISNUMBER(D60),ISNUMBER(F60)),ROUNDDOWN(MIN(IF(OR(ISBLANK(I60),I60=""),EOMONTH(DATE(EINSTELLUNG!$C$35,$A$1,1),0),I60)-MAX(D60,DATE(EINSTELLUNG!$C$35,$A$1,1))+1)/DAY(EOMONTH(DATE(EINSTELLUNG!$C$35,$A$1,1),0))*F60,2),"")</f>
        <v>173</v>
      </c>
      <c r="I60" s="49"/>
      <c r="J60" s="50"/>
      <c r="K60" s="152">
        <f t="shared" si="1"/>
        <v>0</v>
      </c>
      <c r="L60" s="15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2900</v>
      </c>
      <c r="M60" s="51"/>
      <c r="N60" s="74"/>
    </row>
    <row r="61" spans="1:22" ht="22" customHeight="1">
      <c r="A61" s="151" t="s">
        <v>132</v>
      </c>
      <c r="B61" s="102">
        <v>800000</v>
      </c>
      <c r="C61" s="53" t="s">
        <v>313</v>
      </c>
      <c r="D61" s="57">
        <v>46096</v>
      </c>
      <c r="E61" s="55" t="s">
        <v>2</v>
      </c>
      <c r="F61" s="56">
        <v>166</v>
      </c>
      <c r="G61" s="152">
        <f>IF(OR(E61="",F61=""),"",PID_KVLohnLookup($A$1,E61,F61,LOHNTABELLE!$H$4))</f>
        <v>2454</v>
      </c>
      <c r="H61" s="153">
        <f>IF(AND(ISNUMBER(D61),ISNUMBER(F61)),ROUNDDOWN(MIN(IF(OR(ISBLANK(I61),I61=""),EOMONTH(DATE(EINSTELLUNG!$C$35,$A$1,1),0),I61)-MAX(D61,DATE(EINSTELLUNG!$C$35,$A$1,1))+1)/DAY(EOMONTH(DATE(EINSTELLUNG!$C$35,$A$1,1),0))*F61,2),"")</f>
        <v>166</v>
      </c>
      <c r="I61" s="57"/>
      <c r="J61" s="58"/>
      <c r="K61" s="152">
        <f t="shared" si="1"/>
        <v>0</v>
      </c>
      <c r="L61" s="154">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2454</v>
      </c>
      <c r="M61" s="59"/>
      <c r="N61" s="75"/>
    </row>
    <row r="62" spans="1:22" ht="22" customHeight="1">
      <c r="A62" s="151" t="s">
        <v>133</v>
      </c>
      <c r="B62" s="101"/>
      <c r="C62" s="45"/>
      <c r="D62" s="49"/>
      <c r="E62" s="47"/>
      <c r="F62" s="48"/>
      <c r="G62" s="152" t="str">
        <f>IF(OR(E62="",F62=""),"",PID_KVLohnLookup($A$1,E62,F62,LOHNTABELLE!$H$4))</f>
        <v/>
      </c>
      <c r="H62" s="153" t="str">
        <f>IF(AND(ISNUMBER(D62),ISNUMBER(F62)),ROUNDDOWN(MIN(IF(OR(ISBLANK(I62),I62=""),EOMONTH(DATE(EINSTELLUNG!$C$35,$A$1,1),0),I62)-MAX(D62,DATE(EINSTELLUNG!$C$35,$A$1,1))+1)/DAY(EOMONTH(DATE(EINSTELLUNG!$C$35,$A$1,1),0))*F62,2),"")</f>
        <v/>
      </c>
      <c r="I62" s="49"/>
      <c r="J62" s="50"/>
      <c r="K62" s="152" t="str">
        <f t="shared" si="1"/>
        <v/>
      </c>
      <c r="L62" s="15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51"/>
      <c r="N62" s="74"/>
    </row>
    <row r="63" spans="1:22" ht="22" customHeight="1">
      <c r="A63" s="151" t="s">
        <v>134</v>
      </c>
      <c r="B63" s="102"/>
      <c r="C63" s="53"/>
      <c r="D63" s="57"/>
      <c r="E63" s="55"/>
      <c r="F63" s="56"/>
      <c r="G63" s="152" t="str">
        <f>IF(OR(E63="",F63=""),"",PID_KVLohnLookup($A$1,E63,F63,LOHNTABELLE!$H$4))</f>
        <v/>
      </c>
      <c r="H63" s="153" t="str">
        <f>IF(AND(ISNUMBER(D63),ISNUMBER(F63)),ROUNDDOWN(MIN(IF(OR(ISBLANK(I63),I63=""),EOMONTH(DATE(EINSTELLUNG!$C$35,$A$1,1),0),I63)-MAX(D63,DATE(EINSTELLUNG!$C$35,$A$1,1))+1)/DAY(EOMONTH(DATE(EINSTELLUNG!$C$35,$A$1,1),0))*F63,2),"")</f>
        <v/>
      </c>
      <c r="I63" s="57"/>
      <c r="J63" s="58"/>
      <c r="K63" s="152" t="str">
        <f t="shared" si="1"/>
        <v/>
      </c>
      <c r="L63" s="15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9"/>
      <c r="N63" s="75"/>
    </row>
    <row r="64" spans="1:22" ht="22" customHeight="1">
      <c r="A64" s="151" t="s">
        <v>135</v>
      </c>
      <c r="B64" s="101"/>
      <c r="C64" s="45"/>
      <c r="D64" s="49"/>
      <c r="E64" s="47"/>
      <c r="F64" s="48"/>
      <c r="G64" s="152" t="str">
        <f>IF(OR(E64="",F64=""),"",PID_KVLohnLookup($A$1,E64,F64,LOHNTABELLE!$H$4))</f>
        <v/>
      </c>
      <c r="H64" s="153" t="str">
        <f>IF(AND(ISNUMBER(D64),ISNUMBER(F64)),ROUNDDOWN(MIN(IF(OR(ISBLANK(I64),I64=""),EOMONTH(DATE(EINSTELLUNG!$C$35,$A$1,1),0),I64)-MAX(D64,DATE(EINSTELLUNG!$C$35,$A$1,1))+1)/DAY(EOMONTH(DATE(EINSTELLUNG!$C$35,$A$1,1),0))*F64,2),"")</f>
        <v/>
      </c>
      <c r="I64" s="49"/>
      <c r="J64" s="50"/>
      <c r="K64" s="152" t="str">
        <f t="shared" si="1"/>
        <v/>
      </c>
      <c r="L64" s="15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51"/>
      <c r="N64" s="74"/>
    </row>
    <row r="65" spans="1:14" ht="22" customHeight="1">
      <c r="A65" s="151" t="s">
        <v>136</v>
      </c>
      <c r="B65" s="102"/>
      <c r="C65" s="53"/>
      <c r="D65" s="57"/>
      <c r="E65" s="55"/>
      <c r="F65" s="56"/>
      <c r="G65" s="152" t="str">
        <f>IF(OR(E65="",F65=""),"",PID_KVLohnLookup($A$1,E65,F65,LOHNTABELLE!$H$4))</f>
        <v/>
      </c>
      <c r="H65" s="153" t="str">
        <f>IF(AND(ISNUMBER(D65),ISNUMBER(F65)),ROUNDDOWN(MIN(IF(OR(ISBLANK(I65),I65=""),EOMONTH(DATE(EINSTELLUNG!$C$35,$A$1,1),0),I65)-MAX(D65,DATE(EINSTELLUNG!$C$35,$A$1,1))+1)/DAY(EOMONTH(DATE(EINSTELLUNG!$C$35,$A$1,1),0))*F65,2),"")</f>
        <v/>
      </c>
      <c r="I65" s="57"/>
      <c r="J65" s="58"/>
      <c r="K65" s="152" t="str">
        <f t="shared" si="1"/>
        <v/>
      </c>
      <c r="L65" s="15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9"/>
      <c r="N65" s="75"/>
    </row>
    <row r="66" spans="1:14" ht="22" customHeight="1">
      <c r="A66" s="151" t="s">
        <v>137</v>
      </c>
      <c r="B66" s="101"/>
      <c r="C66" s="45"/>
      <c r="D66" s="49"/>
      <c r="E66" s="47"/>
      <c r="F66" s="48"/>
      <c r="G66" s="152" t="str">
        <f>IF(OR(E66="",F66=""),"",PID_KVLohnLookup($A$1,E66,F66,LOHNTABELLE!$H$4))</f>
        <v/>
      </c>
      <c r="H66" s="153" t="str">
        <f>IF(AND(ISNUMBER(D66),ISNUMBER(F66)),ROUNDDOWN(MIN(IF(OR(ISBLANK(I66),I66=""),EOMONTH(DATE(EINSTELLUNG!$C$35,$A$1,1),0),I66)-MAX(D66,DATE(EINSTELLUNG!$C$35,$A$1,1))+1)/DAY(EOMONTH(DATE(EINSTELLUNG!$C$35,$A$1,1),0))*F66,2),"")</f>
        <v/>
      </c>
      <c r="I66" s="49"/>
      <c r="J66" s="50"/>
      <c r="K66" s="152" t="str">
        <f t="shared" si="1"/>
        <v/>
      </c>
      <c r="L66" s="15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51"/>
      <c r="N66" s="74"/>
    </row>
    <row r="67" spans="1:14" ht="22" customHeight="1">
      <c r="A67" s="151" t="s">
        <v>138</v>
      </c>
      <c r="B67" s="102"/>
      <c r="C67" s="53"/>
      <c r="D67" s="57"/>
      <c r="E67" s="55"/>
      <c r="F67" s="56"/>
      <c r="G67" s="152" t="str">
        <f>IF(OR(E67="",F67=""),"",PID_KVLohnLookup($A$1,E67,F67,LOHNTABELLE!$H$4))</f>
        <v/>
      </c>
      <c r="H67" s="153" t="str">
        <f>IF(AND(ISNUMBER(D67),ISNUMBER(F67)),ROUNDDOWN(MIN(IF(OR(ISBLANK(I67),I67=""),EOMONTH(DATE(EINSTELLUNG!$C$35,$A$1,1),0),I67)-MAX(D67,DATE(EINSTELLUNG!$C$35,$A$1,1))+1)/DAY(EOMONTH(DATE(EINSTELLUNG!$C$35,$A$1,1),0))*F67,2),"")</f>
        <v/>
      </c>
      <c r="I67" s="57"/>
      <c r="J67" s="58"/>
      <c r="K67" s="152" t="str">
        <f t="shared" ref="K67:K82" si="3">IF(OR(B67="",C67=""),"",IFERROR(IF(OR(MONTH(D67)=1,MONTH(D67)=3,MONTH(D67)=5,MONTH(D67)=7,MONTH(D67)=8,MONTH(D67)=10,MONTH(D67)=12),(G67/31)*J67,IF(OR(MONTH(D67)=4,MONTH(D67)=6,MONTH(D67)=9,MONTH(D67)=11),(G67/30)*J67,(G67/DAY(EOMONTH(D67,0)))*J67)),0))</f>
        <v/>
      </c>
      <c r="L67" s="15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9"/>
      <c r="N67" s="75"/>
    </row>
    <row r="68" spans="1:14" ht="22" customHeight="1">
      <c r="A68" s="151" t="s">
        <v>139</v>
      </c>
      <c r="B68" s="101"/>
      <c r="C68" s="45"/>
      <c r="D68" s="49"/>
      <c r="E68" s="47"/>
      <c r="F68" s="48"/>
      <c r="G68" s="152" t="str">
        <f>IF(OR(E68="",F68=""),"",PID_KVLohnLookup($A$1,E68,F68,LOHNTABELLE!$H$4))</f>
        <v/>
      </c>
      <c r="H68" s="153" t="str">
        <f>IF(AND(ISNUMBER(D68),ISNUMBER(F68)),ROUNDDOWN(MIN(IF(OR(ISBLANK(I68),I68=""),EOMONTH(DATE(EINSTELLUNG!$C$35,$A$1,1),0),I68)-MAX(D68,DATE(EINSTELLUNG!$C$35,$A$1,1))+1)/DAY(EOMONTH(DATE(EINSTELLUNG!$C$35,$A$1,1),0))*F68,2),"")</f>
        <v/>
      </c>
      <c r="I68" s="49"/>
      <c r="J68" s="50"/>
      <c r="K68" s="152" t="str">
        <f t="shared" si="3"/>
        <v/>
      </c>
      <c r="L68" s="15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51"/>
      <c r="N68" s="74"/>
    </row>
    <row r="69" spans="1:14" ht="22" customHeight="1">
      <c r="A69" s="151" t="s">
        <v>140</v>
      </c>
      <c r="B69" s="102"/>
      <c r="C69" s="53"/>
      <c r="D69" s="57"/>
      <c r="E69" s="55"/>
      <c r="F69" s="56"/>
      <c r="G69" s="152" t="str">
        <f>IF(OR(E69="",F69=""),"",PID_KVLohnLookup($A$1,E69,F69,LOHNTABELLE!$H$4))</f>
        <v/>
      </c>
      <c r="H69" s="153" t="str">
        <f>IF(AND(ISNUMBER(D69),ISNUMBER(F69)),ROUNDDOWN(MIN(IF(OR(ISBLANK(I69),I69=""),EOMONTH(DATE(EINSTELLUNG!$C$35,$A$1,1),0),I69)-MAX(D69,DATE(EINSTELLUNG!$C$35,$A$1,1))+1)/DAY(EOMONTH(DATE(EINSTELLUNG!$C$35,$A$1,1),0))*F69,2),"")</f>
        <v/>
      </c>
      <c r="I69" s="57"/>
      <c r="J69" s="58"/>
      <c r="K69" s="152" t="str">
        <f t="shared" si="3"/>
        <v/>
      </c>
      <c r="L69" s="15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9"/>
      <c r="N69" s="75"/>
    </row>
    <row r="70" spans="1:14" ht="22" customHeight="1">
      <c r="A70" s="151" t="s">
        <v>141</v>
      </c>
      <c r="B70" s="101"/>
      <c r="C70" s="45"/>
      <c r="D70" s="49"/>
      <c r="E70" s="47"/>
      <c r="F70" s="48"/>
      <c r="G70" s="152" t="str">
        <f>IF(OR(E70="",F70=""),"",PID_KVLohnLookup($A$1,E70,F70,LOHNTABELLE!$H$4))</f>
        <v/>
      </c>
      <c r="H70" s="153" t="str">
        <f>IF(AND(ISNUMBER(D70),ISNUMBER(F70)),ROUNDDOWN(MIN(IF(OR(ISBLANK(I70),I70=""),EOMONTH(DATE(EINSTELLUNG!$C$35,$A$1,1),0),I70)-MAX(D70,DATE(EINSTELLUNG!$C$35,$A$1,1))+1)/DAY(EOMONTH(DATE(EINSTELLUNG!$C$35,$A$1,1),0))*F70,2),"")</f>
        <v/>
      </c>
      <c r="I70" s="49"/>
      <c r="J70" s="50"/>
      <c r="K70" s="152" t="str">
        <f t="shared" si="3"/>
        <v/>
      </c>
      <c r="L70" s="15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51"/>
      <c r="N70" s="74"/>
    </row>
    <row r="71" spans="1:14" ht="22" customHeight="1">
      <c r="A71" s="151" t="s">
        <v>142</v>
      </c>
      <c r="B71" s="102"/>
      <c r="C71" s="53"/>
      <c r="D71" s="57"/>
      <c r="E71" s="55"/>
      <c r="F71" s="56"/>
      <c r="G71" s="152" t="str">
        <f>IF(OR(E71="",F71=""),"",PID_KVLohnLookup($A$1,E71,F71,LOHNTABELLE!$H$4))</f>
        <v/>
      </c>
      <c r="H71" s="153" t="str">
        <f>IF(AND(ISNUMBER(D71),ISNUMBER(F71)),ROUNDDOWN(MIN(IF(OR(ISBLANK(I71),I71=""),EOMONTH(DATE(EINSTELLUNG!$C$35,$A$1,1),0),I71)-MAX(D71,DATE(EINSTELLUNG!$C$35,$A$1,1))+1)/DAY(EOMONTH(DATE(EINSTELLUNG!$C$35,$A$1,1),0))*F71,2),"")</f>
        <v/>
      </c>
      <c r="I71" s="57"/>
      <c r="J71" s="58"/>
      <c r="K71" s="152" t="str">
        <f t="shared" si="3"/>
        <v/>
      </c>
      <c r="L71" s="15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9"/>
      <c r="N71" s="75"/>
    </row>
    <row r="72" spans="1:14" ht="22" customHeight="1">
      <c r="A72" s="151" t="s">
        <v>143</v>
      </c>
      <c r="B72" s="101"/>
      <c r="C72" s="45"/>
      <c r="D72" s="49"/>
      <c r="E72" s="47"/>
      <c r="F72" s="48"/>
      <c r="G72" s="152" t="str">
        <f>IF(OR(E72="",F72=""),"",PID_KVLohnLookup($A$1,E72,F72,LOHNTABELLE!$H$4))</f>
        <v/>
      </c>
      <c r="H72" s="153" t="str">
        <f>IF(AND(ISNUMBER(D72),ISNUMBER(F72)),ROUNDDOWN(MIN(IF(OR(ISBLANK(I72),I72=""),EOMONTH(DATE(EINSTELLUNG!$C$35,$A$1,1),0),I72)-MAX(D72,DATE(EINSTELLUNG!$C$35,$A$1,1))+1)/DAY(EOMONTH(DATE(EINSTELLUNG!$C$35,$A$1,1),0))*F72,2),"")</f>
        <v/>
      </c>
      <c r="I72" s="49"/>
      <c r="J72" s="50"/>
      <c r="K72" s="152" t="str">
        <f t="shared" si="3"/>
        <v/>
      </c>
      <c r="L72" s="15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51"/>
      <c r="N72" s="74"/>
    </row>
    <row r="73" spans="1:14" ht="22" customHeight="1">
      <c r="A73" s="151" t="s">
        <v>144</v>
      </c>
      <c r="B73" s="102"/>
      <c r="C73" s="53"/>
      <c r="D73" s="57"/>
      <c r="E73" s="55"/>
      <c r="F73" s="56"/>
      <c r="G73" s="152" t="str">
        <f>IF(OR(E73="",F73=""),"",PID_KVLohnLookup($A$1,E73,F73,LOHNTABELLE!$H$4))</f>
        <v/>
      </c>
      <c r="H73" s="153" t="str">
        <f>IF(AND(ISNUMBER(D73),ISNUMBER(F73)),ROUNDDOWN(MIN(IF(OR(ISBLANK(I73),I73=""),EOMONTH(DATE(EINSTELLUNG!$C$35,$A$1,1),0),I73)-MAX(D73,DATE(EINSTELLUNG!$C$35,$A$1,1))+1)/DAY(EOMONTH(DATE(EINSTELLUNG!$C$35,$A$1,1),0))*F73,2),"")</f>
        <v/>
      </c>
      <c r="I73" s="57"/>
      <c r="J73" s="58"/>
      <c r="K73" s="152" t="str">
        <f t="shared" si="3"/>
        <v/>
      </c>
      <c r="L73" s="15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9"/>
      <c r="N73" s="75"/>
    </row>
    <row r="74" spans="1:14" ht="22" customHeight="1">
      <c r="A74" s="151" t="s">
        <v>145</v>
      </c>
      <c r="B74" s="101"/>
      <c r="C74" s="45"/>
      <c r="D74" s="49"/>
      <c r="E74" s="47"/>
      <c r="F74" s="48"/>
      <c r="G74" s="152" t="str">
        <f>IF(OR(E74="",F74=""),"",PID_KVLohnLookup($A$1,E74,F74,LOHNTABELLE!$H$4))</f>
        <v/>
      </c>
      <c r="H74" s="153" t="str">
        <f>IF(AND(ISNUMBER(D74),ISNUMBER(F74)),ROUNDDOWN(MIN(IF(OR(ISBLANK(I74),I74=""),EOMONTH(DATE(EINSTELLUNG!$C$35,$A$1,1),0),I74)-MAX(D74,DATE(EINSTELLUNG!$C$35,$A$1,1))+1)/DAY(EOMONTH(DATE(EINSTELLUNG!$C$35,$A$1,1),0))*F74,2),"")</f>
        <v/>
      </c>
      <c r="I74" s="49"/>
      <c r="J74" s="50"/>
      <c r="K74" s="152" t="str">
        <f t="shared" si="3"/>
        <v/>
      </c>
      <c r="L74" s="15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51"/>
      <c r="N74" s="74"/>
    </row>
    <row r="75" spans="1:14" ht="22" customHeight="1">
      <c r="A75" s="151" t="s">
        <v>146</v>
      </c>
      <c r="B75" s="102"/>
      <c r="C75" s="53"/>
      <c r="D75" s="57"/>
      <c r="E75" s="55"/>
      <c r="F75" s="56"/>
      <c r="G75" s="152" t="str">
        <f>IF(OR(E75="",F75=""),"",PID_KVLohnLookup($A$1,E75,F75,LOHNTABELLE!$H$4))</f>
        <v/>
      </c>
      <c r="H75" s="153" t="str">
        <f>IF(AND(ISNUMBER(D75),ISNUMBER(F75)),ROUNDDOWN(MIN(IF(OR(ISBLANK(I75),I75=""),EOMONTH(DATE(EINSTELLUNG!$C$35,$A$1,1),0),I75)-MAX(D75,DATE(EINSTELLUNG!$C$35,$A$1,1))+1)/DAY(EOMONTH(DATE(EINSTELLUNG!$C$35,$A$1,1),0))*F75,2),"")</f>
        <v/>
      </c>
      <c r="I75" s="57"/>
      <c r="J75" s="58"/>
      <c r="K75" s="152" t="str">
        <f t="shared" si="3"/>
        <v/>
      </c>
      <c r="L75" s="15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9"/>
      <c r="N75" s="75"/>
    </row>
    <row r="76" spans="1:14" ht="22" customHeight="1">
      <c r="A76" s="151" t="s">
        <v>147</v>
      </c>
      <c r="B76" s="101"/>
      <c r="C76" s="45"/>
      <c r="D76" s="49"/>
      <c r="E76" s="47"/>
      <c r="F76" s="48"/>
      <c r="G76" s="152" t="str">
        <f>IF(OR(E76="",F76=""),"",PID_KVLohnLookup($A$1,E76,F76,LOHNTABELLE!$H$4))</f>
        <v/>
      </c>
      <c r="H76" s="153" t="str">
        <f>IF(AND(ISNUMBER(D76),ISNUMBER(F76)),ROUNDDOWN(MIN(IF(OR(ISBLANK(I76),I76=""),EOMONTH(DATE(EINSTELLUNG!$C$35,$A$1,1),0),I76)-MAX(D76,DATE(EINSTELLUNG!$C$35,$A$1,1))+1)/DAY(EOMONTH(DATE(EINSTELLUNG!$C$35,$A$1,1),0))*F76,2),"")</f>
        <v/>
      </c>
      <c r="I76" s="49"/>
      <c r="J76" s="50"/>
      <c r="K76" s="152" t="str">
        <f t="shared" si="3"/>
        <v/>
      </c>
      <c r="L76" s="15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51"/>
      <c r="N76" s="74"/>
    </row>
    <row r="77" spans="1:14" ht="22" customHeight="1">
      <c r="A77" s="151" t="s">
        <v>148</v>
      </c>
      <c r="B77" s="102"/>
      <c r="C77" s="53"/>
      <c r="D77" s="57"/>
      <c r="E77" s="55"/>
      <c r="F77" s="56"/>
      <c r="G77" s="152" t="str">
        <f>IF(OR(E77="",F77=""),"",PID_KVLohnLookup($A$1,E77,F77,LOHNTABELLE!$H$4))</f>
        <v/>
      </c>
      <c r="H77" s="153" t="str">
        <f>IF(AND(ISNUMBER(D77),ISNUMBER(F77)),ROUNDDOWN(MIN(IF(OR(ISBLANK(I77),I77=""),EOMONTH(DATE(EINSTELLUNG!$C$35,$A$1,1),0),I77)-MAX(D77,DATE(EINSTELLUNG!$C$35,$A$1,1))+1)/DAY(EOMONTH(DATE(EINSTELLUNG!$C$35,$A$1,1),0))*F77,2),"")</f>
        <v/>
      </c>
      <c r="I77" s="57"/>
      <c r="J77" s="58"/>
      <c r="K77" s="152" t="str">
        <f t="shared" si="3"/>
        <v/>
      </c>
      <c r="L77" s="15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9"/>
      <c r="N77" s="75"/>
    </row>
    <row r="78" spans="1:14" ht="22" customHeight="1">
      <c r="A78" s="151" t="s">
        <v>149</v>
      </c>
      <c r="B78" s="101"/>
      <c r="C78" s="45"/>
      <c r="D78" s="49"/>
      <c r="E78" s="47"/>
      <c r="F78" s="48"/>
      <c r="G78" s="152" t="str">
        <f>IF(OR(E78="",F78=""),"",PID_KVLohnLookup($A$1,E78,F78,LOHNTABELLE!$H$4))</f>
        <v/>
      </c>
      <c r="H78" s="153" t="str">
        <f>IF(AND(ISNUMBER(D78),ISNUMBER(F78)),ROUNDDOWN(MIN(IF(OR(ISBLANK(I78),I78=""),EOMONTH(DATE(EINSTELLUNG!$C$35,$A$1,1),0),I78)-MAX(D78,DATE(EINSTELLUNG!$C$35,$A$1,1))+1)/DAY(EOMONTH(DATE(EINSTELLUNG!$C$35,$A$1,1),0))*F78,2),"")</f>
        <v/>
      </c>
      <c r="I78" s="49"/>
      <c r="J78" s="50"/>
      <c r="K78" s="152" t="str">
        <f t="shared" si="3"/>
        <v/>
      </c>
      <c r="L78" s="15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51"/>
      <c r="N78" s="74"/>
    </row>
    <row r="79" spans="1:14" ht="22" customHeight="1">
      <c r="A79" s="151" t="s">
        <v>150</v>
      </c>
      <c r="B79" s="102"/>
      <c r="C79" s="53"/>
      <c r="D79" s="57"/>
      <c r="E79" s="55"/>
      <c r="F79" s="56"/>
      <c r="G79" s="152" t="str">
        <f>IF(OR(E79="",F79=""),"",PID_KVLohnLookup($A$1,E79,F79,LOHNTABELLE!$H$4))</f>
        <v/>
      </c>
      <c r="H79" s="153" t="str">
        <f>IF(AND(ISNUMBER(D79),ISNUMBER(F79)),ROUNDDOWN(MIN(IF(OR(ISBLANK(I79),I79=""),EOMONTH(DATE(EINSTELLUNG!$C$35,$A$1,1),0),I79)-MAX(D79,DATE(EINSTELLUNG!$C$35,$A$1,1))+1)/DAY(EOMONTH(DATE(EINSTELLUNG!$C$35,$A$1,1),0))*F79,2),"")</f>
        <v/>
      </c>
      <c r="I79" s="57"/>
      <c r="J79" s="58"/>
      <c r="K79" s="152" t="str">
        <f t="shared" si="3"/>
        <v/>
      </c>
      <c r="L79" s="15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9"/>
      <c r="N79" s="75"/>
    </row>
    <row r="80" spans="1:14" ht="22" customHeight="1">
      <c r="A80" s="151" t="s">
        <v>151</v>
      </c>
      <c r="B80" s="101"/>
      <c r="C80" s="45"/>
      <c r="D80" s="49"/>
      <c r="E80" s="47"/>
      <c r="F80" s="48"/>
      <c r="G80" s="152" t="str">
        <f>IF(OR(E80="",F80=""),"",PID_KVLohnLookup($A$1,E80,F80,LOHNTABELLE!$H$4))</f>
        <v/>
      </c>
      <c r="H80" s="153" t="str">
        <f>IF(AND(ISNUMBER(D80),ISNUMBER(F80)),ROUNDDOWN(MIN(IF(OR(ISBLANK(I80),I80=""),EOMONTH(DATE(EINSTELLUNG!$C$35,$A$1,1),0),I80)-MAX(D80,DATE(EINSTELLUNG!$C$35,$A$1,1))+1)/DAY(EOMONTH(DATE(EINSTELLUNG!$C$35,$A$1,1),0))*F80,2),"")</f>
        <v/>
      </c>
      <c r="I80" s="49"/>
      <c r="J80" s="50"/>
      <c r="K80" s="152" t="str">
        <f t="shared" si="3"/>
        <v/>
      </c>
      <c r="L80" s="15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51"/>
      <c r="N80" s="74"/>
    </row>
    <row r="81" spans="1:14" ht="22" customHeight="1">
      <c r="A81" s="151" t="s">
        <v>152</v>
      </c>
      <c r="B81" s="102"/>
      <c r="C81" s="53"/>
      <c r="D81" s="57"/>
      <c r="E81" s="55"/>
      <c r="F81" s="56"/>
      <c r="G81" s="152" t="str">
        <f>IF(OR(E81="",F81=""),"",PID_KVLohnLookup($A$1,E81,F81,LOHNTABELLE!$H$4))</f>
        <v/>
      </c>
      <c r="H81" s="153" t="str">
        <f>IF(AND(ISNUMBER(D81),ISNUMBER(F81)),ROUNDDOWN(MIN(IF(OR(ISBLANK(I81),I81=""),EOMONTH(DATE(EINSTELLUNG!$C$35,$A$1,1),0),I81)-MAX(D81,DATE(EINSTELLUNG!$C$35,$A$1,1))+1)/DAY(EOMONTH(DATE(EINSTELLUNG!$C$35,$A$1,1),0))*F81,2),"")</f>
        <v/>
      </c>
      <c r="I81" s="57"/>
      <c r="J81" s="58"/>
      <c r="K81" s="152" t="str">
        <f t="shared" si="3"/>
        <v/>
      </c>
      <c r="L81" s="15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9"/>
      <c r="N81" s="75"/>
    </row>
    <row r="82" spans="1:14" ht="22" customHeight="1" thickBot="1">
      <c r="A82" s="165" t="s">
        <v>153</v>
      </c>
      <c r="B82" s="103"/>
      <c r="C82" s="62"/>
      <c r="D82" s="63"/>
      <c r="E82" s="64"/>
      <c r="F82" s="65"/>
      <c r="G82" s="166" t="str">
        <f>IF(OR(E82="",F82=""),"",PID_KVLohnLookup($A$1,E82,F82,LOHNTABELLE!$H$4))</f>
        <v/>
      </c>
      <c r="H82" s="159" t="str">
        <f>IF(AND(ISNUMBER(D82),ISNUMBER(F82)),ROUNDDOWN(MIN(IF(OR(ISBLANK(I82),I82=""),EOMONTH(DATE(EINSTELLUNG!$C$35,$A$1,1),0),I82)-MAX(D82,DATE(EINSTELLUNG!$C$35,$A$1,1))+1)/DAY(EOMONTH(DATE(EINSTELLUNG!$C$35,$A$1,1),0))*F82,2),"")</f>
        <v/>
      </c>
      <c r="I82" s="63"/>
      <c r="J82" s="66"/>
      <c r="K82" s="166" t="str">
        <f t="shared" si="3"/>
        <v/>
      </c>
      <c r="L82" s="16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7"/>
      <c r="N82" s="78"/>
    </row>
    <row r="83" spans="1:14" ht="16" customHeight="1">
      <c r="A83" s="168"/>
      <c r="B83" s="168"/>
    </row>
    <row r="100" spans="26:26" ht="16" customHeight="1">
      <c r="Z100" s="142"/>
    </row>
  </sheetData>
  <sheetProtection algorithmName="SHA-512" hashValue="hy/7/U5Gk2JNIlgCu3HUk63mHTnPdVaQ3pmLfUWGAX1m4nzx76YVJtDON05N7FCld8bLW6n+JAiK1Tro7kDUPg==" saltValue="EDM3n791oh1k+52fod3ntQ==" spinCount="100000" sheet="1" objects="1" scenarios="1" sort="0" autoFilter="0"/>
  <sortState xmlns:xlrd2="http://schemas.microsoft.com/office/spreadsheetml/2017/richdata2" ref="B3:N82">
    <sortCondition ref="B3:B82"/>
    <sortCondition ref="C3:C82"/>
  </sortState>
  <mergeCells count="101">
    <mergeCell ref="L1:L2"/>
    <mergeCell ref="R3:R4"/>
    <mergeCell ref="O3:O4"/>
    <mergeCell ref="O44:V44"/>
    <mergeCell ref="O45:U45"/>
    <mergeCell ref="O42:P42"/>
    <mergeCell ref="O39:P39"/>
    <mergeCell ref="O40:P40"/>
    <mergeCell ref="O41:P41"/>
    <mergeCell ref="Q20:R20"/>
    <mergeCell ref="O16:R16"/>
    <mergeCell ref="Q17:R17"/>
    <mergeCell ref="O18:P18"/>
    <mergeCell ref="Q18:R18"/>
    <mergeCell ref="Q19:R19"/>
    <mergeCell ref="O20:P20"/>
    <mergeCell ref="O19:P19"/>
    <mergeCell ref="Q28:R28"/>
    <mergeCell ref="O21:P21"/>
    <mergeCell ref="Q21:R21"/>
    <mergeCell ref="O11:P11"/>
    <mergeCell ref="Q11:R11"/>
    <mergeCell ref="O12:P12"/>
    <mergeCell ref="Q12:R12"/>
    <mergeCell ref="O13:P13"/>
    <mergeCell ref="Q13:R13"/>
    <mergeCell ref="O14:P14"/>
    <mergeCell ref="Q14:R14"/>
    <mergeCell ref="O17:P17"/>
    <mergeCell ref="O28:P28"/>
    <mergeCell ref="O25:P25"/>
    <mergeCell ref="Q25:R25"/>
    <mergeCell ref="O26:P26"/>
    <mergeCell ref="Q26:R26"/>
    <mergeCell ref="Q27:R27"/>
    <mergeCell ref="O22:P22"/>
    <mergeCell ref="Q22:R22"/>
    <mergeCell ref="O23:P23"/>
    <mergeCell ref="Q23:R23"/>
    <mergeCell ref="O24:P24"/>
    <mergeCell ref="Q24:R24"/>
    <mergeCell ref="U33:V34"/>
    <mergeCell ref="Q35:R35"/>
    <mergeCell ref="S35:T35"/>
    <mergeCell ref="U35:V35"/>
    <mergeCell ref="O38:P38"/>
    <mergeCell ref="Q38:R38"/>
    <mergeCell ref="S38:T38"/>
    <mergeCell ref="O37:P37"/>
    <mergeCell ref="O35:P35"/>
    <mergeCell ref="O36:P36"/>
    <mergeCell ref="Q36:R36"/>
    <mergeCell ref="S36:T36"/>
    <mergeCell ref="Q42:V42"/>
    <mergeCell ref="Q40:R40"/>
    <mergeCell ref="Q41:R41"/>
    <mergeCell ref="O27:P27"/>
    <mergeCell ref="S40:T40"/>
    <mergeCell ref="U40:V40"/>
    <mergeCell ref="S41:T41"/>
    <mergeCell ref="U41:V41"/>
    <mergeCell ref="U38:V38"/>
    <mergeCell ref="S39:T39"/>
    <mergeCell ref="U39:V39"/>
    <mergeCell ref="Q39:R39"/>
    <mergeCell ref="S27:V27"/>
    <mergeCell ref="Q37:R37"/>
    <mergeCell ref="S37:T37"/>
    <mergeCell ref="U37:V37"/>
    <mergeCell ref="U36:V36"/>
    <mergeCell ref="O29:P29"/>
    <mergeCell ref="Q29:R29"/>
    <mergeCell ref="O31:P31"/>
    <mergeCell ref="Q31:R31"/>
    <mergeCell ref="O33:P34"/>
    <mergeCell ref="Q33:R34"/>
    <mergeCell ref="S33:T34"/>
    <mergeCell ref="N1:N2"/>
    <mergeCell ref="A1:A2"/>
    <mergeCell ref="O15:R15"/>
    <mergeCell ref="E1:E2"/>
    <mergeCell ref="F1:F2"/>
    <mergeCell ref="G1:G2"/>
    <mergeCell ref="H1:H2"/>
    <mergeCell ref="M1:M2"/>
    <mergeCell ref="S2:V2"/>
    <mergeCell ref="P3:P4"/>
    <mergeCell ref="O9:P9"/>
    <mergeCell ref="B1:B2"/>
    <mergeCell ref="Q9:R9"/>
    <mergeCell ref="O10:P10"/>
    <mergeCell ref="Q10:R10"/>
    <mergeCell ref="C1:C2"/>
    <mergeCell ref="D1:D2"/>
    <mergeCell ref="Q3:Q4"/>
    <mergeCell ref="O6:R6"/>
    <mergeCell ref="O8:P8"/>
    <mergeCell ref="Q8:R8"/>
    <mergeCell ref="I1:I2"/>
    <mergeCell ref="J1:J2"/>
    <mergeCell ref="K1:K2"/>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5426E3A-F9CB-174E-8DD2-CC083D4DC480}">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4B8BE77C-61E4-6C47-9383-C8BF71FB694D}">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71801B3A-A7DA-E84E-96D3-46F490D21BB3}">
          <x14:formula1>
            <xm:f>KV_DROPDOWN_HELPER!$AJY$1:$AJY$12</xm:f>
          </x14:formula1>
          <xm:sqref>E3:E82</xm:sqref>
        </x14:dataValidation>
        <x14:dataValidation type="list" allowBlank="1" showInputMessage="1" showErrorMessage="1" xr:uid="{9EB876F5-3459-1A4A-8F34-362E76CF498B}">
          <x14:formula1>
            <xm:f>KV_DROPDOWN_HELPER!$ADV$1:$ADV$13</xm:f>
          </x14:formula1>
          <xm:sqref>F4 F7</xm:sqref>
        </x14:dataValidation>
        <x14:dataValidation type="list" allowBlank="1" showInputMessage="1" showErrorMessage="1" xr:uid="{AC479EA4-395F-FB41-A1D7-44E8CB9BF5D0}">
          <x14:formula1>
            <xm:f>KV_DROPDOWN_HELPER!$ADW$1:$ADW$13</xm:f>
          </x14:formula1>
          <xm:sqref>F6 F8 F9 F10 F13 F18 F57</xm:sqref>
        </x14:dataValidation>
        <x14:dataValidation type="list" allowBlank="1" showInputMessage="1" showErrorMessage="1" xr:uid="{94D41361-8190-8947-9BCD-EE46293E65F0}">
          <x14:formula1>
            <xm:f>KV_DROPDOWN_HELPER!$ADZ$1:$ADZ$13</xm:f>
          </x14:formula1>
          <xm:sqref>F20</xm:sqref>
        </x14:dataValidation>
        <x14:dataValidation type="list" allowBlank="1" showInputMessage="1" showErrorMessage="1" xr:uid="{C6D38AB4-134A-214E-937E-97FC434F9F05}">
          <x14:formula1>
            <xm:f>KV_DROPDOWN_HELPER!$AEA$1:$AEA$13</xm:f>
          </x14:formula1>
          <xm:sqref>F62 F63 F64 F65 F66 F67 F68 F69 F70 F71 F72 F73 F74 F75 F76 F77 F78 F79 F80 F81 F82</xm:sqref>
        </x14:dataValidation>
        <x14:dataValidation type="list" allowBlank="1" showInputMessage="1" showErrorMessage="1" xr:uid="{AFE9BB50-6F88-4FF4-A6B1-2172C64B0071}">
          <x14:formula1>
            <xm:f>KV_DROPDOWN_HELPER!$ADY$1:$ADY$13</xm:f>
          </x14:formula1>
          <xm:sqref>F17</xm:sqref>
        </x14:dataValidation>
        <x14:dataValidation type="list" allowBlank="1" showInputMessage="1" showErrorMessage="1" xr:uid="{A23D871B-6977-4C25-A55C-D5F1DABCAAEA}">
          <x14:formula1>
            <xm:f>KV_DROPDOWN_HELPER!$ADU$1:$ADU$18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7A7E5196-949B-4B99-A74A-B0E1076B3390}">
          <x14:formula1>
            <xm:f>KV_DROPDOWN_HELPER!$ADX$1:$ADX$13</xm:f>
          </x14:formula1>
          <xm:sqref>F15 F21 F24 F26</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7E8AFE-F9CB-4D9D-AB8D-0FFBFF132FB3}">
  <sheetPr codeName="Tabelle14"/>
  <dimension ref="A1:AC100"/>
  <sheetViews>
    <sheetView showGridLines="0" showRowColHeaders="0" zoomScaleNormal="100" workbookViewId="0">
      <pane ySplit="2" topLeftCell="A29" activePane="bottomLeft" state="frozen"/>
      <selection activeCell="T24" sqref="T24"/>
      <selection pane="bottomLeft" sqref="A1:A2"/>
    </sheetView>
  </sheetViews>
  <sheetFormatPr baseColWidth="10" defaultColWidth="9.1796875" defaultRowHeight="16" customHeight="1"/>
  <cols>
    <col min="1" max="1" width="4.453125" style="169" customWidth="1"/>
    <col min="2" max="2" width="9.1796875" style="169" customWidth="1"/>
    <col min="3" max="3" width="35.6328125" style="141" customWidth="1"/>
    <col min="4" max="4" width="13.6328125" style="141" customWidth="1"/>
    <col min="5" max="5" width="9.6328125" style="141" customWidth="1"/>
    <col min="6" max="6" width="10.6328125" style="141" customWidth="1"/>
    <col min="7" max="7" width="13.6328125" style="141" customWidth="1"/>
    <col min="8" max="8" width="11.6328125" style="141" customWidth="1"/>
    <col min="9" max="10" width="13.6328125" style="141" customWidth="1"/>
    <col min="11" max="11" width="14.6328125" style="141" customWidth="1"/>
    <col min="12" max="12" width="14.6328125" style="162" customWidth="1"/>
    <col min="13" max="13" width="17.81640625" style="141" customWidth="1"/>
    <col min="14" max="14" width="34.6328125" style="141" customWidth="1"/>
    <col min="15" max="15" width="12.6328125" style="141" customWidth="1"/>
    <col min="16" max="16" width="16.6328125" style="141" customWidth="1"/>
    <col min="17" max="17" width="14.6328125" style="141" customWidth="1"/>
    <col min="18" max="18" width="13.6328125" style="141" customWidth="1"/>
    <col min="19" max="19" width="9.6328125" style="141" customWidth="1"/>
    <col min="20" max="20" width="10.6328125" style="141" customWidth="1"/>
    <col min="21" max="21" width="7.6328125" style="141" customWidth="1"/>
    <col min="22" max="27" width="9.1796875" style="141"/>
    <col min="28" max="28" width="10.6328125" style="141" bestFit="1" customWidth="1"/>
    <col min="29" max="16384" width="9.1796875" style="141"/>
  </cols>
  <sheetData>
    <row r="1" spans="1:28" ht="18" customHeight="1">
      <c r="A1" s="301">
        <v>12</v>
      </c>
      <c r="B1" s="304" t="s">
        <v>180</v>
      </c>
      <c r="C1" s="280" t="s">
        <v>39</v>
      </c>
      <c r="D1" s="280" t="s">
        <v>181</v>
      </c>
      <c r="E1" s="280" t="s">
        <v>0</v>
      </c>
      <c r="F1" s="280" t="s">
        <v>40</v>
      </c>
      <c r="G1" s="280" t="s">
        <v>41</v>
      </c>
      <c r="H1" s="280" t="s">
        <v>42</v>
      </c>
      <c r="I1" s="280" t="s">
        <v>182</v>
      </c>
      <c r="J1" s="280" t="s">
        <v>43</v>
      </c>
      <c r="K1" s="280" t="s">
        <v>44</v>
      </c>
      <c r="L1" s="280" t="s">
        <v>45</v>
      </c>
      <c r="M1" s="280" t="s">
        <v>46</v>
      </c>
      <c r="N1" s="282" t="s">
        <v>183</v>
      </c>
      <c r="AB1" s="143">
        <f>DATE(EINSTELLUNG!$C$35,$A$1,1)</f>
        <v>46357</v>
      </c>
    </row>
    <row r="2" spans="1:28" ht="18" customHeight="1" thickBot="1">
      <c r="A2" s="287"/>
      <c r="B2" s="305"/>
      <c r="C2" s="294"/>
      <c r="D2" s="294"/>
      <c r="E2" s="294"/>
      <c r="F2" s="294"/>
      <c r="G2" s="294"/>
      <c r="H2" s="294"/>
      <c r="I2" s="294"/>
      <c r="J2" s="294"/>
      <c r="K2" s="294"/>
      <c r="L2" s="294"/>
      <c r="M2" s="294"/>
      <c r="N2" s="298"/>
      <c r="O2" s="144"/>
      <c r="P2" s="144"/>
      <c r="Q2" s="144"/>
      <c r="S2" s="208" t="s">
        <v>394</v>
      </c>
      <c r="T2" s="208"/>
      <c r="U2" s="208"/>
      <c r="V2" s="208"/>
      <c r="AB2" s="143">
        <f>EOMONTH(DATE(EINSTELLUNG!$C$35,$A$1,1),0)</f>
        <v>46387</v>
      </c>
    </row>
    <row r="3" spans="1:28" ht="22" customHeight="1">
      <c r="A3" s="145" t="s">
        <v>401</v>
      </c>
      <c r="B3" s="100">
        <v>401010</v>
      </c>
      <c r="C3" s="37" t="s">
        <v>224</v>
      </c>
      <c r="D3" s="38">
        <v>39388</v>
      </c>
      <c r="E3" s="39" t="s">
        <v>2</v>
      </c>
      <c r="F3" s="68">
        <v>169</v>
      </c>
      <c r="G3" s="146">
        <f>IF(OR(E3="",F3=""),"",PID_KVLohnLookup($A$1,E3,F3,LOHNTABELLE!$H$4))</f>
        <v>2000</v>
      </c>
      <c r="H3" s="147">
        <f>IF(AND(ISNUMBER(D3),ISNUMBER(F3)),ROUNDDOWN(MIN(IF(OR(ISBLANK(I3),I3=""),EOMONTH(DATE(EINSTELLUNG!$C$35,$A$1,1),0),I3)-MAX(D3,DATE(EINSTELLUNG!$C$35,$A$1,1))+1)/DAY(EOMONTH(DATE(EINSTELLUNG!$C$35,$A$1,1),0))*F3,2),"")</f>
        <v>169</v>
      </c>
      <c r="I3" s="41"/>
      <c r="J3" s="42"/>
      <c r="K3" s="146">
        <f t="shared" ref="K3:K34" si="0">IF(OR(B3="",C3=""),"",IFERROR(IF(OR(MONTH(D3)=1,MONTH(D3)=3,MONTH(D3)=5,MONTH(D3)=7,MONTH(D3)=8,MONTH(D3)=10,MONTH(D3)=12),(G3/31)*J3,IF(OR(MONTH(D3)=4,MONTH(D3)=6,MONTH(D3)=9,MONTH(D3)=11),(G3/30)*J3,(G3/DAY(EOMONTH(D3,0)))*J3)),0))</f>
        <v>0</v>
      </c>
      <c r="L3" s="148">
        <f>IF(OR($B3=",$C3="),"",IF(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0,"",IFERROR(IF(OR(ISBLANK(D3),ISBLANK(F3),ISBLANK(G3),ISBLANK(K3)),0,IF(YEAR(D3)&lt;EINSTELLUNG!$C$35,IF(ISNUMBER(I3),IF(YEAR(I3)&lt;EINSTELLUNG!$C$35,0,IF(OR(YEAR(I3)&gt;EINSTELLUNG!$C$35,MONTH(I3)&gt;$A$1),G3,IF(MONTH(I3)&lt;$A$1,0,(G3/DAY(EOMONTH(DATE(EINSTELLUNG!$C$35,$A$1,1),0)))*DAY(I3)+K3))),G3+K3),IF(YEAR(D3)=EINSTELLUNG!$C$35,IF(MONTH(D3)&lt;$A$1,IF(ISNUMBER(I3),IF(YEAR(I3)&lt;EINSTELLUNG!$C$35,0,IF(OR(YEAR(I3)&gt;EINSTELLUNG!$C$35,MONTH(I3)&gt;$A$1),G3,IF(MONTH(I3)&lt;$A$1,0,(G3/DAY(EOMONTH(DATE(EINSTELLUNG!$C$35,$A$1,1),0)))*DAY(I3)+K3))),G3),IF(MONTH(D3)=$A$1,IF(ISNUMBER(I3),IF(OR(YEAR(I3)&gt;EINSTELLUNG!$C$35,MONTH(I3)&gt;$A$1),G3,(G3/DAY(EOMONTH(D3,0)))*(I3-D3+1)+K3),(G3/DAY(EOMONTH(D3,0)))*(DAY(EOMONTH(D3,0))-DAY(D3)+1)+K3),0)),0))),0)))</f>
        <v>2000</v>
      </c>
      <c r="M3" s="43"/>
      <c r="N3" s="73"/>
      <c r="O3" s="236" t="s">
        <v>47</v>
      </c>
      <c r="P3" s="236" t="s">
        <v>48</v>
      </c>
      <c r="Q3" s="236" t="s">
        <v>49</v>
      </c>
      <c r="R3" s="272" t="s">
        <v>50</v>
      </c>
      <c r="S3" s="149"/>
      <c r="T3" s="149"/>
      <c r="U3" s="149"/>
      <c r="V3" s="149"/>
      <c r="AB3" s="150"/>
    </row>
    <row r="4" spans="1:28" ht="22" customHeight="1">
      <c r="A4" s="151" t="s">
        <v>51</v>
      </c>
      <c r="B4" s="101">
        <v>401049</v>
      </c>
      <c r="C4" s="45" t="s">
        <v>225</v>
      </c>
      <c r="D4" s="46">
        <v>41130</v>
      </c>
      <c r="E4" s="47" t="s">
        <v>4</v>
      </c>
      <c r="F4" s="48">
        <v>173</v>
      </c>
      <c r="G4" s="152">
        <f>IF(OR(E4="",F4=""),"",PID_KVLohnLookup($A$1,E4,F4,LOHNTABELLE!$H$4))</f>
        <v>2123</v>
      </c>
      <c r="H4" s="153">
        <f>IF(AND(ISNUMBER(D4),ISNUMBER(F4)),ROUNDDOWN(MIN(IF(OR(ISBLANK(I4),I4=""),EOMONTH(DATE(EINSTELLUNG!$C$35,$A$1,1),0),I4)-MAX(D4,DATE(EINSTELLUNG!$C$35,$A$1,1))+1)/DAY(EOMONTH(DATE(EINSTELLUNG!$C$35,$A$1,1),0))*F4,2),"")</f>
        <v>173</v>
      </c>
      <c r="I4" s="49"/>
      <c r="J4" s="50"/>
      <c r="K4" s="152">
        <f t="shared" si="0"/>
        <v>0</v>
      </c>
      <c r="L4" s="154">
        <f>IF(OR($B4=",$C3="),"",IF(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0,"",IFERROR(IF(OR(ISBLANK(D4),ISBLANK(F4),ISBLANK(G4),ISBLANK(K4)),0,IF(YEAR(D4)&lt;EINSTELLUNG!$C$35,IF(ISNUMBER(I4),IF(YEAR(I4)&lt;EINSTELLUNG!$C$35,0,IF(OR(YEAR(I4)&gt;EINSTELLUNG!$C$35,MONTH(I4)&gt;$A$1),G4,IF(MONTH(I4)&lt;$A$1,0,(G4/DAY(EOMONTH(DATE(EINSTELLUNG!$C$35,$A$1,1),0)))*DAY(I4)+K4))),G4+K4),IF(YEAR(D4)=EINSTELLUNG!$C$35,IF(MONTH(D4)&lt;$A$1,IF(ISNUMBER(I4),IF(YEAR(I4)&lt;EINSTELLUNG!$C$35,0,IF(OR(YEAR(I4)&gt;EINSTELLUNG!$C$35,MONTH(I4)&gt;$A$1),G4,IF(MONTH(I4)&lt;$A$1,0,(G4/DAY(EOMONTH(DATE(EINSTELLUNG!$C$35,$A$1,1),0)))*DAY(I4)+K4))),G4),IF(MONTH(D4)=$A$1,IF(ISNUMBER(I4),IF(OR(YEAR(I4)&gt;EINSTELLUNG!$C$35,MONTH(I4)&gt;$A$1),G4,(G4/DAY(EOMONTH(D4,0)))*(I4-D4+1)+K4),(G4/DAY(EOMONTH(D4,0)))*(DAY(EOMONTH(D4,0))-DAY(D4)+1)+K4),0)),0))),0)))</f>
        <v>2123</v>
      </c>
      <c r="M4" s="51"/>
      <c r="N4" s="74"/>
      <c r="O4" s="237"/>
      <c r="P4" s="237"/>
      <c r="Q4" s="237"/>
      <c r="R4" s="273"/>
      <c r="S4" s="149"/>
      <c r="T4" s="149"/>
      <c r="U4" s="149"/>
      <c r="V4" s="149"/>
    </row>
    <row r="5" spans="1:28" ht="22" customHeight="1">
      <c r="A5" s="151" t="s">
        <v>52</v>
      </c>
      <c r="B5" s="102">
        <v>401051</v>
      </c>
      <c r="C5" s="53" t="s">
        <v>227</v>
      </c>
      <c r="D5" s="54">
        <v>41176</v>
      </c>
      <c r="E5" s="55" t="s">
        <v>2</v>
      </c>
      <c r="F5" s="56">
        <v>173</v>
      </c>
      <c r="G5" s="152">
        <f>IF(OR(E5="",F5=""),"",PID_KVLohnLookup($A$1,E5,F5,LOHNTABELLE!$H$4))</f>
        <v>2900</v>
      </c>
      <c r="H5" s="153">
        <f>IF(AND(ISNUMBER(D5),ISNUMBER(F5)),ROUNDDOWN(MIN(IF(OR(ISBLANK(I5),I5=""),EOMONTH(DATE(EINSTELLUNG!$C$35,$A$1,1),0),I5)-MAX(D5,DATE(EINSTELLUNG!$C$35,$A$1,1))+1)/DAY(EOMONTH(DATE(EINSTELLUNG!$C$35,$A$1,1),0))*F5,2),"")</f>
        <v>173</v>
      </c>
      <c r="I5" s="57"/>
      <c r="J5" s="58"/>
      <c r="K5" s="152">
        <f t="shared" si="0"/>
        <v>0</v>
      </c>
      <c r="L5" s="154">
        <f>IF(OR($B5=",$C3="),"",IF(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0,"",IFERROR(IF(OR(ISBLANK(D5),ISBLANK(F5),ISBLANK(G5),ISBLANK(K5)),0,IF(YEAR(D5)&lt;EINSTELLUNG!$C$35,IF(ISNUMBER(I5),IF(YEAR(I5)&lt;EINSTELLUNG!$C$35,0,IF(OR(YEAR(I5)&gt;EINSTELLUNG!$C$35,MONTH(I5)&gt;$A$1),G5,IF(MONTH(I5)&lt;$A$1,0,(G5/DAY(EOMONTH(DATE(EINSTELLUNG!$C$35,$A$1,1),0)))*DAY(I5)+K5))),G5+K5),IF(YEAR(D5)=EINSTELLUNG!$C$35,IF(MONTH(D5)&lt;$A$1,IF(ISNUMBER(I5),IF(YEAR(I5)&lt;EINSTELLUNG!$C$35,0,IF(OR(YEAR(I5)&gt;EINSTELLUNG!$C$35,MONTH(I5)&gt;$A$1),G5,IF(MONTH(I5)&lt;$A$1,0,(G5/DAY(EOMONTH(DATE(EINSTELLUNG!$C$35,$A$1,1),0)))*DAY(I5)+K5))),G5),IF(MONTH(D5)=$A$1,IF(ISNUMBER(I5),IF(OR(YEAR(I5)&gt;EINSTELLUNG!$C$35,MONTH(I5)&gt;$A$1),G5,(G5/DAY(EOMONTH(D5,0)))*(I5-D5+1)+K5),(G5/DAY(EOMONTH(D5,0)))*(DAY(EOMONTH(D5,0))-DAY(D5)+1)+K5),0)),0))),0)))</f>
        <v>2900</v>
      </c>
      <c r="M5" s="59"/>
      <c r="N5" s="75"/>
      <c r="O5" s="155" cm="1">
        <f t="array" ref="O5">SUMPRODUCT((F3:F82/4.310808)/5*2.08)</f>
        <v>810.93697515639758</v>
      </c>
      <c r="P5" s="156">
        <f>EINSTELLUNG!I17</f>
        <v>600</v>
      </c>
      <c r="Q5" s="156">
        <f>P5-O5</f>
        <v>-210.93697515639758</v>
      </c>
      <c r="R5" s="157">
        <f>IFERROR(Q5*Q42, 0)</f>
        <v>-3559.4084776502341</v>
      </c>
      <c r="S5" s="149"/>
      <c r="T5" s="149"/>
      <c r="U5" s="149"/>
      <c r="V5" s="149"/>
    </row>
    <row r="6" spans="1:28" ht="22" customHeight="1">
      <c r="A6" s="151" t="s">
        <v>53</v>
      </c>
      <c r="B6" s="101">
        <v>401089</v>
      </c>
      <c r="C6" s="45" t="s">
        <v>241</v>
      </c>
      <c r="D6" s="46">
        <v>44868</v>
      </c>
      <c r="E6" s="47" t="s">
        <v>3</v>
      </c>
      <c r="F6" s="48">
        <v>173</v>
      </c>
      <c r="G6" s="152">
        <f>IF(OR(E6="",F6=""),"",PID_KVLohnLookup($A$1,E6,F6,LOHNTABELLE!$H$4))</f>
        <v>2082</v>
      </c>
      <c r="H6" s="153">
        <f>IF(AND(ISNUMBER(D6),ISNUMBER(F6)),ROUNDDOWN(MIN(IF(OR(ISBLANK(I6),I6=""),EOMONTH(DATE(EINSTELLUNG!$C$35,$A$1,1),0),I6)-MAX(D6,DATE(EINSTELLUNG!$C$35,$A$1,1))+1)/DAY(EOMONTH(DATE(EINSTELLUNG!$C$35,$A$1,1),0))*F6,2),"")</f>
        <v>173</v>
      </c>
      <c r="I6" s="49"/>
      <c r="J6" s="50"/>
      <c r="K6" s="152">
        <f t="shared" si="0"/>
        <v>0</v>
      </c>
      <c r="L6" s="154">
        <f>IF(OR($B6=",$C3="),"",IF(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0,"",IFERROR(IF(OR(ISBLANK(D6),ISBLANK(F6),ISBLANK(G6),ISBLANK(K6)),0,IF(YEAR(D6)&lt;EINSTELLUNG!$C$35,IF(ISNUMBER(I6),IF(YEAR(I6)&lt;EINSTELLUNG!$C$35,0,IF(OR(YEAR(I6)&gt;EINSTELLUNG!$C$35,MONTH(I6)&gt;$A$1),G6,IF(MONTH(I6)&lt;$A$1,0,(G6/DAY(EOMONTH(DATE(EINSTELLUNG!$C$35,$A$1,1),0)))*DAY(I6)+K6))),G6+K6),IF(YEAR(D6)=EINSTELLUNG!$C$35,IF(MONTH(D6)&lt;$A$1,IF(ISNUMBER(I6),IF(YEAR(I6)&lt;EINSTELLUNG!$C$35,0,IF(OR(YEAR(I6)&gt;EINSTELLUNG!$C$35,MONTH(I6)&gt;$A$1),G6,IF(MONTH(I6)&lt;$A$1,0,(G6/DAY(EOMONTH(DATE(EINSTELLUNG!$C$35,$A$1,1),0)))*DAY(I6)+K6))),G6),IF(MONTH(D6)=$A$1,IF(ISNUMBER(I6),IF(OR(YEAR(I6)&gt;EINSTELLUNG!$C$35,MONTH(I6)&gt;$A$1),G6,(G6/DAY(EOMONTH(D6,0)))*(I6-D6+1)+K6),(G6/DAY(EOMONTH(D6,0)))*(DAY(EOMONTH(D6,0))-DAY(D6)+1)+K6),0)),0))),0)))</f>
        <v>2082</v>
      </c>
      <c r="M6" s="51"/>
      <c r="N6" s="74"/>
      <c r="O6" s="266" t="str">
        <f>IF(Q5&lt;0, "Schlecht! Zu wenig Urlaub abgebaut.", IF(Q5&gt;0, "Gut! Mehr Urlaub abgebaut als aufgebaut.", ""))</f>
        <v>Schlecht! Zu wenig Urlaub abgebaut.</v>
      </c>
      <c r="P6" s="267"/>
      <c r="Q6" s="267"/>
      <c r="R6" s="268"/>
      <c r="S6" s="149"/>
      <c r="T6" s="149"/>
      <c r="U6" s="149"/>
      <c r="V6" s="149"/>
    </row>
    <row r="7" spans="1:28" ht="22" customHeight="1" thickBot="1">
      <c r="A7" s="151" t="s">
        <v>54</v>
      </c>
      <c r="B7" s="102">
        <v>401138</v>
      </c>
      <c r="C7" s="53" t="s">
        <v>228</v>
      </c>
      <c r="D7" s="54">
        <v>42006</v>
      </c>
      <c r="E7" s="55" t="s">
        <v>4</v>
      </c>
      <c r="F7" s="56">
        <v>173</v>
      </c>
      <c r="G7" s="152">
        <f>IF(OR(E7="",F7=""),"",PID_KVLohnLookup($A$1,E7,F7,LOHNTABELLE!$H$4))</f>
        <v>2123</v>
      </c>
      <c r="H7" s="153">
        <f>IF(AND(ISNUMBER(D7),ISNUMBER(F7)),ROUNDDOWN(MIN(IF(OR(ISBLANK(I7),I7=""),EOMONTH(DATE(EINSTELLUNG!$C$35,$A$1,1),0),I7)-MAX(D7,DATE(EINSTELLUNG!$C$35,$A$1,1))+1)/DAY(EOMONTH(DATE(EINSTELLUNG!$C$35,$A$1,1),0))*F7,2),"")</f>
        <v>173</v>
      </c>
      <c r="I7" s="57"/>
      <c r="J7" s="58"/>
      <c r="K7" s="152">
        <f t="shared" si="0"/>
        <v>0</v>
      </c>
      <c r="L7" s="154">
        <f>IF(OR($B7=",$C3="),"",IF(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0,"",IFERROR(IF(OR(ISBLANK(D7),ISBLANK(F7),ISBLANK(G7),ISBLANK(K7)),0,IF(YEAR(D7)&lt;EINSTELLUNG!$C$35,IF(ISNUMBER(I7),IF(YEAR(I7)&lt;EINSTELLUNG!$C$35,0,IF(OR(YEAR(I7)&gt;EINSTELLUNG!$C$35,MONTH(I7)&gt;$A$1),G7,IF(MONTH(I7)&lt;$A$1,0,(G7/DAY(EOMONTH(DATE(EINSTELLUNG!$C$35,$A$1,1),0)))*DAY(I7)+K7))),G7+K7),IF(YEAR(D7)=EINSTELLUNG!$C$35,IF(MONTH(D7)&lt;$A$1,IF(ISNUMBER(I7),IF(YEAR(I7)&lt;EINSTELLUNG!$C$35,0,IF(OR(YEAR(I7)&gt;EINSTELLUNG!$C$35,MONTH(I7)&gt;$A$1),G7,IF(MONTH(I7)&lt;$A$1,0,(G7/DAY(EOMONTH(DATE(EINSTELLUNG!$C$35,$A$1,1),0)))*DAY(I7)+K7))),G7),IF(MONTH(D7)=$A$1,IF(ISNUMBER(I7),IF(OR(YEAR(I7)&gt;EINSTELLUNG!$C$35,MONTH(I7)&gt;$A$1),G7,(G7/DAY(EOMONTH(D7,0)))*(I7-D7+1)+K7),(G7/DAY(EOMONTH(D7,0)))*(DAY(EOMONTH(D7,0))-DAY(D7)+1)+K7),0)),0))),0)))</f>
        <v>2123</v>
      </c>
      <c r="M7" s="59"/>
      <c r="N7" s="75"/>
      <c r="O7" s="149"/>
      <c r="P7" s="149"/>
      <c r="Q7" s="149"/>
      <c r="R7" s="149"/>
      <c r="S7" s="149"/>
      <c r="T7" s="149"/>
      <c r="U7" s="149"/>
      <c r="V7" s="149"/>
    </row>
    <row r="8" spans="1:28" ht="22" customHeight="1">
      <c r="A8" s="151" t="s">
        <v>55</v>
      </c>
      <c r="B8" s="101">
        <v>401197</v>
      </c>
      <c r="C8" s="45" t="s">
        <v>229</v>
      </c>
      <c r="D8" s="46">
        <v>42644</v>
      </c>
      <c r="E8" s="47" t="s">
        <v>3</v>
      </c>
      <c r="F8" s="48">
        <v>173</v>
      </c>
      <c r="G8" s="152">
        <f>IF(OR(E8="",F8=""),"",PID_KVLohnLookup($A$1,E8,F8,LOHNTABELLE!$H$4))</f>
        <v>2082</v>
      </c>
      <c r="H8" s="153">
        <f>IF(AND(ISNUMBER(D8),ISNUMBER(F8)),ROUNDDOWN(MIN(IF(OR(ISBLANK(I8),I8=""),EOMONTH(DATE(EINSTELLUNG!$C$35,$A$1,1),0),I8)-MAX(D8,DATE(EINSTELLUNG!$C$35,$A$1,1))+1)/DAY(EOMONTH(DATE(EINSTELLUNG!$C$35,$A$1,1),0))*F8,2),"")</f>
        <v>173</v>
      </c>
      <c r="I8" s="49"/>
      <c r="J8" s="50"/>
      <c r="K8" s="152">
        <f t="shared" si="0"/>
        <v>0</v>
      </c>
      <c r="L8" s="154">
        <f>IF(OR($B8=",$C3="),"",IF(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0,"",IFERROR(IF(OR(ISBLANK(D8),ISBLANK(F8),ISBLANK(G8),ISBLANK(K8)),0,IF(YEAR(D8)&lt;EINSTELLUNG!$C$35,IF(ISNUMBER(I8),IF(YEAR(I8)&lt;EINSTELLUNG!$C$35,0,IF(OR(YEAR(I8)&gt;EINSTELLUNG!$C$35,MONTH(I8)&gt;$A$1),G8,IF(MONTH(I8)&lt;$A$1,0,(G8/DAY(EOMONTH(DATE(EINSTELLUNG!$C$35,$A$1,1),0)))*DAY(I8)+K8))),G8+K8),IF(YEAR(D8)=EINSTELLUNG!$C$35,IF(MONTH(D8)&lt;$A$1,IF(ISNUMBER(I8),IF(YEAR(I8)&lt;EINSTELLUNG!$C$35,0,IF(OR(YEAR(I8)&gt;EINSTELLUNG!$C$35,MONTH(I8)&gt;$A$1),G8,IF(MONTH(I8)&lt;$A$1,0,(G8/DAY(EOMONTH(DATE(EINSTELLUNG!$C$35,$A$1,1),0)))*DAY(I8)+K8))),G8),IF(MONTH(D8)=$A$1,IF(ISNUMBER(I8),IF(OR(YEAR(I8)&gt;EINSTELLUNG!$C$35,MONTH(I8)&gt;$A$1),G8,(G8/DAY(EOMONTH(D8,0)))*(I8-D8+1)+K8),(G8/DAY(EOMONTH(D8,0)))*(DAY(EOMONTH(D8,0))-DAY(D8)+1)+K8),0)),0))),0)))</f>
        <v>2082</v>
      </c>
      <c r="M8" s="51"/>
      <c r="N8" s="74"/>
      <c r="O8" s="250" t="s">
        <v>56</v>
      </c>
      <c r="P8" s="251"/>
      <c r="Q8" s="252">
        <f>SUM(H3:H82)</f>
        <v>7945.74</v>
      </c>
      <c r="R8" s="253"/>
      <c r="S8" s="149"/>
      <c r="T8" s="149"/>
      <c r="U8" s="149"/>
      <c r="V8" s="149"/>
    </row>
    <row r="9" spans="1:28" ht="22" customHeight="1">
      <c r="A9" s="151" t="s">
        <v>57</v>
      </c>
      <c r="B9" s="102">
        <v>401214</v>
      </c>
      <c r="C9" s="53" t="s">
        <v>255</v>
      </c>
      <c r="D9" s="54">
        <v>45636</v>
      </c>
      <c r="E9" s="55" t="s">
        <v>3</v>
      </c>
      <c r="F9" s="56">
        <v>173</v>
      </c>
      <c r="G9" s="152">
        <f>IF(OR(E9="",F9=""),"",PID_KVLohnLookup($A$1,E9,F9,LOHNTABELLE!$H$4))</f>
        <v>2082</v>
      </c>
      <c r="H9" s="153">
        <f>IF(AND(ISNUMBER(D9),ISNUMBER(F9)),ROUNDDOWN(MIN(IF(OR(ISBLANK(I9),I9=""),EOMONTH(DATE(EINSTELLUNG!$C$35,$A$1,1),0),I9)-MAX(D9,DATE(EINSTELLUNG!$C$35,$A$1,1))+1)/DAY(EOMONTH(DATE(EINSTELLUNG!$C$35,$A$1,1),0))*F9,2),"")</f>
        <v>173</v>
      </c>
      <c r="I9" s="57"/>
      <c r="J9" s="58"/>
      <c r="K9" s="152">
        <f t="shared" si="0"/>
        <v>0</v>
      </c>
      <c r="L9" s="154">
        <f>IF(OR($B9=",$C3="),"",IF(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0,"",IFERROR(IF(OR(ISBLANK(D9),ISBLANK(F9),ISBLANK(G9),ISBLANK(K9)),0,IF(YEAR(D9)&lt;EINSTELLUNG!$C$35,IF(ISNUMBER(I9),IF(YEAR(I9)&lt;EINSTELLUNG!$C$35,0,IF(OR(YEAR(I9)&gt;EINSTELLUNG!$C$35,MONTH(I9)&gt;$A$1),G9,IF(MONTH(I9)&lt;$A$1,0,(G9/DAY(EOMONTH(DATE(EINSTELLUNG!$C$35,$A$1,1),0)))*DAY(I9)+K9))),G9+K9),IF(YEAR(D9)=EINSTELLUNG!$C$35,IF(MONTH(D9)&lt;$A$1,IF(ISNUMBER(I9),IF(YEAR(I9)&lt;EINSTELLUNG!$C$35,0,IF(OR(YEAR(I9)&gt;EINSTELLUNG!$C$35,MONTH(I9)&gt;$A$1),G9,IF(MONTH(I9)&lt;$A$1,0,(G9/DAY(EOMONTH(DATE(EINSTELLUNG!$C$35,$A$1,1),0)))*DAY(I9)+K9))),G9),IF(MONTH(D9)=$A$1,IF(ISNUMBER(I9),IF(OR(YEAR(I9)&gt;EINSTELLUNG!$C$35,MONTH(I9)&gt;$A$1),G9,(G9/DAY(EOMONTH(D9,0)))*(I9-D9+1)+K9),(G9/DAY(EOMONTH(D9,0)))*(DAY(EOMONTH(D9,0))-DAY(D9)+1)+K9),0)),0))),0)))</f>
        <v>2082</v>
      </c>
      <c r="M9" s="59"/>
      <c r="N9" s="75"/>
      <c r="O9" s="254" t="s">
        <v>58</v>
      </c>
      <c r="P9" s="255"/>
      <c r="Q9" s="269">
        <f>EINSTELLUNG!L33</f>
        <v>12</v>
      </c>
      <c r="R9" s="270"/>
      <c r="S9" s="158">
        <f>IFERROR(Q9/Q8, 0)</f>
        <v>1.5102432246713333E-3</v>
      </c>
      <c r="T9" s="149"/>
      <c r="U9" s="149"/>
      <c r="V9" s="149"/>
    </row>
    <row r="10" spans="1:28" ht="22" customHeight="1">
      <c r="A10" s="151" t="s">
        <v>59</v>
      </c>
      <c r="B10" s="101">
        <v>401276</v>
      </c>
      <c r="C10" s="45" t="s">
        <v>230</v>
      </c>
      <c r="D10" s="46">
        <v>43252</v>
      </c>
      <c r="E10" s="47" t="s">
        <v>3</v>
      </c>
      <c r="F10" s="48">
        <v>173</v>
      </c>
      <c r="G10" s="152">
        <f>IF(OR(E10="",F10=""),"",PID_KVLohnLookup($A$1,E10,F10,LOHNTABELLE!$H$4))</f>
        <v>2082</v>
      </c>
      <c r="H10" s="153">
        <f>IF(AND(ISNUMBER(D10),ISNUMBER(F10)),ROUNDDOWN(MIN(IF(OR(ISBLANK(I10),I10=""),EOMONTH(DATE(EINSTELLUNG!$C$35,$A$1,1),0),I10)-MAX(D10,DATE(EINSTELLUNG!$C$35,$A$1,1))+1)/DAY(EOMONTH(DATE(EINSTELLUNG!$C$35,$A$1,1),0))*F10,2),"")</f>
        <v>173</v>
      </c>
      <c r="I10" s="49"/>
      <c r="J10" s="50"/>
      <c r="K10" s="152">
        <f t="shared" si="0"/>
        <v>0</v>
      </c>
      <c r="L10" s="154">
        <f>IF(OR($B10=",$C3="),"",IF(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0,"",IFERROR(IF(OR(ISBLANK(D10),ISBLANK(F10),ISBLANK(G10),ISBLANK(K10)),0,IF(YEAR(D10)&lt;EINSTELLUNG!$C$35,IF(ISNUMBER(I10),IF(YEAR(I10)&lt;EINSTELLUNG!$C$35,0,IF(OR(YEAR(I10)&gt;EINSTELLUNG!$C$35,MONTH(I10)&gt;$A$1),G10,IF(MONTH(I10)&lt;$A$1,0,(G10/DAY(EOMONTH(DATE(EINSTELLUNG!$C$35,$A$1,1),0)))*DAY(I10)+K10))),G10+K10),IF(YEAR(D10)=EINSTELLUNG!$C$35,IF(MONTH(D10)&lt;$A$1,IF(ISNUMBER(I10),IF(YEAR(I10)&lt;EINSTELLUNG!$C$35,0,IF(OR(YEAR(I10)&gt;EINSTELLUNG!$C$35,MONTH(I10)&gt;$A$1),G10,IF(MONTH(I10)&lt;$A$1,0,(G10/DAY(EOMONTH(DATE(EINSTELLUNG!$C$35,$A$1,1),0)))*DAY(I10)+K10))),G10),IF(MONTH(D10)=$A$1,IF(ISNUMBER(I10),IF(OR(YEAR(I10)&gt;EINSTELLUNG!$C$35,MONTH(I10)&gt;$A$1),G10,(G10/DAY(EOMONTH(D10,0)))*(I10-D10+1)+K10),(G10/DAY(EOMONTH(D10,0)))*(DAY(EOMONTH(D10,0))-DAY(D10)+1)+K10),0)),0))),0)))</f>
        <v>2082</v>
      </c>
      <c r="M10" s="51"/>
      <c r="N10" s="74"/>
      <c r="O10" s="254" t="s">
        <v>60</v>
      </c>
      <c r="P10" s="255"/>
      <c r="Q10" s="269">
        <f>EINSTELLUNG!I33</f>
        <v>400</v>
      </c>
      <c r="R10" s="270"/>
      <c r="S10" s="149"/>
      <c r="T10" s="149"/>
      <c r="U10" s="149"/>
      <c r="V10" s="149"/>
    </row>
    <row r="11" spans="1:28" ht="22" customHeight="1">
      <c r="A11" s="151" t="s">
        <v>61</v>
      </c>
      <c r="B11" s="102">
        <v>401276</v>
      </c>
      <c r="C11" s="53" t="s">
        <v>406</v>
      </c>
      <c r="D11" s="54">
        <v>38899</v>
      </c>
      <c r="E11" s="55" t="s">
        <v>2</v>
      </c>
      <c r="F11" s="56">
        <v>55</v>
      </c>
      <c r="G11" s="152">
        <f>IF(OR(E11="",F11=""),"",PID_KVLohnLookup($A$1,E11,F11,LOHNTABELLE!$H$4))</f>
        <v>666</v>
      </c>
      <c r="H11" s="153">
        <f>IF(AND(ISNUMBER(D11),ISNUMBER(F11)),ROUNDDOWN(MIN(IF(OR(ISBLANK(I11),I11=""),EOMONTH(DATE(EINSTELLUNG!$C$35,$A$1,1),0),I11)-MAX(D11,DATE(EINSTELLUNG!$C$35,$A$1,1))+1)/DAY(EOMONTH(DATE(EINSTELLUNG!$C$35,$A$1,1),0))*F11,2),"")</f>
        <v>55</v>
      </c>
      <c r="I11" s="57"/>
      <c r="J11" s="58"/>
      <c r="K11" s="152">
        <f t="shared" si="0"/>
        <v>0</v>
      </c>
      <c r="L11" s="154">
        <f>IF(OR($B11=",$C3="),"",IF(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0,"",IFERROR(IF(OR(ISBLANK(D11),ISBLANK(F11),ISBLANK(G11),ISBLANK(K11)),0,IF(YEAR(D11)&lt;EINSTELLUNG!$C$35,IF(ISNUMBER(I11),IF(YEAR(I11)&lt;EINSTELLUNG!$C$35,0,IF(OR(YEAR(I11)&gt;EINSTELLUNG!$C$35,MONTH(I11)&gt;$A$1),G11,IF(MONTH(I11)&lt;$A$1,0,(G11/DAY(EOMONTH(DATE(EINSTELLUNG!$C$35,$A$1,1),0)))*DAY(I11)+K11))),G11+K11),IF(YEAR(D11)=EINSTELLUNG!$C$35,IF(MONTH(D11)&lt;$A$1,IF(ISNUMBER(I11),IF(YEAR(I11)&lt;EINSTELLUNG!$C$35,0,IF(OR(YEAR(I11)&gt;EINSTELLUNG!$C$35,MONTH(I11)&gt;$A$1),G11,IF(MONTH(I11)&lt;$A$1,0,(G11/DAY(EOMONTH(DATE(EINSTELLUNG!$C$35,$A$1,1),0)))*DAY(I11)+K11))),G11),IF(MONTH(D11)=$A$1,IF(ISNUMBER(I11),IF(OR(YEAR(I11)&gt;EINSTELLUNG!$C$35,MONTH(I11)&gt;$A$1),G11,(G11/DAY(EOMONTH(D11,0)))*(I11-D11+1)+K11),(G11/DAY(EOMONTH(D11,0)))*(DAY(EOMONTH(D11,0))-DAY(D11)+1)+K11),0)),0))),0)))</f>
        <v>666</v>
      </c>
      <c r="M11" s="59"/>
      <c r="N11" s="75"/>
      <c r="O11" s="254" t="s">
        <v>62</v>
      </c>
      <c r="P11" s="255"/>
      <c r="Q11" s="269">
        <f>P5</f>
        <v>600</v>
      </c>
      <c r="R11" s="270"/>
      <c r="S11" s="149"/>
      <c r="T11" s="149"/>
      <c r="U11" s="149"/>
      <c r="V11" s="149"/>
    </row>
    <row r="12" spans="1:28" ht="22" customHeight="1">
      <c r="A12" s="151" t="s">
        <v>63</v>
      </c>
      <c r="B12" s="101">
        <v>401307</v>
      </c>
      <c r="C12" s="45" t="s">
        <v>231</v>
      </c>
      <c r="D12" s="46">
        <v>43571</v>
      </c>
      <c r="E12" s="47" t="s">
        <v>2</v>
      </c>
      <c r="F12" s="48">
        <v>55</v>
      </c>
      <c r="G12" s="152">
        <f>IF(OR(E12="",F12=""),"",PID_KVLohnLookup($A$1,E12,F12,LOHNTABELLE!$H$4))</f>
        <v>666</v>
      </c>
      <c r="H12" s="153">
        <f>IF(AND(ISNUMBER(D12),ISNUMBER(F12)),ROUNDDOWN(MIN(IF(OR(ISBLANK(I12),I12=""),EOMONTH(DATE(EINSTELLUNG!$C$35,$A$1,1),0),I12)-MAX(D12,DATE(EINSTELLUNG!$C$35,$A$1,1))+1)/DAY(EOMONTH(DATE(EINSTELLUNG!$C$35,$A$1,1),0))*F12,2),"")</f>
        <v>55</v>
      </c>
      <c r="I12" s="49"/>
      <c r="J12" s="50"/>
      <c r="K12" s="152">
        <f t="shared" si="0"/>
        <v>0</v>
      </c>
      <c r="L12" s="154">
        <f>IF(OR($B12=",$C3="),"",IF(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0,"",IFERROR(IF(OR(ISBLANK(D12),ISBLANK(F12),ISBLANK(G12),ISBLANK(K12)),0,IF(YEAR(D12)&lt;EINSTELLUNG!$C$35,IF(ISNUMBER(I12),IF(YEAR(I12)&lt;EINSTELLUNG!$C$35,0,IF(OR(YEAR(I12)&gt;EINSTELLUNG!$C$35,MONTH(I12)&gt;$A$1),G12,IF(MONTH(I12)&lt;$A$1,0,(G12/DAY(EOMONTH(DATE(EINSTELLUNG!$C$35,$A$1,1),0)))*DAY(I12)+K12))),G12+K12),IF(YEAR(D12)=EINSTELLUNG!$C$35,IF(MONTH(D12)&lt;$A$1,IF(ISNUMBER(I12),IF(YEAR(I12)&lt;EINSTELLUNG!$C$35,0,IF(OR(YEAR(I12)&gt;EINSTELLUNG!$C$35,MONTH(I12)&gt;$A$1),G12,IF(MONTH(I12)&lt;$A$1,0,(G12/DAY(EOMONTH(DATE(EINSTELLUNG!$C$35,$A$1,1),0)))*DAY(I12)+K12))),G12),IF(MONTH(D12)=$A$1,IF(ISNUMBER(I12),IF(OR(YEAR(I12)&gt;EINSTELLUNG!$C$35,MONTH(I12)&gt;$A$1),G12,(G12/DAY(EOMONTH(D12,0)))*(I12-D12+1)+K12),(G12/DAY(EOMONTH(D12,0)))*(DAY(EOMONTH(D12,0))-DAY(D12)+1)+K12),0)),0))),0)))</f>
        <v>666</v>
      </c>
      <c r="M12" s="51"/>
      <c r="N12" s="74"/>
      <c r="O12" s="254" t="s">
        <v>64</v>
      </c>
      <c r="P12" s="255"/>
      <c r="Q12" s="258">
        <v>-303</v>
      </c>
      <c r="R12" s="259"/>
      <c r="S12" s="149"/>
      <c r="T12" s="149"/>
      <c r="U12" s="149"/>
      <c r="V12" s="149"/>
    </row>
    <row r="13" spans="1:28" ht="22" customHeight="1">
      <c r="A13" s="151" t="s">
        <v>65</v>
      </c>
      <c r="B13" s="102">
        <v>401308</v>
      </c>
      <c r="C13" s="53" t="s">
        <v>232</v>
      </c>
      <c r="D13" s="54">
        <v>43579</v>
      </c>
      <c r="E13" s="55" t="s">
        <v>3</v>
      </c>
      <c r="F13" s="56">
        <v>173</v>
      </c>
      <c r="G13" s="152">
        <f>IF(OR(E13="",F13=""),"",PID_KVLohnLookup($A$1,E13,F13,LOHNTABELLE!$H$4))</f>
        <v>2082</v>
      </c>
      <c r="H13" s="153">
        <f>IF(AND(ISNUMBER(D13),ISNUMBER(F13)),ROUNDDOWN(MIN(IF(OR(ISBLANK(I13),I13=""),EOMONTH(DATE(EINSTELLUNG!$C$35,$A$1,1),0),I13)-MAX(D13,DATE(EINSTELLUNG!$C$35,$A$1,1))+1)/DAY(EOMONTH(DATE(EINSTELLUNG!$C$35,$A$1,1),0))*F13,2),"")</f>
        <v>173</v>
      </c>
      <c r="I13" s="57"/>
      <c r="J13" s="58"/>
      <c r="K13" s="152">
        <f t="shared" si="0"/>
        <v>0</v>
      </c>
      <c r="L13" s="154">
        <f>IF(OR($B13=",$C3="),"",IF(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0,"",IFERROR(IF(OR(ISBLANK(D13),ISBLANK(F13),ISBLANK(G13),ISBLANK(K13)),0,IF(YEAR(D13)&lt;EINSTELLUNG!$C$35,IF(ISNUMBER(I13),IF(YEAR(I13)&lt;EINSTELLUNG!$C$35,0,IF(OR(YEAR(I13)&gt;EINSTELLUNG!$C$35,MONTH(I13)&gt;$A$1),G13,IF(MONTH(I13)&lt;$A$1,0,(G13/DAY(EOMONTH(DATE(EINSTELLUNG!$C$35,$A$1,1),0)))*DAY(I13)+K13))),G13+K13),IF(YEAR(D13)=EINSTELLUNG!$C$35,IF(MONTH(D13)&lt;$A$1,IF(ISNUMBER(I13),IF(YEAR(I13)&lt;EINSTELLUNG!$C$35,0,IF(OR(YEAR(I13)&gt;EINSTELLUNG!$C$35,MONTH(I13)&gt;$A$1),G13,IF(MONTH(I13)&lt;$A$1,0,(G13/DAY(EOMONTH(DATE(EINSTELLUNG!$C$35,$A$1,1),0)))*DAY(I13)+K13))),G13),IF(MONTH(D13)=$A$1,IF(ISNUMBER(I13),IF(OR(YEAR(I13)&gt;EINSTELLUNG!$C$35,MONTH(I13)&gt;$A$1),G13,(G13/DAY(EOMONTH(D13,0)))*(I13-D13+1)+K13),(G13/DAY(EOMONTH(D13,0)))*(DAY(EOMONTH(D13,0))-DAY(D13)+1)+K13),0)),0))),0)))</f>
        <v>2082</v>
      </c>
      <c r="M13" s="59"/>
      <c r="N13" s="75"/>
      <c r="O13" s="254" t="s">
        <v>66</v>
      </c>
      <c r="P13" s="255"/>
      <c r="Q13" s="269">
        <f>Q8-Q9-Q10-Q11-Q12</f>
        <v>7236.74</v>
      </c>
      <c r="R13" s="270"/>
      <c r="S13" s="149"/>
      <c r="T13" s="149"/>
      <c r="U13" s="149"/>
      <c r="V13" s="149"/>
    </row>
    <row r="14" spans="1:28" ht="22" customHeight="1">
      <c r="A14" s="151" t="s">
        <v>67</v>
      </c>
      <c r="B14" s="101">
        <v>401394</v>
      </c>
      <c r="C14" s="45" t="s">
        <v>233</v>
      </c>
      <c r="D14" s="46">
        <v>44379</v>
      </c>
      <c r="E14" s="47" t="s">
        <v>2</v>
      </c>
      <c r="F14" s="48">
        <v>173</v>
      </c>
      <c r="G14" s="152">
        <f>IF(OR(E14="",F14=""),"",PID_KVLohnLookup($A$1,E14,F14,LOHNTABELLE!$H$4))</f>
        <v>2900</v>
      </c>
      <c r="H14" s="153">
        <f>IF(AND(ISNUMBER(D14),ISNUMBER(F14)),ROUNDDOWN(MIN(IF(OR(ISBLANK(I14),I14=""),EOMONTH(DATE(EINSTELLUNG!$C$35,$A$1,1),0),I14)-MAX(D14,DATE(EINSTELLUNG!$C$35,$A$1,1))+1)/DAY(EOMONTH(DATE(EINSTELLUNG!$C$35,$A$1,1),0))*F14,2),"")</f>
        <v>173</v>
      </c>
      <c r="I14" s="49"/>
      <c r="J14" s="50"/>
      <c r="K14" s="152">
        <f t="shared" si="0"/>
        <v>0</v>
      </c>
      <c r="L14" s="154">
        <f>IF(OR($B14=",$C3="),"",IF(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0,"",IFERROR(IF(OR(ISBLANK(D14),ISBLANK(F14),ISBLANK(G14),ISBLANK(K14)),0,IF(YEAR(D14)&lt;EINSTELLUNG!$C$35,IF(ISNUMBER(I14),IF(YEAR(I14)&lt;EINSTELLUNG!$C$35,0,IF(OR(YEAR(I14)&gt;EINSTELLUNG!$C$35,MONTH(I14)&gt;$A$1),G14,IF(MONTH(I14)&lt;$A$1,0,(G14/DAY(EOMONTH(DATE(EINSTELLUNG!$C$35,$A$1,1),0)))*DAY(I14)+K14))),G14+K14),IF(YEAR(D14)=EINSTELLUNG!$C$35,IF(MONTH(D14)&lt;$A$1,IF(ISNUMBER(I14),IF(YEAR(I14)&lt;EINSTELLUNG!$C$35,0,IF(OR(YEAR(I14)&gt;EINSTELLUNG!$C$35,MONTH(I14)&gt;$A$1),G14,IF(MONTH(I14)&lt;$A$1,0,(G14/DAY(EOMONTH(DATE(EINSTELLUNG!$C$35,$A$1,1),0)))*DAY(I14)+K14))),G14),IF(MONTH(D14)=$A$1,IF(ISNUMBER(I14),IF(OR(YEAR(I14)&gt;EINSTELLUNG!$C$35,MONTH(I14)&gt;$A$1),G14,(G14/DAY(EOMONTH(D14,0)))*(I14-D14+1)+K14),(G14/DAY(EOMONTH(D14,0)))*(DAY(EOMONTH(D14,0))-DAY(D14)+1)+K14),0)),0))),0)))</f>
        <v>2900</v>
      </c>
      <c r="M14" s="51"/>
      <c r="N14" s="74"/>
      <c r="O14" s="254" t="s">
        <v>68</v>
      </c>
      <c r="P14" s="255"/>
      <c r="Q14" s="269">
        <f>EINSTELLUNG!L17</f>
        <v>9300</v>
      </c>
      <c r="R14" s="270"/>
      <c r="S14" s="149"/>
      <c r="T14" s="149"/>
      <c r="U14" s="149"/>
      <c r="V14" s="149"/>
    </row>
    <row r="15" spans="1:28" ht="22" customHeight="1" thickBot="1">
      <c r="A15" s="151" t="s">
        <v>69</v>
      </c>
      <c r="B15" s="102">
        <v>401406</v>
      </c>
      <c r="C15" s="53" t="s">
        <v>407</v>
      </c>
      <c r="D15" s="54">
        <v>36850</v>
      </c>
      <c r="E15" s="55" t="s">
        <v>10</v>
      </c>
      <c r="F15" s="56">
        <v>151.38</v>
      </c>
      <c r="G15" s="152">
        <f>IF(OR(E15="",F15=""),"",PID_KVLohnLookup($A$1,E15,F15,LOHNTABELLE!$H$4))</f>
        <v>2012.5</v>
      </c>
      <c r="H15" s="153">
        <f>IF(AND(ISNUMBER(D15),ISNUMBER(F15)),ROUNDDOWN(MIN(IF(OR(ISBLANK(I15),I15=""),EOMONTH(DATE(EINSTELLUNG!$C$35,$A$1,1),0),I15)-MAX(D15,DATE(EINSTELLUNG!$C$35,$A$1,1))+1)/DAY(EOMONTH(DATE(EINSTELLUNG!$C$35,$A$1,1),0))*F15,2),"")</f>
        <v>151.38</v>
      </c>
      <c r="I15" s="57"/>
      <c r="J15" s="58"/>
      <c r="K15" s="152">
        <f t="shared" si="0"/>
        <v>0</v>
      </c>
      <c r="L15" s="154">
        <f>IF(OR($B15=",$C3="),"",IF(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0,"",IFERROR(IF(OR(ISBLANK(D15),ISBLANK(F15),ISBLANK(G15),ISBLANK(K15)),0,IF(YEAR(D15)&lt;EINSTELLUNG!$C$35,IF(ISNUMBER(I15),IF(YEAR(I15)&lt;EINSTELLUNG!$C$35,0,IF(OR(YEAR(I15)&gt;EINSTELLUNG!$C$35,MONTH(I15)&gt;$A$1),G15,IF(MONTH(I15)&lt;$A$1,0,(G15/DAY(EOMONTH(DATE(EINSTELLUNG!$C$35,$A$1,1),0)))*DAY(I15)+K15))),G15+K15),IF(YEAR(D15)=EINSTELLUNG!$C$35,IF(MONTH(D15)&lt;$A$1,IF(ISNUMBER(I15),IF(YEAR(I15)&lt;EINSTELLUNG!$C$35,0,IF(OR(YEAR(I15)&gt;EINSTELLUNG!$C$35,MONTH(I15)&gt;$A$1),G15,IF(MONTH(I15)&lt;$A$1,0,(G15/DAY(EOMONTH(DATE(EINSTELLUNG!$C$35,$A$1,1),0)))*DAY(I15)+K15))),G15),IF(MONTH(D15)=$A$1,IF(ISNUMBER(I15),IF(OR(YEAR(I15)&gt;EINSTELLUNG!$C$35,MONTH(I15)&gt;$A$1),G15,(G15/DAY(EOMONTH(D15,0)))*(I15-D15+1)+K15),(G15/DAY(EOMONTH(D15,0)))*(DAY(EOMONTH(D15,0))-DAY(D15)+1)+K15),0)),0))),0)))</f>
        <v>2012.5</v>
      </c>
      <c r="M15" s="59"/>
      <c r="N15" s="75"/>
      <c r="O15" s="240" t="s">
        <v>70</v>
      </c>
      <c r="P15" s="241"/>
      <c r="Q15" s="242">
        <f>Q13-Q14</f>
        <v>-2063.2600000000002</v>
      </c>
      <c r="R15" s="243"/>
      <c r="S15" s="160"/>
      <c r="T15" s="160"/>
      <c r="U15" s="160"/>
      <c r="V15" s="149"/>
    </row>
    <row r="16" spans="1:28" ht="22" customHeight="1" thickBot="1">
      <c r="A16" s="151" t="s">
        <v>71</v>
      </c>
      <c r="B16" s="101">
        <v>401432</v>
      </c>
      <c r="C16" s="60" t="s">
        <v>235</v>
      </c>
      <c r="D16" s="49">
        <v>44441</v>
      </c>
      <c r="E16" s="47" t="s">
        <v>2</v>
      </c>
      <c r="F16" s="48">
        <v>173</v>
      </c>
      <c r="G16" s="152">
        <f>IF(OR(E16="",F16=""),"",PID_KVLohnLookup($A$1,E16,F16,LOHNTABELLE!$H$4))</f>
        <v>2900</v>
      </c>
      <c r="H16" s="153">
        <f>IF(AND(ISNUMBER(D16),ISNUMBER(F16)),ROUNDDOWN(MIN(IF(OR(ISBLANK(I16),I16=""),EOMONTH(DATE(EINSTELLUNG!$C$35,$A$1,1),0),I16)-MAX(D16,DATE(EINSTELLUNG!$C$35,$A$1,1))+1)/DAY(EOMONTH(DATE(EINSTELLUNG!$C$35,$A$1,1),0))*F16,2),"")</f>
        <v>173</v>
      </c>
      <c r="I16" s="49"/>
      <c r="J16" s="50"/>
      <c r="K16" s="152">
        <f t="shared" si="0"/>
        <v>0</v>
      </c>
      <c r="L16" s="154">
        <f>IF(OR($B16=",$C3="),"",IF(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0,"",IFERROR(IF(OR(ISBLANK(D16),ISBLANK(F16),ISBLANK(G16),ISBLANK(K16)),0,IF(YEAR(D16)&lt;EINSTELLUNG!$C$35,IF(ISNUMBER(I16),IF(YEAR(I16)&lt;EINSTELLUNG!$C$35,0,IF(OR(YEAR(I16)&gt;EINSTELLUNG!$C$35,MONTH(I16)&gt;$A$1),G16,IF(MONTH(I16)&lt;$A$1,0,(G16/DAY(EOMONTH(DATE(EINSTELLUNG!$C$35,$A$1,1),0)))*DAY(I16)+K16))),G16+K16),IF(YEAR(D16)=EINSTELLUNG!$C$35,IF(MONTH(D16)&lt;$A$1,IF(ISNUMBER(I16),IF(YEAR(I16)&lt;EINSTELLUNG!$C$35,0,IF(OR(YEAR(I16)&gt;EINSTELLUNG!$C$35,MONTH(I16)&gt;$A$1),G16,IF(MONTH(I16)&lt;$A$1,0,(G16/DAY(EOMONTH(DATE(EINSTELLUNG!$C$35,$A$1,1),0)))*DAY(I16)+K16))),G16),IF(MONTH(D16)=$A$1,IF(ISNUMBER(I16),IF(OR(YEAR(I16)&gt;EINSTELLUNG!$C$35,MONTH(I16)&gt;$A$1),G16,(G16/DAY(EOMONTH(D16,0)))*(I16-D16+1)+K16),(G16/DAY(EOMONTH(D16,0)))*(DAY(EOMONTH(D16,0))-DAY(D16)+1)+K16),0)),0))),0)))</f>
        <v>2900</v>
      </c>
      <c r="M16" s="51"/>
      <c r="N16" s="74"/>
      <c r="O16" s="319" t="str">
        <f>IF(Q15&lt;0, "Schlecht! Zu wenig Stunden für Dienstplan.", IF(Q15&gt;0, "Du hast mehr als genug Stunden für Dienstplan.", ""))</f>
        <v>Schlecht! Zu wenig Stunden für Dienstplan.</v>
      </c>
      <c r="P16" s="245"/>
      <c r="Q16" s="245"/>
      <c r="R16" s="246"/>
      <c r="S16" s="161"/>
      <c r="T16" s="161"/>
      <c r="U16" s="161"/>
      <c r="V16" s="161"/>
      <c r="W16" s="162"/>
    </row>
    <row r="17" spans="1:29" ht="22" customHeight="1">
      <c r="A17" s="151" t="s">
        <v>72</v>
      </c>
      <c r="B17" s="102">
        <v>401479</v>
      </c>
      <c r="C17" s="53" t="s">
        <v>238</v>
      </c>
      <c r="D17" s="54">
        <v>44511</v>
      </c>
      <c r="E17" s="55" t="s">
        <v>6</v>
      </c>
      <c r="F17" s="56">
        <v>173</v>
      </c>
      <c r="G17" s="152">
        <f>IF(OR(E17="",F17=""),"",PID_KVLohnLookup($A$1,E17,F17,LOHNTABELLE!$H$4))</f>
        <v>2160</v>
      </c>
      <c r="H17" s="153">
        <f>IF(AND(ISNUMBER(D17),ISNUMBER(F17)),ROUNDDOWN(MIN(IF(OR(ISBLANK(I17),I17=""),EOMONTH(DATE(EINSTELLUNG!$C$35,$A$1,1),0),I17)-MAX(D17,DATE(EINSTELLUNG!$C$35,$A$1,1))+1)/DAY(EOMONTH(DATE(EINSTELLUNG!$C$35,$A$1,1),0))*F17,2),"")</f>
        <v>173</v>
      </c>
      <c r="I17" s="57"/>
      <c r="J17" s="58"/>
      <c r="K17" s="152">
        <f t="shared" si="0"/>
        <v>0</v>
      </c>
      <c r="L17" s="154">
        <f>IF(OR($B17=",$C3="),"",IF(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0,"",IFERROR(IF(OR(ISBLANK(D17),ISBLANK(F17),ISBLANK(G17),ISBLANK(K17)),0,IF(YEAR(D17)&lt;EINSTELLUNG!$C$35,IF(ISNUMBER(I17),IF(YEAR(I17)&lt;EINSTELLUNG!$C$35,0,IF(OR(YEAR(I17)&gt;EINSTELLUNG!$C$35,MONTH(I17)&gt;$A$1),G17,IF(MONTH(I17)&lt;$A$1,0,(G17/DAY(EOMONTH(DATE(EINSTELLUNG!$C$35,$A$1,1),0)))*DAY(I17)+K17))),G17+K17),IF(YEAR(D17)=EINSTELLUNG!$C$35,IF(MONTH(D17)&lt;$A$1,IF(ISNUMBER(I17),IF(YEAR(I17)&lt;EINSTELLUNG!$C$35,0,IF(OR(YEAR(I17)&gt;EINSTELLUNG!$C$35,MONTH(I17)&gt;$A$1),G17,IF(MONTH(I17)&lt;$A$1,0,(G17/DAY(EOMONTH(DATE(EINSTELLUNG!$C$35,$A$1,1),0)))*DAY(I17)+K17))),G17),IF(MONTH(D17)=$A$1,IF(ISNUMBER(I17),IF(OR(YEAR(I17)&gt;EINSTELLUNG!$C$35,MONTH(I17)&gt;$A$1),G17,(G17/DAY(EOMONTH(D17,0)))*(I17-D17+1)+K17),(G17/DAY(EOMONTH(D17,0)))*(DAY(EOMONTH(D17,0))-DAY(D17)+1)+K17),0)),0))),0)))</f>
        <v>2160</v>
      </c>
      <c r="M17" s="59"/>
      <c r="N17" s="75"/>
      <c r="O17" s="316" t="s">
        <v>73</v>
      </c>
      <c r="P17" s="251"/>
      <c r="Q17" s="260">
        <f>SUM(L3:L82)</f>
        <v>134078.6</v>
      </c>
      <c r="R17" s="261"/>
      <c r="S17" s="149"/>
      <c r="T17" s="149"/>
      <c r="U17" s="149"/>
      <c r="V17" s="149"/>
      <c r="W17" s="162"/>
    </row>
    <row r="18" spans="1:29" ht="22" customHeight="1">
      <c r="A18" s="151" t="s">
        <v>74</v>
      </c>
      <c r="B18" s="101">
        <v>401481</v>
      </c>
      <c r="C18" s="45" t="s">
        <v>239</v>
      </c>
      <c r="D18" s="46">
        <v>44531</v>
      </c>
      <c r="E18" s="47" t="s">
        <v>3</v>
      </c>
      <c r="F18" s="48">
        <v>173</v>
      </c>
      <c r="G18" s="152">
        <f>IF(OR(E18="",F18=""),"",PID_KVLohnLookup($A$1,E18,F18,LOHNTABELLE!$H$4))</f>
        <v>2082</v>
      </c>
      <c r="H18" s="153">
        <f>IF(AND(ISNUMBER(D18),ISNUMBER(F18)),ROUNDDOWN(MIN(IF(OR(ISBLANK(I18),I18=""),EOMONTH(DATE(EINSTELLUNG!$C$35,$A$1,1),0),I18)-MAX(D18,DATE(EINSTELLUNG!$C$35,$A$1,1))+1)/DAY(EOMONTH(DATE(EINSTELLUNG!$C$35,$A$1,1),0))*F18,2),"")</f>
        <v>173</v>
      </c>
      <c r="I18" s="49"/>
      <c r="J18" s="50"/>
      <c r="K18" s="152">
        <f t="shared" si="0"/>
        <v>0</v>
      </c>
      <c r="L18" s="154">
        <f>IF(OR($B18=",$C3="),"",IF(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0,"",IFERROR(IF(OR(ISBLANK(D18),ISBLANK(F18),ISBLANK(G18),ISBLANK(K18)),0,IF(YEAR(D18)&lt;EINSTELLUNG!$C$35,IF(ISNUMBER(I18),IF(YEAR(I18)&lt;EINSTELLUNG!$C$35,0,IF(OR(YEAR(I18)&gt;EINSTELLUNG!$C$35,MONTH(I18)&gt;$A$1),G18,IF(MONTH(I18)&lt;$A$1,0,(G18/DAY(EOMONTH(DATE(EINSTELLUNG!$C$35,$A$1,1),0)))*DAY(I18)+K18))),G18+K18),IF(YEAR(D18)=EINSTELLUNG!$C$35,IF(MONTH(D18)&lt;$A$1,IF(ISNUMBER(I18),IF(YEAR(I18)&lt;EINSTELLUNG!$C$35,0,IF(OR(YEAR(I18)&gt;EINSTELLUNG!$C$35,MONTH(I18)&gt;$A$1),G18,IF(MONTH(I18)&lt;$A$1,0,(G18/DAY(EOMONTH(DATE(EINSTELLUNG!$C$35,$A$1,1),0)))*DAY(I18)+K18))),G18),IF(MONTH(D18)=$A$1,IF(ISNUMBER(I18),IF(OR(YEAR(I18)&gt;EINSTELLUNG!$C$35,MONTH(I18)&gt;$A$1),G18,(G18/DAY(EOMONTH(D18,0)))*(I18-D18+1)+K18),(G18/DAY(EOMONTH(D18,0)))*(DAY(EOMONTH(D18,0))-DAY(D18)+1)+K18),0)),0))),0)))</f>
        <v>2082</v>
      </c>
      <c r="M18" s="51"/>
      <c r="N18" s="74"/>
      <c r="O18" s="308" t="s">
        <v>385</v>
      </c>
      <c r="P18" s="249"/>
      <c r="Q18" s="238">
        <v>20</v>
      </c>
      <c r="R18" s="239"/>
      <c r="S18" s="149"/>
      <c r="T18" s="149"/>
      <c r="U18" s="149"/>
      <c r="V18" s="149"/>
    </row>
    <row r="19" spans="1:29" ht="22" customHeight="1">
      <c r="A19" s="151" t="s">
        <v>75</v>
      </c>
      <c r="B19" s="102">
        <v>401564</v>
      </c>
      <c r="C19" s="53" t="s">
        <v>240</v>
      </c>
      <c r="D19" s="54">
        <v>44824</v>
      </c>
      <c r="E19" s="55" t="s">
        <v>2</v>
      </c>
      <c r="F19" s="56">
        <v>151.38</v>
      </c>
      <c r="G19" s="152">
        <f>IF(OR(E19="",F19=""),"",PID_KVLohnLookup($A$1,E19,F19,LOHNTABELLE!$H$4))</f>
        <v>2500</v>
      </c>
      <c r="H19" s="153">
        <f>IF(AND(ISNUMBER(D19),ISNUMBER(F19)),ROUNDDOWN(MIN(IF(OR(ISBLANK(I19),I19=""),EOMONTH(DATE(EINSTELLUNG!$C$35,$A$1,1),0),I19)-MAX(D19,DATE(EINSTELLUNG!$C$35,$A$1,1))+1)/DAY(EOMONTH(DATE(EINSTELLUNG!$C$35,$A$1,1),0))*F19,2),"")</f>
        <v>151.38</v>
      </c>
      <c r="I19" s="57"/>
      <c r="J19" s="58"/>
      <c r="K19" s="152">
        <f t="shared" si="0"/>
        <v>0</v>
      </c>
      <c r="L19" s="154">
        <f>IF(OR($B19=",$C3="),"",IF(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0,"",IFERROR(IF(OR(ISBLANK(D19),ISBLANK(F19),ISBLANK(G19),ISBLANK(K19)),0,IF(YEAR(D19)&lt;EINSTELLUNG!$C$35,IF(ISNUMBER(I19),IF(YEAR(I19)&lt;EINSTELLUNG!$C$35,0,IF(OR(YEAR(I19)&gt;EINSTELLUNG!$C$35,MONTH(I19)&gt;$A$1),G19,IF(MONTH(I19)&lt;$A$1,0,(G19/DAY(EOMONTH(DATE(EINSTELLUNG!$C$35,$A$1,1),0)))*DAY(I19)+K19))),G19+K19),IF(YEAR(D19)=EINSTELLUNG!$C$35,IF(MONTH(D19)&lt;$A$1,IF(ISNUMBER(I19),IF(YEAR(I19)&lt;EINSTELLUNG!$C$35,0,IF(OR(YEAR(I19)&gt;EINSTELLUNG!$C$35,MONTH(I19)&gt;$A$1),G19,IF(MONTH(I19)&lt;$A$1,0,(G19/DAY(EOMONTH(DATE(EINSTELLUNG!$C$35,$A$1,1),0)))*DAY(I19)+K19))),G19),IF(MONTH(D19)=$A$1,IF(ISNUMBER(I19),IF(OR(YEAR(I19)&gt;EINSTELLUNG!$C$35,MONTH(I19)&gt;$A$1),G19,(G19/DAY(EOMONTH(D19,0)))*(I19-D19+1)+K19),(G19/DAY(EOMONTH(D19,0)))*(DAY(EOMONTH(D19,0))-DAY(D19)+1)+K19),0)),0))),0)))</f>
        <v>2500</v>
      </c>
      <c r="M19" s="59"/>
      <c r="N19" s="75"/>
      <c r="O19" s="308" t="s">
        <v>296</v>
      </c>
      <c r="P19" s="249"/>
      <c r="Q19" s="238">
        <v>333</v>
      </c>
      <c r="R19" s="239"/>
      <c r="S19" s="149"/>
      <c r="T19" s="149"/>
      <c r="U19" s="149"/>
      <c r="V19" s="149"/>
    </row>
    <row r="20" spans="1:29" ht="22" customHeight="1">
      <c r="A20" s="151" t="s">
        <v>76</v>
      </c>
      <c r="B20" s="101">
        <v>401583</v>
      </c>
      <c r="C20" s="45" t="s">
        <v>242</v>
      </c>
      <c r="D20" s="46">
        <v>44900</v>
      </c>
      <c r="E20" s="47" t="s">
        <v>13</v>
      </c>
      <c r="F20" s="48">
        <v>173</v>
      </c>
      <c r="G20" s="152">
        <f>IF(OR(E20="",F20=""),"",PID_KVLohnLookup($A$1,E20,F20,LOHNTABELLE!$H$4))</f>
        <v>2328</v>
      </c>
      <c r="H20" s="153">
        <f>IF(AND(ISNUMBER(D20),ISNUMBER(F20)),ROUNDDOWN(MIN(IF(OR(ISBLANK(I20),I20=""),EOMONTH(DATE(EINSTELLUNG!$C$35,$A$1,1),0),I20)-MAX(D20,DATE(EINSTELLUNG!$C$35,$A$1,1))+1)/DAY(EOMONTH(DATE(EINSTELLUNG!$C$35,$A$1,1),0))*F20,2),"")</f>
        <v>173</v>
      </c>
      <c r="I20" s="49"/>
      <c r="J20" s="50"/>
      <c r="K20" s="152">
        <f t="shared" si="0"/>
        <v>0</v>
      </c>
      <c r="L20" s="154">
        <f>IF(OR($B20=",$C3="),"",IF(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0,"",IFERROR(IF(OR(ISBLANK(D20),ISBLANK(F20),ISBLANK(G20),ISBLANK(K20)),0,IF(YEAR(D20)&lt;EINSTELLUNG!$C$35,IF(ISNUMBER(I20),IF(YEAR(I20)&lt;EINSTELLUNG!$C$35,0,IF(OR(YEAR(I20)&gt;EINSTELLUNG!$C$35,MONTH(I20)&gt;$A$1),G20,IF(MONTH(I20)&lt;$A$1,0,(G20/DAY(EOMONTH(DATE(EINSTELLUNG!$C$35,$A$1,1),0)))*DAY(I20)+K20))),G20+K20),IF(YEAR(D20)=EINSTELLUNG!$C$35,IF(MONTH(D20)&lt;$A$1,IF(ISNUMBER(I20),IF(YEAR(I20)&lt;EINSTELLUNG!$C$35,0,IF(OR(YEAR(I20)&gt;EINSTELLUNG!$C$35,MONTH(I20)&gt;$A$1),G20,IF(MONTH(I20)&lt;$A$1,0,(G20/DAY(EOMONTH(DATE(EINSTELLUNG!$C$35,$A$1,1),0)))*DAY(I20)+K20))),G20),IF(MONTH(D20)=$A$1,IF(ISNUMBER(I20),IF(OR(YEAR(I20)&gt;EINSTELLUNG!$C$35,MONTH(I20)&gt;$A$1),G20,(G20/DAY(EOMONTH(D20,0)))*(I20-D20+1)+K20),(G20/DAY(EOMONTH(D20,0)))*(DAY(EOMONTH(D20,0))-DAY(D20)+1)+K20),0)),0))),0)))</f>
        <v>2328</v>
      </c>
      <c r="M20" s="51"/>
      <c r="N20" s="74"/>
      <c r="O20" s="308" t="s">
        <v>296</v>
      </c>
      <c r="P20" s="249"/>
      <c r="Q20" s="238">
        <v>35</v>
      </c>
      <c r="R20" s="239"/>
      <c r="S20" s="149"/>
      <c r="T20" s="149"/>
      <c r="U20" s="149"/>
      <c r="V20" s="149"/>
    </row>
    <row r="21" spans="1:29" ht="22" customHeight="1">
      <c r="A21" s="151" t="s">
        <v>77</v>
      </c>
      <c r="B21" s="102">
        <v>401589</v>
      </c>
      <c r="C21" s="53" t="s">
        <v>243</v>
      </c>
      <c r="D21" s="54">
        <v>44926</v>
      </c>
      <c r="E21" s="55" t="s">
        <v>10</v>
      </c>
      <c r="F21" s="56">
        <v>173</v>
      </c>
      <c r="G21" s="152">
        <f>IF(OR(E21="",F21=""),"",PID_KVLohnLookup($A$1,E21,F21,LOHNTABELLE!$H$4))</f>
        <v>2300</v>
      </c>
      <c r="H21" s="153">
        <f>IF(AND(ISNUMBER(D21),ISNUMBER(F21)),ROUNDDOWN(MIN(IF(OR(ISBLANK(I21),I21=""),EOMONTH(DATE(EINSTELLUNG!$C$35,$A$1,1),0),I21)-MAX(D21,DATE(EINSTELLUNG!$C$35,$A$1,1))+1)/DAY(EOMONTH(DATE(EINSTELLUNG!$C$35,$A$1,1),0))*F21,2),"")</f>
        <v>173</v>
      </c>
      <c r="I21" s="57"/>
      <c r="J21" s="58"/>
      <c r="K21" s="152">
        <f t="shared" si="0"/>
        <v>0</v>
      </c>
      <c r="L21" s="154">
        <f>IF(OR($B21=",$C3="),"",IF(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0,"",IFERROR(IF(OR(ISBLANK(D21),ISBLANK(F21),ISBLANK(G21),ISBLANK(K21)),0,IF(YEAR(D21)&lt;EINSTELLUNG!$C$35,IF(ISNUMBER(I21),IF(YEAR(I21)&lt;EINSTELLUNG!$C$35,0,IF(OR(YEAR(I21)&gt;EINSTELLUNG!$C$35,MONTH(I21)&gt;$A$1),G21,IF(MONTH(I21)&lt;$A$1,0,(G21/DAY(EOMONTH(DATE(EINSTELLUNG!$C$35,$A$1,1),0)))*DAY(I21)+K21))),G21+K21),IF(YEAR(D21)=EINSTELLUNG!$C$35,IF(MONTH(D21)&lt;$A$1,IF(ISNUMBER(I21),IF(YEAR(I21)&lt;EINSTELLUNG!$C$35,0,IF(OR(YEAR(I21)&gt;EINSTELLUNG!$C$35,MONTH(I21)&gt;$A$1),G21,IF(MONTH(I21)&lt;$A$1,0,(G21/DAY(EOMONTH(DATE(EINSTELLUNG!$C$35,$A$1,1),0)))*DAY(I21)+K21))),G21),IF(MONTH(D21)=$A$1,IF(ISNUMBER(I21),IF(OR(YEAR(I21)&gt;EINSTELLUNG!$C$35,MONTH(I21)&gt;$A$1),G21,(G21/DAY(EOMONTH(D21,0)))*(I21-D21+1)+K21),(G21/DAY(EOMONTH(D21,0)))*(DAY(EOMONTH(D21,0))-DAY(D21)+1)+K21),0)),0))),0)))</f>
        <v>2300</v>
      </c>
      <c r="M21" s="59"/>
      <c r="N21" s="75"/>
      <c r="O21" s="308" t="s">
        <v>296</v>
      </c>
      <c r="P21" s="249"/>
      <c r="Q21" s="238">
        <v>100</v>
      </c>
      <c r="R21" s="239"/>
      <c r="S21" s="149"/>
      <c r="T21" s="149"/>
      <c r="U21" s="149"/>
      <c r="V21" s="149"/>
    </row>
    <row r="22" spans="1:29" ht="22" customHeight="1">
      <c r="A22" s="151" t="s">
        <v>78</v>
      </c>
      <c r="B22" s="101">
        <v>401602</v>
      </c>
      <c r="C22" s="45" t="s">
        <v>244</v>
      </c>
      <c r="D22" s="46">
        <v>45975</v>
      </c>
      <c r="E22" s="47" t="s">
        <v>2</v>
      </c>
      <c r="F22" s="48">
        <v>169</v>
      </c>
      <c r="G22" s="152">
        <f>IF(OR(E22="",F22=""),"",PID_KVLohnLookup($A$1,E22,F22,LOHNTABELLE!$H$4))</f>
        <v>2000</v>
      </c>
      <c r="H22" s="153">
        <f>IF(AND(ISNUMBER(D22),ISNUMBER(F22)),ROUNDDOWN(MIN(IF(OR(ISBLANK(I22),I22=""),EOMONTH(DATE(EINSTELLUNG!$C$35,$A$1,1),0),I22)-MAX(D22,DATE(EINSTELLUNG!$C$35,$A$1,1))+1)/DAY(EOMONTH(DATE(EINSTELLUNG!$C$35,$A$1,1),0))*F22,2),"")</f>
        <v>169</v>
      </c>
      <c r="I22" s="49"/>
      <c r="J22" s="50"/>
      <c r="K22" s="152">
        <f t="shared" si="0"/>
        <v>0</v>
      </c>
      <c r="L22" s="154">
        <f>IF(OR($B22=",$C3="),"",IF(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0,"",IFERROR(IF(OR(ISBLANK(D22),ISBLANK(F22),ISBLANK(G22),ISBLANK(K22)),0,IF(YEAR(D22)&lt;EINSTELLUNG!$C$35,IF(ISNUMBER(I22),IF(YEAR(I22)&lt;EINSTELLUNG!$C$35,0,IF(OR(YEAR(I22)&gt;EINSTELLUNG!$C$35,MONTH(I22)&gt;$A$1),G22,IF(MONTH(I22)&lt;$A$1,0,(G22/DAY(EOMONTH(DATE(EINSTELLUNG!$C$35,$A$1,1),0)))*DAY(I22)+K22))),G22+K22),IF(YEAR(D22)=EINSTELLUNG!$C$35,IF(MONTH(D22)&lt;$A$1,IF(ISNUMBER(I22),IF(YEAR(I22)&lt;EINSTELLUNG!$C$35,0,IF(OR(YEAR(I22)&gt;EINSTELLUNG!$C$35,MONTH(I22)&gt;$A$1),G22,IF(MONTH(I22)&lt;$A$1,0,(G22/DAY(EOMONTH(DATE(EINSTELLUNG!$C$35,$A$1,1),0)))*DAY(I22)+K22))),G22),IF(MONTH(D22)=$A$1,IF(ISNUMBER(I22),IF(OR(YEAR(I22)&gt;EINSTELLUNG!$C$35,MONTH(I22)&gt;$A$1),G22,(G22/DAY(EOMONTH(D22,0)))*(I22-D22+1)+K22),(G22/DAY(EOMONTH(D22,0)))*(DAY(EOMONTH(D22,0))-DAY(D22)+1)+K22),0)),0))),0)))</f>
        <v>2000</v>
      </c>
      <c r="M22" s="51"/>
      <c r="N22" s="74"/>
      <c r="O22" s="308" t="s">
        <v>296</v>
      </c>
      <c r="P22" s="249"/>
      <c r="Q22" s="238"/>
      <c r="R22" s="239"/>
      <c r="S22" s="149"/>
      <c r="T22" s="149"/>
      <c r="U22" s="149"/>
      <c r="V22" s="149"/>
    </row>
    <row r="23" spans="1:29" ht="22" customHeight="1">
      <c r="A23" s="151" t="s">
        <v>79</v>
      </c>
      <c r="B23" s="102">
        <v>401605</v>
      </c>
      <c r="C23" s="53" t="s">
        <v>245</v>
      </c>
      <c r="D23" s="54">
        <v>44986</v>
      </c>
      <c r="E23" s="55" t="s">
        <v>2</v>
      </c>
      <c r="F23" s="56">
        <v>173</v>
      </c>
      <c r="G23" s="152">
        <f>IF(OR(E23="",F23=""),"",PID_KVLohnLookup($A$1,E23,F23,LOHNTABELLE!$H$4))</f>
        <v>2900</v>
      </c>
      <c r="H23" s="153">
        <f>IF(AND(ISNUMBER(D23),ISNUMBER(F23)),ROUNDDOWN(MIN(IF(OR(ISBLANK(I23),I23=""),EOMONTH(DATE(EINSTELLUNG!$C$35,$A$1,1),0),I23)-MAX(D23,DATE(EINSTELLUNG!$C$35,$A$1,1))+1)/DAY(EOMONTH(DATE(EINSTELLUNG!$C$35,$A$1,1),0))*F23,2),"")</f>
        <v>173</v>
      </c>
      <c r="I23" s="57"/>
      <c r="J23" s="58"/>
      <c r="K23" s="152">
        <f t="shared" si="0"/>
        <v>0</v>
      </c>
      <c r="L23" s="154">
        <f>IF(OR($B23=",$C3="),"",IF(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0,"",IFERROR(IF(OR(ISBLANK(D23),ISBLANK(F23),ISBLANK(G23),ISBLANK(K23)),0,IF(YEAR(D23)&lt;EINSTELLUNG!$C$35,IF(ISNUMBER(I23),IF(YEAR(I23)&lt;EINSTELLUNG!$C$35,0,IF(OR(YEAR(I23)&gt;EINSTELLUNG!$C$35,MONTH(I23)&gt;$A$1),G23,IF(MONTH(I23)&lt;$A$1,0,(G23/DAY(EOMONTH(DATE(EINSTELLUNG!$C$35,$A$1,1),0)))*DAY(I23)+K23))),G23+K23),IF(YEAR(D23)=EINSTELLUNG!$C$35,IF(MONTH(D23)&lt;$A$1,IF(ISNUMBER(I23),IF(YEAR(I23)&lt;EINSTELLUNG!$C$35,0,IF(OR(YEAR(I23)&gt;EINSTELLUNG!$C$35,MONTH(I23)&gt;$A$1),G23,IF(MONTH(I23)&lt;$A$1,0,(G23/DAY(EOMONTH(DATE(EINSTELLUNG!$C$35,$A$1,1),0)))*DAY(I23)+K23))),G23),IF(MONTH(D23)=$A$1,IF(ISNUMBER(I23),IF(OR(YEAR(I23)&gt;EINSTELLUNG!$C$35,MONTH(I23)&gt;$A$1),G23,(G23/DAY(EOMONTH(D23,0)))*(I23-D23+1)+K23),(G23/DAY(EOMONTH(D23,0)))*(DAY(EOMONTH(D23,0))-DAY(D23)+1)+K23),0)),0))),0)))</f>
        <v>2900</v>
      </c>
      <c r="M23" s="59"/>
      <c r="N23" s="75"/>
      <c r="O23" s="308" t="s">
        <v>296</v>
      </c>
      <c r="P23" s="249"/>
      <c r="Q23" s="238">
        <v>5000</v>
      </c>
      <c r="R23" s="239"/>
      <c r="S23" s="149"/>
      <c r="T23" s="149"/>
      <c r="U23" s="149"/>
      <c r="V23" s="149"/>
      <c r="W23" s="162"/>
    </row>
    <row r="24" spans="1:29" ht="22" customHeight="1">
      <c r="A24" s="151" t="s">
        <v>80</v>
      </c>
      <c r="B24" s="101">
        <v>401605</v>
      </c>
      <c r="C24" s="45" t="s">
        <v>407</v>
      </c>
      <c r="D24" s="46">
        <v>36850</v>
      </c>
      <c r="E24" s="47" t="s">
        <v>10</v>
      </c>
      <c r="F24" s="48">
        <v>151.38</v>
      </c>
      <c r="G24" s="152">
        <f>IF(OR(E24="",F24=""),"",PID_KVLohnLookup($A$1,E24,F24,LOHNTABELLE!$H$4))</f>
        <v>2012.5</v>
      </c>
      <c r="H24" s="153">
        <f>IF(AND(ISNUMBER(D24),ISNUMBER(F24)),ROUNDDOWN(MIN(IF(OR(ISBLANK(I24),I24=""),EOMONTH(DATE(EINSTELLUNG!$C$35,$A$1,1),0),I24)-MAX(D24,DATE(EINSTELLUNG!$C$35,$A$1,1))+1)/DAY(EOMONTH(DATE(EINSTELLUNG!$C$35,$A$1,1),0))*F24,2),"")</f>
        <v>151.38</v>
      </c>
      <c r="I24" s="49"/>
      <c r="J24" s="50"/>
      <c r="K24" s="152">
        <f t="shared" si="0"/>
        <v>0</v>
      </c>
      <c r="L24" s="154">
        <f>IF(OR($B24=",$C3="),"",IF(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0,"",IFERROR(IF(OR(ISBLANK(D24),ISBLANK(F24),ISBLANK(G24),ISBLANK(K24)),0,IF(YEAR(D24)&lt;EINSTELLUNG!$C$35,IF(ISNUMBER(I24),IF(YEAR(I24)&lt;EINSTELLUNG!$C$35,0,IF(OR(YEAR(I24)&gt;EINSTELLUNG!$C$35,MONTH(I24)&gt;$A$1),G24,IF(MONTH(I24)&lt;$A$1,0,(G24/DAY(EOMONTH(DATE(EINSTELLUNG!$C$35,$A$1,1),0)))*DAY(I24)+K24))),G24+K24),IF(YEAR(D24)=EINSTELLUNG!$C$35,IF(MONTH(D24)&lt;$A$1,IF(ISNUMBER(I24),IF(YEAR(I24)&lt;EINSTELLUNG!$C$35,0,IF(OR(YEAR(I24)&gt;EINSTELLUNG!$C$35,MONTH(I24)&gt;$A$1),G24,IF(MONTH(I24)&lt;$A$1,0,(G24/DAY(EOMONTH(DATE(EINSTELLUNG!$C$35,$A$1,1),0)))*DAY(I24)+K24))),G24),IF(MONTH(D24)=$A$1,IF(ISNUMBER(I24),IF(OR(YEAR(I24)&gt;EINSTELLUNG!$C$35,MONTH(I24)&gt;$A$1),G24,(G24/DAY(EOMONTH(D24,0)))*(I24-D24+1)+K24),(G24/DAY(EOMONTH(D24,0)))*(DAY(EOMONTH(D24,0))-DAY(D24)+1)+K24),0)),0))),0)))</f>
        <v>2012.5</v>
      </c>
      <c r="M24" s="51"/>
      <c r="N24" s="74"/>
      <c r="O24" s="308"/>
      <c r="P24" s="249"/>
      <c r="Q24" s="238"/>
      <c r="R24" s="239"/>
      <c r="S24" s="149"/>
      <c r="T24" s="149"/>
      <c r="U24" s="149"/>
      <c r="V24" s="149"/>
      <c r="W24" s="162"/>
    </row>
    <row r="25" spans="1:29" ht="22" customHeight="1">
      <c r="A25" s="151" t="s">
        <v>81</v>
      </c>
      <c r="B25" s="102">
        <v>401626</v>
      </c>
      <c r="C25" s="53" t="s">
        <v>246</v>
      </c>
      <c r="D25" s="54">
        <v>45063</v>
      </c>
      <c r="E25" s="55" t="s">
        <v>2</v>
      </c>
      <c r="F25" s="56">
        <v>173</v>
      </c>
      <c r="G25" s="152">
        <f>IF(OR(E25="",F25=""),"",PID_KVLohnLookup($A$1,E25,F25,LOHNTABELLE!$H$4))</f>
        <v>2900</v>
      </c>
      <c r="H25" s="153">
        <f>IF(AND(ISNUMBER(D25),ISNUMBER(F25)),ROUNDDOWN(MIN(IF(OR(ISBLANK(I25),I25=""),EOMONTH(DATE(EINSTELLUNG!$C$35,$A$1,1),0),I25)-MAX(D25,DATE(EINSTELLUNG!$C$35,$A$1,1))+1)/DAY(EOMONTH(DATE(EINSTELLUNG!$C$35,$A$1,1),0))*F25,2),"")</f>
        <v>173</v>
      </c>
      <c r="I25" s="57"/>
      <c r="J25" s="58"/>
      <c r="K25" s="152">
        <f t="shared" si="0"/>
        <v>0</v>
      </c>
      <c r="L25" s="154">
        <f>IF(OR($B25=",$C3="),"",IF(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0,"",IFERROR(IF(OR(ISBLANK(D25),ISBLANK(F25),ISBLANK(G25),ISBLANK(K25)),0,IF(YEAR(D25)&lt;EINSTELLUNG!$C$35,IF(ISNUMBER(I25),IF(YEAR(I25)&lt;EINSTELLUNG!$C$35,0,IF(OR(YEAR(I25)&gt;EINSTELLUNG!$C$35,MONTH(I25)&gt;$A$1),G25,IF(MONTH(I25)&lt;$A$1,0,(G25/DAY(EOMONTH(DATE(EINSTELLUNG!$C$35,$A$1,1),0)))*DAY(I25)+K25))),G25+K25),IF(YEAR(D25)=EINSTELLUNG!$C$35,IF(MONTH(D25)&lt;$A$1,IF(ISNUMBER(I25),IF(YEAR(I25)&lt;EINSTELLUNG!$C$35,0,IF(OR(YEAR(I25)&gt;EINSTELLUNG!$C$35,MONTH(I25)&gt;$A$1),G25,IF(MONTH(I25)&lt;$A$1,0,(G25/DAY(EOMONTH(DATE(EINSTELLUNG!$C$35,$A$1,1),0)))*DAY(I25)+K25))),G25),IF(MONTH(D25)=$A$1,IF(ISNUMBER(I25),IF(OR(YEAR(I25)&gt;EINSTELLUNG!$C$35,MONTH(I25)&gt;$A$1),G25,(G25/DAY(EOMONTH(D25,0)))*(I25-D25+1)+K25),(G25/DAY(EOMONTH(D25,0)))*(DAY(EOMONTH(D25,0))-DAY(D25)+1)+K25),0)),0))),0)))</f>
        <v>2900</v>
      </c>
      <c r="M25" s="59"/>
      <c r="N25" s="75"/>
      <c r="O25" s="308"/>
      <c r="P25" s="249"/>
      <c r="Q25" s="238"/>
      <c r="R25" s="239"/>
      <c r="S25" s="149"/>
      <c r="T25" s="149"/>
      <c r="U25" s="149"/>
      <c r="V25" s="149"/>
    </row>
    <row r="26" spans="1:29" ht="22" customHeight="1">
      <c r="A26" s="151" t="s">
        <v>82</v>
      </c>
      <c r="B26" s="101">
        <v>401633</v>
      </c>
      <c r="C26" s="45" t="s">
        <v>247</v>
      </c>
      <c r="D26" s="46">
        <v>45089</v>
      </c>
      <c r="E26" s="47" t="s">
        <v>10</v>
      </c>
      <c r="F26" s="48">
        <v>173</v>
      </c>
      <c r="G26" s="152">
        <f>IF(OR(E26="",F26=""),"",PID_KVLohnLookup($A$1,E26,F26,LOHNTABELLE!$H$4))</f>
        <v>2300</v>
      </c>
      <c r="H26" s="153">
        <f>IF(AND(ISNUMBER(D26),ISNUMBER(F26)),ROUNDDOWN(MIN(IF(OR(ISBLANK(I26),I26=""),EOMONTH(DATE(EINSTELLUNG!$C$35,$A$1,1),0),I26)-MAX(D26,DATE(EINSTELLUNG!$C$35,$A$1,1))+1)/DAY(EOMONTH(DATE(EINSTELLUNG!$C$35,$A$1,1),0))*F26,2),"")</f>
        <v>173</v>
      </c>
      <c r="I26" s="49"/>
      <c r="J26" s="50"/>
      <c r="K26" s="152">
        <f t="shared" si="0"/>
        <v>0</v>
      </c>
      <c r="L26" s="154">
        <f>IF(OR($B26=",$C3="),"",IF(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0,"",IFERROR(IF(OR(ISBLANK(D26),ISBLANK(F26),ISBLANK(G26),ISBLANK(K26)),0,IF(YEAR(D26)&lt;EINSTELLUNG!$C$35,IF(ISNUMBER(I26),IF(YEAR(I26)&lt;EINSTELLUNG!$C$35,0,IF(OR(YEAR(I26)&gt;EINSTELLUNG!$C$35,MONTH(I26)&gt;$A$1),G26,IF(MONTH(I26)&lt;$A$1,0,(G26/DAY(EOMONTH(DATE(EINSTELLUNG!$C$35,$A$1,1),0)))*DAY(I26)+K26))),G26+K26),IF(YEAR(D26)=EINSTELLUNG!$C$35,IF(MONTH(D26)&lt;$A$1,IF(ISNUMBER(I26),IF(YEAR(I26)&lt;EINSTELLUNG!$C$35,0,IF(OR(YEAR(I26)&gt;EINSTELLUNG!$C$35,MONTH(I26)&gt;$A$1),G26,IF(MONTH(I26)&lt;$A$1,0,(G26/DAY(EOMONTH(DATE(EINSTELLUNG!$C$35,$A$1,1),0)))*DAY(I26)+K26))),G26),IF(MONTH(D26)=$A$1,IF(ISNUMBER(I26),IF(OR(YEAR(I26)&gt;EINSTELLUNG!$C$35,MONTH(I26)&gt;$A$1),G26,(G26/DAY(EOMONTH(D26,0)))*(I26-D26+1)+K26),(G26/DAY(EOMONTH(D26,0)))*(DAY(EOMONTH(D26,0))-DAY(D26)+1)+K26),0)),0))),0)))</f>
        <v>2300</v>
      </c>
      <c r="M26" s="51"/>
      <c r="N26" s="74"/>
      <c r="O26" s="308"/>
      <c r="P26" s="249"/>
      <c r="Q26" s="238"/>
      <c r="R26" s="239"/>
      <c r="S26" s="149"/>
      <c r="T26" s="149"/>
      <c r="U26" s="149"/>
      <c r="V26" s="149"/>
    </row>
    <row r="27" spans="1:29" ht="22" customHeight="1">
      <c r="A27" s="151" t="s">
        <v>83</v>
      </c>
      <c r="B27" s="102">
        <v>401647</v>
      </c>
      <c r="C27" s="53" t="s">
        <v>248</v>
      </c>
      <c r="D27" s="54">
        <v>45182</v>
      </c>
      <c r="E27" s="55" t="s">
        <v>2</v>
      </c>
      <c r="F27" s="56">
        <v>173</v>
      </c>
      <c r="G27" s="152">
        <f>IF(OR(E27="",F27=""),"",PID_KVLohnLookup($A$1,E27,F27,LOHNTABELLE!$H$4))</f>
        <v>2900</v>
      </c>
      <c r="H27" s="153">
        <f>IF(AND(ISNUMBER(D27),ISNUMBER(F27)),ROUNDDOWN(MIN(IF(OR(ISBLANK(I27),I27=""),EOMONTH(DATE(EINSTELLUNG!$C$35,$A$1,1),0),I27)-MAX(D27,DATE(EINSTELLUNG!$C$35,$A$1,1))+1)/DAY(EOMONTH(DATE(EINSTELLUNG!$C$35,$A$1,1),0))*F27,2),"")</f>
        <v>173</v>
      </c>
      <c r="I27" s="57"/>
      <c r="J27" s="58"/>
      <c r="K27" s="152">
        <f t="shared" si="0"/>
        <v>0</v>
      </c>
      <c r="L27" s="154">
        <f>IF(OR($B27=",$C3="),"",IF(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0,"",IFERROR(IF(OR(ISBLANK(D27),ISBLANK(F27),ISBLANK(G27),ISBLANK(K27)),0,IF(YEAR(D27)&lt;EINSTELLUNG!$C$35,IF(ISNUMBER(I27),IF(YEAR(I27)&lt;EINSTELLUNG!$C$35,0,IF(OR(YEAR(I27)&gt;EINSTELLUNG!$C$35,MONTH(I27)&gt;$A$1),G27,IF(MONTH(I27)&lt;$A$1,0,(G27/DAY(EOMONTH(DATE(EINSTELLUNG!$C$35,$A$1,1),0)))*DAY(I27)+K27))),G27+K27),IF(YEAR(D27)=EINSTELLUNG!$C$35,IF(MONTH(D27)&lt;$A$1,IF(ISNUMBER(I27),IF(YEAR(I27)&lt;EINSTELLUNG!$C$35,0,IF(OR(YEAR(I27)&gt;EINSTELLUNG!$C$35,MONTH(I27)&gt;$A$1),G27,IF(MONTH(I27)&lt;$A$1,0,(G27/DAY(EOMONTH(DATE(EINSTELLUNG!$C$35,$A$1,1),0)))*DAY(I27)+K27))),G27),IF(MONTH(D27)=$A$1,IF(ISNUMBER(I27),IF(OR(YEAR(I27)&gt;EINSTELLUNG!$C$35,MONTH(I27)&gt;$A$1),G27,(G27/DAY(EOMONTH(D27,0)))*(I27-D27+1)+K27),(G27/DAY(EOMONTH(D27,0)))*(DAY(EOMONTH(D27,0))-DAY(D27)+1)+K27),0)),0))),0)))</f>
        <v>2900</v>
      </c>
      <c r="M27" s="59"/>
      <c r="N27" s="75"/>
      <c r="O27" s="308"/>
      <c r="P27" s="249"/>
      <c r="Q27" s="238"/>
      <c r="R27" s="239"/>
      <c r="S27" s="247"/>
      <c r="T27" s="247"/>
      <c r="U27" s="247"/>
      <c r="V27" s="247"/>
    </row>
    <row r="28" spans="1:29" ht="22" customHeight="1">
      <c r="A28" s="151" t="s">
        <v>85</v>
      </c>
      <c r="B28" s="101">
        <v>401661</v>
      </c>
      <c r="C28" s="45" t="s">
        <v>249</v>
      </c>
      <c r="D28" s="46">
        <v>45261</v>
      </c>
      <c r="E28" s="47" t="s">
        <v>2</v>
      </c>
      <c r="F28" s="48">
        <v>173</v>
      </c>
      <c r="G28" s="152">
        <f>IF(OR(E28="",F28=""),"",PID_KVLohnLookup($A$1,E28,F28,LOHNTABELLE!$H$4))</f>
        <v>2900</v>
      </c>
      <c r="H28" s="153">
        <f>IF(AND(ISNUMBER(D28),ISNUMBER(F28)),ROUNDDOWN(MIN(IF(OR(ISBLANK(I28),I28=""),EOMONTH(DATE(EINSTELLUNG!$C$35,$A$1,1),0),I28)-MAX(D28,DATE(EINSTELLUNG!$C$35,$A$1,1))+1)/DAY(EOMONTH(DATE(EINSTELLUNG!$C$35,$A$1,1),0))*F28,2),"")</f>
        <v>173</v>
      </c>
      <c r="I28" s="49"/>
      <c r="J28" s="50"/>
      <c r="K28" s="152">
        <f t="shared" si="0"/>
        <v>0</v>
      </c>
      <c r="L28" s="154">
        <f>IF(OR($B28=",$C3="),"",IF(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0,"",IFERROR(IF(OR(ISBLANK(D28),ISBLANK(F28),ISBLANK(G28),ISBLANK(K28)),0,IF(YEAR(D28)&lt;EINSTELLUNG!$C$35,IF(ISNUMBER(I28),IF(YEAR(I28)&lt;EINSTELLUNG!$C$35,0,IF(OR(YEAR(I28)&gt;EINSTELLUNG!$C$35,MONTH(I28)&gt;$A$1),G28,IF(MONTH(I28)&lt;$A$1,0,(G28/DAY(EOMONTH(DATE(EINSTELLUNG!$C$35,$A$1,1),0)))*DAY(I28)+K28))),G28+K28),IF(YEAR(D28)=EINSTELLUNG!$C$35,IF(MONTH(D28)&lt;$A$1,IF(ISNUMBER(I28),IF(YEAR(I28)&lt;EINSTELLUNG!$C$35,0,IF(OR(YEAR(I28)&gt;EINSTELLUNG!$C$35,MONTH(I28)&gt;$A$1),G28,IF(MONTH(I28)&lt;$A$1,0,(G28/DAY(EOMONTH(DATE(EINSTELLUNG!$C$35,$A$1,1),0)))*DAY(I28)+K28))),G28),IF(MONTH(D28)=$A$1,IF(ISNUMBER(I28),IF(OR(YEAR(I28)&gt;EINSTELLUNG!$C$35,MONTH(I28)&gt;$A$1),G28,(G28/DAY(EOMONTH(D28,0)))*(I28-D28+1)+K28),(G28/DAY(EOMONTH(D28,0)))*(DAY(EOMONTH(D28,0))-DAY(D28)+1)+K28),0)),0))),0)))</f>
        <v>2900</v>
      </c>
      <c r="M28" s="51"/>
      <c r="N28" s="74"/>
      <c r="O28" s="308"/>
      <c r="P28" s="249"/>
      <c r="Q28" s="238"/>
      <c r="R28" s="239"/>
      <c r="S28" s="149"/>
      <c r="T28" s="149"/>
      <c r="U28" s="149"/>
      <c r="V28" s="149"/>
    </row>
    <row r="29" spans="1:29" ht="22" customHeight="1" thickBot="1">
      <c r="A29" s="151" t="s">
        <v>86</v>
      </c>
      <c r="B29" s="102">
        <v>401670</v>
      </c>
      <c r="C29" s="53" t="s">
        <v>250</v>
      </c>
      <c r="D29" s="54">
        <v>45358</v>
      </c>
      <c r="E29" s="55" t="s">
        <v>2</v>
      </c>
      <c r="F29" s="56">
        <v>173</v>
      </c>
      <c r="G29" s="152">
        <f>IF(OR(E29="",F29=""),"",PID_KVLohnLookup($A$1,E29,F29,LOHNTABELLE!$H$4))</f>
        <v>2900</v>
      </c>
      <c r="H29" s="153">
        <f>IF(AND(ISNUMBER(D29),ISNUMBER(F29)),ROUNDDOWN(MIN(IF(OR(ISBLANK(I29),I29=""),EOMONTH(DATE(EINSTELLUNG!$C$35,$A$1,1),0),I29)-MAX(D29,DATE(EINSTELLUNG!$C$35,$A$1,1))+1)/DAY(EOMONTH(DATE(EINSTELLUNG!$C$35,$A$1,1),0))*F29,2),"")</f>
        <v>173</v>
      </c>
      <c r="I29" s="57"/>
      <c r="J29" s="58"/>
      <c r="K29" s="152">
        <f t="shared" si="0"/>
        <v>0</v>
      </c>
      <c r="L29" s="154">
        <f>IF(OR($B29=",$C3="),"",IF(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0,"",IFERROR(IF(OR(ISBLANK(D29),ISBLANK(F29),ISBLANK(G29),ISBLANK(K29)),0,IF(YEAR(D29)&lt;EINSTELLUNG!$C$35,IF(ISNUMBER(I29),IF(YEAR(I29)&lt;EINSTELLUNG!$C$35,0,IF(OR(YEAR(I29)&gt;EINSTELLUNG!$C$35,MONTH(I29)&gt;$A$1),G29,IF(MONTH(I29)&lt;$A$1,0,(G29/DAY(EOMONTH(DATE(EINSTELLUNG!$C$35,$A$1,1),0)))*DAY(I29)+K29))),G29+K29),IF(YEAR(D29)=EINSTELLUNG!$C$35,IF(MONTH(D29)&lt;$A$1,IF(ISNUMBER(I29),IF(YEAR(I29)&lt;EINSTELLUNG!$C$35,0,IF(OR(YEAR(I29)&gt;EINSTELLUNG!$C$35,MONTH(I29)&gt;$A$1),G29,IF(MONTH(I29)&lt;$A$1,0,(G29/DAY(EOMONTH(DATE(EINSTELLUNG!$C$35,$A$1,1),0)))*DAY(I29)+K29))),G29),IF(MONTH(D29)=$A$1,IF(ISNUMBER(I29),IF(OR(YEAR(I29)&gt;EINSTELLUNG!$C$35,MONTH(I29)&gt;$A$1),G29,(G29/DAY(EOMONTH(D29,0)))*(I29-D29+1)+K29),(G29/DAY(EOMONTH(D29,0)))*(DAY(EOMONTH(D29,0))-DAY(D29)+1)+K29),0)),0))),0)))</f>
        <v>2900</v>
      </c>
      <c r="M29" s="59"/>
      <c r="N29" s="75"/>
      <c r="O29" s="312" t="s">
        <v>87</v>
      </c>
      <c r="P29" s="241"/>
      <c r="Q29" s="295">
        <f>EINSTELLUNG!O17</f>
        <v>1250</v>
      </c>
      <c r="R29" s="296"/>
      <c r="S29" s="149"/>
      <c r="T29" s="149"/>
      <c r="U29" s="149"/>
      <c r="V29" s="149"/>
    </row>
    <row r="30" spans="1:29" ht="22" customHeight="1" thickBot="1">
      <c r="A30" s="151" t="s">
        <v>88</v>
      </c>
      <c r="B30" s="101">
        <v>401678</v>
      </c>
      <c r="C30" s="45" t="s">
        <v>251</v>
      </c>
      <c r="D30" s="46">
        <v>45414</v>
      </c>
      <c r="E30" s="47" t="s">
        <v>2</v>
      </c>
      <c r="F30" s="48">
        <v>173</v>
      </c>
      <c r="G30" s="152">
        <f>IF(OR(E30="",F30=""),"",PID_KVLohnLookup($A$1,E30,F30,LOHNTABELLE!$H$4))</f>
        <v>2900</v>
      </c>
      <c r="H30" s="153">
        <f>IF(AND(ISNUMBER(D30),ISNUMBER(F30)),ROUNDDOWN(MIN(IF(OR(ISBLANK(I30),I30=""),EOMONTH(DATE(EINSTELLUNG!$C$35,$A$1,1),0),I30)-MAX(D30,DATE(EINSTELLUNG!$C$35,$A$1,1))+1)/DAY(EOMONTH(DATE(EINSTELLUNG!$C$35,$A$1,1),0))*F30,2),"")</f>
        <v>173</v>
      </c>
      <c r="I30" s="49"/>
      <c r="J30" s="50"/>
      <c r="K30" s="152">
        <f t="shared" si="0"/>
        <v>0</v>
      </c>
      <c r="L30" s="154">
        <f>IF(OR($B30=",$C3="),"",IF(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0,"",IFERROR(IF(OR(ISBLANK(D30),ISBLANK(F30),ISBLANK(G30),ISBLANK(K30)),0,IF(YEAR(D30)&lt;EINSTELLUNG!$C$35,IF(ISNUMBER(I30),IF(YEAR(I30)&lt;EINSTELLUNG!$C$35,0,IF(OR(YEAR(I30)&gt;EINSTELLUNG!$C$35,MONTH(I30)&gt;$A$1),G30,IF(MONTH(I30)&lt;$A$1,0,(G30/DAY(EOMONTH(DATE(EINSTELLUNG!$C$35,$A$1,1),0)))*DAY(I30)+K30))),G30+K30),IF(YEAR(D30)=EINSTELLUNG!$C$35,IF(MONTH(D30)&lt;$A$1,IF(ISNUMBER(I30),IF(YEAR(I30)&lt;EINSTELLUNG!$C$35,0,IF(OR(YEAR(I30)&gt;EINSTELLUNG!$C$35,MONTH(I30)&gt;$A$1),G30,IF(MONTH(I30)&lt;$A$1,0,(G30/DAY(EOMONTH(DATE(EINSTELLUNG!$C$35,$A$1,1),0)))*DAY(I30)+K30))),G30),IF(MONTH(D30)=$A$1,IF(ISNUMBER(I30),IF(OR(YEAR(I30)&gt;EINSTELLUNG!$C$35,MONTH(I30)&gt;$A$1),G30,(G30/DAY(EOMONTH(D30,0)))*(I30-D30+1)+K30),(G30/DAY(EOMONTH(D30,0)))*(DAY(EOMONTH(D30,0))-DAY(D30)+1)+K30),0)),0))),0)))</f>
        <v>2900</v>
      </c>
      <c r="M30" s="51"/>
      <c r="N30" s="74"/>
      <c r="O30" s="149"/>
      <c r="P30" s="149"/>
      <c r="Q30" s="149"/>
      <c r="R30" s="149"/>
      <c r="S30" s="149"/>
      <c r="T30" s="149"/>
      <c r="U30" s="149"/>
      <c r="V30" s="149"/>
      <c r="W30" s="163"/>
      <c r="X30" s="163"/>
      <c r="Y30" s="163"/>
      <c r="Z30" s="163"/>
      <c r="AA30" s="163"/>
      <c r="AB30" s="163"/>
      <c r="AC30" s="163"/>
    </row>
    <row r="31" spans="1:29" ht="22" customHeight="1" thickBot="1">
      <c r="A31" s="151" t="s">
        <v>89</v>
      </c>
      <c r="B31" s="102">
        <v>401690</v>
      </c>
      <c r="C31" s="53" t="s">
        <v>253</v>
      </c>
      <c r="D31" s="54">
        <v>45536</v>
      </c>
      <c r="E31" s="55" t="s">
        <v>2</v>
      </c>
      <c r="F31" s="56">
        <v>151.38</v>
      </c>
      <c r="G31" s="152">
        <f>IF(OR(E31="",F31=""),"",PID_KVLohnLookup($A$1,E31,F31,LOHNTABELLE!$H$4))</f>
        <v>2500</v>
      </c>
      <c r="H31" s="153">
        <f>IF(AND(ISNUMBER(D31),ISNUMBER(F31)),ROUNDDOWN(MIN(IF(OR(ISBLANK(I31),I31=""),EOMONTH(DATE(EINSTELLUNG!$C$35,$A$1,1),0),I31)-MAX(D31,DATE(EINSTELLUNG!$C$35,$A$1,1))+1)/DAY(EOMONTH(DATE(EINSTELLUNG!$C$35,$A$1,1),0))*F31,2),"")</f>
        <v>151.38</v>
      </c>
      <c r="I31" s="57"/>
      <c r="J31" s="58"/>
      <c r="K31" s="152">
        <f t="shared" si="0"/>
        <v>0</v>
      </c>
      <c r="L31" s="154">
        <f>IF(OR($B31=",$C3="),"",IF(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0,"",IFERROR(IF(OR(ISBLANK(D31),ISBLANK(F31),ISBLANK(G31),ISBLANK(K31)),0,IF(YEAR(D31)&lt;EINSTELLUNG!$C$35,IF(ISNUMBER(I31),IF(YEAR(I31)&lt;EINSTELLUNG!$C$35,0,IF(OR(YEAR(I31)&gt;EINSTELLUNG!$C$35,MONTH(I31)&gt;$A$1),G31,IF(MONTH(I31)&lt;$A$1,0,(G31/DAY(EOMONTH(DATE(EINSTELLUNG!$C$35,$A$1,1),0)))*DAY(I31)+K31))),G31+K31),IF(YEAR(D31)=EINSTELLUNG!$C$35,IF(MONTH(D31)&lt;$A$1,IF(ISNUMBER(I31),IF(YEAR(I31)&lt;EINSTELLUNG!$C$35,0,IF(OR(YEAR(I31)&gt;EINSTELLUNG!$C$35,MONTH(I31)&gt;$A$1),G31,IF(MONTH(I31)&lt;$A$1,0,(G31/DAY(EOMONTH(DATE(EINSTELLUNG!$C$35,$A$1,1),0)))*DAY(I31)+K31))),G31),IF(MONTH(D31)=$A$1,IF(ISNUMBER(I31),IF(OR(YEAR(I31)&gt;EINSTELLUNG!$C$35,MONTH(I31)&gt;$A$1),G31,(G31/DAY(EOMONTH(D31,0)))*(I31-D31+1)+K31),(G31/DAY(EOMONTH(D31,0)))*(DAY(EOMONTH(D31,0))-DAY(D31)+1)+K31),0)),0))),0)))</f>
        <v>2500</v>
      </c>
      <c r="M31" s="59"/>
      <c r="N31" s="75"/>
      <c r="O31" s="309">
        <v>0</v>
      </c>
      <c r="P31" s="300"/>
      <c r="Q31" s="284">
        <v>0</v>
      </c>
      <c r="R31" s="285"/>
      <c r="S31" s="149"/>
      <c r="T31" s="149"/>
      <c r="U31" s="149"/>
      <c r="V31" s="149"/>
    </row>
    <row r="32" spans="1:29" ht="22" customHeight="1" thickBot="1">
      <c r="A32" s="151" t="s">
        <v>91</v>
      </c>
      <c r="B32" s="101">
        <v>401715</v>
      </c>
      <c r="C32" s="45" t="s">
        <v>256</v>
      </c>
      <c r="D32" s="46">
        <v>45755</v>
      </c>
      <c r="E32" s="47" t="s">
        <v>2</v>
      </c>
      <c r="F32" s="48">
        <v>173</v>
      </c>
      <c r="G32" s="152">
        <f>IF(OR(E32="",F32=""),"",PID_KVLohnLookup($A$1,E32,F32,LOHNTABELLE!$H$4))</f>
        <v>2900</v>
      </c>
      <c r="H32" s="153">
        <f>IF(AND(ISNUMBER(D32),ISNUMBER(F32)),ROUNDDOWN(MIN(IF(OR(ISBLANK(I32),I32=""),EOMONTH(DATE(EINSTELLUNG!$C$35,$A$1,1),0),I32)-MAX(D32,DATE(EINSTELLUNG!$C$35,$A$1,1))+1)/DAY(EOMONTH(DATE(EINSTELLUNG!$C$35,$A$1,1),0))*F32,2),"")</f>
        <v>173</v>
      </c>
      <c r="I32" s="49"/>
      <c r="J32" s="50"/>
      <c r="K32" s="152">
        <f t="shared" si="0"/>
        <v>0</v>
      </c>
      <c r="L32" s="154">
        <f>IF(OR($B32=",$C3="),"",IF(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0,"",IFERROR(IF(OR(ISBLANK(D32),ISBLANK(F32),ISBLANK(G32),ISBLANK(K32)),0,IF(YEAR(D32)&lt;EINSTELLUNG!$C$35,IF(ISNUMBER(I32),IF(YEAR(I32)&lt;EINSTELLUNG!$C$35,0,IF(OR(YEAR(I32)&gt;EINSTELLUNG!$C$35,MONTH(I32)&gt;$A$1),G32,IF(MONTH(I32)&lt;$A$1,0,(G32/DAY(EOMONTH(DATE(EINSTELLUNG!$C$35,$A$1,1),0)))*DAY(I32)+K32))),G32+K32),IF(YEAR(D32)=EINSTELLUNG!$C$35,IF(MONTH(D32)&lt;$A$1,IF(ISNUMBER(I32),IF(YEAR(I32)&lt;EINSTELLUNG!$C$35,0,IF(OR(YEAR(I32)&gt;EINSTELLUNG!$C$35,MONTH(I32)&gt;$A$1),G32,IF(MONTH(I32)&lt;$A$1,0,(G32/DAY(EOMONTH(DATE(EINSTELLUNG!$C$35,$A$1,1),0)))*DAY(I32)+K32))),G32),IF(MONTH(D32)=$A$1,IF(ISNUMBER(I32),IF(OR(YEAR(I32)&gt;EINSTELLUNG!$C$35,MONTH(I32)&gt;$A$1),G32,(G32/DAY(EOMONTH(D32,0)))*(I32-D32+1)+K32),(G32/DAY(EOMONTH(D32,0)))*(DAY(EOMONTH(D32,0))-DAY(D32)+1)+K32),0)),0))),0)))</f>
        <v>2900</v>
      </c>
      <c r="M32" s="51"/>
      <c r="N32" s="74"/>
      <c r="O32" s="149"/>
      <c r="P32" s="149"/>
      <c r="Q32" s="149"/>
      <c r="R32" s="149"/>
      <c r="S32" s="149"/>
      <c r="T32" s="149"/>
      <c r="U32" s="149"/>
      <c r="V32" s="149"/>
    </row>
    <row r="33" spans="1:22" ht="22" customHeight="1">
      <c r="A33" s="151" t="s">
        <v>92</v>
      </c>
      <c r="B33" s="102">
        <v>401716</v>
      </c>
      <c r="C33" s="53" t="s">
        <v>257</v>
      </c>
      <c r="D33" s="54">
        <v>45800</v>
      </c>
      <c r="E33" s="55" t="s">
        <v>2</v>
      </c>
      <c r="F33" s="56">
        <v>173</v>
      </c>
      <c r="G33" s="152">
        <f>IF(OR(E33="",F33=""),"",PID_KVLohnLookup($A$1,E33,F33,LOHNTABELLE!$H$4))</f>
        <v>2900</v>
      </c>
      <c r="H33" s="153">
        <f>IF(AND(ISNUMBER(D33),ISNUMBER(F33)),ROUNDDOWN(MIN(IF(OR(ISBLANK(I33),I33=""),EOMONTH(DATE(EINSTELLUNG!$C$35,$A$1,1),0),I33)-MAX(D33,DATE(EINSTELLUNG!$C$35,$A$1,1))+1)/DAY(EOMONTH(DATE(EINSTELLUNG!$C$35,$A$1,1),0))*F33,2),"")</f>
        <v>173</v>
      </c>
      <c r="I33" s="57"/>
      <c r="J33" s="58"/>
      <c r="K33" s="152">
        <f t="shared" si="0"/>
        <v>0</v>
      </c>
      <c r="L33" s="154">
        <f>IF(OR($B33=",$C3="),"",IF(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0,"",IFERROR(IF(OR(ISBLANK(D33),ISBLANK(F33),ISBLANK(G33),ISBLANK(K33)),0,IF(YEAR(D33)&lt;EINSTELLUNG!$C$35,IF(ISNUMBER(I33),IF(YEAR(I33)&lt;EINSTELLUNG!$C$35,0,IF(OR(YEAR(I33)&gt;EINSTELLUNG!$C$35,MONTH(I33)&gt;$A$1),G33,IF(MONTH(I33)&lt;$A$1,0,(G33/DAY(EOMONTH(DATE(EINSTELLUNG!$C$35,$A$1,1),0)))*DAY(I33)+K33))),G33+K33),IF(YEAR(D33)=EINSTELLUNG!$C$35,IF(MONTH(D33)&lt;$A$1,IF(ISNUMBER(I33),IF(YEAR(I33)&lt;EINSTELLUNG!$C$35,0,IF(OR(YEAR(I33)&gt;EINSTELLUNG!$C$35,MONTH(I33)&gt;$A$1),G33,IF(MONTH(I33)&lt;$A$1,0,(G33/DAY(EOMONTH(DATE(EINSTELLUNG!$C$35,$A$1,1),0)))*DAY(I33)+K33))),G33),IF(MONTH(D33)=$A$1,IF(ISNUMBER(I33),IF(OR(YEAR(I33)&gt;EINSTELLUNG!$C$35,MONTH(I33)&gt;$A$1),G33,(G33/DAY(EOMONTH(D33,0)))*(I33-D33+1)+K33),(G33/DAY(EOMONTH(D33,0)))*(DAY(EOMONTH(D33,0))-DAY(D33)+1)+K33),0)),0))),0)))</f>
        <v>2900</v>
      </c>
      <c r="M33" s="59"/>
      <c r="N33" s="75"/>
      <c r="O33" s="310"/>
      <c r="P33" s="291"/>
      <c r="Q33" s="280" t="str">
        <f>EINSTELLUNG!B3</f>
        <v>Budget</v>
      </c>
      <c r="R33" s="280"/>
      <c r="S33" s="280" t="str">
        <f>EINSTELLUNG!B19</f>
        <v>Projection/Aktuell Zahlen</v>
      </c>
      <c r="T33" s="280"/>
      <c r="U33" s="280" t="s">
        <v>95</v>
      </c>
      <c r="V33" s="282"/>
    </row>
    <row r="34" spans="1:22" ht="22" customHeight="1">
      <c r="A34" s="151" t="s">
        <v>96</v>
      </c>
      <c r="B34" s="101">
        <v>401717</v>
      </c>
      <c r="C34" s="45" t="s">
        <v>258</v>
      </c>
      <c r="D34" s="46">
        <v>45814</v>
      </c>
      <c r="E34" s="47" t="s">
        <v>2</v>
      </c>
      <c r="F34" s="48">
        <v>86.5</v>
      </c>
      <c r="G34" s="152">
        <f>IF(OR(E34="",F34=""),"",PID_KVLohnLookup($A$1,E34,F34,LOHNTABELLE!$H$4))</f>
        <v>2152</v>
      </c>
      <c r="H34" s="153">
        <f>IF(AND(ISNUMBER(D34),ISNUMBER(F34)),ROUNDDOWN(MIN(IF(OR(ISBLANK(I34),I34=""),EOMONTH(DATE(EINSTELLUNG!$C$35,$A$1,1),0),I34)-MAX(D34,DATE(EINSTELLUNG!$C$35,$A$1,1))+1)/DAY(EOMONTH(DATE(EINSTELLUNG!$C$35,$A$1,1),0))*F34,2),"")</f>
        <v>86.5</v>
      </c>
      <c r="I34" s="49"/>
      <c r="J34" s="50"/>
      <c r="K34" s="152">
        <f t="shared" si="0"/>
        <v>0</v>
      </c>
      <c r="L34" s="154">
        <f>IF(OR($B34=",$C3="),"",IF(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0,"",IFERROR(IF(OR(ISBLANK(D34),ISBLANK(F34),ISBLANK(G34),ISBLANK(K34)),0,IF(YEAR(D34)&lt;EINSTELLUNG!$C$35,IF(ISNUMBER(I34),IF(YEAR(I34)&lt;EINSTELLUNG!$C$35,0,IF(OR(YEAR(I34)&gt;EINSTELLUNG!$C$35,MONTH(I34)&gt;$A$1),G34,IF(MONTH(I34)&lt;$A$1,0,(G34/DAY(EOMONTH(DATE(EINSTELLUNG!$C$35,$A$1,1),0)))*DAY(I34)+K34))),G34+K34),IF(YEAR(D34)=EINSTELLUNG!$C$35,IF(MONTH(D34)&lt;$A$1,IF(ISNUMBER(I34),IF(YEAR(I34)&lt;EINSTELLUNG!$C$35,0,IF(OR(YEAR(I34)&gt;EINSTELLUNG!$C$35,MONTH(I34)&gt;$A$1),G34,IF(MONTH(I34)&lt;$A$1,0,(G34/DAY(EOMONTH(DATE(EINSTELLUNG!$C$35,$A$1,1),0)))*DAY(I34)+K34))),G34),IF(MONTH(D34)=$A$1,IF(ISNUMBER(I34),IF(OR(YEAR(I34)&gt;EINSTELLUNG!$C$35,MONTH(I34)&gt;$A$1),G34,(G34/DAY(EOMONTH(D34,0)))*(I34-D34+1)+K34),(G34/DAY(EOMONTH(D34,0)))*(DAY(EOMONTH(D34,0))-DAY(D34)+1)+K34),0)),0))),0)))</f>
        <v>2152</v>
      </c>
      <c r="M34" s="51"/>
      <c r="N34" s="74"/>
      <c r="O34" s="311"/>
      <c r="P34" s="293"/>
      <c r="Q34" s="281"/>
      <c r="R34" s="281"/>
      <c r="S34" s="281"/>
      <c r="T34" s="281"/>
      <c r="U34" s="281"/>
      <c r="V34" s="283"/>
    </row>
    <row r="35" spans="1:22" ht="22" customHeight="1">
      <c r="A35" s="151" t="s">
        <v>97</v>
      </c>
      <c r="B35" s="102">
        <v>401722</v>
      </c>
      <c r="C35" s="53" t="s">
        <v>259</v>
      </c>
      <c r="D35" s="54">
        <v>45848</v>
      </c>
      <c r="E35" s="55" t="s">
        <v>2</v>
      </c>
      <c r="F35" s="56">
        <v>86.5</v>
      </c>
      <c r="G35" s="152">
        <f>IF(OR(E35="",F35=""),"",PID_KVLohnLookup($A$1,E35,F35,LOHNTABELLE!$H$4))</f>
        <v>2152</v>
      </c>
      <c r="H35" s="153">
        <f>IF(AND(ISNUMBER(D35),ISNUMBER(F35)),ROUNDDOWN(MIN(IF(OR(ISBLANK(I35),I35=""),EOMONTH(DATE(EINSTELLUNG!$C$35,$A$1,1),0),I35)-MAX(D35,DATE(EINSTELLUNG!$C$35,$A$1,1))+1)/DAY(EOMONTH(DATE(EINSTELLUNG!$C$35,$A$1,1),0))*F35,2),"")</f>
        <v>86.5</v>
      </c>
      <c r="I35" s="57"/>
      <c r="J35" s="58"/>
      <c r="K35" s="152">
        <f t="shared" ref="K35:K66" si="1">IF(OR(B35="",C35=""),"",IFERROR(IF(OR(MONTH(D35)=1,MONTH(D35)=3,MONTH(D35)=5,MONTH(D35)=7,MONTH(D35)=8,MONTH(D35)=10,MONTH(D35)=12),(G35/31)*J35,IF(OR(MONTH(D35)=4,MONTH(D35)=6,MONTH(D35)=9,MONTH(D35)=11),(G35/30)*J35,(G35/DAY(EOMONTH(D35,0)))*J35)),0))</f>
        <v>0</v>
      </c>
      <c r="L35" s="154">
        <f>IF(OR($B35=",$C3="),"",IF(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0,"",IFERROR(IF(OR(ISBLANK(D35),ISBLANK(F35),ISBLANK(G35),ISBLANK(K35)),0,IF(YEAR(D35)&lt;EINSTELLUNG!$C$35,IF(ISNUMBER(I35),IF(YEAR(I35)&lt;EINSTELLUNG!$C$35,0,IF(OR(YEAR(I35)&gt;EINSTELLUNG!$C$35,MONTH(I35)&gt;$A$1),G35,IF(MONTH(I35)&lt;$A$1,0,(G35/DAY(EOMONTH(DATE(EINSTELLUNG!$C$35,$A$1,1),0)))*DAY(I35)+K35))),G35+K35),IF(YEAR(D35)=EINSTELLUNG!$C$35,IF(MONTH(D35)&lt;$A$1,IF(ISNUMBER(I35),IF(YEAR(I35)&lt;EINSTELLUNG!$C$35,0,IF(OR(YEAR(I35)&gt;EINSTELLUNG!$C$35,MONTH(I35)&gt;$A$1),G35,IF(MONTH(I35)&lt;$A$1,0,(G35/DAY(EOMONTH(DATE(EINSTELLUNG!$C$35,$A$1,1),0)))*DAY(I35)+K35))),G35),IF(MONTH(D35)=$A$1,IF(ISNUMBER(I35),IF(OR(YEAR(I35)&gt;EINSTELLUNG!$C$35,MONTH(I35)&gt;$A$1),G35,(G35/DAY(EOMONTH(D35,0)))*(I35-D35+1)+K35),(G35/DAY(EOMONTH(D35,0)))*(DAY(EOMONTH(D35,0))-DAY(D35)+1)+K35),0)),0))),0)))</f>
        <v>2152</v>
      </c>
      <c r="M35" s="59"/>
      <c r="N35" s="75"/>
      <c r="O35" s="307" t="s">
        <v>98</v>
      </c>
      <c r="P35" s="255"/>
      <c r="Q35" s="256">
        <f>EINSTELLUNG!C17</f>
        <v>400000</v>
      </c>
      <c r="R35" s="256"/>
      <c r="S35" s="256">
        <f>EINSTELLUNG!C33</f>
        <v>390000</v>
      </c>
      <c r="T35" s="256"/>
      <c r="U35" s="256">
        <f>S35-Q35</f>
        <v>-10000</v>
      </c>
      <c r="V35" s="257"/>
    </row>
    <row r="36" spans="1:22" ht="22" customHeight="1">
      <c r="A36" s="151" t="s">
        <v>99</v>
      </c>
      <c r="B36" s="101">
        <v>401723</v>
      </c>
      <c r="C36" s="45" t="s">
        <v>260</v>
      </c>
      <c r="D36" s="46">
        <v>45852</v>
      </c>
      <c r="E36" s="47" t="s">
        <v>2</v>
      </c>
      <c r="F36" s="48">
        <v>86.5</v>
      </c>
      <c r="G36" s="152">
        <f>IF(OR(E36="",F36=""),"",PID_KVLohnLookup($A$1,E36,F36,LOHNTABELLE!$H$4))</f>
        <v>2152</v>
      </c>
      <c r="H36" s="153">
        <f>IF(AND(ISNUMBER(D36),ISNUMBER(F36)),ROUNDDOWN(MIN(IF(OR(ISBLANK(I36),I36=""),EOMONTH(DATE(EINSTELLUNG!$C$35,$A$1,1),0),I36)-MAX(D36,DATE(EINSTELLUNG!$C$35,$A$1,1))+1)/DAY(EOMONTH(DATE(EINSTELLUNG!$C$35,$A$1,1),0))*F36,2),"")</f>
        <v>86.5</v>
      </c>
      <c r="I36" s="49"/>
      <c r="J36" s="50"/>
      <c r="K36" s="152">
        <f t="shared" si="1"/>
        <v>0</v>
      </c>
      <c r="L36" s="154">
        <f>IF(OR($B36=",$C3="),"",IF(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0,"",IFERROR(IF(OR(ISBLANK(D36),ISBLANK(F36),ISBLANK(G36),ISBLANK(K36)),0,IF(YEAR(D36)&lt;EINSTELLUNG!$C$35,IF(ISNUMBER(I36),IF(YEAR(I36)&lt;EINSTELLUNG!$C$35,0,IF(OR(YEAR(I36)&gt;EINSTELLUNG!$C$35,MONTH(I36)&gt;$A$1),G36,IF(MONTH(I36)&lt;$A$1,0,(G36/DAY(EOMONTH(DATE(EINSTELLUNG!$C$35,$A$1,1),0)))*DAY(I36)+K36))),G36+K36),IF(YEAR(D36)=EINSTELLUNG!$C$35,IF(MONTH(D36)&lt;$A$1,IF(ISNUMBER(I36),IF(YEAR(I36)&lt;EINSTELLUNG!$C$35,0,IF(OR(YEAR(I36)&gt;EINSTELLUNG!$C$35,MONTH(I36)&gt;$A$1),G36,IF(MONTH(I36)&lt;$A$1,0,(G36/DAY(EOMONTH(DATE(EINSTELLUNG!$C$35,$A$1,1),0)))*DAY(I36)+K36))),G36),IF(MONTH(D36)=$A$1,IF(ISNUMBER(I36),IF(OR(YEAR(I36)&gt;EINSTELLUNG!$C$35,MONTH(I36)&gt;$A$1),G36,(G36/DAY(EOMONTH(D36,0)))*(I36-D36+1)+K36),(G36/DAY(EOMONTH(D36,0)))*(DAY(EOMONTH(D36,0))-DAY(D36)+1)+K36),0)),0))),0)))</f>
        <v>2152</v>
      </c>
      <c r="M36" s="51"/>
      <c r="N36" s="74"/>
      <c r="O36" s="307" t="s">
        <v>100</v>
      </c>
      <c r="P36" s="255"/>
      <c r="Q36" s="256">
        <f>EINSTELLUNG!D17</f>
        <v>100000</v>
      </c>
      <c r="R36" s="256"/>
      <c r="S36" s="256">
        <f ca="1">SumMergedCells(Q17:R29)</f>
        <v>140816.6</v>
      </c>
      <c r="T36" s="256"/>
      <c r="U36" s="256">
        <f t="shared" ref="U36:U41" ca="1" si="2">S36-Q36</f>
        <v>40816.600000000006</v>
      </c>
      <c r="V36" s="257"/>
    </row>
    <row r="37" spans="1:22" ht="22" customHeight="1">
      <c r="A37" s="151" t="s">
        <v>101</v>
      </c>
      <c r="B37" s="102">
        <v>401726</v>
      </c>
      <c r="C37" s="53" t="s">
        <v>261</v>
      </c>
      <c r="D37" s="54">
        <v>45870</v>
      </c>
      <c r="E37" s="55" t="s">
        <v>2</v>
      </c>
      <c r="F37" s="56">
        <v>86.5</v>
      </c>
      <c r="G37" s="152">
        <f>IF(OR(E37="",F37=""),"",PID_KVLohnLookup($A$1,E37,F37,LOHNTABELLE!$H$4))</f>
        <v>2152</v>
      </c>
      <c r="H37" s="153">
        <f>IF(AND(ISNUMBER(D37),ISNUMBER(F37)),ROUNDDOWN(MIN(IF(OR(ISBLANK(I37),I37=""),EOMONTH(DATE(EINSTELLUNG!$C$35,$A$1,1),0),I37)-MAX(D37,DATE(EINSTELLUNG!$C$35,$A$1,1))+1)/DAY(EOMONTH(DATE(EINSTELLUNG!$C$35,$A$1,1),0))*F37,2),"")</f>
        <v>86.5</v>
      </c>
      <c r="I37" s="57"/>
      <c r="J37" s="58"/>
      <c r="K37" s="152">
        <f t="shared" si="1"/>
        <v>0</v>
      </c>
      <c r="L37" s="154">
        <f>IF(OR($B37=",$C3="),"",IF(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0,"",IFERROR(IF(OR(ISBLANK(D37),ISBLANK(F37),ISBLANK(G37),ISBLANK(K37)),0,IF(YEAR(D37)&lt;EINSTELLUNG!$C$35,IF(ISNUMBER(I37),IF(YEAR(I37)&lt;EINSTELLUNG!$C$35,0,IF(OR(YEAR(I37)&gt;EINSTELLUNG!$C$35,MONTH(I37)&gt;$A$1),G37,IF(MONTH(I37)&lt;$A$1,0,(G37/DAY(EOMONTH(DATE(EINSTELLUNG!$C$35,$A$1,1),0)))*DAY(I37)+K37))),G37+K37),IF(YEAR(D37)=EINSTELLUNG!$C$35,IF(MONTH(D37)&lt;$A$1,IF(ISNUMBER(I37),IF(YEAR(I37)&lt;EINSTELLUNG!$C$35,0,IF(OR(YEAR(I37)&gt;EINSTELLUNG!$C$35,MONTH(I37)&gt;$A$1),G37,IF(MONTH(I37)&lt;$A$1,0,(G37/DAY(EOMONTH(DATE(EINSTELLUNG!$C$35,$A$1,1),0)))*DAY(I37)+K37))),G37),IF(MONTH(D37)=$A$1,IF(ISNUMBER(I37),IF(OR(YEAR(I37)&gt;EINSTELLUNG!$C$35,MONTH(I37)&gt;$A$1),G37,(G37/DAY(EOMONTH(D37,0)))*(I37-D37+1)+K37),(G37/DAY(EOMONTH(D37,0)))*(DAY(EOMONTH(D37,0))-DAY(D37)+1)+K37),0)),0))),0)))</f>
        <v>2152</v>
      </c>
      <c r="M37" s="59"/>
      <c r="N37" s="75"/>
      <c r="O37" s="307" t="s">
        <v>102</v>
      </c>
      <c r="P37" s="255"/>
      <c r="Q37" s="278">
        <f>IF(ISERROR(Q36/Q35), 0, Q36/Q35)</f>
        <v>0.25</v>
      </c>
      <c r="R37" s="278"/>
      <c r="S37" s="278">
        <f ca="1">IF(ISERROR(S36/S35), 0, S36/S35)</f>
        <v>0.36106820512820514</v>
      </c>
      <c r="T37" s="278"/>
      <c r="U37" s="278">
        <f t="shared" ca="1" si="2"/>
        <v>0.11106820512820514</v>
      </c>
      <c r="V37" s="279"/>
    </row>
    <row r="38" spans="1:22" ht="22" customHeight="1">
      <c r="A38" s="151" t="s">
        <v>103</v>
      </c>
      <c r="B38" s="101">
        <v>401730</v>
      </c>
      <c r="C38" s="45" t="s">
        <v>263</v>
      </c>
      <c r="D38" s="49">
        <v>45895</v>
      </c>
      <c r="E38" s="47" t="s">
        <v>2</v>
      </c>
      <c r="F38" s="48">
        <v>86.5</v>
      </c>
      <c r="G38" s="152">
        <f>IF(OR(E38="",F38=""),"",PID_KVLohnLookup($A$1,E38,F38,LOHNTABELLE!$H$4))</f>
        <v>2152</v>
      </c>
      <c r="H38" s="153">
        <f>IF(AND(ISNUMBER(D38),ISNUMBER(F38)),ROUNDDOWN(MIN(IF(OR(ISBLANK(I38),I38=""),EOMONTH(DATE(EINSTELLUNG!$C$35,$A$1,1),0),I38)-MAX(D38,DATE(EINSTELLUNG!$C$35,$A$1,1))+1)/DAY(EOMONTH(DATE(EINSTELLUNG!$C$35,$A$1,1),0))*F38,2),"")</f>
        <v>86.5</v>
      </c>
      <c r="I38" s="49"/>
      <c r="J38" s="50"/>
      <c r="K38" s="152">
        <f t="shared" si="1"/>
        <v>0</v>
      </c>
      <c r="L38" s="154">
        <f>IF(OR($B38=",$C3="),"",IF(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0,"",IFERROR(IF(OR(ISBLANK(D38),ISBLANK(F38),ISBLANK(G38),ISBLANK(K38)),0,IF(YEAR(D38)&lt;EINSTELLUNG!$C$35,IF(ISNUMBER(I38),IF(YEAR(I38)&lt;EINSTELLUNG!$C$35,0,IF(OR(YEAR(I38)&gt;EINSTELLUNG!$C$35,MONTH(I38)&gt;$A$1),G38,IF(MONTH(I38)&lt;$A$1,0,(G38/DAY(EOMONTH(DATE(EINSTELLUNG!$C$35,$A$1,1),0)))*DAY(I38)+K38))),G38+K38),IF(YEAR(D38)=EINSTELLUNG!$C$35,IF(MONTH(D38)&lt;$A$1,IF(ISNUMBER(I38),IF(YEAR(I38)&lt;EINSTELLUNG!$C$35,0,IF(OR(YEAR(I38)&gt;EINSTELLUNG!$C$35,MONTH(I38)&gt;$A$1),G38,IF(MONTH(I38)&lt;$A$1,0,(G38/DAY(EOMONTH(DATE(EINSTELLUNG!$C$35,$A$1,1),0)))*DAY(I38)+K38))),G38),IF(MONTH(D38)=$A$1,IF(ISNUMBER(I38),IF(OR(YEAR(I38)&gt;EINSTELLUNG!$C$35,MONTH(I38)&gt;$A$1),G38,(G38/DAY(EOMONTH(D38,0)))*(I38-D38+1)+K38),(G38/DAY(EOMONTH(D38,0)))*(DAY(EOMONTH(D38,0))-DAY(D38)+1)+K38),0)),0))),0)))</f>
        <v>2152</v>
      </c>
      <c r="M38" s="51"/>
      <c r="N38" s="74"/>
      <c r="O38" s="307" t="s">
        <v>104</v>
      </c>
      <c r="P38" s="255"/>
      <c r="Q38" s="269">
        <f>EINSTELLUNG!F17</f>
        <v>30000</v>
      </c>
      <c r="R38" s="269"/>
      <c r="S38" s="269">
        <f>EINSTELLUNG!F33</f>
        <v>31000</v>
      </c>
      <c r="T38" s="269"/>
      <c r="U38" s="269">
        <f t="shared" si="2"/>
        <v>1000</v>
      </c>
      <c r="V38" s="270"/>
    </row>
    <row r="39" spans="1:22" ht="22" customHeight="1">
      <c r="A39" s="151" t="s">
        <v>105</v>
      </c>
      <c r="B39" s="102">
        <v>401731</v>
      </c>
      <c r="C39" s="53" t="s">
        <v>262</v>
      </c>
      <c r="D39" s="54">
        <v>45899</v>
      </c>
      <c r="E39" s="55" t="s">
        <v>2</v>
      </c>
      <c r="F39" s="56">
        <v>86.5</v>
      </c>
      <c r="G39" s="152">
        <f>IF(OR(E39="",F39=""),"",PID_KVLohnLookup($A$1,E39,F39,LOHNTABELLE!$H$4))</f>
        <v>2152</v>
      </c>
      <c r="H39" s="153">
        <f>IF(AND(ISNUMBER(D39),ISNUMBER(F39)),ROUNDDOWN(MIN(IF(OR(ISBLANK(I39),I39=""),EOMONTH(DATE(EINSTELLUNG!$C$35,$A$1,1),0),I39)-MAX(D39,DATE(EINSTELLUNG!$C$35,$A$1,1))+1)/DAY(EOMONTH(DATE(EINSTELLUNG!$C$35,$A$1,1),0))*F39,2),"")</f>
        <v>86.5</v>
      </c>
      <c r="I39" s="57"/>
      <c r="J39" s="58"/>
      <c r="K39" s="152">
        <f t="shared" si="1"/>
        <v>0</v>
      </c>
      <c r="L39" s="154">
        <f>IF(OR($B39=",$C3="),"",IF(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0,"",IFERROR(IF(OR(ISBLANK(D39),ISBLANK(F39),ISBLANK(G39),ISBLANK(K39)),0,IF(YEAR(D39)&lt;EINSTELLUNG!$C$35,IF(ISNUMBER(I39),IF(YEAR(I39)&lt;EINSTELLUNG!$C$35,0,IF(OR(YEAR(I39)&gt;EINSTELLUNG!$C$35,MONTH(I39)&gt;$A$1),G39,IF(MONTH(I39)&lt;$A$1,0,(G39/DAY(EOMONTH(DATE(EINSTELLUNG!$C$35,$A$1,1),0)))*DAY(I39)+K39))),G39+K39),IF(YEAR(D39)=EINSTELLUNG!$C$35,IF(MONTH(D39)&lt;$A$1,IF(ISNUMBER(I39),IF(YEAR(I39)&lt;EINSTELLUNG!$C$35,0,IF(OR(YEAR(I39)&gt;EINSTELLUNG!$C$35,MONTH(I39)&gt;$A$1),G39,IF(MONTH(I39)&lt;$A$1,0,(G39/DAY(EOMONTH(DATE(EINSTELLUNG!$C$35,$A$1,1),0)))*DAY(I39)+K39))),G39),IF(MONTH(D39)=$A$1,IF(ISNUMBER(I39),IF(OR(YEAR(I39)&gt;EINSTELLUNG!$C$35,MONTH(I39)&gt;$A$1),G39,(G39/DAY(EOMONTH(D39,0)))*(I39-D39+1)+K39),(G39/DAY(EOMONTH(D39,0)))*(DAY(EOMONTH(D39,0))-DAY(D39)+1)+K39),0)),0))),0)))</f>
        <v>2152</v>
      </c>
      <c r="M39" s="59"/>
      <c r="N39" s="75"/>
      <c r="O39" s="307" t="s">
        <v>106</v>
      </c>
      <c r="P39" s="255"/>
      <c r="Q39" s="256">
        <f>IF(Q38=0, 0, Q35/Q38)</f>
        <v>13.333333333333334</v>
      </c>
      <c r="R39" s="256"/>
      <c r="S39" s="256">
        <f>IF(S38=0, 0, S35/S38)</f>
        <v>12.580645161290322</v>
      </c>
      <c r="T39" s="256"/>
      <c r="U39" s="256">
        <f t="shared" si="2"/>
        <v>-0.75268817204301186</v>
      </c>
      <c r="V39" s="257"/>
    </row>
    <row r="40" spans="1:22" ht="22" customHeight="1">
      <c r="A40" s="151" t="s">
        <v>107</v>
      </c>
      <c r="B40" s="101">
        <v>401734</v>
      </c>
      <c r="C40" s="45" t="s">
        <v>264</v>
      </c>
      <c r="D40" s="46">
        <v>45904</v>
      </c>
      <c r="E40" s="47" t="s">
        <v>2</v>
      </c>
      <c r="F40" s="48">
        <v>86.5</v>
      </c>
      <c r="G40" s="152">
        <f>IF(OR(E40="",F40=""),"",PID_KVLohnLookup($A$1,E40,F40,LOHNTABELLE!$H$4))</f>
        <v>2152</v>
      </c>
      <c r="H40" s="153">
        <f>IF(AND(ISNUMBER(D40),ISNUMBER(F40)),ROUNDDOWN(MIN(IF(OR(ISBLANK(I40),I40=""),EOMONTH(DATE(EINSTELLUNG!$C$35,$A$1,1),0),I40)-MAX(D40,DATE(EINSTELLUNG!$C$35,$A$1,1))+1)/DAY(EOMONTH(DATE(EINSTELLUNG!$C$35,$A$1,1),0))*F40,2),"")</f>
        <v>86.5</v>
      </c>
      <c r="I40" s="49"/>
      <c r="J40" s="50"/>
      <c r="K40" s="152">
        <f t="shared" si="1"/>
        <v>0</v>
      </c>
      <c r="L40" s="154">
        <f>IF(OR($B40=",$C3="),"",IF(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0,"",IFERROR(IF(OR(ISBLANK(D40),ISBLANK(F40),ISBLANK(G40),ISBLANK(K40)),0,IF(YEAR(D40)&lt;EINSTELLUNG!$C$35,IF(ISNUMBER(I40),IF(YEAR(I40)&lt;EINSTELLUNG!$C$35,0,IF(OR(YEAR(I40)&gt;EINSTELLUNG!$C$35,MONTH(I40)&gt;$A$1),G40,IF(MONTH(I40)&lt;$A$1,0,(G40/DAY(EOMONTH(DATE(EINSTELLUNG!$C$35,$A$1,1),0)))*DAY(I40)+K40))),G40+K40),IF(YEAR(D40)=EINSTELLUNG!$C$35,IF(MONTH(D40)&lt;$A$1,IF(ISNUMBER(I40),IF(YEAR(I40)&lt;EINSTELLUNG!$C$35,0,IF(OR(YEAR(I40)&gt;EINSTELLUNG!$C$35,MONTH(I40)&gt;$A$1),G40,IF(MONTH(I40)&lt;$A$1,0,(G40/DAY(EOMONTH(DATE(EINSTELLUNG!$C$35,$A$1,1),0)))*DAY(I40)+K40))),G40),IF(MONTH(D40)=$A$1,IF(ISNUMBER(I40),IF(OR(YEAR(I40)&gt;EINSTELLUNG!$C$35,MONTH(I40)&gt;$A$1),G40,(G40/DAY(EOMONTH(D40,0)))*(I40-D40+1)+K40),(G40/DAY(EOMONTH(D40,0)))*(DAY(EOMONTH(D40,0))-DAY(D40)+1)+K40),0)),0))),0)))</f>
        <v>2152</v>
      </c>
      <c r="M40" s="51"/>
      <c r="N40" s="74"/>
      <c r="O40" s="307" t="s">
        <v>108</v>
      </c>
      <c r="P40" s="255"/>
      <c r="Q40" s="256">
        <f>IF(Q13=0, 0, Q35/Q13)</f>
        <v>55.27350713166426</v>
      </c>
      <c r="R40" s="256"/>
      <c r="S40" s="256">
        <f>IF(Q13=0, 0, S35/Q13)</f>
        <v>53.89166945337265</v>
      </c>
      <c r="T40" s="256"/>
      <c r="U40" s="256">
        <f t="shared" si="2"/>
        <v>-1.3818376782916104</v>
      </c>
      <c r="V40" s="257"/>
    </row>
    <row r="41" spans="1:22" ht="22" customHeight="1">
      <c r="A41" s="151" t="s">
        <v>109</v>
      </c>
      <c r="B41" s="102">
        <v>401737</v>
      </c>
      <c r="C41" s="53" t="s">
        <v>266</v>
      </c>
      <c r="D41" s="54">
        <v>45906</v>
      </c>
      <c r="E41" s="55" t="s">
        <v>2</v>
      </c>
      <c r="F41" s="56">
        <v>86.5</v>
      </c>
      <c r="G41" s="152">
        <f>IF(OR(E41="",F41=""),"",PID_KVLohnLookup($A$1,E41,F41,LOHNTABELLE!$H$4))</f>
        <v>2152</v>
      </c>
      <c r="H41" s="153">
        <f>IF(AND(ISNUMBER(D41),ISNUMBER(F41)),ROUNDDOWN(MIN(IF(OR(ISBLANK(I41),I41=""),EOMONTH(DATE(EINSTELLUNG!$C$35,$A$1,1),0),I41)-MAX(D41,DATE(EINSTELLUNG!$C$35,$A$1,1))+1)/DAY(EOMONTH(DATE(EINSTELLUNG!$C$35,$A$1,1),0))*F41,2),"")</f>
        <v>86.5</v>
      </c>
      <c r="I41" s="57"/>
      <c r="J41" s="58"/>
      <c r="K41" s="152">
        <f t="shared" si="1"/>
        <v>0</v>
      </c>
      <c r="L41" s="154">
        <f>IF(OR($B41=",$C3="),"",IF(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0,"",IFERROR(IF(OR(ISBLANK(D41),ISBLANK(F41),ISBLANK(G41),ISBLANK(K41)),0,IF(YEAR(D41)&lt;EINSTELLUNG!$C$35,IF(ISNUMBER(I41),IF(YEAR(I41)&lt;EINSTELLUNG!$C$35,0,IF(OR(YEAR(I41)&gt;EINSTELLUNG!$C$35,MONTH(I41)&gt;$A$1),G41,IF(MONTH(I41)&lt;$A$1,0,(G41/DAY(EOMONTH(DATE(EINSTELLUNG!$C$35,$A$1,1),0)))*DAY(I41)+K41))),G41+K41),IF(YEAR(D41)=EINSTELLUNG!$C$35,IF(MONTH(D41)&lt;$A$1,IF(ISNUMBER(I41),IF(YEAR(I41)&lt;EINSTELLUNG!$C$35,0,IF(OR(YEAR(I41)&gt;EINSTELLUNG!$C$35,MONTH(I41)&gt;$A$1),G41,IF(MONTH(I41)&lt;$A$1,0,(G41/DAY(EOMONTH(DATE(EINSTELLUNG!$C$35,$A$1,1),0)))*DAY(I41)+K41))),G41),IF(MONTH(D41)=$A$1,IF(ISNUMBER(I41),IF(OR(YEAR(I41)&gt;EINSTELLUNG!$C$35,MONTH(I41)&gt;$A$1),G41,(G41/DAY(EOMONTH(D41,0)))*(I41-D41+1)+K41),(G41/DAY(EOMONTH(D41,0)))*(DAY(EOMONTH(D41,0))-DAY(D41)+1)+K41),0)),0))),0)))</f>
        <v>2152</v>
      </c>
      <c r="M41" s="59"/>
      <c r="N41" s="75"/>
      <c r="O41" s="307" t="s">
        <v>110</v>
      </c>
      <c r="P41" s="255"/>
      <c r="Q41" s="269">
        <f>IF(Q13=0, 0, Q38/Q13)</f>
        <v>4.1455130348748197</v>
      </c>
      <c r="R41" s="269"/>
      <c r="S41" s="269">
        <f>IF(Q13=0, 0, S38/Q13)</f>
        <v>4.2836968027039797</v>
      </c>
      <c r="T41" s="269"/>
      <c r="U41" s="269">
        <f t="shared" si="2"/>
        <v>0.13818376782915998</v>
      </c>
      <c r="V41" s="270"/>
    </row>
    <row r="42" spans="1:22" ht="22" customHeight="1">
      <c r="A42" s="151" t="s">
        <v>111</v>
      </c>
      <c r="B42" s="101">
        <v>401738</v>
      </c>
      <c r="C42" s="45" t="s">
        <v>267</v>
      </c>
      <c r="D42" s="46">
        <v>45909</v>
      </c>
      <c r="E42" s="47" t="s">
        <v>2</v>
      </c>
      <c r="F42" s="48">
        <v>86.5</v>
      </c>
      <c r="G42" s="152">
        <f>IF(OR(E42="",F42=""),"",PID_KVLohnLookup($A$1,E42,F42,LOHNTABELLE!$H$4))</f>
        <v>2152</v>
      </c>
      <c r="H42" s="153">
        <f>IF(AND(ISNUMBER(D42),ISNUMBER(F42)),ROUNDDOWN(MIN(IF(OR(ISBLANK(I42),I42=""),EOMONTH(DATE(EINSTELLUNG!$C$35,$A$1,1),0),I42)-MAX(D42,DATE(EINSTELLUNG!$C$35,$A$1,1))+1)/DAY(EOMONTH(DATE(EINSTELLUNG!$C$35,$A$1,1),0))*F42,2),"")</f>
        <v>86.5</v>
      </c>
      <c r="I42" s="49"/>
      <c r="J42" s="50"/>
      <c r="K42" s="152">
        <f t="shared" si="1"/>
        <v>0</v>
      </c>
      <c r="L42" s="154">
        <f>IF(OR($B42=",$C3="),"",IF(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0,"",IFERROR(IF(OR(ISBLANK(D42),ISBLANK(F42),ISBLANK(G42),ISBLANK(K42)),0,IF(YEAR(D42)&lt;EINSTELLUNG!$C$35,IF(ISNUMBER(I42),IF(YEAR(I42)&lt;EINSTELLUNG!$C$35,0,IF(OR(YEAR(I42)&gt;EINSTELLUNG!$C$35,MONTH(I42)&gt;$A$1),G42,IF(MONTH(I42)&lt;$A$1,0,(G42/DAY(EOMONTH(DATE(EINSTELLUNG!$C$35,$A$1,1),0)))*DAY(I42)+K42))),G42+K42),IF(YEAR(D42)=EINSTELLUNG!$C$35,IF(MONTH(D42)&lt;$A$1,IF(ISNUMBER(I42),IF(YEAR(I42)&lt;EINSTELLUNG!$C$35,0,IF(OR(YEAR(I42)&gt;EINSTELLUNG!$C$35,MONTH(I42)&gt;$A$1),G42,IF(MONTH(I42)&lt;$A$1,0,(G42/DAY(EOMONTH(DATE(EINSTELLUNG!$C$35,$A$1,1),0)))*DAY(I42)+K42))),G42),IF(MONTH(D42)=$A$1,IF(ISNUMBER(I42),IF(OR(YEAR(I42)&gt;EINSTELLUNG!$C$35,MONTH(I42)&gt;$A$1),G42,(G42/DAY(EOMONTH(D42,0)))*(I42-D42+1)+K42),(G42/DAY(EOMONTH(D42,0)))*(DAY(EOMONTH(D42,0))-DAY(D42)+1)+K42),0)),0))),0)))</f>
        <v>2152</v>
      </c>
      <c r="M42" s="51"/>
      <c r="N42" s="74"/>
      <c r="O42" s="306" t="s">
        <v>112</v>
      </c>
      <c r="P42" s="263"/>
      <c r="Q42" s="264">
        <f>IFERROR(Q17/Q8, 0)</f>
        <v>16.874274768618154</v>
      </c>
      <c r="R42" s="264"/>
      <c r="S42" s="264"/>
      <c r="T42" s="264"/>
      <c r="U42" s="264"/>
      <c r="V42" s="265"/>
    </row>
    <row r="43" spans="1:22" ht="22" customHeight="1">
      <c r="A43" s="151" t="s">
        <v>113</v>
      </c>
      <c r="B43" s="102">
        <v>401745</v>
      </c>
      <c r="C43" s="53" t="s">
        <v>271</v>
      </c>
      <c r="D43" s="54">
        <v>45934</v>
      </c>
      <c r="E43" s="55" t="s">
        <v>2</v>
      </c>
      <c r="F43" s="56">
        <v>86.5</v>
      </c>
      <c r="G43" s="152">
        <f>IF(OR(E43="",F43=""),"",PID_KVLohnLookup($A$1,E43,F43,LOHNTABELLE!$H$4))</f>
        <v>2152</v>
      </c>
      <c r="H43" s="153">
        <f>IF(AND(ISNUMBER(D43),ISNUMBER(F43)),ROUNDDOWN(MIN(IF(OR(ISBLANK(I43),I43=""),EOMONTH(DATE(EINSTELLUNG!$C$35,$A$1,1),0),I43)-MAX(D43,DATE(EINSTELLUNG!$C$35,$A$1,1))+1)/DAY(EOMONTH(DATE(EINSTELLUNG!$C$35,$A$1,1),0))*F43,2),"")</f>
        <v>86.5</v>
      </c>
      <c r="I43" s="57"/>
      <c r="J43" s="58"/>
      <c r="K43" s="152">
        <f t="shared" si="1"/>
        <v>0</v>
      </c>
      <c r="L43" s="154">
        <f>IF(OR($B43=",$C3="),"",IF(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0,"",IFERROR(IF(OR(ISBLANK(D43),ISBLANK(F43),ISBLANK(G43),ISBLANK(K43)),0,IF(YEAR(D43)&lt;EINSTELLUNG!$C$35,IF(ISNUMBER(I43),IF(YEAR(I43)&lt;EINSTELLUNG!$C$35,0,IF(OR(YEAR(I43)&gt;EINSTELLUNG!$C$35,MONTH(I43)&gt;$A$1),G43,IF(MONTH(I43)&lt;$A$1,0,(G43/DAY(EOMONTH(DATE(EINSTELLUNG!$C$35,$A$1,1),0)))*DAY(I43)+K43))),G43+K43),IF(YEAR(D43)=EINSTELLUNG!$C$35,IF(MONTH(D43)&lt;$A$1,IF(ISNUMBER(I43),IF(YEAR(I43)&lt;EINSTELLUNG!$C$35,0,IF(OR(YEAR(I43)&gt;EINSTELLUNG!$C$35,MONTH(I43)&gt;$A$1),G43,IF(MONTH(I43)&lt;$A$1,0,(G43/DAY(EOMONTH(DATE(EINSTELLUNG!$C$35,$A$1,1),0)))*DAY(I43)+K43))),G43),IF(MONTH(D43)=$A$1,IF(ISNUMBER(I43),IF(OR(YEAR(I43)&gt;EINSTELLUNG!$C$35,MONTH(I43)&gt;$A$1),G43,(G43/DAY(EOMONTH(D43,0)))*(I43-D43+1)+K43),(G43/DAY(EOMONTH(D43,0)))*(DAY(EOMONTH(D43,0))-DAY(D43)+1)+K43),0)),0))),0)))</f>
        <v>2152</v>
      </c>
      <c r="M43" s="59"/>
      <c r="N43" s="75"/>
      <c r="O43" s="164"/>
      <c r="P43" s="164"/>
      <c r="Q43" s="164"/>
      <c r="R43" s="149"/>
      <c r="S43" s="149"/>
      <c r="T43" s="149"/>
      <c r="U43" s="149"/>
      <c r="V43" s="149"/>
    </row>
    <row r="44" spans="1:22" ht="22" customHeight="1">
      <c r="A44" s="151" t="s">
        <v>114</v>
      </c>
      <c r="B44" s="101">
        <v>401746</v>
      </c>
      <c r="C44" s="45" t="s">
        <v>270</v>
      </c>
      <c r="D44" s="46">
        <v>45941</v>
      </c>
      <c r="E44" s="47" t="s">
        <v>2</v>
      </c>
      <c r="F44" s="48">
        <v>86.5</v>
      </c>
      <c r="G44" s="152">
        <f>IF(OR(E44="",F44=""),"",PID_KVLohnLookup($A$1,E44,F44,LOHNTABELLE!$H$4))</f>
        <v>2152</v>
      </c>
      <c r="H44" s="153">
        <f>IF(AND(ISNUMBER(D44),ISNUMBER(F44)),ROUNDDOWN(MIN(IF(OR(ISBLANK(I44),I44=""),EOMONTH(DATE(EINSTELLUNG!$C$35,$A$1,1),0),I44)-MAX(D44,DATE(EINSTELLUNG!$C$35,$A$1,1))+1)/DAY(EOMONTH(DATE(EINSTELLUNG!$C$35,$A$1,1),0))*F44,2),"")</f>
        <v>86.5</v>
      </c>
      <c r="I44" s="49"/>
      <c r="J44" s="50"/>
      <c r="K44" s="152">
        <f t="shared" si="1"/>
        <v>0</v>
      </c>
      <c r="L44" s="154">
        <f>IF(OR($B44=",$C3="),"",IF(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0,"",IFERROR(IF(OR(ISBLANK(D44),ISBLANK(F44),ISBLANK(G44),ISBLANK(K44)),0,IF(YEAR(D44)&lt;EINSTELLUNG!$C$35,IF(ISNUMBER(I44),IF(YEAR(I44)&lt;EINSTELLUNG!$C$35,0,IF(OR(YEAR(I44)&gt;EINSTELLUNG!$C$35,MONTH(I44)&gt;$A$1),G44,IF(MONTH(I44)&lt;$A$1,0,(G44/DAY(EOMONTH(DATE(EINSTELLUNG!$C$35,$A$1,1),0)))*DAY(I44)+K44))),G44+K44),IF(YEAR(D44)=EINSTELLUNG!$C$35,IF(MONTH(D44)&lt;$A$1,IF(ISNUMBER(I44),IF(YEAR(I44)&lt;EINSTELLUNG!$C$35,0,IF(OR(YEAR(I44)&gt;EINSTELLUNG!$C$35,MONTH(I44)&gt;$A$1),G44,IF(MONTH(I44)&lt;$A$1,0,(G44/DAY(EOMONTH(DATE(EINSTELLUNG!$C$35,$A$1,1),0)))*DAY(I44)+K44))),G44),IF(MONTH(D44)=$A$1,IF(ISNUMBER(I44),IF(OR(YEAR(I44)&gt;EINSTELLUNG!$C$35,MONTH(I44)&gt;$A$1),G44,(G44/DAY(EOMONTH(D44,0)))*(I44-D44+1)+K44),(G44/DAY(EOMONTH(D44,0)))*(DAY(EOMONTH(D44,0))-DAY(D44)+1)+K44),0)),0))),0)))</f>
        <v>2152</v>
      </c>
      <c r="M44" s="51"/>
      <c r="N44" s="74"/>
      <c r="O44" s="275" t="s">
        <v>115</v>
      </c>
      <c r="P44" s="275"/>
      <c r="Q44" s="275"/>
      <c r="R44" s="275"/>
      <c r="S44" s="275"/>
      <c r="T44" s="275"/>
      <c r="U44" s="275"/>
      <c r="V44" s="275"/>
    </row>
    <row r="45" spans="1:22" ht="22" customHeight="1">
      <c r="A45" s="151" t="s">
        <v>116</v>
      </c>
      <c r="B45" s="102">
        <v>401747</v>
      </c>
      <c r="C45" s="53" t="s">
        <v>268</v>
      </c>
      <c r="D45" s="54">
        <v>45941</v>
      </c>
      <c r="E45" s="55" t="s">
        <v>2</v>
      </c>
      <c r="F45" s="56">
        <v>86.5</v>
      </c>
      <c r="G45" s="152">
        <f>IF(OR(E45="",F45=""),"",PID_KVLohnLookup($A$1,E45,F45,LOHNTABELLE!$H$4))</f>
        <v>2152</v>
      </c>
      <c r="H45" s="153">
        <f>IF(AND(ISNUMBER(D45),ISNUMBER(F45)),ROUNDDOWN(MIN(IF(OR(ISBLANK(I45),I45=""),EOMONTH(DATE(EINSTELLUNG!$C$35,$A$1,1),0),I45)-MAX(D45,DATE(EINSTELLUNG!$C$35,$A$1,1))+1)/DAY(EOMONTH(DATE(EINSTELLUNG!$C$35,$A$1,1),0))*F45,2),"")</f>
        <v>86.5</v>
      </c>
      <c r="I45" s="57"/>
      <c r="J45" s="58"/>
      <c r="K45" s="152">
        <f t="shared" si="1"/>
        <v>0</v>
      </c>
      <c r="L45" s="154">
        <f>IF(OR($B45=",$C3="),"",IF(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0,"",IFERROR(IF(OR(ISBLANK(D45),ISBLANK(F45),ISBLANK(G45),ISBLANK(K45)),0,IF(YEAR(D45)&lt;EINSTELLUNG!$C$35,IF(ISNUMBER(I45),IF(YEAR(I45)&lt;EINSTELLUNG!$C$35,0,IF(OR(YEAR(I45)&gt;EINSTELLUNG!$C$35,MONTH(I45)&gt;$A$1),G45,IF(MONTH(I45)&lt;$A$1,0,(G45/DAY(EOMONTH(DATE(EINSTELLUNG!$C$35,$A$1,1),0)))*DAY(I45)+K45))),G45+K45),IF(YEAR(D45)=EINSTELLUNG!$C$35,IF(MONTH(D45)&lt;$A$1,IF(ISNUMBER(I45),IF(YEAR(I45)&lt;EINSTELLUNG!$C$35,0,IF(OR(YEAR(I45)&gt;EINSTELLUNG!$C$35,MONTH(I45)&gt;$A$1),G45,IF(MONTH(I45)&lt;$A$1,0,(G45/DAY(EOMONTH(DATE(EINSTELLUNG!$C$35,$A$1,1),0)))*DAY(I45)+K45))),G45),IF(MONTH(D45)=$A$1,IF(ISNUMBER(I45),IF(OR(YEAR(I45)&gt;EINSTELLUNG!$C$35,MONTH(I45)&gt;$A$1),G45,(G45/DAY(EOMONTH(D45,0)))*(I45-D45+1)+K45),(G45/DAY(EOMONTH(D45,0)))*(DAY(EOMONTH(D45,0))-DAY(D45)+1)+K45),0)),0))),0)))</f>
        <v>2152</v>
      </c>
      <c r="M45" s="59"/>
      <c r="N45" s="75"/>
      <c r="O45" s="276"/>
      <c r="P45" s="276"/>
      <c r="Q45" s="276"/>
      <c r="R45" s="277"/>
      <c r="S45" s="277"/>
      <c r="T45" s="277"/>
      <c r="U45" s="277"/>
      <c r="V45" s="149"/>
    </row>
    <row r="46" spans="1:22" ht="22" customHeight="1">
      <c r="A46" s="151" t="s">
        <v>117</v>
      </c>
      <c r="B46" s="101">
        <v>401748</v>
      </c>
      <c r="C46" s="45" t="s">
        <v>269</v>
      </c>
      <c r="D46" s="46">
        <v>45941</v>
      </c>
      <c r="E46" s="47" t="s">
        <v>2</v>
      </c>
      <c r="F46" s="48">
        <v>138.4</v>
      </c>
      <c r="G46" s="152">
        <f>IF(OR(E46="",F46=""),"",PID_KVLohnLookup($A$1,E46,F46,LOHNTABELLE!$H$4))</f>
        <v>2400</v>
      </c>
      <c r="H46" s="153">
        <f>IF(AND(ISNUMBER(D46),ISNUMBER(F46)),ROUNDDOWN(MIN(IF(OR(ISBLANK(I46),I46=""),EOMONTH(DATE(EINSTELLUNG!$C$35,$A$1,1),0),I46)-MAX(D46,DATE(EINSTELLUNG!$C$35,$A$1,1))+1)/DAY(EOMONTH(DATE(EINSTELLUNG!$C$35,$A$1,1),0))*F46,2),"")</f>
        <v>138.4</v>
      </c>
      <c r="I46" s="49"/>
      <c r="J46" s="50"/>
      <c r="K46" s="152">
        <f t="shared" si="1"/>
        <v>0</v>
      </c>
      <c r="L46" s="154">
        <f>IF(OR($B46=",$C3="),"",IF(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0,"",IFERROR(IF(OR(ISBLANK(D46),ISBLANK(F46),ISBLANK(G46),ISBLANK(K46)),0,IF(YEAR(D46)&lt;EINSTELLUNG!$C$35,IF(ISNUMBER(I46),IF(YEAR(I46)&lt;EINSTELLUNG!$C$35,0,IF(OR(YEAR(I46)&gt;EINSTELLUNG!$C$35,MONTH(I46)&gt;$A$1),G46,IF(MONTH(I46)&lt;$A$1,0,(G46/DAY(EOMONTH(DATE(EINSTELLUNG!$C$35,$A$1,1),0)))*DAY(I46)+K46))),G46+K46),IF(YEAR(D46)=EINSTELLUNG!$C$35,IF(MONTH(D46)&lt;$A$1,IF(ISNUMBER(I46),IF(YEAR(I46)&lt;EINSTELLUNG!$C$35,0,IF(OR(YEAR(I46)&gt;EINSTELLUNG!$C$35,MONTH(I46)&gt;$A$1),G46,IF(MONTH(I46)&lt;$A$1,0,(G46/DAY(EOMONTH(DATE(EINSTELLUNG!$C$35,$A$1,1),0)))*DAY(I46)+K46))),G46),IF(MONTH(D46)=$A$1,IF(ISNUMBER(I46),IF(OR(YEAR(I46)&gt;EINSTELLUNG!$C$35,MONTH(I46)&gt;$A$1),G46,(G46/DAY(EOMONTH(D46,0)))*(I46-D46+1)+K46),(G46/DAY(EOMONTH(D46,0)))*(DAY(EOMONTH(D46,0))-DAY(D46)+1)+K46),0)),0))),0)))</f>
        <v>2400</v>
      </c>
      <c r="M46" s="51"/>
      <c r="N46" s="74"/>
      <c r="O46" s="149"/>
      <c r="P46" s="149"/>
      <c r="Q46" s="149"/>
      <c r="R46" s="149"/>
      <c r="S46" s="149"/>
      <c r="T46" s="149"/>
      <c r="U46" s="149"/>
      <c r="V46" s="149"/>
    </row>
    <row r="47" spans="1:22" ht="22" customHeight="1">
      <c r="A47" s="151" t="s">
        <v>118</v>
      </c>
      <c r="B47" s="102">
        <v>401751</v>
      </c>
      <c r="C47" s="53" t="s">
        <v>272</v>
      </c>
      <c r="D47" s="54">
        <v>45961</v>
      </c>
      <c r="E47" s="55" t="s">
        <v>2</v>
      </c>
      <c r="F47" s="56">
        <v>86.5</v>
      </c>
      <c r="G47" s="152">
        <f>IF(OR(E47="",F47=""),"",PID_KVLohnLookup($A$1,E47,F47,LOHNTABELLE!$H$4))</f>
        <v>2152</v>
      </c>
      <c r="H47" s="153">
        <f>IF(AND(ISNUMBER(D47),ISNUMBER(F47)),ROUNDDOWN(MIN(IF(OR(ISBLANK(I47),I47=""),EOMONTH(DATE(EINSTELLUNG!$C$35,$A$1,1),0),I47)-MAX(D47,DATE(EINSTELLUNG!$C$35,$A$1,1))+1)/DAY(EOMONTH(DATE(EINSTELLUNG!$C$35,$A$1,1),0))*F47,2),"")</f>
        <v>86.5</v>
      </c>
      <c r="I47" s="57"/>
      <c r="J47" s="58"/>
      <c r="K47" s="152">
        <f t="shared" si="1"/>
        <v>0</v>
      </c>
      <c r="L47" s="154">
        <f>IF(OR($B47=",$C3="),"",IF(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0,"",IFERROR(IF(OR(ISBLANK(D47),ISBLANK(F47),ISBLANK(G47),ISBLANK(K47)),0,IF(YEAR(D47)&lt;EINSTELLUNG!$C$35,IF(ISNUMBER(I47),IF(YEAR(I47)&lt;EINSTELLUNG!$C$35,0,IF(OR(YEAR(I47)&gt;EINSTELLUNG!$C$35,MONTH(I47)&gt;$A$1),G47,IF(MONTH(I47)&lt;$A$1,0,(G47/DAY(EOMONTH(DATE(EINSTELLUNG!$C$35,$A$1,1),0)))*DAY(I47)+K47))),G47+K47),IF(YEAR(D47)=EINSTELLUNG!$C$35,IF(MONTH(D47)&lt;$A$1,IF(ISNUMBER(I47),IF(YEAR(I47)&lt;EINSTELLUNG!$C$35,0,IF(OR(YEAR(I47)&gt;EINSTELLUNG!$C$35,MONTH(I47)&gt;$A$1),G47,IF(MONTH(I47)&lt;$A$1,0,(G47/DAY(EOMONTH(DATE(EINSTELLUNG!$C$35,$A$1,1),0)))*DAY(I47)+K47))),G47),IF(MONTH(D47)=$A$1,IF(ISNUMBER(I47),IF(OR(YEAR(I47)&gt;EINSTELLUNG!$C$35,MONTH(I47)&gt;$A$1),G47,(G47/DAY(EOMONTH(D47,0)))*(I47-D47+1)+K47),(G47/DAY(EOMONTH(D47,0)))*(DAY(EOMONTH(D47,0))-DAY(D47)+1)+K47),0)),0))),0)))</f>
        <v>2152</v>
      </c>
      <c r="M47" s="59"/>
      <c r="N47" s="75"/>
      <c r="O47" s="149"/>
      <c r="P47" s="149"/>
      <c r="Q47" s="149"/>
      <c r="R47" s="149"/>
      <c r="S47" s="149"/>
      <c r="T47" s="149"/>
      <c r="U47" s="149"/>
      <c r="V47" s="149"/>
    </row>
    <row r="48" spans="1:22" ht="22" customHeight="1">
      <c r="A48" s="151" t="s">
        <v>119</v>
      </c>
      <c r="B48" s="101">
        <v>401752</v>
      </c>
      <c r="C48" s="45" t="s">
        <v>273</v>
      </c>
      <c r="D48" s="46">
        <v>45986</v>
      </c>
      <c r="E48" s="47" t="s">
        <v>2</v>
      </c>
      <c r="F48" s="69">
        <v>173</v>
      </c>
      <c r="G48" s="152">
        <f>IF(OR(E48="",F48=""),"",PID_KVLohnLookup($A$1,E48,F48,LOHNTABELLE!$H$4))</f>
        <v>2900</v>
      </c>
      <c r="H48" s="153">
        <f>IF(AND(ISNUMBER(D48),ISNUMBER(F48)),ROUNDDOWN(MIN(IF(OR(ISBLANK(I48),I48=""),EOMONTH(DATE(EINSTELLUNG!$C$35,$A$1,1),0),I48)-MAX(D48,DATE(EINSTELLUNG!$C$35,$A$1,1))+1)/DAY(EOMONTH(DATE(EINSTELLUNG!$C$35,$A$1,1),0))*F48,2),"")</f>
        <v>173</v>
      </c>
      <c r="I48" s="49"/>
      <c r="J48" s="50"/>
      <c r="K48" s="152">
        <f t="shared" si="1"/>
        <v>0</v>
      </c>
      <c r="L48" s="154">
        <f>IF(OR($B48=",$C3="),"",IF(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0,"",IFERROR(IF(OR(ISBLANK(D48),ISBLANK(F48),ISBLANK(G48),ISBLANK(K48)),0,IF(YEAR(D48)&lt;EINSTELLUNG!$C$35,IF(ISNUMBER(I48),IF(YEAR(I48)&lt;EINSTELLUNG!$C$35,0,IF(OR(YEAR(I48)&gt;EINSTELLUNG!$C$35,MONTH(I48)&gt;$A$1),G48,IF(MONTH(I48)&lt;$A$1,0,(G48/DAY(EOMONTH(DATE(EINSTELLUNG!$C$35,$A$1,1),0)))*DAY(I48)+K48))),G48+K48),IF(YEAR(D48)=EINSTELLUNG!$C$35,IF(MONTH(D48)&lt;$A$1,IF(ISNUMBER(I48),IF(YEAR(I48)&lt;EINSTELLUNG!$C$35,0,IF(OR(YEAR(I48)&gt;EINSTELLUNG!$C$35,MONTH(I48)&gt;$A$1),G48,IF(MONTH(I48)&lt;$A$1,0,(G48/DAY(EOMONTH(DATE(EINSTELLUNG!$C$35,$A$1,1),0)))*DAY(I48)+K48))),G48),IF(MONTH(D48)=$A$1,IF(ISNUMBER(I48),IF(OR(YEAR(I48)&gt;EINSTELLUNG!$C$35,MONTH(I48)&gt;$A$1),G48,(G48/DAY(EOMONTH(D48,0)))*(I48-D48+1)+K48),(G48/DAY(EOMONTH(D48,0)))*(DAY(EOMONTH(D48,0))-DAY(D48)+1)+K48),0)),0))),0)))</f>
        <v>2900</v>
      </c>
      <c r="M48" s="51"/>
      <c r="N48" s="74"/>
      <c r="O48" s="149"/>
      <c r="P48" s="149"/>
      <c r="Q48" s="149"/>
      <c r="R48" s="149"/>
      <c r="S48" s="149"/>
      <c r="T48" s="149"/>
      <c r="U48" s="149"/>
      <c r="V48" s="149"/>
    </row>
    <row r="49" spans="1:22" ht="22" customHeight="1">
      <c r="A49" s="151" t="s">
        <v>120</v>
      </c>
      <c r="B49" s="102">
        <v>401999</v>
      </c>
      <c r="C49" s="53" t="s">
        <v>358</v>
      </c>
      <c r="D49" s="54">
        <v>46041</v>
      </c>
      <c r="E49" s="55" t="s">
        <v>2</v>
      </c>
      <c r="F49" s="56">
        <v>151.38</v>
      </c>
      <c r="G49" s="152">
        <f>IF(OR(E49="",F49=""),"",PID_KVLohnLookup($A$1,E49,F49,LOHNTABELLE!$H$4))</f>
        <v>2500</v>
      </c>
      <c r="H49" s="153">
        <f>IF(AND(ISNUMBER(D49),ISNUMBER(F49)),ROUNDDOWN(MIN(IF(OR(ISBLANK(I49),I49=""),EOMONTH(DATE(EINSTELLUNG!$C$35,$A$1,1),0),I49)-MAX(D49,DATE(EINSTELLUNG!$C$35,$A$1,1))+1)/DAY(EOMONTH(DATE(EINSTELLUNG!$C$35,$A$1,1),0))*F49,2),"")</f>
        <v>151.38</v>
      </c>
      <c r="I49" s="57"/>
      <c r="J49" s="58"/>
      <c r="K49" s="152">
        <f t="shared" si="1"/>
        <v>0</v>
      </c>
      <c r="L49" s="154">
        <f>IF(OR($B49=",$C3="),"",IF(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0,"",IFERROR(IF(OR(ISBLANK(D49),ISBLANK(F49),ISBLANK(G49),ISBLANK(K49)),0,IF(YEAR(D49)&lt;EINSTELLUNG!$C$35,IF(ISNUMBER(I49),IF(YEAR(I49)&lt;EINSTELLUNG!$C$35,0,IF(OR(YEAR(I49)&gt;EINSTELLUNG!$C$35,MONTH(I49)&gt;$A$1),G49,IF(MONTH(I49)&lt;$A$1,0,(G49/DAY(EOMONTH(DATE(EINSTELLUNG!$C$35,$A$1,1),0)))*DAY(I49)+K49))),G49+K49),IF(YEAR(D49)=EINSTELLUNG!$C$35,IF(MONTH(D49)&lt;$A$1,IF(ISNUMBER(I49),IF(YEAR(I49)&lt;EINSTELLUNG!$C$35,0,IF(OR(YEAR(I49)&gt;EINSTELLUNG!$C$35,MONTH(I49)&gt;$A$1),G49,IF(MONTH(I49)&lt;$A$1,0,(G49/DAY(EOMONTH(DATE(EINSTELLUNG!$C$35,$A$1,1),0)))*DAY(I49)+K49))),G49),IF(MONTH(D49)=$A$1,IF(ISNUMBER(I49),IF(OR(YEAR(I49)&gt;EINSTELLUNG!$C$35,MONTH(I49)&gt;$A$1),G49,(G49/DAY(EOMONTH(D49,0)))*(I49-D49+1)+K49),(G49/DAY(EOMONTH(D49,0)))*(DAY(EOMONTH(D49,0))-DAY(D49)+1)+K49),0)),0))),0)))</f>
        <v>2500</v>
      </c>
      <c r="M49" s="59"/>
      <c r="N49" s="75"/>
      <c r="O49" s="149"/>
      <c r="P49" s="149"/>
      <c r="Q49" s="149"/>
      <c r="R49" s="149"/>
      <c r="S49" s="149"/>
      <c r="T49" s="149"/>
      <c r="U49" s="149"/>
      <c r="V49" s="149"/>
    </row>
    <row r="50" spans="1:22" ht="22" customHeight="1">
      <c r="A50" s="151" t="s">
        <v>121</v>
      </c>
      <c r="B50" s="101">
        <v>401999</v>
      </c>
      <c r="C50" s="45" t="s">
        <v>295</v>
      </c>
      <c r="D50" s="49">
        <v>46082</v>
      </c>
      <c r="E50" s="47" t="s">
        <v>2</v>
      </c>
      <c r="F50" s="48">
        <v>173</v>
      </c>
      <c r="G50" s="152">
        <f>IF(OR(E50="",F50=""),"",PID_KVLohnLookup($A$1,E50,F50,LOHNTABELLE!$H$4))</f>
        <v>2900</v>
      </c>
      <c r="H50" s="153">
        <f>IF(AND(ISNUMBER(D50),ISNUMBER(F50)),ROUNDDOWN(MIN(IF(OR(ISBLANK(I50),I50=""),EOMONTH(DATE(EINSTELLUNG!$C$35,$A$1,1),0),I50)-MAX(D50,DATE(EINSTELLUNG!$C$35,$A$1,1))+1)/DAY(EOMONTH(DATE(EINSTELLUNG!$C$35,$A$1,1),0))*F50,2),"")</f>
        <v>173</v>
      </c>
      <c r="I50" s="49"/>
      <c r="J50" s="50"/>
      <c r="K50" s="152">
        <f t="shared" si="1"/>
        <v>0</v>
      </c>
      <c r="L50" s="154">
        <f>IF(OR($B50=",$C3="),"",IF(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0,"",IFERROR(IF(OR(ISBLANK(D50),ISBLANK(F50),ISBLANK(G50),ISBLANK(K50)),0,IF(YEAR(D50)&lt;EINSTELLUNG!$C$35,IF(ISNUMBER(I50),IF(YEAR(I50)&lt;EINSTELLUNG!$C$35,0,IF(OR(YEAR(I50)&gt;EINSTELLUNG!$C$35,MONTH(I50)&gt;$A$1),G50,IF(MONTH(I50)&lt;$A$1,0,(G50/DAY(EOMONTH(DATE(EINSTELLUNG!$C$35,$A$1,1),0)))*DAY(I50)+K50))),G50+K50),IF(YEAR(D50)=EINSTELLUNG!$C$35,IF(MONTH(D50)&lt;$A$1,IF(ISNUMBER(I50),IF(YEAR(I50)&lt;EINSTELLUNG!$C$35,0,IF(OR(YEAR(I50)&gt;EINSTELLUNG!$C$35,MONTH(I50)&gt;$A$1),G50,IF(MONTH(I50)&lt;$A$1,0,(G50/DAY(EOMONTH(DATE(EINSTELLUNG!$C$35,$A$1,1),0)))*DAY(I50)+K50))),G50),IF(MONTH(D50)=$A$1,IF(ISNUMBER(I50),IF(OR(YEAR(I50)&gt;EINSTELLUNG!$C$35,MONTH(I50)&gt;$A$1),G50,(G50/DAY(EOMONTH(D50,0)))*(I50-D50+1)+K50),(G50/DAY(EOMONTH(D50,0)))*(DAY(EOMONTH(D50,0))-DAY(D50)+1)+K50),0)),0))),0)))</f>
        <v>2900</v>
      </c>
      <c r="M50" s="51"/>
      <c r="N50" s="74"/>
      <c r="O50" s="149"/>
      <c r="P50" s="149"/>
      <c r="Q50" s="149"/>
      <c r="R50" s="149"/>
      <c r="S50" s="149"/>
      <c r="T50" s="149"/>
      <c r="U50" s="149"/>
      <c r="V50" s="149"/>
    </row>
    <row r="51" spans="1:22" ht="22" customHeight="1">
      <c r="A51" s="151" t="s">
        <v>122</v>
      </c>
      <c r="B51" s="102">
        <v>402000</v>
      </c>
      <c r="C51" s="53" t="s">
        <v>298</v>
      </c>
      <c r="D51" s="57">
        <v>46143</v>
      </c>
      <c r="E51" s="55" t="s">
        <v>2</v>
      </c>
      <c r="F51" s="56">
        <v>173</v>
      </c>
      <c r="G51" s="152">
        <f>IF(OR(E51="",F51=""),"",PID_KVLohnLookup($A$1,E51,F51,LOHNTABELLE!$H$4))</f>
        <v>2900</v>
      </c>
      <c r="H51" s="153">
        <f>IF(AND(ISNUMBER(D51),ISNUMBER(F51)),ROUNDDOWN(MIN(IF(OR(ISBLANK(I51),I51=""),EOMONTH(DATE(EINSTELLUNG!$C$35,$A$1,1),0),I51)-MAX(D51,DATE(EINSTELLUNG!$C$35,$A$1,1))+1)/DAY(EOMONTH(DATE(EINSTELLUNG!$C$35,$A$1,1),0))*F51,2),"")</f>
        <v>-284.61</v>
      </c>
      <c r="I51" s="57">
        <v>46305</v>
      </c>
      <c r="J51" s="58"/>
      <c r="K51" s="152">
        <f t="shared" si="1"/>
        <v>0</v>
      </c>
      <c r="L51" s="154" t="str">
        <f>IF(OR($B51=",$C3="),"",IF(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0,"",IFERROR(IF(OR(ISBLANK(D51),ISBLANK(F51),ISBLANK(G51),ISBLANK(K51)),0,IF(YEAR(D51)&lt;EINSTELLUNG!$C$35,IF(ISNUMBER(I51),IF(YEAR(I51)&lt;EINSTELLUNG!$C$35,0,IF(OR(YEAR(I51)&gt;EINSTELLUNG!$C$35,MONTH(I51)&gt;$A$1),G51,IF(MONTH(I51)&lt;$A$1,0,(G51/DAY(EOMONTH(DATE(EINSTELLUNG!$C$35,$A$1,1),0)))*DAY(I51)+K51))),G51+K51),IF(YEAR(D51)=EINSTELLUNG!$C$35,IF(MONTH(D51)&lt;$A$1,IF(ISNUMBER(I51),IF(YEAR(I51)&lt;EINSTELLUNG!$C$35,0,IF(OR(YEAR(I51)&gt;EINSTELLUNG!$C$35,MONTH(I51)&gt;$A$1),G51,IF(MONTH(I51)&lt;$A$1,0,(G51/DAY(EOMONTH(DATE(EINSTELLUNG!$C$35,$A$1,1),0)))*DAY(I51)+K51))),G51),IF(MONTH(D51)=$A$1,IF(ISNUMBER(I51),IF(OR(YEAR(I51)&gt;EINSTELLUNG!$C$35,MONTH(I51)&gt;$A$1),G51,(G51/DAY(EOMONTH(D51,0)))*(I51-D51+1)+K51),(G51/DAY(EOMONTH(D51,0)))*(DAY(EOMONTH(D51,0))-DAY(D51)+1)+K51),0)),0))),0)))</f>
        <v/>
      </c>
      <c r="M51" s="59"/>
      <c r="N51" s="75" t="s">
        <v>195</v>
      </c>
    </row>
    <row r="52" spans="1:22" ht="22" customHeight="1">
      <c r="A52" s="151" t="s">
        <v>123</v>
      </c>
      <c r="B52" s="101">
        <v>402004</v>
      </c>
      <c r="C52" s="45" t="s">
        <v>299</v>
      </c>
      <c r="D52" s="49">
        <v>46122</v>
      </c>
      <c r="E52" s="47" t="s">
        <v>2</v>
      </c>
      <c r="F52" s="48">
        <v>173</v>
      </c>
      <c r="G52" s="152">
        <f>IF(OR(E52="",F52=""),"",PID_KVLohnLookup($A$1,E52,F52,LOHNTABELLE!$H$4))</f>
        <v>2900</v>
      </c>
      <c r="H52" s="153">
        <f>IF(AND(ISNUMBER(D52),ISNUMBER(F52)),ROUNDDOWN(MIN(IF(OR(ISBLANK(I52),I52=""),EOMONTH(DATE(EINSTELLUNG!$C$35,$A$1,1),0),I52)-MAX(D52,DATE(EINSTELLUNG!$C$35,$A$1,1))+1)/DAY(EOMONTH(DATE(EINSTELLUNG!$C$35,$A$1,1),0))*F52,2),"")</f>
        <v>173</v>
      </c>
      <c r="I52" s="49"/>
      <c r="J52" s="50"/>
      <c r="K52" s="152">
        <f t="shared" si="1"/>
        <v>0</v>
      </c>
      <c r="L52" s="154">
        <f>IF(OR($B52=",$C3="),"",IF(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0,"",IFERROR(IF(OR(ISBLANK(D52),ISBLANK(F52),ISBLANK(G52),ISBLANK(K52)),0,IF(YEAR(D52)&lt;EINSTELLUNG!$C$35,IF(ISNUMBER(I52),IF(YEAR(I52)&lt;EINSTELLUNG!$C$35,0,IF(OR(YEAR(I52)&gt;EINSTELLUNG!$C$35,MONTH(I52)&gt;$A$1),G52,IF(MONTH(I52)&lt;$A$1,0,(G52/DAY(EOMONTH(DATE(EINSTELLUNG!$C$35,$A$1,1),0)))*DAY(I52)+K52))),G52+K52),IF(YEAR(D52)=EINSTELLUNG!$C$35,IF(MONTH(D52)&lt;$A$1,IF(ISNUMBER(I52),IF(YEAR(I52)&lt;EINSTELLUNG!$C$35,0,IF(OR(YEAR(I52)&gt;EINSTELLUNG!$C$35,MONTH(I52)&gt;$A$1),G52,IF(MONTH(I52)&lt;$A$1,0,(G52/DAY(EOMONTH(DATE(EINSTELLUNG!$C$35,$A$1,1),0)))*DAY(I52)+K52))),G52),IF(MONTH(D52)=$A$1,IF(ISNUMBER(I52),IF(OR(YEAR(I52)&gt;EINSTELLUNG!$C$35,MONTH(I52)&gt;$A$1),G52,(G52/DAY(EOMONTH(D52,0)))*(I52-D52+1)+K52),(G52/DAY(EOMONTH(D52,0)))*(DAY(EOMONTH(D52,0))-DAY(D52)+1)+K52),0)),0))),0)))</f>
        <v>2900</v>
      </c>
      <c r="M52" s="51"/>
      <c r="N52" s="74"/>
    </row>
    <row r="53" spans="1:22" ht="22" customHeight="1">
      <c r="A53" s="151" t="s">
        <v>124</v>
      </c>
      <c r="B53" s="102">
        <v>500600</v>
      </c>
      <c r="C53" s="53" t="s">
        <v>305</v>
      </c>
      <c r="D53" s="57">
        <v>46054</v>
      </c>
      <c r="E53" s="55" t="s">
        <v>2</v>
      </c>
      <c r="F53" s="56">
        <v>173</v>
      </c>
      <c r="G53" s="152">
        <f>IF(OR(E53="",F53=""),"",PID_KVLohnLookup($A$1,E53,F53,LOHNTABELLE!$H$4))</f>
        <v>2900</v>
      </c>
      <c r="H53" s="153">
        <f>IF(AND(ISNUMBER(D53),ISNUMBER(F53)),ROUNDDOWN(MIN(IF(OR(ISBLANK(I53),I53=""),EOMONTH(DATE(EINSTELLUNG!$C$35,$A$1,1),0),I53)-MAX(D53,DATE(EINSTELLUNG!$C$35,$A$1,1))+1)/DAY(EOMONTH(DATE(EINSTELLUNG!$C$35,$A$1,1),0))*F53,2),"")</f>
        <v>173</v>
      </c>
      <c r="I53" s="57"/>
      <c r="J53" s="58"/>
      <c r="K53" s="152">
        <f t="shared" si="1"/>
        <v>0</v>
      </c>
      <c r="L53" s="154">
        <f>IF(OR($B53=",$C3="),"",IF(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0,"",IFERROR(IF(OR(ISBLANK(D53),ISBLANK(F53),ISBLANK(G53),ISBLANK(K53)),0,IF(YEAR(D53)&lt;EINSTELLUNG!$C$35,IF(ISNUMBER(I53),IF(YEAR(I53)&lt;EINSTELLUNG!$C$35,0,IF(OR(YEAR(I53)&gt;EINSTELLUNG!$C$35,MONTH(I53)&gt;$A$1),G53,IF(MONTH(I53)&lt;$A$1,0,(G53/DAY(EOMONTH(DATE(EINSTELLUNG!$C$35,$A$1,1),0)))*DAY(I53)+K53))),G53+K53),IF(YEAR(D53)=EINSTELLUNG!$C$35,IF(MONTH(D53)&lt;$A$1,IF(ISNUMBER(I53),IF(YEAR(I53)&lt;EINSTELLUNG!$C$35,0,IF(OR(YEAR(I53)&gt;EINSTELLUNG!$C$35,MONTH(I53)&gt;$A$1),G53,IF(MONTH(I53)&lt;$A$1,0,(G53/DAY(EOMONTH(DATE(EINSTELLUNG!$C$35,$A$1,1),0)))*DAY(I53)+K53))),G53),IF(MONTH(D53)=$A$1,IF(ISNUMBER(I53),IF(OR(YEAR(I53)&gt;EINSTELLUNG!$C$35,MONTH(I53)&gt;$A$1),G53,(G53/DAY(EOMONTH(D53,0)))*(I53-D53+1)+K53),(G53/DAY(EOMONTH(D53,0)))*(DAY(EOMONTH(D53,0))-DAY(D53)+1)+K53),0)),0))),0)))</f>
        <v>2900</v>
      </c>
      <c r="M53" s="59"/>
      <c r="N53" s="75"/>
    </row>
    <row r="54" spans="1:22" ht="22" customHeight="1">
      <c r="A54" s="151" t="s">
        <v>125</v>
      </c>
      <c r="B54" s="101">
        <v>502000</v>
      </c>
      <c r="C54" s="45" t="s">
        <v>300</v>
      </c>
      <c r="D54" s="49">
        <v>46147</v>
      </c>
      <c r="E54" s="47" t="s">
        <v>2</v>
      </c>
      <c r="F54" s="48">
        <v>173</v>
      </c>
      <c r="G54" s="152">
        <f>IF(OR(E54="",F54=""),"",PID_KVLohnLookup($A$1,E54,F54,LOHNTABELLE!$H$4))</f>
        <v>2900</v>
      </c>
      <c r="H54" s="153">
        <f>IF(AND(ISNUMBER(D54),ISNUMBER(F54)),ROUNDDOWN(MIN(IF(OR(ISBLANK(I54),I54=""),EOMONTH(DATE(EINSTELLUNG!$C$35,$A$1,1),0),I54)-MAX(D54,DATE(EINSTELLUNG!$C$35,$A$1,1))+1)/DAY(EOMONTH(DATE(EINSTELLUNG!$C$35,$A$1,1),0))*F54,2),"")</f>
        <v>173</v>
      </c>
      <c r="I54" s="49"/>
      <c r="J54" s="50"/>
      <c r="K54" s="152">
        <f t="shared" si="1"/>
        <v>0</v>
      </c>
      <c r="L54" s="154">
        <f>IF(OR($B54=",$C3="),"",IF(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0,"",IFERROR(IF(OR(ISBLANK(D54),ISBLANK(F54),ISBLANK(G54),ISBLANK(K54)),0,IF(YEAR(D54)&lt;EINSTELLUNG!$C$35,IF(ISNUMBER(I54),IF(YEAR(I54)&lt;EINSTELLUNG!$C$35,0,IF(OR(YEAR(I54)&gt;EINSTELLUNG!$C$35,MONTH(I54)&gt;$A$1),G54,IF(MONTH(I54)&lt;$A$1,0,(G54/DAY(EOMONTH(DATE(EINSTELLUNG!$C$35,$A$1,1),0)))*DAY(I54)+K54))),G54+K54),IF(YEAR(D54)=EINSTELLUNG!$C$35,IF(MONTH(D54)&lt;$A$1,IF(ISNUMBER(I54),IF(YEAR(I54)&lt;EINSTELLUNG!$C$35,0,IF(OR(YEAR(I54)&gt;EINSTELLUNG!$C$35,MONTH(I54)&gt;$A$1),G54,IF(MONTH(I54)&lt;$A$1,0,(G54/DAY(EOMONTH(DATE(EINSTELLUNG!$C$35,$A$1,1),0)))*DAY(I54)+K54))),G54),IF(MONTH(D54)=$A$1,IF(ISNUMBER(I54),IF(OR(YEAR(I54)&gt;EINSTELLUNG!$C$35,MONTH(I54)&gt;$A$1),G54,(G54/DAY(EOMONTH(D54,0)))*(I54-D54+1)+K54),(G54/DAY(EOMONTH(D54,0)))*(DAY(EOMONTH(D54,0))-DAY(D54)+1)+K54),0)),0))),0)))</f>
        <v>2900</v>
      </c>
      <c r="M54" s="51"/>
      <c r="N54" s="74"/>
    </row>
    <row r="55" spans="1:22" ht="22" customHeight="1">
      <c r="A55" s="151" t="s">
        <v>126</v>
      </c>
      <c r="B55" s="102">
        <v>503000</v>
      </c>
      <c r="C55" s="53" t="s">
        <v>302</v>
      </c>
      <c r="D55" s="57">
        <v>42401</v>
      </c>
      <c r="E55" s="55" t="s">
        <v>2</v>
      </c>
      <c r="F55" s="56">
        <v>173</v>
      </c>
      <c r="G55" s="152">
        <f>IF(OR(E55="",F55=""),"",PID_KVLohnLookup($A$1,E55,F55,LOHNTABELLE!$H$4))</f>
        <v>2900</v>
      </c>
      <c r="H55" s="153">
        <f>IF(AND(ISNUMBER(D55),ISNUMBER(F55)),ROUNDDOWN(MIN(IF(OR(ISBLANK(I55),I55=""),EOMONTH(DATE(EINSTELLUNG!$C$35,$A$1,1),0),I55)-MAX(D55,DATE(EINSTELLUNG!$C$35,$A$1,1))+1)/DAY(EOMONTH(DATE(EINSTELLUNG!$C$35,$A$1,1),0))*F55,2),"")</f>
        <v>173</v>
      </c>
      <c r="I55" s="57"/>
      <c r="J55" s="58"/>
      <c r="K55" s="152">
        <f t="shared" si="1"/>
        <v>0</v>
      </c>
      <c r="L55" s="154">
        <f>IF(OR($B55=",$C3="),"",IF(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0,"",IFERROR(IF(OR(ISBLANK(D55),ISBLANK(F55),ISBLANK(G55),ISBLANK(K55)),0,IF(YEAR(D55)&lt;EINSTELLUNG!$C$35,IF(ISNUMBER(I55),IF(YEAR(I55)&lt;EINSTELLUNG!$C$35,0,IF(OR(YEAR(I55)&gt;EINSTELLUNG!$C$35,MONTH(I55)&gt;$A$1),G55,IF(MONTH(I55)&lt;$A$1,0,(G55/DAY(EOMONTH(DATE(EINSTELLUNG!$C$35,$A$1,1),0)))*DAY(I55)+K55))),G55+K55),IF(YEAR(D55)=EINSTELLUNG!$C$35,IF(MONTH(D55)&lt;$A$1,IF(ISNUMBER(I55),IF(YEAR(I55)&lt;EINSTELLUNG!$C$35,0,IF(OR(YEAR(I55)&gt;EINSTELLUNG!$C$35,MONTH(I55)&gt;$A$1),G55,IF(MONTH(I55)&lt;$A$1,0,(G55/DAY(EOMONTH(DATE(EINSTELLUNG!$C$35,$A$1,1),0)))*DAY(I55)+K55))),G55),IF(MONTH(D55)=$A$1,IF(ISNUMBER(I55),IF(OR(YEAR(I55)&gt;EINSTELLUNG!$C$35,MONTH(I55)&gt;$A$1),G55,(G55/DAY(EOMONTH(D55,0)))*(I55-D55+1)+K55),(G55/DAY(EOMONTH(D55,0)))*(DAY(EOMONTH(D55,0))-DAY(D55)+1)+K55),0)),0))),0)))</f>
        <v>2900</v>
      </c>
      <c r="M55" s="59"/>
      <c r="N55" s="75"/>
    </row>
    <row r="56" spans="1:22" ht="22" customHeight="1">
      <c r="A56" s="151" t="s">
        <v>127</v>
      </c>
      <c r="B56" s="101">
        <v>504000</v>
      </c>
      <c r="C56" s="45" t="s">
        <v>303</v>
      </c>
      <c r="D56" s="49">
        <v>46054</v>
      </c>
      <c r="E56" s="47" t="s">
        <v>3</v>
      </c>
      <c r="F56" s="48">
        <v>138.4</v>
      </c>
      <c r="G56" s="152">
        <f>IF(OR(E56="",F56=""),"",PID_KVLohnLookup($A$1,E56,F56,LOHNTABELLE!$H$4))</f>
        <v>1665.6</v>
      </c>
      <c r="H56" s="153">
        <f>IF(AND(ISNUMBER(D56),ISNUMBER(F56)),ROUNDDOWN(MIN(IF(OR(ISBLANK(I56),I56=""),EOMONTH(DATE(EINSTELLUNG!$C$35,$A$1,1),0),I56)-MAX(D56,DATE(EINSTELLUNG!$C$35,$A$1,1))+1)/DAY(EOMONTH(DATE(EINSTELLUNG!$C$35,$A$1,1),0))*F56,2),"")</f>
        <v>138.4</v>
      </c>
      <c r="I56" s="49"/>
      <c r="J56" s="50"/>
      <c r="K56" s="152">
        <f t="shared" si="1"/>
        <v>0</v>
      </c>
      <c r="L56" s="154">
        <f>IF(OR($B56=",$C3="),"",IF(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0,"",IFERROR(IF(OR(ISBLANK(D56),ISBLANK(F56),ISBLANK(G56),ISBLANK(K56)),0,IF(YEAR(D56)&lt;EINSTELLUNG!$C$35,IF(ISNUMBER(I56),IF(YEAR(I56)&lt;EINSTELLUNG!$C$35,0,IF(OR(YEAR(I56)&gt;EINSTELLUNG!$C$35,MONTH(I56)&gt;$A$1),G56,IF(MONTH(I56)&lt;$A$1,0,(G56/DAY(EOMONTH(DATE(EINSTELLUNG!$C$35,$A$1,1),0)))*DAY(I56)+K56))),G56+K56),IF(YEAR(D56)=EINSTELLUNG!$C$35,IF(MONTH(D56)&lt;$A$1,IF(ISNUMBER(I56),IF(YEAR(I56)&lt;EINSTELLUNG!$C$35,0,IF(OR(YEAR(I56)&gt;EINSTELLUNG!$C$35,MONTH(I56)&gt;$A$1),G56,IF(MONTH(I56)&lt;$A$1,0,(G56/DAY(EOMONTH(DATE(EINSTELLUNG!$C$35,$A$1,1),0)))*DAY(I56)+K56))),G56),IF(MONTH(D56)=$A$1,IF(ISNUMBER(I56),IF(OR(YEAR(I56)&gt;EINSTELLUNG!$C$35,MONTH(I56)&gt;$A$1),G56,(G56/DAY(EOMONTH(D56,0)))*(I56-D56+1)+K56),(G56/DAY(EOMONTH(D56,0)))*(DAY(EOMONTH(D56,0))-DAY(D56)+1)+K56),0)),0))),0)))</f>
        <v>1665.6</v>
      </c>
      <c r="M56" s="51"/>
      <c r="N56" s="74"/>
    </row>
    <row r="57" spans="1:22" ht="22" customHeight="1">
      <c r="A57" s="151" t="s">
        <v>128</v>
      </c>
      <c r="B57" s="102">
        <v>505000</v>
      </c>
      <c r="C57" s="53" t="s">
        <v>304</v>
      </c>
      <c r="D57" s="57">
        <v>46054</v>
      </c>
      <c r="E57" s="55" t="s">
        <v>2</v>
      </c>
      <c r="F57" s="56">
        <v>138.4</v>
      </c>
      <c r="G57" s="152">
        <f>IF(OR(E57="",F57=""),"",PID_KVLohnLookup($A$1,E57,F57,LOHNTABELLE!$H$4))</f>
        <v>2400</v>
      </c>
      <c r="H57" s="153">
        <f>IF(AND(ISNUMBER(D57),ISNUMBER(F57)),ROUNDDOWN(MIN(IF(OR(ISBLANK(I57),I57=""),EOMONTH(DATE(EINSTELLUNG!$C$35,$A$1,1),0),I57)-MAX(D57,DATE(EINSTELLUNG!$C$35,$A$1,1))+1)/DAY(EOMONTH(DATE(EINSTELLUNG!$C$35,$A$1,1),0))*F57,2),"")</f>
        <v>138.4</v>
      </c>
      <c r="I57" s="57"/>
      <c r="J57" s="58"/>
      <c r="K57" s="152">
        <f t="shared" si="1"/>
        <v>0</v>
      </c>
      <c r="L57" s="154">
        <f>IF(OR($B57=",$C3="),"",IF(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0,"",IFERROR(IF(OR(ISBLANK(D57),ISBLANK(F57),ISBLANK(G57),ISBLANK(K57)),0,IF(YEAR(D57)&lt;EINSTELLUNG!$C$35,IF(ISNUMBER(I57),IF(YEAR(I57)&lt;EINSTELLUNG!$C$35,0,IF(OR(YEAR(I57)&gt;EINSTELLUNG!$C$35,MONTH(I57)&gt;$A$1),G57,IF(MONTH(I57)&lt;$A$1,0,(G57/DAY(EOMONTH(DATE(EINSTELLUNG!$C$35,$A$1,1),0)))*DAY(I57)+K57))),G57+K57),IF(YEAR(D57)=EINSTELLUNG!$C$35,IF(MONTH(D57)&lt;$A$1,IF(ISNUMBER(I57),IF(YEAR(I57)&lt;EINSTELLUNG!$C$35,0,IF(OR(YEAR(I57)&gt;EINSTELLUNG!$C$35,MONTH(I57)&gt;$A$1),G57,IF(MONTH(I57)&lt;$A$1,0,(G57/DAY(EOMONTH(DATE(EINSTELLUNG!$C$35,$A$1,1),0)))*DAY(I57)+K57))),G57),IF(MONTH(D57)=$A$1,IF(ISNUMBER(I57),IF(OR(YEAR(I57)&gt;EINSTELLUNG!$C$35,MONTH(I57)&gt;$A$1),G57,(G57/DAY(EOMONTH(D57,0)))*(I57-D57+1)+K57),(G57/DAY(EOMONTH(D57,0)))*(DAY(EOMONTH(D57,0))-DAY(D57)+1)+K57),0)),0))),0)))</f>
        <v>2400</v>
      </c>
      <c r="M57" s="59"/>
      <c r="N57" s="75"/>
    </row>
    <row r="58" spans="1:22" ht="22" customHeight="1">
      <c r="A58" s="151" t="s">
        <v>129</v>
      </c>
      <c r="B58" s="101">
        <v>525025</v>
      </c>
      <c r="C58" s="45" t="s">
        <v>359</v>
      </c>
      <c r="D58" s="49">
        <v>46040</v>
      </c>
      <c r="E58" s="47" t="s">
        <v>2</v>
      </c>
      <c r="F58" s="48">
        <v>129.75</v>
      </c>
      <c r="G58" s="152">
        <f>IF(OR(E58="",F58=""),"",PID_KVLohnLookup($A$1,E58,F58,LOHNTABELLE!$H$4))</f>
        <v>2300</v>
      </c>
      <c r="H58" s="153">
        <f>IF(AND(ISNUMBER(D58),ISNUMBER(F58)),ROUNDDOWN(MIN(IF(OR(ISBLANK(I58),I58=""),EOMONTH(DATE(EINSTELLUNG!$C$35,$A$1,1),0),I58)-MAX(D58,DATE(EINSTELLUNG!$C$35,$A$1,1))+1)/DAY(EOMONTH(DATE(EINSTELLUNG!$C$35,$A$1,1),0))*F58,2),"")</f>
        <v>129.75</v>
      </c>
      <c r="I58" s="49"/>
      <c r="J58" s="50"/>
      <c r="K58" s="152">
        <f t="shared" si="1"/>
        <v>0</v>
      </c>
      <c r="L58" s="154">
        <f>IF(OR($B58=",$C3="),"",IF(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0,"",IFERROR(IF(OR(ISBLANK(D58),ISBLANK(F58),ISBLANK(G58),ISBLANK(K58)),0,IF(YEAR(D58)&lt;EINSTELLUNG!$C$35,IF(ISNUMBER(I58),IF(YEAR(I58)&lt;EINSTELLUNG!$C$35,0,IF(OR(YEAR(I58)&gt;EINSTELLUNG!$C$35,MONTH(I58)&gt;$A$1),G58,IF(MONTH(I58)&lt;$A$1,0,(G58/DAY(EOMONTH(DATE(EINSTELLUNG!$C$35,$A$1,1),0)))*DAY(I58)+K58))),G58+K58),IF(YEAR(D58)=EINSTELLUNG!$C$35,IF(MONTH(D58)&lt;$A$1,IF(ISNUMBER(I58),IF(YEAR(I58)&lt;EINSTELLUNG!$C$35,0,IF(OR(YEAR(I58)&gt;EINSTELLUNG!$C$35,MONTH(I58)&gt;$A$1),G58,IF(MONTH(I58)&lt;$A$1,0,(G58/DAY(EOMONTH(DATE(EINSTELLUNG!$C$35,$A$1,1),0)))*DAY(I58)+K58))),G58),IF(MONTH(D58)=$A$1,IF(ISNUMBER(I58),IF(OR(YEAR(I58)&gt;EINSTELLUNG!$C$35,MONTH(I58)&gt;$A$1),G58,(G58/DAY(EOMONTH(D58,0)))*(I58-D58+1)+K58),(G58/DAY(EOMONTH(D58,0)))*(DAY(EOMONTH(D58,0))-DAY(D58)+1)+K58),0)),0))),0)))</f>
        <v>2300</v>
      </c>
      <c r="M58" s="51"/>
      <c r="N58" s="74"/>
    </row>
    <row r="59" spans="1:22" ht="22" customHeight="1">
      <c r="A59" s="151" t="s">
        <v>130</v>
      </c>
      <c r="B59" s="102">
        <v>700000</v>
      </c>
      <c r="C59" s="53" t="s">
        <v>312</v>
      </c>
      <c r="D59" s="57">
        <v>46054</v>
      </c>
      <c r="E59" s="55" t="s">
        <v>2</v>
      </c>
      <c r="F59" s="56">
        <v>173</v>
      </c>
      <c r="G59" s="152">
        <f>IF(OR(E59="",F59=""),"",PID_KVLohnLookup($A$1,E59,F59,LOHNTABELLE!$H$4))</f>
        <v>2900</v>
      </c>
      <c r="H59" s="153">
        <f>IF(AND(ISNUMBER(D59),ISNUMBER(F59)),ROUNDDOWN(MIN(IF(OR(ISBLANK(I59),I59=""),EOMONTH(DATE(EINSTELLUNG!$C$35,$A$1,1),0),I59)-MAX(D59,DATE(EINSTELLUNG!$C$35,$A$1,1))+1)/DAY(EOMONTH(DATE(EINSTELLUNG!$C$35,$A$1,1),0))*F59,2),"")</f>
        <v>173</v>
      </c>
      <c r="I59" s="57"/>
      <c r="J59" s="58"/>
      <c r="K59" s="152">
        <f t="shared" si="1"/>
        <v>0</v>
      </c>
      <c r="L59" s="154">
        <f>IF(OR($B59=",$C3="),"",IF(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0,"",IFERROR(IF(OR(ISBLANK(D59),ISBLANK(F59),ISBLANK(G59),ISBLANK(K59)),0,IF(YEAR(D59)&lt;EINSTELLUNG!$C$35,IF(ISNUMBER(I59),IF(YEAR(I59)&lt;EINSTELLUNG!$C$35,0,IF(OR(YEAR(I59)&gt;EINSTELLUNG!$C$35,MONTH(I59)&gt;$A$1),G59,IF(MONTH(I59)&lt;$A$1,0,(G59/DAY(EOMONTH(DATE(EINSTELLUNG!$C$35,$A$1,1),0)))*DAY(I59)+K59))),G59+K59),IF(YEAR(D59)=EINSTELLUNG!$C$35,IF(MONTH(D59)&lt;$A$1,IF(ISNUMBER(I59),IF(YEAR(I59)&lt;EINSTELLUNG!$C$35,0,IF(OR(YEAR(I59)&gt;EINSTELLUNG!$C$35,MONTH(I59)&gt;$A$1),G59,IF(MONTH(I59)&lt;$A$1,0,(G59/DAY(EOMONTH(DATE(EINSTELLUNG!$C$35,$A$1,1),0)))*DAY(I59)+K59))),G59),IF(MONTH(D59)=$A$1,IF(ISNUMBER(I59),IF(OR(YEAR(I59)&gt;EINSTELLUNG!$C$35,MONTH(I59)&gt;$A$1),G59,(G59/DAY(EOMONTH(D59,0)))*(I59-D59+1)+K59),(G59/DAY(EOMONTH(D59,0)))*(DAY(EOMONTH(D59,0))-DAY(D59)+1)+K59),0)),0))),0)))</f>
        <v>2900</v>
      </c>
      <c r="M59" s="59"/>
      <c r="N59" s="75"/>
    </row>
    <row r="60" spans="1:22" ht="22" customHeight="1">
      <c r="A60" s="151" t="s">
        <v>131</v>
      </c>
      <c r="B60" s="101">
        <v>800000</v>
      </c>
      <c r="C60" s="45" t="s">
        <v>313</v>
      </c>
      <c r="D60" s="49">
        <v>46096</v>
      </c>
      <c r="E60" s="47" t="s">
        <v>2</v>
      </c>
      <c r="F60" s="48">
        <v>166</v>
      </c>
      <c r="G60" s="152">
        <f>IF(OR(E60="",F60=""),"",PID_KVLohnLookup($A$1,E60,F60,LOHNTABELLE!$H$4))</f>
        <v>2454</v>
      </c>
      <c r="H60" s="153">
        <f>IF(AND(ISNUMBER(D60),ISNUMBER(F60)),ROUNDDOWN(MIN(IF(OR(ISBLANK(I60),I60=""),EOMONTH(DATE(EINSTELLUNG!$C$35,$A$1,1),0),I60)-MAX(D60,DATE(EINSTELLUNG!$C$35,$A$1,1))+1)/DAY(EOMONTH(DATE(EINSTELLUNG!$C$35,$A$1,1),0))*F60,2),"")</f>
        <v>166</v>
      </c>
      <c r="I60" s="49"/>
      <c r="J60" s="50"/>
      <c r="K60" s="152">
        <f t="shared" si="1"/>
        <v>0</v>
      </c>
      <c r="L60" s="154">
        <f>IF(OR($B60=",$C3="),"",IF(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0,"",IFERROR(IF(OR(ISBLANK(D60),ISBLANK(F60),ISBLANK(G60),ISBLANK(K60)),0,IF(YEAR(D60)&lt;EINSTELLUNG!$C$35,IF(ISNUMBER(I60),IF(YEAR(I60)&lt;EINSTELLUNG!$C$35,0,IF(OR(YEAR(I60)&gt;EINSTELLUNG!$C$35,MONTH(I60)&gt;$A$1),G60,IF(MONTH(I60)&lt;$A$1,0,(G60/DAY(EOMONTH(DATE(EINSTELLUNG!$C$35,$A$1,1),0)))*DAY(I60)+K60))),G60+K60),IF(YEAR(D60)=EINSTELLUNG!$C$35,IF(MONTH(D60)&lt;$A$1,IF(ISNUMBER(I60),IF(YEAR(I60)&lt;EINSTELLUNG!$C$35,0,IF(OR(YEAR(I60)&gt;EINSTELLUNG!$C$35,MONTH(I60)&gt;$A$1),G60,IF(MONTH(I60)&lt;$A$1,0,(G60/DAY(EOMONTH(DATE(EINSTELLUNG!$C$35,$A$1,1),0)))*DAY(I60)+K60))),G60),IF(MONTH(D60)=$A$1,IF(ISNUMBER(I60),IF(OR(YEAR(I60)&gt;EINSTELLUNG!$C$35,MONTH(I60)&gt;$A$1),G60,(G60/DAY(EOMONTH(D60,0)))*(I60-D60+1)+K60),(G60/DAY(EOMONTH(D60,0)))*(DAY(EOMONTH(D60,0))-DAY(D60)+1)+K60),0)),0))),0)))</f>
        <v>2454</v>
      </c>
      <c r="M60" s="51"/>
      <c r="N60" s="74"/>
    </row>
    <row r="61" spans="1:22" ht="22" customHeight="1">
      <c r="A61" s="151" t="s">
        <v>132</v>
      </c>
      <c r="B61" s="102"/>
      <c r="C61" s="53"/>
      <c r="D61" s="57"/>
      <c r="E61" s="55"/>
      <c r="F61" s="56"/>
      <c r="G61" s="152" t="str">
        <f>IF(OR(E61="",F61=""),"",PID_KVLohnLookup($A$1,E61,F61,LOHNTABELLE!$H$4))</f>
        <v/>
      </c>
      <c r="H61" s="153" t="str">
        <f>IF(AND(ISNUMBER(D61),ISNUMBER(F61)),ROUNDDOWN(MIN(IF(OR(ISBLANK(I61),I61=""),EOMONTH(DATE(EINSTELLUNG!$C$35,$A$1,1),0),I61)-MAX(D61,DATE(EINSTELLUNG!$C$35,$A$1,1))+1)/DAY(EOMONTH(DATE(EINSTELLUNG!$C$35,$A$1,1),0))*F61,2),"")</f>
        <v/>
      </c>
      <c r="I61" s="57"/>
      <c r="J61" s="58"/>
      <c r="K61" s="152" t="str">
        <f t="shared" si="1"/>
        <v/>
      </c>
      <c r="L61" s="154" t="str">
        <f>IF(OR($B61=",$C3="),"",IF(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0,"",IFERROR(IF(OR(ISBLANK(D61),ISBLANK(F61),ISBLANK(G61),ISBLANK(K61)),0,IF(YEAR(D61)&lt;EINSTELLUNG!$C$35,IF(ISNUMBER(I61),IF(YEAR(I61)&lt;EINSTELLUNG!$C$35,0,IF(OR(YEAR(I61)&gt;EINSTELLUNG!$C$35,MONTH(I61)&gt;$A$1),G61,IF(MONTH(I61)&lt;$A$1,0,(G61/DAY(EOMONTH(DATE(EINSTELLUNG!$C$35,$A$1,1),0)))*DAY(I61)+K61))),G61+K61),IF(YEAR(D61)=EINSTELLUNG!$C$35,IF(MONTH(D61)&lt;$A$1,IF(ISNUMBER(I61),IF(YEAR(I61)&lt;EINSTELLUNG!$C$35,0,IF(OR(YEAR(I61)&gt;EINSTELLUNG!$C$35,MONTH(I61)&gt;$A$1),G61,IF(MONTH(I61)&lt;$A$1,0,(G61/DAY(EOMONTH(DATE(EINSTELLUNG!$C$35,$A$1,1),0)))*DAY(I61)+K61))),G61),IF(MONTH(D61)=$A$1,IF(ISNUMBER(I61),IF(OR(YEAR(I61)&gt;EINSTELLUNG!$C$35,MONTH(I61)&gt;$A$1),G61,(G61/DAY(EOMONTH(D61,0)))*(I61-D61+1)+K61),(G61/DAY(EOMONTH(D61,0)))*(DAY(EOMONTH(D61,0))-DAY(D61)+1)+K61),0)),0))),0)))</f>
        <v/>
      </c>
      <c r="M61" s="59"/>
      <c r="N61" s="75"/>
    </row>
    <row r="62" spans="1:22" ht="22" customHeight="1">
      <c r="A62" s="151" t="s">
        <v>133</v>
      </c>
      <c r="B62" s="101"/>
      <c r="C62" s="45"/>
      <c r="D62" s="49"/>
      <c r="E62" s="47"/>
      <c r="F62" s="48"/>
      <c r="G62" s="152" t="str">
        <f>IF(OR(E62="",F62=""),"",PID_KVLohnLookup($A$1,E62,F62,LOHNTABELLE!$H$4))</f>
        <v/>
      </c>
      <c r="H62" s="153" t="str">
        <f>IF(AND(ISNUMBER(D62),ISNUMBER(F62)),ROUNDDOWN(MIN(IF(OR(ISBLANK(I62),I62=""),EOMONTH(DATE(EINSTELLUNG!$C$35,$A$1,1),0),I62)-MAX(D62,DATE(EINSTELLUNG!$C$35,$A$1,1))+1)/DAY(EOMONTH(DATE(EINSTELLUNG!$C$35,$A$1,1),0))*F62,2),"")</f>
        <v/>
      </c>
      <c r="I62" s="49"/>
      <c r="J62" s="50"/>
      <c r="K62" s="152" t="str">
        <f t="shared" si="1"/>
        <v/>
      </c>
      <c r="L62" s="154" t="str">
        <f>IF(OR($B62=",$C3="),"",IF(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0,"",IFERROR(IF(OR(ISBLANK(D62),ISBLANK(F62),ISBLANK(G62),ISBLANK(K62)),0,IF(YEAR(D62)&lt;EINSTELLUNG!$C$35,IF(ISNUMBER(I62),IF(YEAR(I62)&lt;EINSTELLUNG!$C$35,0,IF(OR(YEAR(I62)&gt;EINSTELLUNG!$C$35,MONTH(I62)&gt;$A$1),G62,IF(MONTH(I62)&lt;$A$1,0,(G62/DAY(EOMONTH(DATE(EINSTELLUNG!$C$35,$A$1,1),0)))*DAY(I62)+K62))),G62+K62),IF(YEAR(D62)=EINSTELLUNG!$C$35,IF(MONTH(D62)&lt;$A$1,IF(ISNUMBER(I62),IF(YEAR(I62)&lt;EINSTELLUNG!$C$35,0,IF(OR(YEAR(I62)&gt;EINSTELLUNG!$C$35,MONTH(I62)&gt;$A$1),G62,IF(MONTH(I62)&lt;$A$1,0,(G62/DAY(EOMONTH(DATE(EINSTELLUNG!$C$35,$A$1,1),0)))*DAY(I62)+K62))),G62),IF(MONTH(D62)=$A$1,IF(ISNUMBER(I62),IF(OR(YEAR(I62)&gt;EINSTELLUNG!$C$35,MONTH(I62)&gt;$A$1),G62,(G62/DAY(EOMONTH(D62,0)))*(I62-D62+1)+K62),(G62/DAY(EOMONTH(D62,0)))*(DAY(EOMONTH(D62,0))-DAY(D62)+1)+K62),0)),0))),0)))</f>
        <v/>
      </c>
      <c r="M62" s="51"/>
      <c r="N62" s="74"/>
    </row>
    <row r="63" spans="1:22" ht="22" customHeight="1">
      <c r="A63" s="151" t="s">
        <v>134</v>
      </c>
      <c r="B63" s="102"/>
      <c r="C63" s="53"/>
      <c r="D63" s="57"/>
      <c r="E63" s="55"/>
      <c r="F63" s="56"/>
      <c r="G63" s="152" t="str">
        <f>IF(OR(E63="",F63=""),"",PID_KVLohnLookup($A$1,E63,F63,LOHNTABELLE!$H$4))</f>
        <v/>
      </c>
      <c r="H63" s="153" t="str">
        <f>IF(AND(ISNUMBER(D63),ISNUMBER(F63)),ROUNDDOWN(MIN(IF(OR(ISBLANK(I63),I63=""),EOMONTH(DATE(EINSTELLUNG!$C$35,$A$1,1),0),I63)-MAX(D63,DATE(EINSTELLUNG!$C$35,$A$1,1))+1)/DAY(EOMONTH(DATE(EINSTELLUNG!$C$35,$A$1,1),0))*F63,2),"")</f>
        <v/>
      </c>
      <c r="I63" s="57"/>
      <c r="J63" s="58"/>
      <c r="K63" s="152" t="str">
        <f t="shared" si="1"/>
        <v/>
      </c>
      <c r="L63" s="154" t="str">
        <f>IF(OR($B63=",$C3="),"",IF(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0,"",IFERROR(IF(OR(ISBLANK(D63),ISBLANK(F63),ISBLANK(G63),ISBLANK(K63)),0,IF(YEAR(D63)&lt;EINSTELLUNG!$C$35,IF(ISNUMBER(I63),IF(YEAR(I63)&lt;EINSTELLUNG!$C$35,0,IF(OR(YEAR(I63)&gt;EINSTELLUNG!$C$35,MONTH(I63)&gt;$A$1),G63,IF(MONTH(I63)&lt;$A$1,0,(G63/DAY(EOMONTH(DATE(EINSTELLUNG!$C$35,$A$1,1),0)))*DAY(I63)+K63))),G63+K63),IF(YEAR(D63)=EINSTELLUNG!$C$35,IF(MONTH(D63)&lt;$A$1,IF(ISNUMBER(I63),IF(YEAR(I63)&lt;EINSTELLUNG!$C$35,0,IF(OR(YEAR(I63)&gt;EINSTELLUNG!$C$35,MONTH(I63)&gt;$A$1),G63,IF(MONTH(I63)&lt;$A$1,0,(G63/DAY(EOMONTH(DATE(EINSTELLUNG!$C$35,$A$1,1),0)))*DAY(I63)+K63))),G63),IF(MONTH(D63)=$A$1,IF(ISNUMBER(I63),IF(OR(YEAR(I63)&gt;EINSTELLUNG!$C$35,MONTH(I63)&gt;$A$1),G63,(G63/DAY(EOMONTH(D63,0)))*(I63-D63+1)+K63),(G63/DAY(EOMONTH(D63,0)))*(DAY(EOMONTH(D63,0))-DAY(D63)+1)+K63),0)),0))),0)))</f>
        <v/>
      </c>
      <c r="M63" s="59"/>
      <c r="N63" s="75"/>
    </row>
    <row r="64" spans="1:22" ht="22" customHeight="1">
      <c r="A64" s="151" t="s">
        <v>135</v>
      </c>
      <c r="B64" s="101"/>
      <c r="C64" s="45"/>
      <c r="D64" s="49"/>
      <c r="E64" s="47"/>
      <c r="F64" s="48"/>
      <c r="G64" s="152" t="str">
        <f>IF(OR(E64="",F64=""),"",PID_KVLohnLookup($A$1,E64,F64,LOHNTABELLE!$H$4))</f>
        <v/>
      </c>
      <c r="H64" s="153" t="str">
        <f>IF(AND(ISNUMBER(D64),ISNUMBER(F64)),ROUNDDOWN(MIN(IF(OR(ISBLANK(I64),I64=""),EOMONTH(DATE(EINSTELLUNG!$C$35,$A$1,1),0),I64)-MAX(D64,DATE(EINSTELLUNG!$C$35,$A$1,1))+1)/DAY(EOMONTH(DATE(EINSTELLUNG!$C$35,$A$1,1),0))*F64,2),"")</f>
        <v/>
      </c>
      <c r="I64" s="49"/>
      <c r="J64" s="50"/>
      <c r="K64" s="152" t="str">
        <f t="shared" si="1"/>
        <v/>
      </c>
      <c r="L64" s="154" t="str">
        <f>IF(OR($B64=",$C3="),"",IF(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0,"",IFERROR(IF(OR(ISBLANK(D64),ISBLANK(F64),ISBLANK(G64),ISBLANK(K64)),0,IF(YEAR(D64)&lt;EINSTELLUNG!$C$35,IF(ISNUMBER(I64),IF(YEAR(I64)&lt;EINSTELLUNG!$C$35,0,IF(OR(YEAR(I64)&gt;EINSTELLUNG!$C$35,MONTH(I64)&gt;$A$1),G64,IF(MONTH(I64)&lt;$A$1,0,(G64/DAY(EOMONTH(DATE(EINSTELLUNG!$C$35,$A$1,1),0)))*DAY(I64)+K64))),G64+K64),IF(YEAR(D64)=EINSTELLUNG!$C$35,IF(MONTH(D64)&lt;$A$1,IF(ISNUMBER(I64),IF(YEAR(I64)&lt;EINSTELLUNG!$C$35,0,IF(OR(YEAR(I64)&gt;EINSTELLUNG!$C$35,MONTH(I64)&gt;$A$1),G64,IF(MONTH(I64)&lt;$A$1,0,(G64/DAY(EOMONTH(DATE(EINSTELLUNG!$C$35,$A$1,1),0)))*DAY(I64)+K64))),G64),IF(MONTH(D64)=$A$1,IF(ISNUMBER(I64),IF(OR(YEAR(I64)&gt;EINSTELLUNG!$C$35,MONTH(I64)&gt;$A$1),G64,(G64/DAY(EOMONTH(D64,0)))*(I64-D64+1)+K64),(G64/DAY(EOMONTH(D64,0)))*(DAY(EOMONTH(D64,0))-DAY(D64)+1)+K64),0)),0))),0)))</f>
        <v/>
      </c>
      <c r="M64" s="51"/>
      <c r="N64" s="74"/>
    </row>
    <row r="65" spans="1:14" ht="22" customHeight="1">
      <c r="A65" s="151" t="s">
        <v>136</v>
      </c>
      <c r="B65" s="102"/>
      <c r="C65" s="53"/>
      <c r="D65" s="57"/>
      <c r="E65" s="55"/>
      <c r="F65" s="56"/>
      <c r="G65" s="152" t="str">
        <f>IF(OR(E65="",F65=""),"",PID_KVLohnLookup($A$1,E65,F65,LOHNTABELLE!$H$4))</f>
        <v/>
      </c>
      <c r="H65" s="153" t="str">
        <f>IF(AND(ISNUMBER(D65),ISNUMBER(F65)),ROUNDDOWN(MIN(IF(OR(ISBLANK(I65),I65=""),EOMONTH(DATE(EINSTELLUNG!$C$35,$A$1,1),0),I65)-MAX(D65,DATE(EINSTELLUNG!$C$35,$A$1,1))+1)/DAY(EOMONTH(DATE(EINSTELLUNG!$C$35,$A$1,1),0))*F65,2),"")</f>
        <v/>
      </c>
      <c r="I65" s="57"/>
      <c r="J65" s="58"/>
      <c r="K65" s="152" t="str">
        <f t="shared" si="1"/>
        <v/>
      </c>
      <c r="L65" s="154" t="str">
        <f>IF(OR($B65=",$C3="),"",IF(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0,"",IFERROR(IF(OR(ISBLANK(D65),ISBLANK(F65),ISBLANK(G65),ISBLANK(K65)),0,IF(YEAR(D65)&lt;EINSTELLUNG!$C$35,IF(ISNUMBER(I65),IF(YEAR(I65)&lt;EINSTELLUNG!$C$35,0,IF(OR(YEAR(I65)&gt;EINSTELLUNG!$C$35,MONTH(I65)&gt;$A$1),G65,IF(MONTH(I65)&lt;$A$1,0,(G65/DAY(EOMONTH(DATE(EINSTELLUNG!$C$35,$A$1,1),0)))*DAY(I65)+K65))),G65+K65),IF(YEAR(D65)=EINSTELLUNG!$C$35,IF(MONTH(D65)&lt;$A$1,IF(ISNUMBER(I65),IF(YEAR(I65)&lt;EINSTELLUNG!$C$35,0,IF(OR(YEAR(I65)&gt;EINSTELLUNG!$C$35,MONTH(I65)&gt;$A$1),G65,IF(MONTH(I65)&lt;$A$1,0,(G65/DAY(EOMONTH(DATE(EINSTELLUNG!$C$35,$A$1,1),0)))*DAY(I65)+K65))),G65),IF(MONTH(D65)=$A$1,IF(ISNUMBER(I65),IF(OR(YEAR(I65)&gt;EINSTELLUNG!$C$35,MONTH(I65)&gt;$A$1),G65,(G65/DAY(EOMONTH(D65,0)))*(I65-D65+1)+K65),(G65/DAY(EOMONTH(D65,0)))*(DAY(EOMONTH(D65,0))-DAY(D65)+1)+K65),0)),0))),0)))</f>
        <v/>
      </c>
      <c r="M65" s="59"/>
      <c r="N65" s="75"/>
    </row>
    <row r="66" spans="1:14" ht="22" customHeight="1">
      <c r="A66" s="151" t="s">
        <v>137</v>
      </c>
      <c r="B66" s="101"/>
      <c r="C66" s="45"/>
      <c r="D66" s="49"/>
      <c r="E66" s="47"/>
      <c r="F66" s="48"/>
      <c r="G66" s="152" t="str">
        <f>IF(OR(E66="",F66=""),"",PID_KVLohnLookup($A$1,E66,F66,LOHNTABELLE!$H$4))</f>
        <v/>
      </c>
      <c r="H66" s="153" t="str">
        <f>IF(AND(ISNUMBER(D66),ISNUMBER(F66)),ROUNDDOWN(MIN(IF(OR(ISBLANK(I66),I66=""),EOMONTH(DATE(EINSTELLUNG!$C$35,$A$1,1),0),I66)-MAX(D66,DATE(EINSTELLUNG!$C$35,$A$1,1))+1)/DAY(EOMONTH(DATE(EINSTELLUNG!$C$35,$A$1,1),0))*F66,2),"")</f>
        <v/>
      </c>
      <c r="I66" s="49"/>
      <c r="J66" s="50"/>
      <c r="K66" s="152" t="str">
        <f t="shared" si="1"/>
        <v/>
      </c>
      <c r="L66" s="154" t="str">
        <f>IF(OR($B66=",$C3="),"",IF(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0,"",IFERROR(IF(OR(ISBLANK(D66),ISBLANK(F66),ISBLANK(G66),ISBLANK(K66)),0,IF(YEAR(D66)&lt;EINSTELLUNG!$C$35,IF(ISNUMBER(I66),IF(YEAR(I66)&lt;EINSTELLUNG!$C$35,0,IF(OR(YEAR(I66)&gt;EINSTELLUNG!$C$35,MONTH(I66)&gt;$A$1),G66,IF(MONTH(I66)&lt;$A$1,0,(G66/DAY(EOMONTH(DATE(EINSTELLUNG!$C$35,$A$1,1),0)))*DAY(I66)+K66))),G66+K66),IF(YEAR(D66)=EINSTELLUNG!$C$35,IF(MONTH(D66)&lt;$A$1,IF(ISNUMBER(I66),IF(YEAR(I66)&lt;EINSTELLUNG!$C$35,0,IF(OR(YEAR(I66)&gt;EINSTELLUNG!$C$35,MONTH(I66)&gt;$A$1),G66,IF(MONTH(I66)&lt;$A$1,0,(G66/DAY(EOMONTH(DATE(EINSTELLUNG!$C$35,$A$1,1),0)))*DAY(I66)+K66))),G66),IF(MONTH(D66)=$A$1,IF(ISNUMBER(I66),IF(OR(YEAR(I66)&gt;EINSTELLUNG!$C$35,MONTH(I66)&gt;$A$1),G66,(G66/DAY(EOMONTH(D66,0)))*(I66-D66+1)+K66),(G66/DAY(EOMONTH(D66,0)))*(DAY(EOMONTH(D66,0))-DAY(D66)+1)+K66),0)),0))),0)))</f>
        <v/>
      </c>
      <c r="M66" s="51"/>
      <c r="N66" s="74"/>
    </row>
    <row r="67" spans="1:14" ht="22" customHeight="1">
      <c r="A67" s="151" t="s">
        <v>138</v>
      </c>
      <c r="B67" s="102"/>
      <c r="C67" s="53"/>
      <c r="D67" s="57"/>
      <c r="E67" s="55"/>
      <c r="F67" s="56"/>
      <c r="G67" s="152" t="str">
        <f>IF(OR(E67="",F67=""),"",PID_KVLohnLookup($A$1,E67,F67,LOHNTABELLE!$H$4))</f>
        <v/>
      </c>
      <c r="H67" s="153" t="str">
        <f>IF(AND(ISNUMBER(D67),ISNUMBER(F67)),ROUNDDOWN(MIN(IF(OR(ISBLANK(I67),I67=""),EOMONTH(DATE(EINSTELLUNG!$C$35,$A$1,1),0),I67)-MAX(D67,DATE(EINSTELLUNG!$C$35,$A$1,1))+1)/DAY(EOMONTH(DATE(EINSTELLUNG!$C$35,$A$1,1),0))*F67,2),"")</f>
        <v/>
      </c>
      <c r="I67" s="57"/>
      <c r="J67" s="58"/>
      <c r="K67" s="152" t="str">
        <f t="shared" ref="K67:K82" si="3">IF(OR(B67="",C67=""),"",IFERROR(IF(OR(MONTH(D67)=1,MONTH(D67)=3,MONTH(D67)=5,MONTH(D67)=7,MONTH(D67)=8,MONTH(D67)=10,MONTH(D67)=12),(G67/31)*J67,IF(OR(MONTH(D67)=4,MONTH(D67)=6,MONTH(D67)=9,MONTH(D67)=11),(G67/30)*J67,(G67/DAY(EOMONTH(D67,0)))*J67)),0))</f>
        <v/>
      </c>
      <c r="L67" s="154" t="str">
        <f>IF(OR($B67=",$C3="),"",IF(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0,"",IFERROR(IF(OR(ISBLANK(D67),ISBLANK(F67),ISBLANK(G67),ISBLANK(K67)),0,IF(YEAR(D67)&lt;EINSTELLUNG!$C$35,IF(ISNUMBER(I67),IF(YEAR(I67)&lt;EINSTELLUNG!$C$35,0,IF(OR(YEAR(I67)&gt;EINSTELLUNG!$C$35,MONTH(I67)&gt;$A$1),G67,IF(MONTH(I67)&lt;$A$1,0,(G67/DAY(EOMONTH(DATE(EINSTELLUNG!$C$35,$A$1,1),0)))*DAY(I67)+K67))),G67+K67),IF(YEAR(D67)=EINSTELLUNG!$C$35,IF(MONTH(D67)&lt;$A$1,IF(ISNUMBER(I67),IF(YEAR(I67)&lt;EINSTELLUNG!$C$35,0,IF(OR(YEAR(I67)&gt;EINSTELLUNG!$C$35,MONTH(I67)&gt;$A$1),G67,IF(MONTH(I67)&lt;$A$1,0,(G67/DAY(EOMONTH(DATE(EINSTELLUNG!$C$35,$A$1,1),0)))*DAY(I67)+K67))),G67),IF(MONTH(D67)=$A$1,IF(ISNUMBER(I67),IF(OR(YEAR(I67)&gt;EINSTELLUNG!$C$35,MONTH(I67)&gt;$A$1),G67,(G67/DAY(EOMONTH(D67,0)))*(I67-D67+1)+K67),(G67/DAY(EOMONTH(D67,0)))*(DAY(EOMONTH(D67,0))-DAY(D67)+1)+K67),0)),0))),0)))</f>
        <v/>
      </c>
      <c r="M67" s="59"/>
      <c r="N67" s="75"/>
    </row>
    <row r="68" spans="1:14" ht="22" customHeight="1">
      <c r="A68" s="151" t="s">
        <v>139</v>
      </c>
      <c r="B68" s="101"/>
      <c r="C68" s="45"/>
      <c r="D68" s="49"/>
      <c r="E68" s="47"/>
      <c r="F68" s="48"/>
      <c r="G68" s="152" t="str">
        <f>IF(OR(E68="",F68=""),"",PID_KVLohnLookup($A$1,E68,F68,LOHNTABELLE!$H$4))</f>
        <v/>
      </c>
      <c r="H68" s="153" t="str">
        <f>IF(AND(ISNUMBER(D68),ISNUMBER(F68)),ROUNDDOWN(MIN(IF(OR(ISBLANK(I68),I68=""),EOMONTH(DATE(EINSTELLUNG!$C$35,$A$1,1),0),I68)-MAX(D68,DATE(EINSTELLUNG!$C$35,$A$1,1))+1)/DAY(EOMONTH(DATE(EINSTELLUNG!$C$35,$A$1,1),0))*F68,2),"")</f>
        <v/>
      </c>
      <c r="I68" s="49"/>
      <c r="J68" s="50"/>
      <c r="K68" s="152" t="str">
        <f t="shared" si="3"/>
        <v/>
      </c>
      <c r="L68" s="154" t="str">
        <f>IF(OR($B68=",$C3="),"",IF(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0,"",IFERROR(IF(OR(ISBLANK(D68),ISBLANK(F68),ISBLANK(G68),ISBLANK(K68)),0,IF(YEAR(D68)&lt;EINSTELLUNG!$C$35,IF(ISNUMBER(I68),IF(YEAR(I68)&lt;EINSTELLUNG!$C$35,0,IF(OR(YEAR(I68)&gt;EINSTELLUNG!$C$35,MONTH(I68)&gt;$A$1),G68,IF(MONTH(I68)&lt;$A$1,0,(G68/DAY(EOMONTH(DATE(EINSTELLUNG!$C$35,$A$1,1),0)))*DAY(I68)+K68))),G68+K68),IF(YEAR(D68)=EINSTELLUNG!$C$35,IF(MONTH(D68)&lt;$A$1,IF(ISNUMBER(I68),IF(YEAR(I68)&lt;EINSTELLUNG!$C$35,0,IF(OR(YEAR(I68)&gt;EINSTELLUNG!$C$35,MONTH(I68)&gt;$A$1),G68,IF(MONTH(I68)&lt;$A$1,0,(G68/DAY(EOMONTH(DATE(EINSTELLUNG!$C$35,$A$1,1),0)))*DAY(I68)+K68))),G68),IF(MONTH(D68)=$A$1,IF(ISNUMBER(I68),IF(OR(YEAR(I68)&gt;EINSTELLUNG!$C$35,MONTH(I68)&gt;$A$1),G68,(G68/DAY(EOMONTH(D68,0)))*(I68-D68+1)+K68),(G68/DAY(EOMONTH(D68,0)))*(DAY(EOMONTH(D68,0))-DAY(D68)+1)+K68),0)),0))),0)))</f>
        <v/>
      </c>
      <c r="M68" s="51"/>
      <c r="N68" s="74"/>
    </row>
    <row r="69" spans="1:14" ht="22" customHeight="1">
      <c r="A69" s="151" t="s">
        <v>140</v>
      </c>
      <c r="B69" s="102"/>
      <c r="C69" s="53"/>
      <c r="D69" s="57"/>
      <c r="E69" s="55"/>
      <c r="F69" s="56"/>
      <c r="G69" s="152" t="str">
        <f>IF(OR(E69="",F69=""),"",PID_KVLohnLookup($A$1,E69,F69,LOHNTABELLE!$H$4))</f>
        <v/>
      </c>
      <c r="H69" s="153" t="str">
        <f>IF(AND(ISNUMBER(D69),ISNUMBER(F69)),ROUNDDOWN(MIN(IF(OR(ISBLANK(I69),I69=""),EOMONTH(DATE(EINSTELLUNG!$C$35,$A$1,1),0),I69)-MAX(D69,DATE(EINSTELLUNG!$C$35,$A$1,1))+1)/DAY(EOMONTH(DATE(EINSTELLUNG!$C$35,$A$1,1),0))*F69,2),"")</f>
        <v/>
      </c>
      <c r="I69" s="57"/>
      <c r="J69" s="58"/>
      <c r="K69" s="152" t="str">
        <f t="shared" si="3"/>
        <v/>
      </c>
      <c r="L69" s="154" t="str">
        <f>IF(OR($B69=",$C3="),"",IF(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0,"",IFERROR(IF(OR(ISBLANK(D69),ISBLANK(F69),ISBLANK(G69),ISBLANK(K69)),0,IF(YEAR(D69)&lt;EINSTELLUNG!$C$35,IF(ISNUMBER(I69),IF(YEAR(I69)&lt;EINSTELLUNG!$C$35,0,IF(OR(YEAR(I69)&gt;EINSTELLUNG!$C$35,MONTH(I69)&gt;$A$1),G69,IF(MONTH(I69)&lt;$A$1,0,(G69/DAY(EOMONTH(DATE(EINSTELLUNG!$C$35,$A$1,1),0)))*DAY(I69)+K69))),G69+K69),IF(YEAR(D69)=EINSTELLUNG!$C$35,IF(MONTH(D69)&lt;$A$1,IF(ISNUMBER(I69),IF(YEAR(I69)&lt;EINSTELLUNG!$C$35,0,IF(OR(YEAR(I69)&gt;EINSTELLUNG!$C$35,MONTH(I69)&gt;$A$1),G69,IF(MONTH(I69)&lt;$A$1,0,(G69/DAY(EOMONTH(DATE(EINSTELLUNG!$C$35,$A$1,1),0)))*DAY(I69)+K69))),G69),IF(MONTH(D69)=$A$1,IF(ISNUMBER(I69),IF(OR(YEAR(I69)&gt;EINSTELLUNG!$C$35,MONTH(I69)&gt;$A$1),G69,(G69/DAY(EOMONTH(D69,0)))*(I69-D69+1)+K69),(G69/DAY(EOMONTH(D69,0)))*(DAY(EOMONTH(D69,0))-DAY(D69)+1)+K69),0)),0))),0)))</f>
        <v/>
      </c>
      <c r="M69" s="59"/>
      <c r="N69" s="75"/>
    </row>
    <row r="70" spans="1:14" ht="22" customHeight="1">
      <c r="A70" s="151" t="s">
        <v>141</v>
      </c>
      <c r="B70" s="101"/>
      <c r="C70" s="45"/>
      <c r="D70" s="49"/>
      <c r="E70" s="47"/>
      <c r="F70" s="48"/>
      <c r="G70" s="152" t="str">
        <f>IF(OR(E70="",F70=""),"",PID_KVLohnLookup($A$1,E70,F70,LOHNTABELLE!$H$4))</f>
        <v/>
      </c>
      <c r="H70" s="153" t="str">
        <f>IF(AND(ISNUMBER(D70),ISNUMBER(F70)),ROUNDDOWN(MIN(IF(OR(ISBLANK(I70),I70=""),EOMONTH(DATE(EINSTELLUNG!$C$35,$A$1,1),0),I70)-MAX(D70,DATE(EINSTELLUNG!$C$35,$A$1,1))+1)/DAY(EOMONTH(DATE(EINSTELLUNG!$C$35,$A$1,1),0))*F70,2),"")</f>
        <v/>
      </c>
      <c r="I70" s="49"/>
      <c r="J70" s="50"/>
      <c r="K70" s="152" t="str">
        <f t="shared" si="3"/>
        <v/>
      </c>
      <c r="L70" s="154" t="str">
        <f>IF(OR($B70=",$C3="),"",IF(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0,"",IFERROR(IF(OR(ISBLANK(D70),ISBLANK(F70),ISBLANK(G70),ISBLANK(K70)),0,IF(YEAR(D70)&lt;EINSTELLUNG!$C$35,IF(ISNUMBER(I70),IF(YEAR(I70)&lt;EINSTELLUNG!$C$35,0,IF(OR(YEAR(I70)&gt;EINSTELLUNG!$C$35,MONTH(I70)&gt;$A$1),G70,IF(MONTH(I70)&lt;$A$1,0,(G70/DAY(EOMONTH(DATE(EINSTELLUNG!$C$35,$A$1,1),0)))*DAY(I70)+K70))),G70+K70),IF(YEAR(D70)=EINSTELLUNG!$C$35,IF(MONTH(D70)&lt;$A$1,IF(ISNUMBER(I70),IF(YEAR(I70)&lt;EINSTELLUNG!$C$35,0,IF(OR(YEAR(I70)&gt;EINSTELLUNG!$C$35,MONTH(I70)&gt;$A$1),G70,IF(MONTH(I70)&lt;$A$1,0,(G70/DAY(EOMONTH(DATE(EINSTELLUNG!$C$35,$A$1,1),0)))*DAY(I70)+K70))),G70),IF(MONTH(D70)=$A$1,IF(ISNUMBER(I70),IF(OR(YEAR(I70)&gt;EINSTELLUNG!$C$35,MONTH(I70)&gt;$A$1),G70,(G70/DAY(EOMONTH(D70,0)))*(I70-D70+1)+K70),(G70/DAY(EOMONTH(D70,0)))*(DAY(EOMONTH(D70,0))-DAY(D70)+1)+K70),0)),0))),0)))</f>
        <v/>
      </c>
      <c r="M70" s="51"/>
      <c r="N70" s="74"/>
    </row>
    <row r="71" spans="1:14" ht="22" customHeight="1">
      <c r="A71" s="151" t="s">
        <v>142</v>
      </c>
      <c r="B71" s="102"/>
      <c r="C71" s="53"/>
      <c r="D71" s="57"/>
      <c r="E71" s="55"/>
      <c r="F71" s="56"/>
      <c r="G71" s="152" t="str">
        <f>IF(OR(E71="",F71=""),"",PID_KVLohnLookup($A$1,E71,F71,LOHNTABELLE!$H$4))</f>
        <v/>
      </c>
      <c r="H71" s="153" t="str">
        <f>IF(AND(ISNUMBER(D71),ISNUMBER(F71)),ROUNDDOWN(MIN(IF(OR(ISBLANK(I71),I71=""),EOMONTH(DATE(EINSTELLUNG!$C$35,$A$1,1),0),I71)-MAX(D71,DATE(EINSTELLUNG!$C$35,$A$1,1))+1)/DAY(EOMONTH(DATE(EINSTELLUNG!$C$35,$A$1,1),0))*F71,2),"")</f>
        <v/>
      </c>
      <c r="I71" s="57"/>
      <c r="J71" s="58"/>
      <c r="K71" s="152" t="str">
        <f t="shared" si="3"/>
        <v/>
      </c>
      <c r="L71" s="154" t="str">
        <f>IF(OR($B71=",$C3="),"",IF(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0,"",IFERROR(IF(OR(ISBLANK(D71),ISBLANK(F71),ISBLANK(G71),ISBLANK(K71)),0,IF(YEAR(D71)&lt;EINSTELLUNG!$C$35,IF(ISNUMBER(I71),IF(YEAR(I71)&lt;EINSTELLUNG!$C$35,0,IF(OR(YEAR(I71)&gt;EINSTELLUNG!$C$35,MONTH(I71)&gt;$A$1),G71,IF(MONTH(I71)&lt;$A$1,0,(G71/DAY(EOMONTH(DATE(EINSTELLUNG!$C$35,$A$1,1),0)))*DAY(I71)+K71))),G71+K71),IF(YEAR(D71)=EINSTELLUNG!$C$35,IF(MONTH(D71)&lt;$A$1,IF(ISNUMBER(I71),IF(YEAR(I71)&lt;EINSTELLUNG!$C$35,0,IF(OR(YEAR(I71)&gt;EINSTELLUNG!$C$35,MONTH(I71)&gt;$A$1),G71,IF(MONTH(I71)&lt;$A$1,0,(G71/DAY(EOMONTH(DATE(EINSTELLUNG!$C$35,$A$1,1),0)))*DAY(I71)+K71))),G71),IF(MONTH(D71)=$A$1,IF(ISNUMBER(I71),IF(OR(YEAR(I71)&gt;EINSTELLUNG!$C$35,MONTH(I71)&gt;$A$1),G71,(G71/DAY(EOMONTH(D71,0)))*(I71-D71+1)+K71),(G71/DAY(EOMONTH(D71,0)))*(DAY(EOMONTH(D71,0))-DAY(D71)+1)+K71),0)),0))),0)))</f>
        <v/>
      </c>
      <c r="M71" s="59"/>
      <c r="N71" s="75"/>
    </row>
    <row r="72" spans="1:14" ht="22" customHeight="1">
      <c r="A72" s="151" t="s">
        <v>143</v>
      </c>
      <c r="B72" s="101"/>
      <c r="C72" s="45"/>
      <c r="D72" s="49"/>
      <c r="E72" s="47"/>
      <c r="F72" s="48"/>
      <c r="G72" s="152" t="str">
        <f>IF(OR(E72="",F72=""),"",PID_KVLohnLookup($A$1,E72,F72,LOHNTABELLE!$H$4))</f>
        <v/>
      </c>
      <c r="H72" s="153" t="str">
        <f>IF(AND(ISNUMBER(D72),ISNUMBER(F72)),ROUNDDOWN(MIN(IF(OR(ISBLANK(I72),I72=""),EOMONTH(DATE(EINSTELLUNG!$C$35,$A$1,1),0),I72)-MAX(D72,DATE(EINSTELLUNG!$C$35,$A$1,1))+1)/DAY(EOMONTH(DATE(EINSTELLUNG!$C$35,$A$1,1),0))*F72,2),"")</f>
        <v/>
      </c>
      <c r="I72" s="49"/>
      <c r="J72" s="50"/>
      <c r="K72" s="152" t="str">
        <f t="shared" si="3"/>
        <v/>
      </c>
      <c r="L72" s="154" t="str">
        <f>IF(OR($B72=",$C3="),"",IF(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0,"",IFERROR(IF(OR(ISBLANK(D72),ISBLANK(F72),ISBLANK(G72),ISBLANK(K72)),0,IF(YEAR(D72)&lt;EINSTELLUNG!$C$35,IF(ISNUMBER(I72),IF(YEAR(I72)&lt;EINSTELLUNG!$C$35,0,IF(OR(YEAR(I72)&gt;EINSTELLUNG!$C$35,MONTH(I72)&gt;$A$1),G72,IF(MONTH(I72)&lt;$A$1,0,(G72/DAY(EOMONTH(DATE(EINSTELLUNG!$C$35,$A$1,1),0)))*DAY(I72)+K72))),G72+K72),IF(YEAR(D72)=EINSTELLUNG!$C$35,IF(MONTH(D72)&lt;$A$1,IF(ISNUMBER(I72),IF(YEAR(I72)&lt;EINSTELLUNG!$C$35,0,IF(OR(YEAR(I72)&gt;EINSTELLUNG!$C$35,MONTH(I72)&gt;$A$1),G72,IF(MONTH(I72)&lt;$A$1,0,(G72/DAY(EOMONTH(DATE(EINSTELLUNG!$C$35,$A$1,1),0)))*DAY(I72)+K72))),G72),IF(MONTH(D72)=$A$1,IF(ISNUMBER(I72),IF(OR(YEAR(I72)&gt;EINSTELLUNG!$C$35,MONTH(I72)&gt;$A$1),G72,(G72/DAY(EOMONTH(D72,0)))*(I72-D72+1)+K72),(G72/DAY(EOMONTH(D72,0)))*(DAY(EOMONTH(D72,0))-DAY(D72)+1)+K72),0)),0))),0)))</f>
        <v/>
      </c>
      <c r="M72" s="51"/>
      <c r="N72" s="74"/>
    </row>
    <row r="73" spans="1:14" ht="22" customHeight="1">
      <c r="A73" s="151" t="s">
        <v>144</v>
      </c>
      <c r="B73" s="102"/>
      <c r="C73" s="53"/>
      <c r="D73" s="57"/>
      <c r="E73" s="55"/>
      <c r="F73" s="56"/>
      <c r="G73" s="152" t="str">
        <f>IF(OR(E73="",F73=""),"",PID_KVLohnLookup($A$1,E73,F73,LOHNTABELLE!$H$4))</f>
        <v/>
      </c>
      <c r="H73" s="153" t="str">
        <f>IF(AND(ISNUMBER(D73),ISNUMBER(F73)),ROUNDDOWN(MIN(IF(OR(ISBLANK(I73),I73=""),EOMONTH(DATE(EINSTELLUNG!$C$35,$A$1,1),0),I73)-MAX(D73,DATE(EINSTELLUNG!$C$35,$A$1,1))+1)/DAY(EOMONTH(DATE(EINSTELLUNG!$C$35,$A$1,1),0))*F73,2),"")</f>
        <v/>
      </c>
      <c r="I73" s="57"/>
      <c r="J73" s="58"/>
      <c r="K73" s="152" t="str">
        <f t="shared" si="3"/>
        <v/>
      </c>
      <c r="L73" s="154" t="str">
        <f>IF(OR($B73=",$C3="),"",IF(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0,"",IFERROR(IF(OR(ISBLANK(D73),ISBLANK(F73),ISBLANK(G73),ISBLANK(K73)),0,IF(YEAR(D73)&lt;EINSTELLUNG!$C$35,IF(ISNUMBER(I73),IF(YEAR(I73)&lt;EINSTELLUNG!$C$35,0,IF(OR(YEAR(I73)&gt;EINSTELLUNG!$C$35,MONTH(I73)&gt;$A$1),G73,IF(MONTH(I73)&lt;$A$1,0,(G73/DAY(EOMONTH(DATE(EINSTELLUNG!$C$35,$A$1,1),0)))*DAY(I73)+K73))),G73+K73),IF(YEAR(D73)=EINSTELLUNG!$C$35,IF(MONTH(D73)&lt;$A$1,IF(ISNUMBER(I73),IF(YEAR(I73)&lt;EINSTELLUNG!$C$35,0,IF(OR(YEAR(I73)&gt;EINSTELLUNG!$C$35,MONTH(I73)&gt;$A$1),G73,IF(MONTH(I73)&lt;$A$1,0,(G73/DAY(EOMONTH(DATE(EINSTELLUNG!$C$35,$A$1,1),0)))*DAY(I73)+K73))),G73),IF(MONTH(D73)=$A$1,IF(ISNUMBER(I73),IF(OR(YEAR(I73)&gt;EINSTELLUNG!$C$35,MONTH(I73)&gt;$A$1),G73,(G73/DAY(EOMONTH(D73,0)))*(I73-D73+1)+K73),(G73/DAY(EOMONTH(D73,0)))*(DAY(EOMONTH(D73,0))-DAY(D73)+1)+K73),0)),0))),0)))</f>
        <v/>
      </c>
      <c r="M73" s="59"/>
      <c r="N73" s="75"/>
    </row>
    <row r="74" spans="1:14" ht="22" customHeight="1">
      <c r="A74" s="151" t="s">
        <v>145</v>
      </c>
      <c r="B74" s="101"/>
      <c r="C74" s="45"/>
      <c r="D74" s="49"/>
      <c r="E74" s="47"/>
      <c r="F74" s="48"/>
      <c r="G74" s="152" t="str">
        <f>IF(OR(E74="",F74=""),"",PID_KVLohnLookup($A$1,E74,F74,LOHNTABELLE!$H$4))</f>
        <v/>
      </c>
      <c r="H74" s="153" t="str">
        <f>IF(AND(ISNUMBER(D74),ISNUMBER(F74)),ROUNDDOWN(MIN(IF(OR(ISBLANK(I74),I74=""),EOMONTH(DATE(EINSTELLUNG!$C$35,$A$1,1),0),I74)-MAX(D74,DATE(EINSTELLUNG!$C$35,$A$1,1))+1)/DAY(EOMONTH(DATE(EINSTELLUNG!$C$35,$A$1,1),0))*F74,2),"")</f>
        <v/>
      </c>
      <c r="I74" s="49"/>
      <c r="J74" s="50"/>
      <c r="K74" s="152" t="str">
        <f t="shared" si="3"/>
        <v/>
      </c>
      <c r="L74" s="154" t="str">
        <f>IF(OR($B74=",$C3="),"",IF(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0,"",IFERROR(IF(OR(ISBLANK(D74),ISBLANK(F74),ISBLANK(G74),ISBLANK(K74)),0,IF(YEAR(D74)&lt;EINSTELLUNG!$C$35,IF(ISNUMBER(I74),IF(YEAR(I74)&lt;EINSTELLUNG!$C$35,0,IF(OR(YEAR(I74)&gt;EINSTELLUNG!$C$35,MONTH(I74)&gt;$A$1),G74,IF(MONTH(I74)&lt;$A$1,0,(G74/DAY(EOMONTH(DATE(EINSTELLUNG!$C$35,$A$1,1),0)))*DAY(I74)+K74))),G74+K74),IF(YEAR(D74)=EINSTELLUNG!$C$35,IF(MONTH(D74)&lt;$A$1,IF(ISNUMBER(I74),IF(YEAR(I74)&lt;EINSTELLUNG!$C$35,0,IF(OR(YEAR(I74)&gt;EINSTELLUNG!$C$35,MONTH(I74)&gt;$A$1),G74,IF(MONTH(I74)&lt;$A$1,0,(G74/DAY(EOMONTH(DATE(EINSTELLUNG!$C$35,$A$1,1),0)))*DAY(I74)+K74))),G74),IF(MONTH(D74)=$A$1,IF(ISNUMBER(I74),IF(OR(YEAR(I74)&gt;EINSTELLUNG!$C$35,MONTH(I74)&gt;$A$1),G74,(G74/DAY(EOMONTH(D74,0)))*(I74-D74+1)+K74),(G74/DAY(EOMONTH(D74,0)))*(DAY(EOMONTH(D74,0))-DAY(D74)+1)+K74),0)),0))),0)))</f>
        <v/>
      </c>
      <c r="M74" s="51"/>
      <c r="N74" s="74"/>
    </row>
    <row r="75" spans="1:14" ht="22" customHeight="1">
      <c r="A75" s="151" t="s">
        <v>146</v>
      </c>
      <c r="B75" s="102"/>
      <c r="C75" s="53"/>
      <c r="D75" s="57"/>
      <c r="E75" s="55"/>
      <c r="F75" s="56"/>
      <c r="G75" s="152" t="str">
        <f>IF(OR(E75="",F75=""),"",PID_KVLohnLookup($A$1,E75,F75,LOHNTABELLE!$H$4))</f>
        <v/>
      </c>
      <c r="H75" s="153" t="str">
        <f>IF(AND(ISNUMBER(D75),ISNUMBER(F75)),ROUNDDOWN(MIN(IF(OR(ISBLANK(I75),I75=""),EOMONTH(DATE(EINSTELLUNG!$C$35,$A$1,1),0),I75)-MAX(D75,DATE(EINSTELLUNG!$C$35,$A$1,1))+1)/DAY(EOMONTH(DATE(EINSTELLUNG!$C$35,$A$1,1),0))*F75,2),"")</f>
        <v/>
      </c>
      <c r="I75" s="57"/>
      <c r="J75" s="58"/>
      <c r="K75" s="152" t="str">
        <f t="shared" si="3"/>
        <v/>
      </c>
      <c r="L75" s="154" t="str">
        <f>IF(OR($B75=",$C3="),"",IF(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0,"",IFERROR(IF(OR(ISBLANK(D75),ISBLANK(F75),ISBLANK(G75),ISBLANK(K75)),0,IF(YEAR(D75)&lt;EINSTELLUNG!$C$35,IF(ISNUMBER(I75),IF(YEAR(I75)&lt;EINSTELLUNG!$C$35,0,IF(OR(YEAR(I75)&gt;EINSTELLUNG!$C$35,MONTH(I75)&gt;$A$1),G75,IF(MONTH(I75)&lt;$A$1,0,(G75/DAY(EOMONTH(DATE(EINSTELLUNG!$C$35,$A$1,1),0)))*DAY(I75)+K75))),G75+K75),IF(YEAR(D75)=EINSTELLUNG!$C$35,IF(MONTH(D75)&lt;$A$1,IF(ISNUMBER(I75),IF(YEAR(I75)&lt;EINSTELLUNG!$C$35,0,IF(OR(YEAR(I75)&gt;EINSTELLUNG!$C$35,MONTH(I75)&gt;$A$1),G75,IF(MONTH(I75)&lt;$A$1,0,(G75/DAY(EOMONTH(DATE(EINSTELLUNG!$C$35,$A$1,1),0)))*DAY(I75)+K75))),G75),IF(MONTH(D75)=$A$1,IF(ISNUMBER(I75),IF(OR(YEAR(I75)&gt;EINSTELLUNG!$C$35,MONTH(I75)&gt;$A$1),G75,(G75/DAY(EOMONTH(D75,0)))*(I75-D75+1)+K75),(G75/DAY(EOMONTH(D75,0)))*(DAY(EOMONTH(D75,0))-DAY(D75)+1)+K75),0)),0))),0)))</f>
        <v/>
      </c>
      <c r="M75" s="59"/>
      <c r="N75" s="75"/>
    </row>
    <row r="76" spans="1:14" ht="22" customHeight="1">
      <c r="A76" s="151" t="s">
        <v>147</v>
      </c>
      <c r="B76" s="101"/>
      <c r="C76" s="45"/>
      <c r="D76" s="49"/>
      <c r="E76" s="47"/>
      <c r="F76" s="48"/>
      <c r="G76" s="152" t="str">
        <f>IF(OR(E76="",F76=""),"",PID_KVLohnLookup($A$1,E76,F76,LOHNTABELLE!$H$4))</f>
        <v/>
      </c>
      <c r="H76" s="153" t="str">
        <f>IF(AND(ISNUMBER(D76),ISNUMBER(F76)),ROUNDDOWN(MIN(IF(OR(ISBLANK(I76),I76=""),EOMONTH(DATE(EINSTELLUNG!$C$35,$A$1,1),0),I76)-MAX(D76,DATE(EINSTELLUNG!$C$35,$A$1,1))+1)/DAY(EOMONTH(DATE(EINSTELLUNG!$C$35,$A$1,1),0))*F76,2),"")</f>
        <v/>
      </c>
      <c r="I76" s="49"/>
      <c r="J76" s="50"/>
      <c r="K76" s="152" t="str">
        <f t="shared" si="3"/>
        <v/>
      </c>
      <c r="L76" s="154" t="str">
        <f>IF(OR($B76=",$C3="),"",IF(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0,"",IFERROR(IF(OR(ISBLANK(D76),ISBLANK(F76),ISBLANK(G76),ISBLANK(K76)),0,IF(YEAR(D76)&lt;EINSTELLUNG!$C$35,IF(ISNUMBER(I76),IF(YEAR(I76)&lt;EINSTELLUNG!$C$35,0,IF(OR(YEAR(I76)&gt;EINSTELLUNG!$C$35,MONTH(I76)&gt;$A$1),G76,IF(MONTH(I76)&lt;$A$1,0,(G76/DAY(EOMONTH(DATE(EINSTELLUNG!$C$35,$A$1,1),0)))*DAY(I76)+K76))),G76+K76),IF(YEAR(D76)=EINSTELLUNG!$C$35,IF(MONTH(D76)&lt;$A$1,IF(ISNUMBER(I76),IF(YEAR(I76)&lt;EINSTELLUNG!$C$35,0,IF(OR(YEAR(I76)&gt;EINSTELLUNG!$C$35,MONTH(I76)&gt;$A$1),G76,IF(MONTH(I76)&lt;$A$1,0,(G76/DAY(EOMONTH(DATE(EINSTELLUNG!$C$35,$A$1,1),0)))*DAY(I76)+K76))),G76),IF(MONTH(D76)=$A$1,IF(ISNUMBER(I76),IF(OR(YEAR(I76)&gt;EINSTELLUNG!$C$35,MONTH(I76)&gt;$A$1),G76,(G76/DAY(EOMONTH(D76,0)))*(I76-D76+1)+K76),(G76/DAY(EOMONTH(D76,0)))*(DAY(EOMONTH(D76,0))-DAY(D76)+1)+K76),0)),0))),0)))</f>
        <v/>
      </c>
      <c r="M76" s="51"/>
      <c r="N76" s="74"/>
    </row>
    <row r="77" spans="1:14" ht="22" customHeight="1">
      <c r="A77" s="151" t="s">
        <v>148</v>
      </c>
      <c r="B77" s="102"/>
      <c r="C77" s="53"/>
      <c r="D77" s="57"/>
      <c r="E77" s="55"/>
      <c r="F77" s="56"/>
      <c r="G77" s="152" t="str">
        <f>IF(OR(E77="",F77=""),"",PID_KVLohnLookup($A$1,E77,F77,LOHNTABELLE!$H$4))</f>
        <v/>
      </c>
      <c r="H77" s="153" t="str">
        <f>IF(AND(ISNUMBER(D77),ISNUMBER(F77)),ROUNDDOWN(MIN(IF(OR(ISBLANK(I77),I77=""),EOMONTH(DATE(EINSTELLUNG!$C$35,$A$1,1),0),I77)-MAX(D77,DATE(EINSTELLUNG!$C$35,$A$1,1))+1)/DAY(EOMONTH(DATE(EINSTELLUNG!$C$35,$A$1,1),0))*F77,2),"")</f>
        <v/>
      </c>
      <c r="I77" s="57"/>
      <c r="J77" s="58"/>
      <c r="K77" s="152" t="str">
        <f t="shared" si="3"/>
        <v/>
      </c>
      <c r="L77" s="154" t="str">
        <f>IF(OR($B77=",$C3="),"",IF(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0,"",IFERROR(IF(OR(ISBLANK(D77),ISBLANK(F77),ISBLANK(G77),ISBLANK(K77)),0,IF(YEAR(D77)&lt;EINSTELLUNG!$C$35,IF(ISNUMBER(I77),IF(YEAR(I77)&lt;EINSTELLUNG!$C$35,0,IF(OR(YEAR(I77)&gt;EINSTELLUNG!$C$35,MONTH(I77)&gt;$A$1),G77,IF(MONTH(I77)&lt;$A$1,0,(G77/DAY(EOMONTH(DATE(EINSTELLUNG!$C$35,$A$1,1),0)))*DAY(I77)+K77))),G77+K77),IF(YEAR(D77)=EINSTELLUNG!$C$35,IF(MONTH(D77)&lt;$A$1,IF(ISNUMBER(I77),IF(YEAR(I77)&lt;EINSTELLUNG!$C$35,0,IF(OR(YEAR(I77)&gt;EINSTELLUNG!$C$35,MONTH(I77)&gt;$A$1),G77,IF(MONTH(I77)&lt;$A$1,0,(G77/DAY(EOMONTH(DATE(EINSTELLUNG!$C$35,$A$1,1),0)))*DAY(I77)+K77))),G77),IF(MONTH(D77)=$A$1,IF(ISNUMBER(I77),IF(OR(YEAR(I77)&gt;EINSTELLUNG!$C$35,MONTH(I77)&gt;$A$1),G77,(G77/DAY(EOMONTH(D77,0)))*(I77-D77+1)+K77),(G77/DAY(EOMONTH(D77,0)))*(DAY(EOMONTH(D77,0))-DAY(D77)+1)+K77),0)),0))),0)))</f>
        <v/>
      </c>
      <c r="M77" s="59"/>
      <c r="N77" s="75"/>
    </row>
    <row r="78" spans="1:14" ht="22" customHeight="1">
      <c r="A78" s="151" t="s">
        <v>149</v>
      </c>
      <c r="B78" s="101"/>
      <c r="C78" s="45"/>
      <c r="D78" s="49"/>
      <c r="E78" s="47"/>
      <c r="F78" s="48"/>
      <c r="G78" s="152" t="str">
        <f>IF(OR(E78="",F78=""),"",PID_KVLohnLookup($A$1,E78,F78,LOHNTABELLE!$H$4))</f>
        <v/>
      </c>
      <c r="H78" s="153" t="str">
        <f>IF(AND(ISNUMBER(D78),ISNUMBER(F78)),ROUNDDOWN(MIN(IF(OR(ISBLANK(I78),I78=""),EOMONTH(DATE(EINSTELLUNG!$C$35,$A$1,1),0),I78)-MAX(D78,DATE(EINSTELLUNG!$C$35,$A$1,1))+1)/DAY(EOMONTH(DATE(EINSTELLUNG!$C$35,$A$1,1),0))*F78,2),"")</f>
        <v/>
      </c>
      <c r="I78" s="49"/>
      <c r="J78" s="50"/>
      <c r="K78" s="152" t="str">
        <f t="shared" si="3"/>
        <v/>
      </c>
      <c r="L78" s="154" t="str">
        <f>IF(OR($B78=",$C3="),"",IF(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0,"",IFERROR(IF(OR(ISBLANK(D78),ISBLANK(F78),ISBLANK(G78),ISBLANK(K78)),0,IF(YEAR(D78)&lt;EINSTELLUNG!$C$35,IF(ISNUMBER(I78),IF(YEAR(I78)&lt;EINSTELLUNG!$C$35,0,IF(OR(YEAR(I78)&gt;EINSTELLUNG!$C$35,MONTH(I78)&gt;$A$1),G78,IF(MONTH(I78)&lt;$A$1,0,(G78/DAY(EOMONTH(DATE(EINSTELLUNG!$C$35,$A$1,1),0)))*DAY(I78)+K78))),G78+K78),IF(YEAR(D78)=EINSTELLUNG!$C$35,IF(MONTH(D78)&lt;$A$1,IF(ISNUMBER(I78),IF(YEAR(I78)&lt;EINSTELLUNG!$C$35,0,IF(OR(YEAR(I78)&gt;EINSTELLUNG!$C$35,MONTH(I78)&gt;$A$1),G78,IF(MONTH(I78)&lt;$A$1,0,(G78/DAY(EOMONTH(DATE(EINSTELLUNG!$C$35,$A$1,1),0)))*DAY(I78)+K78))),G78),IF(MONTH(D78)=$A$1,IF(ISNUMBER(I78),IF(OR(YEAR(I78)&gt;EINSTELLUNG!$C$35,MONTH(I78)&gt;$A$1),G78,(G78/DAY(EOMONTH(D78,0)))*(I78-D78+1)+K78),(G78/DAY(EOMONTH(D78,0)))*(DAY(EOMONTH(D78,0))-DAY(D78)+1)+K78),0)),0))),0)))</f>
        <v/>
      </c>
      <c r="M78" s="51"/>
      <c r="N78" s="74"/>
    </row>
    <row r="79" spans="1:14" ht="22" customHeight="1">
      <c r="A79" s="151" t="s">
        <v>150</v>
      </c>
      <c r="B79" s="102"/>
      <c r="C79" s="53"/>
      <c r="D79" s="57"/>
      <c r="E79" s="55"/>
      <c r="F79" s="56"/>
      <c r="G79" s="152" t="str">
        <f>IF(OR(E79="",F79=""),"",PID_KVLohnLookup($A$1,E79,F79,LOHNTABELLE!$H$4))</f>
        <v/>
      </c>
      <c r="H79" s="153" t="str">
        <f>IF(AND(ISNUMBER(D79),ISNUMBER(F79)),ROUNDDOWN(MIN(IF(OR(ISBLANK(I79),I79=""),EOMONTH(DATE(EINSTELLUNG!$C$35,$A$1,1),0),I79)-MAX(D79,DATE(EINSTELLUNG!$C$35,$A$1,1))+1)/DAY(EOMONTH(DATE(EINSTELLUNG!$C$35,$A$1,1),0))*F79,2),"")</f>
        <v/>
      </c>
      <c r="I79" s="57"/>
      <c r="J79" s="58"/>
      <c r="K79" s="152" t="str">
        <f t="shared" si="3"/>
        <v/>
      </c>
      <c r="L79" s="154" t="str">
        <f>IF(OR($B79=",$C3="),"",IF(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0,"",IFERROR(IF(OR(ISBLANK(D79),ISBLANK(F79),ISBLANK(G79),ISBLANK(K79)),0,IF(YEAR(D79)&lt;EINSTELLUNG!$C$35,IF(ISNUMBER(I79),IF(YEAR(I79)&lt;EINSTELLUNG!$C$35,0,IF(OR(YEAR(I79)&gt;EINSTELLUNG!$C$35,MONTH(I79)&gt;$A$1),G79,IF(MONTH(I79)&lt;$A$1,0,(G79/DAY(EOMONTH(DATE(EINSTELLUNG!$C$35,$A$1,1),0)))*DAY(I79)+K79))),G79+K79),IF(YEAR(D79)=EINSTELLUNG!$C$35,IF(MONTH(D79)&lt;$A$1,IF(ISNUMBER(I79),IF(YEAR(I79)&lt;EINSTELLUNG!$C$35,0,IF(OR(YEAR(I79)&gt;EINSTELLUNG!$C$35,MONTH(I79)&gt;$A$1),G79,IF(MONTH(I79)&lt;$A$1,0,(G79/DAY(EOMONTH(DATE(EINSTELLUNG!$C$35,$A$1,1),0)))*DAY(I79)+K79))),G79),IF(MONTH(D79)=$A$1,IF(ISNUMBER(I79),IF(OR(YEAR(I79)&gt;EINSTELLUNG!$C$35,MONTH(I79)&gt;$A$1),G79,(G79/DAY(EOMONTH(D79,0)))*(I79-D79+1)+K79),(G79/DAY(EOMONTH(D79,0)))*(DAY(EOMONTH(D79,0))-DAY(D79)+1)+K79),0)),0))),0)))</f>
        <v/>
      </c>
      <c r="M79" s="59"/>
      <c r="N79" s="75"/>
    </row>
    <row r="80" spans="1:14" ht="22" customHeight="1">
      <c r="A80" s="151" t="s">
        <v>151</v>
      </c>
      <c r="B80" s="101"/>
      <c r="C80" s="45"/>
      <c r="D80" s="49"/>
      <c r="E80" s="47"/>
      <c r="F80" s="48"/>
      <c r="G80" s="152" t="str">
        <f>IF(OR(E80="",F80=""),"",PID_KVLohnLookup($A$1,E80,F80,LOHNTABELLE!$H$4))</f>
        <v/>
      </c>
      <c r="H80" s="153" t="str">
        <f>IF(AND(ISNUMBER(D80),ISNUMBER(F80)),ROUNDDOWN(MIN(IF(OR(ISBLANK(I80),I80=""),EOMONTH(DATE(EINSTELLUNG!$C$35,$A$1,1),0),I80)-MAX(D80,DATE(EINSTELLUNG!$C$35,$A$1,1))+1)/DAY(EOMONTH(DATE(EINSTELLUNG!$C$35,$A$1,1),0))*F80,2),"")</f>
        <v/>
      </c>
      <c r="I80" s="49"/>
      <c r="J80" s="50"/>
      <c r="K80" s="152" t="str">
        <f t="shared" si="3"/>
        <v/>
      </c>
      <c r="L80" s="154" t="str">
        <f>IF(OR($B80=",$C3="),"",IF(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0,"",IFERROR(IF(OR(ISBLANK(D80),ISBLANK(F80),ISBLANK(G80),ISBLANK(K80)),0,IF(YEAR(D80)&lt;EINSTELLUNG!$C$35,IF(ISNUMBER(I80),IF(YEAR(I80)&lt;EINSTELLUNG!$C$35,0,IF(OR(YEAR(I80)&gt;EINSTELLUNG!$C$35,MONTH(I80)&gt;$A$1),G80,IF(MONTH(I80)&lt;$A$1,0,(G80/DAY(EOMONTH(DATE(EINSTELLUNG!$C$35,$A$1,1),0)))*DAY(I80)+K80))),G80+K80),IF(YEAR(D80)=EINSTELLUNG!$C$35,IF(MONTH(D80)&lt;$A$1,IF(ISNUMBER(I80),IF(YEAR(I80)&lt;EINSTELLUNG!$C$35,0,IF(OR(YEAR(I80)&gt;EINSTELLUNG!$C$35,MONTH(I80)&gt;$A$1),G80,IF(MONTH(I80)&lt;$A$1,0,(G80/DAY(EOMONTH(DATE(EINSTELLUNG!$C$35,$A$1,1),0)))*DAY(I80)+K80))),G80),IF(MONTH(D80)=$A$1,IF(ISNUMBER(I80),IF(OR(YEAR(I80)&gt;EINSTELLUNG!$C$35,MONTH(I80)&gt;$A$1),G80,(G80/DAY(EOMONTH(D80,0)))*(I80-D80+1)+K80),(G80/DAY(EOMONTH(D80,0)))*(DAY(EOMONTH(D80,0))-DAY(D80)+1)+K80),0)),0))),0)))</f>
        <v/>
      </c>
      <c r="M80" s="51"/>
      <c r="N80" s="74"/>
    </row>
    <row r="81" spans="1:14" ht="22" customHeight="1">
      <c r="A81" s="151" t="s">
        <v>152</v>
      </c>
      <c r="B81" s="102"/>
      <c r="C81" s="53"/>
      <c r="D81" s="57"/>
      <c r="E81" s="55"/>
      <c r="F81" s="56"/>
      <c r="G81" s="152" t="str">
        <f>IF(OR(E81="",F81=""),"",PID_KVLohnLookup($A$1,E81,F81,LOHNTABELLE!$H$4))</f>
        <v/>
      </c>
      <c r="H81" s="153" t="str">
        <f>IF(AND(ISNUMBER(D81),ISNUMBER(F81)),ROUNDDOWN(MIN(IF(OR(ISBLANK(I81),I81=""),EOMONTH(DATE(EINSTELLUNG!$C$35,$A$1,1),0),I81)-MAX(D81,DATE(EINSTELLUNG!$C$35,$A$1,1))+1)/DAY(EOMONTH(DATE(EINSTELLUNG!$C$35,$A$1,1),0))*F81,2),"")</f>
        <v/>
      </c>
      <c r="I81" s="57"/>
      <c r="J81" s="58"/>
      <c r="K81" s="152" t="str">
        <f t="shared" si="3"/>
        <v/>
      </c>
      <c r="L81" s="154" t="str">
        <f>IF(OR($B81=",$C3="),"",IF(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0,"",IFERROR(IF(OR(ISBLANK(D81),ISBLANK(F81),ISBLANK(G81),ISBLANK(K81)),0,IF(YEAR(D81)&lt;EINSTELLUNG!$C$35,IF(ISNUMBER(I81),IF(YEAR(I81)&lt;EINSTELLUNG!$C$35,0,IF(OR(YEAR(I81)&gt;EINSTELLUNG!$C$35,MONTH(I81)&gt;$A$1),G81,IF(MONTH(I81)&lt;$A$1,0,(G81/DAY(EOMONTH(DATE(EINSTELLUNG!$C$35,$A$1,1),0)))*DAY(I81)+K81))),G81+K81),IF(YEAR(D81)=EINSTELLUNG!$C$35,IF(MONTH(D81)&lt;$A$1,IF(ISNUMBER(I81),IF(YEAR(I81)&lt;EINSTELLUNG!$C$35,0,IF(OR(YEAR(I81)&gt;EINSTELLUNG!$C$35,MONTH(I81)&gt;$A$1),G81,IF(MONTH(I81)&lt;$A$1,0,(G81/DAY(EOMONTH(DATE(EINSTELLUNG!$C$35,$A$1,1),0)))*DAY(I81)+K81))),G81),IF(MONTH(D81)=$A$1,IF(ISNUMBER(I81),IF(OR(YEAR(I81)&gt;EINSTELLUNG!$C$35,MONTH(I81)&gt;$A$1),G81,(G81/DAY(EOMONTH(D81,0)))*(I81-D81+1)+K81),(G81/DAY(EOMONTH(D81,0)))*(DAY(EOMONTH(D81,0))-DAY(D81)+1)+K81),0)),0))),0)))</f>
        <v/>
      </c>
      <c r="M81" s="59"/>
      <c r="N81" s="75"/>
    </row>
    <row r="82" spans="1:14" ht="22" customHeight="1" thickBot="1">
      <c r="A82" s="165" t="s">
        <v>153</v>
      </c>
      <c r="B82" s="103"/>
      <c r="C82" s="62"/>
      <c r="D82" s="63"/>
      <c r="E82" s="64"/>
      <c r="F82" s="65"/>
      <c r="G82" s="166" t="str">
        <f>IF(OR(E82="",F82=""),"",PID_KVLohnLookup($A$1,E82,F82,LOHNTABELLE!$H$4))</f>
        <v/>
      </c>
      <c r="H82" s="159" t="str">
        <f>IF(AND(ISNUMBER(D82),ISNUMBER(F82)),ROUNDDOWN(MIN(IF(OR(ISBLANK(I82),I82=""),EOMONTH(DATE(EINSTELLUNG!$C$35,$A$1,1),0),I82)-MAX(D82,DATE(EINSTELLUNG!$C$35,$A$1,1))+1)/DAY(EOMONTH(DATE(EINSTELLUNG!$C$35,$A$1,1),0))*F82,2),"")</f>
        <v/>
      </c>
      <c r="I82" s="63"/>
      <c r="J82" s="66"/>
      <c r="K82" s="166" t="str">
        <f t="shared" si="3"/>
        <v/>
      </c>
      <c r="L82" s="167" t="str">
        <f>IF(OR($B82=",$C3="),"",IF(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0,"",IFERROR(IF(OR(ISBLANK(D82),ISBLANK(F82),ISBLANK(G82),ISBLANK(K82)),0,IF(YEAR(D82)&lt;EINSTELLUNG!$C$35,IF(ISNUMBER(I82),IF(YEAR(I82)&lt;EINSTELLUNG!$C$35,0,IF(OR(YEAR(I82)&gt;EINSTELLUNG!$C$35,MONTH(I82)&gt;$A$1),G82,IF(MONTH(I82)&lt;$A$1,0,(G82/DAY(EOMONTH(DATE(EINSTELLUNG!$C$35,$A$1,1),0)))*DAY(I82)+K82))),G82+K82),IF(YEAR(D82)=EINSTELLUNG!$C$35,IF(MONTH(D82)&lt;$A$1,IF(ISNUMBER(I82),IF(YEAR(I82)&lt;EINSTELLUNG!$C$35,0,IF(OR(YEAR(I82)&gt;EINSTELLUNG!$C$35,MONTH(I82)&gt;$A$1),G82,IF(MONTH(I82)&lt;$A$1,0,(G82/DAY(EOMONTH(DATE(EINSTELLUNG!$C$35,$A$1,1),0)))*DAY(I82)+K82))),G82),IF(MONTH(D82)=$A$1,IF(ISNUMBER(I82),IF(OR(YEAR(I82)&gt;EINSTELLUNG!$C$35,MONTH(I82)&gt;$A$1),G82,(G82/DAY(EOMONTH(D82,0)))*(I82-D82+1)+K82),(G82/DAY(EOMONTH(D82,0)))*(DAY(EOMONTH(D82,0))-DAY(D82)+1)+K82),0)),0))),0)))</f>
        <v/>
      </c>
      <c r="M82" s="67"/>
      <c r="N82" s="78"/>
    </row>
    <row r="83" spans="1:14" ht="16" customHeight="1">
      <c r="A83" s="168"/>
      <c r="B83" s="168"/>
    </row>
    <row r="100" spans="26:26" ht="16" customHeight="1">
      <c r="Z100" s="142"/>
    </row>
  </sheetData>
  <sheetProtection algorithmName="SHA-512" hashValue="jUNyjEdag+CP2Jbjj3ZKZwx3tGzjpui8q+2uQdAVFq9AZWz5lo115O1ccAOzAXlc5wulQ239b/isCVrkMv/zUQ==" saltValue="U4o51yyJH9hrdTEqCYjPwQ==" spinCount="100000" sheet="1" objects="1" scenarios="1" sort="0" autoFilter="0"/>
  <sortState xmlns:xlrd2="http://schemas.microsoft.com/office/spreadsheetml/2017/richdata2" ref="B3:N82">
    <sortCondition ref="B3:B82"/>
    <sortCondition ref="C3:C82"/>
  </sortState>
  <mergeCells count="102">
    <mergeCell ref="O45:U45"/>
    <mergeCell ref="B1:B2"/>
    <mergeCell ref="Q15:R15"/>
    <mergeCell ref="O16:R16"/>
    <mergeCell ref="Q9:R9"/>
    <mergeCell ref="O10:P10"/>
    <mergeCell ref="Q10:R10"/>
    <mergeCell ref="C1:C2"/>
    <mergeCell ref="D1:D2"/>
    <mergeCell ref="Q3:Q4"/>
    <mergeCell ref="R3:R4"/>
    <mergeCell ref="O6:R6"/>
    <mergeCell ref="O8:P8"/>
    <mergeCell ref="I1:I2"/>
    <mergeCell ref="J1:J2"/>
    <mergeCell ref="K1:K2"/>
    <mergeCell ref="Q8:R8"/>
    <mergeCell ref="O41:P41"/>
    <mergeCell ref="O20:P20"/>
    <mergeCell ref="O19:P19"/>
    <mergeCell ref="O44:V44"/>
    <mergeCell ref="Q20:R20"/>
    <mergeCell ref="O21:P21"/>
    <mergeCell ref="Q21:R21"/>
    <mergeCell ref="O25:P25"/>
    <mergeCell ref="O28:P28"/>
    <mergeCell ref="Q25:R25"/>
    <mergeCell ref="O26:P26"/>
    <mergeCell ref="Q26:R26"/>
    <mergeCell ref="O27:P27"/>
    <mergeCell ref="Q27:R27"/>
    <mergeCell ref="Q28:R28"/>
    <mergeCell ref="L1:L2"/>
    <mergeCell ref="O14:P14"/>
    <mergeCell ref="O3:O4"/>
    <mergeCell ref="P3:P4"/>
    <mergeCell ref="O9:P9"/>
    <mergeCell ref="N1:N2"/>
    <mergeCell ref="Q19:R19"/>
    <mergeCell ref="O22:P22"/>
    <mergeCell ref="Q22:R22"/>
    <mergeCell ref="O23:P23"/>
    <mergeCell ref="Q23:R23"/>
    <mergeCell ref="Q42:V42"/>
    <mergeCell ref="Q40:R40"/>
    <mergeCell ref="Q41:R41"/>
    <mergeCell ref="U37:V37"/>
    <mergeCell ref="O38:P38"/>
    <mergeCell ref="Q38:R38"/>
    <mergeCell ref="S38:T38"/>
    <mergeCell ref="U38:V38"/>
    <mergeCell ref="S39:T39"/>
    <mergeCell ref="U39:V39"/>
    <mergeCell ref="Q39:R39"/>
    <mergeCell ref="O37:P37"/>
    <mergeCell ref="O39:P39"/>
    <mergeCell ref="Q37:R37"/>
    <mergeCell ref="S37:T37"/>
    <mergeCell ref="O42:P42"/>
    <mergeCell ref="S41:T41"/>
    <mergeCell ref="U41:V41"/>
    <mergeCell ref="S33:T34"/>
    <mergeCell ref="U33:V34"/>
    <mergeCell ref="S27:V27"/>
    <mergeCell ref="O36:P36"/>
    <mergeCell ref="Q36:R36"/>
    <mergeCell ref="S36:T36"/>
    <mergeCell ref="U36:V36"/>
    <mergeCell ref="O35:P35"/>
    <mergeCell ref="Q35:R35"/>
    <mergeCell ref="S35:T35"/>
    <mergeCell ref="U35:V35"/>
    <mergeCell ref="O33:P34"/>
    <mergeCell ref="Q33:R34"/>
    <mergeCell ref="O31:P31"/>
    <mergeCell ref="Q31:R31"/>
    <mergeCell ref="O29:P29"/>
    <mergeCell ref="Q29:R29"/>
    <mergeCell ref="A1:A2"/>
    <mergeCell ref="E1:E2"/>
    <mergeCell ref="F1:F2"/>
    <mergeCell ref="G1:G2"/>
    <mergeCell ref="H1:H2"/>
    <mergeCell ref="M1:M2"/>
    <mergeCell ref="O40:P40"/>
    <mergeCell ref="S2:V2"/>
    <mergeCell ref="S40:T40"/>
    <mergeCell ref="U40:V40"/>
    <mergeCell ref="Q14:R14"/>
    <mergeCell ref="O17:P17"/>
    <mergeCell ref="Q17:R17"/>
    <mergeCell ref="O18:P18"/>
    <mergeCell ref="Q18:R18"/>
    <mergeCell ref="O15:P15"/>
    <mergeCell ref="Q11:R11"/>
    <mergeCell ref="O12:P12"/>
    <mergeCell ref="Q12:R12"/>
    <mergeCell ref="O13:P13"/>
    <mergeCell ref="Q13:R13"/>
    <mergeCell ref="O11:P11"/>
    <mergeCell ref="O24:P24"/>
    <mergeCell ref="Q24:R24"/>
  </mergeCells>
  <phoneticPr fontId="9" type="noConversion"/>
  <dataValidations count="2">
    <dataValidation type="list" allowBlank="1" showInputMessage="1" showErrorMessage="1" errorTitle="Ungültiger Austrittsgrund" error="Bitte nur einen Wert aus der Liste auswählen." promptTitle="Austrittsgrund" prompt="Bitte den passenden Austrittsgrund auswählen." sqref="N3:N82" xr:uid="{6CA749D9-9402-8F4B-AF74-8C77A2772452}">
      <formula1>"Einvernehmliche Auflösung,Dienstgeber Kündigung,Dienstnehmer Kündigung,Unberechtigter vorzeitiger Austritt,Berechtigter vorzeitiger Austritt,Probezeit beendet,Befristung Ende,Karenz,Storetransfer,Beförderung,Nicht eingetreten,Sonstiges"</formula1>
    </dataValidation>
    <dataValidation type="date" allowBlank="1" showDropDown="1" showErrorMessage="1" sqref="I3:I82" xr:uid="{FEE048E7-4D8B-084B-9DAF-986F48F23E00}">
      <formula1>$AB$1</formula1>
      <formula2>$AB$2</formula2>
    </dataValidation>
  </dataValidations>
  <pageMargins left="0.75" right="0.75" top="1" bottom="1" header="0.5" footer="0.5"/>
  <pageSetup paperSize="9" orientation="portrait" verticalDpi="597" r:id="rId1"/>
  <headerFooter>
    <oddFooter>&amp;R&amp;"Calibri"&amp;7© Adam Nagy ¬∑ McOpCo ¬∑ Personalsheet 2026</oddFooter>
  </headerFooter>
  <drawing r:id="rId2"/>
  <extLst>
    <ext xmlns:x14="http://schemas.microsoft.com/office/spreadsheetml/2009/9/main" uri="{CCE6A557-97BC-4b89-ADB6-D9C93CAAB3DF}">
      <x14:dataValidations xmlns:xm="http://schemas.microsoft.com/office/excel/2006/main" count="8">
        <x14:dataValidation type="list" allowBlank="1" showInputMessage="1" showErrorMessage="1" xr:uid="{3175F177-A6EC-1242-964A-55CAC0A911C0}">
          <x14:formula1>
            <xm:f>KV_DROPDOWN_HELPER!$AJY$1:$AJY$12</xm:f>
          </x14:formula1>
          <xm:sqref>E3:E82</xm:sqref>
        </x14:dataValidation>
        <x14:dataValidation type="list" allowBlank="1" showInputMessage="1" showErrorMessage="1" xr:uid="{FEE6FD16-2A40-274E-B4FA-4F32D4E87EC2}">
          <x14:formula1>
            <xm:f>KV_DROPDOWN_HELPER!$AGX$1:$AGX$13</xm:f>
          </x14:formula1>
          <xm:sqref>F4 F7</xm:sqref>
        </x14:dataValidation>
        <x14:dataValidation type="list" allowBlank="1" showInputMessage="1" showErrorMessage="1" xr:uid="{926E18C9-BBAD-2F42-A599-3AE058DCD55F}">
          <x14:formula1>
            <xm:f>KV_DROPDOWN_HELPER!$AGY$1:$AGY$13</xm:f>
          </x14:formula1>
          <xm:sqref>F6 F8 F9 F10 F13 F18 F57</xm:sqref>
        </x14:dataValidation>
        <x14:dataValidation type="list" allowBlank="1" showInputMessage="1" showErrorMessage="1" xr:uid="{134117C3-5B75-2042-8C64-33A5B30B90E1}">
          <x14:formula1>
            <xm:f>KV_DROPDOWN_HELPER!$AGZ$1:$AGZ$13</xm:f>
          </x14:formula1>
          <xm:sqref>F15 F21 F24 F26</xm:sqref>
        </x14:dataValidation>
        <x14:dataValidation type="list" allowBlank="1" showInputMessage="1" showErrorMessage="1" xr:uid="{5D1F5899-6135-AC47-B765-32157EDD8FD9}">
          <x14:formula1>
            <xm:f>KV_DROPDOWN_HELPER!$AHB$1:$AHB$13</xm:f>
          </x14:formula1>
          <xm:sqref>F20</xm:sqref>
        </x14:dataValidation>
        <x14:dataValidation type="list" allowBlank="1" showInputMessage="1" showErrorMessage="1" xr:uid="{75383239-9BF9-384D-91EA-600D933C570A}">
          <x14:formula1>
            <xm:f>KV_DROPDOWN_HELPER!$AHC$1:$AHC$13</xm:f>
          </x14:formula1>
          <xm:sqref>F62 F63 F64 F65 F66 F67 F68 F69 F70 F71 F72 F73 F74 F75 F76 F77 F78 F79 F80 F81 F82</xm:sqref>
        </x14:dataValidation>
        <x14:dataValidation type="list" allowBlank="1" showInputMessage="1" showErrorMessage="1" xr:uid="{4142B64C-77CE-442F-BAE3-5BD71E9BB429}">
          <x14:formula1>
            <xm:f>KV_DROPDOWN_HELPER!$AGW$1:$AGW$18</xm:f>
          </x14:formula1>
          <xm:sqref>F3 F5 F11 F12 F14 F16 F19 F22 F23 F25 F27 F28 F29 F30 F31 F32 F33 F34 F35 F36 F37 F38 F39 F40 F41 F42 F43 F44 F45 F46 F47 F48 F49 F50 F51 F52 F53 F54 F55 F56 F58 F59 F60 F61</xm:sqref>
        </x14:dataValidation>
        <x14:dataValidation type="list" allowBlank="1" showInputMessage="1" showErrorMessage="1" xr:uid="{5FAD274F-3D32-4ADF-8D37-4CA97291C40E}">
          <x14:formula1>
            <xm:f>KV_DROPDOWN_HELPER!$AHA$1:$AHA$13</xm:f>
          </x14:formula1>
          <xm:sqref>F17</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12D849-D845-564E-BDB5-7C32DCEB5328}">
  <sheetPr codeName="Tabelle13"/>
  <dimension ref="A1:K12"/>
  <sheetViews>
    <sheetView workbookViewId="0">
      <selection activeCell="F18" sqref="F18"/>
    </sheetView>
  </sheetViews>
  <sheetFormatPr baseColWidth="10" defaultRowHeight="14.5"/>
  <cols>
    <col min="1" max="1" width="9.90625" bestFit="1" customWidth="1"/>
    <col min="2" max="2" width="10.36328125" bestFit="1" customWidth="1"/>
    <col min="3" max="3" width="22.81640625" bestFit="1" customWidth="1"/>
    <col min="4" max="4" width="13.08984375" style="3" bestFit="1" customWidth="1"/>
    <col min="5" max="5" width="13.6328125" style="3" bestFit="1" customWidth="1"/>
    <col min="6" max="6" width="29.36328125" bestFit="1" customWidth="1"/>
    <col min="7" max="7" width="19.54296875" bestFit="1" customWidth="1"/>
    <col min="8" max="8" width="13.54296875" style="5" bestFit="1" customWidth="1"/>
    <col min="9" max="9" width="10.08984375" style="5" bestFit="1" customWidth="1"/>
    <col min="10" max="10" width="12" style="5" bestFit="1" customWidth="1"/>
    <col min="11" max="11" width="26.54296875" bestFit="1" customWidth="1"/>
  </cols>
  <sheetData>
    <row r="1" spans="1:11">
      <c r="A1" s="1" t="s">
        <v>206</v>
      </c>
      <c r="B1" s="1" t="s">
        <v>180</v>
      </c>
      <c r="C1" s="1" t="s">
        <v>39</v>
      </c>
      <c r="D1" s="2" t="s">
        <v>207</v>
      </c>
      <c r="E1" s="2" t="s">
        <v>208</v>
      </c>
      <c r="F1" s="1" t="s">
        <v>183</v>
      </c>
      <c r="G1" s="1" t="s">
        <v>213</v>
      </c>
      <c r="H1" s="4" t="s">
        <v>209</v>
      </c>
      <c r="I1" s="4" t="s">
        <v>210</v>
      </c>
      <c r="J1" s="4" t="s">
        <v>214</v>
      </c>
      <c r="K1" s="1" t="s">
        <v>211</v>
      </c>
    </row>
    <row r="2" spans="1:11">
      <c r="A2" t="s">
        <v>277</v>
      </c>
      <c r="B2">
        <v>400002</v>
      </c>
      <c r="C2" t="s">
        <v>398</v>
      </c>
      <c r="D2" s="3">
        <v>33359</v>
      </c>
      <c r="E2" s="3">
        <v>46037</v>
      </c>
      <c r="F2" t="s">
        <v>194</v>
      </c>
      <c r="G2">
        <v>12679</v>
      </c>
      <c r="H2" s="5">
        <v>1</v>
      </c>
      <c r="I2" s="5">
        <v>2</v>
      </c>
      <c r="J2" s="5">
        <v>2</v>
      </c>
      <c r="K2" t="s">
        <v>215</v>
      </c>
    </row>
    <row r="3" spans="1:11">
      <c r="A3" t="s">
        <v>277</v>
      </c>
      <c r="B3">
        <v>401691</v>
      </c>
      <c r="C3" t="s">
        <v>252</v>
      </c>
      <c r="D3" s="3">
        <v>45539</v>
      </c>
      <c r="E3" s="3">
        <v>46047</v>
      </c>
      <c r="F3" t="s">
        <v>186</v>
      </c>
      <c r="G3">
        <v>509</v>
      </c>
      <c r="H3" s="5">
        <v>0.5</v>
      </c>
      <c r="I3" s="5">
        <v>1.25</v>
      </c>
      <c r="J3" s="5">
        <v>0.625</v>
      </c>
      <c r="K3" t="s">
        <v>278</v>
      </c>
    </row>
    <row r="4" spans="1:11">
      <c r="A4" t="s">
        <v>314</v>
      </c>
      <c r="B4">
        <v>600000</v>
      </c>
      <c r="C4" t="s">
        <v>306</v>
      </c>
      <c r="D4" s="3">
        <v>46054</v>
      </c>
      <c r="E4" s="3">
        <v>46055</v>
      </c>
      <c r="F4" t="s">
        <v>184</v>
      </c>
      <c r="G4">
        <v>2</v>
      </c>
      <c r="H4" s="5">
        <v>0.75</v>
      </c>
      <c r="I4" s="5">
        <v>0.3</v>
      </c>
      <c r="J4" s="5">
        <v>0.22499999999999998</v>
      </c>
      <c r="K4" t="s">
        <v>219</v>
      </c>
    </row>
    <row r="5" spans="1:11">
      <c r="A5" t="s">
        <v>166</v>
      </c>
      <c r="B5">
        <v>401754</v>
      </c>
      <c r="C5" t="s">
        <v>274</v>
      </c>
      <c r="D5" s="3">
        <v>46014</v>
      </c>
      <c r="E5" s="3">
        <v>46096</v>
      </c>
      <c r="F5" t="s">
        <v>194</v>
      </c>
      <c r="G5">
        <v>83</v>
      </c>
      <c r="H5" s="5">
        <v>1</v>
      </c>
      <c r="I5" s="5">
        <v>0.5</v>
      </c>
      <c r="J5" s="5">
        <v>0.5</v>
      </c>
      <c r="K5" t="s">
        <v>219</v>
      </c>
    </row>
    <row r="6" spans="1:11">
      <c r="A6" t="s">
        <v>168</v>
      </c>
      <c r="B6">
        <v>401389</v>
      </c>
      <c r="C6" t="s">
        <v>234</v>
      </c>
      <c r="D6" s="3">
        <v>44384</v>
      </c>
      <c r="E6" s="3">
        <v>46132</v>
      </c>
      <c r="F6" t="s">
        <v>184</v>
      </c>
      <c r="G6">
        <v>1749</v>
      </c>
      <c r="H6" s="5">
        <v>0.75</v>
      </c>
      <c r="I6" s="5">
        <v>1.5</v>
      </c>
      <c r="J6" s="5">
        <v>1.125</v>
      </c>
      <c r="K6" t="s">
        <v>215</v>
      </c>
    </row>
    <row r="7" spans="1:11">
      <c r="A7" t="s">
        <v>169</v>
      </c>
      <c r="B7">
        <v>401703</v>
      </c>
      <c r="C7" t="s">
        <v>254</v>
      </c>
      <c r="D7" s="3">
        <v>45616</v>
      </c>
      <c r="E7" s="3">
        <v>46144</v>
      </c>
      <c r="F7" t="s">
        <v>194</v>
      </c>
      <c r="G7">
        <v>529</v>
      </c>
      <c r="H7" s="5">
        <v>1</v>
      </c>
      <c r="I7" s="5">
        <v>1.25</v>
      </c>
      <c r="J7" s="5">
        <v>1.25</v>
      </c>
      <c r="K7" t="s">
        <v>220</v>
      </c>
    </row>
    <row r="8" spans="1:11">
      <c r="A8" t="s">
        <v>169</v>
      </c>
      <c r="B8">
        <v>401736</v>
      </c>
      <c r="C8" t="s">
        <v>265</v>
      </c>
      <c r="D8" s="3">
        <v>45906</v>
      </c>
      <c r="E8" s="3">
        <v>46167</v>
      </c>
      <c r="F8" t="s">
        <v>186</v>
      </c>
      <c r="G8">
        <v>262</v>
      </c>
      <c r="H8" s="5">
        <v>0.5</v>
      </c>
      <c r="I8" s="5">
        <v>1</v>
      </c>
      <c r="J8" s="5">
        <v>0.5</v>
      </c>
      <c r="K8" t="s">
        <v>278</v>
      </c>
    </row>
    <row r="9" spans="1:11">
      <c r="A9" t="s">
        <v>170</v>
      </c>
      <c r="B9">
        <v>401047</v>
      </c>
      <c r="C9" t="s">
        <v>226</v>
      </c>
      <c r="D9" s="3">
        <v>41154</v>
      </c>
      <c r="E9" s="3">
        <v>46193</v>
      </c>
      <c r="F9" t="s">
        <v>185</v>
      </c>
      <c r="G9">
        <v>5040</v>
      </c>
      <c r="H9" s="5">
        <v>0</v>
      </c>
      <c r="I9" s="5">
        <v>2</v>
      </c>
      <c r="J9" s="5">
        <v>0</v>
      </c>
      <c r="K9" t="s">
        <v>217</v>
      </c>
    </row>
    <row r="10" spans="1:11">
      <c r="A10" t="s">
        <v>172</v>
      </c>
      <c r="B10">
        <v>401476</v>
      </c>
      <c r="C10" t="s">
        <v>237</v>
      </c>
      <c r="D10" s="3">
        <v>44504</v>
      </c>
      <c r="E10" s="3">
        <v>46228</v>
      </c>
      <c r="F10" t="s">
        <v>195</v>
      </c>
      <c r="G10">
        <v>1725</v>
      </c>
      <c r="H10" s="5">
        <v>1.1000000000000001</v>
      </c>
      <c r="I10" s="5">
        <v>1.5</v>
      </c>
      <c r="J10" s="5">
        <v>1.6500000000000001</v>
      </c>
      <c r="K10" t="s">
        <v>215</v>
      </c>
    </row>
    <row r="11" spans="1:11">
      <c r="A11" t="s">
        <v>174</v>
      </c>
      <c r="B11">
        <v>401558</v>
      </c>
      <c r="C11" t="s">
        <v>236</v>
      </c>
      <c r="D11" s="3">
        <v>44460</v>
      </c>
      <c r="E11" s="3">
        <v>46275</v>
      </c>
      <c r="F11" t="s">
        <v>186</v>
      </c>
      <c r="G11">
        <v>1816</v>
      </c>
      <c r="H11" s="5">
        <v>0.5</v>
      </c>
      <c r="I11" s="5">
        <v>1.5</v>
      </c>
      <c r="J11" s="5">
        <v>0.75</v>
      </c>
      <c r="K11" t="s">
        <v>278</v>
      </c>
    </row>
    <row r="12" spans="1:11">
      <c r="A12" t="s">
        <v>176</v>
      </c>
      <c r="B12">
        <v>402000</v>
      </c>
      <c r="C12" t="s">
        <v>298</v>
      </c>
      <c r="D12" s="3">
        <v>46143</v>
      </c>
      <c r="E12" s="3">
        <v>46305</v>
      </c>
      <c r="F12" t="s">
        <v>195</v>
      </c>
      <c r="G12">
        <v>163</v>
      </c>
      <c r="H12" s="5">
        <v>1.1000000000000001</v>
      </c>
      <c r="I12" s="5">
        <v>0.75</v>
      </c>
      <c r="J12" s="5">
        <v>0.82500000000000007</v>
      </c>
      <c r="K12" t="s">
        <v>278</v>
      </c>
    </row>
  </sheetData>
  <sheetProtection algorithmName="SHA-512" hashValue="+tJarpQmIKicinKmUGyzoNM9AE6MmRME4SdvFE4p/r4R4ava22bbbWT+Q818coPG37tSzz/mZ5eABNzfSKNqFQ==" saltValue="J+LrXtNztt+CD1hPyWQqdQ==" spinCount="100000" sheet="1" objects="1" scenarios="1"/>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F8AE165-69D4-4EAA-ABDB-6F60416433EE}">
  <sheetPr codeName="Tabelle17"/>
  <dimension ref="A1"/>
  <sheetViews>
    <sheetView zoomScaleNormal="100" workbookViewId="0">
      <selection activeCell="K53" sqref="K53"/>
    </sheetView>
  </sheetViews>
  <sheetFormatPr baseColWidth="10" defaultColWidth="11.453125" defaultRowHeight="14.5"/>
  <sheetData>
    <row r="1" spans="1:1">
      <c r="A1" t="b">
        <v>1</v>
      </c>
    </row>
  </sheetData>
  <sheetProtection algorithmName="SHA-512" hashValue="R1TcX4s4n2z5NsGnC777vcTKsLYa5Q1x7XyE7e9XBwfUaeQ5W9TpRvBIIpps95eI79F9uEm4k+I6p9gTnTXzRg==" saltValue="8+LUZd75EtWc+/K40sWS0Q==" spinCount="100000" sheet="1" objects="1" scenarios="1" sort="0" autoFilter="0"/>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9570CF-0E37-164B-AC1A-89F5DBCA3306}">
  <sheetPr codeName="Tabelle21"/>
  <dimension ref="A1:AJY18"/>
  <sheetViews>
    <sheetView workbookViewId="0"/>
  </sheetViews>
  <sheetFormatPr baseColWidth="10" defaultRowHeight="14.5"/>
  <sheetData>
    <row r="1" spans="1:961">
      <c r="A1" s="5">
        <v>173</v>
      </c>
      <c r="B1" s="5">
        <v>173</v>
      </c>
      <c r="C1" s="5">
        <v>173</v>
      </c>
      <c r="D1" s="5">
        <v>173</v>
      </c>
      <c r="E1" s="5">
        <v>173</v>
      </c>
      <c r="F1" s="5">
        <v>173</v>
      </c>
      <c r="G1" s="5">
        <v>173</v>
      </c>
      <c r="CC1" s="5">
        <v>173</v>
      </c>
      <c r="CD1" s="5">
        <v>173</v>
      </c>
      <c r="CE1" s="5">
        <v>173</v>
      </c>
      <c r="CF1" s="5">
        <v>173</v>
      </c>
      <c r="CG1" s="5">
        <v>173</v>
      </c>
      <c r="CH1" s="5">
        <v>173</v>
      </c>
      <c r="CI1" s="5">
        <v>173</v>
      </c>
      <c r="FE1" s="5">
        <v>173</v>
      </c>
      <c r="FF1" s="5">
        <v>173</v>
      </c>
      <c r="FG1" s="5">
        <v>173</v>
      </c>
      <c r="FH1" s="5">
        <v>173</v>
      </c>
      <c r="FI1" s="5">
        <v>173</v>
      </c>
      <c r="FJ1" s="5">
        <v>173</v>
      </c>
      <c r="FK1" s="5">
        <v>173</v>
      </c>
      <c r="IG1" s="5">
        <v>173</v>
      </c>
      <c r="IH1" s="5">
        <v>173</v>
      </c>
      <c r="II1" s="5">
        <v>173</v>
      </c>
      <c r="IJ1" s="5">
        <v>173</v>
      </c>
      <c r="IK1" s="5">
        <v>173</v>
      </c>
      <c r="IL1" s="5">
        <v>173</v>
      </c>
      <c r="IM1" s="5">
        <v>173</v>
      </c>
      <c r="LI1" s="5">
        <v>173</v>
      </c>
      <c r="LJ1" s="5">
        <v>173</v>
      </c>
      <c r="LK1" s="5">
        <v>173</v>
      </c>
      <c r="LL1" s="5">
        <v>173</v>
      </c>
      <c r="LM1" s="5">
        <v>173</v>
      </c>
      <c r="LN1" s="5">
        <v>173</v>
      </c>
      <c r="LO1" s="5">
        <v>173</v>
      </c>
      <c r="OK1" s="5">
        <v>173</v>
      </c>
      <c r="OL1" s="5">
        <v>173</v>
      </c>
      <c r="OM1" s="5">
        <v>173</v>
      </c>
      <c r="ON1" s="5">
        <v>173</v>
      </c>
      <c r="OO1" s="5">
        <v>173</v>
      </c>
      <c r="OP1" s="5">
        <v>173</v>
      </c>
      <c r="OQ1" s="5">
        <v>173</v>
      </c>
      <c r="RM1" s="5">
        <v>173</v>
      </c>
      <c r="RN1" s="5">
        <v>173</v>
      </c>
      <c r="RO1" s="5">
        <v>173</v>
      </c>
      <c r="RP1" s="5">
        <v>173</v>
      </c>
      <c r="RQ1" s="5">
        <v>173</v>
      </c>
      <c r="RR1" s="5">
        <v>173</v>
      </c>
      <c r="RS1" s="5">
        <v>173</v>
      </c>
      <c r="UO1" s="5">
        <v>173</v>
      </c>
      <c r="UP1" s="5">
        <v>173</v>
      </c>
      <c r="UQ1" s="5">
        <v>173</v>
      </c>
      <c r="UR1" s="5">
        <v>173</v>
      </c>
      <c r="US1" s="5">
        <v>173</v>
      </c>
      <c r="UT1" s="5">
        <v>173</v>
      </c>
      <c r="UU1" s="5">
        <v>173</v>
      </c>
      <c r="XQ1" s="5">
        <v>173</v>
      </c>
      <c r="XR1" s="5">
        <v>173</v>
      </c>
      <c r="XS1" s="5">
        <v>173</v>
      </c>
      <c r="XT1" s="5">
        <v>173</v>
      </c>
      <c r="XU1" s="5">
        <v>173</v>
      </c>
      <c r="XV1" s="5">
        <v>173</v>
      </c>
      <c r="XW1" s="5">
        <v>173</v>
      </c>
      <c r="AAS1" s="5">
        <v>173</v>
      </c>
      <c r="AAT1" s="5">
        <v>173</v>
      </c>
      <c r="AAU1" s="5">
        <v>173</v>
      </c>
      <c r="AAV1" s="5">
        <v>173</v>
      </c>
      <c r="AAW1" s="5">
        <v>173</v>
      </c>
      <c r="AAX1" s="5">
        <v>173</v>
      </c>
      <c r="AAY1" s="5">
        <v>173</v>
      </c>
      <c r="ADU1" s="5">
        <v>173</v>
      </c>
      <c r="ADV1" s="5">
        <v>173</v>
      </c>
      <c r="ADW1" s="5">
        <v>173</v>
      </c>
      <c r="ADX1" s="5">
        <v>173</v>
      </c>
      <c r="ADY1" s="5">
        <v>173</v>
      </c>
      <c r="ADZ1" s="5">
        <v>173</v>
      </c>
      <c r="AEA1" s="5">
        <v>173</v>
      </c>
      <c r="AGW1" s="5">
        <v>173</v>
      </c>
      <c r="AGX1" s="5">
        <v>173</v>
      </c>
      <c r="AGY1" s="5">
        <v>173</v>
      </c>
      <c r="AGZ1" s="5">
        <v>173</v>
      </c>
      <c r="AHA1" s="5">
        <v>173</v>
      </c>
      <c r="AHB1" s="5">
        <v>173</v>
      </c>
      <c r="AHC1" s="5">
        <v>173</v>
      </c>
      <c r="AJY1" t="s">
        <v>2</v>
      </c>
    </row>
    <row r="2" spans="1:961">
      <c r="A2" s="5">
        <v>169</v>
      </c>
      <c r="B2" s="5">
        <v>151.38</v>
      </c>
      <c r="C2" s="5">
        <v>151.38</v>
      </c>
      <c r="D2" s="5">
        <v>151.38</v>
      </c>
      <c r="E2" s="5">
        <v>151.38</v>
      </c>
      <c r="F2" s="5">
        <v>151.38</v>
      </c>
      <c r="G2" s="5">
        <v>151.38</v>
      </c>
      <c r="CC2" s="5">
        <v>169</v>
      </c>
      <c r="CD2" s="5">
        <v>151.38</v>
      </c>
      <c r="CE2" s="5">
        <v>151.38</v>
      </c>
      <c r="CF2" s="5">
        <v>151.38</v>
      </c>
      <c r="CG2" s="5">
        <v>151.38</v>
      </c>
      <c r="CH2" s="5">
        <v>151.38</v>
      </c>
      <c r="CI2" s="5">
        <v>151.38</v>
      </c>
      <c r="FE2" s="5">
        <v>169</v>
      </c>
      <c r="FF2" s="5">
        <v>151.38</v>
      </c>
      <c r="FG2" s="5">
        <v>151.38</v>
      </c>
      <c r="FH2" s="5">
        <v>151.38</v>
      </c>
      <c r="FI2" s="5">
        <v>151.38</v>
      </c>
      <c r="FJ2" s="5">
        <v>151.38</v>
      </c>
      <c r="FK2" s="5">
        <v>151.38</v>
      </c>
      <c r="IG2" s="5">
        <v>169</v>
      </c>
      <c r="IH2" s="5">
        <v>151.38</v>
      </c>
      <c r="II2" s="5">
        <v>151.38</v>
      </c>
      <c r="IJ2" s="5">
        <v>151.38</v>
      </c>
      <c r="IK2" s="5">
        <v>151.38</v>
      </c>
      <c r="IL2" s="5">
        <v>151.38</v>
      </c>
      <c r="IM2" s="5">
        <v>151.38</v>
      </c>
      <c r="LI2" s="5">
        <v>172</v>
      </c>
      <c r="LJ2" s="5">
        <v>151.38</v>
      </c>
      <c r="LK2" s="5">
        <v>151.38</v>
      </c>
      <c r="LL2" s="5">
        <v>151.38</v>
      </c>
      <c r="LM2" s="5">
        <v>151.38</v>
      </c>
      <c r="LN2" s="5">
        <v>151.38</v>
      </c>
      <c r="LO2" s="5">
        <v>151.38</v>
      </c>
      <c r="OK2" s="5">
        <v>172</v>
      </c>
      <c r="OL2" s="5">
        <v>151.38</v>
      </c>
      <c r="OM2" s="5">
        <v>151.38</v>
      </c>
      <c r="ON2" s="5">
        <v>151.38</v>
      </c>
      <c r="OO2" s="5">
        <v>151.38</v>
      </c>
      <c r="OP2" s="5">
        <v>151.38</v>
      </c>
      <c r="OQ2" s="5">
        <v>151.38</v>
      </c>
      <c r="RM2" s="5">
        <v>172</v>
      </c>
      <c r="RN2" s="5">
        <v>151.38</v>
      </c>
      <c r="RO2" s="5">
        <v>151.38</v>
      </c>
      <c r="RP2" s="5">
        <v>151.38</v>
      </c>
      <c r="RQ2" s="5">
        <v>151.38</v>
      </c>
      <c r="RR2" s="5">
        <v>151.38</v>
      </c>
      <c r="RS2" s="5">
        <v>151.38</v>
      </c>
      <c r="UO2" s="5">
        <v>172</v>
      </c>
      <c r="UP2" s="5">
        <v>151.38</v>
      </c>
      <c r="UQ2" s="5">
        <v>151.38</v>
      </c>
      <c r="UR2" s="5">
        <v>151.38</v>
      </c>
      <c r="US2" s="5">
        <v>151.38</v>
      </c>
      <c r="UT2" s="5">
        <v>151.38</v>
      </c>
      <c r="UU2" s="5">
        <v>151.38</v>
      </c>
      <c r="XQ2" s="5">
        <v>172</v>
      </c>
      <c r="XR2" s="5">
        <v>151.38</v>
      </c>
      <c r="XS2" s="5">
        <v>151.38</v>
      </c>
      <c r="XT2" s="5">
        <v>151.38</v>
      </c>
      <c r="XU2" s="5">
        <v>151.38</v>
      </c>
      <c r="XV2" s="5">
        <v>151.38</v>
      </c>
      <c r="XW2" s="5">
        <v>151.38</v>
      </c>
      <c r="AAS2" s="5">
        <v>172</v>
      </c>
      <c r="AAT2" s="5">
        <v>151.38</v>
      </c>
      <c r="AAU2" s="5">
        <v>151.38</v>
      </c>
      <c r="AAV2" s="5">
        <v>151.38</v>
      </c>
      <c r="AAW2" s="5">
        <v>151.38</v>
      </c>
      <c r="AAX2" s="5">
        <v>151.38</v>
      </c>
      <c r="AAY2" s="5">
        <v>151.38</v>
      </c>
      <c r="ADU2" s="5">
        <v>172</v>
      </c>
      <c r="ADV2" s="5">
        <v>151.38</v>
      </c>
      <c r="ADW2" s="5">
        <v>151.38</v>
      </c>
      <c r="ADX2" s="5">
        <v>151.38</v>
      </c>
      <c r="ADY2" s="5">
        <v>151.38</v>
      </c>
      <c r="ADZ2" s="5">
        <v>151.38</v>
      </c>
      <c r="AEA2" s="5">
        <v>151.38</v>
      </c>
      <c r="AGW2" s="5">
        <v>172</v>
      </c>
      <c r="AGX2" s="5">
        <v>151.38</v>
      </c>
      <c r="AGY2" s="5">
        <v>151.38</v>
      </c>
      <c r="AGZ2" s="5">
        <v>151.38</v>
      </c>
      <c r="AHA2" s="5">
        <v>151.38</v>
      </c>
      <c r="AHB2" s="5">
        <v>151.38</v>
      </c>
      <c r="AHC2" s="5">
        <v>151.38</v>
      </c>
      <c r="AJY2" t="s">
        <v>3</v>
      </c>
    </row>
    <row r="3" spans="1:961">
      <c r="A3" s="5">
        <v>151.38</v>
      </c>
      <c r="B3" s="5">
        <v>138.4</v>
      </c>
      <c r="C3" s="5">
        <v>138.4</v>
      </c>
      <c r="D3" s="5">
        <v>138.4</v>
      </c>
      <c r="E3" s="5">
        <v>138.4</v>
      </c>
      <c r="F3" s="5">
        <v>138.4</v>
      </c>
      <c r="G3" s="5">
        <v>138.4</v>
      </c>
      <c r="CC3" s="5">
        <v>151.38</v>
      </c>
      <c r="CD3" s="5">
        <v>138.4</v>
      </c>
      <c r="CE3" s="5">
        <v>138.4</v>
      </c>
      <c r="CF3" s="5">
        <v>138.4</v>
      </c>
      <c r="CG3" s="5">
        <v>138.4</v>
      </c>
      <c r="CH3" s="5">
        <v>138.4</v>
      </c>
      <c r="CI3" s="5">
        <v>138.4</v>
      </c>
      <c r="FE3" s="5">
        <v>151.38</v>
      </c>
      <c r="FF3" s="5">
        <v>138.4</v>
      </c>
      <c r="FG3" s="5">
        <v>138.4</v>
      </c>
      <c r="FH3" s="5">
        <v>138.4</v>
      </c>
      <c r="FI3" s="5">
        <v>138.4</v>
      </c>
      <c r="FJ3" s="5">
        <v>138.4</v>
      </c>
      <c r="FK3" s="5">
        <v>138.4</v>
      </c>
      <c r="IG3" s="5">
        <v>151.38</v>
      </c>
      <c r="IH3" s="5">
        <v>138.4</v>
      </c>
      <c r="II3" s="5">
        <v>138.4</v>
      </c>
      <c r="IJ3" s="5">
        <v>138.4</v>
      </c>
      <c r="IK3" s="5">
        <v>138.4</v>
      </c>
      <c r="IL3" s="5">
        <v>138.4</v>
      </c>
      <c r="IM3" s="5">
        <v>138.4</v>
      </c>
      <c r="LI3" s="5">
        <v>170</v>
      </c>
      <c r="LJ3" s="5">
        <v>138.4</v>
      </c>
      <c r="LK3" s="5">
        <v>138.4</v>
      </c>
      <c r="LL3" s="5">
        <v>138.4</v>
      </c>
      <c r="LM3" s="5">
        <v>138.4</v>
      </c>
      <c r="LN3" s="5">
        <v>138.4</v>
      </c>
      <c r="LO3" s="5">
        <v>138.4</v>
      </c>
      <c r="OK3" s="5">
        <v>170</v>
      </c>
      <c r="OL3" s="5">
        <v>138.4</v>
      </c>
      <c r="OM3" s="5">
        <v>138.4</v>
      </c>
      <c r="ON3" s="5">
        <v>138.4</v>
      </c>
      <c r="OO3" s="5">
        <v>138.4</v>
      </c>
      <c r="OP3" s="5">
        <v>138.4</v>
      </c>
      <c r="OQ3" s="5">
        <v>138.4</v>
      </c>
      <c r="RM3" s="5">
        <v>170</v>
      </c>
      <c r="RN3" s="5">
        <v>138.4</v>
      </c>
      <c r="RO3" s="5">
        <v>138.4</v>
      </c>
      <c r="RP3" s="5">
        <v>138.4</v>
      </c>
      <c r="RQ3" s="5">
        <v>138.4</v>
      </c>
      <c r="RR3" s="5">
        <v>138.4</v>
      </c>
      <c r="RS3" s="5">
        <v>138.4</v>
      </c>
      <c r="UO3" s="5">
        <v>170</v>
      </c>
      <c r="UP3" s="5">
        <v>138.4</v>
      </c>
      <c r="UQ3" s="5">
        <v>138.4</v>
      </c>
      <c r="UR3" s="5">
        <v>138.4</v>
      </c>
      <c r="US3" s="5">
        <v>138.4</v>
      </c>
      <c r="UT3" s="5">
        <v>138.4</v>
      </c>
      <c r="UU3" s="5">
        <v>138.4</v>
      </c>
      <c r="XQ3" s="5">
        <v>170</v>
      </c>
      <c r="XR3" s="5">
        <v>138.4</v>
      </c>
      <c r="XS3" s="5">
        <v>138.4</v>
      </c>
      <c r="XT3" s="5">
        <v>138.4</v>
      </c>
      <c r="XU3" s="5">
        <v>138.4</v>
      </c>
      <c r="XV3" s="5">
        <v>138.4</v>
      </c>
      <c r="XW3" s="5">
        <v>138.4</v>
      </c>
      <c r="AAS3" s="5">
        <v>170</v>
      </c>
      <c r="AAT3" s="5">
        <v>138.4</v>
      </c>
      <c r="AAU3" s="5">
        <v>138.4</v>
      </c>
      <c r="AAV3" s="5">
        <v>138.4</v>
      </c>
      <c r="AAW3" s="5">
        <v>138.4</v>
      </c>
      <c r="AAX3" s="5">
        <v>138.4</v>
      </c>
      <c r="AAY3" s="5">
        <v>138.4</v>
      </c>
      <c r="ADU3" s="5">
        <v>170</v>
      </c>
      <c r="ADV3" s="5">
        <v>138.4</v>
      </c>
      <c r="ADW3" s="5">
        <v>138.4</v>
      </c>
      <c r="ADX3" s="5">
        <v>138.4</v>
      </c>
      <c r="ADY3" s="5">
        <v>138.4</v>
      </c>
      <c r="ADZ3" s="5">
        <v>138.4</v>
      </c>
      <c r="AEA3" s="5">
        <v>138.4</v>
      </c>
      <c r="AGW3" s="5">
        <v>170</v>
      </c>
      <c r="AGX3" s="5">
        <v>138.4</v>
      </c>
      <c r="AGY3" s="5">
        <v>138.4</v>
      </c>
      <c r="AGZ3" s="5">
        <v>138.4</v>
      </c>
      <c r="AHA3" s="5">
        <v>138.4</v>
      </c>
      <c r="AHB3" s="5">
        <v>138.4</v>
      </c>
      <c r="AHC3" s="5">
        <v>138.4</v>
      </c>
      <c r="AJY3" t="s">
        <v>4</v>
      </c>
    </row>
    <row r="4" spans="1:961">
      <c r="A4" s="5">
        <v>138.4</v>
      </c>
      <c r="B4" s="5">
        <v>129.75</v>
      </c>
      <c r="C4" s="5">
        <v>129.75</v>
      </c>
      <c r="D4" s="5">
        <v>129.75</v>
      </c>
      <c r="E4" s="5">
        <v>129.75</v>
      </c>
      <c r="F4" s="5">
        <v>129.75</v>
      </c>
      <c r="G4" s="5">
        <v>129.75</v>
      </c>
      <c r="CC4" s="5">
        <v>138.4</v>
      </c>
      <c r="CD4" s="5">
        <v>129.75</v>
      </c>
      <c r="CE4" s="5">
        <v>129.75</v>
      </c>
      <c r="CF4" s="5">
        <v>129.75</v>
      </c>
      <c r="CG4" s="5">
        <v>129.75</v>
      </c>
      <c r="CH4" s="5">
        <v>129.75</v>
      </c>
      <c r="CI4" s="5">
        <v>129.75</v>
      </c>
      <c r="FE4" s="5">
        <v>138.4</v>
      </c>
      <c r="FF4" s="5">
        <v>129.75</v>
      </c>
      <c r="FG4" s="5">
        <v>129.75</v>
      </c>
      <c r="FH4" s="5">
        <v>129.75</v>
      </c>
      <c r="FI4" s="5">
        <v>129.75</v>
      </c>
      <c r="FJ4" s="5">
        <v>129.75</v>
      </c>
      <c r="FK4" s="5">
        <v>129.75</v>
      </c>
      <c r="IG4" s="5">
        <v>138.4</v>
      </c>
      <c r="IH4" s="5">
        <v>129.75</v>
      </c>
      <c r="II4" s="5">
        <v>129.75</v>
      </c>
      <c r="IJ4" s="5">
        <v>129.75</v>
      </c>
      <c r="IK4" s="5">
        <v>129.75</v>
      </c>
      <c r="IL4" s="5">
        <v>129.75</v>
      </c>
      <c r="IM4" s="5">
        <v>129.75</v>
      </c>
      <c r="LI4" s="5">
        <v>166</v>
      </c>
      <c r="LJ4" s="5">
        <v>129.75</v>
      </c>
      <c r="LK4" s="5">
        <v>129.75</v>
      </c>
      <c r="LL4" s="5">
        <v>129.75</v>
      </c>
      <c r="LM4" s="5">
        <v>129.75</v>
      </c>
      <c r="LN4" s="5">
        <v>129.75</v>
      </c>
      <c r="LO4" s="5">
        <v>129.75</v>
      </c>
      <c r="OK4" s="5">
        <v>166</v>
      </c>
      <c r="OL4" s="5">
        <v>129.75</v>
      </c>
      <c r="OM4" s="5">
        <v>129.75</v>
      </c>
      <c r="ON4" s="5">
        <v>129.75</v>
      </c>
      <c r="OO4" s="5">
        <v>129.75</v>
      </c>
      <c r="OP4" s="5">
        <v>129.75</v>
      </c>
      <c r="OQ4" s="5">
        <v>129.75</v>
      </c>
      <c r="RM4" s="5">
        <v>166</v>
      </c>
      <c r="RN4" s="5">
        <v>129.75</v>
      </c>
      <c r="RO4" s="5">
        <v>129.75</v>
      </c>
      <c r="RP4" s="5">
        <v>129.75</v>
      </c>
      <c r="RQ4" s="5">
        <v>129.75</v>
      </c>
      <c r="RR4" s="5">
        <v>129.75</v>
      </c>
      <c r="RS4" s="5">
        <v>129.75</v>
      </c>
      <c r="UO4" s="5">
        <v>166</v>
      </c>
      <c r="UP4" s="5">
        <v>129.75</v>
      </c>
      <c r="UQ4" s="5">
        <v>129.75</v>
      </c>
      <c r="UR4" s="5">
        <v>129.75</v>
      </c>
      <c r="US4" s="5">
        <v>129.75</v>
      </c>
      <c r="UT4" s="5">
        <v>129.75</v>
      </c>
      <c r="UU4" s="5">
        <v>129.75</v>
      </c>
      <c r="XQ4" s="5">
        <v>166</v>
      </c>
      <c r="XR4" s="5">
        <v>129.75</v>
      </c>
      <c r="XS4" s="5">
        <v>129.75</v>
      </c>
      <c r="XT4" s="5">
        <v>129.75</v>
      </c>
      <c r="XU4" s="5">
        <v>129.75</v>
      </c>
      <c r="XV4" s="5">
        <v>129.75</v>
      </c>
      <c r="XW4" s="5">
        <v>129.75</v>
      </c>
      <c r="AAS4" s="5">
        <v>166</v>
      </c>
      <c r="AAT4" s="5">
        <v>129.75</v>
      </c>
      <c r="AAU4" s="5">
        <v>129.75</v>
      </c>
      <c r="AAV4" s="5">
        <v>129.75</v>
      </c>
      <c r="AAW4" s="5">
        <v>129.75</v>
      </c>
      <c r="AAX4" s="5">
        <v>129.75</v>
      </c>
      <c r="AAY4" s="5">
        <v>129.75</v>
      </c>
      <c r="ADU4" s="5">
        <v>166</v>
      </c>
      <c r="ADV4" s="5">
        <v>129.75</v>
      </c>
      <c r="ADW4" s="5">
        <v>129.75</v>
      </c>
      <c r="ADX4" s="5">
        <v>129.75</v>
      </c>
      <c r="ADY4" s="5">
        <v>129.75</v>
      </c>
      <c r="ADZ4" s="5">
        <v>129.75</v>
      </c>
      <c r="AEA4" s="5">
        <v>129.75</v>
      </c>
      <c r="AGW4" s="5">
        <v>166</v>
      </c>
      <c r="AGX4" s="5">
        <v>129.75</v>
      </c>
      <c r="AGY4" s="5">
        <v>129.75</v>
      </c>
      <c r="AGZ4" s="5">
        <v>129.75</v>
      </c>
      <c r="AHA4" s="5">
        <v>129.75</v>
      </c>
      <c r="AHB4" s="5">
        <v>129.75</v>
      </c>
      <c r="AHC4" s="5">
        <v>129.75</v>
      </c>
      <c r="AJY4" t="s">
        <v>5</v>
      </c>
    </row>
    <row r="5" spans="1:961">
      <c r="A5" s="5">
        <v>129.75</v>
      </c>
      <c r="B5" s="5">
        <v>108.13</v>
      </c>
      <c r="C5" s="5">
        <v>108.13</v>
      </c>
      <c r="D5" s="5">
        <v>108.13</v>
      </c>
      <c r="E5" s="5">
        <v>108.13</v>
      </c>
      <c r="F5" s="5">
        <v>108.13</v>
      </c>
      <c r="G5" s="5">
        <v>108.13</v>
      </c>
      <c r="CC5" s="5">
        <v>129.75</v>
      </c>
      <c r="CD5" s="5">
        <v>108.13</v>
      </c>
      <c r="CE5" s="5">
        <v>108.13</v>
      </c>
      <c r="CF5" s="5">
        <v>108.13</v>
      </c>
      <c r="CG5" s="5">
        <v>108.13</v>
      </c>
      <c r="CH5" s="5">
        <v>108.13</v>
      </c>
      <c r="CI5" s="5">
        <v>108.13</v>
      </c>
      <c r="FE5" s="5">
        <v>129.75</v>
      </c>
      <c r="FF5" s="5">
        <v>108.13</v>
      </c>
      <c r="FG5" s="5">
        <v>108.13</v>
      </c>
      <c r="FH5" s="5">
        <v>108.13</v>
      </c>
      <c r="FI5" s="5">
        <v>108.13</v>
      </c>
      <c r="FJ5" s="5">
        <v>108.13</v>
      </c>
      <c r="FK5" s="5">
        <v>108.13</v>
      </c>
      <c r="IG5" s="5">
        <v>129.75</v>
      </c>
      <c r="IH5" s="5">
        <v>108.13</v>
      </c>
      <c r="II5" s="5">
        <v>108.13</v>
      </c>
      <c r="IJ5" s="5">
        <v>108.13</v>
      </c>
      <c r="IK5" s="5">
        <v>108.13</v>
      </c>
      <c r="IL5" s="5">
        <v>108.13</v>
      </c>
      <c r="IM5" s="5">
        <v>108.13</v>
      </c>
      <c r="LI5" s="5">
        <v>151.38</v>
      </c>
      <c r="LJ5" s="5">
        <v>108.13</v>
      </c>
      <c r="LK5" s="5">
        <v>108.13</v>
      </c>
      <c r="LL5" s="5">
        <v>108.13</v>
      </c>
      <c r="LM5" s="5">
        <v>108.13</v>
      </c>
      <c r="LN5" s="5">
        <v>108.13</v>
      </c>
      <c r="LO5" s="5">
        <v>108.13</v>
      </c>
      <c r="OK5" s="5">
        <v>151.38</v>
      </c>
      <c r="OL5" s="5">
        <v>108.13</v>
      </c>
      <c r="OM5" s="5">
        <v>108.13</v>
      </c>
      <c r="ON5" s="5">
        <v>108.13</v>
      </c>
      <c r="OO5" s="5">
        <v>108.13</v>
      </c>
      <c r="OP5" s="5">
        <v>108.13</v>
      </c>
      <c r="OQ5" s="5">
        <v>108.13</v>
      </c>
      <c r="RM5" s="5">
        <v>151.38</v>
      </c>
      <c r="RN5" s="5">
        <v>108.13</v>
      </c>
      <c r="RO5" s="5">
        <v>108.13</v>
      </c>
      <c r="RP5" s="5">
        <v>108.13</v>
      </c>
      <c r="RQ5" s="5">
        <v>108.13</v>
      </c>
      <c r="RR5" s="5">
        <v>108.13</v>
      </c>
      <c r="RS5" s="5">
        <v>108.13</v>
      </c>
      <c r="UO5" s="5">
        <v>151.38</v>
      </c>
      <c r="UP5" s="5">
        <v>108.13</v>
      </c>
      <c r="UQ5" s="5">
        <v>108.13</v>
      </c>
      <c r="UR5" s="5">
        <v>108.13</v>
      </c>
      <c r="US5" s="5">
        <v>108.13</v>
      </c>
      <c r="UT5" s="5">
        <v>108.13</v>
      </c>
      <c r="UU5" s="5">
        <v>108.13</v>
      </c>
      <c r="XQ5" s="5">
        <v>151.38</v>
      </c>
      <c r="XR5" s="5">
        <v>108.13</v>
      </c>
      <c r="XS5" s="5">
        <v>108.13</v>
      </c>
      <c r="XT5" s="5">
        <v>108.13</v>
      </c>
      <c r="XU5" s="5">
        <v>108.13</v>
      </c>
      <c r="XV5" s="5">
        <v>108.13</v>
      </c>
      <c r="XW5" s="5">
        <v>108.13</v>
      </c>
      <c r="AAS5" s="5">
        <v>151.38</v>
      </c>
      <c r="AAT5" s="5">
        <v>108.13</v>
      </c>
      <c r="AAU5" s="5">
        <v>108.13</v>
      </c>
      <c r="AAV5" s="5">
        <v>108.13</v>
      </c>
      <c r="AAW5" s="5">
        <v>108.13</v>
      </c>
      <c r="AAX5" s="5">
        <v>108.13</v>
      </c>
      <c r="AAY5" s="5">
        <v>108.13</v>
      </c>
      <c r="ADU5" s="5">
        <v>151.38</v>
      </c>
      <c r="ADV5" s="5">
        <v>108.13</v>
      </c>
      <c r="ADW5" s="5">
        <v>108.13</v>
      </c>
      <c r="ADX5" s="5">
        <v>108.13</v>
      </c>
      <c r="ADY5" s="5">
        <v>108.13</v>
      </c>
      <c r="ADZ5" s="5">
        <v>108.13</v>
      </c>
      <c r="AEA5" s="5">
        <v>108.13</v>
      </c>
      <c r="AGW5" s="5">
        <v>151.38</v>
      </c>
      <c r="AGX5" s="5">
        <v>108.13</v>
      </c>
      <c r="AGY5" s="5">
        <v>108.13</v>
      </c>
      <c r="AGZ5" s="5">
        <v>108.13</v>
      </c>
      <c r="AHA5" s="5">
        <v>108.13</v>
      </c>
      <c r="AHB5" s="5">
        <v>108.13</v>
      </c>
      <c r="AHC5" s="5">
        <v>108.13</v>
      </c>
      <c r="AJY5" t="s">
        <v>6</v>
      </c>
    </row>
    <row r="6" spans="1:961">
      <c r="A6" s="5">
        <v>108.13</v>
      </c>
      <c r="B6" s="5">
        <v>103.8</v>
      </c>
      <c r="C6" s="5">
        <v>103.8</v>
      </c>
      <c r="D6" s="5">
        <v>103.8</v>
      </c>
      <c r="E6" s="5">
        <v>103.8</v>
      </c>
      <c r="F6" s="5">
        <v>103.8</v>
      </c>
      <c r="G6" s="5">
        <v>103.8</v>
      </c>
      <c r="CC6" s="5">
        <v>108.13</v>
      </c>
      <c r="CD6" s="5">
        <v>103.8</v>
      </c>
      <c r="CE6" s="5">
        <v>103.8</v>
      </c>
      <c r="CF6" s="5">
        <v>103.8</v>
      </c>
      <c r="CG6" s="5">
        <v>103.8</v>
      </c>
      <c r="CH6" s="5">
        <v>103.8</v>
      </c>
      <c r="CI6" s="5">
        <v>103.8</v>
      </c>
      <c r="FE6" s="5">
        <v>108.13</v>
      </c>
      <c r="FF6" s="5">
        <v>103.8</v>
      </c>
      <c r="FG6" s="5">
        <v>103.8</v>
      </c>
      <c r="FH6" s="5">
        <v>103.8</v>
      </c>
      <c r="FI6" s="5">
        <v>103.8</v>
      </c>
      <c r="FJ6" s="5">
        <v>103.8</v>
      </c>
      <c r="FK6" s="5">
        <v>103.8</v>
      </c>
      <c r="IG6" s="5">
        <v>108.13</v>
      </c>
      <c r="IH6" s="5">
        <v>103.8</v>
      </c>
      <c r="II6" s="5">
        <v>103.8</v>
      </c>
      <c r="IJ6" s="5">
        <v>103.8</v>
      </c>
      <c r="IK6" s="5">
        <v>103.8</v>
      </c>
      <c r="IL6" s="5">
        <v>103.8</v>
      </c>
      <c r="IM6" s="5">
        <v>103.8</v>
      </c>
      <c r="LI6" s="5">
        <v>138.4</v>
      </c>
      <c r="LJ6" s="5">
        <v>103.8</v>
      </c>
      <c r="LK6" s="5">
        <v>103.8</v>
      </c>
      <c r="LL6" s="5">
        <v>103.8</v>
      </c>
      <c r="LM6" s="5">
        <v>103.8</v>
      </c>
      <c r="LN6" s="5">
        <v>103.8</v>
      </c>
      <c r="LO6" s="5">
        <v>103.8</v>
      </c>
      <c r="OK6" s="5">
        <v>138.4</v>
      </c>
      <c r="OL6" s="5">
        <v>103.8</v>
      </c>
      <c r="OM6" s="5">
        <v>103.8</v>
      </c>
      <c r="ON6" s="5">
        <v>103.8</v>
      </c>
      <c r="OO6" s="5">
        <v>103.8</v>
      </c>
      <c r="OP6" s="5">
        <v>103.8</v>
      </c>
      <c r="OQ6" s="5">
        <v>103.8</v>
      </c>
      <c r="RM6" s="5">
        <v>138.4</v>
      </c>
      <c r="RN6" s="5">
        <v>103.8</v>
      </c>
      <c r="RO6" s="5">
        <v>103.8</v>
      </c>
      <c r="RP6" s="5">
        <v>103.8</v>
      </c>
      <c r="RQ6" s="5">
        <v>103.8</v>
      </c>
      <c r="RR6" s="5">
        <v>103.8</v>
      </c>
      <c r="RS6" s="5">
        <v>103.8</v>
      </c>
      <c r="UO6" s="5">
        <v>138.4</v>
      </c>
      <c r="UP6" s="5">
        <v>103.8</v>
      </c>
      <c r="UQ6" s="5">
        <v>103.8</v>
      </c>
      <c r="UR6" s="5">
        <v>103.8</v>
      </c>
      <c r="US6" s="5">
        <v>103.8</v>
      </c>
      <c r="UT6" s="5">
        <v>103.8</v>
      </c>
      <c r="UU6" s="5">
        <v>103.8</v>
      </c>
      <c r="XQ6" s="5">
        <v>138.4</v>
      </c>
      <c r="XR6" s="5">
        <v>103.8</v>
      </c>
      <c r="XS6" s="5">
        <v>103.8</v>
      </c>
      <c r="XT6" s="5">
        <v>103.8</v>
      </c>
      <c r="XU6" s="5">
        <v>103.8</v>
      </c>
      <c r="XV6" s="5">
        <v>103.8</v>
      </c>
      <c r="XW6" s="5">
        <v>103.8</v>
      </c>
      <c r="AAS6" s="5">
        <v>138.4</v>
      </c>
      <c r="AAT6" s="5">
        <v>103.8</v>
      </c>
      <c r="AAU6" s="5">
        <v>103.8</v>
      </c>
      <c r="AAV6" s="5">
        <v>103.8</v>
      </c>
      <c r="AAW6" s="5">
        <v>103.8</v>
      </c>
      <c r="AAX6" s="5">
        <v>103.8</v>
      </c>
      <c r="AAY6" s="5">
        <v>103.8</v>
      </c>
      <c r="ADU6" s="5">
        <v>138.4</v>
      </c>
      <c r="ADV6" s="5">
        <v>103.8</v>
      </c>
      <c r="ADW6" s="5">
        <v>103.8</v>
      </c>
      <c r="ADX6" s="5">
        <v>103.8</v>
      </c>
      <c r="ADY6" s="5">
        <v>103.8</v>
      </c>
      <c r="ADZ6" s="5">
        <v>103.8</v>
      </c>
      <c r="AEA6" s="5">
        <v>103.8</v>
      </c>
      <c r="AGW6" s="5">
        <v>138.4</v>
      </c>
      <c r="AGX6" s="5">
        <v>103.8</v>
      </c>
      <c r="AGY6" s="5">
        <v>103.8</v>
      </c>
      <c r="AGZ6" s="5">
        <v>103.8</v>
      </c>
      <c r="AHA6" s="5">
        <v>103.8</v>
      </c>
      <c r="AHB6" s="5">
        <v>103.8</v>
      </c>
      <c r="AHC6" s="5">
        <v>103.8</v>
      </c>
      <c r="AJY6" t="s">
        <v>7</v>
      </c>
    </row>
    <row r="7" spans="1:961">
      <c r="A7" s="5">
        <v>103.8</v>
      </c>
      <c r="B7" s="5">
        <v>86.5</v>
      </c>
      <c r="C7" s="5">
        <v>86.5</v>
      </c>
      <c r="D7" s="5">
        <v>86.5</v>
      </c>
      <c r="E7" s="5">
        <v>86.5</v>
      </c>
      <c r="F7" s="5">
        <v>86.5</v>
      </c>
      <c r="G7" s="5">
        <v>86.5</v>
      </c>
      <c r="CC7" s="5">
        <v>103.8</v>
      </c>
      <c r="CD7" s="5">
        <v>86.5</v>
      </c>
      <c r="CE7" s="5">
        <v>86.5</v>
      </c>
      <c r="CF7" s="5">
        <v>86.5</v>
      </c>
      <c r="CG7" s="5">
        <v>86.5</v>
      </c>
      <c r="CH7" s="5">
        <v>86.5</v>
      </c>
      <c r="CI7" s="5">
        <v>86.5</v>
      </c>
      <c r="FE7" s="5">
        <v>103.8</v>
      </c>
      <c r="FF7" s="5">
        <v>86.5</v>
      </c>
      <c r="FG7" s="5">
        <v>86.5</v>
      </c>
      <c r="FH7" s="5">
        <v>86.5</v>
      </c>
      <c r="FI7" s="5">
        <v>86.5</v>
      </c>
      <c r="FJ7" s="5">
        <v>86.5</v>
      </c>
      <c r="FK7" s="5">
        <v>86.5</v>
      </c>
      <c r="IG7" s="5">
        <v>103.8</v>
      </c>
      <c r="IH7" s="5">
        <v>86.5</v>
      </c>
      <c r="II7" s="5">
        <v>86.5</v>
      </c>
      <c r="IJ7" s="5">
        <v>86.5</v>
      </c>
      <c r="IK7" s="5">
        <v>86.5</v>
      </c>
      <c r="IL7" s="5">
        <v>86.5</v>
      </c>
      <c r="IM7" s="5">
        <v>86.5</v>
      </c>
      <c r="LI7" s="5">
        <v>129.75</v>
      </c>
      <c r="LJ7" s="5">
        <v>86.5</v>
      </c>
      <c r="LK7" s="5">
        <v>86.5</v>
      </c>
      <c r="LL7" s="5">
        <v>86.5</v>
      </c>
      <c r="LM7" s="5">
        <v>86.5</v>
      </c>
      <c r="LN7" s="5">
        <v>86.5</v>
      </c>
      <c r="LO7" s="5">
        <v>86.5</v>
      </c>
      <c r="OK7" s="5">
        <v>129.75</v>
      </c>
      <c r="OL7" s="5">
        <v>86.5</v>
      </c>
      <c r="OM7" s="5">
        <v>86.5</v>
      </c>
      <c r="ON7" s="5">
        <v>86.5</v>
      </c>
      <c r="OO7" s="5">
        <v>86.5</v>
      </c>
      <c r="OP7" s="5">
        <v>86.5</v>
      </c>
      <c r="OQ7" s="5">
        <v>86.5</v>
      </c>
      <c r="RM7" s="5">
        <v>129.75</v>
      </c>
      <c r="RN7" s="5">
        <v>86.5</v>
      </c>
      <c r="RO7" s="5">
        <v>86.5</v>
      </c>
      <c r="RP7" s="5">
        <v>86.5</v>
      </c>
      <c r="RQ7" s="5">
        <v>86.5</v>
      </c>
      <c r="RR7" s="5">
        <v>86.5</v>
      </c>
      <c r="RS7" s="5">
        <v>86.5</v>
      </c>
      <c r="UO7" s="5">
        <v>129.75</v>
      </c>
      <c r="UP7" s="5">
        <v>86.5</v>
      </c>
      <c r="UQ7" s="5">
        <v>86.5</v>
      </c>
      <c r="UR7" s="5">
        <v>86.5</v>
      </c>
      <c r="US7" s="5">
        <v>86.5</v>
      </c>
      <c r="UT7" s="5">
        <v>86.5</v>
      </c>
      <c r="UU7" s="5">
        <v>86.5</v>
      </c>
      <c r="XQ7" s="5">
        <v>129.75</v>
      </c>
      <c r="XR7" s="5">
        <v>86.5</v>
      </c>
      <c r="XS7" s="5">
        <v>86.5</v>
      </c>
      <c r="XT7" s="5">
        <v>86.5</v>
      </c>
      <c r="XU7" s="5">
        <v>86.5</v>
      </c>
      <c r="XV7" s="5">
        <v>86.5</v>
      </c>
      <c r="XW7" s="5">
        <v>86.5</v>
      </c>
      <c r="AAS7" s="5">
        <v>129.75</v>
      </c>
      <c r="AAT7" s="5">
        <v>86.5</v>
      </c>
      <c r="AAU7" s="5">
        <v>86.5</v>
      </c>
      <c r="AAV7" s="5">
        <v>86.5</v>
      </c>
      <c r="AAW7" s="5">
        <v>86.5</v>
      </c>
      <c r="AAX7" s="5">
        <v>86.5</v>
      </c>
      <c r="AAY7" s="5">
        <v>86.5</v>
      </c>
      <c r="ADU7" s="5">
        <v>129.75</v>
      </c>
      <c r="ADV7" s="5">
        <v>86.5</v>
      </c>
      <c r="ADW7" s="5">
        <v>86.5</v>
      </c>
      <c r="ADX7" s="5">
        <v>86.5</v>
      </c>
      <c r="ADY7" s="5">
        <v>86.5</v>
      </c>
      <c r="ADZ7" s="5">
        <v>86.5</v>
      </c>
      <c r="AEA7" s="5">
        <v>86.5</v>
      </c>
      <c r="AGW7" s="5">
        <v>129.75</v>
      </c>
      <c r="AGX7" s="5">
        <v>86.5</v>
      </c>
      <c r="AGY7" s="5">
        <v>86.5</v>
      </c>
      <c r="AGZ7" s="5">
        <v>86.5</v>
      </c>
      <c r="AHA7" s="5">
        <v>86.5</v>
      </c>
      <c r="AHB7" s="5">
        <v>86.5</v>
      </c>
      <c r="AHC7" s="5">
        <v>86.5</v>
      </c>
      <c r="AJY7" t="s">
        <v>8</v>
      </c>
    </row>
    <row r="8" spans="1:961">
      <c r="A8" s="5">
        <v>86.5</v>
      </c>
      <c r="B8" s="5">
        <v>69.2</v>
      </c>
      <c r="C8" s="5">
        <v>69.2</v>
      </c>
      <c r="D8" s="5">
        <v>69.2</v>
      </c>
      <c r="E8" s="5">
        <v>69.2</v>
      </c>
      <c r="F8" s="5">
        <v>69.2</v>
      </c>
      <c r="G8" s="5">
        <v>69.2</v>
      </c>
      <c r="CC8" s="5">
        <v>86.5</v>
      </c>
      <c r="CD8" s="5">
        <v>69.2</v>
      </c>
      <c r="CE8" s="5">
        <v>69.2</v>
      </c>
      <c r="CF8" s="5">
        <v>69.2</v>
      </c>
      <c r="CG8" s="5">
        <v>69.2</v>
      </c>
      <c r="CH8" s="5">
        <v>69.2</v>
      </c>
      <c r="CI8" s="5">
        <v>69.2</v>
      </c>
      <c r="FE8" s="5">
        <v>86.5</v>
      </c>
      <c r="FF8" s="5">
        <v>69.2</v>
      </c>
      <c r="FG8" s="5">
        <v>69.2</v>
      </c>
      <c r="FH8" s="5">
        <v>69.2</v>
      </c>
      <c r="FI8" s="5">
        <v>69.2</v>
      </c>
      <c r="FJ8" s="5">
        <v>69.2</v>
      </c>
      <c r="FK8" s="5">
        <v>69.2</v>
      </c>
      <c r="IG8" s="5">
        <v>86.5</v>
      </c>
      <c r="IH8" s="5">
        <v>69.2</v>
      </c>
      <c r="II8" s="5">
        <v>69.2</v>
      </c>
      <c r="IJ8" s="5">
        <v>69.2</v>
      </c>
      <c r="IK8" s="5">
        <v>69.2</v>
      </c>
      <c r="IL8" s="5">
        <v>69.2</v>
      </c>
      <c r="IM8" s="5">
        <v>69.2</v>
      </c>
      <c r="LI8" s="5">
        <v>108.13</v>
      </c>
      <c r="LJ8" s="5">
        <v>69.2</v>
      </c>
      <c r="LK8" s="5">
        <v>69.2</v>
      </c>
      <c r="LL8" s="5">
        <v>69.2</v>
      </c>
      <c r="LM8" s="5">
        <v>69.2</v>
      </c>
      <c r="LN8" s="5">
        <v>69.2</v>
      </c>
      <c r="LO8" s="5">
        <v>69.2</v>
      </c>
      <c r="OK8" s="5">
        <v>108.13</v>
      </c>
      <c r="OL8" s="5">
        <v>69.2</v>
      </c>
      <c r="OM8" s="5">
        <v>69.2</v>
      </c>
      <c r="ON8" s="5">
        <v>69.2</v>
      </c>
      <c r="OO8" s="5">
        <v>69.2</v>
      </c>
      <c r="OP8" s="5">
        <v>69.2</v>
      </c>
      <c r="OQ8" s="5">
        <v>69.2</v>
      </c>
      <c r="RM8" s="5">
        <v>108.13</v>
      </c>
      <c r="RN8" s="5">
        <v>69.2</v>
      </c>
      <c r="RO8" s="5">
        <v>69.2</v>
      </c>
      <c r="RP8" s="5">
        <v>69.2</v>
      </c>
      <c r="RQ8" s="5">
        <v>69.2</v>
      </c>
      <c r="RR8" s="5">
        <v>69.2</v>
      </c>
      <c r="RS8" s="5">
        <v>69.2</v>
      </c>
      <c r="UO8" s="5">
        <v>108.13</v>
      </c>
      <c r="UP8" s="5">
        <v>69.2</v>
      </c>
      <c r="UQ8" s="5">
        <v>69.2</v>
      </c>
      <c r="UR8" s="5">
        <v>69.2</v>
      </c>
      <c r="US8" s="5">
        <v>69.2</v>
      </c>
      <c r="UT8" s="5">
        <v>69.2</v>
      </c>
      <c r="UU8" s="5">
        <v>69.2</v>
      </c>
      <c r="XQ8" s="5">
        <v>108.13</v>
      </c>
      <c r="XR8" s="5">
        <v>69.2</v>
      </c>
      <c r="XS8" s="5">
        <v>69.2</v>
      </c>
      <c r="XT8" s="5">
        <v>69.2</v>
      </c>
      <c r="XU8" s="5">
        <v>69.2</v>
      </c>
      <c r="XV8" s="5">
        <v>69.2</v>
      </c>
      <c r="XW8" s="5">
        <v>69.2</v>
      </c>
      <c r="AAS8" s="5">
        <v>108.13</v>
      </c>
      <c r="AAT8" s="5">
        <v>69.2</v>
      </c>
      <c r="AAU8" s="5">
        <v>69.2</v>
      </c>
      <c r="AAV8" s="5">
        <v>69.2</v>
      </c>
      <c r="AAW8" s="5">
        <v>69.2</v>
      </c>
      <c r="AAX8" s="5">
        <v>69.2</v>
      </c>
      <c r="AAY8" s="5">
        <v>69.2</v>
      </c>
      <c r="ADU8" s="5">
        <v>108.13</v>
      </c>
      <c r="ADV8" s="5">
        <v>69.2</v>
      </c>
      <c r="ADW8" s="5">
        <v>69.2</v>
      </c>
      <c r="ADX8" s="5">
        <v>69.2</v>
      </c>
      <c r="ADY8" s="5">
        <v>69.2</v>
      </c>
      <c r="ADZ8" s="5">
        <v>69.2</v>
      </c>
      <c r="AEA8" s="5">
        <v>69.2</v>
      </c>
      <c r="AGW8" s="5">
        <v>108.13</v>
      </c>
      <c r="AGX8" s="5">
        <v>69.2</v>
      </c>
      <c r="AGY8" s="5">
        <v>69.2</v>
      </c>
      <c r="AGZ8" s="5">
        <v>69.2</v>
      </c>
      <c r="AHA8" s="5">
        <v>69.2</v>
      </c>
      <c r="AHB8" s="5">
        <v>69.2</v>
      </c>
      <c r="AHC8" s="5">
        <v>69.2</v>
      </c>
      <c r="AJY8" t="s">
        <v>9</v>
      </c>
    </row>
    <row r="9" spans="1:961">
      <c r="A9" s="5">
        <v>69.2</v>
      </c>
      <c r="B9" s="5">
        <v>51.9</v>
      </c>
      <c r="C9" s="5">
        <v>51.9</v>
      </c>
      <c r="D9" s="5">
        <v>51.9</v>
      </c>
      <c r="E9" s="5">
        <v>51.9</v>
      </c>
      <c r="F9" s="5">
        <v>51.9</v>
      </c>
      <c r="G9" s="5">
        <v>51.9</v>
      </c>
      <c r="CC9" s="5">
        <v>69.2</v>
      </c>
      <c r="CD9" s="5">
        <v>51.9</v>
      </c>
      <c r="CE9" s="5">
        <v>51.9</v>
      </c>
      <c r="CF9" s="5">
        <v>51.9</v>
      </c>
      <c r="CG9" s="5">
        <v>51.9</v>
      </c>
      <c r="CH9" s="5">
        <v>51.9</v>
      </c>
      <c r="CI9" s="5">
        <v>51.9</v>
      </c>
      <c r="FE9" s="5">
        <v>69.2</v>
      </c>
      <c r="FF9" s="5">
        <v>51.9</v>
      </c>
      <c r="FG9" s="5">
        <v>51.9</v>
      </c>
      <c r="FH9" s="5">
        <v>51.9</v>
      </c>
      <c r="FI9" s="5">
        <v>51.9</v>
      </c>
      <c r="FJ9" s="5">
        <v>51.9</v>
      </c>
      <c r="FK9" s="5">
        <v>51.9</v>
      </c>
      <c r="IG9" s="5">
        <v>69.2</v>
      </c>
      <c r="IH9" s="5">
        <v>51.9</v>
      </c>
      <c r="II9" s="5">
        <v>51.9</v>
      </c>
      <c r="IJ9" s="5">
        <v>51.9</v>
      </c>
      <c r="IK9" s="5">
        <v>51.9</v>
      </c>
      <c r="IL9" s="5">
        <v>51.9</v>
      </c>
      <c r="IM9" s="5">
        <v>51.9</v>
      </c>
      <c r="LI9" s="5">
        <v>105</v>
      </c>
      <c r="LJ9" s="5">
        <v>51.9</v>
      </c>
      <c r="LK9" s="5">
        <v>51.9</v>
      </c>
      <c r="LL9" s="5">
        <v>51.9</v>
      </c>
      <c r="LM9" s="5">
        <v>51.9</v>
      </c>
      <c r="LN9" s="5">
        <v>51.9</v>
      </c>
      <c r="LO9" s="5">
        <v>51.9</v>
      </c>
      <c r="OK9" s="5">
        <v>105</v>
      </c>
      <c r="OL9" s="5">
        <v>51.9</v>
      </c>
      <c r="OM9" s="5">
        <v>51.9</v>
      </c>
      <c r="ON9" s="5">
        <v>51.9</v>
      </c>
      <c r="OO9" s="5">
        <v>51.9</v>
      </c>
      <c r="OP9" s="5">
        <v>51.9</v>
      </c>
      <c r="OQ9" s="5">
        <v>51.9</v>
      </c>
      <c r="RM9" s="5">
        <v>105</v>
      </c>
      <c r="RN9" s="5">
        <v>51.9</v>
      </c>
      <c r="RO9" s="5">
        <v>51.9</v>
      </c>
      <c r="RP9" s="5">
        <v>51.9</v>
      </c>
      <c r="RQ9" s="5">
        <v>51.9</v>
      </c>
      <c r="RR9" s="5">
        <v>51.9</v>
      </c>
      <c r="RS9" s="5">
        <v>51.9</v>
      </c>
      <c r="UO9" s="5">
        <v>105</v>
      </c>
      <c r="UP9" s="5">
        <v>51.9</v>
      </c>
      <c r="UQ9" s="5">
        <v>51.9</v>
      </c>
      <c r="UR9" s="5">
        <v>51.9</v>
      </c>
      <c r="US9" s="5">
        <v>51.9</v>
      </c>
      <c r="UT9" s="5">
        <v>51.9</v>
      </c>
      <c r="UU9" s="5">
        <v>51.9</v>
      </c>
      <c r="XQ9" s="5">
        <v>105</v>
      </c>
      <c r="XR9" s="5">
        <v>51.9</v>
      </c>
      <c r="XS9" s="5">
        <v>51.9</v>
      </c>
      <c r="XT9" s="5">
        <v>51.9</v>
      </c>
      <c r="XU9" s="5">
        <v>51.9</v>
      </c>
      <c r="XV9" s="5">
        <v>51.9</v>
      </c>
      <c r="XW9" s="5">
        <v>51.9</v>
      </c>
      <c r="AAS9" s="5">
        <v>105</v>
      </c>
      <c r="AAT9" s="5">
        <v>51.9</v>
      </c>
      <c r="AAU9" s="5">
        <v>51.9</v>
      </c>
      <c r="AAV9" s="5">
        <v>51.9</v>
      </c>
      <c r="AAW9" s="5">
        <v>51.9</v>
      </c>
      <c r="AAX9" s="5">
        <v>51.9</v>
      </c>
      <c r="AAY9" s="5">
        <v>51.9</v>
      </c>
      <c r="ADU9" s="5">
        <v>105</v>
      </c>
      <c r="ADV9" s="5">
        <v>51.9</v>
      </c>
      <c r="ADW9" s="5">
        <v>51.9</v>
      </c>
      <c r="ADX9" s="5">
        <v>51.9</v>
      </c>
      <c r="ADY9" s="5">
        <v>51.9</v>
      </c>
      <c r="ADZ9" s="5">
        <v>51.9</v>
      </c>
      <c r="AEA9" s="5">
        <v>51.9</v>
      </c>
      <c r="AGW9" s="5">
        <v>105</v>
      </c>
      <c r="AGX9" s="5">
        <v>51.9</v>
      </c>
      <c r="AGY9" s="5">
        <v>51.9</v>
      </c>
      <c r="AGZ9" s="5">
        <v>51.9</v>
      </c>
      <c r="AHA9" s="5">
        <v>51.9</v>
      </c>
      <c r="AHB9" s="5">
        <v>51.9</v>
      </c>
      <c r="AHC9" s="5">
        <v>51.9</v>
      </c>
      <c r="AJY9" t="s">
        <v>10</v>
      </c>
    </row>
    <row r="10" spans="1:961">
      <c r="A10" s="5">
        <v>55</v>
      </c>
      <c r="B10" s="5">
        <v>47.58</v>
      </c>
      <c r="C10" s="5">
        <v>47.58</v>
      </c>
      <c r="D10" s="5">
        <v>47.58</v>
      </c>
      <c r="E10" s="5">
        <v>47.58</v>
      </c>
      <c r="F10" s="5">
        <v>47.58</v>
      </c>
      <c r="G10" s="5">
        <v>47.58</v>
      </c>
      <c r="CC10" s="5">
        <v>55</v>
      </c>
      <c r="CD10" s="5">
        <v>47.58</v>
      </c>
      <c r="CE10" s="5">
        <v>47.58</v>
      </c>
      <c r="CF10" s="5">
        <v>47.58</v>
      </c>
      <c r="CG10" s="5">
        <v>47.58</v>
      </c>
      <c r="CH10" s="5">
        <v>47.58</v>
      </c>
      <c r="CI10" s="5">
        <v>47.58</v>
      </c>
      <c r="FE10" s="5">
        <v>55</v>
      </c>
      <c r="FF10" s="5">
        <v>47.58</v>
      </c>
      <c r="FG10" s="5">
        <v>47.58</v>
      </c>
      <c r="FH10" s="5">
        <v>47.58</v>
      </c>
      <c r="FI10" s="5">
        <v>47.58</v>
      </c>
      <c r="FJ10" s="5">
        <v>47.58</v>
      </c>
      <c r="FK10" s="5">
        <v>47.58</v>
      </c>
      <c r="IG10" s="5">
        <v>55</v>
      </c>
      <c r="IH10" s="5">
        <v>47.58</v>
      </c>
      <c r="II10" s="5">
        <v>47.58</v>
      </c>
      <c r="IJ10" s="5">
        <v>47.58</v>
      </c>
      <c r="IK10" s="5">
        <v>47.58</v>
      </c>
      <c r="IL10" s="5">
        <v>47.58</v>
      </c>
      <c r="IM10" s="5">
        <v>47.58</v>
      </c>
      <c r="LI10" s="5">
        <v>103.8</v>
      </c>
      <c r="LJ10" s="5">
        <v>47.58</v>
      </c>
      <c r="LK10" s="5">
        <v>47.58</v>
      </c>
      <c r="LL10" s="5">
        <v>47.58</v>
      </c>
      <c r="LM10" s="5">
        <v>47.58</v>
      </c>
      <c r="LN10" s="5">
        <v>47.58</v>
      </c>
      <c r="LO10" s="5">
        <v>47.58</v>
      </c>
      <c r="OK10" s="5">
        <v>103.8</v>
      </c>
      <c r="OL10" s="5">
        <v>47.58</v>
      </c>
      <c r="OM10" s="5">
        <v>47.58</v>
      </c>
      <c r="ON10" s="5">
        <v>47.58</v>
      </c>
      <c r="OO10" s="5">
        <v>47.58</v>
      </c>
      <c r="OP10" s="5">
        <v>47.58</v>
      </c>
      <c r="OQ10" s="5">
        <v>47.58</v>
      </c>
      <c r="RM10" s="5">
        <v>103.8</v>
      </c>
      <c r="RN10" s="5">
        <v>47.58</v>
      </c>
      <c r="RO10" s="5">
        <v>47.58</v>
      </c>
      <c r="RP10" s="5">
        <v>47.58</v>
      </c>
      <c r="RQ10" s="5">
        <v>47.58</v>
      </c>
      <c r="RR10" s="5">
        <v>47.58</v>
      </c>
      <c r="RS10" s="5">
        <v>47.58</v>
      </c>
      <c r="UO10" s="5">
        <v>103.8</v>
      </c>
      <c r="UP10" s="5">
        <v>47.58</v>
      </c>
      <c r="UQ10" s="5">
        <v>47.58</v>
      </c>
      <c r="UR10" s="5">
        <v>47.58</v>
      </c>
      <c r="US10" s="5">
        <v>47.58</v>
      </c>
      <c r="UT10" s="5">
        <v>47.58</v>
      </c>
      <c r="UU10" s="5">
        <v>47.58</v>
      </c>
      <c r="XQ10" s="5">
        <v>103.8</v>
      </c>
      <c r="XR10" s="5">
        <v>47.58</v>
      </c>
      <c r="XS10" s="5">
        <v>47.58</v>
      </c>
      <c r="XT10" s="5">
        <v>47.58</v>
      </c>
      <c r="XU10" s="5">
        <v>47.58</v>
      </c>
      <c r="XV10" s="5">
        <v>47.58</v>
      </c>
      <c r="XW10" s="5">
        <v>47.58</v>
      </c>
      <c r="AAS10" s="5">
        <v>103.8</v>
      </c>
      <c r="AAT10" s="5">
        <v>47.58</v>
      </c>
      <c r="AAU10" s="5">
        <v>47.58</v>
      </c>
      <c r="AAV10" s="5">
        <v>47.58</v>
      </c>
      <c r="AAW10" s="5">
        <v>47.58</v>
      </c>
      <c r="AAX10" s="5">
        <v>47.58</v>
      </c>
      <c r="AAY10" s="5">
        <v>47.58</v>
      </c>
      <c r="ADU10" s="5">
        <v>103.8</v>
      </c>
      <c r="ADV10" s="5">
        <v>47.58</v>
      </c>
      <c r="ADW10" s="5">
        <v>47.58</v>
      </c>
      <c r="ADX10" s="5">
        <v>47.58</v>
      </c>
      <c r="ADY10" s="5">
        <v>47.58</v>
      </c>
      <c r="ADZ10" s="5">
        <v>47.58</v>
      </c>
      <c r="AEA10" s="5">
        <v>47.58</v>
      </c>
      <c r="AGW10" s="5">
        <v>103.8</v>
      </c>
      <c r="AGX10" s="5">
        <v>47.58</v>
      </c>
      <c r="AGY10" s="5">
        <v>47.58</v>
      </c>
      <c r="AGZ10" s="5">
        <v>47.58</v>
      </c>
      <c r="AHA10" s="5">
        <v>47.58</v>
      </c>
      <c r="AHB10" s="5">
        <v>47.58</v>
      </c>
      <c r="AHC10" s="5">
        <v>47.58</v>
      </c>
      <c r="AJY10" t="s">
        <v>11</v>
      </c>
    </row>
    <row r="11" spans="1:961">
      <c r="A11" s="5">
        <v>51.9</v>
      </c>
      <c r="B11" s="5">
        <v>43.25</v>
      </c>
      <c r="C11" s="5">
        <v>43.25</v>
      </c>
      <c r="D11" s="5">
        <v>43.25</v>
      </c>
      <c r="E11" s="5">
        <v>43.25</v>
      </c>
      <c r="F11" s="5">
        <v>43.25</v>
      </c>
      <c r="G11" s="5">
        <v>43.25</v>
      </c>
      <c r="CC11" s="5">
        <v>51.9</v>
      </c>
      <c r="CD11" s="5">
        <v>43.25</v>
      </c>
      <c r="CE11" s="5">
        <v>43.25</v>
      </c>
      <c r="CF11" s="5">
        <v>43.25</v>
      </c>
      <c r="CG11" s="5">
        <v>43.25</v>
      </c>
      <c r="CH11" s="5">
        <v>43.25</v>
      </c>
      <c r="CI11" s="5">
        <v>43.25</v>
      </c>
      <c r="FE11" s="5">
        <v>51.9</v>
      </c>
      <c r="FF11" s="5">
        <v>43.25</v>
      </c>
      <c r="FG11" s="5">
        <v>43.25</v>
      </c>
      <c r="FH11" s="5">
        <v>43.25</v>
      </c>
      <c r="FI11" s="5">
        <v>43.25</v>
      </c>
      <c r="FJ11" s="5">
        <v>43.25</v>
      </c>
      <c r="FK11" s="5">
        <v>43.25</v>
      </c>
      <c r="IG11" s="5">
        <v>51.9</v>
      </c>
      <c r="IH11" s="5">
        <v>43.25</v>
      </c>
      <c r="II11" s="5">
        <v>43.25</v>
      </c>
      <c r="IJ11" s="5">
        <v>43.25</v>
      </c>
      <c r="IK11" s="5">
        <v>43.25</v>
      </c>
      <c r="IL11" s="5">
        <v>43.25</v>
      </c>
      <c r="IM11" s="5">
        <v>43.25</v>
      </c>
      <c r="LI11" s="5">
        <v>86.5</v>
      </c>
      <c r="LJ11" s="5">
        <v>43.25</v>
      </c>
      <c r="LK11" s="5">
        <v>43.25</v>
      </c>
      <c r="LL11" s="5">
        <v>43.25</v>
      </c>
      <c r="LM11" s="5">
        <v>43.25</v>
      </c>
      <c r="LN11" s="5">
        <v>43.25</v>
      </c>
      <c r="LO11" s="5">
        <v>43.25</v>
      </c>
      <c r="OK11" s="5">
        <v>86.5</v>
      </c>
      <c r="OL11" s="5">
        <v>43.25</v>
      </c>
      <c r="OM11" s="5">
        <v>43.25</v>
      </c>
      <c r="ON11" s="5">
        <v>43.25</v>
      </c>
      <c r="OO11" s="5">
        <v>43.25</v>
      </c>
      <c r="OP11" s="5">
        <v>43.25</v>
      </c>
      <c r="OQ11" s="5">
        <v>43.25</v>
      </c>
      <c r="RM11" s="5">
        <v>86.5</v>
      </c>
      <c r="RN11" s="5">
        <v>43.25</v>
      </c>
      <c r="RO11" s="5">
        <v>43.25</v>
      </c>
      <c r="RP11" s="5">
        <v>43.25</v>
      </c>
      <c r="RQ11" s="5">
        <v>43.25</v>
      </c>
      <c r="RR11" s="5">
        <v>43.25</v>
      </c>
      <c r="RS11" s="5">
        <v>43.25</v>
      </c>
      <c r="UO11" s="5">
        <v>86.5</v>
      </c>
      <c r="UP11" s="5">
        <v>43.25</v>
      </c>
      <c r="UQ11" s="5">
        <v>43.25</v>
      </c>
      <c r="UR11" s="5">
        <v>43.25</v>
      </c>
      <c r="US11" s="5">
        <v>43.25</v>
      </c>
      <c r="UT11" s="5">
        <v>43.25</v>
      </c>
      <c r="UU11" s="5">
        <v>43.25</v>
      </c>
      <c r="XQ11" s="5">
        <v>86.5</v>
      </c>
      <c r="XR11" s="5">
        <v>43.25</v>
      </c>
      <c r="XS11" s="5">
        <v>43.25</v>
      </c>
      <c r="XT11" s="5">
        <v>43.25</v>
      </c>
      <c r="XU11" s="5">
        <v>43.25</v>
      </c>
      <c r="XV11" s="5">
        <v>43.25</v>
      </c>
      <c r="XW11" s="5">
        <v>43.25</v>
      </c>
      <c r="AAS11" s="5">
        <v>86.5</v>
      </c>
      <c r="AAT11" s="5">
        <v>43.25</v>
      </c>
      <c r="AAU11" s="5">
        <v>43.25</v>
      </c>
      <c r="AAV11" s="5">
        <v>43.25</v>
      </c>
      <c r="AAW11" s="5">
        <v>43.25</v>
      </c>
      <c r="AAX11" s="5">
        <v>43.25</v>
      </c>
      <c r="AAY11" s="5">
        <v>43.25</v>
      </c>
      <c r="ADU11" s="5">
        <v>86.5</v>
      </c>
      <c r="ADV11" s="5">
        <v>43.25</v>
      </c>
      <c r="ADW11" s="5">
        <v>43.25</v>
      </c>
      <c r="ADX11" s="5">
        <v>43.25</v>
      </c>
      <c r="ADY11" s="5">
        <v>43.25</v>
      </c>
      <c r="ADZ11" s="5">
        <v>43.25</v>
      </c>
      <c r="AEA11" s="5">
        <v>43.25</v>
      </c>
      <c r="AGW11" s="5">
        <v>86.5</v>
      </c>
      <c r="AGX11" s="5">
        <v>43.25</v>
      </c>
      <c r="AGY11" s="5">
        <v>43.25</v>
      </c>
      <c r="AGZ11" s="5">
        <v>43.25</v>
      </c>
      <c r="AHA11" s="5">
        <v>43.25</v>
      </c>
      <c r="AHB11" s="5">
        <v>43.25</v>
      </c>
      <c r="AHC11" s="5">
        <v>43.25</v>
      </c>
      <c r="AJY11" t="s">
        <v>12</v>
      </c>
    </row>
    <row r="12" spans="1:961">
      <c r="A12" s="5">
        <v>47.58</v>
      </c>
      <c r="B12" s="5">
        <v>34.6</v>
      </c>
      <c r="C12" s="5">
        <v>34.6</v>
      </c>
      <c r="D12" s="5">
        <v>34.6</v>
      </c>
      <c r="E12" s="5">
        <v>34.6</v>
      </c>
      <c r="F12" s="5">
        <v>34.6</v>
      </c>
      <c r="G12" s="5">
        <v>34.6</v>
      </c>
      <c r="CC12" s="5">
        <v>47.58</v>
      </c>
      <c r="CD12" s="5">
        <v>34.6</v>
      </c>
      <c r="CE12" s="5">
        <v>34.6</v>
      </c>
      <c r="CF12" s="5">
        <v>34.6</v>
      </c>
      <c r="CG12" s="5">
        <v>34.6</v>
      </c>
      <c r="CH12" s="5">
        <v>34.6</v>
      </c>
      <c r="CI12" s="5">
        <v>34.6</v>
      </c>
      <c r="FE12" s="5">
        <v>47.58</v>
      </c>
      <c r="FF12" s="5">
        <v>34.6</v>
      </c>
      <c r="FG12" s="5">
        <v>34.6</v>
      </c>
      <c r="FH12" s="5">
        <v>34.6</v>
      </c>
      <c r="FI12" s="5">
        <v>34.6</v>
      </c>
      <c r="FJ12" s="5">
        <v>34.6</v>
      </c>
      <c r="FK12" s="5">
        <v>34.6</v>
      </c>
      <c r="IG12" s="5">
        <v>47.58</v>
      </c>
      <c r="IH12" s="5">
        <v>34.6</v>
      </c>
      <c r="II12" s="5">
        <v>34.6</v>
      </c>
      <c r="IJ12" s="5">
        <v>34.6</v>
      </c>
      <c r="IK12" s="5">
        <v>34.6</v>
      </c>
      <c r="IL12" s="5">
        <v>34.6</v>
      </c>
      <c r="IM12" s="5">
        <v>34.6</v>
      </c>
      <c r="LI12" s="5">
        <v>69.2</v>
      </c>
      <c r="LJ12" s="5">
        <v>34.6</v>
      </c>
      <c r="LK12" s="5">
        <v>34.6</v>
      </c>
      <c r="LL12" s="5">
        <v>34.6</v>
      </c>
      <c r="LM12" s="5">
        <v>34.6</v>
      </c>
      <c r="LN12" s="5">
        <v>34.6</v>
      </c>
      <c r="LO12" s="5">
        <v>34.6</v>
      </c>
      <c r="OK12" s="5">
        <v>69.2</v>
      </c>
      <c r="OL12" s="5">
        <v>34.6</v>
      </c>
      <c r="OM12" s="5">
        <v>34.6</v>
      </c>
      <c r="ON12" s="5">
        <v>34.6</v>
      </c>
      <c r="OO12" s="5">
        <v>34.6</v>
      </c>
      <c r="OP12" s="5">
        <v>34.6</v>
      </c>
      <c r="OQ12" s="5">
        <v>34.6</v>
      </c>
      <c r="RM12" s="5">
        <v>69.2</v>
      </c>
      <c r="RN12" s="5">
        <v>34.6</v>
      </c>
      <c r="RO12" s="5">
        <v>34.6</v>
      </c>
      <c r="RP12" s="5">
        <v>34.6</v>
      </c>
      <c r="RQ12" s="5">
        <v>34.6</v>
      </c>
      <c r="RR12" s="5">
        <v>34.6</v>
      </c>
      <c r="RS12" s="5">
        <v>34.6</v>
      </c>
      <c r="UO12" s="5">
        <v>69.2</v>
      </c>
      <c r="UP12" s="5">
        <v>34.6</v>
      </c>
      <c r="UQ12" s="5">
        <v>34.6</v>
      </c>
      <c r="UR12" s="5">
        <v>34.6</v>
      </c>
      <c r="US12" s="5">
        <v>34.6</v>
      </c>
      <c r="UT12" s="5">
        <v>34.6</v>
      </c>
      <c r="UU12" s="5">
        <v>34.6</v>
      </c>
      <c r="XQ12" s="5">
        <v>69.2</v>
      </c>
      <c r="XR12" s="5">
        <v>34.6</v>
      </c>
      <c r="XS12" s="5">
        <v>34.6</v>
      </c>
      <c r="XT12" s="5">
        <v>34.6</v>
      </c>
      <c r="XU12" s="5">
        <v>34.6</v>
      </c>
      <c r="XV12" s="5">
        <v>34.6</v>
      </c>
      <c r="XW12" s="5">
        <v>34.6</v>
      </c>
      <c r="AAS12" s="5">
        <v>69.2</v>
      </c>
      <c r="AAT12" s="5">
        <v>34.6</v>
      </c>
      <c r="AAU12" s="5">
        <v>34.6</v>
      </c>
      <c r="AAV12" s="5">
        <v>34.6</v>
      </c>
      <c r="AAW12" s="5">
        <v>34.6</v>
      </c>
      <c r="AAX12" s="5">
        <v>34.6</v>
      </c>
      <c r="AAY12" s="5">
        <v>34.6</v>
      </c>
      <c r="ADU12" s="5">
        <v>69.2</v>
      </c>
      <c r="ADV12" s="5">
        <v>34.6</v>
      </c>
      <c r="ADW12" s="5">
        <v>34.6</v>
      </c>
      <c r="ADX12" s="5">
        <v>34.6</v>
      </c>
      <c r="ADY12" s="5">
        <v>34.6</v>
      </c>
      <c r="ADZ12" s="5">
        <v>34.6</v>
      </c>
      <c r="AEA12" s="5">
        <v>34.6</v>
      </c>
      <c r="AGW12" s="5">
        <v>69.2</v>
      </c>
      <c r="AGX12" s="5">
        <v>34.6</v>
      </c>
      <c r="AGY12" s="5">
        <v>34.6</v>
      </c>
      <c r="AGZ12" s="5">
        <v>34.6</v>
      </c>
      <c r="AHA12" s="5">
        <v>34.6</v>
      </c>
      <c r="AHB12" s="5">
        <v>34.6</v>
      </c>
      <c r="AHC12" s="5">
        <v>34.6</v>
      </c>
      <c r="AJY12" t="s">
        <v>13</v>
      </c>
    </row>
    <row r="13" spans="1:961">
      <c r="A13" s="5">
        <v>43.25</v>
      </c>
      <c r="B13" s="5">
        <v>32.01</v>
      </c>
      <c r="C13" s="5">
        <v>32.01</v>
      </c>
      <c r="D13" s="5">
        <v>32.01</v>
      </c>
      <c r="E13" s="5">
        <v>32.01</v>
      </c>
      <c r="F13" s="5">
        <v>32.01</v>
      </c>
      <c r="G13" s="5">
        <v>32.01</v>
      </c>
      <c r="CC13" s="5">
        <v>43.25</v>
      </c>
      <c r="CD13" s="5">
        <v>32.01</v>
      </c>
      <c r="CE13" s="5">
        <v>32.01</v>
      </c>
      <c r="CF13" s="5">
        <v>32.01</v>
      </c>
      <c r="CG13" s="5">
        <v>32.01</v>
      </c>
      <c r="CH13" s="5">
        <v>32.01</v>
      </c>
      <c r="CI13" s="5">
        <v>32.01</v>
      </c>
      <c r="FE13" s="5">
        <v>43.25</v>
      </c>
      <c r="FF13" s="5">
        <v>32.01</v>
      </c>
      <c r="FG13" s="5">
        <v>32.01</v>
      </c>
      <c r="FH13" s="5">
        <v>32.01</v>
      </c>
      <c r="FI13" s="5">
        <v>32.01</v>
      </c>
      <c r="FJ13" s="5">
        <v>32.01</v>
      </c>
      <c r="FK13" s="5">
        <v>32.01</v>
      </c>
      <c r="IG13" s="5">
        <v>43.25</v>
      </c>
      <c r="IH13" s="5">
        <v>32.01</v>
      </c>
      <c r="II13" s="5">
        <v>32.01</v>
      </c>
      <c r="IJ13" s="5">
        <v>32.01</v>
      </c>
      <c r="IK13" s="5">
        <v>32.01</v>
      </c>
      <c r="IL13" s="5">
        <v>32.01</v>
      </c>
      <c r="IM13" s="5">
        <v>32.01</v>
      </c>
      <c r="LI13" s="5">
        <v>51.9</v>
      </c>
      <c r="LJ13" s="5">
        <v>32.01</v>
      </c>
      <c r="LK13" s="5">
        <v>32.01</v>
      </c>
      <c r="LL13" s="5">
        <v>32.01</v>
      </c>
      <c r="LM13" s="5">
        <v>32.01</v>
      </c>
      <c r="LN13" s="5">
        <v>32.01</v>
      </c>
      <c r="LO13" s="5">
        <v>32.01</v>
      </c>
      <c r="OK13" s="5">
        <v>51.9</v>
      </c>
      <c r="OL13" s="5">
        <v>32.01</v>
      </c>
      <c r="OM13" s="5">
        <v>32.01</v>
      </c>
      <c r="ON13" s="5">
        <v>32.01</v>
      </c>
      <c r="OO13" s="5">
        <v>32.01</v>
      </c>
      <c r="OP13" s="5">
        <v>32.01</v>
      </c>
      <c r="OQ13" s="5">
        <v>32.01</v>
      </c>
      <c r="RM13" s="5">
        <v>51.9</v>
      </c>
      <c r="RN13" s="5">
        <v>32.01</v>
      </c>
      <c r="RO13" s="5">
        <v>32.01</v>
      </c>
      <c r="RP13" s="5">
        <v>32.01</v>
      </c>
      <c r="RQ13" s="5">
        <v>32.01</v>
      </c>
      <c r="RR13" s="5">
        <v>32.01</v>
      </c>
      <c r="RS13" s="5">
        <v>32.01</v>
      </c>
      <c r="UO13" s="5">
        <v>51.9</v>
      </c>
      <c r="UP13" s="5">
        <v>32.01</v>
      </c>
      <c r="UQ13" s="5">
        <v>32.01</v>
      </c>
      <c r="UR13" s="5">
        <v>32.01</v>
      </c>
      <c r="US13" s="5">
        <v>32.01</v>
      </c>
      <c r="UT13" s="5">
        <v>32.01</v>
      </c>
      <c r="UU13" s="5">
        <v>32.01</v>
      </c>
      <c r="XQ13" s="5">
        <v>51.9</v>
      </c>
      <c r="XR13" s="5">
        <v>32.01</v>
      </c>
      <c r="XS13" s="5">
        <v>32.01</v>
      </c>
      <c r="XT13" s="5">
        <v>32.01</v>
      </c>
      <c r="XU13" s="5">
        <v>32.01</v>
      </c>
      <c r="XV13" s="5">
        <v>32.01</v>
      </c>
      <c r="XW13" s="5">
        <v>32.01</v>
      </c>
      <c r="AAS13" s="5">
        <v>51.9</v>
      </c>
      <c r="AAT13" s="5">
        <v>32.01</v>
      </c>
      <c r="AAU13" s="5">
        <v>32.01</v>
      </c>
      <c r="AAV13" s="5">
        <v>32.01</v>
      </c>
      <c r="AAW13" s="5">
        <v>32.01</v>
      </c>
      <c r="AAX13" s="5">
        <v>32.01</v>
      </c>
      <c r="AAY13" s="5">
        <v>32.01</v>
      </c>
      <c r="ADU13" s="5">
        <v>51.9</v>
      </c>
      <c r="ADV13" s="5">
        <v>32.01</v>
      </c>
      <c r="ADW13" s="5">
        <v>32.01</v>
      </c>
      <c r="ADX13" s="5">
        <v>32.01</v>
      </c>
      <c r="ADY13" s="5">
        <v>32.01</v>
      </c>
      <c r="ADZ13" s="5">
        <v>32.01</v>
      </c>
      <c r="AEA13" s="5">
        <v>32.01</v>
      </c>
      <c r="AGW13" s="5">
        <v>51.9</v>
      </c>
      <c r="AGX13" s="5">
        <v>32.01</v>
      </c>
      <c r="AGY13" s="5">
        <v>32.01</v>
      </c>
      <c r="AGZ13" s="5">
        <v>32.01</v>
      </c>
      <c r="AHA13" s="5">
        <v>32.01</v>
      </c>
      <c r="AHB13" s="5">
        <v>32.01</v>
      </c>
      <c r="AHC13" s="5">
        <v>32.01</v>
      </c>
    </row>
    <row r="14" spans="1:961">
      <c r="A14" s="5">
        <v>34.6</v>
      </c>
      <c r="CC14" s="5">
        <v>34.6</v>
      </c>
      <c r="FE14" s="5">
        <v>34.6</v>
      </c>
      <c r="IG14" s="5">
        <v>34.6</v>
      </c>
      <c r="LI14" s="5">
        <v>47.58</v>
      </c>
      <c r="OK14" s="5">
        <v>47.58</v>
      </c>
      <c r="RM14" s="5">
        <v>47.58</v>
      </c>
      <c r="UO14" s="5">
        <v>47.58</v>
      </c>
      <c r="XQ14" s="5">
        <v>47.58</v>
      </c>
      <c r="AAS14" s="5">
        <v>47.58</v>
      </c>
      <c r="ADU14" s="5">
        <v>47.58</v>
      </c>
      <c r="AGW14" s="5">
        <v>47.58</v>
      </c>
    </row>
    <row r="15" spans="1:961">
      <c r="A15" s="5">
        <v>32.01</v>
      </c>
      <c r="CC15" s="5">
        <v>32.01</v>
      </c>
      <c r="FE15" s="5">
        <v>32.01</v>
      </c>
      <c r="IG15" s="5">
        <v>32.01</v>
      </c>
      <c r="LI15" s="5">
        <v>43.25</v>
      </c>
      <c r="OK15" s="5">
        <v>43.25</v>
      </c>
      <c r="RM15" s="5">
        <v>43.25</v>
      </c>
      <c r="UO15" s="5">
        <v>43.25</v>
      </c>
      <c r="XQ15" s="5">
        <v>43.25</v>
      </c>
      <c r="AAS15" s="5">
        <v>43.25</v>
      </c>
      <c r="ADU15" s="5">
        <v>43.25</v>
      </c>
      <c r="AGW15" s="5">
        <v>43.25</v>
      </c>
    </row>
    <row r="16" spans="1:961">
      <c r="LI16" s="5">
        <v>40</v>
      </c>
      <c r="OK16" s="5">
        <v>40</v>
      </c>
      <c r="RM16" s="5">
        <v>40</v>
      </c>
      <c r="UO16" s="5">
        <v>40</v>
      </c>
      <c r="XQ16" s="5">
        <v>40</v>
      </c>
      <c r="AAS16" s="5">
        <v>40</v>
      </c>
      <c r="ADU16" s="5">
        <v>40</v>
      </c>
      <c r="AGW16" s="5">
        <v>40</v>
      </c>
    </row>
    <row r="17" spans="321:881">
      <c r="LI17" s="5">
        <v>39</v>
      </c>
      <c r="OK17" s="5">
        <v>39</v>
      </c>
      <c r="RM17" s="5">
        <v>39</v>
      </c>
      <c r="UO17" s="5">
        <v>39</v>
      </c>
      <c r="XQ17" s="5">
        <v>39</v>
      </c>
      <c r="AAS17" s="5">
        <v>39</v>
      </c>
      <c r="ADU17" s="5">
        <v>39</v>
      </c>
      <c r="AGW17" s="5">
        <v>39</v>
      </c>
    </row>
    <row r="18" spans="321:881">
      <c r="LI18" s="5">
        <v>34.6</v>
      </c>
      <c r="OK18" s="5">
        <v>34.6</v>
      </c>
      <c r="RM18" s="5">
        <v>34.6</v>
      </c>
      <c r="UO18" s="5">
        <v>34.6</v>
      </c>
      <c r="XQ18" s="5">
        <v>34.6</v>
      </c>
      <c r="AAS18" s="5">
        <v>34.6</v>
      </c>
      <c r="ADU18" s="5">
        <v>34.6</v>
      </c>
      <c r="AGW18" s="5">
        <v>34.6</v>
      </c>
    </row>
  </sheetData>
  <sheetProtection algorithmName="SHA-512" hashValue="JvtxcmPYqtjehwSDBa2OfXyY4aUG/v5OWyX7NvzwjeImGIgzMFMB2shERqaVlk5LTXJqxbkQCgm8eHg6SOgpHw==" saltValue="BwsQclzDfrmDGZ5UV/bGuA==" spinCount="100000" sheet="1" objects="1" scenarios="1"/>
  <pageMargins left="0.7" right="0.7" top="0.78740157499999996" bottom="0.78740157499999996"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46D455-93AC-F74E-8620-89590BC67570}">
  <sheetPr codeName="Tabelle22"/>
  <dimension ref="A1:E4"/>
  <sheetViews>
    <sheetView workbookViewId="0"/>
  </sheetViews>
  <sheetFormatPr baseColWidth="10" defaultRowHeight="14.5"/>
  <sheetData>
    <row r="1" spans="1:5">
      <c r="A1" t="s">
        <v>307</v>
      </c>
      <c r="B1" t="s">
        <v>308</v>
      </c>
      <c r="C1" t="s">
        <v>309</v>
      </c>
      <c r="D1" t="s">
        <v>310</v>
      </c>
      <c r="E1" t="s">
        <v>311</v>
      </c>
    </row>
    <row r="2" spans="1:5">
      <c r="A2">
        <v>2026</v>
      </c>
      <c r="B2">
        <v>7</v>
      </c>
      <c r="C2" t="s">
        <v>357</v>
      </c>
      <c r="D2" t="s">
        <v>316</v>
      </c>
      <c r="E2">
        <v>129.75</v>
      </c>
    </row>
    <row r="3" spans="1:5">
      <c r="A3">
        <v>2026</v>
      </c>
      <c r="B3">
        <v>9</v>
      </c>
      <c r="C3" t="s">
        <v>357</v>
      </c>
      <c r="D3" t="s">
        <v>316</v>
      </c>
      <c r="E3">
        <v>86.5</v>
      </c>
    </row>
    <row r="4" spans="1:5">
      <c r="A4">
        <v>2026</v>
      </c>
      <c r="B4">
        <v>11</v>
      </c>
      <c r="C4" t="s">
        <v>357</v>
      </c>
      <c r="D4" t="s">
        <v>316</v>
      </c>
      <c r="E4">
        <v>166</v>
      </c>
    </row>
  </sheetData>
  <sheetProtection sort="0" autoFilter="0"/>
  <pageMargins left="0.7" right="0.7" top="0.78740157499999996" bottom="0.78740157499999996"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554BC8-3E0C-4914-97A7-FEEB4759108E}">
  <sheetPr codeName="Tabelle2"/>
  <dimension ref="B2:Z100"/>
  <sheetViews>
    <sheetView showGridLines="0" zoomScaleNormal="100" workbookViewId="0">
      <selection activeCell="E30" sqref="E30"/>
    </sheetView>
  </sheetViews>
  <sheetFormatPr baseColWidth="10" defaultColWidth="11.453125" defaultRowHeight="14"/>
  <cols>
    <col min="1" max="1" width="4.453125" style="348" customWidth="1"/>
    <col min="2" max="2" width="16.36328125" style="348" customWidth="1"/>
    <col min="3" max="4" width="15.6328125" style="348" customWidth="1"/>
    <col min="5" max="5" width="14.6328125" style="348" customWidth="1"/>
    <col min="6" max="6" width="20.81640625" style="348" customWidth="1"/>
    <col min="7" max="7" width="15.81640625" style="348" customWidth="1"/>
    <col min="8" max="8" width="14.6328125" style="348" customWidth="1"/>
    <col min="9" max="9" width="15.6328125" style="348" customWidth="1"/>
    <col min="10" max="10" width="28.6328125" style="348" customWidth="1"/>
    <col min="11" max="11" width="14" style="348" customWidth="1"/>
    <col min="12" max="13" width="20.6328125" style="348" customWidth="1"/>
    <col min="14" max="15" width="15.6328125" style="348" customWidth="1"/>
    <col min="16" max="16" width="11.6328125" style="348" customWidth="1"/>
    <col min="17" max="17" width="20.6328125" style="348" customWidth="1"/>
    <col min="18" max="16384" width="11.453125" style="348"/>
  </cols>
  <sheetData>
    <row r="2" spans="2:21" ht="28" customHeight="1">
      <c r="B2" s="343" t="str">
        <f xml:space="preserve"> "FINANZIELL ÜBERSICHT " &amp; EINSTELLUNG!C35</f>
        <v>FINANZIELL ÜBERSICHT 2026</v>
      </c>
      <c r="C2" s="344"/>
      <c r="D2" s="344"/>
      <c r="E2" s="344"/>
      <c r="F2" s="344"/>
      <c r="G2" s="344"/>
      <c r="H2" s="344"/>
      <c r="I2" s="344"/>
      <c r="J2" s="344"/>
      <c r="K2" s="344"/>
      <c r="L2" s="344"/>
      <c r="M2" s="344"/>
      <c r="N2" s="344"/>
      <c r="O2" s="344"/>
      <c r="P2" s="344"/>
      <c r="Q2" s="345"/>
      <c r="R2" s="346"/>
      <c r="S2" s="347"/>
      <c r="T2" s="347"/>
      <c r="U2" s="347"/>
    </row>
    <row r="3" spans="2:21" ht="18" customHeight="1" thickBot="1">
      <c r="B3" s="349"/>
      <c r="C3" s="350"/>
      <c r="D3" s="350"/>
      <c r="E3" s="350"/>
      <c r="F3" s="350"/>
      <c r="G3" s="350"/>
      <c r="H3" s="350"/>
      <c r="I3" s="350"/>
      <c r="J3" s="350"/>
      <c r="K3" s="350"/>
      <c r="L3" s="350"/>
      <c r="M3" s="350"/>
      <c r="N3" s="350"/>
      <c r="O3" s="350"/>
      <c r="P3" s="350"/>
      <c r="Q3" s="351"/>
      <c r="R3" s="346"/>
    </row>
    <row r="4" spans="2:21" ht="24" customHeight="1">
      <c r="B4" s="352"/>
      <c r="C4" s="353" t="s">
        <v>17</v>
      </c>
      <c r="D4" s="353"/>
      <c r="E4" s="353"/>
      <c r="F4" s="353" t="s">
        <v>154</v>
      </c>
      <c r="G4" s="353"/>
      <c r="H4" s="353"/>
      <c r="I4" s="353" t="s">
        <v>155</v>
      </c>
      <c r="J4" s="353"/>
      <c r="K4" s="353"/>
      <c r="L4" s="353" t="s">
        <v>156</v>
      </c>
      <c r="M4" s="353" t="s">
        <v>157</v>
      </c>
      <c r="N4" s="353" t="s">
        <v>158</v>
      </c>
      <c r="O4" s="353"/>
      <c r="P4" s="353"/>
      <c r="Q4" s="354" t="s">
        <v>90</v>
      </c>
    </row>
    <row r="5" spans="2:21" ht="30" customHeight="1">
      <c r="B5" s="355"/>
      <c r="C5" s="356"/>
      <c r="D5" s="356"/>
      <c r="E5" s="356"/>
      <c r="F5" s="356"/>
      <c r="G5" s="356"/>
      <c r="H5" s="356"/>
      <c r="I5" s="356"/>
      <c r="J5" s="356"/>
      <c r="K5" s="356"/>
      <c r="L5" s="356"/>
      <c r="M5" s="356"/>
      <c r="N5" s="356"/>
      <c r="O5" s="356"/>
      <c r="P5" s="356"/>
      <c r="Q5" s="357"/>
    </row>
    <row r="6" spans="2:21" ht="30" customHeight="1">
      <c r="B6" s="355"/>
      <c r="C6" s="358" t="s">
        <v>159</v>
      </c>
      <c r="D6" s="358" t="s">
        <v>160</v>
      </c>
      <c r="E6" s="358" t="s">
        <v>161</v>
      </c>
      <c r="F6" s="358" t="s">
        <v>159</v>
      </c>
      <c r="G6" s="358" t="s">
        <v>160</v>
      </c>
      <c r="H6" s="358" t="s">
        <v>161</v>
      </c>
      <c r="I6" s="358" t="s">
        <v>159</v>
      </c>
      <c r="J6" s="358" t="s">
        <v>160</v>
      </c>
      <c r="K6" s="358" t="s">
        <v>161</v>
      </c>
      <c r="L6" s="356"/>
      <c r="M6" s="356"/>
      <c r="N6" s="358" t="s">
        <v>162</v>
      </c>
      <c r="O6" s="358" t="s">
        <v>163</v>
      </c>
      <c r="P6" s="358" t="s">
        <v>161</v>
      </c>
      <c r="Q6" s="357"/>
    </row>
    <row r="7" spans="2:21" ht="30" customHeight="1">
      <c r="B7" s="359" t="s">
        <v>164</v>
      </c>
      <c r="C7" s="360">
        <f>EINSTELLUNG!C6</f>
        <v>450000</v>
      </c>
      <c r="D7" s="360">
        <f>EINSTELLUNG!C22</f>
        <v>450000</v>
      </c>
      <c r="E7" s="360">
        <f>D7-C7</f>
        <v>0</v>
      </c>
      <c r="F7" s="360">
        <f>EINSTELLUNG!D6</f>
        <v>100000</v>
      </c>
      <c r="G7" s="360">
        <v>91676.220799999996</v>
      </c>
      <c r="H7" s="360">
        <f t="shared" ref="H7:H23" si="0">G7-F7</f>
        <v>-8323.7792000000045</v>
      </c>
      <c r="I7" s="361">
        <f>EINSTELLUNG!E6</f>
        <v>0.22222222222222221</v>
      </c>
      <c r="J7" s="361">
        <v>0.20372493511111109</v>
      </c>
      <c r="K7" s="361">
        <f t="shared" ref="K7:K23" si="1">J7-I7</f>
        <v>-1.8497287111111121E-2</v>
      </c>
      <c r="L7" s="362">
        <f>Januar!S40</f>
        <v>71.8616806371097</v>
      </c>
      <c r="M7" s="362">
        <f>Januar!S41</f>
        <v>4.6310860855026243</v>
      </c>
      <c r="N7" s="362">
        <f>Januar!O5</f>
        <v>725.95088438176754</v>
      </c>
      <c r="O7" s="362">
        <f>Januar!P5</f>
        <v>600</v>
      </c>
      <c r="P7" s="362">
        <f>O7-N7</f>
        <v>-125.95088438176754</v>
      </c>
      <c r="Q7" s="363">
        <v>3.9215686274509803E-2</v>
      </c>
    </row>
    <row r="8" spans="2:21" ht="30" customHeight="1">
      <c r="B8" s="364" t="s">
        <v>165</v>
      </c>
      <c r="C8" s="365">
        <f>EINSTELLUNG!C7</f>
        <v>400000</v>
      </c>
      <c r="D8" s="365">
        <f>EINSTELLUNG!C23</f>
        <v>425000</v>
      </c>
      <c r="E8" s="365">
        <f>D8-C8</f>
        <v>25000</v>
      </c>
      <c r="F8" s="365">
        <f>EINSTELLUNG!D7</f>
        <v>100000</v>
      </c>
      <c r="G8" s="365">
        <v>112062.4129</v>
      </c>
      <c r="H8" s="365">
        <f t="shared" si="0"/>
        <v>12062.412899999996</v>
      </c>
      <c r="I8" s="366">
        <f>EINSTELLUNG!E7</f>
        <v>0.25</v>
      </c>
      <c r="J8" s="366">
        <v>0.26367626564705882</v>
      </c>
      <c r="K8" s="366">
        <f t="shared" si="1"/>
        <v>1.3676265647058816E-2</v>
      </c>
      <c r="L8" s="367">
        <f>Februar!S40</f>
        <v>53.280579291531275</v>
      </c>
      <c r="M8" s="367">
        <f>Februar!S41</f>
        <v>3.6356159987162515</v>
      </c>
      <c r="N8" s="367">
        <f>Februar!O5</f>
        <v>863.78512798528698</v>
      </c>
      <c r="O8" s="367">
        <f>Februar!P5</f>
        <v>600</v>
      </c>
      <c r="P8" s="367">
        <f t="shared" ref="P8:P23" si="2">O8-N8</f>
        <v>-263.78512798528698</v>
      </c>
      <c r="Q8" s="368">
        <v>1.6393442622950821E-2</v>
      </c>
    </row>
    <row r="9" spans="2:21" ht="30" customHeight="1">
      <c r="B9" s="359" t="s">
        <v>166</v>
      </c>
      <c r="C9" s="360">
        <f>EINSTELLUNG!C8</f>
        <v>400000</v>
      </c>
      <c r="D9" s="360">
        <f>EINSTELLUNG!C24</f>
        <v>430000</v>
      </c>
      <c r="E9" s="360">
        <f>D9-C9</f>
        <v>30000</v>
      </c>
      <c r="F9" s="360">
        <f>EINSTELLUNG!D8</f>
        <v>100000</v>
      </c>
      <c r="G9" s="360">
        <v>114609.03419999999</v>
      </c>
      <c r="H9" s="360">
        <f t="shared" si="0"/>
        <v>14609.034199999995</v>
      </c>
      <c r="I9" s="361">
        <f>EINSTELLUNG!E8</f>
        <v>0.25</v>
      </c>
      <c r="J9" s="361">
        <v>0.26653263767441859</v>
      </c>
      <c r="K9" s="361">
        <f t="shared" si="1"/>
        <v>1.6532637674418593E-2</v>
      </c>
      <c r="L9" s="362">
        <f>Marz!S40</f>
        <v>48.690232739312492</v>
      </c>
      <c r="M9" s="362">
        <f>Marz!S41</f>
        <v>3.2837598824187495</v>
      </c>
      <c r="N9" s="362">
        <f>Marz!O5</f>
        <v>882.56627527832359</v>
      </c>
      <c r="O9" s="362">
        <f>Marz!P5</f>
        <v>600</v>
      </c>
      <c r="P9" s="362">
        <f t="shared" si="2"/>
        <v>-282.56627527832359</v>
      </c>
      <c r="Q9" s="363">
        <v>0</v>
      </c>
    </row>
    <row r="10" spans="2:21" ht="30" customHeight="1">
      <c r="B10" s="369" t="s">
        <v>167</v>
      </c>
      <c r="C10" s="370">
        <f>SUM(C7:C9)</f>
        <v>1250000</v>
      </c>
      <c r="D10" s="370">
        <f>SUM(D7:D9)</f>
        <v>1305000</v>
      </c>
      <c r="E10" s="370">
        <f>D10-C10</f>
        <v>55000</v>
      </c>
      <c r="F10" s="370">
        <f>SUM(F7:F9)</f>
        <v>300000</v>
      </c>
      <c r="G10" s="370">
        <f>SUM(G7:G9)</f>
        <v>318347.6679</v>
      </c>
      <c r="H10" s="370">
        <f t="shared" si="0"/>
        <v>18347.6679</v>
      </c>
      <c r="I10" s="371">
        <f>AVERAGE(I7:I9)</f>
        <v>0.24074074074074073</v>
      </c>
      <c r="J10" s="371">
        <f>AVERAGE(J7:J9)</f>
        <v>0.24464461281086283</v>
      </c>
      <c r="K10" s="371">
        <f t="shared" si="1"/>
        <v>3.9038720701221052E-3</v>
      </c>
      <c r="L10" s="372">
        <f>AVERAGE(L7:L9)</f>
        <v>57.94416422265116</v>
      </c>
      <c r="M10" s="372">
        <f>AVERAGE(M7:M9)</f>
        <v>3.8501539888792085</v>
      </c>
      <c r="N10" s="372">
        <f>SUM(N7:N9)</f>
        <v>2472.3022876453783</v>
      </c>
      <c r="O10" s="372">
        <f>SUM(O7:O9)</f>
        <v>1800</v>
      </c>
      <c r="P10" s="372">
        <f t="shared" si="2"/>
        <v>-672.30228764537833</v>
      </c>
      <c r="Q10" s="373">
        <v>5.1724137931034482E-2</v>
      </c>
    </row>
    <row r="11" spans="2:21" ht="30" customHeight="1">
      <c r="B11" s="359" t="s">
        <v>168</v>
      </c>
      <c r="C11" s="360">
        <f>EINSTELLUNG!C9</f>
        <v>400000</v>
      </c>
      <c r="D11" s="360">
        <f>EINSTELLUNG!C25</f>
        <v>300000</v>
      </c>
      <c r="E11" s="360">
        <f t="shared" ref="E11:E21" si="3">D11-C11</f>
        <v>-100000</v>
      </c>
      <c r="F11" s="360">
        <f>EINSTELLUNG!D9</f>
        <v>100000</v>
      </c>
      <c r="G11" s="360">
        <v>115005.21</v>
      </c>
      <c r="H11" s="360">
        <f t="shared" si="0"/>
        <v>15005.210000000006</v>
      </c>
      <c r="I11" s="361">
        <f>EINSTELLUNG!E9</f>
        <v>0.25</v>
      </c>
      <c r="J11" s="361">
        <v>0.38335070000000004</v>
      </c>
      <c r="K11" s="361">
        <f t="shared" si="1"/>
        <v>0.13335070000000004</v>
      </c>
      <c r="L11" s="362">
        <f>April!S40</f>
        <v>35.002280981977329</v>
      </c>
      <c r="M11" s="362">
        <f>April!S41</f>
        <v>2.9168567484981107</v>
      </c>
      <c r="N11" s="362">
        <f>April!O5</f>
        <v>884.65264052585962</v>
      </c>
      <c r="O11" s="362">
        <f>April!P5</f>
        <v>600</v>
      </c>
      <c r="P11" s="362">
        <f t="shared" si="2"/>
        <v>-284.65264052585962</v>
      </c>
      <c r="Q11" s="363">
        <v>1.6129032258064516E-2</v>
      </c>
    </row>
    <row r="12" spans="2:21" ht="30" customHeight="1">
      <c r="B12" s="364" t="s">
        <v>169</v>
      </c>
      <c r="C12" s="365">
        <f>EINSTELLUNG!C10</f>
        <v>400000</v>
      </c>
      <c r="D12" s="365">
        <f>EINSTELLUNG!C26</f>
        <v>420000</v>
      </c>
      <c r="E12" s="365">
        <f t="shared" si="3"/>
        <v>20000</v>
      </c>
      <c r="F12" s="365">
        <f>EINSTELLUNG!D10</f>
        <v>100000</v>
      </c>
      <c r="G12" s="365">
        <v>156533.9871</v>
      </c>
      <c r="H12" s="365">
        <f t="shared" si="0"/>
        <v>56533.987099999998</v>
      </c>
      <c r="I12" s="366">
        <f>EINSTELLUNG!E10</f>
        <v>0.25</v>
      </c>
      <c r="J12" s="366">
        <v>0.37269996928571431</v>
      </c>
      <c r="K12" s="366">
        <f t="shared" si="1"/>
        <v>0.12269996928571431</v>
      </c>
      <c r="L12" s="367">
        <f>Mai!S40</f>
        <v>51.813918945759475</v>
      </c>
      <c r="M12" s="367">
        <f>Mai!S41</f>
        <v>3.8243606840917708</v>
      </c>
      <c r="N12" s="367">
        <f>Mai!O5</f>
        <v>903.43378781889612</v>
      </c>
      <c r="O12" s="367">
        <f>Mai!P5</f>
        <v>600</v>
      </c>
      <c r="P12" s="367">
        <f t="shared" si="2"/>
        <v>-303.43378781889612</v>
      </c>
      <c r="Q12" s="368">
        <v>3.2258064516129031E-2</v>
      </c>
    </row>
    <row r="13" spans="2:21" ht="30" customHeight="1">
      <c r="B13" s="359" t="s">
        <v>170</v>
      </c>
      <c r="C13" s="360">
        <f>EINSTELLUNG!C11</f>
        <v>400000</v>
      </c>
      <c r="D13" s="360">
        <f>EINSTELLUNG!C27</f>
        <v>435000</v>
      </c>
      <c r="E13" s="360">
        <f t="shared" si="3"/>
        <v>35000</v>
      </c>
      <c r="F13" s="360">
        <f>EINSTELLUNG!D11</f>
        <v>100000</v>
      </c>
      <c r="G13" s="360">
        <v>154631.76670000001</v>
      </c>
      <c r="H13" s="360">
        <f t="shared" si="0"/>
        <v>54631.766700000007</v>
      </c>
      <c r="I13" s="361">
        <f>EINSTELLUNG!E11</f>
        <v>0.25</v>
      </c>
      <c r="J13" s="361">
        <v>0.35547532574712648</v>
      </c>
      <c r="K13" s="361">
        <f t="shared" si="1"/>
        <v>0.10547532574712648</v>
      </c>
      <c r="L13" s="362">
        <f>Juni!S40</f>
        <v>4350</v>
      </c>
      <c r="M13" s="362">
        <f>Juni!S41</f>
        <v>310</v>
      </c>
      <c r="N13" s="362">
        <f>Juni!O5</f>
        <v>878.39161475064532</v>
      </c>
      <c r="O13" s="362">
        <f>Juni!P5</f>
        <v>600</v>
      </c>
      <c r="P13" s="362">
        <f t="shared" si="2"/>
        <v>-278.39161475064532</v>
      </c>
      <c r="Q13" s="363">
        <v>1.6393442622950821E-2</v>
      </c>
    </row>
    <row r="14" spans="2:21" ht="30" customHeight="1">
      <c r="B14" s="369" t="s">
        <v>171</v>
      </c>
      <c r="C14" s="370">
        <f>SUM(C11:C13)</f>
        <v>1200000</v>
      </c>
      <c r="D14" s="370">
        <f>SUM(D11:D13)</f>
        <v>1155000</v>
      </c>
      <c r="E14" s="370">
        <f t="shared" si="3"/>
        <v>-45000</v>
      </c>
      <c r="F14" s="370">
        <f>SUM(F11:F13)</f>
        <v>300000</v>
      </c>
      <c r="G14" s="370">
        <f>SUM(G11:G13)</f>
        <v>426170.96380000003</v>
      </c>
      <c r="H14" s="370">
        <f t="shared" si="0"/>
        <v>126170.96380000003</v>
      </c>
      <c r="I14" s="371">
        <f>AVERAGE(I11:I13)</f>
        <v>0.25</v>
      </c>
      <c r="J14" s="371">
        <f>AVERAGE(J11:J13)</f>
        <v>0.37050866501094698</v>
      </c>
      <c r="K14" s="371">
        <f t="shared" si="1"/>
        <v>0.12050866501094698</v>
      </c>
      <c r="L14" s="372">
        <f>AVERAGE(L11:L13)</f>
        <v>1478.9387333092457</v>
      </c>
      <c r="M14" s="372">
        <f>AVERAGE(M11:M13)</f>
        <v>105.5804058108633</v>
      </c>
      <c r="N14" s="372">
        <f>SUM(N11:N13)</f>
        <v>2666.4780430954011</v>
      </c>
      <c r="O14" s="372">
        <f>SUM(O11:O13)</f>
        <v>1800</v>
      </c>
      <c r="P14" s="372">
        <f t="shared" si="2"/>
        <v>-866.47804309540106</v>
      </c>
      <c r="Q14" s="373">
        <v>6.4864864864864868E-2</v>
      </c>
    </row>
    <row r="15" spans="2:21" ht="30" customHeight="1">
      <c r="B15" s="359" t="s">
        <v>172</v>
      </c>
      <c r="C15" s="360">
        <f>EINSTELLUNG!C12</f>
        <v>400000</v>
      </c>
      <c r="D15" s="360">
        <f>EINSTELLUNG!C28</f>
        <v>435000</v>
      </c>
      <c r="E15" s="360">
        <f t="shared" si="3"/>
        <v>35000</v>
      </c>
      <c r="F15" s="360">
        <f>EINSTELLUNG!D12</f>
        <v>100000</v>
      </c>
      <c r="G15" s="360">
        <v>151701.30970000001</v>
      </c>
      <c r="H15" s="360">
        <f t="shared" si="0"/>
        <v>51701.309700000013</v>
      </c>
      <c r="I15" s="361">
        <f>EINSTELLUNG!E12</f>
        <v>0.25</v>
      </c>
      <c r="J15" s="361">
        <v>0.34873864298850576</v>
      </c>
      <c r="K15" s="361">
        <f t="shared" si="1"/>
        <v>9.8738642988505765E-2</v>
      </c>
      <c r="L15" s="362">
        <f>Juli!S40</f>
        <v>52.437373502370527</v>
      </c>
      <c r="M15" s="362">
        <f>Juli!S41</f>
        <v>3.7369162725827274</v>
      </c>
      <c r="N15" s="362">
        <f>Juli!O5</f>
        <v>857.52313719376957</v>
      </c>
      <c r="O15" s="362">
        <f>Juli!P5</f>
        <v>600</v>
      </c>
      <c r="P15" s="362">
        <f t="shared" si="2"/>
        <v>-257.52313719376957</v>
      </c>
      <c r="Q15" s="363">
        <v>1.6666666666666666E-2</v>
      </c>
    </row>
    <row r="16" spans="2:21" ht="30" customHeight="1">
      <c r="B16" s="364" t="s">
        <v>173</v>
      </c>
      <c r="C16" s="365">
        <f>EINSTELLUNG!C13</f>
        <v>400000</v>
      </c>
      <c r="D16" s="365">
        <f>EINSTELLUNG!C29</f>
        <v>435000</v>
      </c>
      <c r="E16" s="365">
        <f t="shared" si="3"/>
        <v>35000</v>
      </c>
      <c r="F16" s="365">
        <f>EINSTELLUNG!D13</f>
        <v>100000</v>
      </c>
      <c r="G16" s="365">
        <v>149362.6</v>
      </c>
      <c r="H16" s="365">
        <f t="shared" si="0"/>
        <v>49362.600000000006</v>
      </c>
      <c r="I16" s="366">
        <f>EINSTELLUNG!E13</f>
        <v>0.25</v>
      </c>
      <c r="J16" s="366">
        <v>0.34336229885057473</v>
      </c>
      <c r="K16" s="366">
        <f t="shared" si="1"/>
        <v>9.3362298850574732E-2</v>
      </c>
      <c r="L16" s="367">
        <f>August!S40</f>
        <v>54.81972501921841</v>
      </c>
      <c r="M16" s="367">
        <f>August!S41</f>
        <v>3.9066930473465993</v>
      </c>
      <c r="N16" s="367">
        <f>August!O5</f>
        <v>840.82835514826911</v>
      </c>
      <c r="O16" s="367">
        <f>August!P5</f>
        <v>620</v>
      </c>
      <c r="P16" s="367">
        <f t="shared" si="2"/>
        <v>-220.82835514826911</v>
      </c>
      <c r="Q16" s="368">
        <v>0</v>
      </c>
    </row>
    <row r="17" spans="2:17" ht="30" customHeight="1">
      <c r="B17" s="359" t="s">
        <v>174</v>
      </c>
      <c r="C17" s="360">
        <f>EINSTELLUNG!C14</f>
        <v>400000</v>
      </c>
      <c r="D17" s="360">
        <f>EINSTELLUNG!C30</f>
        <v>450000</v>
      </c>
      <c r="E17" s="360">
        <f t="shared" si="3"/>
        <v>50000</v>
      </c>
      <c r="F17" s="360">
        <f>EINSTELLUNG!D14</f>
        <v>100000</v>
      </c>
      <c r="G17" s="360">
        <v>147667.9333</v>
      </c>
      <c r="H17" s="360">
        <f t="shared" si="0"/>
        <v>47667.933300000004</v>
      </c>
      <c r="I17" s="361">
        <f>EINSTELLUNG!E14</f>
        <v>0.25</v>
      </c>
      <c r="J17" s="361">
        <v>0.3281509628888889</v>
      </c>
      <c r="K17" s="361">
        <f t="shared" si="1"/>
        <v>7.8150962888888897E-2</v>
      </c>
      <c r="L17" s="362">
        <f>September!S40</f>
        <v>57.851696533140675</v>
      </c>
      <c r="M17" s="362">
        <f>September!S41</f>
        <v>3.9853390945052465</v>
      </c>
      <c r="N17" s="362">
        <f>September!O5</f>
        <v>836.65465963689394</v>
      </c>
      <c r="O17" s="362">
        <f>September!P5</f>
        <v>600</v>
      </c>
      <c r="P17" s="362">
        <f t="shared" si="2"/>
        <v>-236.65465963689394</v>
      </c>
      <c r="Q17" s="363">
        <v>1.6949152542372881E-2</v>
      </c>
    </row>
    <row r="18" spans="2:17" ht="30" customHeight="1">
      <c r="B18" s="369" t="s">
        <v>175</v>
      </c>
      <c r="C18" s="370">
        <f>SUM(C15:C17)</f>
        <v>1200000</v>
      </c>
      <c r="D18" s="370">
        <f>SUM(D15:D17)</f>
        <v>1320000</v>
      </c>
      <c r="E18" s="370">
        <f>D18-C18</f>
        <v>120000</v>
      </c>
      <c r="F18" s="370">
        <f>SUM(F15:F17)</f>
        <v>300000</v>
      </c>
      <c r="G18" s="370">
        <f>SUM(G15:G17)</f>
        <v>448731.84299999999</v>
      </c>
      <c r="H18" s="370">
        <f t="shared" si="0"/>
        <v>148731.84299999999</v>
      </c>
      <c r="I18" s="371">
        <f>AVERAGE(I15:I17)</f>
        <v>0.25</v>
      </c>
      <c r="J18" s="371">
        <f>AVERAGE(J15:J17)</f>
        <v>0.34008396824265646</v>
      </c>
      <c r="K18" s="371">
        <f t="shared" si="1"/>
        <v>9.0083968242656465E-2</v>
      </c>
      <c r="L18" s="372">
        <f>AVERAGE(L15:L17)</f>
        <v>55.036265018243206</v>
      </c>
      <c r="M18" s="372">
        <f>AVERAGE(M15:M17)</f>
        <v>3.8763161381448579</v>
      </c>
      <c r="N18" s="372">
        <f>SUM(N15:N17)</f>
        <v>2535.0061519789324</v>
      </c>
      <c r="O18" s="372">
        <f>SUM(O15:O17)</f>
        <v>1820</v>
      </c>
      <c r="P18" s="372">
        <f t="shared" si="2"/>
        <v>-715.00615197893239</v>
      </c>
      <c r="Q18" s="373">
        <v>3.3519553072625698E-2</v>
      </c>
    </row>
    <row r="19" spans="2:17" ht="30" customHeight="1">
      <c r="B19" s="359" t="s">
        <v>176</v>
      </c>
      <c r="C19" s="360">
        <f>EINSTELLUNG!C15</f>
        <v>400000</v>
      </c>
      <c r="D19" s="360">
        <f>EINSTELLUNG!C31</f>
        <v>401000</v>
      </c>
      <c r="E19" s="360">
        <f>D19-C19</f>
        <v>1000</v>
      </c>
      <c r="F19" s="360">
        <f>EINSTELLUNG!D15</f>
        <v>100000</v>
      </c>
      <c r="G19" s="360">
        <v>144350.0839</v>
      </c>
      <c r="H19" s="360">
        <f t="shared" si="0"/>
        <v>44350.083899999998</v>
      </c>
      <c r="I19" s="361">
        <f>EINSTELLUNG!E15</f>
        <v>0.25</v>
      </c>
      <c r="J19" s="361">
        <v>0.35997527157107229</v>
      </c>
      <c r="K19" s="361">
        <f t="shared" si="1"/>
        <v>0.10997527157107229</v>
      </c>
      <c r="L19" s="362">
        <f>Oktober!S40</f>
        <v>50.819640967474164</v>
      </c>
      <c r="M19" s="362">
        <f>Oktober!S41</f>
        <v>3.928700423919449</v>
      </c>
      <c r="N19" s="362">
        <f>Oktober!O5</f>
        <v>819.95987759139359</v>
      </c>
      <c r="O19" s="362">
        <f>Oktober!P5</f>
        <v>600</v>
      </c>
      <c r="P19" s="362">
        <f t="shared" si="2"/>
        <v>-219.95987759139359</v>
      </c>
      <c r="Q19" s="363">
        <v>1.7241379310344827E-2</v>
      </c>
    </row>
    <row r="20" spans="2:17" ht="30" customHeight="1">
      <c r="B20" s="364" t="s">
        <v>177</v>
      </c>
      <c r="C20" s="365">
        <f>EINSTELLUNG!C16</f>
        <v>400000</v>
      </c>
      <c r="D20" s="365">
        <f>EINSTELLUNG!C32</f>
        <v>398000</v>
      </c>
      <c r="E20" s="365">
        <f>D20-C20</f>
        <v>-2000</v>
      </c>
      <c r="F20" s="365">
        <f>EINSTELLUNG!D16</f>
        <v>100000</v>
      </c>
      <c r="G20" s="365">
        <v>140816.6</v>
      </c>
      <c r="H20" s="365">
        <f t="shared" si="0"/>
        <v>40816.600000000006</v>
      </c>
      <c r="I20" s="366">
        <f>EINSTELLUNG!E16</f>
        <v>0.25</v>
      </c>
      <c r="J20" s="366">
        <v>0.35381055276381912</v>
      </c>
      <c r="K20" s="366">
        <f t="shared" si="1"/>
        <v>0.10381055276381912</v>
      </c>
      <c r="L20" s="367">
        <f>November!S40</f>
        <v>55.070117542876524</v>
      </c>
      <c r="M20" s="367">
        <f>November!S41</f>
        <v>4.2893810146461613</v>
      </c>
      <c r="N20" s="367">
        <f>November!O5</f>
        <v>827.63175720189815</v>
      </c>
      <c r="O20" s="367">
        <f>November!P5</f>
        <v>600</v>
      </c>
      <c r="P20" s="367">
        <f t="shared" si="2"/>
        <v>-227.63175720189815</v>
      </c>
      <c r="Q20" s="368">
        <v>0</v>
      </c>
    </row>
    <row r="21" spans="2:17" ht="30" customHeight="1">
      <c r="B21" s="359" t="s">
        <v>178</v>
      </c>
      <c r="C21" s="360">
        <f>EINSTELLUNG!C17</f>
        <v>400000</v>
      </c>
      <c r="D21" s="360">
        <f>EINSTELLUNG!C33</f>
        <v>390000</v>
      </c>
      <c r="E21" s="360">
        <f t="shared" si="3"/>
        <v>-10000</v>
      </c>
      <c r="F21" s="360">
        <f>EINSTELLUNG!D17</f>
        <v>100000</v>
      </c>
      <c r="G21" s="360">
        <v>140816.6</v>
      </c>
      <c r="H21" s="360">
        <f t="shared" si="0"/>
        <v>40816.600000000006</v>
      </c>
      <c r="I21" s="361">
        <f>EINSTELLUNG!E17</f>
        <v>0.25</v>
      </c>
      <c r="J21" s="361">
        <v>0.36106820512820514</v>
      </c>
      <c r="K21" s="361">
        <f t="shared" si="1"/>
        <v>0.11106820512820514</v>
      </c>
      <c r="L21" s="362">
        <f>Dezember!S40</f>
        <v>53.89166945337265</v>
      </c>
      <c r="M21" s="362">
        <f>Dezember!S41</f>
        <v>4.2836968027039797</v>
      </c>
      <c r="N21" s="362">
        <f>Dezember!O5</f>
        <v>810.93697515639758</v>
      </c>
      <c r="O21" s="362">
        <f>Dezember!P5</f>
        <v>600</v>
      </c>
      <c r="P21" s="362">
        <f t="shared" si="2"/>
        <v>-210.93697515639758</v>
      </c>
      <c r="Q21" s="363">
        <v>0</v>
      </c>
    </row>
    <row r="22" spans="2:17" ht="30" customHeight="1">
      <c r="B22" s="369" t="s">
        <v>179</v>
      </c>
      <c r="C22" s="370">
        <f>SUM(C19:C21)</f>
        <v>1200000</v>
      </c>
      <c r="D22" s="370">
        <f>SUM(D19:D21)</f>
        <v>1189000</v>
      </c>
      <c r="E22" s="370">
        <f>D22-C22</f>
        <v>-11000</v>
      </c>
      <c r="F22" s="370">
        <f>SUM(F19:F21)</f>
        <v>300000</v>
      </c>
      <c r="G22" s="370">
        <f>SUM(G19:G21)</f>
        <v>425983.28390000004</v>
      </c>
      <c r="H22" s="370">
        <f t="shared" si="0"/>
        <v>125983.28390000004</v>
      </c>
      <c r="I22" s="371">
        <f>AVERAGE(I19:I21)</f>
        <v>0.25</v>
      </c>
      <c r="J22" s="371">
        <f>AVERAGE(J19:J21)</f>
        <v>0.35828467648769885</v>
      </c>
      <c r="K22" s="371">
        <f t="shared" si="1"/>
        <v>0.10828467648769885</v>
      </c>
      <c r="L22" s="372">
        <f>AVERAGE(L19:L21)</f>
        <v>53.260475987907775</v>
      </c>
      <c r="M22" s="372">
        <f>AVERAGE(M19:M21)</f>
        <v>4.16725941375653</v>
      </c>
      <c r="N22" s="372">
        <f>SUM(N19:N21)</f>
        <v>2458.5286099496893</v>
      </c>
      <c r="O22" s="372">
        <f>SUM(O19:O21)</f>
        <v>1800</v>
      </c>
      <c r="P22" s="372">
        <f>O22-N22</f>
        <v>-658.52860994968933</v>
      </c>
      <c r="Q22" s="373">
        <v>1.7441860465116279E-2</v>
      </c>
    </row>
    <row r="23" spans="2:17" ht="32" customHeight="1" thickBot="1">
      <c r="B23" s="374" t="str">
        <f xml:space="preserve"> "GESAMT " &amp; EINSTELLUNG!C35</f>
        <v>GESAMT 2026</v>
      </c>
      <c r="C23" s="375">
        <f>SUM(C10,C14,C18,C22)</f>
        <v>4850000</v>
      </c>
      <c r="D23" s="375">
        <f>SUM(D10,D14,D18,D22)</f>
        <v>4969000</v>
      </c>
      <c r="E23" s="375">
        <f>D23-C23</f>
        <v>119000</v>
      </c>
      <c r="F23" s="375">
        <f>SUM(F10,F14,F18,F22)</f>
        <v>1200000</v>
      </c>
      <c r="G23" s="375">
        <f>SUM(G10,G14,G18,G22)</f>
        <v>1619233.7586000003</v>
      </c>
      <c r="H23" s="375">
        <f t="shared" si="0"/>
        <v>419233.75860000029</v>
      </c>
      <c r="I23" s="376">
        <f>AVERAGE(I10,I14,I18,I22)</f>
        <v>0.24768518518518517</v>
      </c>
      <c r="J23" s="376">
        <f>AVERAGE(J10,J14,J18,J22)</f>
        <v>0.32838048063804126</v>
      </c>
      <c r="K23" s="376">
        <f t="shared" si="1"/>
        <v>8.0695295452856086E-2</v>
      </c>
      <c r="L23" s="377">
        <f>AVERAGE(L22,L18,L14,L10)</f>
        <v>411.29490963451195</v>
      </c>
      <c r="M23" s="377">
        <f>AVERAGE(M10,M14,M18,M22)</f>
        <v>29.368533837910974</v>
      </c>
      <c r="N23" s="377">
        <f>SUM(N10,N14,N18,N22)</f>
        <v>10132.315092669402</v>
      </c>
      <c r="O23" s="377">
        <f>SUM(O10,O14,O18,O22)</f>
        <v>7220</v>
      </c>
      <c r="P23" s="377">
        <f t="shared" si="2"/>
        <v>-2912.3150926694016</v>
      </c>
      <c r="Q23" s="378">
        <v>0.11699164345403899</v>
      </c>
    </row>
    <row r="24" spans="2:17">
      <c r="B24" s="379" t="s">
        <v>394</v>
      </c>
      <c r="O24" s="380"/>
    </row>
    <row r="25" spans="2:17">
      <c r="B25" s="379"/>
      <c r="C25" s="379"/>
      <c r="D25" s="379"/>
      <c r="E25" s="379"/>
      <c r="F25" s="379"/>
      <c r="G25" s="379"/>
      <c r="H25" s="379"/>
    </row>
    <row r="26" spans="2:17">
      <c r="B26" s="381"/>
      <c r="C26" s="381"/>
      <c r="D26" s="381"/>
      <c r="E26" s="381"/>
    </row>
    <row r="27" spans="2:17" ht="14.5" thickBot="1">
      <c r="B27" s="381"/>
      <c r="C27" s="381"/>
      <c r="D27" s="381"/>
      <c r="E27" s="381"/>
    </row>
    <row r="28" spans="2:17" ht="28" customHeight="1">
      <c r="B28" s="382" t="str">
        <f xml:space="preserve"> "DURCHRECHNUNGSSTUNDEN - " &amp; EINSTELLUNG!C35</f>
        <v>DURCHRECHNUNGSSTUNDEN - 2026</v>
      </c>
      <c r="C28" s="383"/>
      <c r="D28" s="383"/>
      <c r="E28" s="383"/>
      <c r="F28" s="383"/>
      <c r="G28" s="383"/>
      <c r="H28" s="383"/>
      <c r="I28" s="383"/>
      <c r="J28" s="383"/>
      <c r="K28" s="383"/>
      <c r="L28" s="383"/>
      <c r="M28" s="383"/>
      <c r="N28" s="383"/>
      <c r="O28" s="383"/>
      <c r="P28" s="383"/>
      <c r="Q28" s="384"/>
    </row>
    <row r="29" spans="2:17" ht="48" customHeight="1" thickBot="1">
      <c r="B29" s="385" t="s">
        <v>351</v>
      </c>
      <c r="C29" s="386"/>
      <c r="D29" s="386"/>
      <c r="E29" s="386"/>
      <c r="F29" s="386"/>
      <c r="G29" s="386"/>
      <c r="H29" s="386"/>
      <c r="I29" s="386"/>
      <c r="J29" s="386"/>
      <c r="K29" s="386"/>
      <c r="L29" s="386"/>
      <c r="M29" s="386"/>
      <c r="N29" s="386"/>
      <c r="O29" s="386"/>
      <c r="P29" s="386"/>
      <c r="Q29" s="387"/>
    </row>
    <row r="30" spans="2:17" ht="40" customHeight="1" thickBot="1">
      <c r="B30" s="388" t="s">
        <v>343</v>
      </c>
      <c r="C30" s="389"/>
      <c r="D30" s="389"/>
      <c r="E30" s="21">
        <v>1200</v>
      </c>
      <c r="F30" s="389" t="s">
        <v>344</v>
      </c>
      <c r="G30" s="389"/>
      <c r="H30" s="389"/>
      <c r="I30" s="21">
        <v>2000</v>
      </c>
      <c r="J30" s="390"/>
      <c r="K30" s="390"/>
      <c r="L30" s="390"/>
      <c r="M30" s="390"/>
      <c r="N30" s="390"/>
      <c r="O30" s="390"/>
      <c r="P30" s="390"/>
      <c r="Q30" s="391"/>
    </row>
    <row r="31" spans="2:17" s="399" customFormat="1" ht="30" customHeight="1">
      <c r="B31" s="392" t="s">
        <v>330</v>
      </c>
      <c r="C31" s="393" t="s">
        <v>337</v>
      </c>
      <c r="D31" s="393" t="s">
        <v>345</v>
      </c>
      <c r="E31" s="394" t="s">
        <v>338</v>
      </c>
      <c r="F31" s="393" t="s">
        <v>95</v>
      </c>
      <c r="G31" s="393" t="s">
        <v>339</v>
      </c>
      <c r="H31" s="393" t="s">
        <v>340</v>
      </c>
      <c r="I31" s="395" t="s">
        <v>341</v>
      </c>
      <c r="J31" s="396" t="s">
        <v>342</v>
      </c>
      <c r="K31" s="397"/>
      <c r="L31" s="397"/>
      <c r="M31" s="397"/>
      <c r="N31" s="397"/>
      <c r="O31" s="397"/>
      <c r="P31" s="397"/>
      <c r="Q31" s="398"/>
    </row>
    <row r="32" spans="2:17" ht="42" customHeight="1">
      <c r="B32" s="400" t="s">
        <v>346</v>
      </c>
      <c r="C32" s="401" t="s">
        <v>168</v>
      </c>
      <c r="D32" s="402">
        <f>Februar!Q12+Marz!Q13+April!Q13</f>
        <v>25378.85</v>
      </c>
      <c r="E32" s="402">
        <f>EINSTELLUNG!L7+EINSTELLUNG!L8+EINSTELLUNG!L9</f>
        <v>27900</v>
      </c>
      <c r="F32" s="402">
        <f>April!Q15</f>
        <v>-729.13000000000102</v>
      </c>
      <c r="G32" s="403">
        <f>April!Q42</f>
        <v>11.94360316253846</v>
      </c>
      <c r="H32" s="402">
        <f>MAX(0,-F32)</f>
        <v>729.13000000000102</v>
      </c>
      <c r="I32" s="404">
        <f>IF(OR(G32=0,H32=0),"",H32*G32*3/2)</f>
        <v>13062.659060852518</v>
      </c>
      <c r="J32" s="405" t="str">
        <f>IF(F32&lt;0,"ACHTUNG: Überstunden",IF(F32&gt;0,"Reserve möglich","OK"))</f>
        <v>ACHTUNG: Überstunden</v>
      </c>
      <c r="K32" s="406"/>
      <c r="L32" s="406"/>
      <c r="M32" s="406"/>
      <c r="N32" s="406"/>
      <c r="O32" s="406"/>
      <c r="P32" s="406"/>
      <c r="Q32" s="407"/>
    </row>
    <row r="33" spans="2:17" ht="42" customHeight="1">
      <c r="B33" s="408" t="s">
        <v>331</v>
      </c>
      <c r="C33" s="409" t="s">
        <v>172</v>
      </c>
      <c r="D33" s="410">
        <f>Mai!Q12+Juni!Q13+Juli!Q13</f>
        <v>24590.22</v>
      </c>
      <c r="E33" s="410">
        <f>EINSTELLUNG!L10+EINSTELLUNG!L11+EINSTELLUNG!L12</f>
        <v>27900</v>
      </c>
      <c r="F33" s="410">
        <f>Juli!Q15</f>
        <v>-1004.3899999999994</v>
      </c>
      <c r="G33" s="411">
        <f>Juli!Q42</f>
        <v>16.375205693848407</v>
      </c>
      <c r="H33" s="410">
        <f>MAX(0,-F33)</f>
        <v>1004.3899999999994</v>
      </c>
      <c r="I33" s="412">
        <f>IF(OR(G33=0,H33=0),"",H33*G33*3/2)</f>
        <v>24670.639270266591</v>
      </c>
      <c r="J33" s="413" t="str">
        <f>IF(F33&lt;0,"ACHTUNG: Überstunden",IF(F33&gt;0,"Reserve möglich","OK"))</f>
        <v>ACHTUNG: Überstunden</v>
      </c>
      <c r="K33" s="414"/>
      <c r="L33" s="414"/>
      <c r="M33" s="414"/>
      <c r="N33" s="414"/>
      <c r="O33" s="414"/>
      <c r="P33" s="414"/>
      <c r="Q33" s="415"/>
    </row>
    <row r="34" spans="2:17" ht="42" customHeight="1">
      <c r="B34" s="400" t="s">
        <v>332</v>
      </c>
      <c r="C34" s="401" t="s">
        <v>176</v>
      </c>
      <c r="D34" s="402">
        <f>August!Q12+September!Q13+Oktober!Q13</f>
        <v>23604.26</v>
      </c>
      <c r="E34" s="402">
        <f>EINSTELLUNG!L13+EINSTELLUNG!L14+EINSTELLUNG!L15</f>
        <v>27900</v>
      </c>
      <c r="F34" s="402">
        <f>Oktober!Q15</f>
        <v>-1409.3500000000004</v>
      </c>
      <c r="G34" s="403">
        <f>Oktober!Q42</f>
        <v>16.422175612462066</v>
      </c>
      <c r="H34" s="402">
        <f>MAX(0,-F34)</f>
        <v>1409.3500000000004</v>
      </c>
      <c r="I34" s="404">
        <f>IF(OR(G34=0,H34=0),"",H34*G34*3/2)</f>
        <v>34716.889799135126</v>
      </c>
      <c r="J34" s="405" t="str">
        <f>IF(F34&lt;0,"ACHTUNG: Überstunden",IF(F34&gt;0,"Reserve möglich","OK"))</f>
        <v>ACHTUNG: Überstunden</v>
      </c>
      <c r="K34" s="406"/>
      <c r="L34" s="406"/>
      <c r="M34" s="406"/>
      <c r="N34" s="406"/>
      <c r="O34" s="406"/>
      <c r="P34" s="406"/>
      <c r="Q34" s="407"/>
    </row>
    <row r="35" spans="2:17" ht="42" customHeight="1" thickBot="1">
      <c r="B35" s="416" t="s">
        <v>347</v>
      </c>
      <c r="C35" s="417" t="s">
        <v>348</v>
      </c>
      <c r="D35" s="418">
        <f>November!Q12+Dezember!Q13+E30</f>
        <v>15663.89</v>
      </c>
      <c r="E35" s="418">
        <f>EINSTELLUNG!L16+EINSTELLUNG!L17+I30</f>
        <v>20600</v>
      </c>
      <c r="F35" s="418">
        <f>D35-E35</f>
        <v>-4936.1100000000006</v>
      </c>
      <c r="G35" s="419">
        <f>Dezember!Q42</f>
        <v>16.874274768618154</v>
      </c>
      <c r="H35" s="418">
        <f>MAX(0,-F35)</f>
        <v>4936.1100000000006</v>
      </c>
      <c r="I35" s="420">
        <f>IF(OR(G35=0,H35=0),"",H35*G35*3/2)</f>
        <v>124939.91464218564</v>
      </c>
      <c r="J35" s="421" t="str">
        <f>IF(F35&lt;0,"ACHTUNG: Überstunden",IF(F35&gt;0,"Reserve möglich","OK"))</f>
        <v>ACHTUNG: Überstunden</v>
      </c>
      <c r="K35" s="422"/>
      <c r="L35" s="422"/>
      <c r="M35" s="422"/>
      <c r="N35" s="422"/>
      <c r="O35" s="422"/>
      <c r="P35" s="422"/>
      <c r="Q35" s="423"/>
    </row>
    <row r="36" spans="2:17" ht="40" customHeight="1" thickBot="1">
      <c r="B36" s="424" t="s">
        <v>349</v>
      </c>
      <c r="C36" s="425"/>
      <c r="D36" s="425"/>
      <c r="E36" s="425"/>
      <c r="F36" s="425"/>
      <c r="G36" s="425"/>
      <c r="H36" s="425"/>
      <c r="I36" s="425"/>
      <c r="J36" s="425"/>
      <c r="K36" s="425"/>
      <c r="L36" s="425"/>
      <c r="M36" s="425"/>
      <c r="N36" s="425"/>
      <c r="O36" s="425"/>
      <c r="P36" s="425"/>
      <c r="Q36" s="426"/>
    </row>
    <row r="37" spans="2:17">
      <c r="B37" s="427"/>
      <c r="C37" s="427"/>
      <c r="D37" s="427"/>
      <c r="E37" s="427"/>
      <c r="F37" s="427"/>
      <c r="G37" s="427"/>
      <c r="H37" s="427"/>
      <c r="I37" s="427"/>
      <c r="J37" s="427"/>
      <c r="K37" s="427"/>
      <c r="L37" s="427"/>
      <c r="M37" s="427"/>
      <c r="N37" s="427"/>
      <c r="O37" s="427"/>
      <c r="P37" s="427"/>
      <c r="Q37" s="427"/>
    </row>
    <row r="38" spans="2:17" ht="40" customHeight="1">
      <c r="B38" s="427"/>
      <c r="C38" s="427"/>
      <c r="D38" s="427"/>
      <c r="E38" s="427"/>
      <c r="F38" s="427"/>
      <c r="G38" s="427"/>
      <c r="H38" s="427"/>
      <c r="I38" s="427"/>
      <c r="J38" s="427"/>
      <c r="K38" s="427"/>
      <c r="L38" s="427"/>
      <c r="M38" s="427"/>
      <c r="N38" s="427"/>
      <c r="O38" s="427"/>
      <c r="P38" s="427"/>
      <c r="Q38" s="427"/>
    </row>
    <row r="100" spans="26:26">
      <c r="Z100" s="428"/>
    </row>
  </sheetData>
  <sheetProtection algorithmName="SHA-512" hashValue="LsSJj+DhgPNlVo/loz0l5inKIWs6Uci0O6Xiz0Mt6zkmVnWSIGb23O4l5O9o+MMhY/iJo89V7Uv2ZMJTP7pjmw==" saltValue="kMVYNcrlsxEfMEfqATW/8w==" spinCount="100000" sheet="1" objects="1" scenarios="1" selectLockedCells="1" autoFilter="0"/>
  <protectedRanges>
    <protectedRange sqref="E30" name="PID_Plan_Verfuegbar"/>
    <protectedRange sqref="I30" name="PID_Plan_Muster"/>
  </protectedRanges>
  <mergeCells count="20">
    <mergeCell ref="B28:Q28"/>
    <mergeCell ref="B29:Q29"/>
    <mergeCell ref="B30:D30"/>
    <mergeCell ref="F30:H30"/>
    <mergeCell ref="B36:Q36"/>
    <mergeCell ref="J31:Q31"/>
    <mergeCell ref="J32:Q32"/>
    <mergeCell ref="J33:Q33"/>
    <mergeCell ref="J34:Q34"/>
    <mergeCell ref="J35:Q35"/>
    <mergeCell ref="J30:Q30"/>
    <mergeCell ref="B2:Q3"/>
    <mergeCell ref="L4:L6"/>
    <mergeCell ref="M4:M6"/>
    <mergeCell ref="B4:B6"/>
    <mergeCell ref="Q4:Q6"/>
    <mergeCell ref="C4:E5"/>
    <mergeCell ref="N4:P5"/>
    <mergeCell ref="F4:H5"/>
    <mergeCell ref="I4:K5"/>
  </mergeCells>
  <conditionalFormatting sqref="J32:J35">
    <cfRule type="expression" dxfId="0" priority="1" stopIfTrue="1">
      <formula>J32="OK"</formula>
    </cfRule>
  </conditionalFormatting>
  <pageMargins left="0.7" right="0.7" top="0.78740157499999996" bottom="0.78740157499999996" header="0.3" footer="0.3"/>
  <pageSetup paperSize="9" orientation="portrait" horizontalDpi="0" verticalDpi="0"/>
  <headerFooter>
    <oddFooter>&amp;R&amp;"Calibri"&amp;7© Adam Nagy ¬∑ McOpCo ¬∑ Personalsheet 2026</oddFooter>
  </headerFooter>
  <drawing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BFC1D-0E2C-44A1-AC54-7F58A73BBA84}">
  <sheetPr codeName="Tabelle15">
    <pageSetUpPr fitToPage="1"/>
  </sheetPr>
  <dimension ref="A1:Z83"/>
  <sheetViews>
    <sheetView showGridLines="0" showRowColHeaders="0" workbookViewId="0">
      <selection activeCell="H16" sqref="H16"/>
    </sheetView>
  </sheetViews>
  <sheetFormatPr baseColWidth="10" defaultColWidth="10.81640625" defaultRowHeight="15" customHeight="1"/>
  <cols>
    <col min="1" max="1" width="16.6328125" style="181" customWidth="1"/>
    <col min="2" max="2" width="20.6328125" style="181" customWidth="1"/>
    <col min="3" max="4" width="26.6328125" style="181" customWidth="1"/>
    <col min="5" max="5" width="27.6328125" style="181" customWidth="1"/>
    <col min="6" max="6" width="14.26953125" style="181" customWidth="1"/>
    <col min="7" max="7" width="11.81640625" style="181" customWidth="1"/>
    <col min="8" max="8" width="16.26953125" style="181" customWidth="1"/>
    <col min="9" max="9" width="22" style="181" customWidth="1"/>
    <col min="10" max="10" width="15.1796875" style="181" customWidth="1"/>
    <col min="11" max="12" width="37.453125" style="181" customWidth="1"/>
    <col min="13" max="14" width="31.453125" style="181" customWidth="1"/>
    <col min="15" max="15" width="10.81640625" style="181"/>
    <col min="16" max="19" width="2.6328125" style="181" customWidth="1"/>
    <col min="20" max="26" width="10.81640625" style="181" hidden="1" customWidth="1"/>
    <col min="27" max="16384" width="10.81640625" style="181"/>
  </cols>
  <sheetData>
    <row r="1" spans="1:17" ht="28" customHeight="1">
      <c r="A1" s="225" t="s">
        <v>360</v>
      </c>
      <c r="B1" s="225"/>
      <c r="C1" s="225"/>
      <c r="D1" s="225"/>
      <c r="E1" s="225"/>
      <c r="P1" s="181" t="s">
        <v>206</v>
      </c>
      <c r="Q1" s="181" t="s">
        <v>218</v>
      </c>
    </row>
    <row r="2" spans="1:17" ht="18" customHeight="1">
      <c r="A2" s="8" t="s">
        <v>317</v>
      </c>
      <c r="B2" s="8">
        <v>2026</v>
      </c>
      <c r="C2" s="8" t="s">
        <v>318</v>
      </c>
      <c r="D2" s="8" t="s">
        <v>414</v>
      </c>
      <c r="E2" s="8"/>
      <c r="P2" s="181" t="s">
        <v>277</v>
      </c>
      <c r="Q2" s="181">
        <v>2</v>
      </c>
    </row>
    <row r="3" spans="1:17" ht="15" customHeight="1">
      <c r="P3" s="181" t="s">
        <v>314</v>
      </c>
      <c r="Q3" s="181">
        <v>1</v>
      </c>
    </row>
    <row r="4" spans="1:17" ht="22" customHeight="1" thickBot="1">
      <c r="A4" s="329" t="s">
        <v>319</v>
      </c>
      <c r="B4" s="329"/>
      <c r="C4" s="329"/>
      <c r="D4" s="329"/>
      <c r="E4" s="329"/>
      <c r="P4" s="181" t="s">
        <v>168</v>
      </c>
      <c r="Q4" s="181">
        <v>1</v>
      </c>
    </row>
    <row r="5" spans="1:17" ht="24" customHeight="1">
      <c r="A5" s="336" t="s">
        <v>288</v>
      </c>
      <c r="B5" s="338" t="s">
        <v>395</v>
      </c>
      <c r="C5" s="332" t="s">
        <v>413</v>
      </c>
      <c r="D5" s="332"/>
      <c r="E5" s="333"/>
      <c r="P5" s="181" t="s">
        <v>169</v>
      </c>
      <c r="Q5" s="181">
        <v>2</v>
      </c>
    </row>
    <row r="6" spans="1:17" ht="24" customHeight="1" thickBot="1">
      <c r="A6" s="337"/>
      <c r="B6" s="339"/>
      <c r="C6" s="334"/>
      <c r="D6" s="334"/>
      <c r="E6" s="335"/>
      <c r="P6" s="181" t="s">
        <v>170</v>
      </c>
      <c r="Q6" s="181">
        <v>1</v>
      </c>
    </row>
    <row r="7" spans="1:17" ht="15" customHeight="1" thickBot="1">
      <c r="A7" s="430" t="s">
        <v>394</v>
      </c>
      <c r="P7" s="181" t="s">
        <v>172</v>
      </c>
      <c r="Q7" s="181">
        <v>1</v>
      </c>
    </row>
    <row r="8" spans="1:17" ht="24" customHeight="1">
      <c r="A8" s="9" t="s">
        <v>212</v>
      </c>
      <c r="B8" s="10" t="s">
        <v>320</v>
      </c>
      <c r="C8" s="10" t="s">
        <v>214</v>
      </c>
      <c r="D8" s="10" t="s">
        <v>321</v>
      </c>
      <c r="E8" s="11" t="s">
        <v>322</v>
      </c>
      <c r="P8" s="181" t="s">
        <v>174</v>
      </c>
      <c r="Q8" s="181">
        <v>1</v>
      </c>
    </row>
    <row r="9" spans="1:17" ht="22" customHeight="1" thickBot="1">
      <c r="A9" s="23">
        <v>10</v>
      </c>
      <c r="B9" s="182">
        <v>0.11699164345403899</v>
      </c>
      <c r="C9" s="24">
        <v>8.9499999999999993</v>
      </c>
      <c r="D9" s="25">
        <v>5</v>
      </c>
      <c r="E9" s="85">
        <v>0</v>
      </c>
      <c r="P9" s="181" t="s">
        <v>176</v>
      </c>
      <c r="Q9" s="181">
        <v>1</v>
      </c>
    </row>
    <row r="11" spans="1:17" ht="22" customHeight="1" thickBot="1">
      <c r="A11" s="329" t="s">
        <v>361</v>
      </c>
      <c r="B11" s="329"/>
      <c r="C11" s="329"/>
      <c r="D11" s="329"/>
      <c r="E11" s="329"/>
    </row>
    <row r="12" spans="1:17" ht="22" customHeight="1">
      <c r="A12" s="9" t="s">
        <v>323</v>
      </c>
      <c r="B12" s="10" t="s">
        <v>324</v>
      </c>
      <c r="C12" s="10" t="s">
        <v>325</v>
      </c>
      <c r="D12" s="340" t="s">
        <v>362</v>
      </c>
      <c r="E12" s="341"/>
    </row>
    <row r="13" spans="1:17" ht="57.25" customHeight="1">
      <c r="A13" s="26">
        <v>1</v>
      </c>
      <c r="B13" s="27" t="s">
        <v>386</v>
      </c>
      <c r="C13" s="27" t="s">
        <v>399</v>
      </c>
      <c r="D13" s="330" t="s">
        <v>387</v>
      </c>
      <c r="E13" s="331"/>
    </row>
    <row r="14" spans="1:17" ht="57.25" customHeight="1">
      <c r="A14" s="26">
        <v>2</v>
      </c>
      <c r="B14" s="27" t="s">
        <v>219</v>
      </c>
      <c r="C14" s="27" t="s">
        <v>363</v>
      </c>
      <c r="D14" s="330" t="s">
        <v>364</v>
      </c>
      <c r="E14" s="331"/>
    </row>
    <row r="15" spans="1:17" ht="73" customHeight="1">
      <c r="A15" s="26">
        <v>3</v>
      </c>
      <c r="B15" s="27" t="s">
        <v>219</v>
      </c>
      <c r="C15" s="27" t="s">
        <v>365</v>
      </c>
      <c r="D15" s="330" t="s">
        <v>364</v>
      </c>
      <c r="E15" s="331"/>
    </row>
    <row r="16" spans="1:17" ht="57.25" customHeight="1">
      <c r="A16" s="26">
        <v>4</v>
      </c>
      <c r="B16" s="27" t="s">
        <v>386</v>
      </c>
      <c r="C16" s="27" t="s">
        <v>405</v>
      </c>
      <c r="D16" s="330" t="s">
        <v>387</v>
      </c>
      <c r="E16" s="331"/>
    </row>
    <row r="17" spans="1:17" ht="57.25" customHeight="1">
      <c r="A17" s="26">
        <v>5</v>
      </c>
      <c r="B17" s="27" t="s">
        <v>220</v>
      </c>
      <c r="C17" s="27" t="s">
        <v>366</v>
      </c>
      <c r="D17" s="330" t="s">
        <v>367</v>
      </c>
      <c r="E17" s="331"/>
    </row>
    <row r="18" spans="1:17" ht="73" customHeight="1" thickBot="1">
      <c r="A18" s="28">
        <v>6</v>
      </c>
      <c r="B18" s="22" t="s">
        <v>386</v>
      </c>
      <c r="C18" s="22" t="s">
        <v>396</v>
      </c>
      <c r="D18" s="334" t="s">
        <v>387</v>
      </c>
      <c r="E18" s="335"/>
    </row>
    <row r="20" spans="1:17" ht="15" customHeight="1">
      <c r="P20" s="181" t="s">
        <v>211</v>
      </c>
      <c r="Q20" s="181" t="s">
        <v>327</v>
      </c>
    </row>
    <row r="21" spans="1:17" ht="22" customHeight="1" thickBot="1">
      <c r="A21" s="329" t="s">
        <v>326</v>
      </c>
      <c r="B21" s="329"/>
      <c r="C21" s="329"/>
      <c r="D21" s="329"/>
      <c r="E21" s="329"/>
      <c r="P21" s="181" t="s">
        <v>297</v>
      </c>
      <c r="Q21" s="181">
        <v>1</v>
      </c>
    </row>
    <row r="22" spans="1:17" ht="41.5" customHeight="1">
      <c r="A22" s="29">
        <v>1</v>
      </c>
      <c r="B22" s="332" t="s">
        <v>388</v>
      </c>
      <c r="C22" s="332"/>
      <c r="D22" s="332"/>
      <c r="E22" s="333"/>
      <c r="P22" s="181" t="s">
        <v>389</v>
      </c>
      <c r="Q22" s="181">
        <v>3</v>
      </c>
    </row>
    <row r="23" spans="1:17" ht="41.5" customHeight="1">
      <c r="A23" s="26">
        <v>2</v>
      </c>
      <c r="B23" s="330" t="s">
        <v>368</v>
      </c>
      <c r="C23" s="330"/>
      <c r="D23" s="330"/>
      <c r="E23" s="331"/>
      <c r="P23" s="181" t="s">
        <v>216</v>
      </c>
      <c r="Q23" s="181">
        <v>1</v>
      </c>
    </row>
    <row r="24" spans="1:17" ht="41.5" customHeight="1">
      <c r="A24" s="26">
        <v>3</v>
      </c>
      <c r="B24" s="330" t="s">
        <v>369</v>
      </c>
      <c r="C24" s="330"/>
      <c r="D24" s="330"/>
      <c r="E24" s="331"/>
      <c r="P24" s="181" t="s">
        <v>328</v>
      </c>
      <c r="Q24" s="181">
        <v>4</v>
      </c>
    </row>
    <row r="25" spans="1:17" ht="41.5" customHeight="1">
      <c r="A25" s="26">
        <v>4</v>
      </c>
      <c r="B25" s="330" t="s">
        <v>397</v>
      </c>
      <c r="C25" s="330"/>
      <c r="D25" s="330"/>
      <c r="E25" s="331"/>
      <c r="P25" s="181" t="s">
        <v>336</v>
      </c>
      <c r="Q25" s="181">
        <v>1</v>
      </c>
    </row>
    <row r="26" spans="1:17" ht="41.5" customHeight="1" thickBot="1">
      <c r="A26" s="28">
        <v>5</v>
      </c>
      <c r="B26" s="334" t="s">
        <v>400</v>
      </c>
      <c r="C26" s="334"/>
      <c r="D26" s="334"/>
      <c r="E26" s="335"/>
    </row>
    <row r="28" spans="1:17" ht="15" customHeight="1">
      <c r="A28" s="342" t="s">
        <v>329</v>
      </c>
      <c r="B28" s="342"/>
      <c r="C28" s="342"/>
      <c r="D28" s="342"/>
      <c r="E28" s="342"/>
    </row>
    <row r="29" spans="1:17" ht="18" customHeight="1"/>
    <row r="30" spans="1:17" ht="18" customHeight="1"/>
    <row r="31" spans="1:17" ht="18" customHeight="1"/>
    <row r="32" spans="1:17" ht="18" customHeight="1"/>
    <row r="33" spans="18:19" ht="18" customHeight="1"/>
    <row r="34" spans="18:19" ht="18" customHeight="1"/>
    <row r="35" spans="18:19" ht="18" customHeight="1"/>
    <row r="36" spans="18:19" ht="18" customHeight="1"/>
    <row r="37" spans="18:19" ht="18" customHeight="1"/>
    <row r="38" spans="18:19" ht="18" customHeight="1"/>
    <row r="39" spans="18:19" ht="18" customHeight="1"/>
    <row r="40" spans="18:19" ht="18" customHeight="1">
      <c r="R40" s="181" t="s">
        <v>183</v>
      </c>
      <c r="S40" s="181" t="s">
        <v>327</v>
      </c>
    </row>
    <row r="41" spans="18:19" ht="18" customHeight="1">
      <c r="R41" s="181" t="s">
        <v>194</v>
      </c>
      <c r="S41" s="181">
        <v>3</v>
      </c>
    </row>
    <row r="42" spans="18:19" ht="18" customHeight="1">
      <c r="R42" s="181" t="s">
        <v>186</v>
      </c>
      <c r="S42" s="181">
        <v>3</v>
      </c>
    </row>
    <row r="43" spans="18:19" ht="18" customHeight="1">
      <c r="R43" s="181" t="s">
        <v>184</v>
      </c>
      <c r="S43" s="181">
        <v>2</v>
      </c>
    </row>
    <row r="44" spans="18:19" ht="18" customHeight="1">
      <c r="R44" s="181" t="s">
        <v>185</v>
      </c>
      <c r="S44" s="181">
        <v>1</v>
      </c>
    </row>
    <row r="45" spans="18:19" ht="18" customHeight="1">
      <c r="R45" s="181" t="s">
        <v>195</v>
      </c>
      <c r="S45" s="181">
        <v>2</v>
      </c>
    </row>
    <row r="46" spans="18:19" ht="18" customHeight="1"/>
    <row r="47" spans="18:19" ht="18" customHeight="1"/>
    <row r="48" spans="18:19" ht="18" customHeight="1"/>
    <row r="49" spans="1:13" ht="18" customHeight="1"/>
    <row r="50" spans="1:13" ht="18" customHeight="1"/>
    <row r="51" spans="1:13" ht="18" customHeight="1"/>
    <row r="52" spans="1:13" ht="18" customHeight="1"/>
    <row r="53" spans="1:13" ht="18" customHeight="1"/>
    <row r="54" spans="1:13" ht="18" customHeight="1"/>
    <row r="55" spans="1:13" ht="18" customHeight="1"/>
    <row r="56" spans="1:13" ht="18" customHeight="1"/>
    <row r="57" spans="1:13" ht="18" customHeight="1"/>
    <row r="58" spans="1:13" ht="18" customHeight="1"/>
    <row r="59" spans="1:13" ht="18" customHeight="1"/>
    <row r="60" spans="1:13" ht="18" customHeight="1">
      <c r="A60" s="225" t="s">
        <v>370</v>
      </c>
      <c r="B60" s="225"/>
      <c r="C60" s="225"/>
      <c r="D60" s="225"/>
      <c r="E60" s="225"/>
      <c r="F60" s="225"/>
      <c r="G60" s="225"/>
      <c r="H60" s="225"/>
      <c r="I60" s="225"/>
      <c r="J60" s="225"/>
      <c r="K60" s="225"/>
      <c r="L60" s="225"/>
      <c r="M60" s="225"/>
    </row>
    <row r="61" spans="1:13" ht="15" customHeight="1" thickBot="1"/>
    <row r="62" spans="1:13" ht="18" customHeight="1">
      <c r="A62" s="9" t="s">
        <v>206</v>
      </c>
      <c r="B62" s="10" t="s">
        <v>218</v>
      </c>
      <c r="C62" s="10" t="s">
        <v>222</v>
      </c>
      <c r="D62" s="10" t="s">
        <v>214</v>
      </c>
      <c r="E62" s="10" t="s">
        <v>276</v>
      </c>
      <c r="F62" s="10" t="s">
        <v>297</v>
      </c>
      <c r="G62" s="10" t="s">
        <v>389</v>
      </c>
      <c r="H62" s="10" t="s">
        <v>216</v>
      </c>
      <c r="I62" s="10" t="s">
        <v>333</v>
      </c>
      <c r="J62" s="10" t="s">
        <v>371</v>
      </c>
      <c r="K62" s="10" t="s">
        <v>294</v>
      </c>
      <c r="L62" s="10"/>
      <c r="M62" s="11"/>
    </row>
    <row r="63" spans="1:13" ht="73" customHeight="1">
      <c r="A63" s="30" t="s">
        <v>277</v>
      </c>
      <c r="B63" s="31">
        <v>2</v>
      </c>
      <c r="C63" s="32">
        <v>3.9215686274509803E-2</v>
      </c>
      <c r="D63" s="33">
        <v>2.625</v>
      </c>
      <c r="E63" s="33">
        <v>1.3125</v>
      </c>
      <c r="F63" s="31">
        <v>0</v>
      </c>
      <c r="G63" s="31">
        <v>1</v>
      </c>
      <c r="H63" s="31">
        <v>0</v>
      </c>
      <c r="I63" s="31">
        <v>0</v>
      </c>
      <c r="J63" s="34" t="s">
        <v>390</v>
      </c>
      <c r="K63" s="322" t="s">
        <v>391</v>
      </c>
      <c r="L63" s="322"/>
      <c r="M63" s="323"/>
    </row>
    <row r="64" spans="1:13" ht="41.5" customHeight="1">
      <c r="A64" s="30" t="s">
        <v>314</v>
      </c>
      <c r="B64" s="31">
        <v>1</v>
      </c>
      <c r="C64" s="32">
        <v>1.6393442622950821E-2</v>
      </c>
      <c r="D64" s="33">
        <v>0.22499999999999998</v>
      </c>
      <c r="E64" s="33">
        <v>0.22499999999999998</v>
      </c>
      <c r="F64" s="31">
        <v>1</v>
      </c>
      <c r="G64" s="31">
        <v>0</v>
      </c>
      <c r="H64" s="31">
        <v>0</v>
      </c>
      <c r="I64" s="31">
        <v>0</v>
      </c>
      <c r="J64" s="34" t="s">
        <v>373</v>
      </c>
      <c r="K64" s="322" t="s">
        <v>374</v>
      </c>
      <c r="L64" s="322"/>
      <c r="M64" s="323"/>
    </row>
    <row r="65" spans="1:13" ht="41.5" customHeight="1">
      <c r="A65" s="30" t="s">
        <v>168</v>
      </c>
      <c r="B65" s="31">
        <v>1</v>
      </c>
      <c r="C65" s="32">
        <v>1.6129032258064516E-2</v>
      </c>
      <c r="D65" s="33">
        <v>1.125</v>
      </c>
      <c r="E65" s="33">
        <v>1.125</v>
      </c>
      <c r="F65" s="31">
        <v>0</v>
      </c>
      <c r="G65" s="31">
        <v>1</v>
      </c>
      <c r="H65" s="31">
        <v>0</v>
      </c>
      <c r="I65" s="31">
        <v>0</v>
      </c>
      <c r="J65" s="34" t="s">
        <v>373</v>
      </c>
      <c r="K65" s="322" t="s">
        <v>391</v>
      </c>
      <c r="L65" s="322"/>
      <c r="M65" s="323"/>
    </row>
    <row r="66" spans="1:13" ht="73" customHeight="1">
      <c r="A66" s="30" t="s">
        <v>169</v>
      </c>
      <c r="B66" s="31">
        <v>2</v>
      </c>
      <c r="C66" s="32">
        <v>3.2258064516129031E-2</v>
      </c>
      <c r="D66" s="33">
        <v>1.75</v>
      </c>
      <c r="E66" s="33">
        <v>0.875</v>
      </c>
      <c r="F66" s="31">
        <v>0</v>
      </c>
      <c r="G66" s="31">
        <v>0</v>
      </c>
      <c r="H66" s="31">
        <v>1</v>
      </c>
      <c r="I66" s="31">
        <v>0</v>
      </c>
      <c r="J66" s="34" t="s">
        <v>390</v>
      </c>
      <c r="K66" s="322" t="s">
        <v>375</v>
      </c>
      <c r="L66" s="322"/>
      <c r="M66" s="323"/>
    </row>
    <row r="67" spans="1:13" ht="34" customHeight="1">
      <c r="A67" s="30" t="s">
        <v>170</v>
      </c>
      <c r="B67" s="31">
        <v>1</v>
      </c>
      <c r="C67" s="32">
        <v>1.6393442622950821E-2</v>
      </c>
      <c r="D67" s="33">
        <v>0</v>
      </c>
      <c r="E67" s="33">
        <v>0</v>
      </c>
      <c r="F67" s="31">
        <v>0</v>
      </c>
      <c r="G67" s="31">
        <v>0</v>
      </c>
      <c r="H67" s="31">
        <v>0</v>
      </c>
      <c r="I67" s="31">
        <v>1</v>
      </c>
      <c r="J67" s="34" t="s">
        <v>334</v>
      </c>
      <c r="K67" s="322" t="s">
        <v>335</v>
      </c>
      <c r="L67" s="322"/>
      <c r="M67" s="323"/>
    </row>
    <row r="68" spans="1:13" ht="57.25" customHeight="1">
      <c r="A68" s="30" t="s">
        <v>172</v>
      </c>
      <c r="B68" s="31">
        <v>1</v>
      </c>
      <c r="C68" s="32">
        <v>1.6666666666666666E-2</v>
      </c>
      <c r="D68" s="33">
        <v>1.6500000000000001</v>
      </c>
      <c r="E68" s="33">
        <v>1.6500000000000001</v>
      </c>
      <c r="F68" s="31">
        <v>0</v>
      </c>
      <c r="G68" s="31">
        <v>1</v>
      </c>
      <c r="H68" s="31">
        <v>0</v>
      </c>
      <c r="I68" s="31">
        <v>0</v>
      </c>
      <c r="J68" s="34" t="s">
        <v>393</v>
      </c>
      <c r="K68" s="322" t="s">
        <v>391</v>
      </c>
      <c r="L68" s="322"/>
      <c r="M68" s="323"/>
    </row>
    <row r="69" spans="1:13" ht="41.5" customHeight="1">
      <c r="A69" s="30" t="s">
        <v>174</v>
      </c>
      <c r="B69" s="31">
        <v>1</v>
      </c>
      <c r="C69" s="32">
        <v>1.6949152542372881E-2</v>
      </c>
      <c r="D69" s="33">
        <v>0.75</v>
      </c>
      <c r="E69" s="33">
        <v>0.75</v>
      </c>
      <c r="F69" s="31">
        <v>0</v>
      </c>
      <c r="G69" s="31">
        <v>0</v>
      </c>
      <c r="H69" s="31">
        <v>0</v>
      </c>
      <c r="I69" s="31">
        <v>0</v>
      </c>
      <c r="J69" s="34" t="s">
        <v>372</v>
      </c>
      <c r="K69" s="322" t="s">
        <v>279</v>
      </c>
      <c r="L69" s="322"/>
      <c r="M69" s="323"/>
    </row>
    <row r="70" spans="1:13" ht="57.25" customHeight="1">
      <c r="A70" s="30" t="s">
        <v>176</v>
      </c>
      <c r="B70" s="31">
        <v>1</v>
      </c>
      <c r="C70" s="32">
        <v>1.7241379310344827E-2</v>
      </c>
      <c r="D70" s="33">
        <v>0.82500000000000007</v>
      </c>
      <c r="E70" s="33">
        <v>0.82500000000000007</v>
      </c>
      <c r="F70" s="31">
        <v>0</v>
      </c>
      <c r="G70" s="31">
        <v>0</v>
      </c>
      <c r="H70" s="31">
        <v>0</v>
      </c>
      <c r="I70" s="31">
        <v>0</v>
      </c>
      <c r="J70" s="34" t="s">
        <v>393</v>
      </c>
      <c r="K70" s="322" t="s">
        <v>279</v>
      </c>
      <c r="L70" s="322"/>
      <c r="M70" s="323"/>
    </row>
    <row r="71" spans="1:13" ht="34" customHeight="1" thickBot="1">
      <c r="A71" s="35" t="s">
        <v>392</v>
      </c>
      <c r="B71" s="79">
        <v>10</v>
      </c>
      <c r="C71" s="80"/>
      <c r="D71" s="81">
        <v>8.9499999999999993</v>
      </c>
      <c r="E71" s="81">
        <v>0.89499999999999991</v>
      </c>
      <c r="F71" s="79"/>
      <c r="G71" s="79"/>
      <c r="H71" s="79"/>
      <c r="I71" s="79"/>
      <c r="J71" s="82"/>
      <c r="K71" s="82"/>
      <c r="L71" s="82"/>
      <c r="M71" s="83"/>
    </row>
    <row r="74" spans="1:13" ht="15" customHeight="1" thickBot="1"/>
    <row r="75" spans="1:13" ht="22" customHeight="1">
      <c r="A75" s="326" t="s">
        <v>376</v>
      </c>
      <c r="B75" s="327"/>
      <c r="C75" s="327"/>
      <c r="D75" s="327"/>
      <c r="E75" s="328"/>
    </row>
    <row r="76" spans="1:13" ht="41.5" customHeight="1">
      <c r="A76" s="26" t="s">
        <v>221</v>
      </c>
      <c r="B76" s="322" t="s">
        <v>223</v>
      </c>
      <c r="C76" s="322"/>
      <c r="D76" s="322"/>
      <c r="E76" s="323"/>
    </row>
    <row r="77" spans="1:13" ht="41.5" customHeight="1">
      <c r="A77" s="26" t="s">
        <v>214</v>
      </c>
      <c r="B77" s="322" t="s">
        <v>377</v>
      </c>
      <c r="C77" s="322"/>
      <c r="D77" s="322"/>
      <c r="E77" s="323"/>
    </row>
    <row r="78" spans="1:13" ht="41.5" customHeight="1">
      <c r="A78" s="26" t="s">
        <v>275</v>
      </c>
      <c r="B78" s="322" t="s">
        <v>378</v>
      </c>
      <c r="C78" s="322"/>
      <c r="D78" s="322"/>
      <c r="E78" s="323"/>
    </row>
    <row r="79" spans="1:13" ht="41.5" customHeight="1">
      <c r="A79" s="26" t="s">
        <v>219</v>
      </c>
      <c r="B79" s="322" t="s">
        <v>379</v>
      </c>
      <c r="C79" s="322"/>
      <c r="D79" s="322"/>
      <c r="E79" s="323"/>
    </row>
    <row r="80" spans="1:13" ht="41.5" customHeight="1">
      <c r="A80" s="26" t="s">
        <v>215</v>
      </c>
      <c r="B80" s="322" t="s">
        <v>380</v>
      </c>
      <c r="C80" s="322"/>
      <c r="D80" s="322"/>
      <c r="E80" s="323"/>
    </row>
    <row r="81" spans="1:5" ht="41.5" customHeight="1">
      <c r="A81" s="26" t="s">
        <v>220</v>
      </c>
      <c r="B81" s="322" t="s">
        <v>381</v>
      </c>
      <c r="C81" s="322"/>
      <c r="D81" s="322"/>
      <c r="E81" s="323"/>
    </row>
    <row r="82" spans="1:5" ht="28" customHeight="1">
      <c r="A82" s="26" t="s">
        <v>217</v>
      </c>
      <c r="B82" s="322" t="s">
        <v>382</v>
      </c>
      <c r="C82" s="322"/>
      <c r="D82" s="322"/>
      <c r="E82" s="323"/>
    </row>
    <row r="83" spans="1:5" ht="28" customHeight="1" thickBot="1">
      <c r="A83" s="28" t="s">
        <v>383</v>
      </c>
      <c r="B83" s="324" t="s">
        <v>384</v>
      </c>
      <c r="C83" s="324"/>
      <c r="D83" s="324"/>
      <c r="E83" s="325"/>
    </row>
  </sheetData>
  <sheetProtection algorithmName="SHA-512" hashValue="7NrvgWcBylffQq0ZPLNwKICczdqoyAa2YP7tkAODG0ILb6bQ8cVNHQeDz/v40OVOECijXIyEfp4lAHo7/RWCrQ==" saltValue="gJYK3srxovq5Gyvi7+KJOQ==" spinCount="100000" sheet="1" objects="1" scenarios="1" sort="0" autoFilter="0"/>
  <mergeCells count="38">
    <mergeCell ref="B24:E24"/>
    <mergeCell ref="B81:E81"/>
    <mergeCell ref="B82:E82"/>
    <mergeCell ref="A21:E21"/>
    <mergeCell ref="B80:E80"/>
    <mergeCell ref="B79:E79"/>
    <mergeCell ref="B25:E25"/>
    <mergeCell ref="B26:E26"/>
    <mergeCell ref="A28:E28"/>
    <mergeCell ref="A60:M60"/>
    <mergeCell ref="K63:M63"/>
    <mergeCell ref="K69:M69"/>
    <mergeCell ref="K70:M70"/>
    <mergeCell ref="K64:M64"/>
    <mergeCell ref="K65:M65"/>
    <mergeCell ref="K66:M66"/>
    <mergeCell ref="A1:E1"/>
    <mergeCell ref="A4:E4"/>
    <mergeCell ref="A11:E11"/>
    <mergeCell ref="D17:E17"/>
    <mergeCell ref="B23:E23"/>
    <mergeCell ref="C5:E6"/>
    <mergeCell ref="A5:A6"/>
    <mergeCell ref="B5:B6"/>
    <mergeCell ref="D12:E12"/>
    <mergeCell ref="D13:E13"/>
    <mergeCell ref="D14:E14"/>
    <mergeCell ref="D15:E15"/>
    <mergeCell ref="D16:E16"/>
    <mergeCell ref="D18:E18"/>
    <mergeCell ref="B22:E22"/>
    <mergeCell ref="K67:M67"/>
    <mergeCell ref="K68:M68"/>
    <mergeCell ref="B83:E83"/>
    <mergeCell ref="B77:E77"/>
    <mergeCell ref="B78:E78"/>
    <mergeCell ref="B76:E76"/>
    <mergeCell ref="A75:E75"/>
  </mergeCells>
  <pageMargins left="0.4" right="0.4" top="0.5" bottom="0.5" header="0.3" footer="0.3"/>
  <pageSetup paperSize="9" scale="32" fitToHeight="0" orientation="portrait" horizontalDpi="0" verticalDpi="0"/>
  <headerFooter>
    <oddFooter>&amp;R&amp;"Calibri"&amp;7© Adam Nagy ¬∑ McOpCo ¬∑ Personalsheet 2026</oddFooter>
  </headerFooter>
  <drawing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16</vt:i4>
      </vt:variant>
      <vt:variant>
        <vt:lpstr>Benannte Bereiche</vt:lpstr>
      </vt:variant>
      <vt:variant>
        <vt:i4>2</vt:i4>
      </vt:variant>
    </vt:vector>
  </HeadingPairs>
  <TitlesOfParts>
    <vt:vector size="18" baseType="lpstr">
      <vt:lpstr>LOHNTABELLE</vt:lpstr>
      <vt:lpstr>EINSTELLUNG</vt:lpstr>
      <vt:lpstr>Januar</vt:lpstr>
      <vt:lpstr>Februar</vt:lpstr>
      <vt:lpstr>Marz</vt:lpstr>
      <vt:lpstr>April</vt:lpstr>
      <vt:lpstr>Mai</vt:lpstr>
      <vt:lpstr>Juni</vt:lpstr>
      <vt:lpstr>Juli</vt:lpstr>
      <vt:lpstr>August</vt:lpstr>
      <vt:lpstr>September</vt:lpstr>
      <vt:lpstr>Oktober</vt:lpstr>
      <vt:lpstr>November</vt:lpstr>
      <vt:lpstr>Dezember</vt:lpstr>
      <vt:lpstr>UBERSICHT</vt:lpstr>
      <vt:lpstr>FLUKTUATION</vt:lpstr>
      <vt:lpstr>FLUKTUATION!Druckbereich</vt:lpstr>
      <vt:lpstr>PID_KV_CODE_LIST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openpyxl</dc:creator>
  <cp:keywords/>
  <dc:description/>
  <cp:lastModifiedBy>Nagy Adam</cp:lastModifiedBy>
  <cp:revision/>
  <cp:lastPrinted>2026-06-07T21:14:34Z</cp:lastPrinted>
  <dcterms:created xsi:type="dcterms:W3CDTF">2024-07-06T11:11:20Z</dcterms:created>
  <dcterms:modified xsi:type="dcterms:W3CDTF">2026-06-18T18:16:19Z</dcterms:modified>
  <cp:category/>
  <cp:contentStatus/>
</cp:coreProperties>
</file>
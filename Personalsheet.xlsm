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E0A0278A-78C0-004D-BAB6-DAC196C1FD8A}" xr6:coauthVersionLast="47" xr6:coauthVersionMax="47" xr10:uidLastSave="{00000000-0000-0000-0000-000000000000}"/>
  <bookViews>
    <workbookView xWindow="80" yWindow="780" windowWidth="34040" windowHeight="19900" tabRatio="677" firstSheet="1" activeTab="5"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UBERSICHT" sheetId="15" r:id="rId16"/>
    <sheet name="FLUKTUATION_DATEN" sheetId="38" state="veryHidden" r:id="rId17"/>
    <sheet name="Fluktuation" sheetId="39" r:id="rId18"/>
    <sheet name="Message" sheetId="22" state="veryHidden" r:id="rId19"/>
    <sheet name="KV_DROPDOWN_HELPER" sheetId="49" state="veryHidden" r:id="rId20"/>
    <sheet name="PID_HOUR_OVERRIDES" sheetId="50"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KV_DROPDOWN_HELPER!$IY$1:$IY$15</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KV_DROPDOWN_HELPER!$H$1:$H$14</definedName>
    <definedName name="KV_DD_JANUAR_11">KV_DROPDOWN_HELPER!$I$1:$I$14</definedName>
    <definedName name="KV_DD_JANUAR_12">KV_DROPDOWN_HELPER!$J$1:$J$14</definedName>
    <definedName name="KV_DD_JANUAR_13">KV_DROPDOWN_HELPER!$K$1:$K$15</definedName>
    <definedName name="KV_DD_JANUAR_14">KV_DROPDOWN_HELPER!$L$1:$L$13</definedName>
    <definedName name="KV_DD_JANUAR_15">KV_DROPDOWN_HELPER!$M$1:$M$15</definedName>
    <definedName name="KV_DD_JANUAR_16">KV_DROPDOWN_HELPER!$N$1:$N$15</definedName>
    <definedName name="KV_DD_JANUAR_17">KV_DROPDOWN_HELPER!$O$1:$O$15</definedName>
    <definedName name="KV_DD_JANUAR_18">KV_DROPDOWN_HELPER!$P$1:$P$13</definedName>
    <definedName name="KV_DD_JANUAR_19">KV_DROPDOWN_HELPER!$Q$1:$Q$15</definedName>
    <definedName name="KV_DD_JANUAR_20">KV_DROPDOWN_HELPER!$R$1:$R$15</definedName>
    <definedName name="KV_DD_JANUAR_21">KV_DROPDOWN_HELPER!$S$1:$S$14</definedName>
    <definedName name="KV_DD_JANUAR_22">KV_DROPDOWN_HELPER!$T$1:$T$13</definedName>
    <definedName name="KV_DD_JANUAR_23">KV_DROPDOWN_HELPER!$U$1:$U$13</definedName>
    <definedName name="KV_DD_JANUAR_24">KV_DROPDOWN_HELPER!$V$1:$V$15</definedName>
    <definedName name="KV_DD_JANUAR_25">KV_DROPDOWN_HELPER!$W$1:$W$15</definedName>
    <definedName name="KV_DD_JANUAR_26">KV_DROPDOWN_HELPER!$X$1:$X$15</definedName>
    <definedName name="KV_DD_JANUAR_27">KV_DROPDOWN_HELPER!$Y$1:$Y$13</definedName>
    <definedName name="KV_DD_JANUAR_28">KV_DROPDOWN_HELPER!$Z$1:$Z$15</definedName>
    <definedName name="KV_DD_JANUAR_29">KV_DROPDOWN_HELPER!$AA$1:$AA$15</definedName>
    <definedName name="KV_DD_JANUAR_3">KV_DROPDOWN_HELPER!$A$1:$A$13</definedName>
    <definedName name="KV_DD_JANUAR_30">KV_DROPDOWN_HELPER!$AB$1:$AB$15</definedName>
    <definedName name="KV_DD_JANUAR_31">KV_DROPDOWN_HELPER!$AC$1:$AC$15</definedName>
    <definedName name="KV_DD_JANUAR_32">KV_DROPDOWN_HELPER!$AD$1:$AD$15</definedName>
    <definedName name="KV_DD_JANUAR_33">KV_DROPDOWN_HELPER!$AE$1:$AE$15</definedName>
    <definedName name="KV_DD_JANUAR_34">KV_DROPDOWN_HELPER!$AF$1:$AF$15</definedName>
    <definedName name="KV_DD_JANUAR_35">KV_DROPDOWN_HELPER!$AG$1:$AG$14</definedName>
    <definedName name="KV_DD_JANUAR_36">KV_DROPDOWN_HELPER!$AH$1:$AH$15</definedName>
    <definedName name="KV_DD_JANUAR_37">KV_DROPDOWN_HELPER!$AI$1:$AI$15</definedName>
    <definedName name="KV_DD_JANUAR_38">KV_DROPDOWN_HELPER!$AJ$1:$AJ$15</definedName>
    <definedName name="KV_DD_JANUAR_39">KV_DROPDOWN_HELPER!$AK$1:$AK$15</definedName>
    <definedName name="KV_DD_JANUAR_4">KV_DROPDOWN_HELPER!$B$1:$B$13</definedName>
    <definedName name="KV_DD_JANUAR_40">KV_DROPDOWN_HELPER!$AL$1:$AL$15</definedName>
    <definedName name="KV_DD_JANUAR_41">KV_DROPDOWN_HELPER!$AM$1:$AM$15</definedName>
    <definedName name="KV_DD_JANUAR_42">KV_DROPDOWN_HELPER!$AN$1:$AN$15</definedName>
    <definedName name="KV_DD_JANUAR_43">KV_DROPDOWN_HELPER!$AO$1:$AO$15</definedName>
    <definedName name="KV_DD_JANUAR_44">KV_DROPDOWN_HELPER!$AP$1:$AP$15</definedName>
    <definedName name="KV_DD_JANUAR_45">KV_DROPDOWN_HELPER!$AQ$1:$AQ$15</definedName>
    <definedName name="KV_DD_JANUAR_46">KV_DROPDOWN_HELPER!$AR$1:$AR$15</definedName>
    <definedName name="KV_DD_JANUAR_47">KV_DROPDOWN_HELPER!$AS$1:$AS$15</definedName>
    <definedName name="KV_DD_JANUAR_48">KV_DROPDOWN_HELPER!$AT$1:$AT$15</definedName>
    <definedName name="KV_DD_JANUAR_49">KV_DROPDOWN_HELPER!$AU$1:$AU$15</definedName>
    <definedName name="KV_DD_JANUAR_5">KV_DROPDOWN_HELPER!$C$1:$C$13</definedName>
    <definedName name="KV_DD_JANUAR_50">KV_DROPDOWN_HELPER!$AV$1:$AV$15</definedName>
    <definedName name="KV_DD_JANUAR_51">KV_DROPDOWN_HELPER!$AW$1:$AW$15</definedName>
    <definedName name="KV_DD_JANUAR_52">KV_DROPDOWN_HELPER!$AX$1:$AX$15</definedName>
    <definedName name="KV_DD_JANUAR_53">KV_DROPDOWN_HELPER!$AY$1:$AY$15</definedName>
    <definedName name="KV_DD_JANUAR_54">KV_DROPDOWN_HELPER!$AZ$1:$AZ$15</definedName>
    <definedName name="KV_DD_JANUAR_6">KV_DROPDOWN_HELPER!$D$1:$D$13</definedName>
    <definedName name="KV_DD_JANUAR_7">KV_DROPDOWN_HELPER!$E$1:$E$13</definedName>
    <definedName name="KV_DD_JANUAR_8">KV_DROPDOWN_HELPER!$F$1:$F$13</definedName>
    <definedName name="KV_DD_JANUAR_9">KV_DROPDOWN_HELPER!$G$1:$G$14</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KV_DROPDOWN_HELPER!$MC$1:$MC$15</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KV_DROPDOWN_HELPER!$LJ$1:$LJ$13</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3" i="46" l="1"/>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30" i="31"/>
  <c r="L31" i="31"/>
  <c r="L33" i="31"/>
  <c r="L34" i="31"/>
  <c r="L42" i="31"/>
  <c r="L51" i="31"/>
  <c r="L52" i="31"/>
  <c r="L53" i="31"/>
  <c r="L54" i="31"/>
  <c r="L55" i="31"/>
  <c r="L56" i="31"/>
  <c r="L57" i="31"/>
  <c r="L62" i="31"/>
  <c r="L63" i="31"/>
  <c r="L65" i="31"/>
  <c r="L66" i="31"/>
  <c r="L74"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L28" i="31" s="1"/>
  <c r="K29" i="31"/>
  <c r="L29" i="31" s="1"/>
  <c r="K30" i="31"/>
  <c r="K31" i="31"/>
  <c r="K32" i="31"/>
  <c r="L32" i="31" s="1"/>
  <c r="K33" i="3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K58" i="31"/>
  <c r="L58" i="31" s="1"/>
  <c r="K59" i="31"/>
  <c r="L59" i="31" s="1"/>
  <c r="K60" i="31"/>
  <c r="L60" i="31" s="1"/>
  <c r="K61" i="31"/>
  <c r="L61" i="31" s="1"/>
  <c r="K62" i="31"/>
  <c r="K63" i="31"/>
  <c r="K64" i="31"/>
  <c r="L64" i="31" s="1"/>
  <c r="K65" i="31"/>
  <c r="K66" i="31"/>
  <c r="K67" i="31"/>
  <c r="L67" i="31" s="1"/>
  <c r="K68" i="31"/>
  <c r="L68" i="31" s="1"/>
  <c r="K69" i="31"/>
  <c r="L69" i="31" s="1"/>
  <c r="K70" i="31"/>
  <c r="L70" i="31" s="1"/>
  <c r="K71" i="31"/>
  <c r="L71" i="31" s="1"/>
  <c r="K72" i="31"/>
  <c r="L72" i="31" s="1"/>
  <c r="K73" i="31"/>
  <c r="L73" i="31" s="1"/>
  <c r="K74" i="3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7" i="28"/>
  <c r="L9" i="28"/>
  <c r="K3" i="28"/>
  <c r="K4" i="28"/>
  <c r="L4" i="28" s="1"/>
  <c r="K5" i="28"/>
  <c r="K6" i="28"/>
  <c r="L6" i="28" s="1"/>
  <c r="K7" i="28"/>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L41" i="28" s="1"/>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L30" i="27" s="1"/>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77" i="26"/>
  <c r="K3" i="26"/>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6" a="1"/>
  <c r="S36" i="31" a="1"/>
  <c r="S36" i="30" a="1"/>
  <c r="S36" i="35" a="1"/>
  <c r="S36" i="28" a="1"/>
  <c r="S36" i="32"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<sst xmlns="http://schemas.openxmlformats.org/spreadsheetml/2006/main" count="3806" uniqueCount="387">
  <si>
    <t>KV Gruppe</t>
  </si>
  <si>
    <t>Monatslohn</t>
  </si>
  <si>
    <t>BG1</t>
  </si>
  <si>
    <t>BG1_5</t>
  </si>
  <si>
    <t>BG1_10</t>
  </si>
  <si>
    <t>BG1_15</t>
  </si>
  <si>
    <t>BG2</t>
  </si>
  <si>
    <t>BG2_5</t>
  </si>
  <si>
    <t>BG2_10</t>
  </si>
  <si>
    <t>BG2_15</t>
  </si>
  <si>
    <t>BG3</t>
  </si>
  <si>
    <t>BG3_5</t>
  </si>
  <si>
    <t>BG3_10</t>
  </si>
  <si>
    <t>BG3_15</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</si>
  <si>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</si>
  <si>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</si>
  <si>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</si>
  <si>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</si>
  <si>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</si>
  <si>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</si>
  <si>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</si>
  <si>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</si>
  <si>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</si>
  <si>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</si>
  <si>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</si>
  <si>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</si>
  <si>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</si>
  <si>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</si>
  <si>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</si>
  <si>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</si>
  <si>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</si>
  <si>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</si>
  <si>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</si>
  <si>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</si>
  <si>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</si>
  <si>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</si>
  <si>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</si>
  <si>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</si>
  <si>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</si>
  <si>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</si>
  <si>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</si>
  <si>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</si>
  <si>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</si>
  <si>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</si>
  <si>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</si>
  <si>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</si>
  <si>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</si>
  <si>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</si>
  <si>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</si>
  <si>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</si>
  <si>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</si>
  <si>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</si>
  <si>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</si>
  <si>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</si>
  <si>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</si>
  <si>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</si>
  <si>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</si>
  <si>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</si>
  <si>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</si>
  <si>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</si>
  <si>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</si>
  <si>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</si>
  <si>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</si>
  <si>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</si>
  <si>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</si>
  <si>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</si>
  <si>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</si>
  <si>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</si>
  <si>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</si>
  <si>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</si>
  <si>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</si>
  <si>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</si>
  <si>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</si>
  <si>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</si>
  <si>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</si>
  <si>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</si>
  <si>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</si>
  <si>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</si>
  <si>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</si>
  <si>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</si>
  <si>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</si>
  <si>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</si>
  <si>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</si>
  <si>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</si>
  <si>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</si>
  <si>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</si>
  <si>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</si>
  <si>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</si>
  <si>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</si>
  <si>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</si>
  <si>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</si>
  <si>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</si>
  <si>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</si>
  <si>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</si>
  <si>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</si>
  <si>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</si>
  <si>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</si>
  <si>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</si>
  <si>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</si>
  <si>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</si>
  <si>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</si>
  <si>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</si>
  <si>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</si>
  <si>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</si>
  <si>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</si>
  <si>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</si>
  <si>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</si>
  <si>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</si>
  <si>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</si>
  <si>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</si>
  <si>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</si>
  <si>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</si>
  <si>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</si>
  <si>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</si>
  <si>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</si>
  <si>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</si>
  <si>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</si>
  <si>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</si>
  <si>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</si>
  <si>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</si>
  <si>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</si>
  <si>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</si>
  <si>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</si>
  <si>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</si>
  <si>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</si>
  <si>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</si>
  <si>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</si>
  <si>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</si>
  <si>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</si>
  <si>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</si>
  <si>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</si>
  <si>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</si>
  <si>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</si>
  <si>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</si>
  <si>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</si>
  <si>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</si>
  <si>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</si>
  <si>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</si>
  <si>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</si>
  <si>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</si>
  <si>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</si>
  <si>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</si>
  <si>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</si>
  <si>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</si>
  <si>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</si>
  <si>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</si>
  <si>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</si>
  <si>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</si>
  <si>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</si>
  <si>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</si>
  <si>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</si>
  <si>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</si>
  <si>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</si>
  <si>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</si>
  <si>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</si>
  <si>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</si>
  <si>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</si>
  <si>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</si>
  <si>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</si>
  <si>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</si>
  <si>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</si>
  <si>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</si>
  <si>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</si>
  <si>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</si>
  <si>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</si>
  <si>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</si>
  <si>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</si>
  <si>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</si>
  <si>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</si>
  <si>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</si>
  <si>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</si>
  <si>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</si>
  <si>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</si>
  <si>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</si>
  <si>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</si>
  <si>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</si>
  <si>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</si>
  <si>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</si>
  <si>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</si>
  <si>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</si>
  <si>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</si>
  <si>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</si>
  <si>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</si>
  <si>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</si>
  <si>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</si>
  <si>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</si>
  <si>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</si>
  <si>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</si>
  <si>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</si>
  <si>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</si>
  <si>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</si>
  <si>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</si>
  <si>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</si>
  <si>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</si>
  <si>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</si>
  <si>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</si>
  <si>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</si>
  <si>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</si>
  <si>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</si>
  <si>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</si>
  <si>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</si>
  <si>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</si>
  <si>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</si>
  <si>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</si>
  <si>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</si>
  <si>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</si>
  <si>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</si>
  <si>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</si>
  <si>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</si>
  <si>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</si>
  <si>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</si>
  <si>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</si>
  <si>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</si>
  <si>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</si>
  <si>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</si>
  <si>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</si>
  <si>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</si>
  <si>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</si>
  <si>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</si>
  <si>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</si>
  <si>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</si>
  <si>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</si>
  <si>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</si>
  <si>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</si>
  <si>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</si>
  <si>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</si>
  <si>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</si>
  <si>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</si>
  <si>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</si>
  <si>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</si>
  <si>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</si>
  <si>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</si>
  <si>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</si>
  <si>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</si>
  <si>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</si>
  <si>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</si>
  <si>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</si>
  <si>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</si>
  <si>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</si>
  <si>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</si>
  <si>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</si>
  <si>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</si>
  <si>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</si>
  <si>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</si>
  <si>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</si>
  <si>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</si>
  <si>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</si>
  <si>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</si>
  <si>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</si>
  <si>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</si>
  <si>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</si>
  <si>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</si>
  <si>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</si>
  <si>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</si>
  <si>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</si>
  <si>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</si>
  <si>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</si>
  <si>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</si>
  <si>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</si>
  <si>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</si>
  <si>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</si>
  <si>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</si>
  <si>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</si>
  <si>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</si>
  <si>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</si>
  <si>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</si>
  <si>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</si>
  <si>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</si>
  <si>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</si>
  <si>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</si>
  <si>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</si>
  <si>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</si>
  <si>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</si>
  <si>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</si>
  <si>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</si>
  <si>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</si>
  <si>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</si>
  <si>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</si>
  <si>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</si>
  <si>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</si>
  <si>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</si>
  <si>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</si>
  <si>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</si>
  <si>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</si>
  <si>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</si>
  <si>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</si>
  <si>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</si>
  <si>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</si>
  <si>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</si>
  <si>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</si>
  <si>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</si>
  <si>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</si>
  <si>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</si>
  <si>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</si>
  <si>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</si>
  <si>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</si>
  <si>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</si>
  <si>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</si>
  <si>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</si>
  <si>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</si>
  <si>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</si>
  <si>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</si>
  <si>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</si>
  <si>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</si>
  <si>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</si>
  <si>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</si>
  <si>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</si>
  <si>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</si>
  <si>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</si>
  <si>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</si>
  <si>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</si>
  <si>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</si>
  <si>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</si>
  <si>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</si>
  <si>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</si>
  <si>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</si>
  <si>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</si>
  <si>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</si>
  <si>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</si>
  <si>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</si>
  <si>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</si>
  <si>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</si>
  <si>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</si>
  <si>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</si>
  <si>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</si>
  <si>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</si>
  <si>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</si>
  <si>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</si>
  <si>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</si>
  <si>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</si>
  <si>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</si>
  <si>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</si>
  <si>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</si>
  <si>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</si>
  <si>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</si>
  <si>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</si>
  <si>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</si>
  <si>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</si>
  <si>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</si>
  <si>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</si>
  <si>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</si>
  <si>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</si>
  <si>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</si>
  <si>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</si>
  <si>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</si>
  <si>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</si>
  <si>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</si>
  <si>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</si>
  <si>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</si>
  <si>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</si>
  <si>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</si>
  <si>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</si>
  <si>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</si>
  <si>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</si>
  <si>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</si>
  <si>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</si>
  <si>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</si>
  <si>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</si>
  <si>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</si>
  <si>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</si>
  <si>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</si>
  <si>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</si>
  <si>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</si>
  <si>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</si>
  <si>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</si>
  <si>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</si>
  <si>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</si>
  <si>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</si>
  <si>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</si>
  <si>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</si>
  <si>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Gueltig ab</t>
  </si>
  <si>
    <t>Gueltig bis</t>
  </si>
  <si>
    <t>Beschaeftigungsdauer</t>
  </si>
  <si>
    <t>Pruefung</t>
  </si>
  <si>
    <t>KV 2025/2026   |   gueltig von 01.05.2025 bis 30.04.2026</t>
  </si>
  <si>
    <t>Agika</t>
  </si>
  <si>
    <t>Pityuka</t>
  </si>
  <si>
    <t>Februar</t>
  </si>
  <si>
    <t>Betriebszugehoerigkeit: 1 Jahr und 5 Monate</t>
  </si>
  <si>
    <t>Erfahrene MA</t>
  </si>
  <si>
    <t>Erfahrener Mitarbeiter ausgeschieden. Mitarbeiterbindung und Teamstabilitaet pruefen.</t>
  </si>
  <si>
    <t>Wichtig: Alte Perioden nicht von Hand loeschen. Dafuer Button "3) Alte Periode loeschen" nutzen. Neue Werte ab Mai = Button "1) Neue Periode". Sondervertrag-Stunden = Button "2) Eigene Stunden". Bei Unsicherheit: Button "Hilfe". Nur Zeilen mit Status OK verwenden.</t>
  </si>
  <si>
    <t>AKTUELLES JAHR</t>
  </si>
  <si>
    <t>Dienstnehmer Kuendigung (1), Dienstgeber Kuendigung (1)</t>
  </si>
  <si>
    <t>700000|AGIKA</t>
  </si>
  <si>
    <t>F</t>
  </si>
  <si>
    <t>401308|MATEI ELENA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</si>
</sst>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1" formatCode="dd\.mm\.yyyy"/>
  </numFmts>
  <fonts count="5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b/>
      <sz val="12"/>
      <color theme="1"/>
      <name val="Speedee"/>
      <family val="2"/>
    </font>
    <font>
      <sz val="11"/>
      <color theme="0"/>
      <name val="Speedee"/>
      <family val="2"/>
    </font>
    <font>
      <b/>
      <i/>
      <sz val="11"/>
      <color theme="1"/>
      <name val="Speedee"/>
      <family val="2"/>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13"/>
      <color rgb="FF1F4E79"/>
      <name val="Calibri"/>
      <family val="2"/>
      <scheme val="minor"/>
    </font>
    <font>
      <sz val="10"/>
      <color theme="1"/>
      <name val="Calibri"/>
      <family val="2"/>
      <scheme val="minor"/>
    </font>
    <font>
      <b/>
      <sz val="10"/>
      <color theme="1"/>
      <name val="Calibri"/>
      <family val="2"/>
      <scheme val="minor"/>
    </font>
  </fonts>
  <fills count="25">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8" fillId="0" borderId="0"/>
    <xf numFmtId="164" fontId="18" fillId="0" borderId="0" applyFont="0" applyFill="0" applyBorder="0" applyAlignment="0" applyProtection="0"/>
    <xf numFmtId="9" fontId="18" fillId="0" borderId="0" applyFont="0" applyFill="0" applyBorder="0" applyAlignment="0" applyProtection="0"/>
    <xf numFmtId="165" fontId="18" fillId="0" borderId="0" applyFont="0" applyFill="0" applyBorder="0" applyAlignment="0" applyProtection="0"/>
    <xf numFmtId="0" fontId="1" fillId="0" borderId="0"/>
  </cellStyleXfs>
  <cellXfs count="368">
    <xf numFmtId="0" fontId="0" fillId="0" borderId="0" xfId="0"/>
    <xf numFmtId="0" fontId="3" fillId="0" borderId="0" xfId="0" applyFont="1"/>
    <xf numFmtId="0" fontId="12" fillId="0" borderId="0" xfId="0" applyFont="1" applyAlignment="1">
      <alignment vertical="center"/>
    </xf>
    <xf numFmtId="166" fontId="0" fillId="0" borderId="1" xfId="0" applyNumberFormat="1" applyBorder="1" applyAlignment="1" applyProtection="1">
      <alignment horizontal="center"/>
      <protection locked="0"/>
    </xf>
    <xf numFmtId="0" fontId="19" fillId="11" borderId="0" xfId="0" applyFont="1" applyFill="1"/>
    <xf numFmtId="0" fontId="20" fillId="10" borderId="0" xfId="0" applyFont="1" applyFill="1"/>
    <xf numFmtId="0" fontId="20" fillId="11" borderId="0" xfId="0" applyFont="1" applyFill="1"/>
    <xf numFmtId="0" fontId="1" fillId="0" borderId="0" xfId="5"/>
    <xf numFmtId="168" fontId="23" fillId="0" borderId="0" xfId="0" applyNumberFormat="1" applyFont="1"/>
    <xf numFmtId="0" fontId="4" fillId="0" borderId="0" xfId="0" applyFont="1" applyAlignment="1">
      <alignment horizontal="right"/>
    </xf>
    <xf numFmtId="0" fontId="23" fillId="0" borderId="0" xfId="0" applyFont="1"/>
    <xf numFmtId="16" fontId="4" fillId="0" borderId="0" xfId="0" applyNumberFormat="1" applyFont="1" applyAlignment="1">
      <alignment horizontal="right"/>
    </xf>
    <xf numFmtId="0" fontId="4" fillId="0" borderId="0" xfId="0" applyFont="1"/>
    <xf numFmtId="0" fontId="7" fillId="0" borderId="0" xfId="0" applyFont="1"/>
    <xf numFmtId="2" fontId="4" fillId="3" borderId="1" xfId="0" applyNumberFormat="1" applyFont="1" applyFill="1" applyBorder="1" applyAlignment="1">
      <alignment horizontal="center"/>
    </xf>
    <xf numFmtId="2" fontId="4"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4" fillId="3" borderId="1" xfId="0" applyNumberFormat="1" applyFont="1" applyFill="1" applyBorder="1" applyAlignment="1">
      <alignment horizontal="center"/>
    </xf>
    <xf numFmtId="10" fontId="4" fillId="6" borderId="1" xfId="0" applyNumberFormat="1" applyFont="1" applyFill="1" applyBorder="1" applyAlignment="1">
      <alignment horizontal="center"/>
    </xf>
    <xf numFmtId="0" fontId="3" fillId="12" borderId="0" xfId="0" applyFont="1" applyFill="1"/>
    <xf numFmtId="0" fontId="2" fillId="13" borderId="1" xfId="0" applyFont="1" applyFill="1" applyBorder="1" applyAlignment="1">
      <alignment horizontal="center"/>
    </xf>
    <xf numFmtId="0" fontId="2"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4" fillId="0" borderId="1" xfId="0" applyFont="1" applyBorder="1" applyAlignment="1">
      <alignment horizontal="center"/>
    </xf>
    <xf numFmtId="0" fontId="5" fillId="0" borderId="1" xfId="0" applyFont="1" applyBorder="1" applyAlignment="1">
      <alignment horizontal="center"/>
    </xf>
    <xf numFmtId="2" fontId="3" fillId="0" borderId="1" xfId="0" applyNumberFormat="1" applyFont="1" applyBorder="1" applyAlignment="1">
      <alignment horizontal="center" vertical="center"/>
    </xf>
    <xf numFmtId="0" fontId="3" fillId="0" borderId="1" xfId="0" applyFont="1" applyBorder="1" applyAlignment="1">
      <alignment horizontal="left"/>
    </xf>
    <xf numFmtId="2" fontId="4" fillId="14" borderId="1" xfId="0" applyNumberFormat="1" applyFont="1" applyFill="1" applyBorder="1" applyAlignment="1">
      <alignment horizontal="center" vertical="center"/>
    </xf>
    <xf numFmtId="166" fontId="3" fillId="0" borderId="1" xfId="0" applyNumberFormat="1" applyFont="1" applyBorder="1" applyAlignment="1">
      <alignment horizontal="center" vertical="center"/>
    </xf>
    <xf numFmtId="10" fontId="3" fillId="0" borderId="1" xfId="0" applyNumberFormat="1" applyFont="1" applyBorder="1" applyAlignment="1">
      <alignment horizontal="center" vertical="center"/>
    </xf>
    <xf numFmtId="10" fontId="26" fillId="0" borderId="1" xfId="0" applyNumberFormat="1" applyFont="1" applyBorder="1" applyAlignment="1">
      <alignment horizontal="center" vertical="center"/>
    </xf>
    <xf numFmtId="0" fontId="4" fillId="14" borderId="1" xfId="0" applyFont="1" applyFill="1" applyBorder="1" applyAlignment="1">
      <alignment horizontal="center"/>
    </xf>
    <xf numFmtId="166" fontId="4" fillId="14" borderId="1" xfId="0" applyNumberFormat="1" applyFont="1" applyFill="1" applyBorder="1" applyAlignment="1">
      <alignment horizontal="center" vertical="center"/>
    </xf>
    <xf numFmtId="10" fontId="4" fillId="14" borderId="1" xfId="0" applyNumberFormat="1" applyFont="1" applyFill="1" applyBorder="1" applyAlignment="1">
      <alignment horizontal="center" vertical="center"/>
    </xf>
    <xf numFmtId="10" fontId="26" fillId="14" borderId="1" xfId="0" applyNumberFormat="1" applyFont="1" applyFill="1" applyBorder="1" applyAlignment="1">
      <alignment horizontal="center" vertical="center"/>
    </xf>
    <xf numFmtId="2" fontId="19" fillId="11" borderId="1" xfId="0" applyNumberFormat="1" applyFont="1" applyFill="1" applyBorder="1" applyAlignment="1">
      <alignment horizontal="center" vertical="center"/>
    </xf>
    <xf numFmtId="0" fontId="6" fillId="14" borderId="1" xfId="0" applyFont="1" applyFill="1" applyBorder="1" applyAlignment="1">
      <alignment horizontal="center"/>
    </xf>
    <xf numFmtId="166" fontId="6" fillId="14" borderId="1" xfId="0" applyNumberFormat="1" applyFont="1" applyFill="1" applyBorder="1" applyAlignment="1">
      <alignment horizontal="center" vertical="center"/>
    </xf>
    <xf numFmtId="10" fontId="6" fillId="14" borderId="1" xfId="0" applyNumberFormat="1" applyFont="1" applyFill="1" applyBorder="1" applyAlignment="1">
      <alignment horizontal="center" vertical="center"/>
    </xf>
    <xf numFmtId="2" fontId="6" fillId="14" borderId="1" xfId="0" applyNumberFormat="1" applyFont="1" applyFill="1" applyBorder="1" applyAlignment="1">
      <alignment horizontal="center" vertical="center"/>
    </xf>
    <xf numFmtId="0" fontId="16" fillId="0" borderId="0" xfId="0" applyFont="1" applyAlignment="1">
      <alignment vertic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30" fillId="0" borderId="0" xfId="0" applyFont="1"/>
    <xf numFmtId="166" fontId="31" fillId="0" borderId="1" xfId="0" applyNumberFormat="1" applyFont="1" applyBorder="1" applyAlignment="1">
      <alignment horizontal="center" vertical="center"/>
    </xf>
    <xf numFmtId="166" fontId="31" fillId="14" borderId="1" xfId="0" applyNumberFormat="1" applyFont="1" applyFill="1" applyBorder="1" applyAlignment="1">
      <alignment horizontal="center" vertical="center"/>
    </xf>
    <xf numFmtId="2" fontId="31" fillId="0" borderId="1" xfId="0" applyNumberFormat="1" applyFont="1" applyBorder="1" applyAlignment="1">
      <alignment horizontal="center" vertical="center"/>
    </xf>
    <xf numFmtId="2" fontId="31"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0" fontId="30" fillId="4" borderId="24" xfId="0" applyFont="1" applyFill="1" applyBorder="1"/>
    <xf numFmtId="0" fontId="3" fillId="4" borderId="24" xfId="0" applyFont="1" applyFill="1" applyBorder="1"/>
    <xf numFmtId="0" fontId="3" fillId="4" borderId="9" xfId="0" applyFont="1" applyFill="1" applyBorder="1"/>
    <xf numFmtId="0" fontId="11" fillId="0" borderId="0" xfId="0" applyFont="1"/>
    <xf numFmtId="0" fontId="36" fillId="0" borderId="0" xfId="5" applyFont="1" applyAlignment="1">
      <alignment vertical="center" wrapText="1"/>
    </xf>
    <xf numFmtId="0" fontId="6" fillId="0" borderId="0" xfId="0" applyFont="1" applyAlignment="1">
      <alignment horizontal="center" wrapText="1"/>
    </xf>
    <xf numFmtId="1" fontId="10" fillId="0" borderId="0" xfId="0" applyNumberFormat="1" applyFont="1" applyAlignment="1">
      <alignment horizontal="right" wrapText="1"/>
    </xf>
    <xf numFmtId="0" fontId="4" fillId="0" borderId="0" xfId="0" applyFont="1" applyAlignment="1">
      <alignment horizontal="right" wrapText="1"/>
    </xf>
    <xf numFmtId="0" fontId="42" fillId="0" borderId="0" xfId="0" applyFont="1" applyAlignment="1">
      <alignment horizontal="right"/>
    </xf>
    <xf numFmtId="16" fontId="42" fillId="0" borderId="0" xfId="0" applyNumberFormat="1" applyFont="1" applyAlignment="1">
      <alignment horizontal="right"/>
    </xf>
    <xf numFmtId="0" fontId="19" fillId="16" borderId="34" xfId="0" applyFont="1" applyFill="1" applyBorder="1" applyProtection="1">
      <protection locked="0"/>
    </xf>
    <xf numFmtId="14" fontId="25" fillId="16" borderId="34" xfId="0" applyNumberFormat="1" applyFont="1" applyFill="1" applyBorder="1" applyAlignment="1" applyProtection="1">
      <alignment horizontal="center"/>
      <protection locked="0"/>
    </xf>
    <xf numFmtId="0" fontId="3" fillId="3" borderId="34" xfId="0" applyFont="1" applyFill="1" applyBorder="1" applyAlignment="1" applyProtection="1">
      <alignment horizontal="center"/>
      <protection locked="0"/>
    </xf>
    <xf numFmtId="2" fontId="3" fillId="2" borderId="34" xfId="0" applyNumberFormat="1" applyFont="1" applyFill="1" applyBorder="1" applyAlignment="1" applyProtection="1">
      <alignment horizontal="center"/>
      <protection locked="0"/>
    </xf>
    <xf numFmtId="2" fontId="3" fillId="3" borderId="34" xfId="0" applyNumberFormat="1" applyFont="1" applyFill="1" applyBorder="1" applyAlignment="1" applyProtection="1">
      <alignment horizontal="center"/>
      <protection locked="0"/>
    </xf>
    <xf numFmtId="0" fontId="4" fillId="3" borderId="34" xfId="0" applyFont="1" applyFill="1" applyBorder="1" applyProtection="1">
      <protection locked="0"/>
    </xf>
    <xf numFmtId="168" fontId="3" fillId="3" borderId="34" xfId="0" applyNumberFormat="1" applyFont="1" applyFill="1" applyBorder="1" applyAlignment="1" applyProtection="1">
      <alignment horizontal="center"/>
      <protection locked="0"/>
    </xf>
    <xf numFmtId="11" fontId="4" fillId="3" borderId="34" xfId="0" applyNumberFormat="1" applyFont="1" applyFill="1" applyBorder="1" applyProtection="1">
      <protection locked="0"/>
    </xf>
    <xf numFmtId="0" fontId="19" fillId="16" borderId="37" xfId="0" applyFont="1" applyFill="1" applyBorder="1" applyProtection="1">
      <protection locked="0"/>
    </xf>
    <xf numFmtId="14" fontId="25" fillId="16" borderId="37" xfId="0" applyNumberFormat="1" applyFont="1" applyFill="1" applyBorder="1" applyAlignment="1" applyProtection="1">
      <alignment horizontal="center"/>
      <protection locked="0"/>
    </xf>
    <xf numFmtId="0" fontId="3" fillId="3" borderId="37" xfId="0" applyFont="1" applyFill="1" applyBorder="1" applyAlignment="1" applyProtection="1">
      <alignment horizontal="center"/>
      <protection locked="0"/>
    </xf>
    <xf numFmtId="2" fontId="27" fillId="3" borderId="37" xfId="0" applyNumberFormat="1" applyFont="1" applyFill="1" applyBorder="1" applyAlignment="1" applyProtection="1">
      <alignment horizontal="center"/>
      <protection locked="0"/>
    </xf>
    <xf numFmtId="2" fontId="3" fillId="2" borderId="37" xfId="0" applyNumberFormat="1" applyFont="1" applyFill="1" applyBorder="1" applyAlignment="1" applyProtection="1">
      <alignment horizontal="center"/>
      <protection locked="0"/>
    </xf>
    <xf numFmtId="2" fontId="4" fillId="3" borderId="9" xfId="0" applyNumberFormat="1" applyFont="1" applyFill="1" applyBorder="1" applyAlignment="1">
      <alignment horizontal="center"/>
    </xf>
    <xf numFmtId="49" fontId="41" fillId="19" borderId="38" xfId="0" applyNumberFormat="1" applyFont="1" applyFill="1" applyBorder="1" applyAlignment="1" applyProtection="1">
      <alignment horizontal="left" vertical="center"/>
      <protection locked="0"/>
    </xf>
    <xf numFmtId="49" fontId="41" fillId="19" borderId="39" xfId="0" applyNumberFormat="1" applyFont="1" applyFill="1" applyBorder="1" applyAlignment="1" applyProtection="1">
      <alignment horizontal="left" vertical="center"/>
      <protection locked="0"/>
    </xf>
    <xf numFmtId="0" fontId="4" fillId="3" borderId="41" xfId="0" applyFont="1" applyFill="1" applyBorder="1" applyProtection="1">
      <protection locked="0"/>
    </xf>
    <xf numFmtId="168" fontId="3" fillId="3" borderId="41" xfId="0" applyNumberFormat="1" applyFont="1" applyFill="1" applyBorder="1" applyAlignment="1" applyProtection="1">
      <alignment horizontal="center"/>
      <protection locked="0"/>
    </xf>
    <xf numFmtId="0" fontId="3" fillId="3" borderId="41" xfId="0" applyFont="1" applyFill="1" applyBorder="1" applyAlignment="1" applyProtection="1">
      <alignment horizontal="center"/>
      <protection locked="0"/>
    </xf>
    <xf numFmtId="2" fontId="3" fillId="3" borderId="41" xfId="0" applyNumberFormat="1" applyFont="1" applyFill="1" applyBorder="1" applyAlignment="1" applyProtection="1">
      <alignment horizontal="center"/>
      <protection locked="0"/>
    </xf>
    <xf numFmtId="2" fontId="3" fillId="2" borderId="41" xfId="0" applyNumberFormat="1" applyFont="1" applyFill="1" applyBorder="1" applyAlignment="1" applyProtection="1">
      <alignment horizontal="center"/>
      <protection locked="0"/>
    </xf>
    <xf numFmtId="49" fontId="41" fillId="19" borderId="42" xfId="0" applyNumberFormat="1" applyFont="1" applyFill="1" applyBorder="1" applyAlignment="1" applyProtection="1">
      <alignment horizontal="left" vertical="center"/>
      <protection locked="0"/>
    </xf>
    <xf numFmtId="168" fontId="3" fillId="2" borderId="46" xfId="0" applyNumberFormat="1" applyFont="1" applyFill="1" applyBorder="1" applyAlignment="1" applyProtection="1">
      <alignment horizontal="center"/>
      <protection locked="0"/>
    </xf>
    <xf numFmtId="168" fontId="3" fillId="2" borderId="47" xfId="0" applyNumberFormat="1" applyFont="1" applyFill="1" applyBorder="1" applyAlignment="1" applyProtection="1">
      <alignment horizontal="center"/>
      <protection locked="0"/>
    </xf>
    <xf numFmtId="168" fontId="3" fillId="2" borderId="48" xfId="0" applyNumberFormat="1" applyFont="1" applyFill="1" applyBorder="1" applyAlignment="1" applyProtection="1">
      <alignment horizontal="center"/>
      <protection locked="0"/>
    </xf>
    <xf numFmtId="2" fontId="3" fillId="9" borderId="51" xfId="0" applyNumberFormat="1" applyFont="1" applyFill="1" applyBorder="1" applyAlignment="1">
      <alignment horizontal="center"/>
    </xf>
    <xf numFmtId="2" fontId="3" fillId="9" borderId="52" xfId="0" applyNumberFormat="1" applyFont="1" applyFill="1" applyBorder="1" applyAlignment="1">
      <alignment horizontal="center"/>
    </xf>
    <xf numFmtId="2" fontId="3" fillId="9" borderId="53" xfId="0" applyNumberFormat="1" applyFont="1" applyFill="1" applyBorder="1" applyAlignment="1">
      <alignment horizontal="center"/>
    </xf>
    <xf numFmtId="166" fontId="3" fillId="2" borderId="43" xfId="0" applyNumberFormat="1" applyFont="1" applyFill="1" applyBorder="1" applyAlignment="1">
      <alignment horizontal="center"/>
    </xf>
    <xf numFmtId="166" fontId="3" fillId="2" borderId="44" xfId="0" applyNumberFormat="1" applyFont="1" applyFill="1" applyBorder="1" applyAlignment="1">
      <alignment horizontal="center"/>
    </xf>
    <xf numFmtId="166" fontId="3" fillId="2" borderId="45" xfId="0" applyNumberFormat="1" applyFont="1" applyFill="1" applyBorder="1" applyAlignment="1">
      <alignment horizontal="center"/>
    </xf>
    <xf numFmtId="49" fontId="7" fillId="4" borderId="46" xfId="0" applyNumberFormat="1" applyFont="1" applyFill="1" applyBorder="1" applyAlignment="1" applyProtection="1">
      <alignment horizontal="left"/>
      <protection locked="0"/>
    </xf>
    <xf numFmtId="49" fontId="7" fillId="4" borderId="47" xfId="0" applyNumberFormat="1" applyFont="1" applyFill="1" applyBorder="1" applyAlignment="1" applyProtection="1">
      <alignment horizontal="left"/>
      <protection locked="0"/>
    </xf>
    <xf numFmtId="49" fontId="7" fillId="4" borderId="48" xfId="0" applyNumberFormat="1" applyFont="1" applyFill="1" applyBorder="1" applyAlignment="1" applyProtection="1">
      <alignment horizontal="left"/>
      <protection locked="0"/>
    </xf>
    <xf numFmtId="0" fontId="4" fillId="3" borderId="37" xfId="0" applyFont="1" applyFill="1" applyBorder="1" applyProtection="1">
      <protection locked="0"/>
    </xf>
    <xf numFmtId="2" fontId="3" fillId="3" borderId="37" xfId="0" applyNumberFormat="1" applyFont="1" applyFill="1" applyBorder="1" applyAlignment="1" applyProtection="1">
      <alignment horizontal="center"/>
      <protection locked="0"/>
    </xf>
    <xf numFmtId="0" fontId="32" fillId="3" borderId="34" xfId="0" applyFont="1" applyFill="1" applyBorder="1" applyProtection="1">
      <protection locked="0"/>
    </xf>
    <xf numFmtId="0" fontId="39" fillId="18" borderId="36" xfId="0" applyFont="1" applyFill="1" applyBorder="1" applyAlignment="1" applyProtection="1">
      <alignment horizontal="center"/>
      <protection locked="0"/>
    </xf>
    <xf numFmtId="0" fontId="39" fillId="18" borderId="35" xfId="0" applyFont="1" applyFill="1" applyBorder="1" applyAlignment="1" applyProtection="1">
      <alignment horizontal="center"/>
      <protection locked="0"/>
    </xf>
    <xf numFmtId="0" fontId="39" fillId="18" borderId="40" xfId="0" applyFont="1" applyFill="1" applyBorder="1" applyAlignment="1" applyProtection="1">
      <alignment horizontal="center"/>
      <protection locked="0"/>
    </xf>
    <xf numFmtId="166" fontId="4" fillId="5" borderId="11" xfId="0" applyNumberFormat="1" applyFont="1" applyFill="1" applyBorder="1" applyAlignment="1">
      <alignment horizontal="center"/>
    </xf>
    <xf numFmtId="166" fontId="4" fillId="5" borderId="57" xfId="0" applyNumberFormat="1" applyFont="1" applyFill="1" applyBorder="1" applyAlignment="1">
      <alignment horizontal="center"/>
    </xf>
    <xf numFmtId="166" fontId="4" fillId="5" borderId="58" xfId="0" applyNumberFormat="1" applyFont="1" applyFill="1" applyBorder="1" applyAlignment="1">
      <alignment horizontal="center"/>
    </xf>
    <xf numFmtId="0" fontId="1" fillId="0" borderId="34" xfId="5" applyBorder="1" applyAlignment="1">
      <alignment horizontal="left"/>
    </xf>
    <xf numFmtId="0" fontId="34" fillId="0" borderId="34" xfId="5" applyFont="1" applyBorder="1" applyAlignment="1">
      <alignment horizontal="left" vertical="top" wrapText="1"/>
    </xf>
    <xf numFmtId="0" fontId="21" fillId="0" borderId="0" xfId="5" applyFont="1"/>
    <xf numFmtId="0" fontId="2" fillId="0" borderId="0" xfId="0" applyFont="1" applyAlignment="1">
      <alignment horizontal="center" vertical="center"/>
    </xf>
    <xf numFmtId="171" fontId="2" fillId="0" borderId="0" xfId="0" applyNumberFormat="1" applyFont="1" applyAlignment="1">
      <alignment horizontal="center" vertical="center"/>
    </xf>
    <xf numFmtId="171" fontId="0" fillId="0" borderId="0" xfId="0" applyNumberFormat="1"/>
    <xf numFmtId="2" fontId="2" fillId="0" borderId="0" xfId="0" applyNumberFormat="1" applyFont="1" applyAlignment="1">
      <alignment horizontal="center" vertical="center"/>
    </xf>
    <xf numFmtId="2" fontId="0" fillId="0" borderId="0" xfId="0" applyNumberFormat="1"/>
    <xf numFmtId="0" fontId="47" fillId="0" borderId="0" xfId="0" applyFont="1"/>
    <xf numFmtId="166" fontId="3" fillId="3" borderId="43" xfId="0" applyNumberFormat="1" applyFont="1" applyFill="1" applyBorder="1" applyAlignment="1">
      <alignment horizontal="center"/>
    </xf>
    <xf numFmtId="166" fontId="3" fillId="3" borderId="44" xfId="0" applyNumberFormat="1" applyFont="1" applyFill="1" applyBorder="1" applyAlignment="1">
      <alignment horizontal="center"/>
    </xf>
    <xf numFmtId="166" fontId="3" fillId="3" borderId="45" xfId="0" applyNumberFormat="1" applyFont="1" applyFill="1" applyBorder="1" applyAlignment="1">
      <alignment horizontal="center"/>
    </xf>
    <xf numFmtId="166" fontId="3" fillId="2" borderId="37" xfId="0" applyNumberFormat="1" applyFont="1" applyFill="1" applyBorder="1" applyAlignment="1" applyProtection="1">
      <alignment horizontal="center"/>
      <protection locked="0"/>
    </xf>
    <xf numFmtId="166" fontId="3" fillId="2" borderId="34" xfId="0" applyNumberFormat="1" applyFont="1" applyFill="1" applyBorder="1" applyAlignment="1" applyProtection="1">
      <alignment horizontal="center"/>
      <protection locked="0"/>
    </xf>
    <xf numFmtId="166" fontId="3" fillId="2" borderId="41" xfId="0" applyNumberFormat="1" applyFont="1" applyFill="1" applyBorder="1" applyAlignment="1" applyProtection="1">
      <alignment horizontal="center"/>
      <protection locked="0"/>
    </xf>
    <xf numFmtId="166" fontId="47" fillId="0" borderId="0" xfId="0" applyNumberFormat="1" applyFont="1"/>
    <xf numFmtId="171" fontId="3" fillId="3" borderId="37" xfId="0" applyNumberFormat="1" applyFont="1" applyFill="1" applyBorder="1" applyAlignment="1" applyProtection="1">
      <alignment horizontal="center"/>
      <protection locked="0"/>
    </xf>
    <xf numFmtId="171" fontId="3" fillId="3" borderId="34" xfId="0" applyNumberFormat="1" applyFont="1" applyFill="1" applyBorder="1" applyAlignment="1" applyProtection="1">
      <alignment horizontal="center"/>
      <protection locked="0"/>
    </xf>
    <xf numFmtId="171" fontId="3" fillId="3" borderId="41" xfId="0" applyNumberFormat="1" applyFont="1" applyFill="1" applyBorder="1" applyAlignment="1" applyProtection="1">
      <alignment horizontal="center"/>
      <protection locked="0"/>
    </xf>
    <xf numFmtId="171" fontId="3" fillId="2" borderId="46" xfId="0" applyNumberFormat="1" applyFont="1" applyFill="1" applyBorder="1" applyAlignment="1" applyProtection="1">
      <alignment horizontal="center"/>
      <protection locked="0"/>
    </xf>
    <xf numFmtId="171" fontId="3" fillId="2" borderId="47" xfId="0" applyNumberFormat="1" applyFont="1" applyFill="1" applyBorder="1" applyAlignment="1" applyProtection="1">
      <alignment horizontal="center"/>
      <protection locked="0"/>
    </xf>
    <xf numFmtId="171" fontId="3" fillId="2" borderId="48" xfId="0" applyNumberFormat="1" applyFont="1" applyFill="1" applyBorder="1" applyAlignment="1" applyProtection="1">
      <alignment horizontal="center"/>
      <protection locked="0"/>
    </xf>
    <xf numFmtId="0" fontId="50" fillId="20" borderId="59" xfId="0" applyFont="1" applyFill="1" applyBorder="1" applyAlignment="1">
      <alignment horizontal="center" vertical="center"/>
    </xf>
    <xf numFmtId="0" fontId="48" fillId="0" borderId="17" xfId="0" applyFont="1" applyBorder="1" applyAlignment="1">
      <alignment horizontal="center" vertical="center"/>
    </xf>
    <xf numFmtId="166" fontId="48" fillId="0" borderId="17" xfId="0" applyNumberFormat="1" applyFont="1" applyBorder="1" applyAlignment="1">
      <alignment horizontal="center" vertical="center"/>
    </xf>
    <xf numFmtId="2" fontId="51" fillId="21" borderId="61" xfId="0" applyNumberFormat="1" applyFont="1" applyFill="1" applyBorder="1" applyAlignment="1" applyProtection="1">
      <alignment horizontal="center" vertical="center"/>
      <protection locked="0"/>
    </xf>
    <xf numFmtId="166" fontId="51" fillId="21" borderId="61" xfId="0" applyNumberFormat="1" applyFont="1" applyFill="1" applyBorder="1" applyAlignment="1" applyProtection="1">
      <alignment horizontal="center" vertical="center"/>
      <protection locked="0"/>
    </xf>
    <xf numFmtId="2" fontId="51" fillId="21" borderId="62" xfId="0" applyNumberFormat="1" applyFont="1" applyFill="1" applyBorder="1" applyAlignment="1" applyProtection="1">
      <alignment horizontal="center" vertical="center"/>
      <protection locked="0"/>
    </xf>
    <xf numFmtId="166" fontId="51" fillId="21" borderId="62" xfId="0" applyNumberFormat="1" applyFont="1" applyFill="1" applyBorder="1" applyAlignment="1" applyProtection="1">
      <alignment horizontal="center" vertical="center"/>
      <protection locked="0"/>
    </xf>
    <xf numFmtId="2" fontId="51" fillId="21" borderId="70" xfId="0" applyNumberFormat="1" applyFont="1" applyFill="1" applyBorder="1" applyAlignment="1" applyProtection="1">
      <alignment horizontal="center" vertical="center"/>
      <protection locked="0"/>
    </xf>
    <xf numFmtId="166" fontId="51" fillId="21" borderId="70" xfId="0" applyNumberFormat="1" applyFont="1" applyFill="1" applyBorder="1" applyAlignment="1" applyProtection="1">
      <alignment horizontal="center" vertical="center"/>
      <protection locked="0"/>
    </xf>
    <xf numFmtId="2" fontId="51" fillId="22" borderId="70" xfId="0" applyNumberFormat="1" applyFont="1" applyFill="1" applyBorder="1" applyAlignment="1" applyProtection="1">
      <alignment horizontal="center" vertical="center"/>
      <protection locked="0"/>
    </xf>
    <xf numFmtId="166" fontId="51" fillId="22" borderId="70" xfId="0" applyNumberFormat="1" applyFont="1" applyFill="1" applyBorder="1" applyAlignment="1" applyProtection="1">
      <alignment horizontal="center" vertical="center"/>
      <protection locked="0"/>
    </xf>
    <xf numFmtId="2" fontId="51" fillId="22" borderId="62" xfId="0" applyNumberFormat="1" applyFont="1" applyFill="1" applyBorder="1" applyAlignment="1" applyProtection="1">
      <alignment horizontal="center" vertical="center"/>
      <protection locked="0"/>
    </xf>
    <xf numFmtId="166" fontId="51" fillId="22" borderId="62" xfId="0" applyNumberFormat="1" applyFont="1" applyFill="1" applyBorder="1" applyAlignment="1" applyProtection="1">
      <alignment horizontal="center" vertical="center"/>
      <protection locked="0"/>
    </xf>
    <xf numFmtId="2" fontId="51" fillId="23" borderId="70" xfId="0" applyNumberFormat="1" applyFont="1" applyFill="1" applyBorder="1" applyAlignment="1" applyProtection="1">
      <alignment horizontal="center" vertical="center"/>
      <protection locked="0"/>
    </xf>
    <xf numFmtId="166" fontId="51" fillId="23" borderId="70" xfId="0" applyNumberFormat="1" applyFont="1" applyFill="1" applyBorder="1" applyAlignment="1" applyProtection="1">
      <alignment horizontal="center" vertical="center"/>
      <protection locked="0"/>
    </xf>
    <xf numFmtId="2" fontId="51" fillId="23" borderId="62" xfId="0" applyNumberFormat="1" applyFont="1" applyFill="1" applyBorder="1" applyAlignment="1" applyProtection="1">
      <alignment horizontal="center" vertical="center"/>
      <protection locked="0"/>
    </xf>
    <xf numFmtId="166" fontId="51" fillId="23" borderId="62" xfId="0" applyNumberFormat="1" applyFont="1" applyFill="1" applyBorder="1" applyAlignment="1" applyProtection="1">
      <alignment horizontal="center" vertical="center"/>
      <protection locked="0"/>
    </xf>
    <xf numFmtId="2" fontId="51" fillId="23" borderId="68" xfId="0" applyNumberFormat="1" applyFont="1" applyFill="1" applyBorder="1" applyAlignment="1" applyProtection="1">
      <alignment horizontal="center" vertical="center"/>
      <protection locked="0"/>
    </xf>
    <xf numFmtId="166" fontId="51" fillId="23" borderId="68" xfId="0" applyNumberFormat="1" applyFont="1" applyFill="1" applyBorder="1" applyAlignment="1" applyProtection="1">
      <alignment horizontal="center" vertical="center"/>
      <protection locked="0"/>
    </xf>
    <xf numFmtId="0" fontId="49" fillId="0" borderId="0" xfId="0" applyFont="1" applyAlignment="1">
      <alignment horizontal="center" vertical="center"/>
    </xf>
    <xf numFmtId="0" fontId="47" fillId="0" borderId="20" xfId="0" applyFont="1" applyBorder="1" applyAlignment="1">
      <alignment horizontal="left" vertical="center" wrapText="1"/>
    </xf>
    <xf numFmtId="0" fontId="9" fillId="13" borderId="1" xfId="0" applyFont="1" applyFill="1" applyBorder="1" applyAlignment="1">
      <alignment horizontal="center"/>
    </xf>
    <xf numFmtId="0" fontId="15" fillId="13" borderId="1" xfId="0" applyFont="1" applyFill="1" applyBorder="1" applyAlignment="1">
      <alignment horizontal="center"/>
    </xf>
    <xf numFmtId="0" fontId="17" fillId="13" borderId="1" xfId="0" applyFont="1" applyFill="1" applyBorder="1" applyAlignment="1">
      <alignment horizontal="center"/>
    </xf>
    <xf numFmtId="0" fontId="21" fillId="13" borderId="1" xfId="0" applyFont="1" applyFill="1" applyBorder="1" applyAlignment="1">
      <alignment horizontal="center" vertical="center" wrapText="1"/>
    </xf>
    <xf numFmtId="0" fontId="28" fillId="14" borderId="1" xfId="0" applyFont="1" applyFill="1" applyBorder="1" applyAlignment="1">
      <alignment horizontal="center"/>
    </xf>
    <xf numFmtId="0" fontId="11" fillId="12" borderId="18" xfId="0" applyFont="1" applyFill="1" applyBorder="1" applyAlignment="1">
      <alignment horizontal="center"/>
    </xf>
    <xf numFmtId="0" fontId="11" fillId="12" borderId="17" xfId="0" applyFont="1" applyFill="1" applyBorder="1" applyAlignment="1">
      <alignment horizontal="center"/>
    </xf>
    <xf numFmtId="0" fontId="11" fillId="12" borderId="19" xfId="0" applyFont="1" applyFill="1" applyBorder="1" applyAlignment="1">
      <alignment horizontal="center"/>
    </xf>
    <xf numFmtId="0" fontId="22" fillId="3" borderId="23" xfId="0" applyFont="1" applyFill="1" applyBorder="1" applyAlignment="1">
      <alignment horizontal="center" vertical="center"/>
    </xf>
    <xf numFmtId="0" fontId="22" fillId="3" borderId="20" xfId="0" applyFont="1" applyFill="1" applyBorder="1" applyAlignment="1">
      <alignment horizontal="center" vertical="center"/>
    </xf>
    <xf numFmtId="0" fontId="22" fillId="3" borderId="23" xfId="0" applyFont="1" applyFill="1" applyBorder="1" applyAlignment="1">
      <alignment horizontal="center" vertical="center" wrapText="1"/>
    </xf>
    <xf numFmtId="0" fontId="22" fillId="3" borderId="20" xfId="0" applyFont="1" applyFill="1" applyBorder="1" applyAlignment="1">
      <alignment horizontal="center" vertical="center" wrapText="1"/>
    </xf>
    <xf numFmtId="166" fontId="4" fillId="0" borderId="1" xfId="0" applyNumberFormat="1" applyFont="1" applyBorder="1" applyAlignment="1" applyProtection="1">
      <alignment horizontal="center"/>
      <protection locked="0"/>
    </xf>
    <xf numFmtId="0" fontId="4" fillId="6" borderId="9" xfId="0" applyFont="1" applyFill="1" applyBorder="1" applyAlignment="1">
      <alignment horizontal="left"/>
    </xf>
    <xf numFmtId="0" fontId="4" fillId="6" borderId="1" xfId="0" applyFont="1" applyFill="1" applyBorder="1" applyAlignment="1">
      <alignment horizontal="left"/>
    </xf>
    <xf numFmtId="2" fontId="4" fillId="6" borderId="1" xfId="0" applyNumberFormat="1" applyFont="1" applyFill="1" applyBorder="1" applyAlignment="1">
      <alignment horizontal="center"/>
    </xf>
    <xf numFmtId="0" fontId="24" fillId="0" borderId="24"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0" fontId="4" fillId="7" borderId="9" xfId="0" applyFont="1" applyFill="1" applyBorder="1" applyAlignment="1" applyProtection="1">
      <alignment horizontal="left"/>
      <protection locked="0"/>
    </xf>
    <xf numFmtId="0" fontId="4" fillId="7" borderId="1" xfId="0" applyFont="1" applyFill="1" applyBorder="1" applyAlignment="1" applyProtection="1">
      <alignment horizontal="left"/>
      <protection locked="0"/>
    </xf>
    <xf numFmtId="0" fontId="4" fillId="7" borderId="9" xfId="0" applyFont="1" applyFill="1" applyBorder="1" applyAlignment="1">
      <alignment horizontal="left"/>
    </xf>
    <xf numFmtId="0" fontId="4" fillId="7" borderId="1" xfId="0" applyFont="1" applyFill="1" applyBorder="1" applyAlignment="1">
      <alignment horizontal="left"/>
    </xf>
    <xf numFmtId="0" fontId="4" fillId="4" borderId="9" xfId="0" applyFont="1" applyFill="1" applyBorder="1" applyAlignment="1">
      <alignment horizontal="left"/>
    </xf>
    <xf numFmtId="0" fontId="4" fillId="4" borderId="1" xfId="0" applyFont="1" applyFill="1" applyBorder="1" applyAlignment="1">
      <alignment horizontal="left"/>
    </xf>
    <xf numFmtId="166" fontId="4" fillId="4" borderId="1" xfId="0" applyNumberFormat="1" applyFont="1" applyFill="1" applyBorder="1" applyAlignment="1">
      <alignment horizontal="center"/>
    </xf>
    <xf numFmtId="166" fontId="4" fillId="15" borderId="1" xfId="0" applyNumberFormat="1" applyFont="1" applyFill="1" applyBorder="1" applyAlignment="1">
      <alignment horizontal="center"/>
    </xf>
    <xf numFmtId="2" fontId="4" fillId="4" borderId="1" xfId="0" applyNumberFormat="1" applyFont="1" applyFill="1" applyBorder="1" applyAlignment="1">
      <alignment horizontal="center"/>
    </xf>
    <xf numFmtId="2" fontId="4" fillId="15" borderId="1" xfId="0" applyNumberFormat="1" applyFont="1" applyFill="1" applyBorder="1" applyAlignment="1">
      <alignment horizontal="center"/>
    </xf>
    <xf numFmtId="166" fontId="4" fillId="4" borderId="8" xfId="0" applyNumberFormat="1" applyFont="1" applyFill="1" applyBorder="1" applyAlignment="1">
      <alignment horizontal="center"/>
    </xf>
    <xf numFmtId="166" fontId="4" fillId="4" borderId="24" xfId="0" applyNumberFormat="1" applyFont="1" applyFill="1" applyBorder="1" applyAlignment="1">
      <alignment horizontal="center"/>
    </xf>
    <xf numFmtId="166" fontId="4" fillId="4" borderId="9" xfId="0" applyNumberFormat="1" applyFont="1" applyFill="1" applyBorder="1" applyAlignment="1">
      <alignment horizontal="center"/>
    </xf>
    <xf numFmtId="10" fontId="4" fillId="4" borderId="1" xfId="0" applyNumberFormat="1" applyFont="1" applyFill="1" applyBorder="1" applyAlignment="1">
      <alignment horizontal="center"/>
    </xf>
    <xf numFmtId="10" fontId="4" fillId="15" borderId="1" xfId="0" applyNumberFormat="1" applyFont="1" applyFill="1" applyBorder="1" applyAlignment="1">
      <alignment horizontal="center"/>
    </xf>
    <xf numFmtId="0" fontId="3" fillId="4" borderId="9" xfId="0" applyFont="1" applyFill="1" applyBorder="1" applyAlignment="1">
      <alignment horizontal="center"/>
    </xf>
    <xf numFmtId="0" fontId="3" fillId="4" borderId="1" xfId="0" applyFont="1" applyFill="1" applyBorder="1" applyAlignment="1">
      <alignment horizontal="center"/>
    </xf>
    <xf numFmtId="0" fontId="6" fillId="4" borderId="19" xfId="0" applyFont="1" applyFill="1" applyBorder="1" applyAlignment="1">
      <alignment horizontal="center"/>
    </xf>
    <xf numFmtId="0" fontId="6" fillId="4" borderId="18" xfId="0" applyFont="1" applyFill="1" applyBorder="1" applyAlignment="1">
      <alignment horizontal="center"/>
    </xf>
    <xf numFmtId="0" fontId="6" fillId="4" borderId="21" xfId="0" applyFont="1" applyFill="1" applyBorder="1" applyAlignment="1">
      <alignment horizontal="center"/>
    </xf>
    <xf numFmtId="0" fontId="6" fillId="4" borderId="10" xfId="0" applyFont="1" applyFill="1" applyBorder="1" applyAlignment="1">
      <alignment horizontal="center"/>
    </xf>
    <xf numFmtId="0" fontId="6" fillId="4" borderId="19" xfId="0" applyFont="1" applyFill="1" applyBorder="1" applyAlignment="1">
      <alignment horizontal="center" wrapText="1"/>
    </xf>
    <xf numFmtId="0" fontId="6" fillId="4" borderId="18" xfId="0" applyFont="1" applyFill="1" applyBorder="1" applyAlignment="1">
      <alignment horizontal="center" wrapText="1"/>
    </xf>
    <xf numFmtId="0" fontId="6" fillId="4" borderId="21" xfId="0" applyFont="1" applyFill="1" applyBorder="1" applyAlignment="1">
      <alignment horizontal="center" wrapText="1"/>
    </xf>
    <xf numFmtId="0" fontId="6" fillId="4" borderId="10" xfId="0" applyFont="1" applyFill="1" applyBorder="1" applyAlignment="1">
      <alignment horizontal="center" wrapText="1"/>
    </xf>
    <xf numFmtId="2" fontId="4" fillId="12" borderId="1" xfId="0" applyNumberFormat="1" applyFont="1" applyFill="1" applyBorder="1" applyAlignment="1" applyProtection="1">
      <alignment horizontal="center"/>
      <protection locked="0"/>
    </xf>
    <xf numFmtId="166" fontId="4" fillId="7" borderId="1" xfId="0" applyNumberFormat="1" applyFont="1" applyFill="1" applyBorder="1" applyAlignment="1">
      <alignment horizontal="center"/>
    </xf>
    <xf numFmtId="166" fontId="4" fillId="0" borderId="0" xfId="0" applyNumberFormat="1" applyFont="1" applyAlignment="1">
      <alignment horizontal="center"/>
    </xf>
    <xf numFmtId="2" fontId="4" fillId="0" borderId="0" xfId="0" applyNumberFormat="1" applyFont="1" applyAlignment="1">
      <alignment horizontal="center"/>
    </xf>
    <xf numFmtId="0" fontId="22" fillId="3" borderId="18" xfId="0" applyFont="1" applyFill="1" applyBorder="1" applyAlignment="1">
      <alignment horizontal="center" vertical="center"/>
    </xf>
    <xf numFmtId="0" fontId="22" fillId="3" borderId="10" xfId="0" applyFont="1" applyFill="1" applyBorder="1" applyAlignment="1">
      <alignment horizontal="center" vertical="center"/>
    </xf>
    <xf numFmtId="0" fontId="4" fillId="7" borderId="15" xfId="0" applyFont="1" applyFill="1" applyBorder="1" applyAlignment="1">
      <alignment horizontal="left"/>
    </xf>
    <xf numFmtId="0" fontId="4" fillId="7" borderId="14" xfId="0" applyFont="1" applyFill="1" applyBorder="1" applyAlignment="1">
      <alignment horizontal="left"/>
    </xf>
    <xf numFmtId="166" fontId="4" fillId="7" borderId="14" xfId="0" applyNumberFormat="1" applyFont="1" applyFill="1" applyBorder="1" applyAlignment="1">
      <alignment horizontal="center"/>
    </xf>
    <xf numFmtId="166" fontId="4" fillId="7" borderId="31" xfId="0" applyNumberFormat="1" applyFont="1" applyFill="1" applyBorder="1" applyAlignment="1">
      <alignment horizontal="center"/>
    </xf>
    <xf numFmtId="166" fontId="4" fillId="0" borderId="17" xfId="0" applyNumberFormat="1" applyFont="1" applyBorder="1" applyAlignment="1" applyProtection="1">
      <alignment horizontal="center"/>
      <protection locked="0"/>
    </xf>
    <xf numFmtId="166" fontId="4" fillId="0" borderId="2" xfId="0" applyNumberFormat="1" applyFont="1" applyBorder="1" applyAlignment="1" applyProtection="1">
      <alignment horizontal="center"/>
      <protection locked="0"/>
    </xf>
    <xf numFmtId="166" fontId="4" fillId="0" borderId="25" xfId="0" applyNumberFormat="1" applyFont="1" applyBorder="1" applyAlignment="1" applyProtection="1">
      <alignment horizontal="center"/>
      <protection locked="0"/>
    </xf>
    <xf numFmtId="166" fontId="4" fillId="0" borderId="3" xfId="0" applyNumberFormat="1" applyFont="1" applyBorder="1" applyAlignment="1" applyProtection="1">
      <alignment horizontal="center"/>
      <protection locked="0"/>
    </xf>
    <xf numFmtId="0" fontId="4" fillId="7" borderId="28" xfId="0" applyFont="1" applyFill="1" applyBorder="1" applyAlignment="1" applyProtection="1">
      <alignment horizontal="left"/>
      <protection locked="0"/>
    </xf>
    <xf numFmtId="0" fontId="4" fillId="7" borderId="4" xfId="0" applyFont="1" applyFill="1" applyBorder="1" applyAlignment="1" applyProtection="1">
      <alignment horizontal="left"/>
      <protection locked="0"/>
    </xf>
    <xf numFmtId="166" fontId="4" fillId="0" borderId="4" xfId="0" applyNumberFormat="1" applyFont="1" applyBorder="1" applyAlignment="1" applyProtection="1">
      <alignment horizontal="center"/>
      <protection locked="0"/>
    </xf>
    <xf numFmtId="166" fontId="4" fillId="0" borderId="5" xfId="0" applyNumberFormat="1" applyFont="1" applyBorder="1" applyAlignment="1" applyProtection="1">
      <alignment horizontal="center"/>
      <protection locked="0"/>
    </xf>
    <xf numFmtId="0" fontId="4" fillId="7" borderId="18" xfId="0" applyFont="1" applyFill="1" applyBorder="1" applyAlignment="1" applyProtection="1">
      <alignment horizontal="left"/>
      <protection locked="0"/>
    </xf>
    <xf numFmtId="0" fontId="4" fillId="7" borderId="17" xfId="0" applyFont="1" applyFill="1" applyBorder="1" applyAlignment="1" applyProtection="1">
      <alignment horizontal="left"/>
      <protection locked="0"/>
    </xf>
    <xf numFmtId="0" fontId="4" fillId="7" borderId="12" xfId="0" applyFont="1" applyFill="1" applyBorder="1" applyAlignment="1" applyProtection="1">
      <alignment horizontal="left"/>
      <protection locked="0"/>
    </xf>
    <xf numFmtId="0" fontId="4" fillId="7" borderId="2" xfId="0" applyFont="1" applyFill="1" applyBorder="1" applyAlignment="1" applyProtection="1">
      <alignment horizontal="left"/>
      <protection locked="0"/>
    </xf>
    <xf numFmtId="10" fontId="4" fillId="8" borderId="9" xfId="0" applyNumberFormat="1" applyFont="1" applyFill="1" applyBorder="1" applyAlignment="1">
      <alignment horizontal="center"/>
    </xf>
    <xf numFmtId="0" fontId="4" fillId="8" borderId="1" xfId="0" applyFont="1" applyFill="1" applyBorder="1" applyAlignment="1">
      <alignment horizontal="center"/>
    </xf>
    <xf numFmtId="10" fontId="4" fillId="8" borderId="1" xfId="0" applyNumberFormat="1" applyFont="1" applyFill="1" applyBorder="1" applyAlignment="1">
      <alignment horizontal="center"/>
    </xf>
    <xf numFmtId="2" fontId="4" fillId="8" borderId="1" xfId="0" applyNumberFormat="1" applyFont="1" applyFill="1" applyBorder="1" applyAlignment="1">
      <alignment horizontal="center"/>
    </xf>
    <xf numFmtId="1" fontId="38" fillId="18" borderId="33" xfId="0" applyNumberFormat="1" applyFont="1" applyFill="1" applyBorder="1" applyAlignment="1">
      <alignment horizontal="center" vertical="center" wrapText="1"/>
    </xf>
    <xf numFmtId="0" fontId="40" fillId="19" borderId="13" xfId="0" applyFont="1" applyFill="1" applyBorder="1" applyAlignment="1">
      <alignment horizontal="center" wrapText="1"/>
    </xf>
    <xf numFmtId="0" fontId="6" fillId="0" borderId="0" xfId="0" applyFont="1" applyAlignment="1">
      <alignment horizontal="center" wrapText="1"/>
    </xf>
    <xf numFmtId="10" fontId="4" fillId="0" borderId="0" xfId="0" applyNumberFormat="1" applyFont="1" applyAlignment="1">
      <alignment horizontal="center"/>
    </xf>
    <xf numFmtId="0" fontId="8" fillId="4" borderId="18" xfId="0" applyFont="1" applyFill="1" applyBorder="1" applyAlignment="1">
      <alignment horizontal="center"/>
    </xf>
    <xf numFmtId="0" fontId="8" fillId="4" borderId="33" xfId="0" applyFont="1" applyFill="1" applyBorder="1" applyAlignment="1">
      <alignment horizontal="center"/>
    </xf>
    <xf numFmtId="0" fontId="4" fillId="3" borderId="17" xfId="0" applyFont="1" applyFill="1" applyBorder="1" applyAlignment="1">
      <alignment horizontal="center" wrapText="1"/>
    </xf>
    <xf numFmtId="0" fontId="4" fillId="3" borderId="22" xfId="0" applyFont="1" applyFill="1" applyBorder="1" applyAlignment="1">
      <alignment horizontal="center" wrapText="1"/>
    </xf>
    <xf numFmtId="0" fontId="4" fillId="3" borderId="17" xfId="0" applyFont="1" applyFill="1" applyBorder="1" applyAlignment="1">
      <alignment horizontal="center"/>
    </xf>
    <xf numFmtId="0" fontId="4" fillId="3" borderId="22" xfId="0" applyFont="1" applyFill="1" applyBorder="1" applyAlignment="1">
      <alignment horizontal="center"/>
    </xf>
    <xf numFmtId="0" fontId="4" fillId="3" borderId="19" xfId="0" applyFont="1" applyFill="1" applyBorder="1" applyAlignment="1">
      <alignment horizontal="center"/>
    </xf>
    <xf numFmtId="0" fontId="4" fillId="3" borderId="13" xfId="0" applyFont="1" applyFill="1" applyBorder="1" applyAlignment="1">
      <alignment horizontal="center"/>
    </xf>
    <xf numFmtId="0" fontId="4" fillId="9" borderId="49" xfId="0" applyFont="1" applyFill="1" applyBorder="1" applyAlignment="1">
      <alignment horizontal="center" wrapText="1"/>
    </xf>
    <xf numFmtId="0" fontId="4" fillId="9" borderId="50" xfId="0" applyFont="1" applyFill="1" applyBorder="1" applyAlignment="1">
      <alignment horizontal="center" wrapText="1"/>
    </xf>
    <xf numFmtId="0" fontId="4" fillId="2" borderId="18" xfId="0" applyFont="1" applyFill="1" applyBorder="1" applyAlignment="1">
      <alignment horizontal="center" wrapText="1"/>
    </xf>
    <xf numFmtId="0" fontId="4" fillId="2" borderId="33" xfId="0" applyFont="1" applyFill="1" applyBorder="1" applyAlignment="1">
      <alignment horizontal="center" wrapText="1"/>
    </xf>
    <xf numFmtId="0" fontId="4" fillId="2" borderId="17" xfId="0" applyFont="1" applyFill="1" applyBorder="1" applyAlignment="1">
      <alignment horizontal="center" wrapText="1"/>
    </xf>
    <xf numFmtId="0" fontId="4" fillId="2" borderId="22" xfId="0" applyFont="1" applyFill="1" applyBorder="1" applyAlignment="1">
      <alignment horizontal="center" wrapText="1"/>
    </xf>
    <xf numFmtId="0" fontId="4" fillId="2" borderId="19" xfId="0" applyFont="1" applyFill="1" applyBorder="1" applyAlignment="1">
      <alignment horizontal="center" wrapText="1"/>
    </xf>
    <xf numFmtId="0" fontId="4" fillId="2" borderId="13" xfId="0" applyFont="1" applyFill="1" applyBorder="1" applyAlignment="1">
      <alignment horizontal="center" wrapText="1"/>
    </xf>
    <xf numFmtId="0" fontId="8" fillId="5" borderId="49" xfId="0" applyFont="1" applyFill="1" applyBorder="1" applyAlignment="1">
      <alignment horizontal="center" wrapText="1"/>
    </xf>
    <xf numFmtId="0" fontId="8" fillId="5" borderId="50" xfId="0" applyFont="1" applyFill="1" applyBorder="1" applyAlignment="1">
      <alignment horizontal="center" wrapText="1"/>
    </xf>
    <xf numFmtId="2" fontId="4" fillId="4" borderId="8" xfId="0" applyNumberFormat="1" applyFont="1" applyFill="1" applyBorder="1" applyAlignment="1">
      <alignment horizontal="center"/>
    </xf>
    <xf numFmtId="2" fontId="4" fillId="4" borderId="9" xfId="0" applyNumberFormat="1" applyFont="1" applyFill="1" applyBorder="1" applyAlignment="1">
      <alignment horizontal="center"/>
    </xf>
    <xf numFmtId="10" fontId="4" fillId="4" borderId="8" xfId="0" applyNumberFormat="1" applyFont="1" applyFill="1" applyBorder="1" applyAlignment="1">
      <alignment horizontal="center"/>
    </xf>
    <xf numFmtId="10" fontId="4" fillId="4" borderId="9" xfId="0" applyNumberFormat="1" applyFont="1" applyFill="1" applyBorder="1" applyAlignment="1">
      <alignment horizontal="center"/>
    </xf>
    <xf numFmtId="166" fontId="4" fillId="0" borderId="29" xfId="0" applyNumberFormat="1" applyFont="1" applyBorder="1" applyAlignment="1" applyProtection="1">
      <alignment horizontal="center"/>
      <protection locked="0"/>
    </xf>
    <xf numFmtId="166" fontId="4" fillId="0" borderId="30" xfId="0" applyNumberFormat="1" applyFont="1" applyBorder="1" applyAlignment="1" applyProtection="1">
      <alignment horizontal="center"/>
      <protection locked="0"/>
    </xf>
    <xf numFmtId="0" fontId="4" fillId="7" borderId="56" xfId="0" applyFont="1" applyFill="1" applyBorder="1" applyAlignment="1">
      <alignment horizontal="left"/>
    </xf>
    <xf numFmtId="166" fontId="4" fillId="7" borderId="16" xfId="0" applyNumberFormat="1" applyFont="1" applyFill="1" applyBorder="1" applyAlignment="1">
      <alignment horizontal="center"/>
    </xf>
    <xf numFmtId="166" fontId="4" fillId="7" borderId="32" xfId="0" applyNumberFormat="1" applyFont="1" applyFill="1" applyBorder="1" applyAlignment="1">
      <alignment horizontal="center"/>
    </xf>
    <xf numFmtId="0" fontId="4" fillId="4" borderId="24" xfId="0" applyFont="1" applyFill="1" applyBorder="1" applyAlignment="1">
      <alignment horizontal="left"/>
    </xf>
    <xf numFmtId="0" fontId="38" fillId="10" borderId="24" xfId="0" applyFont="1" applyFill="1" applyBorder="1" applyAlignment="1" applyProtection="1">
      <alignment horizontal="left"/>
      <protection locked="0"/>
    </xf>
    <xf numFmtId="0" fontId="38" fillId="10" borderId="9" xfId="0" applyFont="1" applyFill="1" applyBorder="1" applyAlignment="1" applyProtection="1">
      <alignment horizontal="left"/>
      <protection locked="0"/>
    </xf>
    <xf numFmtId="166" fontId="38" fillId="11" borderId="8" xfId="0" applyNumberFormat="1" applyFont="1" applyFill="1" applyBorder="1" applyAlignment="1" applyProtection="1">
      <alignment horizontal="center"/>
      <protection locked="0"/>
    </xf>
    <xf numFmtId="166" fontId="4" fillId="0" borderId="9" xfId="0" applyNumberFormat="1" applyFont="1" applyBorder="1" applyAlignment="1" applyProtection="1">
      <alignment horizontal="center"/>
      <protection locked="0"/>
    </xf>
    <xf numFmtId="10" fontId="4" fillId="8" borderId="24" xfId="0" applyNumberFormat="1" applyFont="1" applyFill="1" applyBorder="1" applyAlignment="1">
      <alignment horizontal="center"/>
    </xf>
    <xf numFmtId="0" fontId="4" fillId="8" borderId="9" xfId="0" applyFont="1" applyFill="1" applyBorder="1" applyAlignment="1">
      <alignment horizontal="center"/>
    </xf>
    <xf numFmtId="10" fontId="4" fillId="8" borderId="8" xfId="0" applyNumberFormat="1" applyFont="1" applyFill="1" applyBorder="1" applyAlignment="1">
      <alignment horizontal="center"/>
    </xf>
    <xf numFmtId="0" fontId="3" fillId="4" borderId="23" xfId="0" applyFont="1" applyFill="1" applyBorder="1" applyAlignment="1">
      <alignment horizontal="center"/>
    </xf>
    <xf numFmtId="0" fontId="3" fillId="4" borderId="18" xfId="0" applyFont="1" applyFill="1" applyBorder="1" applyAlignment="1">
      <alignment horizontal="center"/>
    </xf>
    <xf numFmtId="0" fontId="3" fillId="4" borderId="20" xfId="0" applyFont="1" applyFill="1" applyBorder="1" applyAlignment="1">
      <alignment horizontal="center"/>
    </xf>
    <xf numFmtId="0" fontId="3" fillId="4" borderId="10" xfId="0" applyFont="1" applyFill="1" applyBorder="1" applyAlignment="1">
      <alignment horizontal="center"/>
    </xf>
    <xf numFmtId="0" fontId="4" fillId="7" borderId="24" xfId="0" applyFont="1" applyFill="1" applyBorder="1" applyAlignment="1" applyProtection="1">
      <alignment horizontal="left"/>
      <protection locked="0"/>
    </xf>
    <xf numFmtId="166" fontId="4" fillId="0" borderId="8" xfId="0" applyNumberFormat="1" applyFont="1" applyBorder="1" applyAlignment="1" applyProtection="1">
      <alignment horizontal="center"/>
      <protection locked="0"/>
    </xf>
    <xf numFmtId="166" fontId="4" fillId="0" borderId="27" xfId="0" applyNumberFormat="1" applyFont="1" applyBorder="1" applyAlignment="1" applyProtection="1">
      <alignment horizontal="center"/>
      <protection locked="0"/>
    </xf>
    <xf numFmtId="0" fontId="4" fillId="7" borderId="55" xfId="0" applyFont="1" applyFill="1" applyBorder="1" applyAlignment="1" applyProtection="1">
      <alignment horizontal="left"/>
      <protection locked="0"/>
    </xf>
    <xf numFmtId="0" fontId="38" fillId="10" borderId="23" xfId="0" applyFont="1" applyFill="1" applyBorder="1" applyAlignment="1" applyProtection="1">
      <alignment horizontal="left"/>
      <protection locked="0"/>
    </xf>
    <xf numFmtId="0" fontId="38" fillId="10" borderId="18" xfId="0" applyFont="1" applyFill="1" applyBorder="1" applyAlignment="1" applyProtection="1">
      <alignment horizontal="left"/>
      <protection locked="0"/>
    </xf>
    <xf numFmtId="166" fontId="38" fillId="11" borderId="19" xfId="0" applyNumberFormat="1" applyFont="1" applyFill="1" applyBorder="1" applyAlignment="1" applyProtection="1">
      <alignment horizontal="center"/>
      <protection locked="0"/>
    </xf>
    <xf numFmtId="166" fontId="4" fillId="0" borderId="18" xfId="0" applyNumberFormat="1" applyFont="1" applyBorder="1" applyAlignment="1" applyProtection="1">
      <alignment horizontal="center"/>
      <protection locked="0"/>
    </xf>
    <xf numFmtId="0" fontId="4" fillId="7" borderId="54" xfId="0" applyFont="1" applyFill="1" applyBorder="1" applyAlignment="1" applyProtection="1">
      <alignment horizontal="left"/>
      <protection locked="0"/>
    </xf>
    <xf numFmtId="166" fontId="4" fillId="0" borderId="7" xfId="0" applyNumberFormat="1" applyFont="1" applyBorder="1" applyAlignment="1" applyProtection="1">
      <alignment horizontal="center"/>
      <protection locked="0"/>
    </xf>
    <xf numFmtId="166" fontId="4" fillId="0" borderId="26" xfId="0" applyNumberFormat="1" applyFont="1" applyBorder="1" applyAlignment="1" applyProtection="1">
      <alignment horizontal="center"/>
      <protection locked="0"/>
    </xf>
    <xf numFmtId="0" fontId="4" fillId="7" borderId="24" xfId="0" applyFont="1" applyFill="1" applyBorder="1" applyAlignment="1">
      <alignment horizontal="left"/>
    </xf>
    <xf numFmtId="166" fontId="4" fillId="7" borderId="8" xfId="0" applyNumberFormat="1" applyFont="1" applyFill="1" applyBorder="1" applyAlignment="1">
      <alignment horizontal="center"/>
    </xf>
    <xf numFmtId="166" fontId="4" fillId="7" borderId="9" xfId="0" applyNumberFormat="1" applyFont="1" applyFill="1" applyBorder="1" applyAlignment="1">
      <alignment horizontal="center"/>
    </xf>
    <xf numFmtId="2" fontId="4" fillId="6" borderId="8" xfId="0" applyNumberFormat="1" applyFont="1" applyFill="1" applyBorder="1" applyAlignment="1">
      <alignment horizontal="center"/>
    </xf>
    <xf numFmtId="2" fontId="4" fillId="6" borderId="9" xfId="0" applyNumberFormat="1" applyFont="1" applyFill="1" applyBorder="1" applyAlignment="1">
      <alignment horizontal="center"/>
    </xf>
    <xf numFmtId="0" fontId="4" fillId="6" borderId="24" xfId="0" applyFont="1" applyFill="1" applyBorder="1" applyAlignment="1">
      <alignment horizontal="left"/>
    </xf>
    <xf numFmtId="0" fontId="24" fillId="0" borderId="23" xfId="0" applyFont="1" applyBorder="1" applyAlignment="1">
      <alignment horizontal="center"/>
    </xf>
    <xf numFmtId="0" fontId="11" fillId="12" borderId="23" xfId="0" applyFont="1" applyFill="1" applyBorder="1" applyAlignment="1">
      <alignment horizontal="center"/>
    </xf>
    <xf numFmtId="0" fontId="6" fillId="4" borderId="1" xfId="0" applyFont="1" applyFill="1" applyBorder="1" applyAlignment="1">
      <alignment horizontal="center"/>
    </xf>
    <xf numFmtId="0" fontId="6" fillId="4" borderId="1" xfId="0" applyFont="1" applyFill="1" applyBorder="1" applyAlignment="1">
      <alignment horizontal="center" wrapText="1"/>
    </xf>
    <xf numFmtId="0" fontId="38" fillId="10" borderId="1" xfId="0" applyFont="1" applyFill="1" applyBorder="1" applyAlignment="1" applyProtection="1">
      <alignment horizontal="left"/>
      <protection locked="0"/>
    </xf>
    <xf numFmtId="166" fontId="38" fillId="11" borderId="1" xfId="0" applyNumberFormat="1" applyFont="1" applyFill="1" applyBorder="1" applyAlignment="1" applyProtection="1">
      <alignment horizontal="center"/>
      <protection locked="0"/>
    </xf>
    <xf numFmtId="0" fontId="38" fillId="10" borderId="17" xfId="0" applyFont="1" applyFill="1" applyBorder="1" applyAlignment="1" applyProtection="1">
      <alignment horizontal="left"/>
      <protection locked="0"/>
    </xf>
    <xf numFmtId="166" fontId="38" fillId="11" borderId="17" xfId="0" applyNumberFormat="1" applyFont="1" applyFill="1" applyBorder="1" applyAlignment="1" applyProtection="1">
      <alignment horizontal="center"/>
      <protection locked="0"/>
    </xf>
    <xf numFmtId="0" fontId="24" fillId="0" borderId="0" xfId="0" applyFont="1" applyAlignment="1">
      <alignment horizontal="center"/>
    </xf>
    <xf numFmtId="0" fontId="4" fillId="7" borderId="28" xfId="0" applyFont="1" applyFill="1" applyBorder="1" applyAlignment="1">
      <alignment horizontal="left"/>
    </xf>
    <xf numFmtId="0" fontId="4" fillId="7" borderId="4" xfId="0" applyFont="1" applyFill="1" applyBorder="1" applyAlignment="1">
      <alignment horizontal="left"/>
    </xf>
    <xf numFmtId="166" fontId="4" fillId="7" borderId="4" xfId="0" applyNumberFormat="1" applyFont="1" applyFill="1" applyBorder="1" applyAlignment="1">
      <alignment horizontal="center"/>
    </xf>
    <xf numFmtId="166" fontId="4" fillId="7" borderId="5" xfId="0" applyNumberFormat="1" applyFont="1" applyFill="1" applyBorder="1" applyAlignment="1">
      <alignment horizontal="center"/>
    </xf>
    <xf numFmtId="0" fontId="37" fillId="0" borderId="0" xfId="0" applyFont="1" applyAlignment="1">
      <alignment horizontal="center" vertical="center" wrapText="1"/>
    </xf>
    <xf numFmtId="0" fontId="12" fillId="17" borderId="1" xfId="0" applyFont="1" applyFill="1" applyBorder="1" applyAlignment="1">
      <alignment horizontal="center" vertical="center"/>
    </xf>
    <xf numFmtId="0" fontId="6" fillId="2" borderId="1" xfId="0" applyFont="1" applyFill="1" applyBorder="1" applyAlignment="1">
      <alignment horizontal="center" wrapText="1"/>
    </xf>
    <xf numFmtId="0" fontId="3" fillId="17" borderId="1" xfId="0" applyFont="1" applyFill="1" applyBorder="1" applyAlignment="1">
      <alignment horizontal="center"/>
    </xf>
    <xf numFmtId="0" fontId="6" fillId="2" borderId="1" xfId="0" applyFont="1" applyFill="1" applyBorder="1" applyAlignment="1">
      <alignment horizontal="center"/>
    </xf>
    <xf numFmtId="0" fontId="47" fillId="0" borderId="20" xfId="0" applyFont="1" applyFill="1" applyBorder="1" applyAlignment="1">
      <alignment horizontal="left" vertical="center" wrapText="1"/>
    </xf>
    <xf numFmtId="171" fontId="2" fillId="24" borderId="73" xfId="0" applyNumberFormat="1" applyFont="1" applyFill="1" applyBorder="1" applyAlignment="1" applyProtection="1">
      <alignment horizontal="center" vertical="center"/>
    </xf>
    <xf numFmtId="0" fontId="2" fillId="24" borderId="73" xfId="0" applyFont="1" applyFill="1" applyBorder="1" applyAlignment="1" applyProtection="1">
      <alignment horizontal="center" vertical="center"/>
    </xf>
    <xf numFmtId="2" fontId="2" fillId="24" borderId="73" xfId="0" applyNumberFormat="1" applyFont="1" applyFill="1" applyBorder="1" applyAlignment="1" applyProtection="1">
      <alignment horizontal="center" vertical="center"/>
    </xf>
    <xf numFmtId="166" fontId="2" fillId="24" borderId="73" xfId="0" applyNumberFormat="1" applyFont="1" applyFill="1" applyBorder="1" applyAlignment="1" applyProtection="1">
      <alignment horizontal="center" vertical="center"/>
    </xf>
    <xf numFmtId="171" fontId="51" fillId="21" borderId="61" xfId="0" applyNumberFormat="1" applyFont="1" applyFill="1" applyBorder="1" applyAlignment="1" applyProtection="1">
      <alignment horizontal="center" vertical="center"/>
    </xf>
    <xf numFmtId="0" fontId="51" fillId="21" borderId="61" xfId="0" applyFont="1" applyFill="1" applyBorder="1" applyAlignment="1" applyProtection="1">
      <alignment horizontal="center" vertical="center"/>
    </xf>
    <xf numFmtId="171" fontId="51" fillId="21" borderId="62" xfId="0" applyNumberFormat="1" applyFont="1" applyFill="1" applyBorder="1" applyAlignment="1" applyProtection="1">
      <alignment horizontal="center" vertical="center"/>
    </xf>
    <xf numFmtId="0" fontId="51" fillId="21" borderId="62" xfId="0" applyFont="1" applyFill="1" applyBorder="1" applyAlignment="1" applyProtection="1">
      <alignment horizontal="center" vertical="center"/>
    </xf>
    <xf numFmtId="171" fontId="51" fillId="21" borderId="70" xfId="0" applyNumberFormat="1" applyFont="1" applyFill="1" applyBorder="1" applyAlignment="1" applyProtection="1">
      <alignment horizontal="center" vertical="center"/>
    </xf>
    <xf numFmtId="0" fontId="51" fillId="21" borderId="70" xfId="0" applyFont="1" applyFill="1" applyBorder="1" applyAlignment="1" applyProtection="1">
      <alignment horizontal="center" vertical="center"/>
    </xf>
    <xf numFmtId="171" fontId="51" fillId="22" borderId="70" xfId="0" applyNumberFormat="1" applyFont="1" applyFill="1" applyBorder="1" applyAlignment="1" applyProtection="1">
      <alignment horizontal="center" vertical="center"/>
    </xf>
    <xf numFmtId="0" fontId="51" fillId="22" borderId="70" xfId="0" applyFont="1" applyFill="1" applyBorder="1" applyAlignment="1" applyProtection="1">
      <alignment horizontal="center" vertical="center"/>
    </xf>
    <xf numFmtId="171" fontId="51" fillId="22" borderId="62" xfId="0" applyNumberFormat="1" applyFont="1" applyFill="1" applyBorder="1" applyAlignment="1" applyProtection="1">
      <alignment horizontal="center" vertical="center"/>
    </xf>
    <xf numFmtId="0" fontId="51" fillId="22" borderId="62" xfId="0" applyFont="1" applyFill="1" applyBorder="1" applyAlignment="1" applyProtection="1">
      <alignment horizontal="center" vertical="center"/>
    </xf>
    <xf numFmtId="171" fontId="51" fillId="23" borderId="70" xfId="0" applyNumberFormat="1" applyFont="1" applyFill="1" applyBorder="1" applyAlignment="1" applyProtection="1">
      <alignment horizontal="center" vertical="center"/>
    </xf>
    <xf numFmtId="0" fontId="51" fillId="23" borderId="70" xfId="0" applyFont="1" applyFill="1" applyBorder="1" applyAlignment="1" applyProtection="1">
      <alignment horizontal="center" vertical="center"/>
    </xf>
    <xf numFmtId="171" fontId="51" fillId="23" borderId="62" xfId="0" applyNumberFormat="1" applyFont="1" applyFill="1" applyBorder="1" applyAlignment="1" applyProtection="1">
      <alignment horizontal="center" vertical="center"/>
    </xf>
    <xf numFmtId="0" fontId="51" fillId="23" borderId="62" xfId="0" applyFont="1" applyFill="1" applyBorder="1" applyAlignment="1" applyProtection="1">
      <alignment horizontal="center" vertical="center"/>
    </xf>
    <xf numFmtId="49" fontId="2" fillId="24" borderId="74" xfId="0" applyNumberFormat="1" applyFont="1" applyFill="1" applyBorder="1" applyAlignment="1" applyProtection="1">
      <alignment horizontal="center" vertical="center"/>
    </xf>
    <xf numFmtId="49" fontId="51" fillId="21" borderId="63" xfId="0" applyNumberFormat="1" applyFont="1" applyFill="1" applyBorder="1" applyAlignment="1" applyProtection="1">
      <alignment horizontal="center" vertical="center"/>
    </xf>
    <xf numFmtId="49" fontId="51" fillId="21" borderId="64" xfId="0" applyNumberFormat="1" applyFont="1" applyFill="1" applyBorder="1" applyAlignment="1" applyProtection="1">
      <alignment horizontal="center" vertical="center"/>
    </xf>
    <xf numFmtId="49" fontId="51" fillId="21" borderId="71" xfId="0" applyNumberFormat="1" applyFont="1" applyFill="1" applyBorder="1" applyAlignment="1" applyProtection="1">
      <alignment horizontal="center" vertical="center"/>
    </xf>
    <xf numFmtId="49" fontId="51" fillId="22" borderId="71" xfId="0" applyNumberFormat="1" applyFont="1" applyFill="1" applyBorder="1" applyAlignment="1" applyProtection="1">
      <alignment horizontal="center" vertical="center"/>
    </xf>
    <xf numFmtId="49" fontId="51" fillId="22" borderId="64" xfId="0" applyNumberFormat="1" applyFont="1" applyFill="1" applyBorder="1" applyAlignment="1" applyProtection="1">
      <alignment horizontal="center" vertical="center"/>
    </xf>
    <xf numFmtId="49" fontId="51" fillId="23" borderId="71" xfId="0" applyNumberFormat="1" applyFont="1" applyFill="1" applyBorder="1" applyAlignment="1" applyProtection="1">
      <alignment horizontal="center" vertical="center"/>
    </xf>
    <xf numFmtId="49" fontId="51" fillId="23" borderId="64" xfId="0" applyNumberFormat="1" applyFont="1" applyFill="1" applyBorder="1" applyAlignment="1" applyProtection="1">
      <alignment horizontal="center" vertical="center"/>
    </xf>
    <xf numFmtId="0" fontId="2" fillId="24" borderId="75" xfId="0" applyFont="1" applyFill="1" applyBorder="1" applyAlignment="1" applyProtection="1">
      <alignment horizontal="center" vertical="center"/>
    </xf>
    <xf numFmtId="0" fontId="51" fillId="21" borderId="65" xfId="0" applyFont="1" applyFill="1" applyBorder="1" applyAlignment="1" applyProtection="1">
      <alignment horizontal="center" vertical="center"/>
    </xf>
    <xf numFmtId="0" fontId="51" fillId="21" borderId="66" xfId="0" applyFont="1" applyFill="1" applyBorder="1" applyAlignment="1" applyProtection="1">
      <alignment horizontal="center" vertical="center"/>
    </xf>
    <xf numFmtId="0" fontId="51" fillId="21" borderId="72" xfId="0" applyFont="1" applyFill="1" applyBorder="1" applyAlignment="1" applyProtection="1">
      <alignment horizontal="center" vertical="center"/>
    </xf>
    <xf numFmtId="0" fontId="51" fillId="22" borderId="72" xfId="0" applyFont="1" applyFill="1" applyBorder="1" applyAlignment="1" applyProtection="1">
      <alignment horizontal="center" vertical="center"/>
    </xf>
    <xf numFmtId="0" fontId="51" fillId="22" borderId="66" xfId="0" applyFont="1" applyFill="1" applyBorder="1" applyAlignment="1" applyProtection="1">
      <alignment horizontal="center" vertical="center"/>
    </xf>
    <xf numFmtId="0" fontId="51" fillId="23" borderId="72" xfId="0" applyFont="1" applyFill="1" applyBorder="1" applyAlignment="1" applyProtection="1">
      <alignment horizontal="center" vertical="center"/>
    </xf>
    <xf numFmtId="0" fontId="51" fillId="23" borderId="66" xfId="0" applyFont="1" applyFill="1" applyBorder="1" applyAlignment="1" applyProtection="1">
      <alignment horizontal="center" vertical="center"/>
    </xf>
    <xf numFmtId="49" fontId="51" fillId="23" borderId="67" xfId="0" applyNumberFormat="1" applyFont="1" applyFill="1" applyBorder="1" applyAlignment="1" applyProtection="1">
      <alignment horizontal="center" vertical="center"/>
    </xf>
    <xf numFmtId="171" fontId="51" fillId="23" borderId="68" xfId="0" applyNumberFormat="1" applyFont="1" applyFill="1" applyBorder="1" applyAlignment="1" applyProtection="1">
      <alignment horizontal="center" vertical="center"/>
    </xf>
    <xf numFmtId="0" fontId="51" fillId="23" borderId="68" xfId="0" applyFont="1" applyFill="1" applyBorder="1" applyAlignment="1" applyProtection="1">
      <alignment horizontal="center" vertical="center"/>
    </xf>
    <xf numFmtId="0" fontId="51" fillId="23" borderId="69" xfId="0" applyFont="1" applyFill="1" applyBorder="1" applyAlignment="1" applyProtection="1">
      <alignment horizontal="center" vertical="center"/>
    </xf>
    <xf numFmtId="0" fontId="35" fillId="0" borderId="0" xfId="0" applyFont="1" applyAlignment="1">
      <alignment vertical="top" wrapText="1"/>
    </xf>
    <xf numFmtId="0" fontId="13" fillId="0" borderId="0" xfId="0" applyFont="1" applyAlignment="1">
      <alignment vertical="center"/>
    </xf>
    <xf numFmtId="0" fontId="21" fillId="0" borderId="0" xfId="0" applyFont="1" applyAlignment="1">
      <alignment horizontal="left"/>
    </xf>
    <xf numFmtId="0" fontId="2" fillId="0" borderId="0" xfId="0" applyFont="1" applyAlignment="1"/>
    <xf numFmtId="0" fontId="52" fillId="13" borderId="1" xfId="0" applyFont="1" applyFill="1" applyBorder="1"/>
    <xf numFmtId="0" fontId="1" fillId="0" borderId="34" xfId="5" applyBorder="1" applyAlignment="1">
      <alignment horizontal="left" wrapText="1"/>
    </xf>
    <xf numFmtId="0" fontId="43" fillId="0" borderId="0" xfId="0" applyFont="1" applyFill="1" applyAlignment="1"/>
    <xf numFmtId="0" fontId="43" fillId="0" borderId="0" xfId="0" applyFont="1" applyFill="1" applyAlignment="1">
      <alignment horizontal="center"/>
    </xf>
    <xf numFmtId="0" fontId="43" fillId="0" borderId="60" xfId="0" applyFont="1" applyFill="1" applyBorder="1" applyAlignment="1">
      <alignment horizontal="center" vertical="center"/>
    </xf>
    <xf numFmtId="0" fontId="43" fillId="0" borderId="60" xfId="0" applyFont="1" applyFill="1" applyBorder="1" applyAlignment="1">
      <alignment horizontal="left" vertical="center" wrapText="1"/>
    </xf>
    <xf numFmtId="0" fontId="45" fillId="0" borderId="59" xfId="0" applyFont="1" applyFill="1" applyBorder="1" applyAlignment="1">
      <alignment horizontal="center" vertical="center"/>
    </xf>
    <xf numFmtId="0" fontId="20" fillId="0" borderId="60" xfId="0" applyFont="1" applyFill="1" applyBorder="1" applyAlignment="1">
      <alignment horizontal="center" vertical="center"/>
    </xf>
    <xf numFmtId="0" fontId="43" fillId="0" borderId="60" xfId="0" applyFont="1" applyFill="1" applyBorder="1" applyAlignment="1">
      <alignment horizontal="center" vertical="center" wrapText="1"/>
    </xf>
    <xf numFmtId="0" fontId="43" fillId="0" borderId="60" xfId="0" applyFont="1" applyFill="1" applyBorder="1" applyAlignment="1">
      <alignment horizontal="left" vertical="center" wrapText="1"/>
    </xf>
    <xf numFmtId="10" fontId="43" fillId="0" borderId="60" xfId="0" applyNumberFormat="1" applyFont="1" applyFill="1" applyBorder="1" applyAlignment="1">
      <alignment horizontal="center" vertical="center" wrapText="1"/>
    </xf>
    <xf numFmtId="2" fontId="43" fillId="0" borderId="60" xfId="0" applyNumberFormat="1" applyFont="1" applyFill="1" applyBorder="1" applyAlignment="1">
      <alignment horizontal="center" vertical="center" wrapText="1"/>
    </xf>
    <xf numFmtId="10" fontId="43" fillId="0" borderId="60" xfId="0" applyNumberFormat="1" applyFont="1" applyFill="1" applyBorder="1" applyAlignment="1">
      <alignment horizontal="center" vertical="center"/>
    </xf>
    <xf numFmtId="2" fontId="43" fillId="0" borderId="60" xfId="0" applyNumberFormat="1" applyFont="1" applyFill="1" applyBorder="1" applyAlignment="1">
      <alignment horizontal="center" vertical="center"/>
    </xf>
    <xf numFmtId="0" fontId="44" fillId="0" borderId="0" xfId="0" applyFont="1" applyFill="1" applyAlignment="1">
      <alignment horizontal="center" vertical="center"/>
    </xf>
    <xf numFmtId="0" fontId="43" fillId="0" borderId="0" xfId="0" applyFont="1" applyFill="1" applyAlignment="1">
      <alignment horizontal="center" vertical="center"/>
    </xf>
    <xf numFmtId="0" fontId="43" fillId="0" borderId="0" xfId="0" applyFont="1" applyFill="1" applyAlignment="1">
      <alignment vertical="center"/>
    </xf>
    <xf numFmtId="0" fontId="20" fillId="0" borderId="0" xfId="0" applyFont="1" applyFill="1" applyAlignment="1">
      <alignment vertical="center"/>
    </xf>
    <xf numFmtId="0" fontId="45" fillId="0" borderId="0" xfId="0" applyFont="1" applyFill="1" applyAlignment="1">
      <alignment vertical="center"/>
    </xf>
    <xf numFmtId="0" fontId="43" fillId="0" borderId="0" xfId="0" applyFont="1" applyFill="1" applyAlignment="1">
      <alignment vertical="center"/>
    </xf>
    <xf numFmtId="0" fontId="43" fillId="0" borderId="0" xfId="0" applyFont="1" applyFill="1" applyAlignment="1">
      <alignment vertical="center" wrapText="1"/>
    </xf>
    <xf numFmtId="0" fontId="20" fillId="0" borderId="60" xfId="0" applyFont="1" applyFill="1" applyBorder="1" applyAlignment="1">
      <alignment vertical="center"/>
    </xf>
    <xf numFmtId="0" fontId="43" fillId="0" borderId="60" xfId="0" applyFont="1" applyFill="1" applyBorder="1" applyAlignment="1">
      <alignment vertical="center"/>
    </xf>
    <xf numFmtId="0" fontId="20" fillId="0" borderId="60" xfId="0" applyFont="1" applyFill="1" applyBorder="1" applyAlignment="1">
      <alignment vertical="center"/>
    </xf>
    <xf numFmtId="0" fontId="43" fillId="0" borderId="60" xfId="0" applyFont="1" applyFill="1" applyBorder="1" applyAlignment="1">
      <alignment vertical="center" wrapText="1"/>
    </xf>
    <xf numFmtId="0" fontId="43" fillId="0" borderId="60" xfId="0" applyFont="1" applyFill="1" applyBorder="1" applyAlignment="1">
      <alignment vertical="center"/>
    </xf>
    <xf numFmtId="0" fontId="46" fillId="0" borderId="0" xfId="0" applyFont="1" applyFill="1" applyAlignment="1">
      <alignment horizontal="center" vertical="center"/>
    </xf>
    <xf numFmtId="0" fontId="45" fillId="0" borderId="60"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8</xdr:col>
      <xdr:colOff>12700</xdr:colOff>
      <xdr:row>1</xdr:row>
      <xdr:rowOff>698500</xdr:rowOff>
    </xdr:from>
    <xdr:to>
      <xdr:col>9</xdr:col>
      <xdr:colOff>1879600</xdr:colOff>
      <xdr:row>1</xdr:row>
      <xdr:rowOff>889000</xdr:rowOff>
    </xdr:to>
    <xdr:sp macro="ShowLOHNTABELLE_TESTButtonHelp" textlink="">
      <xdr:nvSpPr>
        <xdr:cNvPr id="12" name="btn_LOHNTABELLE_TESTHelp">
          <a:extLst>
            <a:ext uri="{FF2B5EF4-FFF2-40B4-BE49-F238E27FC236}">
              <a16:creationId xmlns:a16="http://schemas.microsoft.com/office/drawing/2014/main" id="{4932D790-DC40-61B3-2547-68A7577254E7}"/>
            </a:ext>
          </a:extLst>
        </xdr:cNvPr>
        <xdr:cNvSpPr/>
      </xdr:nvSpPr>
      <xdr:spPr>
        <a:xfrm>
          <a:off x="9537700" y="1054100"/>
          <a:ext cx="3606800" cy="190500"/>
        </a:xfrm>
        <a:prstGeom prst="roundRect">
          <a:avLst/>
        </a:prstGeom>
        <a:solidFill>
          <a:srgbClr val="787878"/>
        </a:solidFill>
        <a:ln>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Hilfe</a:t>
          </a:r>
        </a:p>
      </xdr:txBody>
    </xdr:sp>
    <xdr:clientData/>
  </xdr:twoCellAnchor>
  <xdr:twoCellAnchor editAs="absolute">
    <xdr:from>
      <xdr:col>8</xdr:col>
      <xdr:colOff>12700</xdr:colOff>
      <xdr:row>1</xdr:row>
      <xdr:rowOff>50800</xdr:rowOff>
    </xdr:from>
    <xdr:to>
      <xdr:col>9</xdr:col>
      <xdr:colOff>1879600</xdr:colOff>
      <xdr:row>1</xdr:row>
      <xdr:rowOff>241300</xdr:rowOff>
    </xdr:to>
    <xdr:sp macro="AddNewKVPeriodOnTop" textlink="">
      <xdr:nvSpPr>
        <xdr:cNvPr id="25" name="btn_AddNewKVPeriodOnTop">
          <a:extLst>
            <a:ext uri="{FF2B5EF4-FFF2-40B4-BE49-F238E27FC236}">
              <a16:creationId xmlns:a16="http://schemas.microsoft.com/office/drawing/2014/main" id="{D55B9E24-1937-E407-EA84-F64E6DF60797}"/>
            </a:ext>
          </a:extLst>
        </xdr:cNvPr>
        <xdr:cNvSpPr/>
      </xdr:nvSpPr>
      <xdr:spPr>
        <a:xfrm>
          <a:off x="9537700" y="406400"/>
          <a:ext cx="3606800" cy="1905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1) Neue Periode</a:t>
          </a:r>
        </a:p>
      </xdr:txBody>
    </xdr:sp>
    <xdr:clientData/>
  </xdr:twoCellAnchor>
  <xdr:twoCellAnchor editAs="absolute">
    <xdr:from>
      <xdr:col>8</xdr:col>
      <xdr:colOff>12700</xdr:colOff>
      <xdr:row>1</xdr:row>
      <xdr:rowOff>266700</xdr:rowOff>
    </xdr:from>
    <xdr:to>
      <xdr:col>9</xdr:col>
      <xdr:colOff>1879600</xdr:colOff>
      <xdr:row>1</xdr:row>
      <xdr:rowOff>457200</xdr:rowOff>
    </xdr:to>
    <xdr:sp macro="AddCustomKVMonatsstunden" textlink="">
      <xdr:nvSpPr>
        <xdr:cNvPr id="26" name="btn_AddCustomKVMonatsstunden">
          <a:extLst>
            <a:ext uri="{FF2B5EF4-FFF2-40B4-BE49-F238E27FC236}">
              <a16:creationId xmlns:a16="http://schemas.microsoft.com/office/drawing/2014/main" id="{A44CEEFE-052E-51EA-2BCA-17A7902A44B5}"/>
            </a:ext>
          </a:extLst>
        </xdr:cNvPr>
        <xdr:cNvSpPr/>
      </xdr:nvSpPr>
      <xdr:spPr>
        <a:xfrm>
          <a:off x="9537700" y="622300"/>
          <a:ext cx="3606800" cy="190500"/>
        </a:xfrm>
        <a:prstGeom prst="roundRect">
          <a:avLst/>
        </a:prstGeom>
        <a:solidFill>
          <a:srgbClr val="548235"/>
        </a:solidFill>
        <a:ln>
          <a:solidFill>
            <a:srgbClr val="38572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2) Eigene Stunden</a:t>
          </a:r>
        </a:p>
      </xdr:txBody>
    </xdr:sp>
    <xdr:clientData/>
  </xdr:twoCellAnchor>
  <xdr:twoCellAnchor editAs="absolute">
    <xdr:from>
      <xdr:col>8</xdr:col>
      <xdr:colOff>12700</xdr:colOff>
      <xdr:row>1</xdr:row>
      <xdr:rowOff>482600</xdr:rowOff>
    </xdr:from>
    <xdr:to>
      <xdr:col>9</xdr:col>
      <xdr:colOff>1879600</xdr:colOff>
      <xdr:row>1</xdr:row>
      <xdr:rowOff>673100</xdr:rowOff>
    </xdr:to>
    <xdr:sp macro="DeleteSelectedKVPeriods" textlink="">
      <xdr:nvSpPr>
        <xdr:cNvPr id="27" name="btn_DeleteKVPeriods">
          <a:extLst>
            <a:ext uri="{FF2B5EF4-FFF2-40B4-BE49-F238E27FC236}">
              <a16:creationId xmlns:a16="http://schemas.microsoft.com/office/drawing/2014/main" id="{F84F760E-CFB9-07A1-B369-5167A99E3AC2}"/>
            </a:ext>
          </a:extLst>
        </xdr:cNvPr>
        <xdr:cNvSpPr/>
      </xdr:nvSpPr>
      <xdr:spPr>
        <a:xfrm>
          <a:off x="9537700" y="838200"/>
          <a:ext cx="3606800" cy="190500"/>
        </a:xfrm>
        <a:prstGeom prst="roundRect">
          <a:avLst/>
        </a:prstGeom>
        <a:solidFill>
          <a:srgbClr val="C0504D"/>
        </a:solidFill>
        <a:ln>
          <a:solidFill>
            <a:srgbClr val="842E2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3) Alte Periode loeschen</a:t>
          </a:r>
        </a:p>
      </xdr:txBody>
    </xdr:sp>
    <xdr:clientData/>
  </xdr:twoCellAnchor>
  <xdr:twoCellAnchor editAs="absolute">
    <xdr:from>
      <xdr:col>8</xdr:col>
      <xdr:colOff>12700</xdr:colOff>
      <xdr:row>1</xdr:row>
      <xdr:rowOff>698500</xdr:rowOff>
    </xdr:from>
    <xdr:to>
      <xdr:col>9</xdr:col>
      <xdr:colOff>1879600</xdr:colOff>
      <xdr:row>1</xdr:row>
      <xdr:rowOff>889000</xdr:rowOff>
    </xdr:to>
    <xdr:sp macro="ShowLOHNTABELLEButtonHelp" textlink="">
      <xdr:nvSpPr>
        <xdr:cNvPr id="28" name="btn_LOHNTABELLEHelp">
          <a:extLst>
            <a:ext uri="{FF2B5EF4-FFF2-40B4-BE49-F238E27FC236}">
              <a16:creationId xmlns:a16="http://schemas.microsoft.com/office/drawing/2014/main" id="{2D6279D8-0A95-4722-0883-1CBB7F9F1B43}"/>
            </a:ext>
          </a:extLst>
        </xdr:cNvPr>
        <xdr:cNvSpPr/>
      </xdr:nvSpPr>
      <xdr:spPr>
        <a:xfrm>
          <a:off x="9537700" y="1054100"/>
          <a:ext cx="3606800" cy="190500"/>
        </a:xfrm>
        <a:prstGeom prst="roundRect">
          <a:avLst/>
        </a:prstGeom>
        <a:solidFill>
          <a:srgbClr val="787878"/>
        </a:solidFill>
        <a:ln>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Hilfe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163"/>
  <sheetViews>
    <sheetView showGridLines="0" zoomScale="120" zoomScaleNormal="120" workbookViewId="0">
      <pane ySplit="3" topLeftCell="A4" activePane="bottomLeft" state="frozen"/>
      <selection pane="bottomLeft" activeCell="L5" sqref="L5"/>
    </sheetView>
  </sheetViews>
  <sheetFormatPr baseColWidth="10" defaultRowHeight="18" customHeight="1"/>
  <cols>
    <col min="1" max="1" width="16.83203125" style="114" customWidth="1"/>
    <col min="2" max="3" width="13.6640625" style="114" customWidth="1"/>
    <col min="4" max="4" width="14.83203125" style="114" customWidth="1"/>
    <col min="5" max="5" width="12.6640625" style="114" customWidth="1"/>
    <col min="6" max="6" width="24.6640625" style="114" customWidth="1"/>
    <col min="7" max="7" width="13.83203125" style="114" customWidth="1"/>
    <col min="8" max="8" width="14.83203125" style="121" customWidth="1"/>
    <col min="9" max="9" width="22.83203125" style="114" customWidth="1"/>
    <col min="10" max="10" width="24.83203125" style="114" customWidth="1"/>
    <col min="11" max="11" width="3.6640625" customWidth="1"/>
    <col min="12" max="14" width="18.83203125" customWidth="1"/>
    <col min="27" max="29" width="0" hidden="1" customWidth="1"/>
  </cols>
  <sheetData>
    <row r="1" spans="1:10" ht="28" customHeight="1">
      <c r="A1" s="147" t="s">
        <v>306</v>
      </c>
      <c r="B1" s="147"/>
      <c r="C1" s="147"/>
      <c r="D1" s="147"/>
      <c r="E1" s="147"/>
      <c r="F1" s="147"/>
      <c r="G1" s="147"/>
      <c r="H1" s="147"/>
      <c r="I1" s="147"/>
      <c r="J1" s="147"/>
    </row>
    <row r="2" spans="1:10" ht="74" customHeight="1">
      <c r="A2" s="148" t="s">
        <v>381</v>
      </c>
      <c r="B2" s="148"/>
      <c r="C2" s="148"/>
      <c r="D2" s="148"/>
      <c r="E2" s="148"/>
      <c r="F2" s="148"/>
      <c r="G2" s="148"/>
      <c r="H2" s="148"/>
      <c r="I2" s="297"/>
      <c r="J2" s="297"/>
    </row>
    <row r="3" spans="1:10" ht="24" customHeight="1">
      <c r="A3" s="129" t="s">
        <v>311</v>
      </c>
      <c r="B3" s="129" t="s">
        <v>370</v>
      </c>
      <c r="C3" s="129" t="s">
        <v>371</v>
      </c>
      <c r="D3" s="129" t="s">
        <v>315</v>
      </c>
      <c r="E3" s="129" t="s">
        <v>312</v>
      </c>
      <c r="F3" s="129" t="s">
        <v>372</v>
      </c>
      <c r="G3" s="129" t="s">
        <v>313</v>
      </c>
      <c r="H3" s="130" t="s">
        <v>1</v>
      </c>
      <c r="I3" s="129" t="s">
        <v>314</v>
      </c>
      <c r="J3" s="129" t="s">
        <v>373</v>
      </c>
    </row>
    <row r="4" spans="1:10" ht="24" customHeight="1" thickBot="1">
      <c r="A4" s="316" t="s">
        <v>374</v>
      </c>
      <c r="B4" s="298"/>
      <c r="C4" s="298"/>
      <c r="D4" s="299"/>
      <c r="E4" s="299"/>
      <c r="F4" s="299"/>
      <c r="G4" s="300"/>
      <c r="H4" s="301"/>
      <c r="I4" s="299"/>
      <c r="J4" s="324"/>
    </row>
    <row r="5" spans="1:10" ht="24" customHeight="1">
      <c r="A5" s="317" t="s">
        <v>319</v>
      </c>
      <c r="B5" s="302">
        <v>45778</v>
      </c>
      <c r="C5" s="302">
        <v>46142</v>
      </c>
      <c r="D5" s="303" t="s">
        <v>316</v>
      </c>
      <c r="E5" s="303" t="s">
        <v>2</v>
      </c>
      <c r="F5" s="303" t="s">
        <v>307</v>
      </c>
      <c r="G5" s="131">
        <v>173</v>
      </c>
      <c r="H5" s="132">
        <v>2021</v>
      </c>
      <c r="I5" s="303" t="str">
        <f>IF($A5="","",IF(OR($B5="",$C5="",$D5="",$E5="",$F5=""),"Stammdaten fehlen",IF(AND($G5="",$H5=""),"Werte fehlen",IF($G5="","Monatsstunden fehlen",IF($H5="","Monatslohn fehlt","OK")))))</f>
        <v>OK</v>
      </c>
      <c r="J5" s="325" t="str">
        <f>IF($G5="","",IF(COUNTIFS($A:$A,$A5,$D:$D,$D5,$G:$G,$G5)&gt;1,"Doppelte Monatsstunden",""))</f>
        <v/>
      </c>
    </row>
    <row r="6" spans="1:10" ht="24" customHeight="1">
      <c r="A6" s="318" t="s">
        <v>319</v>
      </c>
      <c r="B6" s="304">
        <v>45778</v>
      </c>
      <c r="C6" s="304">
        <v>46142</v>
      </c>
      <c r="D6" s="305" t="s">
        <v>316</v>
      </c>
      <c r="E6" s="305" t="s">
        <v>2</v>
      </c>
      <c r="F6" s="305" t="s">
        <v>307</v>
      </c>
      <c r="G6" s="133">
        <v>151.38</v>
      </c>
      <c r="H6" s="134">
        <v>1768.38</v>
      </c>
      <c r="I6" s="305" t="str">
        <f>IF($A6="","",IF(OR($B6="",$C6="",$D6="",$E6="",$F6=""),"Stammdaten fehlen",IF(AND($G6="",$H6=""),"Werte fehlen",IF($G6="","Monatsstunden fehlen",IF($H6="","Monatslohn fehlt","OK")))))</f>
        <v>OK</v>
      </c>
      <c r="J6" s="326" t="str">
        <f>IF($G6="","",IF(COUNTIFS($A:$A,$A6,$D:$D,$D6,$G:$G,$G6)&gt;1,"Doppelte Monatsstunden",""))</f>
        <v/>
      </c>
    </row>
    <row r="7" spans="1:10" ht="24" customHeight="1">
      <c r="A7" s="318" t="s">
        <v>319</v>
      </c>
      <c r="B7" s="304">
        <v>45778</v>
      </c>
      <c r="C7" s="304">
        <v>46142</v>
      </c>
      <c r="D7" s="305" t="s">
        <v>316</v>
      </c>
      <c r="E7" s="305" t="s">
        <v>2</v>
      </c>
      <c r="F7" s="305" t="s">
        <v>307</v>
      </c>
      <c r="G7" s="133">
        <v>138.4</v>
      </c>
      <c r="H7" s="134">
        <v>1616.8</v>
      </c>
      <c r="I7" s="305" t="str">
        <f>IF($A7="","",IF(OR($B7="",$C7="",$D7="",$E7="",$F7=""),"Stammdaten fehlen",IF(AND($G7="",$H7=""),"Werte fehlen",IF($G7="","Monatsstunden fehlen",IF($H7="","Monatslohn fehlt","OK")))))</f>
        <v>OK</v>
      </c>
      <c r="J7" s="326" t="str">
        <f>IF($G7="","",IF(COUNTIFS($A:$A,$A7,$D:$D,$D7,$G:$G,$G7)&gt;1,"Doppelte Monatsstunden",""))</f>
        <v/>
      </c>
    </row>
    <row r="8" spans="1:10" ht="24" customHeight="1">
      <c r="A8" s="318" t="s">
        <v>319</v>
      </c>
      <c r="B8" s="304">
        <v>45778</v>
      </c>
      <c r="C8" s="304">
        <v>46142</v>
      </c>
      <c r="D8" s="305" t="s">
        <v>316</v>
      </c>
      <c r="E8" s="305" t="s">
        <v>2</v>
      </c>
      <c r="F8" s="305" t="s">
        <v>307</v>
      </c>
      <c r="G8" s="133">
        <v>129.75</v>
      </c>
      <c r="H8" s="134">
        <v>1515.75</v>
      </c>
      <c r="I8" s="305" t="str">
        <f>IF($A8="","",IF(OR($B8="",$C8="",$D8="",$E8="",$F8=""),"Stammdaten fehlen",IF(AND($G8="",$H8=""),"Werte fehlen",IF($G8="","Monatsstunden fehlen",IF($H8="","Monatslohn fehlt","OK")))))</f>
        <v>OK</v>
      </c>
      <c r="J8" s="326" t="str">
        <f>IF($G8="","",IF(COUNTIFS($A:$A,$A8,$D:$D,$D8,$G:$G,$G8)&gt;1,"Doppelte Monatsstunden",""))</f>
        <v/>
      </c>
    </row>
    <row r="9" spans="1:10" ht="24" customHeight="1">
      <c r="A9" s="318" t="s">
        <v>319</v>
      </c>
      <c r="B9" s="304">
        <v>45778</v>
      </c>
      <c r="C9" s="304">
        <v>46142</v>
      </c>
      <c r="D9" s="305" t="s">
        <v>316</v>
      </c>
      <c r="E9" s="305" t="s">
        <v>2</v>
      </c>
      <c r="F9" s="305" t="s">
        <v>307</v>
      </c>
      <c r="G9" s="133">
        <v>108.13</v>
      </c>
      <c r="H9" s="134">
        <v>1263.1300000000001</v>
      </c>
      <c r="I9" s="305" t="str">
        <f>IF($A9="","",IF(OR($B9="",$C9="",$D9="",$E9="",$F9=""),"Stammdaten fehlen",IF(AND($G9="",$H9=""),"Werte fehlen",IF($G9="","Monatsstunden fehlen",IF($H9="","Monatslohn fehlt","OK")))))</f>
        <v>OK</v>
      </c>
      <c r="J9" s="326" t="str">
        <f>IF($G9="","",IF(COUNTIFS($A:$A,$A9,$D:$D,$D9,$G:$G,$G9)&gt;1,"Doppelte Monatsstunden",""))</f>
        <v/>
      </c>
    </row>
    <row r="10" spans="1:10" ht="24" customHeight="1">
      <c r="A10" s="318" t="s">
        <v>319</v>
      </c>
      <c r="B10" s="304">
        <v>45778</v>
      </c>
      <c r="C10" s="304">
        <v>46142</v>
      </c>
      <c r="D10" s="305" t="s">
        <v>316</v>
      </c>
      <c r="E10" s="305" t="s">
        <v>2</v>
      </c>
      <c r="F10" s="305" t="s">
        <v>307</v>
      </c>
      <c r="G10" s="133">
        <v>103.8</v>
      </c>
      <c r="H10" s="134">
        <v>1212.5999999999999</v>
      </c>
      <c r="I10" s="305" t="str">
        <f>IF($A10="","",IF(OR($B10="",$C10="",$D10="",$E10="",$F10=""),"Stammdaten fehlen",IF(AND($G10="",$H10=""),"Werte fehlen",IF($G10="","Monatsstunden fehlen",IF($H10="","Monatslohn fehlt","OK")))))</f>
        <v>OK</v>
      </c>
      <c r="J10" s="326" t="str">
        <f>IF($G10="","",IF(COUNTIFS($A:$A,$A10,$D:$D,$D10,$G:$G,$G10)&gt;1,"Doppelte Monatsstunden",""))</f>
        <v/>
      </c>
    </row>
    <row r="11" spans="1:10" ht="24" customHeight="1">
      <c r="A11" s="318" t="s">
        <v>319</v>
      </c>
      <c r="B11" s="304">
        <v>45778</v>
      </c>
      <c r="C11" s="304">
        <v>46142</v>
      </c>
      <c r="D11" s="305" t="s">
        <v>316</v>
      </c>
      <c r="E11" s="305" t="s">
        <v>2</v>
      </c>
      <c r="F11" s="305" t="s">
        <v>307</v>
      </c>
      <c r="G11" s="133">
        <v>86.5</v>
      </c>
      <c r="H11" s="134">
        <v>1010.5</v>
      </c>
      <c r="I11" s="305" t="str">
        <f>IF($A11="","",IF(OR($B11="",$C11="",$D11="",$E11="",$F11=""),"Stammdaten fehlen",IF(AND($G11="",$H11=""),"Werte fehlen",IF($G11="","Monatsstunden fehlen",IF($H11="","Monatslohn fehlt","OK")))))</f>
        <v>OK</v>
      </c>
      <c r="J11" s="326" t="str">
        <f>IF($G11="","",IF(COUNTIFS($A:$A,$A11,$D:$D,$D11,$G:$G,$G11)&gt;1,"Doppelte Monatsstunden",""))</f>
        <v/>
      </c>
    </row>
    <row r="12" spans="1:10" ht="24" customHeight="1">
      <c r="A12" s="318" t="s">
        <v>319</v>
      </c>
      <c r="B12" s="304">
        <v>45778</v>
      </c>
      <c r="C12" s="304">
        <v>46142</v>
      </c>
      <c r="D12" s="305" t="s">
        <v>316</v>
      </c>
      <c r="E12" s="305" t="s">
        <v>2</v>
      </c>
      <c r="F12" s="305" t="s">
        <v>307</v>
      </c>
      <c r="G12" s="133">
        <v>69.2</v>
      </c>
      <c r="H12" s="134">
        <v>808.4</v>
      </c>
      <c r="I12" s="305" t="str">
        <f>IF($A12="","",IF(OR($B12="",$C12="",$D12="",$E12="",$F12=""),"Stammdaten fehlen",IF(AND($G12="",$H12=""),"Werte fehlen",IF($G12="","Monatsstunden fehlen",IF($H12="","Monatslohn fehlt","OK")))))</f>
        <v>OK</v>
      </c>
      <c r="J12" s="326" t="str">
        <f>IF($G12="","",IF(COUNTIFS($A:$A,$A12,$D:$D,$D12,$G:$G,$G12)&gt;1,"Doppelte Monatsstunden",""))</f>
        <v/>
      </c>
    </row>
    <row r="13" spans="1:10" ht="24" customHeight="1">
      <c r="A13" s="318" t="s">
        <v>319</v>
      </c>
      <c r="B13" s="304">
        <v>45778</v>
      </c>
      <c r="C13" s="304">
        <v>46142</v>
      </c>
      <c r="D13" s="305" t="s">
        <v>316</v>
      </c>
      <c r="E13" s="305" t="s">
        <v>2</v>
      </c>
      <c r="F13" s="305" t="s">
        <v>307</v>
      </c>
      <c r="G13" s="133">
        <v>64</v>
      </c>
      <c r="H13" s="134">
        <v>1000</v>
      </c>
      <c r="I13" s="305" t="str">
        <f>IF($A13="","",IF(OR($B13="",$C13="",$D13="",$E13="",$F13=""),"Stammdaten fehlen",IF(AND($G13="",$H13=""),"Werte fehlen",IF($G13="","Monatsstunden fehlen",IF($H13="","Monatslohn fehlt","OK")))))</f>
        <v>OK</v>
      </c>
      <c r="J13" s="326" t="str">
        <f>IF($G13="","",IF(COUNTIFS($A:$A,$A13,$D:$D,$D13,$G:$G,$G13)&gt;1,"Doppelte Monatsstunden",""))</f>
        <v/>
      </c>
    </row>
    <row r="14" spans="1:10" ht="24" customHeight="1">
      <c r="A14" s="318" t="s">
        <v>319</v>
      </c>
      <c r="B14" s="304">
        <v>45778</v>
      </c>
      <c r="C14" s="304">
        <v>46142</v>
      </c>
      <c r="D14" s="305" t="s">
        <v>316</v>
      </c>
      <c r="E14" s="305" t="s">
        <v>2</v>
      </c>
      <c r="F14" s="305" t="s">
        <v>307</v>
      </c>
      <c r="G14" s="133">
        <v>51.9</v>
      </c>
      <c r="H14" s="134">
        <v>606.29999999999995</v>
      </c>
      <c r="I14" s="305" t="str">
        <f>IF($A14="","",IF(OR($B14="",$C14="",$D14="",$E14="",$F14=""),"Stammdaten fehlen",IF(AND($G14="",$H14=""),"Werte fehlen",IF($G14="","Monatsstunden fehlen",IF($H14="","Monatslohn fehlt","OK")))))</f>
        <v>OK</v>
      </c>
      <c r="J14" s="326" t="str">
        <f>IF($G14="","",IF(COUNTIFS($A:$A,$A14,$D:$D,$D14,$G:$G,$G14)&gt;1,"Doppelte Monatsstunden",""))</f>
        <v/>
      </c>
    </row>
    <row r="15" spans="1:10" ht="24" customHeight="1">
      <c r="A15" s="318" t="s">
        <v>319</v>
      </c>
      <c r="B15" s="304">
        <v>45778</v>
      </c>
      <c r="C15" s="304">
        <v>46142</v>
      </c>
      <c r="D15" s="305" t="s">
        <v>316</v>
      </c>
      <c r="E15" s="305" t="s">
        <v>2</v>
      </c>
      <c r="F15" s="305" t="s">
        <v>307</v>
      </c>
      <c r="G15" s="133">
        <v>47.58</v>
      </c>
      <c r="H15" s="134">
        <v>555.78</v>
      </c>
      <c r="I15" s="305" t="str">
        <f>IF($A15="","",IF(OR($B15="",$C15="",$D15="",$E15="",$F15=""),"Stammdaten fehlen",IF(AND($G15="",$H15=""),"Werte fehlen",IF($G15="","Monatsstunden fehlen",IF($H15="","Monatslohn fehlt","OK")))))</f>
        <v>OK</v>
      </c>
      <c r="J15" s="326" t="str">
        <f>IF($G15="","",IF(COUNTIFS($A:$A,$A15,$D:$D,$D15,$G:$G,$G15)&gt;1,"Doppelte Monatsstunden",""))</f>
        <v/>
      </c>
    </row>
    <row r="16" spans="1:10" ht="24" customHeight="1">
      <c r="A16" s="318" t="s">
        <v>319</v>
      </c>
      <c r="B16" s="304">
        <v>45778</v>
      </c>
      <c r="C16" s="304">
        <v>46142</v>
      </c>
      <c r="D16" s="305" t="s">
        <v>316</v>
      </c>
      <c r="E16" s="305" t="s">
        <v>2</v>
      </c>
      <c r="F16" s="305" t="s">
        <v>307</v>
      </c>
      <c r="G16" s="133">
        <v>43.25</v>
      </c>
      <c r="H16" s="134">
        <v>505.25</v>
      </c>
      <c r="I16" s="305" t="str">
        <f>IF($A16="","",IF(OR($B16="",$C16="",$D16="",$E16="",$F16=""),"Stammdaten fehlen",IF(AND($G16="",$H16=""),"Werte fehlen",IF($G16="","Monatsstunden fehlen",IF($H16="","Monatslohn fehlt","OK")))))</f>
        <v>OK</v>
      </c>
      <c r="J16" s="326" t="str">
        <f>IF($G16="","",IF(COUNTIFS($A:$A,$A16,$D:$D,$D16,$G:$G,$G16)&gt;1,"Doppelte Monatsstunden",""))</f>
        <v/>
      </c>
    </row>
    <row r="17" spans="1:10" ht="24" customHeight="1">
      <c r="A17" s="318" t="s">
        <v>319</v>
      </c>
      <c r="B17" s="304">
        <v>45778</v>
      </c>
      <c r="C17" s="304">
        <v>46142</v>
      </c>
      <c r="D17" s="305" t="s">
        <v>316</v>
      </c>
      <c r="E17" s="305" t="s">
        <v>2</v>
      </c>
      <c r="F17" s="305" t="s">
        <v>307</v>
      </c>
      <c r="G17" s="133">
        <v>34.6</v>
      </c>
      <c r="H17" s="134">
        <v>404.2</v>
      </c>
      <c r="I17" s="305" t="str">
        <f>IF($A17="","",IF(OR($B17="",$C17="",$D17="",$E17="",$F17=""),"Stammdaten fehlen",IF(AND($G17="",$H17=""),"Werte fehlen",IF($G17="","Monatsstunden fehlen",IF($H17="","Monatslohn fehlt","OK")))))</f>
        <v>OK</v>
      </c>
      <c r="J17" s="326" t="str">
        <f>IF($G17="","",IF(COUNTIFS($A:$A,$A17,$D:$D,$D17,$G:$G,$G17)&gt;1,"Doppelte Monatsstunden",""))</f>
        <v/>
      </c>
    </row>
    <row r="18" spans="1:10" ht="24" customHeight="1">
      <c r="A18" s="318" t="s">
        <v>319</v>
      </c>
      <c r="B18" s="304">
        <v>45778</v>
      </c>
      <c r="C18" s="304">
        <v>46142</v>
      </c>
      <c r="D18" s="305" t="s">
        <v>316</v>
      </c>
      <c r="E18" s="305" t="s">
        <v>2</v>
      </c>
      <c r="F18" s="305" t="s">
        <v>307</v>
      </c>
      <c r="G18" s="133">
        <v>32.01</v>
      </c>
      <c r="H18" s="134">
        <v>373.89</v>
      </c>
      <c r="I18" s="305" t="str">
        <f>IF($A18="","",IF(OR($B18="",$C18="",$D18="",$E18="",$F18=""),"Stammdaten fehlen",IF(AND($G18="",$H18=""),"Werte fehlen",IF($G18="","Monatsstunden fehlen",IF($H18="","Monatslohn fehlt","OK")))))</f>
        <v>OK</v>
      </c>
      <c r="J18" s="326" t="str">
        <f>IF($G18="","",IF(COUNTIFS($A:$A,$A18,$D:$D,$D18,$G:$G,$G18)&gt;1,"Doppelte Monatsstunden",""))</f>
        <v/>
      </c>
    </row>
    <row r="19" spans="1:10" ht="24" customHeight="1" thickBot="1">
      <c r="A19" s="318" t="s">
        <v>319</v>
      </c>
      <c r="B19" s="304">
        <v>45778</v>
      </c>
      <c r="C19" s="304">
        <v>46142</v>
      </c>
      <c r="D19" s="305" t="s">
        <v>316</v>
      </c>
      <c r="E19" s="305" t="s">
        <v>2</v>
      </c>
      <c r="F19" s="305" t="s">
        <v>307</v>
      </c>
      <c r="G19" s="133">
        <v>10</v>
      </c>
      <c r="H19" s="134">
        <v>60</v>
      </c>
      <c r="I19" s="305" t="str">
        <f>IF($A19="","",IF(OR($B19="",$C19="",$D19="",$E19="",$F19=""),"Stammdaten fehlen",IF(AND($G19="",$H19=""),"Werte fehlen",IF($G19="","Monatsstunden fehlen",IF($H19="","Monatslohn fehlt","OK")))))</f>
        <v>OK</v>
      </c>
      <c r="J19" s="326" t="str">
        <f>IF($G19="","",IF(COUNTIFS($A:$A,$A19,$D:$D,$D19,$G:$G,$G19)&gt;1,"Doppelte Monatsstunden",""))</f>
        <v/>
      </c>
    </row>
    <row r="20" spans="1:10" ht="24" customHeight="1">
      <c r="A20" s="319" t="s">
        <v>319</v>
      </c>
      <c r="B20" s="306">
        <v>45778</v>
      </c>
      <c r="C20" s="306">
        <v>46142</v>
      </c>
      <c r="D20" s="307" t="s">
        <v>3</v>
      </c>
      <c r="E20" s="307" t="s">
        <v>2</v>
      </c>
      <c r="F20" s="307" t="s">
        <v>308</v>
      </c>
      <c r="G20" s="135">
        <v>173</v>
      </c>
      <c r="H20" s="136">
        <v>2082</v>
      </c>
      <c r="I20" s="307" t="str">
        <f>IF($A20="","",IF(OR($B20="",$C20="",$D20="",$E20="",$F20=""),"Stammdaten fehlen",IF(AND($G20="",$H20=""),"Werte fehlen",IF($G20="","Monatsstunden fehlen",IF($H20="","Monatslohn fehlt","OK")))))</f>
        <v>OK</v>
      </c>
      <c r="J20" s="327" t="str">
        <f>IF($G20="","",IF(COUNTIFS($A:$A,$A20,$D:$D,$D20,$G:$G,$G20)&gt;1,"Doppelte Monatsstunden",""))</f>
        <v/>
      </c>
    </row>
    <row r="21" spans="1:10" ht="24" customHeight="1">
      <c r="A21" s="318" t="s">
        <v>319</v>
      </c>
      <c r="B21" s="304">
        <v>45778</v>
      </c>
      <c r="C21" s="304">
        <v>46142</v>
      </c>
      <c r="D21" s="305" t="s">
        <v>3</v>
      </c>
      <c r="E21" s="305" t="s">
        <v>2</v>
      </c>
      <c r="F21" s="305" t="s">
        <v>308</v>
      </c>
      <c r="G21" s="133">
        <v>151.38</v>
      </c>
      <c r="H21" s="134">
        <v>1821.75</v>
      </c>
      <c r="I21" s="305" t="str">
        <f>IF($A21="","",IF(OR($B21="",$C21="",$D21="",$E21="",$F21=""),"Stammdaten fehlen",IF(AND($G21="",$H21=""),"Werte fehlen",IF($G21="","Monatsstunden fehlen",IF($H21="","Monatslohn fehlt","OK")))))</f>
        <v>OK</v>
      </c>
      <c r="J21" s="326" t="str">
        <f>IF($G21="","",IF(COUNTIFS($A:$A,$A21,$D:$D,$D21,$G:$G,$G21)&gt;1,"Doppelte Monatsstunden",""))</f>
        <v/>
      </c>
    </row>
    <row r="22" spans="1:10" ht="24" customHeight="1">
      <c r="A22" s="318" t="s">
        <v>319</v>
      </c>
      <c r="B22" s="304">
        <v>45778</v>
      </c>
      <c r="C22" s="304">
        <v>46142</v>
      </c>
      <c r="D22" s="305" t="s">
        <v>3</v>
      </c>
      <c r="E22" s="305" t="s">
        <v>2</v>
      </c>
      <c r="F22" s="305" t="s">
        <v>308</v>
      </c>
      <c r="G22" s="133">
        <v>138.4</v>
      </c>
      <c r="H22" s="134">
        <v>1665.6</v>
      </c>
      <c r="I22" s="305" t="str">
        <f>IF($A22="","",IF(OR($B22="",$C22="",$D22="",$E22="",$F22=""),"Stammdaten fehlen",IF(AND($G22="",$H22=""),"Werte fehlen",IF($G22="","Monatsstunden fehlen",IF($H22="","Monatslohn fehlt","OK")))))</f>
        <v>OK</v>
      </c>
      <c r="J22" s="326" t="str">
        <f>IF($G22="","",IF(COUNTIFS($A:$A,$A22,$D:$D,$D22,$G:$G,$G22)&gt;1,"Doppelte Monatsstunden",""))</f>
        <v/>
      </c>
    </row>
    <row r="23" spans="1:10" ht="24" customHeight="1">
      <c r="A23" s="318" t="s">
        <v>319</v>
      </c>
      <c r="B23" s="304">
        <v>45778</v>
      </c>
      <c r="C23" s="304">
        <v>46142</v>
      </c>
      <c r="D23" s="305" t="s">
        <v>3</v>
      </c>
      <c r="E23" s="305" t="s">
        <v>2</v>
      </c>
      <c r="F23" s="305" t="s">
        <v>308</v>
      </c>
      <c r="G23" s="133">
        <v>129.75</v>
      </c>
      <c r="H23" s="134">
        <v>1561.5</v>
      </c>
      <c r="I23" s="305" t="str">
        <f>IF($A23="","",IF(OR($B23="",$C23="",$D23="",$E23="",$F23=""),"Stammdaten fehlen",IF(AND($G23="",$H23=""),"Werte fehlen",IF($G23="","Monatsstunden fehlen",IF($H23="","Monatslohn fehlt","OK")))))</f>
        <v>OK</v>
      </c>
      <c r="J23" s="326" t="str">
        <f>IF($G23="","",IF(COUNTIFS($A:$A,$A23,$D:$D,$D23,$G:$G,$G23)&gt;1,"Doppelte Monatsstunden",""))</f>
        <v/>
      </c>
    </row>
    <row r="24" spans="1:10" ht="24" customHeight="1">
      <c r="A24" s="318" t="s">
        <v>319</v>
      </c>
      <c r="B24" s="304">
        <v>45778</v>
      </c>
      <c r="C24" s="304">
        <v>46142</v>
      </c>
      <c r="D24" s="305" t="s">
        <v>3</v>
      </c>
      <c r="E24" s="305" t="s">
        <v>2</v>
      </c>
      <c r="F24" s="305" t="s">
        <v>308</v>
      </c>
      <c r="G24" s="133">
        <v>108.13</v>
      </c>
      <c r="H24" s="134">
        <v>1301.25</v>
      </c>
      <c r="I24" s="305" t="str">
        <f>IF($A24="","",IF(OR($B24="",$C24="",$D24="",$E24="",$F24=""),"Stammdaten fehlen",IF(AND($G24="",$H24=""),"Werte fehlen",IF($G24="","Monatsstunden fehlen",IF($H24="","Monatslohn fehlt","OK")))))</f>
        <v>OK</v>
      </c>
      <c r="J24" s="326" t="str">
        <f>IF($G24="","",IF(COUNTIFS($A:$A,$A24,$D:$D,$D24,$G:$G,$G24)&gt;1,"Doppelte Monatsstunden",""))</f>
        <v/>
      </c>
    </row>
    <row r="25" spans="1:10" ht="24" customHeight="1">
      <c r="A25" s="318" t="s">
        <v>319</v>
      </c>
      <c r="B25" s="304">
        <v>45778</v>
      </c>
      <c r="C25" s="304">
        <v>46142</v>
      </c>
      <c r="D25" s="305" t="s">
        <v>3</v>
      </c>
      <c r="E25" s="305" t="s">
        <v>2</v>
      </c>
      <c r="F25" s="305" t="s">
        <v>308</v>
      </c>
      <c r="G25" s="133">
        <v>103.8</v>
      </c>
      <c r="H25" s="134">
        <v>1249.2</v>
      </c>
      <c r="I25" s="305" t="str">
        <f>IF($A25="","",IF(OR($B25="",$C25="",$D25="",$E25="",$F25=""),"Stammdaten fehlen",IF(AND($G25="",$H25=""),"Werte fehlen",IF($G25="","Monatsstunden fehlen",IF($H25="","Monatslohn fehlt","OK")))))</f>
        <v>OK</v>
      </c>
      <c r="J25" s="326" t="str">
        <f>IF($G25="","",IF(COUNTIFS($A:$A,$A25,$D:$D,$D25,$G:$G,$G25)&gt;1,"Doppelte Monatsstunden",""))</f>
        <v/>
      </c>
    </row>
    <row r="26" spans="1:10" ht="24" customHeight="1">
      <c r="A26" s="318" t="s">
        <v>319</v>
      </c>
      <c r="B26" s="304">
        <v>45778</v>
      </c>
      <c r="C26" s="304">
        <v>46142</v>
      </c>
      <c r="D26" s="305" t="s">
        <v>3</v>
      </c>
      <c r="E26" s="305" t="s">
        <v>2</v>
      </c>
      <c r="F26" s="305" t="s">
        <v>308</v>
      </c>
      <c r="G26" s="133">
        <v>100</v>
      </c>
      <c r="H26" s="134">
        <v>2000</v>
      </c>
      <c r="I26" s="305" t="str">
        <f>IF($A26="","",IF(OR($B26="",$C26="",$D26="",$E26="",$F26=""),"Stammdaten fehlen",IF(AND($G26="",$H26=""),"Werte fehlen",IF($G26="","Monatsstunden fehlen",IF($H26="","Monatslohn fehlt","OK")))))</f>
        <v>OK</v>
      </c>
      <c r="J26" s="326" t="str">
        <f>IF($G26="","",IF(COUNTIFS($A:$A,$A26,$D:$D,$D26,$G:$G,$G26)&gt;1,"Doppelte Monatsstunden",""))</f>
        <v/>
      </c>
    </row>
    <row r="27" spans="1:10" ht="24" customHeight="1">
      <c r="A27" s="318" t="s">
        <v>319</v>
      </c>
      <c r="B27" s="304">
        <v>45778</v>
      </c>
      <c r="C27" s="304">
        <v>46142</v>
      </c>
      <c r="D27" s="305" t="s">
        <v>3</v>
      </c>
      <c r="E27" s="305" t="s">
        <v>2</v>
      </c>
      <c r="F27" s="305" t="s">
        <v>308</v>
      </c>
      <c r="G27" s="133">
        <v>86.5</v>
      </c>
      <c r="H27" s="134">
        <v>1041.2</v>
      </c>
      <c r="I27" s="305" t="str">
        <f>IF($A27="","",IF(OR($B27="",$C27="",$D27="",$E27="",$F27=""),"Stammdaten fehlen",IF(AND($G27="",$H27=""),"Werte fehlen",IF($G27="","Monatsstunden fehlen",IF($H27="","Monatslohn fehlt","OK")))))</f>
        <v>OK</v>
      </c>
      <c r="J27" s="326" t="str">
        <f>IF($G27="","",IF(COUNTIFS($A:$A,$A27,$D:$D,$D27,$G:$G,$G27)&gt;1,"Doppelte Monatsstunden",""))</f>
        <v/>
      </c>
    </row>
    <row r="28" spans="1:10" ht="24" customHeight="1">
      <c r="A28" s="318" t="s">
        <v>319</v>
      </c>
      <c r="B28" s="304">
        <v>45778</v>
      </c>
      <c r="C28" s="304">
        <v>46142</v>
      </c>
      <c r="D28" s="305" t="s">
        <v>3</v>
      </c>
      <c r="E28" s="305" t="s">
        <v>2</v>
      </c>
      <c r="F28" s="305" t="s">
        <v>308</v>
      </c>
      <c r="G28" s="133">
        <v>69.2</v>
      </c>
      <c r="H28" s="134">
        <v>832.8</v>
      </c>
      <c r="I28" s="305" t="str">
        <f>IF($A28="","",IF(OR($B28="",$C28="",$D28="",$E28="",$F28=""),"Stammdaten fehlen",IF(AND($G28="",$H28=""),"Werte fehlen",IF($G28="","Monatsstunden fehlen",IF($H28="","Monatslohn fehlt","OK")))))</f>
        <v>OK</v>
      </c>
      <c r="J28" s="326" t="str">
        <f>IF($G28="","",IF(COUNTIFS($A:$A,$A28,$D:$D,$D28,$G:$G,$G28)&gt;1,"Doppelte Monatsstunden",""))</f>
        <v/>
      </c>
    </row>
    <row r="29" spans="1:10" ht="24" customHeight="1">
      <c r="A29" s="318" t="s">
        <v>319</v>
      </c>
      <c r="B29" s="304">
        <v>45778</v>
      </c>
      <c r="C29" s="304">
        <v>46142</v>
      </c>
      <c r="D29" s="305" t="s">
        <v>3</v>
      </c>
      <c r="E29" s="305" t="s">
        <v>2</v>
      </c>
      <c r="F29" s="305" t="s">
        <v>308</v>
      </c>
      <c r="G29" s="133">
        <v>51.9</v>
      </c>
      <c r="H29" s="134">
        <v>624.6</v>
      </c>
      <c r="I29" s="305" t="str">
        <f>IF($A29="","",IF(OR($B29="",$C29="",$D29="",$E29="",$F29=""),"Stammdaten fehlen",IF(AND($G29="",$H29=""),"Werte fehlen",IF($G29="","Monatsstunden fehlen",IF($H29="","Monatslohn fehlt","OK")))))</f>
        <v>OK</v>
      </c>
      <c r="J29" s="326" t="str">
        <f>IF($G29="","",IF(COUNTIFS($A:$A,$A29,$D:$D,$D29,$G:$G,$G29)&gt;1,"Doppelte Monatsstunden",""))</f>
        <v/>
      </c>
    </row>
    <row r="30" spans="1:10" ht="24" customHeight="1">
      <c r="A30" s="318" t="s">
        <v>319</v>
      </c>
      <c r="B30" s="304">
        <v>45778</v>
      </c>
      <c r="C30" s="304">
        <v>46142</v>
      </c>
      <c r="D30" s="305" t="s">
        <v>3</v>
      </c>
      <c r="E30" s="305" t="s">
        <v>2</v>
      </c>
      <c r="F30" s="305" t="s">
        <v>308</v>
      </c>
      <c r="G30" s="133">
        <v>47.58</v>
      </c>
      <c r="H30" s="134">
        <v>575.54999999999995</v>
      </c>
      <c r="I30" s="305" t="str">
        <f>IF($A30="","",IF(OR($B30="",$C30="",$D30="",$E30="",$F30=""),"Stammdaten fehlen",IF(AND($G30="",$H30=""),"Werte fehlen",IF($G30="","Monatsstunden fehlen",IF($H30="","Monatslohn fehlt","OK")))))</f>
        <v>OK</v>
      </c>
      <c r="J30" s="326" t="str">
        <f>IF($G30="","",IF(COUNTIFS($A:$A,$A30,$D:$D,$D30,$G:$G,$G30)&gt;1,"Doppelte Monatsstunden",""))</f>
        <v/>
      </c>
    </row>
    <row r="31" spans="1:10" ht="24" customHeight="1">
      <c r="A31" s="318" t="s">
        <v>319</v>
      </c>
      <c r="B31" s="304">
        <v>45778</v>
      </c>
      <c r="C31" s="304">
        <v>46142</v>
      </c>
      <c r="D31" s="305" t="s">
        <v>3</v>
      </c>
      <c r="E31" s="305" t="s">
        <v>2</v>
      </c>
      <c r="F31" s="305" t="s">
        <v>308</v>
      </c>
      <c r="G31" s="133">
        <v>43.25</v>
      </c>
      <c r="H31" s="134">
        <v>520.5</v>
      </c>
      <c r="I31" s="305" t="str">
        <f>IF($A31="","",IF(OR($B31="",$C31="",$D31="",$E31="",$F31=""),"Stammdaten fehlen",IF(AND($G31="",$H31=""),"Werte fehlen",IF($G31="","Monatsstunden fehlen",IF($H31="","Monatslohn fehlt","OK")))))</f>
        <v>OK</v>
      </c>
      <c r="J31" s="326" t="str">
        <f>IF($G31="","",IF(COUNTIFS($A:$A,$A31,$D:$D,$D31,$G:$G,$G31)&gt;1,"Doppelte Monatsstunden",""))</f>
        <v/>
      </c>
    </row>
    <row r="32" spans="1:10" ht="24" customHeight="1">
      <c r="A32" s="318" t="s">
        <v>319</v>
      </c>
      <c r="B32" s="304">
        <v>45778</v>
      </c>
      <c r="C32" s="304">
        <v>46142</v>
      </c>
      <c r="D32" s="305" t="s">
        <v>3</v>
      </c>
      <c r="E32" s="305" t="s">
        <v>2</v>
      </c>
      <c r="F32" s="305" t="s">
        <v>308</v>
      </c>
      <c r="G32" s="133">
        <v>34.6</v>
      </c>
      <c r="H32" s="134">
        <v>416.4</v>
      </c>
      <c r="I32" s="305" t="str">
        <f>IF($A32="","",IF(OR($B32="",$C32="",$D32="",$E32="",$F32=""),"Stammdaten fehlen",IF(AND($G32="",$H32=""),"Werte fehlen",IF($G32="","Monatsstunden fehlen",IF($H32="","Monatslohn fehlt","OK")))))</f>
        <v>OK</v>
      </c>
      <c r="J32" s="326" t="str">
        <f>IF($G32="","",IF(COUNTIFS($A:$A,$A32,$D:$D,$D32,$G:$G,$G32)&gt;1,"Doppelte Monatsstunden",""))</f>
        <v/>
      </c>
    </row>
    <row r="33" spans="1:10" ht="24" customHeight="1" thickBot="1">
      <c r="A33" s="318" t="s">
        <v>319</v>
      </c>
      <c r="B33" s="304">
        <v>45778</v>
      </c>
      <c r="C33" s="304">
        <v>46142</v>
      </c>
      <c r="D33" s="305" t="s">
        <v>3</v>
      </c>
      <c r="E33" s="305" t="s">
        <v>2</v>
      </c>
      <c r="F33" s="305" t="s">
        <v>308</v>
      </c>
      <c r="G33" s="133">
        <v>32.01</v>
      </c>
      <c r="H33" s="134">
        <v>385.17</v>
      </c>
      <c r="I33" s="305" t="str">
        <f>IF($A33="","",IF(OR($B33="",$C33="",$D33="",$E33="",$F33=""),"Stammdaten fehlen",IF(AND($G33="",$H33=""),"Werte fehlen",IF($G33="","Monatsstunden fehlen",IF($H33="","Monatslohn fehlt","OK")))))</f>
        <v>OK</v>
      </c>
      <c r="J33" s="326" t="str">
        <f>IF($G33="","",IF(COUNTIFS($A:$A,$A33,$D:$D,$D33,$G:$G,$G33)&gt;1,"Doppelte Monatsstunden",""))</f>
        <v/>
      </c>
    </row>
    <row r="34" spans="1:10" ht="24" customHeight="1">
      <c r="A34" s="319" t="s">
        <v>319</v>
      </c>
      <c r="B34" s="306">
        <v>45778</v>
      </c>
      <c r="C34" s="306">
        <v>46142</v>
      </c>
      <c r="D34" s="307" t="s">
        <v>4</v>
      </c>
      <c r="E34" s="307" t="s">
        <v>2</v>
      </c>
      <c r="F34" s="307" t="s">
        <v>309</v>
      </c>
      <c r="G34" s="135">
        <v>173</v>
      </c>
      <c r="H34" s="136">
        <v>2123</v>
      </c>
      <c r="I34" s="307" t="str">
        <f>IF($A34="","",IF(OR($B34="",$C34="",$D34="",$E34="",$F34=""),"Stammdaten fehlen",IF(AND($G34="",$H34=""),"Werte fehlen",IF($G34="","Monatsstunden fehlen",IF($H34="","Monatslohn fehlt","OK")))))</f>
        <v>OK</v>
      </c>
      <c r="J34" s="327" t="str">
        <f>IF($G34="","",IF(COUNTIFS($A:$A,$A34,$D:$D,$D34,$G:$G,$G34)&gt;1,"Doppelte Monatsstunden",""))</f>
        <v/>
      </c>
    </row>
    <row r="35" spans="1:10" ht="24" customHeight="1">
      <c r="A35" s="318" t="s">
        <v>319</v>
      </c>
      <c r="B35" s="304">
        <v>45778</v>
      </c>
      <c r="C35" s="304">
        <v>46142</v>
      </c>
      <c r="D35" s="305" t="s">
        <v>4</v>
      </c>
      <c r="E35" s="305" t="s">
        <v>2</v>
      </c>
      <c r="F35" s="305" t="s">
        <v>309</v>
      </c>
      <c r="G35" s="133">
        <v>151.38</v>
      </c>
      <c r="H35" s="134">
        <v>1857.63</v>
      </c>
      <c r="I35" s="305" t="str">
        <f>IF($A35="","",IF(OR($B35="",$C35="",$D35="",$E35="",$F35=""),"Stammdaten fehlen",IF(AND($G35="",$H35=""),"Werte fehlen",IF($G35="","Monatsstunden fehlen",IF($H35="","Monatslohn fehlt","OK")))))</f>
        <v>OK</v>
      </c>
      <c r="J35" s="326" t="str">
        <f>IF($G35="","",IF(COUNTIFS($A:$A,$A35,$D:$D,$D35,$G:$G,$G35)&gt;1,"Doppelte Monatsstunden",""))</f>
        <v/>
      </c>
    </row>
    <row r="36" spans="1:10" ht="24" customHeight="1">
      <c r="A36" s="318" t="s">
        <v>319</v>
      </c>
      <c r="B36" s="304">
        <v>45778</v>
      </c>
      <c r="C36" s="304">
        <v>46142</v>
      </c>
      <c r="D36" s="305" t="s">
        <v>4</v>
      </c>
      <c r="E36" s="305" t="s">
        <v>2</v>
      </c>
      <c r="F36" s="305" t="s">
        <v>309</v>
      </c>
      <c r="G36" s="133">
        <v>138.4</v>
      </c>
      <c r="H36" s="134">
        <v>1698.4</v>
      </c>
      <c r="I36" s="305" t="str">
        <f>IF($A36="","",IF(OR($B36="",$C36="",$D36="",$E36="",$F36=""),"Stammdaten fehlen",IF(AND($G36="",$H36=""),"Werte fehlen",IF($G36="","Monatsstunden fehlen",IF($H36="","Monatslohn fehlt","OK")))))</f>
        <v>OK</v>
      </c>
      <c r="J36" s="326" t="str">
        <f>IF($G36="","",IF(COUNTIFS($A:$A,$A36,$D:$D,$D36,$G:$G,$G36)&gt;1,"Doppelte Monatsstunden",""))</f>
        <v/>
      </c>
    </row>
    <row r="37" spans="1:10" ht="24" customHeight="1">
      <c r="A37" s="318" t="s">
        <v>319</v>
      </c>
      <c r="B37" s="304">
        <v>45778</v>
      </c>
      <c r="C37" s="304">
        <v>46142</v>
      </c>
      <c r="D37" s="305" t="s">
        <v>4</v>
      </c>
      <c r="E37" s="305" t="s">
        <v>2</v>
      </c>
      <c r="F37" s="305" t="s">
        <v>309</v>
      </c>
      <c r="G37" s="133">
        <v>129.75</v>
      </c>
      <c r="H37" s="134">
        <v>1592.25</v>
      </c>
      <c r="I37" s="305" t="str">
        <f>IF($A37="","",IF(OR($B37="",$C37="",$D37="",$E37="",$F37=""),"Stammdaten fehlen",IF(AND($G37="",$H37=""),"Werte fehlen",IF($G37="","Monatsstunden fehlen",IF($H37="","Monatslohn fehlt","OK")))))</f>
        <v>OK</v>
      </c>
      <c r="J37" s="326" t="str">
        <f>IF($G37="","",IF(COUNTIFS($A:$A,$A37,$D:$D,$D37,$G:$G,$G37)&gt;1,"Doppelte Monatsstunden",""))</f>
        <v/>
      </c>
    </row>
    <row r="38" spans="1:10" ht="24" customHeight="1">
      <c r="A38" s="318" t="s">
        <v>319</v>
      </c>
      <c r="B38" s="304">
        <v>45778</v>
      </c>
      <c r="C38" s="304">
        <v>46142</v>
      </c>
      <c r="D38" s="305" t="s">
        <v>4</v>
      </c>
      <c r="E38" s="305" t="s">
        <v>2</v>
      </c>
      <c r="F38" s="305" t="s">
        <v>309</v>
      </c>
      <c r="G38" s="133">
        <v>108.13</v>
      </c>
      <c r="H38" s="134">
        <v>1326.88</v>
      </c>
      <c r="I38" s="305" t="str">
        <f>IF($A38="","",IF(OR($B38="",$C38="",$D38="",$E38="",$F38=""),"Stammdaten fehlen",IF(AND($G38="",$H38=""),"Werte fehlen",IF($G38="","Monatsstunden fehlen",IF($H38="","Monatslohn fehlt","OK")))))</f>
        <v>OK</v>
      </c>
      <c r="J38" s="326" t="str">
        <f>IF($G38="","",IF(COUNTIFS($A:$A,$A38,$D:$D,$D38,$G:$G,$G38)&gt;1,"Doppelte Monatsstunden",""))</f>
        <v/>
      </c>
    </row>
    <row r="39" spans="1:10" ht="24" customHeight="1">
      <c r="A39" s="318" t="s">
        <v>319</v>
      </c>
      <c r="B39" s="304">
        <v>45778</v>
      </c>
      <c r="C39" s="304">
        <v>46142</v>
      </c>
      <c r="D39" s="305" t="s">
        <v>4</v>
      </c>
      <c r="E39" s="305" t="s">
        <v>2</v>
      </c>
      <c r="F39" s="305" t="s">
        <v>309</v>
      </c>
      <c r="G39" s="133">
        <v>103.8</v>
      </c>
      <c r="H39" s="134">
        <v>1273.8</v>
      </c>
      <c r="I39" s="305" t="str">
        <f>IF($A39="","",IF(OR($B39="",$C39="",$D39="",$E39="",$F39=""),"Stammdaten fehlen",IF(AND($G39="",$H39=""),"Werte fehlen",IF($G39="","Monatsstunden fehlen",IF($H39="","Monatslohn fehlt","OK")))))</f>
        <v>OK</v>
      </c>
      <c r="J39" s="326" t="str">
        <f>IF($G39="","",IF(COUNTIFS($A:$A,$A39,$D:$D,$D39,$G:$G,$G39)&gt;1,"Doppelte Monatsstunden",""))</f>
        <v/>
      </c>
    </row>
    <row r="40" spans="1:10" ht="24" customHeight="1">
      <c r="A40" s="318" t="s">
        <v>319</v>
      </c>
      <c r="B40" s="304">
        <v>45778</v>
      </c>
      <c r="C40" s="304">
        <v>46142</v>
      </c>
      <c r="D40" s="305" t="s">
        <v>4</v>
      </c>
      <c r="E40" s="305" t="s">
        <v>2</v>
      </c>
      <c r="F40" s="305" t="s">
        <v>309</v>
      </c>
      <c r="G40" s="133">
        <v>86.5</v>
      </c>
      <c r="H40" s="134">
        <v>1061.5</v>
      </c>
      <c r="I40" s="305" t="str">
        <f>IF($A40="","",IF(OR($B40="",$C40="",$D40="",$E40="",$F40=""),"Stammdaten fehlen",IF(AND($G40="",$H40=""),"Werte fehlen",IF($G40="","Monatsstunden fehlen",IF($H40="","Monatslohn fehlt","OK")))))</f>
        <v>OK</v>
      </c>
      <c r="J40" s="326" t="str">
        <f>IF($G40="","",IF(COUNTIFS($A:$A,$A40,$D:$D,$D40,$G:$G,$G40)&gt;1,"Doppelte Monatsstunden",""))</f>
        <v/>
      </c>
    </row>
    <row r="41" spans="1:10" ht="24" customHeight="1">
      <c r="A41" s="318" t="s">
        <v>319</v>
      </c>
      <c r="B41" s="304">
        <v>45778</v>
      </c>
      <c r="C41" s="304">
        <v>46142</v>
      </c>
      <c r="D41" s="305" t="s">
        <v>4</v>
      </c>
      <c r="E41" s="305" t="s">
        <v>2</v>
      </c>
      <c r="F41" s="305" t="s">
        <v>309</v>
      </c>
      <c r="G41" s="133">
        <v>69.2</v>
      </c>
      <c r="H41" s="134">
        <v>849.2</v>
      </c>
      <c r="I41" s="305" t="str">
        <f>IF($A41="","",IF(OR($B41="",$C41="",$D41="",$E41="",$F41=""),"Stammdaten fehlen",IF(AND($G41="",$H41=""),"Werte fehlen",IF($G41="","Monatsstunden fehlen",IF($H41="","Monatslohn fehlt","OK")))))</f>
        <v>OK</v>
      </c>
      <c r="J41" s="326" t="str">
        <f>IF($G41="","",IF(COUNTIFS($A:$A,$A41,$D:$D,$D41,$G:$G,$G41)&gt;1,"Doppelte Monatsstunden",""))</f>
        <v/>
      </c>
    </row>
    <row r="42" spans="1:10" ht="24" customHeight="1">
      <c r="A42" s="318" t="s">
        <v>319</v>
      </c>
      <c r="B42" s="304">
        <v>45778</v>
      </c>
      <c r="C42" s="304">
        <v>46142</v>
      </c>
      <c r="D42" s="305" t="s">
        <v>4</v>
      </c>
      <c r="E42" s="305" t="s">
        <v>2</v>
      </c>
      <c r="F42" s="305" t="s">
        <v>309</v>
      </c>
      <c r="G42" s="133">
        <v>51.9</v>
      </c>
      <c r="H42" s="134">
        <v>636.9</v>
      </c>
      <c r="I42" s="305" t="str">
        <f>IF($A42="","",IF(OR($B42="",$C42="",$D42="",$E42="",$F42=""),"Stammdaten fehlen",IF(AND($G42="",$H42=""),"Werte fehlen",IF($G42="","Monatsstunden fehlen",IF($H42="","Monatslohn fehlt","OK")))))</f>
        <v>OK</v>
      </c>
      <c r="J42" s="326" t="str">
        <f>IF($G42="","",IF(COUNTIFS($A:$A,$A42,$D:$D,$D42,$G:$G,$G42)&gt;1,"Doppelte Monatsstunden",""))</f>
        <v/>
      </c>
    </row>
    <row r="43" spans="1:10" ht="24" customHeight="1">
      <c r="A43" s="318" t="s">
        <v>319</v>
      </c>
      <c r="B43" s="304">
        <v>45778</v>
      </c>
      <c r="C43" s="304">
        <v>46142</v>
      </c>
      <c r="D43" s="305" t="s">
        <v>4</v>
      </c>
      <c r="E43" s="305" t="s">
        <v>2</v>
      </c>
      <c r="F43" s="305" t="s">
        <v>309</v>
      </c>
      <c r="G43" s="133">
        <v>47.58</v>
      </c>
      <c r="H43" s="134">
        <v>583.83000000000004</v>
      </c>
      <c r="I43" s="305" t="str">
        <f>IF($A43="","",IF(OR($B43="",$C43="",$D43="",$E43="",$F43=""),"Stammdaten fehlen",IF(AND($G43="",$H43=""),"Werte fehlen",IF($G43="","Monatsstunden fehlen",IF($H43="","Monatslohn fehlt","OK")))))</f>
        <v>OK</v>
      </c>
      <c r="J43" s="326" t="str">
        <f>IF($G43="","",IF(COUNTIFS($A:$A,$A43,$D:$D,$D43,$G:$G,$G43)&gt;1,"Doppelte Monatsstunden",""))</f>
        <v/>
      </c>
    </row>
    <row r="44" spans="1:10" ht="24" customHeight="1">
      <c r="A44" s="318" t="s">
        <v>319</v>
      </c>
      <c r="B44" s="304">
        <v>45778</v>
      </c>
      <c r="C44" s="304">
        <v>46142</v>
      </c>
      <c r="D44" s="305" t="s">
        <v>4</v>
      </c>
      <c r="E44" s="305" t="s">
        <v>2</v>
      </c>
      <c r="F44" s="305" t="s">
        <v>309</v>
      </c>
      <c r="G44" s="133">
        <v>43.25</v>
      </c>
      <c r="H44" s="134">
        <v>530.75</v>
      </c>
      <c r="I44" s="305" t="str">
        <f>IF($A44="","",IF(OR($B44="",$C44="",$D44="",$E44="",$F44=""),"Stammdaten fehlen",IF(AND($G44="",$H44=""),"Werte fehlen",IF($G44="","Monatsstunden fehlen",IF($H44="","Monatslohn fehlt","OK")))))</f>
        <v>OK</v>
      </c>
      <c r="J44" s="326" t="str">
        <f>IF($G44="","",IF(COUNTIFS($A:$A,$A44,$D:$D,$D44,$G:$G,$G44)&gt;1,"Doppelte Monatsstunden",""))</f>
        <v/>
      </c>
    </row>
    <row r="45" spans="1:10" ht="24" customHeight="1">
      <c r="A45" s="318" t="s">
        <v>319</v>
      </c>
      <c r="B45" s="304">
        <v>45778</v>
      </c>
      <c r="C45" s="304">
        <v>46142</v>
      </c>
      <c r="D45" s="305" t="s">
        <v>4</v>
      </c>
      <c r="E45" s="305" t="s">
        <v>2</v>
      </c>
      <c r="F45" s="305" t="s">
        <v>309</v>
      </c>
      <c r="G45" s="133">
        <v>34.6</v>
      </c>
      <c r="H45" s="134">
        <v>424.6</v>
      </c>
      <c r="I45" s="305" t="str">
        <f>IF($A45="","",IF(OR($B45="",$C45="",$D45="",$E45="",$F45=""),"Stammdaten fehlen",IF(AND($G45="",$H45=""),"Werte fehlen",IF($G45="","Monatsstunden fehlen",IF($H45="","Monatslohn fehlt","OK")))))</f>
        <v>OK</v>
      </c>
      <c r="J45" s="326" t="str">
        <f>IF($G45="","",IF(COUNTIFS($A:$A,$A45,$D:$D,$D45,$G:$G,$G45)&gt;1,"Doppelte Monatsstunden",""))</f>
        <v/>
      </c>
    </row>
    <row r="46" spans="1:10" ht="24" customHeight="1" thickBot="1">
      <c r="A46" s="318" t="s">
        <v>319</v>
      </c>
      <c r="B46" s="304">
        <v>45778</v>
      </c>
      <c r="C46" s="304">
        <v>46142</v>
      </c>
      <c r="D46" s="305" t="s">
        <v>4</v>
      </c>
      <c r="E46" s="305" t="s">
        <v>2</v>
      </c>
      <c r="F46" s="305" t="s">
        <v>309</v>
      </c>
      <c r="G46" s="133">
        <v>32.01</v>
      </c>
      <c r="H46" s="134">
        <v>392.76</v>
      </c>
      <c r="I46" s="305" t="str">
        <f>IF($A46="","",IF(OR($B46="",$C46="",$D46="",$E46="",$F46=""),"Stammdaten fehlen",IF(AND($G46="",$H46=""),"Werte fehlen",IF($G46="","Monatsstunden fehlen",IF($H46="","Monatslohn fehlt","OK")))))</f>
        <v>OK</v>
      </c>
      <c r="J46" s="326" t="str">
        <f>IF($G46="","",IF(COUNTIFS($A:$A,$A46,$D:$D,$D46,$G:$G,$G46)&gt;1,"Doppelte Monatsstunden",""))</f>
        <v/>
      </c>
    </row>
    <row r="47" spans="1:10" ht="24" customHeight="1">
      <c r="A47" s="319" t="s">
        <v>319</v>
      </c>
      <c r="B47" s="306">
        <v>45778</v>
      </c>
      <c r="C47" s="306">
        <v>46142</v>
      </c>
      <c r="D47" s="307" t="s">
        <v>5</v>
      </c>
      <c r="E47" s="307" t="s">
        <v>2</v>
      </c>
      <c r="F47" s="307" t="s">
        <v>310</v>
      </c>
      <c r="G47" s="135">
        <v>173</v>
      </c>
      <c r="H47" s="136">
        <v>2183</v>
      </c>
      <c r="I47" s="307" t="str">
        <f>IF($A47="","",IF(OR($B47="",$C47="",$D47="",$E47="",$F47=""),"Stammdaten fehlen",IF(AND($G47="",$H47=""),"Werte fehlen",IF($G47="","Monatsstunden fehlen",IF($H47="","Monatslohn fehlt","OK")))))</f>
        <v>OK</v>
      </c>
      <c r="J47" s="327" t="str">
        <f>IF($G47="","",IF(COUNTIFS($A:$A,$A47,$D:$D,$D47,$G:$G,$G47)&gt;1,"Doppelte Monatsstunden",""))</f>
        <v/>
      </c>
    </row>
    <row r="48" spans="1:10" ht="24" customHeight="1">
      <c r="A48" s="318" t="s">
        <v>319</v>
      </c>
      <c r="B48" s="304">
        <v>45778</v>
      </c>
      <c r="C48" s="304">
        <v>46142</v>
      </c>
      <c r="D48" s="305" t="s">
        <v>5</v>
      </c>
      <c r="E48" s="305" t="s">
        <v>2</v>
      </c>
      <c r="F48" s="305" t="s">
        <v>310</v>
      </c>
      <c r="G48" s="133">
        <v>151.38</v>
      </c>
      <c r="H48" s="134">
        <v>1910.13</v>
      </c>
      <c r="I48" s="305" t="str">
        <f>IF($A48="","",IF(OR($B48="",$C48="",$D48="",$E48="",$F48=""),"Stammdaten fehlen",IF(AND($G48="",$H48=""),"Werte fehlen",IF($G48="","Monatsstunden fehlen",IF($H48="","Monatslohn fehlt","OK")))))</f>
        <v>OK</v>
      </c>
      <c r="J48" s="326" t="str">
        <f>IF($G48="","",IF(COUNTIFS($A:$A,$A48,$D:$D,$D48,$G:$G,$G48)&gt;1,"Doppelte Monatsstunden",""))</f>
        <v/>
      </c>
    </row>
    <row r="49" spans="1:10" ht="24" customHeight="1">
      <c r="A49" s="318" t="s">
        <v>319</v>
      </c>
      <c r="B49" s="304">
        <v>45778</v>
      </c>
      <c r="C49" s="304">
        <v>46142</v>
      </c>
      <c r="D49" s="305" t="s">
        <v>5</v>
      </c>
      <c r="E49" s="305" t="s">
        <v>2</v>
      </c>
      <c r="F49" s="305" t="s">
        <v>310</v>
      </c>
      <c r="G49" s="133">
        <v>138.4</v>
      </c>
      <c r="H49" s="134">
        <v>1746.4</v>
      </c>
      <c r="I49" s="305" t="str">
        <f>IF($A49="","",IF(OR($B49="",$C49="",$D49="",$E49="",$F49=""),"Stammdaten fehlen",IF(AND($G49="",$H49=""),"Werte fehlen",IF($G49="","Monatsstunden fehlen",IF($H49="","Monatslohn fehlt","OK")))))</f>
        <v>OK</v>
      </c>
      <c r="J49" s="326" t="str">
        <f>IF($G49="","",IF(COUNTIFS($A:$A,$A49,$D:$D,$D49,$G:$G,$G49)&gt;1,"Doppelte Monatsstunden",""))</f>
        <v/>
      </c>
    </row>
    <row r="50" spans="1:10" ht="24" customHeight="1">
      <c r="A50" s="318" t="s">
        <v>319</v>
      </c>
      <c r="B50" s="304">
        <v>45778</v>
      </c>
      <c r="C50" s="304">
        <v>46142</v>
      </c>
      <c r="D50" s="305" t="s">
        <v>5</v>
      </c>
      <c r="E50" s="305" t="s">
        <v>2</v>
      </c>
      <c r="F50" s="305" t="s">
        <v>310</v>
      </c>
      <c r="G50" s="133">
        <v>129.75</v>
      </c>
      <c r="H50" s="134">
        <v>1637.25</v>
      </c>
      <c r="I50" s="305" t="str">
        <f>IF($A50="","",IF(OR($B50="",$C50="",$D50="",$E50="",$F50=""),"Stammdaten fehlen",IF(AND($G50="",$H50=""),"Werte fehlen",IF($G50="","Monatsstunden fehlen",IF($H50="","Monatslohn fehlt","OK")))))</f>
        <v>OK</v>
      </c>
      <c r="J50" s="326" t="str">
        <f>IF($G50="","",IF(COUNTIFS($A:$A,$A50,$D:$D,$D50,$G:$G,$G50)&gt;1,"Doppelte Monatsstunden",""))</f>
        <v/>
      </c>
    </row>
    <row r="51" spans="1:10" ht="24" customHeight="1">
      <c r="A51" s="318" t="s">
        <v>319</v>
      </c>
      <c r="B51" s="304">
        <v>45778</v>
      </c>
      <c r="C51" s="304">
        <v>46142</v>
      </c>
      <c r="D51" s="305" t="s">
        <v>5</v>
      </c>
      <c r="E51" s="305" t="s">
        <v>2</v>
      </c>
      <c r="F51" s="305" t="s">
        <v>310</v>
      </c>
      <c r="G51" s="133">
        <v>108.13</v>
      </c>
      <c r="H51" s="134">
        <v>1364.38</v>
      </c>
      <c r="I51" s="305" t="str">
        <f>IF($A51="","",IF(OR($B51="",$C51="",$D51="",$E51="",$F51=""),"Stammdaten fehlen",IF(AND($G51="",$H51=""),"Werte fehlen",IF($G51="","Monatsstunden fehlen",IF($H51="","Monatslohn fehlt","OK")))))</f>
        <v>OK</v>
      </c>
      <c r="J51" s="326" t="str">
        <f>IF($G51="","",IF(COUNTIFS($A:$A,$A51,$D:$D,$D51,$G:$G,$G51)&gt;1,"Doppelte Monatsstunden",""))</f>
        <v/>
      </c>
    </row>
    <row r="52" spans="1:10" ht="24" customHeight="1">
      <c r="A52" s="318" t="s">
        <v>319</v>
      </c>
      <c r="B52" s="304">
        <v>45778</v>
      </c>
      <c r="C52" s="304">
        <v>46142</v>
      </c>
      <c r="D52" s="305" t="s">
        <v>5</v>
      </c>
      <c r="E52" s="305" t="s">
        <v>2</v>
      </c>
      <c r="F52" s="305" t="s">
        <v>310</v>
      </c>
      <c r="G52" s="133">
        <v>103.8</v>
      </c>
      <c r="H52" s="134">
        <v>1309.8</v>
      </c>
      <c r="I52" s="305" t="str">
        <f>IF($A52="","",IF(OR($B52="",$C52="",$D52="",$E52="",$F52=""),"Stammdaten fehlen",IF(AND($G52="",$H52=""),"Werte fehlen",IF($G52="","Monatsstunden fehlen",IF($H52="","Monatslohn fehlt","OK")))))</f>
        <v>OK</v>
      </c>
      <c r="J52" s="326" t="str">
        <f>IF($G52="","",IF(COUNTIFS($A:$A,$A52,$D:$D,$D52,$G:$G,$G52)&gt;1,"Doppelte Monatsstunden",""))</f>
        <v/>
      </c>
    </row>
    <row r="53" spans="1:10" ht="24" customHeight="1">
      <c r="A53" s="318" t="s">
        <v>319</v>
      </c>
      <c r="B53" s="304">
        <v>45778</v>
      </c>
      <c r="C53" s="304">
        <v>46142</v>
      </c>
      <c r="D53" s="305" t="s">
        <v>5</v>
      </c>
      <c r="E53" s="305" t="s">
        <v>2</v>
      </c>
      <c r="F53" s="305" t="s">
        <v>310</v>
      </c>
      <c r="G53" s="133">
        <v>86.5</v>
      </c>
      <c r="H53" s="134">
        <v>1091.5</v>
      </c>
      <c r="I53" s="305" t="str">
        <f>IF($A53="","",IF(OR($B53="",$C53="",$D53="",$E53="",$F53=""),"Stammdaten fehlen",IF(AND($G53="",$H53=""),"Werte fehlen",IF($G53="","Monatsstunden fehlen",IF($H53="","Monatslohn fehlt","OK")))))</f>
        <v>OK</v>
      </c>
      <c r="J53" s="326" t="str">
        <f>IF($G53="","",IF(COUNTIFS($A:$A,$A53,$D:$D,$D53,$G:$G,$G53)&gt;1,"Doppelte Monatsstunden",""))</f>
        <v/>
      </c>
    </row>
    <row r="54" spans="1:10" ht="24" customHeight="1">
      <c r="A54" s="318" t="s">
        <v>319</v>
      </c>
      <c r="B54" s="304">
        <v>45778</v>
      </c>
      <c r="C54" s="304">
        <v>46142</v>
      </c>
      <c r="D54" s="305" t="s">
        <v>5</v>
      </c>
      <c r="E54" s="305" t="s">
        <v>2</v>
      </c>
      <c r="F54" s="305" t="s">
        <v>310</v>
      </c>
      <c r="G54" s="133">
        <v>69.2</v>
      </c>
      <c r="H54" s="134">
        <v>873.2</v>
      </c>
      <c r="I54" s="305" t="str">
        <f>IF($A54="","",IF(OR($B54="",$C54="",$D54="",$E54="",$F54=""),"Stammdaten fehlen",IF(AND($G54="",$H54=""),"Werte fehlen",IF($G54="","Monatsstunden fehlen",IF($H54="","Monatslohn fehlt","OK")))))</f>
        <v>OK</v>
      </c>
      <c r="J54" s="326" t="str">
        <f>IF($G54="","",IF(COUNTIFS($A:$A,$A54,$D:$D,$D54,$G:$G,$G54)&gt;1,"Doppelte Monatsstunden",""))</f>
        <v/>
      </c>
    </row>
    <row r="55" spans="1:10" ht="24" customHeight="1">
      <c r="A55" s="318" t="s">
        <v>319</v>
      </c>
      <c r="B55" s="304">
        <v>45778</v>
      </c>
      <c r="C55" s="304">
        <v>46142</v>
      </c>
      <c r="D55" s="305" t="s">
        <v>5</v>
      </c>
      <c r="E55" s="305" t="s">
        <v>2</v>
      </c>
      <c r="F55" s="305" t="s">
        <v>310</v>
      </c>
      <c r="G55" s="133">
        <v>51.9</v>
      </c>
      <c r="H55" s="134">
        <v>654.9</v>
      </c>
      <c r="I55" s="305" t="str">
        <f>IF($A55="","",IF(OR($B55="",$C55="",$D55="",$E55="",$F55=""),"Stammdaten fehlen",IF(AND($G55="",$H55=""),"Werte fehlen",IF($G55="","Monatsstunden fehlen",IF($H55="","Monatslohn fehlt","OK")))))</f>
        <v>OK</v>
      </c>
      <c r="J55" s="326" t="str">
        <f>IF($G55="","",IF(COUNTIFS($A:$A,$A55,$D:$D,$D55,$G:$G,$G55)&gt;1,"Doppelte Monatsstunden",""))</f>
        <v/>
      </c>
    </row>
    <row r="56" spans="1:10" ht="24" customHeight="1">
      <c r="A56" s="318" t="s">
        <v>319</v>
      </c>
      <c r="B56" s="304">
        <v>45778</v>
      </c>
      <c r="C56" s="304">
        <v>46142</v>
      </c>
      <c r="D56" s="305" t="s">
        <v>5</v>
      </c>
      <c r="E56" s="305" t="s">
        <v>2</v>
      </c>
      <c r="F56" s="305" t="s">
        <v>310</v>
      </c>
      <c r="G56" s="133">
        <v>47.58</v>
      </c>
      <c r="H56" s="134">
        <v>600.33000000000004</v>
      </c>
      <c r="I56" s="305" t="str">
        <f>IF($A56="","",IF(OR($B56="",$C56="",$D56="",$E56="",$F56=""),"Stammdaten fehlen",IF(AND($G56="",$H56=""),"Werte fehlen",IF($G56="","Monatsstunden fehlen",IF($H56="","Monatslohn fehlt","OK")))))</f>
        <v>OK</v>
      </c>
      <c r="J56" s="326" t="str">
        <f>IF($G56="","",IF(COUNTIFS($A:$A,$A56,$D:$D,$D56,$G:$G,$G56)&gt;1,"Doppelte Monatsstunden",""))</f>
        <v/>
      </c>
    </row>
    <row r="57" spans="1:10" ht="24" customHeight="1">
      <c r="A57" s="318" t="s">
        <v>319</v>
      </c>
      <c r="B57" s="304">
        <v>45778</v>
      </c>
      <c r="C57" s="304">
        <v>46142</v>
      </c>
      <c r="D57" s="305" t="s">
        <v>5</v>
      </c>
      <c r="E57" s="305" t="s">
        <v>2</v>
      </c>
      <c r="F57" s="305" t="s">
        <v>310</v>
      </c>
      <c r="G57" s="133">
        <v>43.25</v>
      </c>
      <c r="H57" s="134">
        <v>545.75</v>
      </c>
      <c r="I57" s="305" t="str">
        <f>IF($A57="","",IF(OR($B57="",$C57="",$D57="",$E57="",$F57=""),"Stammdaten fehlen",IF(AND($G57="",$H57=""),"Werte fehlen",IF($G57="","Monatsstunden fehlen",IF($H57="","Monatslohn fehlt","OK")))))</f>
        <v>OK</v>
      </c>
      <c r="J57" s="326" t="str">
        <f>IF($G57="","",IF(COUNTIFS($A:$A,$A57,$D:$D,$D57,$G:$G,$G57)&gt;1,"Doppelte Monatsstunden",""))</f>
        <v/>
      </c>
    </row>
    <row r="58" spans="1:10" ht="24" customHeight="1">
      <c r="A58" s="318" t="s">
        <v>319</v>
      </c>
      <c r="B58" s="304">
        <v>45778</v>
      </c>
      <c r="C58" s="304">
        <v>46142</v>
      </c>
      <c r="D58" s="305" t="s">
        <v>5</v>
      </c>
      <c r="E58" s="305" t="s">
        <v>2</v>
      </c>
      <c r="F58" s="305" t="s">
        <v>310</v>
      </c>
      <c r="G58" s="133">
        <v>34.6</v>
      </c>
      <c r="H58" s="134">
        <v>436.6</v>
      </c>
      <c r="I58" s="305" t="str">
        <f>IF($A58="","",IF(OR($B58="",$C58="",$D58="",$E58="",$F58=""),"Stammdaten fehlen",IF(AND($G58="",$H58=""),"Werte fehlen",IF($G58="","Monatsstunden fehlen",IF($H58="","Monatslohn fehlt","OK")))))</f>
        <v>OK</v>
      </c>
      <c r="J58" s="326" t="str">
        <f>IF($G58="","",IF(COUNTIFS($A:$A,$A58,$D:$D,$D58,$G:$G,$G58)&gt;1,"Doppelte Monatsstunden",""))</f>
        <v/>
      </c>
    </row>
    <row r="59" spans="1:10" ht="24" customHeight="1" thickBot="1">
      <c r="A59" s="318" t="s">
        <v>319</v>
      </c>
      <c r="B59" s="304">
        <v>45778</v>
      </c>
      <c r="C59" s="304">
        <v>46142</v>
      </c>
      <c r="D59" s="305" t="s">
        <v>5</v>
      </c>
      <c r="E59" s="305" t="s">
        <v>2</v>
      </c>
      <c r="F59" s="305" t="s">
        <v>310</v>
      </c>
      <c r="G59" s="133">
        <v>32.01</v>
      </c>
      <c r="H59" s="134">
        <v>403.86</v>
      </c>
      <c r="I59" s="305" t="str">
        <f>IF($A59="","",IF(OR($B59="",$C59="",$D59="",$E59="",$F59=""),"Stammdaten fehlen",IF(AND($G59="",$H59=""),"Werte fehlen",IF($G59="","Monatsstunden fehlen",IF($H59="","Monatslohn fehlt","OK")))))</f>
        <v>OK</v>
      </c>
      <c r="J59" s="326" t="str">
        <f>IF($G59="","",IF(COUNTIFS($A:$A,$A59,$D:$D,$D59,$G:$G,$G59)&gt;1,"Doppelte Monatsstunden",""))</f>
        <v/>
      </c>
    </row>
    <row r="60" spans="1:10" ht="24" customHeight="1">
      <c r="A60" s="320" t="s">
        <v>319</v>
      </c>
      <c r="B60" s="308">
        <v>45778</v>
      </c>
      <c r="C60" s="308">
        <v>46142</v>
      </c>
      <c r="D60" s="309" t="s">
        <v>317</v>
      </c>
      <c r="E60" s="309" t="s">
        <v>6</v>
      </c>
      <c r="F60" s="309" t="s">
        <v>307</v>
      </c>
      <c r="G60" s="137">
        <v>173</v>
      </c>
      <c r="H60" s="138">
        <v>2160</v>
      </c>
      <c r="I60" s="309" t="str">
        <f>IF($A60="","",IF(OR($B60="",$C60="",$D60="",$E60="",$F60=""),"Stammdaten fehlen",IF(AND($G60="",$H60=""),"Werte fehlen",IF($G60="","Monatsstunden fehlen",IF($H60="","Monatslohn fehlt","OK")))))</f>
        <v>OK</v>
      </c>
      <c r="J60" s="328" t="str">
        <f>IF($G60="","",IF(COUNTIFS($A:$A,$A60,$D:$D,$D60,$G:$G,$G60)&gt;1,"Doppelte Monatsstunden",""))</f>
        <v/>
      </c>
    </row>
    <row r="61" spans="1:10" ht="24" customHeight="1">
      <c r="A61" s="321" t="s">
        <v>319</v>
      </c>
      <c r="B61" s="310">
        <v>45778</v>
      </c>
      <c r="C61" s="310">
        <v>46142</v>
      </c>
      <c r="D61" s="311" t="s">
        <v>317</v>
      </c>
      <c r="E61" s="311" t="s">
        <v>6</v>
      </c>
      <c r="F61" s="311" t="s">
        <v>307</v>
      </c>
      <c r="G61" s="139">
        <v>151.38</v>
      </c>
      <c r="H61" s="140">
        <v>1890</v>
      </c>
      <c r="I61" s="311" t="str">
        <f>IF($A61="","",IF(OR($B61="",$C61="",$D61="",$E61="",$F61=""),"Stammdaten fehlen",IF(AND($G61="",$H61=""),"Werte fehlen",IF($G61="","Monatsstunden fehlen",IF($H61="","Monatslohn fehlt","OK")))))</f>
        <v>OK</v>
      </c>
      <c r="J61" s="329" t="str">
        <f>IF($G61="","",IF(COUNTIFS($A:$A,$A61,$D:$D,$D61,$G:$G,$G61)&gt;1,"Doppelte Monatsstunden",""))</f>
        <v/>
      </c>
    </row>
    <row r="62" spans="1:10" ht="24" customHeight="1">
      <c r="A62" s="321" t="s">
        <v>319</v>
      </c>
      <c r="B62" s="310">
        <v>45778</v>
      </c>
      <c r="C62" s="310">
        <v>46142</v>
      </c>
      <c r="D62" s="311" t="s">
        <v>317</v>
      </c>
      <c r="E62" s="311" t="s">
        <v>6</v>
      </c>
      <c r="F62" s="311" t="s">
        <v>307</v>
      </c>
      <c r="G62" s="139">
        <v>138.4</v>
      </c>
      <c r="H62" s="140">
        <v>1728</v>
      </c>
      <c r="I62" s="311" t="str">
        <f>IF($A62="","",IF(OR($B62="",$C62="",$D62="",$E62="",$F62=""),"Stammdaten fehlen",IF(AND($G62="",$H62=""),"Werte fehlen",IF($G62="","Monatsstunden fehlen",IF($H62="","Monatslohn fehlt","OK")))))</f>
        <v>OK</v>
      </c>
      <c r="J62" s="329" t="str">
        <f>IF($G62="","",IF(COUNTIFS($A:$A,$A62,$D:$D,$D62,$G:$G,$G62)&gt;1,"Doppelte Monatsstunden",""))</f>
        <v/>
      </c>
    </row>
    <row r="63" spans="1:10" ht="24" customHeight="1">
      <c r="A63" s="321" t="s">
        <v>319</v>
      </c>
      <c r="B63" s="310">
        <v>45778</v>
      </c>
      <c r="C63" s="310">
        <v>46142</v>
      </c>
      <c r="D63" s="311" t="s">
        <v>317</v>
      </c>
      <c r="E63" s="311" t="s">
        <v>6</v>
      </c>
      <c r="F63" s="311" t="s">
        <v>307</v>
      </c>
      <c r="G63" s="139">
        <v>129.75</v>
      </c>
      <c r="H63" s="140">
        <v>1620</v>
      </c>
      <c r="I63" s="311" t="str">
        <f>IF($A63="","",IF(OR($B63="",$C63="",$D63="",$E63="",$F63=""),"Stammdaten fehlen",IF(AND($G63="",$H63=""),"Werte fehlen",IF($G63="","Monatsstunden fehlen",IF($H63="","Monatslohn fehlt","OK")))))</f>
        <v>OK</v>
      </c>
      <c r="J63" s="329" t="str">
        <f>IF($G63="","",IF(COUNTIFS($A:$A,$A63,$D:$D,$D63,$G:$G,$G63)&gt;1,"Doppelte Monatsstunden",""))</f>
        <v/>
      </c>
    </row>
    <row r="64" spans="1:10" ht="24" customHeight="1">
      <c r="A64" s="321" t="s">
        <v>319</v>
      </c>
      <c r="B64" s="310">
        <v>45778</v>
      </c>
      <c r="C64" s="310">
        <v>46142</v>
      </c>
      <c r="D64" s="311" t="s">
        <v>317</v>
      </c>
      <c r="E64" s="311" t="s">
        <v>6</v>
      </c>
      <c r="F64" s="311" t="s">
        <v>307</v>
      </c>
      <c r="G64" s="139">
        <v>108.13</v>
      </c>
      <c r="H64" s="140">
        <v>1350</v>
      </c>
      <c r="I64" s="311" t="str">
        <f>IF($A64="","",IF(OR($B64="",$C64="",$D64="",$E64="",$F64=""),"Stammdaten fehlen",IF(AND($G64="",$H64=""),"Werte fehlen",IF($G64="","Monatsstunden fehlen",IF($H64="","Monatslohn fehlt","OK")))))</f>
        <v>OK</v>
      </c>
      <c r="J64" s="329" t="str">
        <f>IF($G64="","",IF(COUNTIFS($A:$A,$A64,$D:$D,$D64,$G:$G,$G64)&gt;1,"Doppelte Monatsstunden",""))</f>
        <v/>
      </c>
    </row>
    <row r="65" spans="1:10" ht="24" customHeight="1">
      <c r="A65" s="321" t="s">
        <v>319</v>
      </c>
      <c r="B65" s="310">
        <v>45778</v>
      </c>
      <c r="C65" s="310">
        <v>46142</v>
      </c>
      <c r="D65" s="311" t="s">
        <v>317</v>
      </c>
      <c r="E65" s="311" t="s">
        <v>6</v>
      </c>
      <c r="F65" s="311" t="s">
        <v>307</v>
      </c>
      <c r="G65" s="139">
        <v>103.8</v>
      </c>
      <c r="H65" s="140">
        <v>1296</v>
      </c>
      <c r="I65" s="311" t="str">
        <f>IF($A65="","",IF(OR($B65="",$C65="",$D65="",$E65="",$F65=""),"Stammdaten fehlen",IF(AND($G65="",$H65=""),"Werte fehlen",IF($G65="","Monatsstunden fehlen",IF($H65="","Monatslohn fehlt","OK")))))</f>
        <v>OK</v>
      </c>
      <c r="J65" s="329" t="str">
        <f>IF($G65="","",IF(COUNTIFS($A:$A,$A65,$D:$D,$D65,$G:$G,$G65)&gt;1,"Doppelte Monatsstunden",""))</f>
        <v/>
      </c>
    </row>
    <row r="66" spans="1:10" ht="24" customHeight="1">
      <c r="A66" s="321" t="s">
        <v>319</v>
      </c>
      <c r="B66" s="310">
        <v>45778</v>
      </c>
      <c r="C66" s="310">
        <v>46142</v>
      </c>
      <c r="D66" s="311" t="s">
        <v>317</v>
      </c>
      <c r="E66" s="311" t="s">
        <v>6</v>
      </c>
      <c r="F66" s="311" t="s">
        <v>307</v>
      </c>
      <c r="G66" s="139">
        <v>86.5</v>
      </c>
      <c r="H66" s="140">
        <v>1080</v>
      </c>
      <c r="I66" s="311" t="str">
        <f>IF($A66="","",IF(OR($B66="",$C66="",$D66="",$E66="",$F66=""),"Stammdaten fehlen",IF(AND($G66="",$H66=""),"Werte fehlen",IF($G66="","Monatsstunden fehlen",IF($H66="","Monatslohn fehlt","OK")))))</f>
        <v>OK</v>
      </c>
      <c r="J66" s="329" t="str">
        <f>IF($G66="","",IF(COUNTIFS($A:$A,$A66,$D:$D,$D66,$G:$G,$G66)&gt;1,"Doppelte Monatsstunden",""))</f>
        <v/>
      </c>
    </row>
    <row r="67" spans="1:10" ht="24" customHeight="1">
      <c r="A67" s="321" t="s">
        <v>319</v>
      </c>
      <c r="B67" s="310">
        <v>45778</v>
      </c>
      <c r="C67" s="310">
        <v>46142</v>
      </c>
      <c r="D67" s="311" t="s">
        <v>317</v>
      </c>
      <c r="E67" s="311" t="s">
        <v>6</v>
      </c>
      <c r="F67" s="311" t="s">
        <v>307</v>
      </c>
      <c r="G67" s="139">
        <v>69.2</v>
      </c>
      <c r="H67" s="140">
        <v>864</v>
      </c>
      <c r="I67" s="311" t="str">
        <f>IF($A67="","",IF(OR($B67="",$C67="",$D67="",$E67="",$F67=""),"Stammdaten fehlen",IF(AND($G67="",$H67=""),"Werte fehlen",IF($G67="","Monatsstunden fehlen",IF($H67="","Monatslohn fehlt","OK")))))</f>
        <v>OK</v>
      </c>
      <c r="J67" s="329" t="str">
        <f>IF($G67="","",IF(COUNTIFS($A:$A,$A67,$D:$D,$D67,$G:$G,$G67)&gt;1,"Doppelte Monatsstunden",""))</f>
        <v/>
      </c>
    </row>
    <row r="68" spans="1:10" ht="24" customHeight="1">
      <c r="A68" s="321" t="s">
        <v>319</v>
      </c>
      <c r="B68" s="310">
        <v>45778</v>
      </c>
      <c r="C68" s="310">
        <v>46142</v>
      </c>
      <c r="D68" s="311" t="s">
        <v>317</v>
      </c>
      <c r="E68" s="311" t="s">
        <v>6</v>
      </c>
      <c r="F68" s="311" t="s">
        <v>307</v>
      </c>
      <c r="G68" s="139">
        <v>51.9</v>
      </c>
      <c r="H68" s="140">
        <v>648</v>
      </c>
      <c r="I68" s="311" t="str">
        <f>IF($A68="","",IF(OR($B68="",$C68="",$D68="",$E68="",$F68=""),"Stammdaten fehlen",IF(AND($G68="",$H68=""),"Werte fehlen",IF($G68="","Monatsstunden fehlen",IF($H68="","Monatslohn fehlt","OK")))))</f>
        <v>OK</v>
      </c>
      <c r="J68" s="329" t="str">
        <f>IF($G68="","",IF(COUNTIFS($A:$A,$A68,$D:$D,$D68,$G:$G,$G68)&gt;1,"Doppelte Monatsstunden",""))</f>
        <v/>
      </c>
    </row>
    <row r="69" spans="1:10" ht="24" customHeight="1">
      <c r="A69" s="321" t="s">
        <v>319</v>
      </c>
      <c r="B69" s="310">
        <v>45778</v>
      </c>
      <c r="C69" s="310">
        <v>46142</v>
      </c>
      <c r="D69" s="311" t="s">
        <v>317</v>
      </c>
      <c r="E69" s="311" t="s">
        <v>6</v>
      </c>
      <c r="F69" s="311" t="s">
        <v>307</v>
      </c>
      <c r="G69" s="139">
        <v>47.58</v>
      </c>
      <c r="H69" s="140">
        <v>594</v>
      </c>
      <c r="I69" s="311" t="str">
        <f>IF($A69="","",IF(OR($B69="",$C69="",$D69="",$E69="",$F69=""),"Stammdaten fehlen",IF(AND($G69="",$H69=""),"Werte fehlen",IF($G69="","Monatsstunden fehlen",IF($H69="","Monatslohn fehlt","OK")))))</f>
        <v>OK</v>
      </c>
      <c r="J69" s="329" t="str">
        <f>IF($G69="","",IF(COUNTIFS($A:$A,$A69,$D:$D,$D69,$G:$G,$G69)&gt;1,"Doppelte Monatsstunden",""))</f>
        <v/>
      </c>
    </row>
    <row r="70" spans="1:10" ht="24" customHeight="1">
      <c r="A70" s="321" t="s">
        <v>319</v>
      </c>
      <c r="B70" s="310">
        <v>45778</v>
      </c>
      <c r="C70" s="310">
        <v>46142</v>
      </c>
      <c r="D70" s="311" t="s">
        <v>317</v>
      </c>
      <c r="E70" s="311" t="s">
        <v>6</v>
      </c>
      <c r="F70" s="311" t="s">
        <v>307</v>
      </c>
      <c r="G70" s="139">
        <v>43.25</v>
      </c>
      <c r="H70" s="140">
        <v>540</v>
      </c>
      <c r="I70" s="311" t="str">
        <f>IF($A70="","",IF(OR($B70="",$C70="",$D70="",$E70="",$F70=""),"Stammdaten fehlen",IF(AND($G70="",$H70=""),"Werte fehlen",IF($G70="","Monatsstunden fehlen",IF($H70="","Monatslohn fehlt","OK")))))</f>
        <v>OK</v>
      </c>
      <c r="J70" s="329" t="str">
        <f>IF($G70="","",IF(COUNTIFS($A:$A,$A70,$D:$D,$D70,$G:$G,$G70)&gt;1,"Doppelte Monatsstunden",""))</f>
        <v/>
      </c>
    </row>
    <row r="71" spans="1:10" ht="24" customHeight="1">
      <c r="A71" s="321" t="s">
        <v>319</v>
      </c>
      <c r="B71" s="310">
        <v>45778</v>
      </c>
      <c r="C71" s="310">
        <v>46142</v>
      </c>
      <c r="D71" s="311" t="s">
        <v>317</v>
      </c>
      <c r="E71" s="311" t="s">
        <v>6</v>
      </c>
      <c r="F71" s="311" t="s">
        <v>307</v>
      </c>
      <c r="G71" s="139">
        <v>34.6</v>
      </c>
      <c r="H71" s="140">
        <v>432</v>
      </c>
      <c r="I71" s="311" t="str">
        <f>IF($A71="","",IF(OR($B71="",$C71="",$D71="",$E71="",$F71=""),"Stammdaten fehlen",IF(AND($G71="",$H71=""),"Werte fehlen",IF($G71="","Monatsstunden fehlen",IF($H71="","Monatslohn fehlt","OK")))))</f>
        <v>OK</v>
      </c>
      <c r="J71" s="329" t="str">
        <f>IF($G71="","",IF(COUNTIFS($A:$A,$A71,$D:$D,$D71,$G:$G,$G71)&gt;1,"Doppelte Monatsstunden",""))</f>
        <v/>
      </c>
    </row>
    <row r="72" spans="1:10" ht="24" customHeight="1" thickBot="1">
      <c r="A72" s="321" t="s">
        <v>319</v>
      </c>
      <c r="B72" s="310">
        <v>45778</v>
      </c>
      <c r="C72" s="310">
        <v>46142</v>
      </c>
      <c r="D72" s="311" t="s">
        <v>317</v>
      </c>
      <c r="E72" s="311" t="s">
        <v>6</v>
      </c>
      <c r="F72" s="311" t="s">
        <v>307</v>
      </c>
      <c r="G72" s="139">
        <v>32.01</v>
      </c>
      <c r="H72" s="140">
        <v>399.6</v>
      </c>
      <c r="I72" s="311" t="str">
        <f>IF($A72="","",IF(OR($B72="",$C72="",$D72="",$E72="",$F72=""),"Stammdaten fehlen",IF(AND($G72="",$H72=""),"Werte fehlen",IF($G72="","Monatsstunden fehlen",IF($H72="","Monatslohn fehlt","OK")))))</f>
        <v>OK</v>
      </c>
      <c r="J72" s="329" t="str">
        <f>IF($G72="","",IF(COUNTIFS($A:$A,$A72,$D:$D,$D72,$G:$G,$G72)&gt;1,"Doppelte Monatsstunden",""))</f>
        <v/>
      </c>
    </row>
    <row r="73" spans="1:10" ht="24" customHeight="1">
      <c r="A73" s="320" t="s">
        <v>319</v>
      </c>
      <c r="B73" s="308">
        <v>45778</v>
      </c>
      <c r="C73" s="308">
        <v>46142</v>
      </c>
      <c r="D73" s="309" t="s">
        <v>7</v>
      </c>
      <c r="E73" s="309" t="s">
        <v>6</v>
      </c>
      <c r="F73" s="309" t="s">
        <v>308</v>
      </c>
      <c r="G73" s="137">
        <v>173</v>
      </c>
      <c r="H73" s="138">
        <v>2160</v>
      </c>
      <c r="I73" s="309" t="str">
        <f>IF($A73="","",IF(OR($B73="",$C73="",$D73="",$E73="",$F73=""),"Stammdaten fehlen",IF(AND($G73="",$H73=""),"Werte fehlen",IF($G73="","Monatsstunden fehlen",IF($H73="","Monatslohn fehlt","OK")))))</f>
        <v>OK</v>
      </c>
      <c r="J73" s="328" t="str">
        <f>IF($G73="","",IF(COUNTIFS($A:$A,$A73,$D:$D,$D73,$G:$G,$G73)&gt;1,"Doppelte Monatsstunden",""))</f>
        <v/>
      </c>
    </row>
    <row r="74" spans="1:10" ht="24" customHeight="1">
      <c r="A74" s="321" t="s">
        <v>319</v>
      </c>
      <c r="B74" s="310">
        <v>45778</v>
      </c>
      <c r="C74" s="310">
        <v>46142</v>
      </c>
      <c r="D74" s="311" t="s">
        <v>7</v>
      </c>
      <c r="E74" s="311" t="s">
        <v>6</v>
      </c>
      <c r="F74" s="311" t="s">
        <v>308</v>
      </c>
      <c r="G74" s="139">
        <v>151.38</v>
      </c>
      <c r="H74" s="140">
        <v>1890</v>
      </c>
      <c r="I74" s="311" t="str">
        <f>IF($A74="","",IF(OR($B74="",$C74="",$D74="",$E74="",$F74=""),"Stammdaten fehlen",IF(AND($G74="",$H74=""),"Werte fehlen",IF($G74="","Monatsstunden fehlen",IF($H74="","Monatslohn fehlt","OK")))))</f>
        <v>OK</v>
      </c>
      <c r="J74" s="329" t="str">
        <f>IF($G74="","",IF(COUNTIFS($A:$A,$A74,$D:$D,$D74,$G:$G,$G74)&gt;1,"Doppelte Monatsstunden",""))</f>
        <v/>
      </c>
    </row>
    <row r="75" spans="1:10" ht="24" customHeight="1">
      <c r="A75" s="321" t="s">
        <v>319</v>
      </c>
      <c r="B75" s="310">
        <v>45778</v>
      </c>
      <c r="C75" s="310">
        <v>46142</v>
      </c>
      <c r="D75" s="311" t="s">
        <v>7</v>
      </c>
      <c r="E75" s="311" t="s">
        <v>6</v>
      </c>
      <c r="F75" s="311" t="s">
        <v>308</v>
      </c>
      <c r="G75" s="139">
        <v>138.4</v>
      </c>
      <c r="H75" s="140">
        <v>1728</v>
      </c>
      <c r="I75" s="311" t="str">
        <f>IF($A75="","",IF(OR($B75="",$C75="",$D75="",$E75="",$F75=""),"Stammdaten fehlen",IF(AND($G75="",$H75=""),"Werte fehlen",IF($G75="","Monatsstunden fehlen",IF($H75="","Monatslohn fehlt","OK")))))</f>
        <v>OK</v>
      </c>
      <c r="J75" s="329" t="str">
        <f>IF($G75="","",IF(COUNTIFS($A:$A,$A75,$D:$D,$D75,$G:$G,$G75)&gt;1,"Doppelte Monatsstunden",""))</f>
        <v/>
      </c>
    </row>
    <row r="76" spans="1:10" ht="24" customHeight="1">
      <c r="A76" s="321" t="s">
        <v>319</v>
      </c>
      <c r="B76" s="310">
        <v>45778</v>
      </c>
      <c r="C76" s="310">
        <v>46142</v>
      </c>
      <c r="D76" s="311" t="s">
        <v>7</v>
      </c>
      <c r="E76" s="311" t="s">
        <v>6</v>
      </c>
      <c r="F76" s="311" t="s">
        <v>308</v>
      </c>
      <c r="G76" s="139">
        <v>129.75</v>
      </c>
      <c r="H76" s="140">
        <v>1620</v>
      </c>
      <c r="I76" s="311" t="str">
        <f>IF($A76="","",IF(OR($B76="",$C76="",$D76="",$E76="",$F76=""),"Stammdaten fehlen",IF(AND($G76="",$H76=""),"Werte fehlen",IF($G76="","Monatsstunden fehlen",IF($H76="","Monatslohn fehlt","OK")))))</f>
        <v>OK</v>
      </c>
      <c r="J76" s="329" t="str">
        <f>IF($G76="","",IF(COUNTIFS($A:$A,$A76,$D:$D,$D76,$G:$G,$G76)&gt;1,"Doppelte Monatsstunden",""))</f>
        <v/>
      </c>
    </row>
    <row r="77" spans="1:10" ht="24" customHeight="1">
      <c r="A77" s="321" t="s">
        <v>319</v>
      </c>
      <c r="B77" s="310">
        <v>45778</v>
      </c>
      <c r="C77" s="310">
        <v>46142</v>
      </c>
      <c r="D77" s="311" t="s">
        <v>7</v>
      </c>
      <c r="E77" s="311" t="s">
        <v>6</v>
      </c>
      <c r="F77" s="311" t="s">
        <v>308</v>
      </c>
      <c r="G77" s="139">
        <v>108.13</v>
      </c>
      <c r="H77" s="140">
        <v>1350</v>
      </c>
      <c r="I77" s="311" t="str">
        <f>IF($A77="","",IF(OR($B77="",$C77="",$D77="",$E77="",$F77=""),"Stammdaten fehlen",IF(AND($G77="",$H77=""),"Werte fehlen",IF($G77="","Monatsstunden fehlen",IF($H77="","Monatslohn fehlt","OK")))))</f>
        <v>OK</v>
      </c>
      <c r="J77" s="329" t="str">
        <f>IF($G77="","",IF(COUNTIFS($A:$A,$A77,$D:$D,$D77,$G:$G,$G77)&gt;1,"Doppelte Monatsstunden",""))</f>
        <v/>
      </c>
    </row>
    <row r="78" spans="1:10" ht="24" customHeight="1">
      <c r="A78" s="321" t="s">
        <v>319</v>
      </c>
      <c r="B78" s="310">
        <v>45778</v>
      </c>
      <c r="C78" s="310">
        <v>46142</v>
      </c>
      <c r="D78" s="311" t="s">
        <v>7</v>
      </c>
      <c r="E78" s="311" t="s">
        <v>6</v>
      </c>
      <c r="F78" s="311" t="s">
        <v>308</v>
      </c>
      <c r="G78" s="139">
        <v>103.8</v>
      </c>
      <c r="H78" s="140">
        <v>1296</v>
      </c>
      <c r="I78" s="311" t="str">
        <f>IF($A78="","",IF(OR($B78="",$C78="",$D78="",$E78="",$F78=""),"Stammdaten fehlen",IF(AND($G78="",$H78=""),"Werte fehlen",IF($G78="","Monatsstunden fehlen",IF($H78="","Monatslohn fehlt","OK")))))</f>
        <v>OK</v>
      </c>
      <c r="J78" s="329" t="str">
        <f>IF($G78="","",IF(COUNTIFS($A:$A,$A78,$D:$D,$D78,$G:$G,$G78)&gt;1,"Doppelte Monatsstunden",""))</f>
        <v/>
      </c>
    </row>
    <row r="79" spans="1:10" ht="24" customHeight="1">
      <c r="A79" s="321" t="s">
        <v>319</v>
      </c>
      <c r="B79" s="310">
        <v>45778</v>
      </c>
      <c r="C79" s="310">
        <v>46142</v>
      </c>
      <c r="D79" s="311" t="s">
        <v>7</v>
      </c>
      <c r="E79" s="311" t="s">
        <v>6</v>
      </c>
      <c r="F79" s="311" t="s">
        <v>308</v>
      </c>
      <c r="G79" s="139">
        <v>86.5</v>
      </c>
      <c r="H79" s="140">
        <v>1080</v>
      </c>
      <c r="I79" s="311" t="str">
        <f>IF($A79="","",IF(OR($B79="",$C79="",$D79="",$E79="",$F79=""),"Stammdaten fehlen",IF(AND($G79="",$H79=""),"Werte fehlen",IF($G79="","Monatsstunden fehlen",IF($H79="","Monatslohn fehlt","OK")))))</f>
        <v>OK</v>
      </c>
      <c r="J79" s="329" t="str">
        <f>IF($G79="","",IF(COUNTIFS($A:$A,$A79,$D:$D,$D79,$G:$G,$G79)&gt;1,"Doppelte Monatsstunden",""))</f>
        <v/>
      </c>
    </row>
    <row r="80" spans="1:10" ht="24" customHeight="1">
      <c r="A80" s="321" t="s">
        <v>319</v>
      </c>
      <c r="B80" s="310">
        <v>45778</v>
      </c>
      <c r="C80" s="310">
        <v>46142</v>
      </c>
      <c r="D80" s="311" t="s">
        <v>7</v>
      </c>
      <c r="E80" s="311" t="s">
        <v>6</v>
      </c>
      <c r="F80" s="311" t="s">
        <v>308</v>
      </c>
      <c r="G80" s="139">
        <v>69.2</v>
      </c>
      <c r="H80" s="140">
        <v>864</v>
      </c>
      <c r="I80" s="311" t="str">
        <f>IF($A80="","",IF(OR($B80="",$C80="",$D80="",$E80="",$F80=""),"Stammdaten fehlen",IF(AND($G80="",$H80=""),"Werte fehlen",IF($G80="","Monatsstunden fehlen",IF($H80="","Monatslohn fehlt","OK")))))</f>
        <v>OK</v>
      </c>
      <c r="J80" s="329" t="str">
        <f>IF($G80="","",IF(COUNTIFS($A:$A,$A80,$D:$D,$D80,$G:$G,$G80)&gt;1,"Doppelte Monatsstunden",""))</f>
        <v/>
      </c>
    </row>
    <row r="81" spans="1:10" ht="24" customHeight="1">
      <c r="A81" s="321" t="s">
        <v>319</v>
      </c>
      <c r="B81" s="310">
        <v>45778</v>
      </c>
      <c r="C81" s="310">
        <v>46142</v>
      </c>
      <c r="D81" s="311" t="s">
        <v>7</v>
      </c>
      <c r="E81" s="311" t="s">
        <v>6</v>
      </c>
      <c r="F81" s="311" t="s">
        <v>308</v>
      </c>
      <c r="G81" s="139">
        <v>51.9</v>
      </c>
      <c r="H81" s="140">
        <v>648</v>
      </c>
      <c r="I81" s="311" t="str">
        <f>IF($A81="","",IF(OR($B81="",$C81="",$D81="",$E81="",$F81=""),"Stammdaten fehlen",IF(AND($G81="",$H81=""),"Werte fehlen",IF($G81="","Monatsstunden fehlen",IF($H81="","Monatslohn fehlt","OK")))))</f>
        <v>OK</v>
      </c>
      <c r="J81" s="329" t="str">
        <f>IF($G81="","",IF(COUNTIFS($A:$A,$A81,$D:$D,$D81,$G:$G,$G81)&gt;1,"Doppelte Monatsstunden",""))</f>
        <v/>
      </c>
    </row>
    <row r="82" spans="1:10" ht="24" customHeight="1">
      <c r="A82" s="321" t="s">
        <v>319</v>
      </c>
      <c r="B82" s="310">
        <v>45778</v>
      </c>
      <c r="C82" s="310">
        <v>46142</v>
      </c>
      <c r="D82" s="311" t="s">
        <v>7</v>
      </c>
      <c r="E82" s="311" t="s">
        <v>6</v>
      </c>
      <c r="F82" s="311" t="s">
        <v>308</v>
      </c>
      <c r="G82" s="139">
        <v>47.58</v>
      </c>
      <c r="H82" s="140">
        <v>594</v>
      </c>
      <c r="I82" s="311" t="str">
        <f>IF($A82="","",IF(OR($B82="",$C82="",$D82="",$E82="",$F82=""),"Stammdaten fehlen",IF(AND($G82="",$H82=""),"Werte fehlen",IF($G82="","Monatsstunden fehlen",IF($H82="","Monatslohn fehlt","OK")))))</f>
        <v>OK</v>
      </c>
      <c r="J82" s="329" t="str">
        <f>IF($G82="","",IF(COUNTIFS($A:$A,$A82,$D:$D,$D82,$G:$G,$G82)&gt;1,"Doppelte Monatsstunden",""))</f>
        <v/>
      </c>
    </row>
    <row r="83" spans="1:10" ht="24" customHeight="1">
      <c r="A83" s="321" t="s">
        <v>319</v>
      </c>
      <c r="B83" s="310">
        <v>45778</v>
      </c>
      <c r="C83" s="310">
        <v>46142</v>
      </c>
      <c r="D83" s="311" t="s">
        <v>7</v>
      </c>
      <c r="E83" s="311" t="s">
        <v>6</v>
      </c>
      <c r="F83" s="311" t="s">
        <v>308</v>
      </c>
      <c r="G83" s="139">
        <v>43.25</v>
      </c>
      <c r="H83" s="140">
        <v>540</v>
      </c>
      <c r="I83" s="311" t="str">
        <f>IF($A83="","",IF(OR($B83="",$C83="",$D83="",$E83="",$F83=""),"Stammdaten fehlen",IF(AND($G83="",$H83=""),"Werte fehlen",IF($G83="","Monatsstunden fehlen",IF($H83="","Monatslohn fehlt","OK")))))</f>
        <v>OK</v>
      </c>
      <c r="J83" s="329" t="str">
        <f>IF($G83="","",IF(COUNTIFS($A:$A,$A83,$D:$D,$D83,$G:$G,$G83)&gt;1,"Doppelte Monatsstunden",""))</f>
        <v/>
      </c>
    </row>
    <row r="84" spans="1:10" ht="24" customHeight="1">
      <c r="A84" s="321" t="s">
        <v>319</v>
      </c>
      <c r="B84" s="310">
        <v>45778</v>
      </c>
      <c r="C84" s="310">
        <v>46142</v>
      </c>
      <c r="D84" s="311" t="s">
        <v>7</v>
      </c>
      <c r="E84" s="311" t="s">
        <v>6</v>
      </c>
      <c r="F84" s="311" t="s">
        <v>308</v>
      </c>
      <c r="G84" s="139">
        <v>34.6</v>
      </c>
      <c r="H84" s="140">
        <v>432</v>
      </c>
      <c r="I84" s="311" t="str">
        <f>IF($A84="","",IF(OR($B84="",$C84="",$D84="",$E84="",$F84=""),"Stammdaten fehlen",IF(AND($G84="",$H84=""),"Werte fehlen",IF($G84="","Monatsstunden fehlen",IF($H84="","Monatslohn fehlt","OK")))))</f>
        <v>OK</v>
      </c>
      <c r="J84" s="329" t="str">
        <f>IF($G84="","",IF(COUNTIFS($A:$A,$A84,$D:$D,$D84,$G:$G,$G84)&gt;1,"Doppelte Monatsstunden",""))</f>
        <v/>
      </c>
    </row>
    <row r="85" spans="1:10" ht="24" customHeight="1" thickBot="1">
      <c r="A85" s="321" t="s">
        <v>319</v>
      </c>
      <c r="B85" s="310">
        <v>45778</v>
      </c>
      <c r="C85" s="310">
        <v>46142</v>
      </c>
      <c r="D85" s="311" t="s">
        <v>7</v>
      </c>
      <c r="E85" s="311" t="s">
        <v>6</v>
      </c>
      <c r="F85" s="311" t="s">
        <v>308</v>
      </c>
      <c r="G85" s="139">
        <v>32.01</v>
      </c>
      <c r="H85" s="140">
        <v>399.6</v>
      </c>
      <c r="I85" s="311" t="str">
        <f>IF($A85="","",IF(OR($B85="",$C85="",$D85="",$E85="",$F85=""),"Stammdaten fehlen",IF(AND($G85="",$H85=""),"Werte fehlen",IF($G85="","Monatsstunden fehlen",IF($H85="","Monatslohn fehlt","OK")))))</f>
        <v>OK</v>
      </c>
      <c r="J85" s="329" t="str">
        <f>IF($G85="","",IF(COUNTIFS($A:$A,$A85,$D:$D,$D85,$G:$G,$G85)&gt;1,"Doppelte Monatsstunden",""))</f>
        <v/>
      </c>
    </row>
    <row r="86" spans="1:10" ht="24" customHeight="1">
      <c r="A86" s="320" t="s">
        <v>319</v>
      </c>
      <c r="B86" s="308">
        <v>45778</v>
      </c>
      <c r="C86" s="308">
        <v>46142</v>
      </c>
      <c r="D86" s="309" t="s">
        <v>8</v>
      </c>
      <c r="E86" s="309" t="s">
        <v>6</v>
      </c>
      <c r="F86" s="309" t="s">
        <v>309</v>
      </c>
      <c r="G86" s="137">
        <v>173</v>
      </c>
      <c r="H86" s="138">
        <v>2163</v>
      </c>
      <c r="I86" s="309" t="str">
        <f>IF($A86="","",IF(OR($B86="",$C86="",$D86="",$E86="",$F86=""),"Stammdaten fehlen",IF(AND($G86="",$H86=""),"Werte fehlen",IF($G86="","Monatsstunden fehlen",IF($H86="","Monatslohn fehlt","OK")))))</f>
        <v>OK</v>
      </c>
      <c r="J86" s="328" t="str">
        <f>IF($G86="","",IF(COUNTIFS($A:$A,$A86,$D:$D,$D86,$G:$G,$G86)&gt;1,"Doppelte Monatsstunden",""))</f>
        <v/>
      </c>
    </row>
    <row r="87" spans="1:10" ht="24" customHeight="1">
      <c r="A87" s="321" t="s">
        <v>319</v>
      </c>
      <c r="B87" s="310">
        <v>45778</v>
      </c>
      <c r="C87" s="310">
        <v>46142</v>
      </c>
      <c r="D87" s="311" t="s">
        <v>8</v>
      </c>
      <c r="E87" s="311" t="s">
        <v>6</v>
      </c>
      <c r="F87" s="311" t="s">
        <v>309</v>
      </c>
      <c r="G87" s="139">
        <v>151.38</v>
      </c>
      <c r="H87" s="140">
        <v>1892.63</v>
      </c>
      <c r="I87" s="311" t="str">
        <f>IF($A87="","",IF(OR($B87="",$C87="",$D87="",$E87="",$F87=""),"Stammdaten fehlen",IF(AND($G87="",$H87=""),"Werte fehlen",IF($G87="","Monatsstunden fehlen",IF($H87="","Monatslohn fehlt","OK")))))</f>
        <v>OK</v>
      </c>
      <c r="J87" s="329" t="str">
        <f>IF($G87="","",IF(COUNTIFS($A:$A,$A87,$D:$D,$D87,$G:$G,$G87)&gt;1,"Doppelte Monatsstunden",""))</f>
        <v/>
      </c>
    </row>
    <row r="88" spans="1:10" ht="24" customHeight="1">
      <c r="A88" s="321" t="s">
        <v>319</v>
      </c>
      <c r="B88" s="310">
        <v>45778</v>
      </c>
      <c r="C88" s="310">
        <v>46142</v>
      </c>
      <c r="D88" s="311" t="s">
        <v>8</v>
      </c>
      <c r="E88" s="311" t="s">
        <v>6</v>
      </c>
      <c r="F88" s="311" t="s">
        <v>309</v>
      </c>
      <c r="G88" s="139">
        <v>138.4</v>
      </c>
      <c r="H88" s="140">
        <v>1730.4</v>
      </c>
      <c r="I88" s="311" t="str">
        <f>IF($A88="","",IF(OR($B88="",$C88="",$D88="",$E88="",$F88=""),"Stammdaten fehlen",IF(AND($G88="",$H88=""),"Werte fehlen",IF($G88="","Monatsstunden fehlen",IF($H88="","Monatslohn fehlt","OK")))))</f>
        <v>OK</v>
      </c>
      <c r="J88" s="329" t="str">
        <f>IF($G88="","",IF(COUNTIFS($A:$A,$A88,$D:$D,$D88,$G:$G,$G88)&gt;1,"Doppelte Monatsstunden",""))</f>
        <v/>
      </c>
    </row>
    <row r="89" spans="1:10" ht="24" customHeight="1">
      <c r="A89" s="321" t="s">
        <v>319</v>
      </c>
      <c r="B89" s="310">
        <v>45778</v>
      </c>
      <c r="C89" s="310">
        <v>46142</v>
      </c>
      <c r="D89" s="311" t="s">
        <v>8</v>
      </c>
      <c r="E89" s="311" t="s">
        <v>6</v>
      </c>
      <c r="F89" s="311" t="s">
        <v>309</v>
      </c>
      <c r="G89" s="139">
        <v>129.75</v>
      </c>
      <c r="H89" s="140">
        <v>1622.25</v>
      </c>
      <c r="I89" s="311" t="str">
        <f>IF($A89="","",IF(OR($B89="",$C89="",$D89="",$E89="",$F89=""),"Stammdaten fehlen",IF(AND($G89="",$H89=""),"Werte fehlen",IF($G89="","Monatsstunden fehlen",IF($H89="","Monatslohn fehlt","OK")))))</f>
        <v>OK</v>
      </c>
      <c r="J89" s="329" t="str">
        <f>IF($G89="","",IF(COUNTIFS($A:$A,$A89,$D:$D,$D89,$G:$G,$G89)&gt;1,"Doppelte Monatsstunden",""))</f>
        <v/>
      </c>
    </row>
    <row r="90" spans="1:10" ht="24" customHeight="1">
      <c r="A90" s="321" t="s">
        <v>319</v>
      </c>
      <c r="B90" s="310">
        <v>45778</v>
      </c>
      <c r="C90" s="310">
        <v>46142</v>
      </c>
      <c r="D90" s="311" t="s">
        <v>8</v>
      </c>
      <c r="E90" s="311" t="s">
        <v>6</v>
      </c>
      <c r="F90" s="311" t="s">
        <v>309</v>
      </c>
      <c r="G90" s="139">
        <v>108.13</v>
      </c>
      <c r="H90" s="140">
        <v>1351.88</v>
      </c>
      <c r="I90" s="311" t="str">
        <f>IF($A90="","",IF(OR($B90="",$C90="",$D90="",$E90="",$F90=""),"Stammdaten fehlen",IF(AND($G90="",$H90=""),"Werte fehlen",IF($G90="","Monatsstunden fehlen",IF($H90="","Monatslohn fehlt","OK")))))</f>
        <v>OK</v>
      </c>
      <c r="J90" s="329" t="str">
        <f>IF($G90="","",IF(COUNTIFS($A:$A,$A90,$D:$D,$D90,$G:$G,$G90)&gt;1,"Doppelte Monatsstunden",""))</f>
        <v/>
      </c>
    </row>
    <row r="91" spans="1:10" ht="24" customHeight="1">
      <c r="A91" s="321" t="s">
        <v>319</v>
      </c>
      <c r="B91" s="310">
        <v>45778</v>
      </c>
      <c r="C91" s="310">
        <v>46142</v>
      </c>
      <c r="D91" s="311" t="s">
        <v>8</v>
      </c>
      <c r="E91" s="311" t="s">
        <v>6</v>
      </c>
      <c r="F91" s="311" t="s">
        <v>309</v>
      </c>
      <c r="G91" s="139">
        <v>103.8</v>
      </c>
      <c r="H91" s="140">
        <v>1297.8</v>
      </c>
      <c r="I91" s="311" t="str">
        <f>IF($A91="","",IF(OR($B91="",$C91="",$D91="",$E91="",$F91=""),"Stammdaten fehlen",IF(AND($G91="",$H91=""),"Werte fehlen",IF($G91="","Monatsstunden fehlen",IF($H91="","Monatslohn fehlt","OK")))))</f>
        <v>OK</v>
      </c>
      <c r="J91" s="329" t="str">
        <f>IF($G91="","",IF(COUNTIFS($A:$A,$A91,$D:$D,$D91,$G:$G,$G91)&gt;1,"Doppelte Monatsstunden",""))</f>
        <v/>
      </c>
    </row>
    <row r="92" spans="1:10" ht="24" customHeight="1">
      <c r="A92" s="321" t="s">
        <v>319</v>
      </c>
      <c r="B92" s="310">
        <v>45778</v>
      </c>
      <c r="C92" s="310">
        <v>46142</v>
      </c>
      <c r="D92" s="311" t="s">
        <v>8</v>
      </c>
      <c r="E92" s="311" t="s">
        <v>6</v>
      </c>
      <c r="F92" s="311" t="s">
        <v>309</v>
      </c>
      <c r="G92" s="139">
        <v>86.5</v>
      </c>
      <c r="H92" s="140">
        <v>1081.5</v>
      </c>
      <c r="I92" s="311" t="str">
        <f>IF($A92="","",IF(OR($B92="",$C92="",$D92="",$E92="",$F92=""),"Stammdaten fehlen",IF(AND($G92="",$H92=""),"Werte fehlen",IF($G92="","Monatsstunden fehlen",IF($H92="","Monatslohn fehlt","OK")))))</f>
        <v>OK</v>
      </c>
      <c r="J92" s="329" t="str">
        <f>IF($G92="","",IF(COUNTIFS($A:$A,$A92,$D:$D,$D92,$G:$G,$G92)&gt;1,"Doppelte Monatsstunden",""))</f>
        <v/>
      </c>
    </row>
    <row r="93" spans="1:10" ht="24" customHeight="1">
      <c r="A93" s="321" t="s">
        <v>319</v>
      </c>
      <c r="B93" s="310">
        <v>45778</v>
      </c>
      <c r="C93" s="310">
        <v>46142</v>
      </c>
      <c r="D93" s="311" t="s">
        <v>8</v>
      </c>
      <c r="E93" s="311" t="s">
        <v>6</v>
      </c>
      <c r="F93" s="311" t="s">
        <v>309</v>
      </c>
      <c r="G93" s="139">
        <v>69.2</v>
      </c>
      <c r="H93" s="140">
        <v>865.2</v>
      </c>
      <c r="I93" s="311" t="str">
        <f>IF($A93="","",IF(OR($B93="",$C93="",$D93="",$E93="",$F93=""),"Stammdaten fehlen",IF(AND($G93="",$H93=""),"Werte fehlen",IF($G93="","Monatsstunden fehlen",IF($H93="","Monatslohn fehlt","OK")))))</f>
        <v>OK</v>
      </c>
      <c r="J93" s="329" t="str">
        <f>IF($G93="","",IF(COUNTIFS($A:$A,$A93,$D:$D,$D93,$G:$G,$G93)&gt;1,"Doppelte Monatsstunden",""))</f>
        <v/>
      </c>
    </row>
    <row r="94" spans="1:10" ht="24" customHeight="1">
      <c r="A94" s="321" t="s">
        <v>319</v>
      </c>
      <c r="B94" s="310">
        <v>45778</v>
      </c>
      <c r="C94" s="310">
        <v>46142</v>
      </c>
      <c r="D94" s="311" t="s">
        <v>8</v>
      </c>
      <c r="E94" s="311" t="s">
        <v>6</v>
      </c>
      <c r="F94" s="311" t="s">
        <v>309</v>
      </c>
      <c r="G94" s="139">
        <v>51.9</v>
      </c>
      <c r="H94" s="140">
        <v>648.9</v>
      </c>
      <c r="I94" s="311" t="str">
        <f>IF($A94="","",IF(OR($B94="",$C94="",$D94="",$E94="",$F94=""),"Stammdaten fehlen",IF(AND($G94="",$H94=""),"Werte fehlen",IF($G94="","Monatsstunden fehlen",IF($H94="","Monatslohn fehlt","OK")))))</f>
        <v>OK</v>
      </c>
      <c r="J94" s="329" t="str">
        <f>IF($G94="","",IF(COUNTIFS($A:$A,$A94,$D:$D,$D94,$G:$G,$G94)&gt;1,"Doppelte Monatsstunden",""))</f>
        <v/>
      </c>
    </row>
    <row r="95" spans="1:10" ht="24" customHeight="1">
      <c r="A95" s="321" t="s">
        <v>319</v>
      </c>
      <c r="B95" s="310">
        <v>45778</v>
      </c>
      <c r="C95" s="310">
        <v>46142</v>
      </c>
      <c r="D95" s="311" t="s">
        <v>8</v>
      </c>
      <c r="E95" s="311" t="s">
        <v>6</v>
      </c>
      <c r="F95" s="311" t="s">
        <v>309</v>
      </c>
      <c r="G95" s="139">
        <v>47.58</v>
      </c>
      <c r="H95" s="140">
        <v>594.83000000000004</v>
      </c>
      <c r="I95" s="311" t="str">
        <f>IF($A95="","",IF(OR($B95="",$C95="",$D95="",$E95="",$F95=""),"Stammdaten fehlen",IF(AND($G95="",$H95=""),"Werte fehlen",IF($G95="","Monatsstunden fehlen",IF($H95="","Monatslohn fehlt","OK")))))</f>
        <v>OK</v>
      </c>
      <c r="J95" s="329" t="str">
        <f>IF($G95="","",IF(COUNTIFS($A:$A,$A95,$D:$D,$D95,$G:$G,$G95)&gt;1,"Doppelte Monatsstunden",""))</f>
        <v/>
      </c>
    </row>
    <row r="96" spans="1:10" ht="24" customHeight="1">
      <c r="A96" s="321" t="s">
        <v>319</v>
      </c>
      <c r="B96" s="310">
        <v>45778</v>
      </c>
      <c r="C96" s="310">
        <v>46142</v>
      </c>
      <c r="D96" s="311" t="s">
        <v>8</v>
      </c>
      <c r="E96" s="311" t="s">
        <v>6</v>
      </c>
      <c r="F96" s="311" t="s">
        <v>309</v>
      </c>
      <c r="G96" s="139">
        <v>43.25</v>
      </c>
      <c r="H96" s="140">
        <v>540.75</v>
      </c>
      <c r="I96" s="311" t="str">
        <f>IF($A96="","",IF(OR($B96="",$C96="",$D96="",$E96="",$F96=""),"Stammdaten fehlen",IF(AND($G96="",$H96=""),"Werte fehlen",IF($G96="","Monatsstunden fehlen",IF($H96="","Monatslohn fehlt","OK")))))</f>
        <v>OK</v>
      </c>
      <c r="J96" s="329" t="str">
        <f>IF($G96="","",IF(COUNTIFS($A:$A,$A96,$D:$D,$D96,$G:$G,$G96)&gt;1,"Doppelte Monatsstunden",""))</f>
        <v/>
      </c>
    </row>
    <row r="97" spans="1:10" ht="24" customHeight="1">
      <c r="A97" s="321" t="s">
        <v>319</v>
      </c>
      <c r="B97" s="310">
        <v>45778</v>
      </c>
      <c r="C97" s="310">
        <v>46142</v>
      </c>
      <c r="D97" s="311" t="s">
        <v>8</v>
      </c>
      <c r="E97" s="311" t="s">
        <v>6</v>
      </c>
      <c r="F97" s="311" t="s">
        <v>309</v>
      </c>
      <c r="G97" s="139">
        <v>34.6</v>
      </c>
      <c r="H97" s="140">
        <v>432.6</v>
      </c>
      <c r="I97" s="311" t="str">
        <f>IF($A97="","",IF(OR($B97="",$C97="",$D97="",$E97="",$F97=""),"Stammdaten fehlen",IF(AND($G97="",$H97=""),"Werte fehlen",IF($G97="","Monatsstunden fehlen",IF($H97="","Monatslohn fehlt","OK")))))</f>
        <v>OK</v>
      </c>
      <c r="J97" s="329" t="str">
        <f>IF($G97="","",IF(COUNTIFS($A:$A,$A97,$D:$D,$D97,$G:$G,$G97)&gt;1,"Doppelte Monatsstunden",""))</f>
        <v/>
      </c>
    </row>
    <row r="98" spans="1:10" ht="24" customHeight="1" thickBot="1">
      <c r="A98" s="321" t="s">
        <v>319</v>
      </c>
      <c r="B98" s="310">
        <v>45778</v>
      </c>
      <c r="C98" s="310">
        <v>46142</v>
      </c>
      <c r="D98" s="311" t="s">
        <v>8</v>
      </c>
      <c r="E98" s="311" t="s">
        <v>6</v>
      </c>
      <c r="F98" s="311" t="s">
        <v>309</v>
      </c>
      <c r="G98" s="139">
        <v>32.01</v>
      </c>
      <c r="H98" s="140">
        <v>400.16</v>
      </c>
      <c r="I98" s="311" t="str">
        <f>IF($A98="","",IF(OR($B98="",$C98="",$D98="",$E98="",$F98=""),"Stammdaten fehlen",IF(AND($G98="",$H98=""),"Werte fehlen",IF($G98="","Monatsstunden fehlen",IF($H98="","Monatslohn fehlt","OK")))))</f>
        <v>OK</v>
      </c>
      <c r="J98" s="329" t="str">
        <f>IF($G98="","",IF(COUNTIFS($A:$A,$A98,$D:$D,$D98,$G:$G,$G98)&gt;1,"Doppelte Monatsstunden",""))</f>
        <v/>
      </c>
    </row>
    <row r="99" spans="1:10" ht="24" customHeight="1">
      <c r="A99" s="320" t="s">
        <v>319</v>
      </c>
      <c r="B99" s="308">
        <v>45778</v>
      </c>
      <c r="C99" s="308">
        <v>46142</v>
      </c>
      <c r="D99" s="309" t="s">
        <v>9</v>
      </c>
      <c r="E99" s="309" t="s">
        <v>6</v>
      </c>
      <c r="F99" s="309" t="s">
        <v>310</v>
      </c>
      <c r="G99" s="137">
        <v>173</v>
      </c>
      <c r="H99" s="138">
        <v>2225</v>
      </c>
      <c r="I99" s="309" t="str">
        <f>IF($A99="","",IF(OR($B99="",$C99="",$D99="",$E99="",$F99=""),"Stammdaten fehlen",IF(AND($G99="",$H99=""),"Werte fehlen",IF($G99="","Monatsstunden fehlen",IF($H99="","Monatslohn fehlt","OK")))))</f>
        <v>OK</v>
      </c>
      <c r="J99" s="328" t="str">
        <f>IF($G99="","",IF(COUNTIFS($A:$A,$A99,$D:$D,$D99,$G:$G,$G99)&gt;1,"Doppelte Monatsstunden",""))</f>
        <v/>
      </c>
    </row>
    <row r="100" spans="1:10" ht="24" customHeight="1">
      <c r="A100" s="321" t="s">
        <v>319</v>
      </c>
      <c r="B100" s="310">
        <v>45778</v>
      </c>
      <c r="C100" s="310">
        <v>46142</v>
      </c>
      <c r="D100" s="311" t="s">
        <v>9</v>
      </c>
      <c r="E100" s="311" t="s">
        <v>6</v>
      </c>
      <c r="F100" s="311" t="s">
        <v>310</v>
      </c>
      <c r="G100" s="139">
        <v>151.38</v>
      </c>
      <c r="H100" s="140">
        <v>1946.88</v>
      </c>
      <c r="I100" s="311" t="str">
        <f>IF($A100="","",IF(OR($B100="",$C100="",$D100="",$E100="",$F100=""),"Stammdaten fehlen",IF(AND($G100="",$H100=""),"Werte fehlen",IF($G100="","Monatsstunden fehlen",IF($H100="","Monatslohn fehlt","OK")))))</f>
        <v>OK</v>
      </c>
      <c r="J100" s="329" t="str">
        <f>IF($G100="","",IF(COUNTIFS($A:$A,$A100,$D:$D,$D100,$G:$G,$G100)&gt;1,"Doppelte Monatsstunden",""))</f>
        <v/>
      </c>
    </row>
    <row r="101" spans="1:10" ht="24" customHeight="1">
      <c r="A101" s="321" t="s">
        <v>319</v>
      </c>
      <c r="B101" s="310">
        <v>45778</v>
      </c>
      <c r="C101" s="310">
        <v>46142</v>
      </c>
      <c r="D101" s="311" t="s">
        <v>9</v>
      </c>
      <c r="E101" s="311" t="s">
        <v>6</v>
      </c>
      <c r="F101" s="311" t="s">
        <v>310</v>
      </c>
      <c r="G101" s="139">
        <v>138.4</v>
      </c>
      <c r="H101" s="140">
        <v>1780</v>
      </c>
      <c r="I101" s="311" t="str">
        <f>IF($A101="","",IF(OR($B101="",$C101="",$D101="",$E101="",$F101=""),"Stammdaten fehlen",IF(AND($G101="",$H101=""),"Werte fehlen",IF($G101="","Monatsstunden fehlen",IF($H101="","Monatslohn fehlt","OK")))))</f>
        <v>OK</v>
      </c>
      <c r="J101" s="329" t="str">
        <f>IF($G101="","",IF(COUNTIFS($A:$A,$A101,$D:$D,$D101,$G:$G,$G101)&gt;1,"Doppelte Monatsstunden",""))</f>
        <v/>
      </c>
    </row>
    <row r="102" spans="1:10" ht="24" customHeight="1">
      <c r="A102" s="321" t="s">
        <v>319</v>
      </c>
      <c r="B102" s="310">
        <v>45778</v>
      </c>
      <c r="C102" s="310">
        <v>46142</v>
      </c>
      <c r="D102" s="311" t="s">
        <v>9</v>
      </c>
      <c r="E102" s="311" t="s">
        <v>6</v>
      </c>
      <c r="F102" s="311" t="s">
        <v>310</v>
      </c>
      <c r="G102" s="139">
        <v>129.75</v>
      </c>
      <c r="H102" s="140">
        <v>1668.75</v>
      </c>
      <c r="I102" s="311" t="str">
        <f>IF($A102="","",IF(OR($B102="",$C102="",$D102="",$E102="",$F102=""),"Stammdaten fehlen",IF(AND($G102="",$H102=""),"Werte fehlen",IF($G102="","Monatsstunden fehlen",IF($H102="","Monatslohn fehlt","OK")))))</f>
        <v>OK</v>
      </c>
      <c r="J102" s="329" t="str">
        <f>IF($G102="","",IF(COUNTIFS($A:$A,$A102,$D:$D,$D102,$G:$G,$G102)&gt;1,"Doppelte Monatsstunden",""))</f>
        <v/>
      </c>
    </row>
    <row r="103" spans="1:10" ht="24" customHeight="1">
      <c r="A103" s="321" t="s">
        <v>319</v>
      </c>
      <c r="B103" s="310">
        <v>45778</v>
      </c>
      <c r="C103" s="310">
        <v>46142</v>
      </c>
      <c r="D103" s="311" t="s">
        <v>9</v>
      </c>
      <c r="E103" s="311" t="s">
        <v>6</v>
      </c>
      <c r="F103" s="311" t="s">
        <v>310</v>
      </c>
      <c r="G103" s="139">
        <v>108.13</v>
      </c>
      <c r="H103" s="140">
        <v>1390.63</v>
      </c>
      <c r="I103" s="311" t="str">
        <f>IF($A103="","",IF(OR($B103="",$C103="",$D103="",$E103="",$F103=""),"Stammdaten fehlen",IF(AND($G103="",$H103=""),"Werte fehlen",IF($G103="","Monatsstunden fehlen",IF($H103="","Monatslohn fehlt","OK")))))</f>
        <v>OK</v>
      </c>
      <c r="J103" s="329" t="str">
        <f>IF($G103="","",IF(COUNTIFS($A:$A,$A103,$D:$D,$D103,$G:$G,$G103)&gt;1,"Doppelte Monatsstunden",""))</f>
        <v/>
      </c>
    </row>
    <row r="104" spans="1:10" ht="24" customHeight="1">
      <c r="A104" s="321" t="s">
        <v>319</v>
      </c>
      <c r="B104" s="310">
        <v>45778</v>
      </c>
      <c r="C104" s="310">
        <v>46142</v>
      </c>
      <c r="D104" s="311" t="s">
        <v>9</v>
      </c>
      <c r="E104" s="311" t="s">
        <v>6</v>
      </c>
      <c r="F104" s="311" t="s">
        <v>310</v>
      </c>
      <c r="G104" s="139">
        <v>103.8</v>
      </c>
      <c r="H104" s="140">
        <v>1335</v>
      </c>
      <c r="I104" s="311" t="str">
        <f>IF($A104="","",IF(OR($B104="",$C104="",$D104="",$E104="",$F104=""),"Stammdaten fehlen",IF(AND($G104="",$H104=""),"Werte fehlen",IF($G104="","Monatsstunden fehlen",IF($H104="","Monatslohn fehlt","OK")))))</f>
        <v>OK</v>
      </c>
      <c r="J104" s="329" t="str">
        <f>IF($G104="","",IF(COUNTIFS($A:$A,$A104,$D:$D,$D104,$G:$G,$G104)&gt;1,"Doppelte Monatsstunden",""))</f>
        <v/>
      </c>
    </row>
    <row r="105" spans="1:10" ht="24" customHeight="1">
      <c r="A105" s="321" t="s">
        <v>319</v>
      </c>
      <c r="B105" s="310">
        <v>45778</v>
      </c>
      <c r="C105" s="310">
        <v>46142</v>
      </c>
      <c r="D105" s="311" t="s">
        <v>9</v>
      </c>
      <c r="E105" s="311" t="s">
        <v>6</v>
      </c>
      <c r="F105" s="311" t="s">
        <v>310</v>
      </c>
      <c r="G105" s="139">
        <v>86.5</v>
      </c>
      <c r="H105" s="140">
        <v>1112.5</v>
      </c>
      <c r="I105" s="311" t="str">
        <f>IF($A105="","",IF(OR($B105="",$C105="",$D105="",$E105="",$F105=""),"Stammdaten fehlen",IF(AND($G105="",$H105=""),"Werte fehlen",IF($G105="","Monatsstunden fehlen",IF($H105="","Monatslohn fehlt","OK")))))</f>
        <v>OK</v>
      </c>
      <c r="J105" s="329" t="str">
        <f>IF($G105="","",IF(COUNTIFS($A:$A,$A105,$D:$D,$D105,$G:$G,$G105)&gt;1,"Doppelte Monatsstunden",""))</f>
        <v/>
      </c>
    </row>
    <row r="106" spans="1:10" ht="24" customHeight="1">
      <c r="A106" s="321" t="s">
        <v>319</v>
      </c>
      <c r="B106" s="310">
        <v>45778</v>
      </c>
      <c r="C106" s="310">
        <v>46142</v>
      </c>
      <c r="D106" s="311" t="s">
        <v>9</v>
      </c>
      <c r="E106" s="311" t="s">
        <v>6</v>
      </c>
      <c r="F106" s="311" t="s">
        <v>310</v>
      </c>
      <c r="G106" s="139">
        <v>69.2</v>
      </c>
      <c r="H106" s="140">
        <v>890</v>
      </c>
      <c r="I106" s="311" t="str">
        <f>IF($A106="","",IF(OR($B106="",$C106="",$D106="",$E106="",$F106=""),"Stammdaten fehlen",IF(AND($G106="",$H106=""),"Werte fehlen",IF($G106="","Monatsstunden fehlen",IF($H106="","Monatslohn fehlt","OK")))))</f>
        <v>OK</v>
      </c>
      <c r="J106" s="329" t="str">
        <f>IF($G106="","",IF(COUNTIFS($A:$A,$A106,$D:$D,$D106,$G:$G,$G106)&gt;1,"Doppelte Monatsstunden",""))</f>
        <v/>
      </c>
    </row>
    <row r="107" spans="1:10" ht="24" customHeight="1">
      <c r="A107" s="321" t="s">
        <v>319</v>
      </c>
      <c r="B107" s="310">
        <v>45778</v>
      </c>
      <c r="C107" s="310">
        <v>46142</v>
      </c>
      <c r="D107" s="311" t="s">
        <v>9</v>
      </c>
      <c r="E107" s="311" t="s">
        <v>6</v>
      </c>
      <c r="F107" s="311" t="s">
        <v>310</v>
      </c>
      <c r="G107" s="139">
        <v>51.9</v>
      </c>
      <c r="H107" s="140">
        <v>667.5</v>
      </c>
      <c r="I107" s="311" t="str">
        <f>IF($A107="","",IF(OR($B107="",$C107="",$D107="",$E107="",$F107=""),"Stammdaten fehlen",IF(AND($G107="",$H107=""),"Werte fehlen",IF($G107="","Monatsstunden fehlen",IF($H107="","Monatslohn fehlt","OK")))))</f>
        <v>OK</v>
      </c>
      <c r="J107" s="329" t="str">
        <f>IF($G107="","",IF(COUNTIFS($A:$A,$A107,$D:$D,$D107,$G:$G,$G107)&gt;1,"Doppelte Monatsstunden",""))</f>
        <v/>
      </c>
    </row>
    <row r="108" spans="1:10" ht="24" customHeight="1">
      <c r="A108" s="321" t="s">
        <v>319</v>
      </c>
      <c r="B108" s="310">
        <v>45778</v>
      </c>
      <c r="C108" s="310">
        <v>46142</v>
      </c>
      <c r="D108" s="311" t="s">
        <v>9</v>
      </c>
      <c r="E108" s="311" t="s">
        <v>6</v>
      </c>
      <c r="F108" s="311" t="s">
        <v>310</v>
      </c>
      <c r="G108" s="139">
        <v>47.58</v>
      </c>
      <c r="H108" s="140">
        <v>611.88</v>
      </c>
      <c r="I108" s="311" t="str">
        <f>IF($A108="","",IF(OR($B108="",$C108="",$D108="",$E108="",$F108=""),"Stammdaten fehlen",IF(AND($G108="",$H108=""),"Werte fehlen",IF($G108="","Monatsstunden fehlen",IF($H108="","Monatslohn fehlt","OK")))))</f>
        <v>OK</v>
      </c>
      <c r="J108" s="329" t="str">
        <f>IF($G108="","",IF(COUNTIFS($A:$A,$A108,$D:$D,$D108,$G:$G,$G108)&gt;1,"Doppelte Monatsstunden",""))</f>
        <v/>
      </c>
    </row>
    <row r="109" spans="1:10" ht="24" customHeight="1">
      <c r="A109" s="321" t="s">
        <v>319</v>
      </c>
      <c r="B109" s="310">
        <v>45778</v>
      </c>
      <c r="C109" s="310">
        <v>46142</v>
      </c>
      <c r="D109" s="311" t="s">
        <v>9</v>
      </c>
      <c r="E109" s="311" t="s">
        <v>6</v>
      </c>
      <c r="F109" s="311" t="s">
        <v>310</v>
      </c>
      <c r="G109" s="139">
        <v>43.25</v>
      </c>
      <c r="H109" s="140">
        <v>556.25</v>
      </c>
      <c r="I109" s="311" t="str">
        <f>IF($A109="","",IF(OR($B109="",$C109="",$D109="",$E109="",$F109=""),"Stammdaten fehlen",IF(AND($G109="",$H109=""),"Werte fehlen",IF($G109="","Monatsstunden fehlen",IF($H109="","Monatslohn fehlt","OK")))))</f>
        <v>OK</v>
      </c>
      <c r="J109" s="329" t="str">
        <f>IF($G109="","",IF(COUNTIFS($A:$A,$A109,$D:$D,$D109,$G:$G,$G109)&gt;1,"Doppelte Monatsstunden",""))</f>
        <v/>
      </c>
    </row>
    <row r="110" spans="1:10" ht="24" customHeight="1">
      <c r="A110" s="321" t="s">
        <v>319</v>
      </c>
      <c r="B110" s="310">
        <v>45778</v>
      </c>
      <c r="C110" s="310">
        <v>46142</v>
      </c>
      <c r="D110" s="311" t="s">
        <v>9</v>
      </c>
      <c r="E110" s="311" t="s">
        <v>6</v>
      </c>
      <c r="F110" s="311" t="s">
        <v>310</v>
      </c>
      <c r="G110" s="139">
        <v>34.6</v>
      </c>
      <c r="H110" s="140">
        <v>445</v>
      </c>
      <c r="I110" s="311" t="str">
        <f>IF($A110="","",IF(OR($B110="",$C110="",$D110="",$E110="",$F110=""),"Stammdaten fehlen",IF(AND($G110="",$H110=""),"Werte fehlen",IF($G110="","Monatsstunden fehlen",IF($H110="","Monatslohn fehlt","OK")))))</f>
        <v>OK</v>
      </c>
      <c r="J110" s="329" t="str">
        <f>IF($G110="","",IF(COUNTIFS($A:$A,$A110,$D:$D,$D110,$G:$G,$G110)&gt;1,"Doppelte Monatsstunden",""))</f>
        <v/>
      </c>
    </row>
    <row r="111" spans="1:10" ht="24" customHeight="1" thickBot="1">
      <c r="A111" s="321" t="s">
        <v>319</v>
      </c>
      <c r="B111" s="310">
        <v>45778</v>
      </c>
      <c r="C111" s="310">
        <v>46142</v>
      </c>
      <c r="D111" s="311" t="s">
        <v>9</v>
      </c>
      <c r="E111" s="311" t="s">
        <v>6</v>
      </c>
      <c r="F111" s="311" t="s">
        <v>310</v>
      </c>
      <c r="G111" s="139">
        <v>32.01</v>
      </c>
      <c r="H111" s="140">
        <v>411.63</v>
      </c>
      <c r="I111" s="311" t="str">
        <f>IF($A111="","",IF(OR($B111="",$C111="",$D111="",$E111="",$F111=""),"Stammdaten fehlen",IF(AND($G111="",$H111=""),"Werte fehlen",IF($G111="","Monatsstunden fehlen",IF($H111="","Monatslohn fehlt","OK")))))</f>
        <v>OK</v>
      </c>
      <c r="J111" s="329" t="str">
        <f>IF($G111="","",IF(COUNTIFS($A:$A,$A111,$D:$D,$D111,$G:$G,$G111)&gt;1,"Doppelte Monatsstunden",""))</f>
        <v/>
      </c>
    </row>
    <row r="112" spans="1:10" ht="24" customHeight="1">
      <c r="A112" s="322" t="s">
        <v>319</v>
      </c>
      <c r="B112" s="312">
        <v>45778</v>
      </c>
      <c r="C112" s="312">
        <v>46142</v>
      </c>
      <c r="D112" s="313" t="s">
        <v>318</v>
      </c>
      <c r="E112" s="313" t="s">
        <v>10</v>
      </c>
      <c r="F112" s="313" t="s">
        <v>307</v>
      </c>
      <c r="G112" s="141">
        <v>173</v>
      </c>
      <c r="H112" s="142">
        <v>2300</v>
      </c>
      <c r="I112" s="313" t="str">
        <f>IF($A112="","",IF(OR($B112="",$C112="",$D112="",$E112="",$F112=""),"Stammdaten fehlen",IF(AND($G112="",$H112=""),"Werte fehlen",IF($G112="","Monatsstunden fehlen",IF($H112="","Monatslohn fehlt","OK")))))</f>
        <v>OK</v>
      </c>
      <c r="J112" s="330" t="str">
        <f>IF($G112="","",IF(COUNTIFS($A:$A,$A112,$D:$D,$D112,$G:$G,$G112)&gt;1,"Doppelte Monatsstunden",""))</f>
        <v/>
      </c>
    </row>
    <row r="113" spans="1:10" ht="24" customHeight="1">
      <c r="A113" s="323" t="s">
        <v>319</v>
      </c>
      <c r="B113" s="314">
        <v>45778</v>
      </c>
      <c r="C113" s="314">
        <v>46142</v>
      </c>
      <c r="D113" s="315" t="s">
        <v>318</v>
      </c>
      <c r="E113" s="315" t="s">
        <v>10</v>
      </c>
      <c r="F113" s="315" t="s">
        <v>307</v>
      </c>
      <c r="G113" s="143">
        <v>151.38</v>
      </c>
      <c r="H113" s="144">
        <v>2012.5</v>
      </c>
      <c r="I113" s="315" t="str">
        <f>IF($A113="","",IF(OR($B113="",$C113="",$D113="",$E113="",$F113=""),"Stammdaten fehlen",IF(AND($G113="",$H113=""),"Werte fehlen",IF($G113="","Monatsstunden fehlen",IF($H113="","Monatslohn fehlt","OK")))))</f>
        <v>OK</v>
      </c>
      <c r="J113" s="331" t="str">
        <f>IF($G113="","",IF(COUNTIFS($A:$A,$A113,$D:$D,$D113,$G:$G,$G113)&gt;1,"Doppelte Monatsstunden",""))</f>
        <v/>
      </c>
    </row>
    <row r="114" spans="1:10" ht="24" customHeight="1">
      <c r="A114" s="323" t="s">
        <v>319</v>
      </c>
      <c r="B114" s="314">
        <v>45778</v>
      </c>
      <c r="C114" s="314">
        <v>46142</v>
      </c>
      <c r="D114" s="315" t="s">
        <v>318</v>
      </c>
      <c r="E114" s="315" t="s">
        <v>10</v>
      </c>
      <c r="F114" s="315" t="s">
        <v>307</v>
      </c>
      <c r="G114" s="143">
        <v>138.4</v>
      </c>
      <c r="H114" s="144">
        <v>1840</v>
      </c>
      <c r="I114" s="315" t="str">
        <f>IF($A114="","",IF(OR($B114="",$C114="",$D114="",$E114="",$F114=""),"Stammdaten fehlen",IF(AND($G114="",$H114=""),"Werte fehlen",IF($G114="","Monatsstunden fehlen",IF($H114="","Monatslohn fehlt","OK")))))</f>
        <v>OK</v>
      </c>
      <c r="J114" s="331" t="str">
        <f>IF($G114="","",IF(COUNTIFS($A:$A,$A114,$D:$D,$D114,$G:$G,$G114)&gt;1,"Doppelte Monatsstunden",""))</f>
        <v/>
      </c>
    </row>
    <row r="115" spans="1:10" ht="24" customHeight="1">
      <c r="A115" s="323" t="s">
        <v>319</v>
      </c>
      <c r="B115" s="314">
        <v>45778</v>
      </c>
      <c r="C115" s="314">
        <v>46142</v>
      </c>
      <c r="D115" s="315" t="s">
        <v>318</v>
      </c>
      <c r="E115" s="315" t="s">
        <v>10</v>
      </c>
      <c r="F115" s="315" t="s">
        <v>307</v>
      </c>
      <c r="G115" s="143">
        <v>129.75</v>
      </c>
      <c r="H115" s="144">
        <v>1725</v>
      </c>
      <c r="I115" s="315" t="str">
        <f>IF($A115="","",IF(OR($B115="",$C115="",$D115="",$E115="",$F115=""),"Stammdaten fehlen",IF(AND($G115="",$H115=""),"Werte fehlen",IF($G115="","Monatsstunden fehlen",IF($H115="","Monatslohn fehlt","OK")))))</f>
        <v>OK</v>
      </c>
      <c r="J115" s="331" t="str">
        <f>IF($G115="","",IF(COUNTIFS($A:$A,$A115,$D:$D,$D115,$G:$G,$G115)&gt;1,"Doppelte Monatsstunden",""))</f>
        <v/>
      </c>
    </row>
    <row r="116" spans="1:10" ht="24" customHeight="1">
      <c r="A116" s="323" t="s">
        <v>319</v>
      </c>
      <c r="B116" s="314">
        <v>45778</v>
      </c>
      <c r="C116" s="314">
        <v>46142</v>
      </c>
      <c r="D116" s="315" t="s">
        <v>318</v>
      </c>
      <c r="E116" s="315" t="s">
        <v>10</v>
      </c>
      <c r="F116" s="315" t="s">
        <v>307</v>
      </c>
      <c r="G116" s="143">
        <v>108.13</v>
      </c>
      <c r="H116" s="144">
        <v>1437.5</v>
      </c>
      <c r="I116" s="315" t="str">
        <f>IF($A116="","",IF(OR($B116="",$C116="",$D116="",$E116="",$F116=""),"Stammdaten fehlen",IF(AND($G116="",$H116=""),"Werte fehlen",IF($G116="","Monatsstunden fehlen",IF($H116="","Monatslohn fehlt","OK")))))</f>
        <v>OK</v>
      </c>
      <c r="J116" s="331" t="str">
        <f>IF($G116="","",IF(COUNTIFS($A:$A,$A116,$D:$D,$D116,$G:$G,$G116)&gt;1,"Doppelte Monatsstunden",""))</f>
        <v/>
      </c>
    </row>
    <row r="117" spans="1:10" ht="24" customHeight="1">
      <c r="A117" s="323" t="s">
        <v>319</v>
      </c>
      <c r="B117" s="314">
        <v>45778</v>
      </c>
      <c r="C117" s="314">
        <v>46142</v>
      </c>
      <c r="D117" s="315" t="s">
        <v>318</v>
      </c>
      <c r="E117" s="315" t="s">
        <v>10</v>
      </c>
      <c r="F117" s="315" t="s">
        <v>307</v>
      </c>
      <c r="G117" s="143">
        <v>103.8</v>
      </c>
      <c r="H117" s="144">
        <v>1380</v>
      </c>
      <c r="I117" s="315" t="str">
        <f>IF($A117="","",IF(OR($B117="",$C117="",$D117="",$E117="",$F117=""),"Stammdaten fehlen",IF(AND($G117="",$H117=""),"Werte fehlen",IF($G117="","Monatsstunden fehlen",IF($H117="","Monatslohn fehlt","OK")))))</f>
        <v>OK</v>
      </c>
      <c r="J117" s="331" t="str">
        <f>IF($G117="","",IF(COUNTIFS($A:$A,$A117,$D:$D,$D117,$G:$G,$G117)&gt;1,"Doppelte Monatsstunden",""))</f>
        <v/>
      </c>
    </row>
    <row r="118" spans="1:10" ht="24" customHeight="1">
      <c r="A118" s="323" t="s">
        <v>319</v>
      </c>
      <c r="B118" s="314">
        <v>45778</v>
      </c>
      <c r="C118" s="314">
        <v>46142</v>
      </c>
      <c r="D118" s="315" t="s">
        <v>318</v>
      </c>
      <c r="E118" s="315" t="s">
        <v>10</v>
      </c>
      <c r="F118" s="315" t="s">
        <v>307</v>
      </c>
      <c r="G118" s="143">
        <v>86.5</v>
      </c>
      <c r="H118" s="144">
        <v>1150</v>
      </c>
      <c r="I118" s="315" t="str">
        <f>IF($A118="","",IF(OR($B118="",$C118="",$D118="",$E118="",$F118=""),"Stammdaten fehlen",IF(AND($G118="",$H118=""),"Werte fehlen",IF($G118="","Monatsstunden fehlen",IF($H118="","Monatslohn fehlt","OK")))))</f>
        <v>OK</v>
      </c>
      <c r="J118" s="331" t="str">
        <f>IF($G118="","",IF(COUNTIFS($A:$A,$A118,$D:$D,$D118,$G:$G,$G118)&gt;1,"Doppelte Monatsstunden",""))</f>
        <v/>
      </c>
    </row>
    <row r="119" spans="1:10" ht="24" customHeight="1">
      <c r="A119" s="323" t="s">
        <v>319</v>
      </c>
      <c r="B119" s="314">
        <v>45778</v>
      </c>
      <c r="C119" s="314">
        <v>46142</v>
      </c>
      <c r="D119" s="315" t="s">
        <v>318</v>
      </c>
      <c r="E119" s="315" t="s">
        <v>10</v>
      </c>
      <c r="F119" s="315" t="s">
        <v>307</v>
      </c>
      <c r="G119" s="143">
        <v>69.2</v>
      </c>
      <c r="H119" s="144">
        <v>920</v>
      </c>
      <c r="I119" s="315" t="str">
        <f>IF($A119="","",IF(OR($B119="",$C119="",$D119="",$E119="",$F119=""),"Stammdaten fehlen",IF(AND($G119="",$H119=""),"Werte fehlen",IF($G119="","Monatsstunden fehlen",IF($H119="","Monatslohn fehlt","OK")))))</f>
        <v>OK</v>
      </c>
      <c r="J119" s="331" t="str">
        <f>IF($G119="","",IF(COUNTIFS($A:$A,$A119,$D:$D,$D119,$G:$G,$G119)&gt;1,"Doppelte Monatsstunden",""))</f>
        <v/>
      </c>
    </row>
    <row r="120" spans="1:10" ht="24" customHeight="1">
      <c r="A120" s="323" t="s">
        <v>319</v>
      </c>
      <c r="B120" s="314">
        <v>45778</v>
      </c>
      <c r="C120" s="314">
        <v>46142</v>
      </c>
      <c r="D120" s="315" t="s">
        <v>318</v>
      </c>
      <c r="E120" s="315" t="s">
        <v>10</v>
      </c>
      <c r="F120" s="315" t="s">
        <v>307</v>
      </c>
      <c r="G120" s="143">
        <v>51.9</v>
      </c>
      <c r="H120" s="144">
        <v>690</v>
      </c>
      <c r="I120" s="315" t="str">
        <f>IF($A120="","",IF(OR($B120="",$C120="",$D120="",$E120="",$F120=""),"Stammdaten fehlen",IF(AND($G120="",$H120=""),"Werte fehlen",IF($G120="","Monatsstunden fehlen",IF($H120="","Monatslohn fehlt","OK")))))</f>
        <v>OK</v>
      </c>
      <c r="J120" s="331" t="str">
        <f>IF($G120="","",IF(COUNTIFS($A:$A,$A120,$D:$D,$D120,$G:$G,$G120)&gt;1,"Doppelte Monatsstunden",""))</f>
        <v/>
      </c>
    </row>
    <row r="121" spans="1:10" ht="24" customHeight="1">
      <c r="A121" s="323" t="s">
        <v>319</v>
      </c>
      <c r="B121" s="314">
        <v>45778</v>
      </c>
      <c r="C121" s="314">
        <v>46142</v>
      </c>
      <c r="D121" s="315" t="s">
        <v>318</v>
      </c>
      <c r="E121" s="315" t="s">
        <v>10</v>
      </c>
      <c r="F121" s="315" t="s">
        <v>307</v>
      </c>
      <c r="G121" s="143">
        <v>47.58</v>
      </c>
      <c r="H121" s="144">
        <v>632.5</v>
      </c>
      <c r="I121" s="315" t="str">
        <f>IF($A121="","",IF(OR($B121="",$C121="",$D121="",$E121="",$F121=""),"Stammdaten fehlen",IF(AND($G121="",$H121=""),"Werte fehlen",IF($G121="","Monatsstunden fehlen",IF($H121="","Monatslohn fehlt","OK")))))</f>
        <v>OK</v>
      </c>
      <c r="J121" s="331" t="str">
        <f>IF($G121="","",IF(COUNTIFS($A:$A,$A121,$D:$D,$D121,$G:$G,$G121)&gt;1,"Doppelte Monatsstunden",""))</f>
        <v/>
      </c>
    </row>
    <row r="122" spans="1:10" ht="24" customHeight="1">
      <c r="A122" s="323" t="s">
        <v>319</v>
      </c>
      <c r="B122" s="314">
        <v>45778</v>
      </c>
      <c r="C122" s="314">
        <v>46142</v>
      </c>
      <c r="D122" s="315" t="s">
        <v>318</v>
      </c>
      <c r="E122" s="315" t="s">
        <v>10</v>
      </c>
      <c r="F122" s="315" t="s">
        <v>307</v>
      </c>
      <c r="G122" s="143">
        <v>43.25</v>
      </c>
      <c r="H122" s="144">
        <v>575</v>
      </c>
      <c r="I122" s="315" t="str">
        <f>IF($A122="","",IF(OR($B122="",$C122="",$D122="",$E122="",$F122=""),"Stammdaten fehlen",IF(AND($G122="",$H122=""),"Werte fehlen",IF($G122="","Monatsstunden fehlen",IF($H122="","Monatslohn fehlt","OK")))))</f>
        <v>OK</v>
      </c>
      <c r="J122" s="331" t="str">
        <f>IF($G122="","",IF(COUNTIFS($A:$A,$A122,$D:$D,$D122,$G:$G,$G122)&gt;1,"Doppelte Monatsstunden",""))</f>
        <v/>
      </c>
    </row>
    <row r="123" spans="1:10" ht="24" customHeight="1">
      <c r="A123" s="323" t="s">
        <v>319</v>
      </c>
      <c r="B123" s="314">
        <v>45778</v>
      </c>
      <c r="C123" s="314">
        <v>46142</v>
      </c>
      <c r="D123" s="315" t="s">
        <v>318</v>
      </c>
      <c r="E123" s="315" t="s">
        <v>10</v>
      </c>
      <c r="F123" s="315" t="s">
        <v>307</v>
      </c>
      <c r="G123" s="143">
        <v>34.6</v>
      </c>
      <c r="H123" s="144">
        <v>460</v>
      </c>
      <c r="I123" s="315" t="str">
        <f>IF($A123="","",IF(OR($B123="",$C123="",$D123="",$E123="",$F123=""),"Stammdaten fehlen",IF(AND($G123="",$H123=""),"Werte fehlen",IF($G123="","Monatsstunden fehlen",IF($H123="","Monatslohn fehlt","OK")))))</f>
        <v>OK</v>
      </c>
      <c r="J123" s="331" t="str">
        <f>IF($G123="","",IF(COUNTIFS($A:$A,$A123,$D:$D,$D123,$G:$G,$G123)&gt;1,"Doppelte Monatsstunden",""))</f>
        <v/>
      </c>
    </row>
    <row r="124" spans="1:10" ht="24" customHeight="1" thickBot="1">
      <c r="A124" s="323" t="s">
        <v>319</v>
      </c>
      <c r="B124" s="314">
        <v>45778</v>
      </c>
      <c r="C124" s="314">
        <v>46142</v>
      </c>
      <c r="D124" s="315" t="s">
        <v>318</v>
      </c>
      <c r="E124" s="315" t="s">
        <v>10</v>
      </c>
      <c r="F124" s="315" t="s">
        <v>307</v>
      </c>
      <c r="G124" s="143">
        <v>32.01</v>
      </c>
      <c r="H124" s="144">
        <v>425.5</v>
      </c>
      <c r="I124" s="315" t="str">
        <f>IF($A124="","",IF(OR($B124="",$C124="",$D124="",$E124="",$F124=""),"Stammdaten fehlen",IF(AND($G124="",$H124=""),"Werte fehlen",IF($G124="","Monatsstunden fehlen",IF($H124="","Monatslohn fehlt","OK")))))</f>
        <v>OK</v>
      </c>
      <c r="J124" s="331" t="str">
        <f>IF($G124="","",IF(COUNTIFS($A:$A,$A124,$D:$D,$D124,$G:$G,$G124)&gt;1,"Doppelte Monatsstunden",""))</f>
        <v/>
      </c>
    </row>
    <row r="125" spans="1:10" ht="24" customHeight="1">
      <c r="A125" s="322" t="s">
        <v>319</v>
      </c>
      <c r="B125" s="312">
        <v>45778</v>
      </c>
      <c r="C125" s="312">
        <v>46142</v>
      </c>
      <c r="D125" s="313" t="s">
        <v>11</v>
      </c>
      <c r="E125" s="313" t="s">
        <v>10</v>
      </c>
      <c r="F125" s="313" t="s">
        <v>308</v>
      </c>
      <c r="G125" s="141">
        <v>173</v>
      </c>
      <c r="H125" s="142">
        <v>2300</v>
      </c>
      <c r="I125" s="313" t="str">
        <f>IF($A125="","",IF(OR($B125="",$C125="",$D125="",$E125="",$F125=""),"Stammdaten fehlen",IF(AND($G125="",$H125=""),"Werte fehlen",IF($G125="","Monatsstunden fehlen",IF($H125="","Monatslohn fehlt","OK")))))</f>
        <v>OK</v>
      </c>
      <c r="J125" s="330" t="str">
        <f>IF($G125="","",IF(COUNTIFS($A:$A,$A125,$D:$D,$D125,$G:$G,$G125)&gt;1,"Doppelte Monatsstunden",""))</f>
        <v/>
      </c>
    </row>
    <row r="126" spans="1:10" ht="24" customHeight="1">
      <c r="A126" s="323" t="s">
        <v>319</v>
      </c>
      <c r="B126" s="314">
        <v>45778</v>
      </c>
      <c r="C126" s="314">
        <v>46142</v>
      </c>
      <c r="D126" s="315" t="s">
        <v>11</v>
      </c>
      <c r="E126" s="315" t="s">
        <v>10</v>
      </c>
      <c r="F126" s="315" t="s">
        <v>308</v>
      </c>
      <c r="G126" s="143">
        <v>151.38</v>
      </c>
      <c r="H126" s="144">
        <v>2012.5</v>
      </c>
      <c r="I126" s="315" t="str">
        <f>IF($A126="","",IF(OR($B126="",$C126="",$D126="",$E126="",$F126=""),"Stammdaten fehlen",IF(AND($G126="",$H126=""),"Werte fehlen",IF($G126="","Monatsstunden fehlen",IF($H126="","Monatslohn fehlt","OK")))))</f>
        <v>OK</v>
      </c>
      <c r="J126" s="331" t="str">
        <f>IF($G126="","",IF(COUNTIFS($A:$A,$A126,$D:$D,$D126,$G:$G,$G126)&gt;1,"Doppelte Monatsstunden",""))</f>
        <v/>
      </c>
    </row>
    <row r="127" spans="1:10" ht="24" customHeight="1">
      <c r="A127" s="323" t="s">
        <v>319</v>
      </c>
      <c r="B127" s="314">
        <v>45778</v>
      </c>
      <c r="C127" s="314">
        <v>46142</v>
      </c>
      <c r="D127" s="315" t="s">
        <v>11</v>
      </c>
      <c r="E127" s="315" t="s">
        <v>10</v>
      </c>
      <c r="F127" s="315" t="s">
        <v>308</v>
      </c>
      <c r="G127" s="143">
        <v>138.4</v>
      </c>
      <c r="H127" s="144">
        <v>1840</v>
      </c>
      <c r="I127" s="315" t="str">
        <f>IF($A127="","",IF(OR($B127="",$C127="",$D127="",$E127="",$F127=""),"Stammdaten fehlen",IF(AND($G127="",$H127=""),"Werte fehlen",IF($G127="","Monatsstunden fehlen",IF($H127="","Monatslohn fehlt","OK")))))</f>
        <v>OK</v>
      </c>
      <c r="J127" s="331" t="str">
        <f>IF($G127="","",IF(COUNTIFS($A:$A,$A127,$D:$D,$D127,$G:$G,$G127)&gt;1,"Doppelte Monatsstunden",""))</f>
        <v/>
      </c>
    </row>
    <row r="128" spans="1:10" ht="24" customHeight="1">
      <c r="A128" s="323" t="s">
        <v>319</v>
      </c>
      <c r="B128" s="314">
        <v>45778</v>
      </c>
      <c r="C128" s="314">
        <v>46142</v>
      </c>
      <c r="D128" s="315" t="s">
        <v>11</v>
      </c>
      <c r="E128" s="315" t="s">
        <v>10</v>
      </c>
      <c r="F128" s="315" t="s">
        <v>308</v>
      </c>
      <c r="G128" s="143">
        <v>129.75</v>
      </c>
      <c r="H128" s="144">
        <v>1725</v>
      </c>
      <c r="I128" s="315" t="str">
        <f>IF($A128="","",IF(OR($B128="",$C128="",$D128="",$E128="",$F128=""),"Stammdaten fehlen",IF(AND($G128="",$H128=""),"Werte fehlen",IF($G128="","Monatsstunden fehlen",IF($H128="","Monatslohn fehlt","OK")))))</f>
        <v>OK</v>
      </c>
      <c r="J128" s="331" t="str">
        <f>IF($G128="","",IF(COUNTIFS($A:$A,$A128,$D:$D,$D128,$G:$G,$G128)&gt;1,"Doppelte Monatsstunden",""))</f>
        <v/>
      </c>
    </row>
    <row r="129" spans="1:10" ht="24" customHeight="1">
      <c r="A129" s="323" t="s">
        <v>319</v>
      </c>
      <c r="B129" s="314">
        <v>45778</v>
      </c>
      <c r="C129" s="314">
        <v>46142</v>
      </c>
      <c r="D129" s="315" t="s">
        <v>11</v>
      </c>
      <c r="E129" s="315" t="s">
        <v>10</v>
      </c>
      <c r="F129" s="315" t="s">
        <v>308</v>
      </c>
      <c r="G129" s="143">
        <v>108.13</v>
      </c>
      <c r="H129" s="144">
        <v>1437.5</v>
      </c>
      <c r="I129" s="315" t="str">
        <f>IF($A129="","",IF(OR($B129="",$C129="",$D129="",$E129="",$F129=""),"Stammdaten fehlen",IF(AND($G129="",$H129=""),"Werte fehlen",IF($G129="","Monatsstunden fehlen",IF($H129="","Monatslohn fehlt","OK")))))</f>
        <v>OK</v>
      </c>
      <c r="J129" s="331" t="str">
        <f>IF($G129="","",IF(COUNTIFS($A:$A,$A129,$D:$D,$D129,$G:$G,$G129)&gt;1,"Doppelte Monatsstunden",""))</f>
        <v/>
      </c>
    </row>
    <row r="130" spans="1:10" ht="24" customHeight="1">
      <c r="A130" s="323" t="s">
        <v>319</v>
      </c>
      <c r="B130" s="314">
        <v>45778</v>
      </c>
      <c r="C130" s="314">
        <v>46142</v>
      </c>
      <c r="D130" s="315" t="s">
        <v>11</v>
      </c>
      <c r="E130" s="315" t="s">
        <v>10</v>
      </c>
      <c r="F130" s="315" t="s">
        <v>308</v>
      </c>
      <c r="G130" s="143">
        <v>103.8</v>
      </c>
      <c r="H130" s="144">
        <v>1380</v>
      </c>
      <c r="I130" s="315" t="str">
        <f>IF($A130="","",IF(OR($B130="",$C130="",$D130="",$E130="",$F130=""),"Stammdaten fehlen",IF(AND($G130="",$H130=""),"Werte fehlen",IF($G130="","Monatsstunden fehlen",IF($H130="","Monatslohn fehlt","OK")))))</f>
        <v>OK</v>
      </c>
      <c r="J130" s="331" t="str">
        <f>IF($G130="","",IF(COUNTIFS($A:$A,$A130,$D:$D,$D130,$G:$G,$G130)&gt;1,"Doppelte Monatsstunden",""))</f>
        <v/>
      </c>
    </row>
    <row r="131" spans="1:10" ht="24" customHeight="1">
      <c r="A131" s="323" t="s">
        <v>319</v>
      </c>
      <c r="B131" s="314">
        <v>45778</v>
      </c>
      <c r="C131" s="314">
        <v>46142</v>
      </c>
      <c r="D131" s="315" t="s">
        <v>11</v>
      </c>
      <c r="E131" s="315" t="s">
        <v>10</v>
      </c>
      <c r="F131" s="315" t="s">
        <v>308</v>
      </c>
      <c r="G131" s="143">
        <v>86.5</v>
      </c>
      <c r="H131" s="144">
        <v>1150</v>
      </c>
      <c r="I131" s="315" t="str">
        <f>IF($A131="","",IF(OR($B131="",$C131="",$D131="",$E131="",$F131=""),"Stammdaten fehlen",IF(AND($G131="",$H131=""),"Werte fehlen",IF($G131="","Monatsstunden fehlen",IF($H131="","Monatslohn fehlt","OK")))))</f>
        <v>OK</v>
      </c>
      <c r="J131" s="331" t="str">
        <f>IF($G131="","",IF(COUNTIFS($A:$A,$A131,$D:$D,$D131,$G:$G,$G131)&gt;1,"Doppelte Monatsstunden",""))</f>
        <v/>
      </c>
    </row>
    <row r="132" spans="1:10" ht="24" customHeight="1">
      <c r="A132" s="323" t="s">
        <v>319</v>
      </c>
      <c r="B132" s="314">
        <v>45778</v>
      </c>
      <c r="C132" s="314">
        <v>46142</v>
      </c>
      <c r="D132" s="315" t="s">
        <v>11</v>
      </c>
      <c r="E132" s="315" t="s">
        <v>10</v>
      </c>
      <c r="F132" s="315" t="s">
        <v>308</v>
      </c>
      <c r="G132" s="143">
        <v>69.2</v>
      </c>
      <c r="H132" s="144">
        <v>920</v>
      </c>
      <c r="I132" s="315" t="str">
        <f>IF($A132="","",IF(OR($B132="",$C132="",$D132="",$E132="",$F132=""),"Stammdaten fehlen",IF(AND($G132="",$H132=""),"Werte fehlen",IF($G132="","Monatsstunden fehlen",IF($H132="","Monatslohn fehlt","OK")))))</f>
        <v>OK</v>
      </c>
      <c r="J132" s="331" t="str">
        <f>IF($G132="","",IF(COUNTIFS($A:$A,$A132,$D:$D,$D132,$G:$G,$G132)&gt;1,"Doppelte Monatsstunden",""))</f>
        <v/>
      </c>
    </row>
    <row r="133" spans="1:10" ht="24" customHeight="1">
      <c r="A133" s="323" t="s">
        <v>319</v>
      </c>
      <c r="B133" s="314">
        <v>45778</v>
      </c>
      <c r="C133" s="314">
        <v>46142</v>
      </c>
      <c r="D133" s="315" t="s">
        <v>11</v>
      </c>
      <c r="E133" s="315" t="s">
        <v>10</v>
      </c>
      <c r="F133" s="315" t="s">
        <v>308</v>
      </c>
      <c r="G133" s="143">
        <v>51.9</v>
      </c>
      <c r="H133" s="144">
        <v>690</v>
      </c>
      <c r="I133" s="315" t="str">
        <f>IF($A133="","",IF(OR($B133="",$C133="",$D133="",$E133="",$F133=""),"Stammdaten fehlen",IF(AND($G133="",$H133=""),"Werte fehlen",IF($G133="","Monatsstunden fehlen",IF($H133="","Monatslohn fehlt","OK")))))</f>
        <v>OK</v>
      </c>
      <c r="J133" s="331" t="str">
        <f>IF($G133="","",IF(COUNTIFS($A:$A,$A133,$D:$D,$D133,$G:$G,$G133)&gt;1,"Doppelte Monatsstunden",""))</f>
        <v/>
      </c>
    </row>
    <row r="134" spans="1:10" ht="24" customHeight="1">
      <c r="A134" s="323" t="s">
        <v>319</v>
      </c>
      <c r="B134" s="314">
        <v>45778</v>
      </c>
      <c r="C134" s="314">
        <v>46142</v>
      </c>
      <c r="D134" s="315" t="s">
        <v>11</v>
      </c>
      <c r="E134" s="315" t="s">
        <v>10</v>
      </c>
      <c r="F134" s="315" t="s">
        <v>308</v>
      </c>
      <c r="G134" s="143">
        <v>47.58</v>
      </c>
      <c r="H134" s="144">
        <v>632.5</v>
      </c>
      <c r="I134" s="315" t="str">
        <f>IF($A134="","",IF(OR($B134="",$C134="",$D134="",$E134="",$F134=""),"Stammdaten fehlen",IF(AND($G134="",$H134=""),"Werte fehlen",IF($G134="","Monatsstunden fehlen",IF($H134="","Monatslohn fehlt","OK")))))</f>
        <v>OK</v>
      </c>
      <c r="J134" s="331" t="str">
        <f>IF($G134="","",IF(COUNTIFS($A:$A,$A134,$D:$D,$D134,$G:$G,$G134)&gt;1,"Doppelte Monatsstunden",""))</f>
        <v/>
      </c>
    </row>
    <row r="135" spans="1:10" ht="24" customHeight="1">
      <c r="A135" s="323" t="s">
        <v>319</v>
      </c>
      <c r="B135" s="314">
        <v>45778</v>
      </c>
      <c r="C135" s="314">
        <v>46142</v>
      </c>
      <c r="D135" s="315" t="s">
        <v>11</v>
      </c>
      <c r="E135" s="315" t="s">
        <v>10</v>
      </c>
      <c r="F135" s="315" t="s">
        <v>308</v>
      </c>
      <c r="G135" s="143">
        <v>43.25</v>
      </c>
      <c r="H135" s="144">
        <v>575</v>
      </c>
      <c r="I135" s="315" t="str">
        <f>IF($A135="","",IF(OR($B135="",$C135="",$D135="",$E135="",$F135=""),"Stammdaten fehlen",IF(AND($G135="",$H135=""),"Werte fehlen",IF($G135="","Monatsstunden fehlen",IF($H135="","Monatslohn fehlt","OK")))))</f>
        <v>OK</v>
      </c>
      <c r="J135" s="331" t="str">
        <f>IF($G135="","",IF(COUNTIFS($A:$A,$A135,$D:$D,$D135,$G:$G,$G135)&gt;1,"Doppelte Monatsstunden",""))</f>
        <v/>
      </c>
    </row>
    <row r="136" spans="1:10" ht="24" customHeight="1">
      <c r="A136" s="323" t="s">
        <v>319</v>
      </c>
      <c r="B136" s="314">
        <v>45778</v>
      </c>
      <c r="C136" s="314">
        <v>46142</v>
      </c>
      <c r="D136" s="315" t="s">
        <v>11</v>
      </c>
      <c r="E136" s="315" t="s">
        <v>10</v>
      </c>
      <c r="F136" s="315" t="s">
        <v>308</v>
      </c>
      <c r="G136" s="143">
        <v>34.6</v>
      </c>
      <c r="H136" s="144">
        <v>460</v>
      </c>
      <c r="I136" s="315" t="str">
        <f>IF($A136="","",IF(OR($B136="",$C136="",$D136="",$E136="",$F136=""),"Stammdaten fehlen",IF(AND($G136="",$H136=""),"Werte fehlen",IF($G136="","Monatsstunden fehlen",IF($H136="","Monatslohn fehlt","OK")))))</f>
        <v>OK</v>
      </c>
      <c r="J136" s="331" t="str">
        <f>IF($G136="","",IF(COUNTIFS($A:$A,$A136,$D:$D,$D136,$G:$G,$G136)&gt;1,"Doppelte Monatsstunden",""))</f>
        <v/>
      </c>
    </row>
    <row r="137" spans="1:10" ht="24" customHeight="1" thickBot="1">
      <c r="A137" s="323" t="s">
        <v>319</v>
      </c>
      <c r="B137" s="314">
        <v>45778</v>
      </c>
      <c r="C137" s="314">
        <v>46142</v>
      </c>
      <c r="D137" s="315" t="s">
        <v>11</v>
      </c>
      <c r="E137" s="315" t="s">
        <v>10</v>
      </c>
      <c r="F137" s="315" t="s">
        <v>308</v>
      </c>
      <c r="G137" s="143">
        <v>32.01</v>
      </c>
      <c r="H137" s="144">
        <v>425.5</v>
      </c>
      <c r="I137" s="315" t="str">
        <f>IF($A137="","",IF(OR($B137="",$C137="",$D137="",$E137="",$F137=""),"Stammdaten fehlen",IF(AND($G137="",$H137=""),"Werte fehlen",IF($G137="","Monatsstunden fehlen",IF($H137="","Monatslohn fehlt","OK")))))</f>
        <v>OK</v>
      </c>
      <c r="J137" s="331" t="str">
        <f>IF($G137="","",IF(COUNTIFS($A:$A,$A137,$D:$D,$D137,$G:$G,$G137)&gt;1,"Doppelte Monatsstunden",""))</f>
        <v/>
      </c>
    </row>
    <row r="138" spans="1:10" ht="24" customHeight="1">
      <c r="A138" s="322" t="s">
        <v>319</v>
      </c>
      <c r="B138" s="312">
        <v>45778</v>
      </c>
      <c r="C138" s="312">
        <v>46142</v>
      </c>
      <c r="D138" s="313" t="s">
        <v>12</v>
      </c>
      <c r="E138" s="313" t="s">
        <v>10</v>
      </c>
      <c r="F138" s="313" t="s">
        <v>309</v>
      </c>
      <c r="G138" s="141">
        <v>173</v>
      </c>
      <c r="H138" s="142">
        <v>2300</v>
      </c>
      <c r="I138" s="313" t="str">
        <f>IF($A138="","",IF(OR($B138="",$C138="",$D138="",$E138="",$F138=""),"Stammdaten fehlen",IF(AND($G138="",$H138=""),"Werte fehlen",IF($G138="","Monatsstunden fehlen",IF($H138="","Monatslohn fehlt","OK")))))</f>
        <v>OK</v>
      </c>
      <c r="J138" s="330" t="str">
        <f>IF($G138="","",IF(COUNTIFS($A:$A,$A138,$D:$D,$D138,$G:$G,$G138)&gt;1,"Doppelte Monatsstunden",""))</f>
        <v/>
      </c>
    </row>
    <row r="139" spans="1:10" ht="24" customHeight="1">
      <c r="A139" s="323" t="s">
        <v>319</v>
      </c>
      <c r="B139" s="314">
        <v>45778</v>
      </c>
      <c r="C139" s="314">
        <v>46142</v>
      </c>
      <c r="D139" s="315" t="s">
        <v>12</v>
      </c>
      <c r="E139" s="315" t="s">
        <v>10</v>
      </c>
      <c r="F139" s="315" t="s">
        <v>309</v>
      </c>
      <c r="G139" s="143">
        <v>151.38</v>
      </c>
      <c r="H139" s="144">
        <v>2012.5</v>
      </c>
      <c r="I139" s="315" t="str">
        <f>IF($A139="","",IF(OR($B139="",$C139="",$D139="",$E139="",$F139=""),"Stammdaten fehlen",IF(AND($G139="",$H139=""),"Werte fehlen",IF($G139="","Monatsstunden fehlen",IF($H139="","Monatslohn fehlt","OK")))))</f>
        <v>OK</v>
      </c>
      <c r="J139" s="331" t="str">
        <f>IF($G139="","",IF(COUNTIFS($A:$A,$A139,$D:$D,$D139,$G:$G,$G139)&gt;1,"Doppelte Monatsstunden",""))</f>
        <v/>
      </c>
    </row>
    <row r="140" spans="1:10" ht="24" customHeight="1">
      <c r="A140" s="323" t="s">
        <v>319</v>
      </c>
      <c r="B140" s="314">
        <v>45778</v>
      </c>
      <c r="C140" s="314">
        <v>46142</v>
      </c>
      <c r="D140" s="315" t="s">
        <v>12</v>
      </c>
      <c r="E140" s="315" t="s">
        <v>10</v>
      </c>
      <c r="F140" s="315" t="s">
        <v>309</v>
      </c>
      <c r="G140" s="143">
        <v>138.4</v>
      </c>
      <c r="H140" s="144">
        <v>1840</v>
      </c>
      <c r="I140" s="315" t="str">
        <f>IF($A140="","",IF(OR($B140="",$C140="",$D140="",$E140="",$F140=""),"Stammdaten fehlen",IF(AND($G140="",$H140=""),"Werte fehlen",IF($G140="","Monatsstunden fehlen",IF($H140="","Monatslohn fehlt","OK")))))</f>
        <v>OK</v>
      </c>
      <c r="J140" s="331" t="str">
        <f>IF($G140="","",IF(COUNTIFS($A:$A,$A140,$D:$D,$D140,$G:$G,$G140)&gt;1,"Doppelte Monatsstunden",""))</f>
        <v/>
      </c>
    </row>
    <row r="141" spans="1:10" ht="24" customHeight="1">
      <c r="A141" s="323" t="s">
        <v>319</v>
      </c>
      <c r="B141" s="314">
        <v>45778</v>
      </c>
      <c r="C141" s="314">
        <v>46142</v>
      </c>
      <c r="D141" s="315" t="s">
        <v>12</v>
      </c>
      <c r="E141" s="315" t="s">
        <v>10</v>
      </c>
      <c r="F141" s="315" t="s">
        <v>309</v>
      </c>
      <c r="G141" s="143">
        <v>129.75</v>
      </c>
      <c r="H141" s="144">
        <v>1725</v>
      </c>
      <c r="I141" s="315" t="str">
        <f>IF($A141="","",IF(OR($B141="",$C141="",$D141="",$E141="",$F141=""),"Stammdaten fehlen",IF(AND($G141="",$H141=""),"Werte fehlen",IF($G141="","Monatsstunden fehlen",IF($H141="","Monatslohn fehlt","OK")))))</f>
        <v>OK</v>
      </c>
      <c r="J141" s="331" t="str">
        <f>IF($G141="","",IF(COUNTIFS($A:$A,$A141,$D:$D,$D141,$G:$G,$G141)&gt;1,"Doppelte Monatsstunden",""))</f>
        <v/>
      </c>
    </row>
    <row r="142" spans="1:10" ht="24" customHeight="1">
      <c r="A142" s="323" t="s">
        <v>319</v>
      </c>
      <c r="B142" s="314">
        <v>45778</v>
      </c>
      <c r="C142" s="314">
        <v>46142</v>
      </c>
      <c r="D142" s="315" t="s">
        <v>12</v>
      </c>
      <c r="E142" s="315" t="s">
        <v>10</v>
      </c>
      <c r="F142" s="315" t="s">
        <v>309</v>
      </c>
      <c r="G142" s="143">
        <v>108.13</v>
      </c>
      <c r="H142" s="144">
        <v>1437.5</v>
      </c>
      <c r="I142" s="315" t="str">
        <f>IF($A142="","",IF(OR($B142="",$C142="",$D142="",$E142="",$F142=""),"Stammdaten fehlen",IF(AND($G142="",$H142=""),"Werte fehlen",IF($G142="","Monatsstunden fehlen",IF($H142="","Monatslohn fehlt","OK")))))</f>
        <v>OK</v>
      </c>
      <c r="J142" s="331" t="str">
        <f>IF($G142="","",IF(COUNTIFS($A:$A,$A142,$D:$D,$D142,$G:$G,$G142)&gt;1,"Doppelte Monatsstunden",""))</f>
        <v/>
      </c>
    </row>
    <row r="143" spans="1:10" ht="24" customHeight="1">
      <c r="A143" s="323" t="s">
        <v>319</v>
      </c>
      <c r="B143" s="314">
        <v>45778</v>
      </c>
      <c r="C143" s="314">
        <v>46142</v>
      </c>
      <c r="D143" s="315" t="s">
        <v>12</v>
      </c>
      <c r="E143" s="315" t="s">
        <v>10</v>
      </c>
      <c r="F143" s="315" t="s">
        <v>309</v>
      </c>
      <c r="G143" s="143">
        <v>103.8</v>
      </c>
      <c r="H143" s="144">
        <v>1380</v>
      </c>
      <c r="I143" s="315" t="str">
        <f>IF($A143="","",IF(OR($B143="",$C143="",$D143="",$E143="",$F143=""),"Stammdaten fehlen",IF(AND($G143="",$H143=""),"Werte fehlen",IF($G143="","Monatsstunden fehlen",IF($H143="","Monatslohn fehlt","OK")))))</f>
        <v>OK</v>
      </c>
      <c r="J143" s="331" t="str">
        <f>IF($G143="","",IF(COUNTIFS($A:$A,$A143,$D:$D,$D143,$G:$G,$G143)&gt;1,"Doppelte Monatsstunden",""))</f>
        <v/>
      </c>
    </row>
    <row r="144" spans="1:10" ht="24" customHeight="1">
      <c r="A144" s="323" t="s">
        <v>319</v>
      </c>
      <c r="B144" s="314">
        <v>45778</v>
      </c>
      <c r="C144" s="314">
        <v>46142</v>
      </c>
      <c r="D144" s="315" t="s">
        <v>12</v>
      </c>
      <c r="E144" s="315" t="s">
        <v>10</v>
      </c>
      <c r="F144" s="315" t="s">
        <v>309</v>
      </c>
      <c r="G144" s="143">
        <v>86.5</v>
      </c>
      <c r="H144" s="144">
        <v>1150</v>
      </c>
      <c r="I144" s="315" t="str">
        <f>IF($A144="","",IF(OR($B144="",$C144="",$D144="",$E144="",$F144=""),"Stammdaten fehlen",IF(AND($G144="",$H144=""),"Werte fehlen",IF($G144="","Monatsstunden fehlen",IF($H144="","Monatslohn fehlt","OK")))))</f>
        <v>OK</v>
      </c>
      <c r="J144" s="331" t="str">
        <f>IF($G144="","",IF(COUNTIFS($A:$A,$A144,$D:$D,$D144,$G:$G,$G144)&gt;1,"Doppelte Monatsstunden",""))</f>
        <v/>
      </c>
    </row>
    <row r="145" spans="1:10" ht="24" customHeight="1">
      <c r="A145" s="323" t="s">
        <v>319</v>
      </c>
      <c r="B145" s="314">
        <v>45778</v>
      </c>
      <c r="C145" s="314">
        <v>46142</v>
      </c>
      <c r="D145" s="315" t="s">
        <v>12</v>
      </c>
      <c r="E145" s="315" t="s">
        <v>10</v>
      </c>
      <c r="F145" s="315" t="s">
        <v>309</v>
      </c>
      <c r="G145" s="143">
        <v>69.2</v>
      </c>
      <c r="H145" s="144">
        <v>920</v>
      </c>
      <c r="I145" s="315" t="str">
        <f>IF($A145="","",IF(OR($B145="",$C145="",$D145="",$E145="",$F145=""),"Stammdaten fehlen",IF(AND($G145="",$H145=""),"Werte fehlen",IF($G145="","Monatsstunden fehlen",IF($H145="","Monatslohn fehlt","OK")))))</f>
        <v>OK</v>
      </c>
      <c r="J145" s="331" t="str">
        <f>IF($G145="","",IF(COUNTIFS($A:$A,$A145,$D:$D,$D145,$G:$G,$G145)&gt;1,"Doppelte Monatsstunden",""))</f>
        <v/>
      </c>
    </row>
    <row r="146" spans="1:10" ht="24" customHeight="1">
      <c r="A146" s="323" t="s">
        <v>319</v>
      </c>
      <c r="B146" s="314">
        <v>45778</v>
      </c>
      <c r="C146" s="314">
        <v>46142</v>
      </c>
      <c r="D146" s="315" t="s">
        <v>12</v>
      </c>
      <c r="E146" s="315" t="s">
        <v>10</v>
      </c>
      <c r="F146" s="315" t="s">
        <v>309</v>
      </c>
      <c r="G146" s="143">
        <v>51.9</v>
      </c>
      <c r="H146" s="144">
        <v>690</v>
      </c>
      <c r="I146" s="315" t="str">
        <f>IF($A146="","",IF(OR($B146="",$C146="",$D146="",$E146="",$F146=""),"Stammdaten fehlen",IF(AND($G146="",$H146=""),"Werte fehlen",IF($G146="","Monatsstunden fehlen",IF($H146="","Monatslohn fehlt","OK")))))</f>
        <v>OK</v>
      </c>
      <c r="J146" s="331" t="str">
        <f>IF($G146="","",IF(COUNTIFS($A:$A,$A146,$D:$D,$D146,$G:$G,$G146)&gt;1,"Doppelte Monatsstunden",""))</f>
        <v/>
      </c>
    </row>
    <row r="147" spans="1:10" ht="24" customHeight="1">
      <c r="A147" s="323" t="s">
        <v>319</v>
      </c>
      <c r="B147" s="314">
        <v>45778</v>
      </c>
      <c r="C147" s="314">
        <v>46142</v>
      </c>
      <c r="D147" s="315" t="s">
        <v>12</v>
      </c>
      <c r="E147" s="315" t="s">
        <v>10</v>
      </c>
      <c r="F147" s="315" t="s">
        <v>309</v>
      </c>
      <c r="G147" s="143">
        <v>47.58</v>
      </c>
      <c r="H147" s="144">
        <v>632.5</v>
      </c>
      <c r="I147" s="315" t="str">
        <f>IF($A147="","",IF(OR($B147="",$C147="",$D147="",$E147="",$F147=""),"Stammdaten fehlen",IF(AND($G147="",$H147=""),"Werte fehlen",IF($G147="","Monatsstunden fehlen",IF($H147="","Monatslohn fehlt","OK")))))</f>
        <v>OK</v>
      </c>
      <c r="J147" s="331" t="str">
        <f>IF($G147="","",IF(COUNTIFS($A:$A,$A147,$D:$D,$D147,$G:$G,$G147)&gt;1,"Doppelte Monatsstunden",""))</f>
        <v/>
      </c>
    </row>
    <row r="148" spans="1:10" ht="24" customHeight="1">
      <c r="A148" s="323" t="s">
        <v>319</v>
      </c>
      <c r="B148" s="314">
        <v>45778</v>
      </c>
      <c r="C148" s="314">
        <v>46142</v>
      </c>
      <c r="D148" s="315" t="s">
        <v>12</v>
      </c>
      <c r="E148" s="315" t="s">
        <v>10</v>
      </c>
      <c r="F148" s="315" t="s">
        <v>309</v>
      </c>
      <c r="G148" s="143">
        <v>43.25</v>
      </c>
      <c r="H148" s="144">
        <v>575</v>
      </c>
      <c r="I148" s="315" t="str">
        <f>IF($A148="","",IF(OR($B148="",$C148="",$D148="",$E148="",$F148=""),"Stammdaten fehlen",IF(AND($G148="",$H148=""),"Werte fehlen",IF($G148="","Monatsstunden fehlen",IF($H148="","Monatslohn fehlt","OK")))))</f>
        <v>OK</v>
      </c>
      <c r="J148" s="331" t="str">
        <f>IF($G148="","",IF(COUNTIFS($A:$A,$A148,$D:$D,$D148,$G:$G,$G148)&gt;1,"Doppelte Monatsstunden",""))</f>
        <v/>
      </c>
    </row>
    <row r="149" spans="1:10" ht="24" customHeight="1">
      <c r="A149" s="323" t="s">
        <v>319</v>
      </c>
      <c r="B149" s="314">
        <v>45778</v>
      </c>
      <c r="C149" s="314">
        <v>46142</v>
      </c>
      <c r="D149" s="315" t="s">
        <v>12</v>
      </c>
      <c r="E149" s="315" t="s">
        <v>10</v>
      </c>
      <c r="F149" s="315" t="s">
        <v>309</v>
      </c>
      <c r="G149" s="143">
        <v>34.6</v>
      </c>
      <c r="H149" s="144">
        <v>460</v>
      </c>
      <c r="I149" s="315" t="str">
        <f>IF($A149="","",IF(OR($B149="",$C149="",$D149="",$E149="",$F149=""),"Stammdaten fehlen",IF(AND($G149="",$H149=""),"Werte fehlen",IF($G149="","Monatsstunden fehlen",IF($H149="","Monatslohn fehlt","OK")))))</f>
        <v>OK</v>
      </c>
      <c r="J149" s="331" t="str">
        <f>IF($G149="","",IF(COUNTIFS($A:$A,$A149,$D:$D,$D149,$G:$G,$G149)&gt;1,"Doppelte Monatsstunden",""))</f>
        <v/>
      </c>
    </row>
    <row r="150" spans="1:10" ht="24" customHeight="1" thickBot="1">
      <c r="A150" s="323" t="s">
        <v>319</v>
      </c>
      <c r="B150" s="314">
        <v>45778</v>
      </c>
      <c r="C150" s="314">
        <v>46142</v>
      </c>
      <c r="D150" s="315" t="s">
        <v>12</v>
      </c>
      <c r="E150" s="315" t="s">
        <v>10</v>
      </c>
      <c r="F150" s="315" t="s">
        <v>309</v>
      </c>
      <c r="G150" s="143">
        <v>32.01</v>
      </c>
      <c r="H150" s="144">
        <v>425.5</v>
      </c>
      <c r="I150" s="315" t="str">
        <f>IF($A150="","",IF(OR($B150="",$C150="",$D150="",$E150="",$F150=""),"Stammdaten fehlen",IF(AND($G150="",$H150=""),"Werte fehlen",IF($G150="","Monatsstunden fehlen",IF($H150="","Monatslohn fehlt","OK")))))</f>
        <v>OK</v>
      </c>
      <c r="J150" s="331" t="str">
        <f>IF($G150="","",IF(COUNTIFS($A:$A,$A150,$D:$D,$D150,$G:$G,$G150)&gt;1,"Doppelte Monatsstunden",""))</f>
        <v/>
      </c>
    </row>
    <row r="151" spans="1:10" ht="24" customHeight="1">
      <c r="A151" s="322" t="s">
        <v>319</v>
      </c>
      <c r="B151" s="312">
        <v>45778</v>
      </c>
      <c r="C151" s="312">
        <v>46142</v>
      </c>
      <c r="D151" s="313" t="s">
        <v>13</v>
      </c>
      <c r="E151" s="313" t="s">
        <v>10</v>
      </c>
      <c r="F151" s="313" t="s">
        <v>310</v>
      </c>
      <c r="G151" s="141">
        <v>173</v>
      </c>
      <c r="H151" s="142">
        <v>2328</v>
      </c>
      <c r="I151" s="313" t="str">
        <f>IF($A151="","",IF(OR($B151="",$C151="",$D151="",$E151="",$F151=""),"Stammdaten fehlen",IF(AND($G151="",$H151=""),"Werte fehlen",IF($G151="","Monatsstunden fehlen",IF($H151="","Monatslohn fehlt","OK")))))</f>
        <v>OK</v>
      </c>
      <c r="J151" s="330" t="str">
        <f>IF($G151="","",IF(COUNTIFS($A:$A,$A151,$D:$D,$D151,$G:$G,$G151)&gt;1,"Doppelte Monatsstunden",""))</f>
        <v/>
      </c>
    </row>
    <row r="152" spans="1:10" ht="24" customHeight="1">
      <c r="A152" s="323" t="s">
        <v>319</v>
      </c>
      <c r="B152" s="314">
        <v>45778</v>
      </c>
      <c r="C152" s="314">
        <v>46142</v>
      </c>
      <c r="D152" s="315" t="s">
        <v>13</v>
      </c>
      <c r="E152" s="315" t="s">
        <v>10</v>
      </c>
      <c r="F152" s="315" t="s">
        <v>310</v>
      </c>
      <c r="G152" s="143">
        <v>151.38</v>
      </c>
      <c r="H152" s="144">
        <v>2037</v>
      </c>
      <c r="I152" s="315" t="str">
        <f>IF($A152="","",IF(OR($B152="",$C152="",$D152="",$E152="",$F152=""),"Stammdaten fehlen",IF(AND($G152="",$H152=""),"Werte fehlen",IF($G152="","Monatsstunden fehlen",IF($H152="","Monatslohn fehlt","OK")))))</f>
        <v>OK</v>
      </c>
      <c r="J152" s="331" t="str">
        <f>IF($G152="","",IF(COUNTIFS($A:$A,$A152,$D:$D,$D152,$G:$G,$G152)&gt;1,"Doppelte Monatsstunden",""))</f>
        <v/>
      </c>
    </row>
    <row r="153" spans="1:10" ht="24" customHeight="1">
      <c r="A153" s="323" t="s">
        <v>319</v>
      </c>
      <c r="B153" s="314">
        <v>45778</v>
      </c>
      <c r="C153" s="314">
        <v>46142</v>
      </c>
      <c r="D153" s="315" t="s">
        <v>13</v>
      </c>
      <c r="E153" s="315" t="s">
        <v>10</v>
      </c>
      <c r="F153" s="315" t="s">
        <v>310</v>
      </c>
      <c r="G153" s="143">
        <v>138.4</v>
      </c>
      <c r="H153" s="144">
        <v>1862.4</v>
      </c>
      <c r="I153" s="315" t="str">
        <f>IF($A153="","",IF(OR($B153="",$C153="",$D153="",$E153="",$F153=""),"Stammdaten fehlen",IF(AND($G153="",$H153=""),"Werte fehlen",IF($G153="","Monatsstunden fehlen",IF($H153="","Monatslohn fehlt","OK")))))</f>
        <v>OK</v>
      </c>
      <c r="J153" s="331" t="str">
        <f>IF($G153="","",IF(COUNTIFS($A:$A,$A153,$D:$D,$D153,$G:$G,$G153)&gt;1,"Doppelte Monatsstunden",""))</f>
        <v/>
      </c>
    </row>
    <row r="154" spans="1:10" ht="24" customHeight="1">
      <c r="A154" s="323" t="s">
        <v>319</v>
      </c>
      <c r="B154" s="314">
        <v>45778</v>
      </c>
      <c r="C154" s="314">
        <v>46142</v>
      </c>
      <c r="D154" s="315" t="s">
        <v>13</v>
      </c>
      <c r="E154" s="315" t="s">
        <v>10</v>
      </c>
      <c r="F154" s="315" t="s">
        <v>310</v>
      </c>
      <c r="G154" s="143">
        <v>129.75</v>
      </c>
      <c r="H154" s="144">
        <v>1476</v>
      </c>
      <c r="I154" s="315" t="str">
        <f>IF($A154="","",IF(OR($B154="",$C154="",$D154="",$E154="",$F154=""),"Stammdaten fehlen",IF(AND($G154="",$H154=""),"Werte fehlen",IF($G154="","Monatsstunden fehlen",IF($H154="","Monatslohn fehlt","OK")))))</f>
        <v>OK</v>
      </c>
      <c r="J154" s="331" t="str">
        <f>IF($G154="","",IF(COUNTIFS($A:$A,$A154,$D:$D,$D154,$G:$G,$G154)&gt;1,"Doppelte Monatsstunden",""))</f>
        <v/>
      </c>
    </row>
    <row r="155" spans="1:10" ht="24" customHeight="1">
      <c r="A155" s="323" t="s">
        <v>319</v>
      </c>
      <c r="B155" s="314">
        <v>45778</v>
      </c>
      <c r="C155" s="314">
        <v>46142</v>
      </c>
      <c r="D155" s="315" t="s">
        <v>13</v>
      </c>
      <c r="E155" s="315" t="s">
        <v>10</v>
      </c>
      <c r="F155" s="315" t="s">
        <v>310</v>
      </c>
      <c r="G155" s="143">
        <v>108.13</v>
      </c>
      <c r="H155" s="144">
        <v>1455</v>
      </c>
      <c r="I155" s="315" t="str">
        <f>IF($A155="","",IF(OR($B155="",$C155="",$D155="",$E155="",$F155=""),"Stammdaten fehlen",IF(AND($G155="",$H155=""),"Werte fehlen",IF($G155="","Monatsstunden fehlen",IF($H155="","Monatslohn fehlt","OK")))))</f>
        <v>OK</v>
      </c>
      <c r="J155" s="331" t="str">
        <f>IF($G155="","",IF(COUNTIFS($A:$A,$A155,$D:$D,$D155,$G:$G,$G155)&gt;1,"Doppelte Monatsstunden",""))</f>
        <v/>
      </c>
    </row>
    <row r="156" spans="1:10" ht="24" customHeight="1">
      <c r="A156" s="323" t="s">
        <v>319</v>
      </c>
      <c r="B156" s="314">
        <v>45778</v>
      </c>
      <c r="C156" s="314">
        <v>46142</v>
      </c>
      <c r="D156" s="315" t="s">
        <v>13</v>
      </c>
      <c r="E156" s="315" t="s">
        <v>10</v>
      </c>
      <c r="F156" s="315" t="s">
        <v>310</v>
      </c>
      <c r="G156" s="143">
        <v>103.8</v>
      </c>
      <c r="H156" s="144">
        <v>1396.8</v>
      </c>
      <c r="I156" s="315" t="str">
        <f>IF($A156="","",IF(OR($B156="",$C156="",$D156="",$E156="",$F156=""),"Stammdaten fehlen",IF(AND($G156="",$H156=""),"Werte fehlen",IF($G156="","Monatsstunden fehlen",IF($H156="","Monatslohn fehlt","OK")))))</f>
        <v>OK</v>
      </c>
      <c r="J156" s="331" t="str">
        <f>IF($G156="","",IF(COUNTIFS($A:$A,$A156,$D:$D,$D156,$G:$G,$G156)&gt;1,"Doppelte Monatsstunden",""))</f>
        <v/>
      </c>
    </row>
    <row r="157" spans="1:10" ht="24" customHeight="1">
      <c r="A157" s="323" t="s">
        <v>319</v>
      </c>
      <c r="B157" s="314">
        <v>45778</v>
      </c>
      <c r="C157" s="314">
        <v>46142</v>
      </c>
      <c r="D157" s="315" t="s">
        <v>13</v>
      </c>
      <c r="E157" s="315" t="s">
        <v>10</v>
      </c>
      <c r="F157" s="315" t="s">
        <v>310</v>
      </c>
      <c r="G157" s="143">
        <v>86.5</v>
      </c>
      <c r="H157" s="144">
        <v>1164</v>
      </c>
      <c r="I157" s="315" t="str">
        <f>IF($A157="","",IF(OR($B157="",$C157="",$D157="",$E157="",$F157=""),"Stammdaten fehlen",IF(AND($G157="",$H157=""),"Werte fehlen",IF($G157="","Monatsstunden fehlen",IF($H157="","Monatslohn fehlt","OK")))))</f>
        <v>OK</v>
      </c>
      <c r="J157" s="331" t="str">
        <f>IF($G157="","",IF(COUNTIFS($A:$A,$A157,$D:$D,$D157,$G:$G,$G157)&gt;1,"Doppelte Monatsstunden",""))</f>
        <v/>
      </c>
    </row>
    <row r="158" spans="1:10" ht="24" customHeight="1">
      <c r="A158" s="323" t="s">
        <v>319</v>
      </c>
      <c r="B158" s="314">
        <v>45778</v>
      </c>
      <c r="C158" s="314">
        <v>46142</v>
      </c>
      <c r="D158" s="315" t="s">
        <v>13</v>
      </c>
      <c r="E158" s="315" t="s">
        <v>10</v>
      </c>
      <c r="F158" s="315" t="s">
        <v>310</v>
      </c>
      <c r="G158" s="143">
        <v>69.2</v>
      </c>
      <c r="H158" s="144">
        <v>931.2</v>
      </c>
      <c r="I158" s="315" t="str">
        <f>IF($A158="","",IF(OR($B158="",$C158="",$D158="",$E158="",$F158=""),"Stammdaten fehlen",IF(AND($G158="",$H158=""),"Werte fehlen",IF($G158="","Monatsstunden fehlen",IF($H158="","Monatslohn fehlt","OK")))))</f>
        <v>OK</v>
      </c>
      <c r="J158" s="331" t="str">
        <f>IF($G158="","",IF(COUNTIFS($A:$A,$A158,$D:$D,$D158,$G:$G,$G158)&gt;1,"Doppelte Monatsstunden",""))</f>
        <v/>
      </c>
    </row>
    <row r="159" spans="1:10" ht="24" customHeight="1">
      <c r="A159" s="323" t="s">
        <v>319</v>
      </c>
      <c r="B159" s="314">
        <v>45778</v>
      </c>
      <c r="C159" s="314">
        <v>46142</v>
      </c>
      <c r="D159" s="315" t="s">
        <v>13</v>
      </c>
      <c r="E159" s="315" t="s">
        <v>10</v>
      </c>
      <c r="F159" s="315" t="s">
        <v>310</v>
      </c>
      <c r="G159" s="143">
        <v>51.9</v>
      </c>
      <c r="H159" s="144">
        <v>698.4</v>
      </c>
      <c r="I159" s="315" t="str">
        <f>IF($A159="","",IF(OR($B159="",$C159="",$D159="",$E159="",$F159=""),"Stammdaten fehlen",IF(AND($G159="",$H159=""),"Werte fehlen",IF($G159="","Monatsstunden fehlen",IF($H159="","Monatslohn fehlt","OK")))))</f>
        <v>OK</v>
      </c>
      <c r="J159" s="331" t="str">
        <f>IF($G159="","",IF(COUNTIFS($A:$A,$A159,$D:$D,$D159,$G:$G,$G159)&gt;1,"Doppelte Monatsstunden",""))</f>
        <v/>
      </c>
    </row>
    <row r="160" spans="1:10" ht="24" customHeight="1">
      <c r="A160" s="323" t="s">
        <v>319</v>
      </c>
      <c r="B160" s="314">
        <v>45778</v>
      </c>
      <c r="C160" s="314">
        <v>46142</v>
      </c>
      <c r="D160" s="315" t="s">
        <v>13</v>
      </c>
      <c r="E160" s="315" t="s">
        <v>10</v>
      </c>
      <c r="F160" s="315" t="s">
        <v>310</v>
      </c>
      <c r="G160" s="143">
        <v>47.58</v>
      </c>
      <c r="H160" s="144">
        <v>640</v>
      </c>
      <c r="I160" s="315" t="str">
        <f>IF($A160="","",IF(OR($B160="",$C160="",$D160="",$E160="",$F160=""),"Stammdaten fehlen",IF(AND($G160="",$H160=""),"Werte fehlen",IF($G160="","Monatsstunden fehlen",IF($H160="","Monatslohn fehlt","OK")))))</f>
        <v>OK</v>
      </c>
      <c r="J160" s="331" t="str">
        <f>IF($G160="","",IF(COUNTIFS($A:$A,$A160,$D:$D,$D160,$G:$G,$G160)&gt;1,"Doppelte Monatsstunden",""))</f>
        <v/>
      </c>
    </row>
    <row r="161" spans="1:10" ht="24" customHeight="1">
      <c r="A161" s="323" t="s">
        <v>319</v>
      </c>
      <c r="B161" s="314">
        <v>45778</v>
      </c>
      <c r="C161" s="314">
        <v>46142</v>
      </c>
      <c r="D161" s="315" t="s">
        <v>13</v>
      </c>
      <c r="E161" s="315" t="s">
        <v>10</v>
      </c>
      <c r="F161" s="315" t="s">
        <v>310</v>
      </c>
      <c r="G161" s="143">
        <v>43.25</v>
      </c>
      <c r="H161" s="144">
        <v>582</v>
      </c>
      <c r="I161" s="315" t="str">
        <f>IF($A161="","",IF(OR($B161="",$C161="",$D161="",$E161="",$F161=""),"Stammdaten fehlen",IF(AND($G161="",$H161=""),"Werte fehlen",IF($G161="","Monatsstunden fehlen",IF($H161="","Monatslohn fehlt","OK")))))</f>
        <v>OK</v>
      </c>
      <c r="J161" s="331" t="str">
        <f>IF($G161="","",IF(COUNTIFS($A:$A,$A161,$D:$D,$D161,$G:$G,$G161)&gt;1,"Doppelte Monatsstunden",""))</f>
        <v/>
      </c>
    </row>
    <row r="162" spans="1:10" ht="24" customHeight="1">
      <c r="A162" s="323" t="s">
        <v>319</v>
      </c>
      <c r="B162" s="314">
        <v>45778</v>
      </c>
      <c r="C162" s="314">
        <v>46142</v>
      </c>
      <c r="D162" s="315" t="s">
        <v>13</v>
      </c>
      <c r="E162" s="315" t="s">
        <v>10</v>
      </c>
      <c r="F162" s="315" t="s">
        <v>310</v>
      </c>
      <c r="G162" s="143">
        <v>34.6</v>
      </c>
      <c r="H162" s="144">
        <v>465.6</v>
      </c>
      <c r="I162" s="315" t="str">
        <f>IF($A162="","",IF(OR($B162="",$C162="",$D162="",$E162="",$F162=""),"Stammdaten fehlen",IF(AND($G162="",$H162=""),"Werte fehlen",IF($G162="","Monatsstunden fehlen",IF($H162="","Monatslohn fehlt","OK")))))</f>
        <v>OK</v>
      </c>
      <c r="J162" s="331" t="str">
        <f>IF($G162="","",IF(COUNTIFS($A:$A,$A162,$D:$D,$D162,$G:$G,$G162)&gt;1,"Doppelte Monatsstunden",""))</f>
        <v/>
      </c>
    </row>
    <row r="163" spans="1:10" ht="24" customHeight="1" thickBot="1">
      <c r="A163" s="332" t="s">
        <v>319</v>
      </c>
      <c r="B163" s="333">
        <v>45778</v>
      </c>
      <c r="C163" s="333">
        <v>46142</v>
      </c>
      <c r="D163" s="334" t="s">
        <v>13</v>
      </c>
      <c r="E163" s="334" t="s">
        <v>10</v>
      </c>
      <c r="F163" s="334" t="s">
        <v>310</v>
      </c>
      <c r="G163" s="145">
        <v>32.01</v>
      </c>
      <c r="H163" s="146">
        <v>430.68</v>
      </c>
      <c r="I163" s="334" t="str">
        <f>IF($A163="","",IF(OR($B163="",$C163="",$D163="",$E163="",$F163=""),"Stammdaten fehlen",IF(AND($G163="",$H163=""),"Werte fehlen",IF($G163="","Monatsstunden fehlen",IF($H163="","Monatslohn fehlt","OK")))))</f>
        <v>OK</v>
      </c>
      <c r="J163" s="335" t="str">
        <f>IF($G163="","",IF(COUNTIFS($A:$A,$A163,$D:$D,$D163,$G:$G,$G163)&gt;1,"Doppelte Monatsstunden",""))</f>
        <v/>
      </c>
    </row>
  </sheetData>
  <sheetProtection algorithmName="SHA-512" hashValue="PxJCYl5TFcWvxAODLMfU+W7aoVjedweOlzvdRJrxTL5dKVfONpPJOooY4JvF+tt1PwGa81uP8NPeX/rAUNsttQ==" saltValue="P/D1D1N8c+8NTy7FhLmDaA==" spinCount="100000" sheet="1" objects="1" scenarios="1" sort="0" autoFilter="0"/>
  <mergeCells count="3">
    <mergeCell ref="A1:J1"/>
    <mergeCell ref="A4:J4"/>
    <mergeCell ref="A2:H2"/>
  </mergeCells>
  <phoneticPr fontId="14" type="noConversion"/>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59"/>
  <sheetViews>
    <sheetView showGridLines="0" zoomScale="130" zoomScaleNormal="130" workbookViewId="0">
      <selection activeCell="B37" sqref="B37"/>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39"/>
      <c r="C1" s="338"/>
      <c r="D1" s="337"/>
      <c r="E1" s="337"/>
      <c r="F1" s="337"/>
      <c r="G1" s="337"/>
      <c r="H1" s="337"/>
      <c r="I1" s="337"/>
      <c r="J1" s="337"/>
      <c r="K1" s="337"/>
      <c r="L1" s="337"/>
      <c r="M1" s="337"/>
      <c r="N1" s="337"/>
      <c r="O1" s="337"/>
    </row>
    <row r="2" spans="2:15" ht="17.25" customHeight="1">
      <c r="B2" s="337"/>
      <c r="C2" s="337"/>
      <c r="D2" s="337"/>
      <c r="E2" s="337"/>
      <c r="F2" s="337"/>
      <c r="G2" s="337"/>
      <c r="H2" s="337"/>
      <c r="I2" s="337"/>
      <c r="J2" s="337"/>
      <c r="K2" s="337"/>
      <c r="L2" s="337"/>
      <c r="M2" s="337"/>
      <c r="N2" s="337"/>
      <c r="O2" s="337"/>
    </row>
    <row r="3" spans="2:15" ht="18" customHeight="1">
      <c r="B3" s="153" t="s">
        <v>14</v>
      </c>
      <c r="C3" s="153"/>
      <c r="D3" s="153"/>
      <c r="E3" s="153"/>
      <c r="F3" s="153"/>
      <c r="H3" s="150" t="s">
        <v>15</v>
      </c>
      <c r="I3" s="150"/>
      <c r="K3" s="152" t="s">
        <v>16</v>
      </c>
      <c r="L3" s="152"/>
      <c r="N3" s="150" t="s">
        <v>17</v>
      </c>
      <c r="O3" s="150"/>
    </row>
    <row r="4" spans="2:15" ht="15" customHeight="1">
      <c r="B4" s="153"/>
      <c r="C4" s="153"/>
      <c r="D4" s="153"/>
      <c r="E4" s="153"/>
      <c r="F4" s="153"/>
      <c r="H4" s="150"/>
      <c r="I4" s="150"/>
      <c r="K4" s="152"/>
      <c r="L4" s="152"/>
      <c r="N4" s="150"/>
      <c r="O4" s="150"/>
    </row>
    <row r="5" spans="2:15">
      <c r="B5" s="21"/>
      <c r="C5" s="21" t="s">
        <v>18</v>
      </c>
      <c r="D5" s="21" t="s">
        <v>19</v>
      </c>
      <c r="E5" s="21" t="s">
        <v>20</v>
      </c>
      <c r="F5" s="21" t="s">
        <v>21</v>
      </c>
      <c r="H5" s="151" t="s">
        <v>22</v>
      </c>
      <c r="I5" s="151"/>
      <c r="K5" s="151" t="s">
        <v>22</v>
      </c>
      <c r="L5" s="151"/>
      <c r="N5" s="151" t="s">
        <v>23</v>
      </c>
      <c r="O5" s="151"/>
    </row>
    <row r="6" spans="2:15">
      <c r="B6" s="22" t="s">
        <v>24</v>
      </c>
      <c r="C6" s="3">
        <v>1</v>
      </c>
      <c r="D6" s="3">
        <v>1</v>
      </c>
      <c r="E6" s="23">
        <f>Januar!$Q$37</f>
        <v>1</v>
      </c>
      <c r="F6" s="16">
        <v>1</v>
      </c>
      <c r="H6" s="24" t="s">
        <v>24</v>
      </c>
      <c r="I6" s="17">
        <v>1</v>
      </c>
      <c r="K6" s="24" t="s">
        <v>24</v>
      </c>
      <c r="L6" s="17">
        <v>1</v>
      </c>
      <c r="N6" s="24" t="s">
        <v>24</v>
      </c>
      <c r="O6" s="3">
        <v>1</v>
      </c>
    </row>
    <row r="7" spans="2:15">
      <c r="B7" s="22" t="s">
        <v>25</v>
      </c>
      <c r="C7" s="3">
        <v>2</v>
      </c>
      <c r="D7" s="3">
        <v>2</v>
      </c>
      <c r="E7" s="23">
        <f>Februar!$Q$37</f>
        <v>1</v>
      </c>
      <c r="F7" s="16">
        <v>2</v>
      </c>
      <c r="H7" s="24" t="s">
        <v>26</v>
      </c>
      <c r="I7" s="17">
        <v>2</v>
      </c>
      <c r="K7" s="24" t="s">
        <v>26</v>
      </c>
      <c r="L7" s="17">
        <v>2</v>
      </c>
      <c r="N7" s="24" t="s">
        <v>26</v>
      </c>
      <c r="O7" s="3">
        <v>2</v>
      </c>
    </row>
    <row r="8" spans="2:15">
      <c r="B8" s="22" t="s">
        <v>27</v>
      </c>
      <c r="C8" s="3">
        <v>3</v>
      </c>
      <c r="D8" s="3">
        <v>3</v>
      </c>
      <c r="E8" s="23">
        <f>Marz!$Q$37</f>
        <v>1</v>
      </c>
      <c r="F8" s="16">
        <v>3</v>
      </c>
      <c r="H8" s="24" t="s">
        <v>27</v>
      </c>
      <c r="I8" s="17">
        <v>3</v>
      </c>
      <c r="K8" s="24" t="s">
        <v>27</v>
      </c>
      <c r="L8" s="17">
        <v>3</v>
      </c>
      <c r="N8" s="24" t="s">
        <v>27</v>
      </c>
      <c r="O8" s="3">
        <v>3</v>
      </c>
    </row>
    <row r="9" spans="2:15">
      <c r="B9" s="22" t="s">
        <v>28</v>
      </c>
      <c r="C9" s="3">
        <v>4</v>
      </c>
      <c r="D9" s="3">
        <v>4</v>
      </c>
      <c r="E9" s="23">
        <f>April!$Q$37</f>
        <v>1</v>
      </c>
      <c r="F9" s="16">
        <v>4</v>
      </c>
      <c r="H9" s="24" t="s">
        <v>28</v>
      </c>
      <c r="I9" s="17">
        <v>4</v>
      </c>
      <c r="K9" s="24" t="s">
        <v>28</v>
      </c>
      <c r="L9" s="17">
        <v>4</v>
      </c>
      <c r="N9" s="24" t="s">
        <v>28</v>
      </c>
      <c r="O9" s="3">
        <v>4</v>
      </c>
    </row>
    <row r="10" spans="2:15">
      <c r="B10" s="22" t="s">
        <v>29</v>
      </c>
      <c r="C10" s="3">
        <v>5</v>
      </c>
      <c r="D10" s="3">
        <v>5</v>
      </c>
      <c r="E10" s="23">
        <f>Mai!$Q$37</f>
        <v>1</v>
      </c>
      <c r="F10" s="16">
        <v>5</v>
      </c>
      <c r="H10" s="24" t="s">
        <v>29</v>
      </c>
      <c r="I10" s="17">
        <v>5</v>
      </c>
      <c r="K10" s="24" t="s">
        <v>29</v>
      </c>
      <c r="L10" s="17">
        <v>5</v>
      </c>
      <c r="N10" s="24" t="s">
        <v>29</v>
      </c>
      <c r="O10" s="3">
        <v>5</v>
      </c>
    </row>
    <row r="11" spans="2:15">
      <c r="B11" s="22" t="s">
        <v>30</v>
      </c>
      <c r="C11" s="3">
        <v>6</v>
      </c>
      <c r="D11" s="3">
        <v>6</v>
      </c>
      <c r="E11" s="23">
        <f>Juni!$Q$37</f>
        <v>1</v>
      </c>
      <c r="F11" s="16">
        <v>6</v>
      </c>
      <c r="H11" s="24" t="s">
        <v>30</v>
      </c>
      <c r="I11" s="17">
        <v>6</v>
      </c>
      <c r="K11" s="24" t="s">
        <v>30</v>
      </c>
      <c r="L11" s="17">
        <v>6</v>
      </c>
      <c r="N11" s="24" t="s">
        <v>30</v>
      </c>
      <c r="O11" s="3">
        <v>6</v>
      </c>
    </row>
    <row r="12" spans="2:15">
      <c r="B12" s="22" t="s">
        <v>31</v>
      </c>
      <c r="C12" s="3">
        <v>7</v>
      </c>
      <c r="D12" s="3">
        <v>7</v>
      </c>
      <c r="E12" s="23">
        <f>Juli!$Q$37</f>
        <v>1</v>
      </c>
      <c r="F12" s="16">
        <v>7</v>
      </c>
      <c r="H12" s="24" t="s">
        <v>31</v>
      </c>
      <c r="I12" s="17">
        <v>7</v>
      </c>
      <c r="K12" s="24" t="s">
        <v>31</v>
      </c>
      <c r="L12" s="17">
        <v>7</v>
      </c>
      <c r="N12" s="24" t="s">
        <v>31</v>
      </c>
      <c r="O12" s="3">
        <v>7</v>
      </c>
    </row>
    <row r="13" spans="2:15">
      <c r="B13" s="22" t="s">
        <v>32</v>
      </c>
      <c r="C13" s="3">
        <v>8</v>
      </c>
      <c r="D13" s="3">
        <v>8</v>
      </c>
      <c r="E13" s="23">
        <f>August!$Q$37</f>
        <v>1</v>
      </c>
      <c r="F13" s="16">
        <v>8</v>
      </c>
      <c r="H13" s="24" t="s">
        <v>32</v>
      </c>
      <c r="I13" s="17">
        <v>8</v>
      </c>
      <c r="K13" s="24" t="s">
        <v>32</v>
      </c>
      <c r="L13" s="17">
        <v>8</v>
      </c>
      <c r="N13" s="24" t="s">
        <v>32</v>
      </c>
      <c r="O13" s="3">
        <v>8</v>
      </c>
    </row>
    <row r="14" spans="2:15">
      <c r="B14" s="22" t="s">
        <v>33</v>
      </c>
      <c r="C14" s="3">
        <v>9</v>
      </c>
      <c r="D14" s="3">
        <v>9</v>
      </c>
      <c r="E14" s="23">
        <f>September!$Q$37</f>
        <v>1</v>
      </c>
      <c r="F14" s="16">
        <v>9</v>
      </c>
      <c r="H14" s="24" t="s">
        <v>33</v>
      </c>
      <c r="I14" s="17">
        <v>9</v>
      </c>
      <c r="K14" s="24" t="s">
        <v>33</v>
      </c>
      <c r="L14" s="17">
        <v>9</v>
      </c>
      <c r="N14" s="24" t="s">
        <v>33</v>
      </c>
      <c r="O14" s="3">
        <v>9</v>
      </c>
    </row>
    <row r="15" spans="2:15">
      <c r="B15" s="22" t="s">
        <v>34</v>
      </c>
      <c r="C15" s="3">
        <v>10</v>
      </c>
      <c r="D15" s="3">
        <v>10</v>
      </c>
      <c r="E15" s="23">
        <f>Oktober!$Q$37</f>
        <v>1</v>
      </c>
      <c r="F15" s="16">
        <v>10</v>
      </c>
      <c r="H15" s="24" t="s">
        <v>34</v>
      </c>
      <c r="I15" s="17">
        <v>10</v>
      </c>
      <c r="K15" s="24" t="s">
        <v>34</v>
      </c>
      <c r="L15" s="17">
        <v>10</v>
      </c>
      <c r="N15" s="24" t="s">
        <v>34</v>
      </c>
      <c r="O15" s="3">
        <v>10</v>
      </c>
    </row>
    <row r="16" spans="2:15">
      <c r="B16" s="22" t="s">
        <v>35</v>
      </c>
      <c r="C16" s="3">
        <v>11</v>
      </c>
      <c r="D16" s="3">
        <v>11</v>
      </c>
      <c r="E16" s="23">
        <f>November!$Q$37</f>
        <v>1</v>
      </c>
      <c r="F16" s="16">
        <v>11</v>
      </c>
      <c r="H16" s="24" t="s">
        <v>35</v>
      </c>
      <c r="I16" s="17">
        <v>11</v>
      </c>
      <c r="K16" s="24" t="s">
        <v>35</v>
      </c>
      <c r="L16" s="17">
        <v>11</v>
      </c>
      <c r="N16" s="24" t="s">
        <v>35</v>
      </c>
      <c r="O16" s="3">
        <v>11</v>
      </c>
    </row>
    <row r="17" spans="2:21">
      <c r="B17" s="22" t="s">
        <v>36</v>
      </c>
      <c r="C17" s="3">
        <v>12</v>
      </c>
      <c r="D17" s="3">
        <v>12</v>
      </c>
      <c r="E17" s="23">
        <f>Dezember!$Q$37</f>
        <v>1</v>
      </c>
      <c r="F17" s="16">
        <v>12</v>
      </c>
      <c r="H17" s="24" t="s">
        <v>36</v>
      </c>
      <c r="I17" s="17">
        <v>12</v>
      </c>
      <c r="K17" s="24" t="s">
        <v>36</v>
      </c>
      <c r="L17" s="17">
        <v>12</v>
      </c>
      <c r="N17" s="24" t="s">
        <v>36</v>
      </c>
      <c r="O17" s="3">
        <v>12</v>
      </c>
    </row>
    <row r="19" spans="2:21" ht="14.5" customHeight="1">
      <c r="B19" s="149" t="s">
        <v>37</v>
      </c>
      <c r="C19" s="149"/>
      <c r="D19" s="149"/>
      <c r="E19" s="149"/>
      <c r="F19" s="149"/>
      <c r="H19" s="150" t="s">
        <v>38</v>
      </c>
      <c r="I19" s="150"/>
      <c r="K19" s="152" t="s">
        <v>39</v>
      </c>
      <c r="L19" s="152"/>
      <c r="N19" s="336"/>
      <c r="O19" s="336"/>
      <c r="P19" s="336"/>
      <c r="Q19" s="336"/>
      <c r="R19" s="336"/>
      <c r="S19" s="336"/>
      <c r="T19" s="336"/>
      <c r="U19" s="336"/>
    </row>
    <row r="20" spans="2:21">
      <c r="B20" s="149"/>
      <c r="C20" s="149"/>
      <c r="D20" s="149"/>
      <c r="E20" s="149"/>
      <c r="F20" s="149"/>
      <c r="H20" s="150"/>
      <c r="I20" s="150"/>
      <c r="K20" s="152"/>
      <c r="L20" s="152"/>
      <c r="N20" s="336"/>
      <c r="O20" s="336"/>
      <c r="P20" s="336"/>
      <c r="Q20" s="336"/>
      <c r="R20" s="336"/>
      <c r="S20" s="336"/>
      <c r="T20" s="336"/>
      <c r="U20" s="336"/>
    </row>
    <row r="21" spans="2:21">
      <c r="B21" s="21"/>
      <c r="C21" s="21" t="s">
        <v>18</v>
      </c>
      <c r="D21" s="21" t="s">
        <v>19</v>
      </c>
      <c r="E21" s="21" t="s">
        <v>20</v>
      </c>
      <c r="F21" s="21" t="s">
        <v>21</v>
      </c>
      <c r="H21" s="151" t="s">
        <v>22</v>
      </c>
      <c r="I21" s="151"/>
      <c r="K21" s="151" t="s">
        <v>22</v>
      </c>
      <c r="L21" s="151"/>
      <c r="N21" s="336"/>
      <c r="O21" s="336"/>
      <c r="P21" s="336"/>
      <c r="Q21" s="336"/>
      <c r="R21" s="336"/>
      <c r="S21" s="336"/>
      <c r="T21" s="336"/>
      <c r="U21" s="336"/>
    </row>
    <row r="22" spans="2:21">
      <c r="B22" s="22" t="s">
        <v>24</v>
      </c>
      <c r="C22" s="3">
        <v>1</v>
      </c>
      <c r="D22" s="52">
        <f>UBERSICHT!G7</f>
        <v>0</v>
      </c>
      <c r="E22" s="23">
        <f>Januar!$S$37</f>
        <v>0</v>
      </c>
      <c r="F22" s="16">
        <v>1</v>
      </c>
      <c r="H22" s="24" t="s">
        <v>24</v>
      </c>
      <c r="I22" s="17">
        <v>1</v>
      </c>
      <c r="K22" s="24" t="s">
        <v>24</v>
      </c>
      <c r="L22" s="17">
        <v>1</v>
      </c>
      <c r="N22" s="336"/>
      <c r="O22" s="336"/>
      <c r="P22" s="336"/>
      <c r="Q22" s="336"/>
      <c r="R22" s="336"/>
      <c r="S22" s="336"/>
      <c r="T22" s="336"/>
      <c r="U22" s="336"/>
    </row>
    <row r="23" spans="2:21">
      <c r="B23" s="22" t="s">
        <v>25</v>
      </c>
      <c r="C23" s="3">
        <v>2</v>
      </c>
      <c r="D23" s="52">
        <f>UBERSICHT!G8</f>
        <v>0</v>
      </c>
      <c r="E23" s="23">
        <f>Februar!$S$37</f>
        <v>0</v>
      </c>
      <c r="F23" s="16">
        <v>2</v>
      </c>
      <c r="H23" s="24" t="s">
        <v>26</v>
      </c>
      <c r="I23" s="17">
        <v>2</v>
      </c>
      <c r="K23" s="24" t="s">
        <v>26</v>
      </c>
      <c r="L23" s="17">
        <v>2</v>
      </c>
      <c r="N23" s="336"/>
      <c r="O23" s="336"/>
      <c r="P23" s="336"/>
      <c r="Q23" s="336"/>
      <c r="R23" s="336"/>
      <c r="S23" s="336"/>
      <c r="T23" s="336"/>
      <c r="U23" s="336"/>
    </row>
    <row r="24" spans="2:21">
      <c r="B24" s="22" t="s">
        <v>27</v>
      </c>
      <c r="C24" s="3">
        <v>3</v>
      </c>
      <c r="D24" s="52">
        <f>UBERSICHT!G9</f>
        <v>0</v>
      </c>
      <c r="E24" s="23">
        <f>Marz!$S$37</f>
        <v>0</v>
      </c>
      <c r="F24" s="16">
        <v>3</v>
      </c>
      <c r="H24" s="24" t="s">
        <v>27</v>
      </c>
      <c r="I24" s="17">
        <v>3</v>
      </c>
      <c r="K24" s="24" t="s">
        <v>27</v>
      </c>
      <c r="L24" s="17">
        <v>3</v>
      </c>
      <c r="N24" s="336"/>
      <c r="O24" s="336"/>
      <c r="P24" s="336"/>
      <c r="Q24" s="336"/>
      <c r="R24" s="336"/>
      <c r="S24" s="336"/>
      <c r="T24" s="336"/>
      <c r="U24" s="336"/>
    </row>
    <row r="25" spans="2:21">
      <c r="B25" s="22" t="s">
        <v>28</v>
      </c>
      <c r="C25" s="3">
        <v>4</v>
      </c>
      <c r="D25" s="52">
        <f>UBERSICHT!G11</f>
        <v>5004</v>
      </c>
      <c r="E25" s="23">
        <f>April!$S$37</f>
        <v>1251</v>
      </c>
      <c r="F25" s="16">
        <v>4</v>
      </c>
      <c r="H25" s="24" t="s">
        <v>28</v>
      </c>
      <c r="I25" s="17">
        <v>4</v>
      </c>
      <c r="K25" s="24" t="s">
        <v>28</v>
      </c>
      <c r="L25" s="17">
        <v>4</v>
      </c>
      <c r="N25" s="336"/>
      <c r="O25" s="336"/>
      <c r="P25" s="336"/>
      <c r="Q25" s="336"/>
      <c r="R25" s="336"/>
      <c r="S25" s="336"/>
      <c r="T25" s="336"/>
      <c r="U25" s="336"/>
    </row>
    <row r="26" spans="2:21">
      <c r="B26" s="22" t="s">
        <v>29</v>
      </c>
      <c r="C26" s="3">
        <v>5</v>
      </c>
      <c r="D26" s="52">
        <f>UBERSICHT!G12</f>
        <v>5005</v>
      </c>
      <c r="E26" s="23">
        <f>Mai!$S$37</f>
        <v>1001</v>
      </c>
      <c r="F26" s="16">
        <v>5</v>
      </c>
      <c r="H26" s="24" t="s">
        <v>29</v>
      </c>
      <c r="I26" s="17">
        <v>5</v>
      </c>
      <c r="K26" s="24" t="s">
        <v>29</v>
      </c>
      <c r="L26" s="17">
        <v>5</v>
      </c>
      <c r="M26" s="42"/>
      <c r="N26" s="336"/>
      <c r="O26" s="336"/>
      <c r="P26" s="336"/>
      <c r="Q26" s="336"/>
      <c r="R26" s="336"/>
      <c r="S26" s="336"/>
      <c r="T26" s="336"/>
      <c r="U26" s="336"/>
    </row>
    <row r="27" spans="2:21">
      <c r="B27" s="22" t="s">
        <v>30</v>
      </c>
      <c r="C27" s="3">
        <v>6</v>
      </c>
      <c r="D27" s="52">
        <f>UBERSICHT!G13</f>
        <v>0</v>
      </c>
      <c r="E27" s="23">
        <f>Juni!$S$37</f>
        <v>0</v>
      </c>
      <c r="F27" s="16">
        <v>6</v>
      </c>
      <c r="H27" s="24" t="s">
        <v>30</v>
      </c>
      <c r="I27" s="17">
        <v>6</v>
      </c>
      <c r="K27" s="24" t="s">
        <v>30</v>
      </c>
      <c r="L27" s="17">
        <v>6</v>
      </c>
      <c r="M27" s="42"/>
      <c r="N27" s="336"/>
      <c r="O27" s="336"/>
      <c r="P27" s="336"/>
      <c r="Q27" s="336"/>
      <c r="R27" s="336"/>
      <c r="S27" s="336"/>
      <c r="T27" s="336"/>
      <c r="U27" s="336"/>
    </row>
    <row r="28" spans="2:21">
      <c r="B28" s="22" t="s">
        <v>31</v>
      </c>
      <c r="C28" s="3">
        <v>7</v>
      </c>
      <c r="D28" s="52">
        <f>UBERSICHT!G15</f>
        <v>0</v>
      </c>
      <c r="E28" s="23">
        <f>Juli!$S$37</f>
        <v>0</v>
      </c>
      <c r="F28" s="16">
        <v>7</v>
      </c>
      <c r="H28" s="24" t="s">
        <v>31</v>
      </c>
      <c r="I28" s="17">
        <v>7</v>
      </c>
      <c r="K28" s="24" t="s">
        <v>31</v>
      </c>
      <c r="L28" s="17">
        <v>7</v>
      </c>
      <c r="M28" s="42"/>
      <c r="N28" s="336"/>
      <c r="O28" s="336"/>
      <c r="P28" s="336"/>
      <c r="Q28" s="336"/>
      <c r="R28" s="336"/>
      <c r="S28" s="336"/>
      <c r="T28" s="336"/>
      <c r="U28" s="336"/>
    </row>
    <row r="29" spans="2:21">
      <c r="B29" s="22" t="s">
        <v>32</v>
      </c>
      <c r="C29" s="3">
        <v>8</v>
      </c>
      <c r="D29" s="52">
        <f>UBERSICHT!G16</f>
        <v>0</v>
      </c>
      <c r="E29" s="23">
        <f>August!$S$37</f>
        <v>0</v>
      </c>
      <c r="F29" s="16">
        <v>8</v>
      </c>
      <c r="H29" s="24" t="s">
        <v>32</v>
      </c>
      <c r="I29" s="17">
        <v>8</v>
      </c>
      <c r="K29" s="24" t="s">
        <v>32</v>
      </c>
      <c r="L29" s="17">
        <v>8</v>
      </c>
      <c r="M29" s="42"/>
      <c r="N29" s="336"/>
      <c r="O29" s="336"/>
      <c r="P29" s="336"/>
      <c r="Q29" s="336"/>
      <c r="R29" s="336"/>
      <c r="S29" s="336"/>
      <c r="T29" s="336"/>
      <c r="U29" s="336"/>
    </row>
    <row r="30" spans="2:21">
      <c r="B30" s="22" t="s">
        <v>33</v>
      </c>
      <c r="C30" s="3">
        <v>9</v>
      </c>
      <c r="D30" s="52">
        <f>UBERSICHT!G17</f>
        <v>0</v>
      </c>
      <c r="E30" s="23">
        <f>September!$S$37</f>
        <v>0</v>
      </c>
      <c r="F30" s="16">
        <v>9</v>
      </c>
      <c r="H30" s="24" t="s">
        <v>33</v>
      </c>
      <c r="I30" s="17">
        <v>9</v>
      </c>
      <c r="K30" s="24" t="s">
        <v>33</v>
      </c>
      <c r="L30" s="17">
        <v>9</v>
      </c>
      <c r="N30" s="336"/>
      <c r="O30" s="336"/>
      <c r="P30" s="336"/>
      <c r="Q30" s="336"/>
      <c r="R30" s="336"/>
      <c r="S30" s="336"/>
      <c r="T30" s="336"/>
      <c r="U30" s="336"/>
    </row>
    <row r="31" spans="2:21">
      <c r="B31" s="22" t="s">
        <v>34</v>
      </c>
      <c r="C31" s="3">
        <v>10</v>
      </c>
      <c r="D31" s="52">
        <f>UBERSICHT!G19</f>
        <v>0</v>
      </c>
      <c r="E31" s="23">
        <f>Oktober!$S$37</f>
        <v>0</v>
      </c>
      <c r="F31" s="16">
        <v>10</v>
      </c>
      <c r="H31" s="24" t="s">
        <v>34</v>
      </c>
      <c r="I31" s="17">
        <v>10</v>
      </c>
      <c r="K31" s="24" t="s">
        <v>34</v>
      </c>
      <c r="L31" s="17">
        <v>10</v>
      </c>
      <c r="N31" s="336"/>
      <c r="O31" s="336"/>
      <c r="P31" s="336"/>
      <c r="Q31" s="336"/>
      <c r="R31" s="336"/>
      <c r="S31" s="336"/>
      <c r="T31" s="336"/>
      <c r="U31" s="336"/>
    </row>
    <row r="32" spans="2:21">
      <c r="B32" s="22" t="s">
        <v>35</v>
      </c>
      <c r="C32" s="3">
        <v>11</v>
      </c>
      <c r="D32" s="52">
        <f>UBERSICHT!G20</f>
        <v>0</v>
      </c>
      <c r="E32" s="23">
        <f>November!$S$37</f>
        <v>0</v>
      </c>
      <c r="F32" s="16">
        <v>11</v>
      </c>
      <c r="H32" s="24" t="s">
        <v>35</v>
      </c>
      <c r="I32" s="17">
        <v>11</v>
      </c>
      <c r="K32" s="24" t="s">
        <v>35</v>
      </c>
      <c r="L32" s="17">
        <v>11</v>
      </c>
      <c r="N32" s="336"/>
      <c r="O32" s="336"/>
      <c r="P32" s="336"/>
      <c r="Q32" s="336"/>
      <c r="R32" s="336"/>
      <c r="S32" s="336"/>
      <c r="T32" s="336"/>
      <c r="U32" s="336"/>
    </row>
    <row r="33" spans="2:21">
      <c r="B33" s="22" t="s">
        <v>36</v>
      </c>
      <c r="C33" s="3">
        <v>12</v>
      </c>
      <c r="D33" s="52">
        <f>UBERSICHT!G21</f>
        <v>0</v>
      </c>
      <c r="E33" s="23">
        <f>Dezember!$S$37</f>
        <v>0</v>
      </c>
      <c r="F33" s="16">
        <v>12</v>
      </c>
      <c r="H33" s="24" t="s">
        <v>36</v>
      </c>
      <c r="I33" s="17">
        <v>12</v>
      </c>
      <c r="K33" s="24" t="s">
        <v>36</v>
      </c>
      <c r="L33" s="17">
        <v>12</v>
      </c>
      <c r="N33" s="336"/>
      <c r="O33" s="336"/>
      <c r="P33" s="336"/>
      <c r="Q33" s="336"/>
      <c r="R33" s="336"/>
      <c r="S33" s="336"/>
      <c r="T33" s="336"/>
      <c r="U33" s="336"/>
    </row>
    <row r="34" spans="2:21">
      <c r="N34" s="336"/>
      <c r="O34" s="336"/>
      <c r="P34" s="336"/>
      <c r="Q34" s="336"/>
      <c r="R34" s="336"/>
      <c r="S34" s="336"/>
      <c r="T34" s="336"/>
      <c r="U34" s="336"/>
    </row>
    <row r="35" spans="2:21" ht="14.5" customHeight="1">
      <c r="B35" s="340" t="s">
        <v>382</v>
      </c>
      <c r="C35" s="16">
        <v>2026</v>
      </c>
      <c r="D35" s="57"/>
      <c r="E35" s="57"/>
      <c r="N35" s="336"/>
      <c r="O35" s="336"/>
      <c r="P35" s="336"/>
      <c r="Q35" s="336"/>
      <c r="R35" s="336"/>
      <c r="S35" s="336"/>
      <c r="T35" s="336"/>
      <c r="U35" s="336"/>
    </row>
    <row r="36" spans="2:21">
      <c r="B36" s="57"/>
      <c r="C36" s="57"/>
      <c r="D36" s="57"/>
      <c r="N36" s="336"/>
      <c r="O36" s="336"/>
      <c r="P36" s="336"/>
      <c r="Q36" s="336"/>
      <c r="R36" s="336"/>
      <c r="S36" s="336"/>
      <c r="T36" s="336"/>
      <c r="U36" s="336"/>
    </row>
    <row r="37" spans="2:21" ht="16">
      <c r="B37" s="108" t="s">
        <v>194</v>
      </c>
      <c r="C37" s="108" t="s">
        <v>198</v>
      </c>
      <c r="N37" s="336"/>
      <c r="O37" s="336"/>
      <c r="P37" s="336"/>
      <c r="Q37" s="336"/>
      <c r="R37" s="336"/>
      <c r="S37" s="336"/>
      <c r="T37" s="336"/>
      <c r="U37" s="336"/>
    </row>
    <row r="38" spans="2:21" ht="17">
      <c r="B38" s="341" t="s">
        <v>199</v>
      </c>
      <c r="C38" s="106">
        <v>0</v>
      </c>
      <c r="N38" s="336"/>
      <c r="O38" s="336"/>
      <c r="P38" s="336"/>
      <c r="Q38" s="336"/>
      <c r="R38" s="336"/>
      <c r="S38" s="336"/>
      <c r="T38" s="336"/>
      <c r="U38" s="336"/>
    </row>
    <row r="39" spans="2:21" ht="17">
      <c r="B39" s="341" t="s">
        <v>200</v>
      </c>
      <c r="C39" s="106">
        <v>0</v>
      </c>
      <c r="N39" s="336"/>
      <c r="O39" s="336"/>
      <c r="P39" s="336"/>
      <c r="Q39" s="336"/>
      <c r="R39" s="336"/>
      <c r="S39" s="336"/>
      <c r="T39" s="336"/>
      <c r="U39" s="336"/>
    </row>
    <row r="40" spans="2:21" ht="17">
      <c r="B40" s="341" t="s">
        <v>196</v>
      </c>
      <c r="C40" s="106">
        <v>0</v>
      </c>
      <c r="N40" s="336"/>
      <c r="O40" s="336"/>
      <c r="P40" s="336"/>
      <c r="Q40" s="336"/>
      <c r="R40" s="336"/>
      <c r="S40" s="336"/>
      <c r="T40" s="336"/>
      <c r="U40" s="336"/>
    </row>
    <row r="41" spans="2:21" ht="17">
      <c r="B41" s="341" t="s">
        <v>201</v>
      </c>
      <c r="C41" s="106">
        <v>0</v>
      </c>
      <c r="N41" s="336"/>
      <c r="O41" s="336"/>
      <c r="P41" s="336"/>
      <c r="Q41" s="336"/>
      <c r="R41" s="336"/>
      <c r="S41" s="336"/>
      <c r="T41" s="336"/>
      <c r="U41" s="336"/>
    </row>
    <row r="42" spans="2:21" ht="17">
      <c r="B42" s="341" t="s">
        <v>202</v>
      </c>
      <c r="C42" s="106">
        <v>0.35</v>
      </c>
      <c r="N42" s="336"/>
      <c r="O42" s="336"/>
      <c r="P42" s="336"/>
      <c r="Q42" s="336"/>
      <c r="R42" s="336"/>
      <c r="S42" s="336"/>
      <c r="T42" s="336"/>
      <c r="U42" s="336"/>
    </row>
    <row r="43" spans="2:21" ht="17">
      <c r="B43" s="341" t="s">
        <v>203</v>
      </c>
      <c r="C43" s="106">
        <v>0.35</v>
      </c>
    </row>
    <row r="44" spans="2:21" ht="34">
      <c r="B44" s="341" t="s">
        <v>197</v>
      </c>
      <c r="C44" s="106">
        <v>0.5</v>
      </c>
    </row>
    <row r="45" spans="2:21" ht="34">
      <c r="B45" s="341" t="s">
        <v>204</v>
      </c>
      <c r="C45" s="106">
        <v>0.6</v>
      </c>
    </row>
    <row r="46" spans="2:21" ht="34">
      <c r="B46" s="341" t="s">
        <v>195</v>
      </c>
      <c r="C46" s="106">
        <v>0.75</v>
      </c>
    </row>
    <row r="47" spans="2:21" ht="34">
      <c r="B47" s="341" t="s">
        <v>205</v>
      </c>
      <c r="C47" s="106">
        <v>1</v>
      </c>
    </row>
    <row r="48" spans="2:21" ht="34">
      <c r="B48" s="341" t="s">
        <v>206</v>
      </c>
      <c r="C48" s="106">
        <v>1.1000000000000001</v>
      </c>
    </row>
    <row r="49" spans="2:3" ht="17">
      <c r="B49" s="341" t="s">
        <v>207</v>
      </c>
      <c r="C49" s="106">
        <v>0.7</v>
      </c>
    </row>
    <row r="50" spans="2:3" ht="16">
      <c r="B50" s="7"/>
      <c r="C50" s="7"/>
    </row>
    <row r="51" spans="2:3" ht="16">
      <c r="B51" s="7"/>
      <c r="C51" s="7"/>
    </row>
    <row r="52" spans="2:3" ht="16">
      <c r="B52" s="108" t="s">
        <v>208</v>
      </c>
      <c r="C52" s="108" t="s">
        <v>209</v>
      </c>
    </row>
    <row r="53" spans="2:3" ht="17">
      <c r="B53" s="107" t="s">
        <v>210</v>
      </c>
      <c r="C53" s="106">
        <v>0.3</v>
      </c>
    </row>
    <row r="54" spans="2:3" ht="17">
      <c r="B54" s="107" t="s">
        <v>211</v>
      </c>
      <c r="C54" s="106">
        <v>0.5</v>
      </c>
    </row>
    <row r="55" spans="2:3" ht="17">
      <c r="B55" s="107" t="s">
        <v>212</v>
      </c>
      <c r="C55" s="106">
        <v>0.75</v>
      </c>
    </row>
    <row r="56" spans="2:3" ht="17">
      <c r="B56" s="107" t="s">
        <v>213</v>
      </c>
      <c r="C56" s="106">
        <v>1</v>
      </c>
    </row>
    <row r="57" spans="2:3" ht="17">
      <c r="B57" s="107" t="s">
        <v>214</v>
      </c>
      <c r="C57" s="106">
        <v>1.25</v>
      </c>
    </row>
    <row r="58" spans="2:3" ht="17">
      <c r="B58" s="107" t="s">
        <v>215</v>
      </c>
      <c r="C58" s="106">
        <v>1.5</v>
      </c>
    </row>
    <row r="59" spans="2:3" ht="17">
      <c r="B59" s="107" t="s">
        <v>216</v>
      </c>
      <c r="C59" s="106">
        <v>2</v>
      </c>
    </row>
  </sheetData>
  <sheetProtection sort="0" autoFilter="0"/>
  <mergeCells count="12">
    <mergeCell ref="B19:F20"/>
    <mergeCell ref="H19:I20"/>
    <mergeCell ref="H21:I21"/>
    <mergeCell ref="K3:L4"/>
    <mergeCell ref="K5:L5"/>
    <mergeCell ref="K19:L20"/>
    <mergeCell ref="K21:L21"/>
    <mergeCell ref="N3:O4"/>
    <mergeCell ref="N5:O5"/>
    <mergeCell ref="H3:I4"/>
    <mergeCell ref="H5:I5"/>
    <mergeCell ref="B3:F4"/>
  </mergeCells>
  <pageMargins left="0.7" right="0.7" top="0.78740157499999996" bottom="0.78740157499999996" header="0.3" footer="0.3"/>
  <pageSetup paperSize="9" orientation="portrait" verticalDpi="597"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1</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401006</v>
      </c>
      <c r="C3" s="71" t="s">
        <v>248</v>
      </c>
      <c r="D3" s="72">
        <v>38188</v>
      </c>
      <c r="E3" s="73" t="s">
        <v>13</v>
      </c>
      <c r="F3" s="74">
        <v>173</v>
      </c>
      <c r="G3" s="115">
        <v>2328</v>
      </c>
      <c r="H3" s="88" t="e">
        <f>IF(AND(ISNUMBER(D3), ISNUMBER(F3)),
    ROUNDDOWN(
        MIN(
            IF(OR(ISBLANK(I3), I3=""),
                EOMONTH(DATE(#REF!, $A$1, 1), 0), I3)
            - MAX(D3, DATE(#REF!, $A$1, 1)) + 1)
        / DAY(EOMONTH(DATE(#REF!, $A$1, 1), 0)) * F3,
        2
    ),
    ""
)</f>
        <v>#REF!</v>
      </c>
      <c r="I3" s="85"/>
      <c r="J3" s="118"/>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401010</v>
      </c>
      <c r="C4" s="63" t="s">
        <v>249</v>
      </c>
      <c r="D4" s="64">
        <v>39388</v>
      </c>
      <c r="E4" s="65" t="s">
        <v>5</v>
      </c>
      <c r="F4" s="67">
        <v>173</v>
      </c>
      <c r="G4" s="116">
        <v>2183</v>
      </c>
      <c r="H4" s="89" t="e">
        <f>IF(AND(ISNUMBER(D4), ISNUMBER(F4)),
    ROUNDDOWN(
        MIN(
            IF(OR(ISBLANK(I4), I4=""),
                EOMONTH(DATE(#REF!, $A$1, 1), 0), I4)
            - MAX(D4, DATE(#REF!, $A$1, 1)) + 1)
        / DAY(EOMONTH(DATE(#REF!, $A$1, 1), 0)) * F4,
        2
    ),
    ""
)</f>
        <v>#REF!</v>
      </c>
      <c r="I4" s="86"/>
      <c r="J4" s="119"/>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401049</v>
      </c>
      <c r="C5" s="63" t="s">
        <v>250</v>
      </c>
      <c r="D5" s="64">
        <v>41130</v>
      </c>
      <c r="E5" s="65" t="s">
        <v>4</v>
      </c>
      <c r="F5" s="67">
        <v>173</v>
      </c>
      <c r="G5" s="116">
        <v>2123</v>
      </c>
      <c r="H5" s="89" t="e">
        <f>IF(AND(ISNUMBER(D5), ISNUMBER(F5)),
    ROUNDDOWN(
        MIN(
            IF(OR(ISBLANK(I5), I5=""),
                EOMONTH(DATE(#REF!, $A$1, 1), 0), I5)
            - MAX(D5, DATE(#REF!, $A$1, 1)) + 1)
        / DAY(EOMONTH(DATE(#REF!, $A$1, 1), 0)) * F5,
        2
    ),
    ""
)</f>
        <v>#REF!</v>
      </c>
      <c r="I5" s="86"/>
      <c r="J5" s="119"/>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724.55354077472225</v>
      </c>
      <c r="P5" s="15">
        <f>EINSTELLUNG!I6</f>
        <v>1</v>
      </c>
      <c r="Q5" s="14">
        <f>P5-O5</f>
        <v>-723.55354077472225</v>
      </c>
      <c r="R5" s="18">
        <f>IFERROR(Q5*Q42, 0)</f>
        <v>0</v>
      </c>
    </row>
    <row r="6" spans="1:28" ht="16" customHeight="1">
      <c r="A6" s="61" t="s">
        <v>55</v>
      </c>
      <c r="B6" s="101">
        <v>401047</v>
      </c>
      <c r="C6" s="63" t="s">
        <v>251</v>
      </c>
      <c r="D6" s="64">
        <v>41154</v>
      </c>
      <c r="E6" s="65" t="s">
        <v>4</v>
      </c>
      <c r="F6" s="67">
        <v>173</v>
      </c>
      <c r="G6" s="116">
        <v>2123</v>
      </c>
      <c r="H6" s="89" t="e">
        <f>IF(AND(ISNUMBER(D6), ISNUMBER(F6)),
    ROUNDDOWN(
        MIN(
            IF(OR(ISBLANK(I6), I6=""),
                EOMONTH(DATE(#REF!, $A$1, 1), 0), I6)
            - MAX(D6, DATE(#REF!, $A$1, 1)) + 1)
        / DAY(EOMONTH(DATE(#REF!, $A$1, 1), 0)) * F6,
        2
    ),
    ""
)</f>
        <v>#REF!</v>
      </c>
      <c r="I6" s="86"/>
      <c r="J6" s="119"/>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3" t="s">
        <v>252</v>
      </c>
      <c r="D7" s="64">
        <v>41176</v>
      </c>
      <c r="E7" s="65" t="s">
        <v>4</v>
      </c>
      <c r="F7" s="67">
        <v>173</v>
      </c>
      <c r="G7" s="116">
        <v>2123</v>
      </c>
      <c r="H7" s="89" t="e">
        <f>IF(AND(ISNUMBER(D7), ISNUMBER(F7)),
    ROUNDDOWN(
        MIN(
            IF(OR(ISBLANK(I7), I7=""),
                EOMONTH(DATE(#REF!, $A$1, 1), 0), I7)
            - MAX(D7, DATE(#REF!, $A$1, 1)) + 1)
        / DAY(EOMONTH(DATE(#REF!, $A$1, 1), 0)) * F7,
        2
    ),
    ""
)</f>
        <v>#REF!</v>
      </c>
      <c r="I7" s="86"/>
      <c r="J7" s="119"/>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401138</v>
      </c>
      <c r="C8" s="63" t="s">
        <v>253</v>
      </c>
      <c r="D8" s="64">
        <v>42006</v>
      </c>
      <c r="E8" s="65" t="s">
        <v>4</v>
      </c>
      <c r="F8" s="67">
        <v>173</v>
      </c>
      <c r="G8" s="116">
        <v>2123</v>
      </c>
      <c r="H8" s="89" t="e">
        <f>IF(AND(ISNUMBER(D8), ISNUMBER(F8)),
    ROUNDDOWN(
        MIN(
            IF(OR(ISBLANK(I8), I8=""),
                EOMONTH(DATE(#REF!, $A$1, 1), 0), I8)
            - MAX(D8, DATE(#REF!, $A$1, 1)) + 1)
        / DAY(EOMONTH(DATE(#REF!, $A$1, 1), 0)) * F8,
        2
    ),
    ""
)</f>
        <v>#REF!</v>
      </c>
      <c r="I8" s="86"/>
      <c r="J8" s="119"/>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401197</v>
      </c>
      <c r="C9" s="63" t="s">
        <v>254</v>
      </c>
      <c r="D9" s="64">
        <v>42644</v>
      </c>
      <c r="E9" s="65" t="s">
        <v>3</v>
      </c>
      <c r="F9" s="67">
        <v>173</v>
      </c>
      <c r="G9" s="116">
        <v>2082</v>
      </c>
      <c r="H9" s="89" t="e">
        <f>IF(AND(ISNUMBER(D9), ISNUMBER(F9)),
    ROUNDDOWN(
        MIN(
            IF(OR(ISBLANK(I9), I9=""),
                EOMONTH(DATE(#REF!, $A$1, 1), 0), I9)
            - MAX(D9, DATE(#REF!, $A$1, 1)) + 1)
        / DAY(EOMONTH(DATE(#REF!, $A$1, 1), 0)) * F9,
        2
    ),
    ""
)</f>
        <v>#REF!</v>
      </c>
      <c r="I9" s="86"/>
      <c r="J9" s="119"/>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EINSTELLUNG!L22</f>
        <v>1</v>
      </c>
      <c r="R9" s="164"/>
      <c r="S9" s="19">
        <f>IFERROR(Q9/Q8, 0)</f>
        <v>0</v>
      </c>
    </row>
    <row r="10" spans="1:28" ht="16" customHeight="1">
      <c r="A10" s="61" t="s">
        <v>61</v>
      </c>
      <c r="B10" s="101">
        <v>401276</v>
      </c>
      <c r="C10" s="63" t="s">
        <v>255</v>
      </c>
      <c r="D10" s="64">
        <v>43252</v>
      </c>
      <c r="E10" s="65" t="s">
        <v>3</v>
      </c>
      <c r="F10" s="67">
        <v>173</v>
      </c>
      <c r="G10" s="116">
        <v>2082</v>
      </c>
      <c r="H10" s="89" t="e">
        <f>IF(AND(ISNUMBER(D10), ISNUMBER(F10)),
    ROUNDDOWN(
        MIN(
            IF(OR(ISBLANK(I10), I10=""),
                EOMONTH(DATE(#REF!, $A$1, 1), 0), I10)
            - MAX(D10, DATE(#REF!, $A$1, 1)) + 1)
        / DAY(EOMONTH(DATE(#REF!, $A$1, 1), 0)) * F10,
        2
    ),
    ""
)</f>
        <v>#REF!</v>
      </c>
      <c r="I10" s="86"/>
      <c r="J10" s="119"/>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EINSTELLUNG!I22</f>
        <v>1</v>
      </c>
      <c r="R10" s="164"/>
    </row>
    <row r="11" spans="1:28" ht="16" customHeight="1">
      <c r="A11" s="61" t="s">
        <v>63</v>
      </c>
      <c r="B11" s="101">
        <v>401307</v>
      </c>
      <c r="C11" s="63" t="s">
        <v>256</v>
      </c>
      <c r="D11" s="64">
        <v>43571</v>
      </c>
      <c r="E11" s="65" t="s">
        <v>3</v>
      </c>
      <c r="F11" s="67">
        <v>173</v>
      </c>
      <c r="G11" s="116">
        <v>2082</v>
      </c>
      <c r="H11" s="89" t="e">
        <f>IF(AND(ISNUMBER(D11), ISNUMBER(F11)),
    ROUNDDOWN(
        MIN(
            IF(OR(ISBLANK(I11), I11=""),
                EOMONTH(DATE(#REF!, $A$1, 1), 0), I11)
            - MAX(D11, DATE(#REF!, $A$1, 1)) + 1)
        / DAY(EOMONTH(DATE(#REF!, $A$1, 1), 0)) * F11,
        2
    ),
    ""
)</f>
        <v>#REF!</v>
      </c>
      <c r="I11" s="86"/>
      <c r="J11" s="119"/>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v>
      </c>
      <c r="R11" s="164"/>
    </row>
    <row r="12" spans="1:28" ht="16" customHeight="1">
      <c r="A12" s="61" t="s">
        <v>65</v>
      </c>
      <c r="B12" s="101">
        <v>401308</v>
      </c>
      <c r="C12" s="63" t="s">
        <v>257</v>
      </c>
      <c r="D12" s="64">
        <v>43579</v>
      </c>
      <c r="E12" s="65" t="s">
        <v>3</v>
      </c>
      <c r="F12" s="67">
        <v>173</v>
      </c>
      <c r="G12" s="116">
        <v>2082</v>
      </c>
      <c r="H12" s="89" t="e">
        <f>IF(AND(ISNUMBER(D12), ISNUMBER(F12)),
    ROUNDDOWN(
        MIN(
            IF(OR(ISBLANK(I12), I12=""),
                EOMONTH(DATE(#REF!, $A$1, 1), 0), I12)
            - MAX(D12, DATE(#REF!, $A$1, 1)) + 1)
        / DAY(EOMONTH(DATE(#REF!, $A$1, 1), 0)) * F12,
        2
    ),
    ""
)</f>
        <v>#REF!</v>
      </c>
      <c r="I12" s="86"/>
      <c r="J12" s="119"/>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c r="R12" s="193"/>
    </row>
    <row r="13" spans="1:28" ht="16" customHeight="1">
      <c r="A13" s="62" t="s">
        <v>67</v>
      </c>
      <c r="B13" s="101">
        <v>401394</v>
      </c>
      <c r="C13" s="63" t="s">
        <v>258</v>
      </c>
      <c r="D13" s="64">
        <v>44379</v>
      </c>
      <c r="E13" s="65" t="s">
        <v>2</v>
      </c>
      <c r="F13" s="67">
        <v>173</v>
      </c>
      <c r="G13" s="116">
        <v>2021</v>
      </c>
      <c r="H13" s="89" t="e">
        <f>IF(AND(ISNUMBER(D13), ISNUMBER(F13)),
    ROUNDDOWN(
        MIN(
            IF(OR(ISBLANK(I13), I13=""),
                EOMONTH(DATE(#REF!, $A$1, 1), 0), I13)
            - MAX(D13, DATE(#REF!, $A$1, 1)) + 1)
        / DAY(EOMONTH(DATE(#REF!, $A$1, 1), 0)) * F13,
        2
    ),
    ""
)</f>
        <v>#REF!</v>
      </c>
      <c r="I13" s="86"/>
      <c r="J13" s="119"/>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401389</v>
      </c>
      <c r="C14" s="63" t="s">
        <v>259</v>
      </c>
      <c r="D14" s="64">
        <v>44384</v>
      </c>
      <c r="E14" s="65" t="s">
        <v>11</v>
      </c>
      <c r="F14" s="67">
        <v>173</v>
      </c>
      <c r="G14" s="116">
        <v>2300</v>
      </c>
      <c r="H14" s="89" t="e">
        <f>IF(AND(ISNUMBER(D14), ISNUMBER(F14)),
    ROUNDDOWN(
        MIN(
            IF(OR(ISBLANK(I14), I14=""),
                EOMONTH(DATE(#REF!, $A$1, 1), 0), I14)
            - MAX(D14, DATE(#REF!, $A$1, 1)) + 1)
        / DAY(EOMONTH(DATE(#REF!, $A$1, 1), 0)) * F14,
        2
    ),
    ""
)</f>
        <v>#REF!</v>
      </c>
      <c r="I14" s="86"/>
      <c r="J14" s="119"/>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EINSTELLUNG!L6</f>
        <v>1</v>
      </c>
      <c r="R14" s="164"/>
    </row>
    <row r="15" spans="1:28" ht="16" customHeight="1">
      <c r="A15" s="61" t="s">
        <v>71</v>
      </c>
      <c r="B15" s="101">
        <v>401432</v>
      </c>
      <c r="C15" s="63" t="s">
        <v>260</v>
      </c>
      <c r="D15" s="64">
        <v>44441</v>
      </c>
      <c r="E15" s="65" t="s">
        <v>2</v>
      </c>
      <c r="F15" s="67">
        <v>173</v>
      </c>
      <c r="G15" s="116">
        <v>2021</v>
      </c>
      <c r="H15" s="89" t="e">
        <f>IF(AND(ISNUMBER(D15), ISNUMBER(F15)),
    ROUNDDOWN(
        MIN(
            IF(OR(ISBLANK(I15), I15=""),
                EOMONTH(DATE(#REF!, $A$1, 1), 0), I15)
            - MAX(D15, DATE(#REF!, $A$1, 1)) + 1)
        / DAY(EOMONTH(DATE(#REF!, $A$1, 1), 0)) * F15,
        2
    ),
    ""
)</f>
        <v>#REF!</v>
      </c>
      <c r="I15" s="86"/>
      <c r="J15" s="119"/>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401558</v>
      </c>
      <c r="C16" s="63" t="s">
        <v>261</v>
      </c>
      <c r="D16" s="64">
        <v>44460</v>
      </c>
      <c r="E16" s="65" t="s">
        <v>2</v>
      </c>
      <c r="F16" s="67">
        <v>173</v>
      </c>
      <c r="G16" s="116">
        <v>2021</v>
      </c>
      <c r="H16" s="89" t="e">
        <f>IF(AND(ISNUMBER(D16), ISNUMBER(F16)),
    ROUNDDOWN(
        MIN(
            IF(OR(ISBLANK(I16), I16=""),
                EOMONTH(DATE(#REF!, $A$1, 1), 0), I16)
            - MAX(D16, DATE(#REF!, $A$1, 1)) + 1)
        / DAY(EOMONTH(DATE(#REF!, $A$1, 1), 0)) * F16,
        2
    ),
    ""
)</f>
        <v>#REF!</v>
      </c>
      <c r="I16" s="86"/>
      <c r="J16" s="119"/>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401476</v>
      </c>
      <c r="C17" s="63" t="s">
        <v>262</v>
      </c>
      <c r="D17" s="64">
        <v>44504</v>
      </c>
      <c r="E17" s="65" t="s">
        <v>2</v>
      </c>
      <c r="F17" s="67">
        <v>173</v>
      </c>
      <c r="G17" s="116">
        <v>2021</v>
      </c>
      <c r="H17" s="89" t="e">
        <f>IF(AND(ISNUMBER(D17), ISNUMBER(F17)),
    ROUNDDOWN(
        MIN(
            IF(OR(ISBLANK(I17), I17=""),
                EOMONTH(DATE(#REF!, $A$1, 1), 0), I17)
            - MAX(D17, DATE(#REF!, $A$1, 1)) + 1)
        / DAY(EOMONTH(DATE(#REF!, $A$1, 1), 0)) * F17,
        2
    ),
    ""
)</f>
        <v>#REF!</v>
      </c>
      <c r="I17" s="86"/>
      <c r="J17" s="119"/>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401479</v>
      </c>
      <c r="C18" s="63" t="s">
        <v>263</v>
      </c>
      <c r="D18" s="64">
        <v>44511</v>
      </c>
      <c r="E18" s="65" t="s">
        <v>6</v>
      </c>
      <c r="F18" s="67">
        <v>173</v>
      </c>
      <c r="G18" s="116">
        <v>2160</v>
      </c>
      <c r="H18" s="89" t="e">
        <f>IF(AND(ISNUMBER(D18), ISNUMBER(F18)),
    ROUNDDOWN(
        MIN(
            IF(OR(ISBLANK(I18), I18=""),
                EOMONTH(DATE(#REF!, $A$1, 1), 0), I18)
            - MAX(D18, DATE(#REF!, $A$1, 1)) + 1)
        / DAY(EOMONTH(DATE(#REF!, $A$1, 1), 0)) * F18,
        2
    ),
    ""
)</f>
        <v>#REF!</v>
      </c>
      <c r="I18" s="86"/>
      <c r="J18" s="119"/>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168"/>
      <c r="P18" s="169"/>
      <c r="Q18" s="161"/>
      <c r="R18" s="161"/>
    </row>
    <row r="19" spans="1:29" ht="16" customHeight="1">
      <c r="A19" s="61" t="s">
        <v>77</v>
      </c>
      <c r="B19" s="101">
        <v>401481</v>
      </c>
      <c r="C19" s="63" t="s">
        <v>264</v>
      </c>
      <c r="D19" s="64">
        <v>44531</v>
      </c>
      <c r="E19" s="65" t="s">
        <v>2</v>
      </c>
      <c r="F19" s="67">
        <v>173</v>
      </c>
      <c r="G19" s="116">
        <v>2021</v>
      </c>
      <c r="H19" s="89" t="e">
        <f>IF(AND(ISNUMBER(D19), ISNUMBER(F19)),
    ROUNDDOWN(
        MIN(
            IF(OR(ISBLANK(I19), I19=""),
                EOMONTH(DATE(#REF!, $A$1, 1), 0), I19)
            - MAX(D19, DATE(#REF!, $A$1, 1)) + 1)
        / DAY(EOMONTH(DATE(#REF!, $A$1, 1), 0)) * F19,
        2
    ),
    ""
)</f>
        <v>#REF!</v>
      </c>
      <c r="I19" s="86"/>
      <c r="J19" s="119"/>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168"/>
      <c r="P19" s="169"/>
      <c r="Q19" s="161"/>
      <c r="R19" s="161"/>
    </row>
    <row r="20" spans="1:29" ht="16" customHeight="1">
      <c r="A20" s="61" t="s">
        <v>78</v>
      </c>
      <c r="B20" s="101">
        <v>401564</v>
      </c>
      <c r="C20" s="63" t="s">
        <v>265</v>
      </c>
      <c r="D20" s="64">
        <v>44824</v>
      </c>
      <c r="E20" s="65" t="s">
        <v>2</v>
      </c>
      <c r="F20" s="67">
        <v>173</v>
      </c>
      <c r="G20" s="116">
        <v>2021</v>
      </c>
      <c r="H20" s="89" t="e">
        <f>IF(AND(ISNUMBER(D20), ISNUMBER(F20)),
    ROUNDDOWN(
        MIN(
            IF(OR(ISBLANK(I20), I20=""),
                EOMONTH(DATE(#REF!, $A$1, 1), 0), I20)
            - MAX(D20, DATE(#REF!, $A$1, 1)) + 1)
        / DAY(EOMONTH(DATE(#REF!, $A$1, 1), 0)) * F20,
        2
    ),
    ""
)</f>
        <v>#REF!</v>
      </c>
      <c r="I20" s="86"/>
      <c r="J20" s="119"/>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168"/>
      <c r="P20" s="169"/>
      <c r="Q20" s="161"/>
      <c r="R20" s="161"/>
    </row>
    <row r="21" spans="1:29" ht="16" customHeight="1">
      <c r="A21" s="62" t="s">
        <v>80</v>
      </c>
      <c r="B21" s="101">
        <v>401089</v>
      </c>
      <c r="C21" s="63" t="s">
        <v>266</v>
      </c>
      <c r="D21" s="64">
        <v>44868</v>
      </c>
      <c r="E21" s="65" t="s">
        <v>3</v>
      </c>
      <c r="F21" s="67">
        <v>173</v>
      </c>
      <c r="G21" s="116">
        <v>2082</v>
      </c>
      <c r="H21" s="89" t="e">
        <f>IF(AND(ISNUMBER(D21), ISNUMBER(F21)),
    ROUNDDOWN(
        MIN(
            IF(OR(ISBLANK(I21), I21=""),
                EOMONTH(DATE(#REF!, $A$1, 1), 0), I21)
            - MAX(D21, DATE(#REF!, $A$1, 1)) + 1)
        / DAY(EOMONTH(DATE(#REF!, $A$1, 1), 0)) * F21,
        2
    ),
    ""
)</f>
        <v>#REF!</v>
      </c>
      <c r="I21" s="86"/>
      <c r="J21" s="119"/>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168" t="s">
        <v>342</v>
      </c>
      <c r="P21" s="169"/>
      <c r="Q21" s="161">
        <v>5000</v>
      </c>
      <c r="R21" s="161"/>
    </row>
    <row r="22" spans="1:29" ht="16" customHeight="1">
      <c r="A22" s="61" t="s">
        <v>81</v>
      </c>
      <c r="B22" s="101">
        <v>401583</v>
      </c>
      <c r="C22" s="63" t="s">
        <v>267</v>
      </c>
      <c r="D22" s="64">
        <v>44900</v>
      </c>
      <c r="E22" s="65" t="s">
        <v>10</v>
      </c>
      <c r="F22" s="67">
        <v>173</v>
      </c>
      <c r="G22" s="116">
        <v>2300</v>
      </c>
      <c r="H22" s="89" t="e">
        <f>IF(AND(ISNUMBER(D22), ISNUMBER(F22)),
    ROUNDDOWN(
        MIN(
            IF(OR(ISBLANK(I22), I22=""),
                EOMONTH(DATE(#REF!, $A$1, 1), 0), I22)
            - MAX(D22, DATE(#REF!, $A$1, 1)) + 1)
        / DAY(EOMONTH(DATE(#REF!, $A$1, 1), 0)) * F22,
        2
    ),
    ""
)</f>
        <v>#REF!</v>
      </c>
      <c r="I22" s="86"/>
      <c r="J22" s="119"/>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168"/>
      <c r="P22" s="169"/>
      <c r="Q22" s="161"/>
      <c r="R22" s="161"/>
    </row>
    <row r="23" spans="1:29" ht="16" customHeight="1">
      <c r="A23" s="61" t="s">
        <v>82</v>
      </c>
      <c r="B23" s="101">
        <v>401589</v>
      </c>
      <c r="C23" s="63" t="s">
        <v>268</v>
      </c>
      <c r="D23" s="64">
        <v>44926</v>
      </c>
      <c r="E23" s="65" t="s">
        <v>10</v>
      </c>
      <c r="F23" s="67">
        <v>173</v>
      </c>
      <c r="G23" s="116">
        <v>2300</v>
      </c>
      <c r="H23" s="89" t="e">
        <f>IF(AND(ISNUMBER(D23), ISNUMBER(F23)),
    ROUNDDOWN(
        MIN(
            IF(OR(ISBLANK(I23), I23=""),
                EOMONTH(DATE(#REF!, $A$1, 1), 0), I23)
            - MAX(D23, DATE(#REF!, $A$1, 1)) + 1)
        / DAY(EOMONTH(DATE(#REF!, $A$1, 1), 0)) * F23,
        2
    ),
    ""
)</f>
        <v>#REF!</v>
      </c>
      <c r="I23" s="86"/>
      <c r="J23" s="119"/>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168"/>
      <c r="P23" s="169"/>
      <c r="Q23" s="161"/>
      <c r="R23" s="161"/>
      <c r="W23" s="12"/>
    </row>
    <row r="24" spans="1:29" ht="16" customHeight="1">
      <c r="A24" s="61" t="s">
        <v>83</v>
      </c>
      <c r="B24" s="101">
        <v>401602</v>
      </c>
      <c r="C24" s="63" t="s">
        <v>269</v>
      </c>
      <c r="D24" s="64">
        <v>45975</v>
      </c>
      <c r="E24" s="65" t="s">
        <v>2</v>
      </c>
      <c r="F24" s="67">
        <v>173</v>
      </c>
      <c r="G24" s="116">
        <v>2021</v>
      </c>
      <c r="H24" s="89" t="e">
        <f>IF(AND(ISNUMBER(D24), ISNUMBER(F24)),
    ROUNDDOWN(
        MIN(
            IF(OR(ISBLANK(I24), I24=""),
                EOMONTH(DATE(#REF!, $A$1, 1), 0), I24)
            - MAX(D24, DATE(#REF!, $A$1, 1)) + 1)
        / DAY(EOMONTH(DATE(#REF!, $A$1, 1), 0)) * F24,
        2
    ),
    ""
)</f>
        <v>#REF!</v>
      </c>
      <c r="I24" s="86"/>
      <c r="J24" s="119"/>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168"/>
      <c r="P24" s="169"/>
      <c r="Q24" s="161"/>
      <c r="R24" s="161"/>
      <c r="W24" s="12"/>
    </row>
    <row r="25" spans="1:29" ht="16" customHeight="1" thickBot="1">
      <c r="A25" s="62" t="s">
        <v>84</v>
      </c>
      <c r="B25" s="101">
        <v>401605</v>
      </c>
      <c r="C25" s="63" t="s">
        <v>270</v>
      </c>
      <c r="D25" s="64">
        <v>44986</v>
      </c>
      <c r="E25" s="65" t="s">
        <v>2</v>
      </c>
      <c r="F25" s="67">
        <v>173</v>
      </c>
      <c r="G25" s="116">
        <v>2021</v>
      </c>
      <c r="H25" s="89" t="e">
        <f>IF(AND(ISNUMBER(D25), ISNUMBER(F25)),
    ROUNDDOWN(
        MIN(
            IF(OR(ISBLANK(I25), I25=""),
                EOMONTH(DATE(#REF!, $A$1, 1), 0), I25)
            - MAX(D25, DATE(#REF!, $A$1, 1)) + 1)
        / DAY(EOMONTH(DATE(#REF!, $A$1, 1), 0)) * F25,
        2
    ),
    ""
)</f>
        <v>#REF!</v>
      </c>
      <c r="I25" s="86"/>
      <c r="J25" s="119"/>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11"/>
      <c r="P25" s="212"/>
      <c r="Q25" s="203"/>
      <c r="R25" s="203"/>
    </row>
    <row r="26" spans="1:29" ht="16" customHeight="1">
      <c r="A26" s="61" t="s">
        <v>85</v>
      </c>
      <c r="B26" s="101">
        <v>401626</v>
      </c>
      <c r="C26" s="63" t="s">
        <v>271</v>
      </c>
      <c r="D26" s="64">
        <v>45063</v>
      </c>
      <c r="E26" s="65" t="s">
        <v>2</v>
      </c>
      <c r="F26" s="67">
        <v>173</v>
      </c>
      <c r="G26" s="116">
        <v>2021</v>
      </c>
      <c r="H26" s="89" t="e">
        <f>IF(AND(ISNUMBER(D26), ISNUMBER(F26)),
    ROUNDDOWN(
        MIN(
            IF(OR(ISBLANK(I26), I26=""),
                EOMONTH(DATE(#REF!, $A$1, 1), 0), I26)
            - MAX(D26, DATE(#REF!, $A$1, 1)) + 1)
        / DAY(EOMONTH(DATE(#REF!, $A$1, 1), 0)) * F26,
        2
    ),
    ""
)</f>
        <v>#REF!</v>
      </c>
      <c r="I26" s="86"/>
      <c r="J26" s="119"/>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401633</v>
      </c>
      <c r="C27" s="63" t="s">
        <v>272</v>
      </c>
      <c r="D27" s="64">
        <v>45089</v>
      </c>
      <c r="E27" s="65" t="s">
        <v>10</v>
      </c>
      <c r="F27" s="67">
        <v>173</v>
      </c>
      <c r="G27" s="116">
        <v>2300</v>
      </c>
      <c r="H27" s="89" t="e">
        <f>IF(AND(ISNUMBER(D27), ISNUMBER(F27)),
    ROUNDDOWN(
        MIN(
            IF(OR(ISBLANK(I27), I27=""),
                EOMONTH(DATE(#REF!, $A$1, 1), 0), I27)
            - MAX(D27, DATE(#REF!, $A$1, 1)) + 1)
        / DAY(EOMONTH(DATE(#REF!, $A$1, 1), 0)) * F27,
        2
    ),
    ""
)</f>
        <v>#REF!</v>
      </c>
      <c r="I27" s="86"/>
      <c r="J27" s="119"/>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401647</v>
      </c>
      <c r="C28" s="63" t="s">
        <v>273</v>
      </c>
      <c r="D28" s="64">
        <v>45182</v>
      </c>
      <c r="E28" s="65" t="s">
        <v>2</v>
      </c>
      <c r="F28" s="67">
        <v>173</v>
      </c>
      <c r="G28" s="116">
        <v>2021</v>
      </c>
      <c r="H28" s="89" t="e">
        <f>IF(AND(ISNUMBER(D28), ISNUMBER(F28)),
    ROUNDDOWN(
        MIN(
            IF(OR(ISBLANK(I28), I28=""),
                EOMONTH(DATE(#REF!, $A$1, 1), 0), I28)
            - MAX(D28, DATE(#REF!, $A$1, 1)) + 1)
        / DAY(EOMONTH(DATE(#REF!, $A$1, 1), 0)) * F28,
        2
    ),
    ""
)</f>
        <v>#REF!</v>
      </c>
      <c r="I28" s="86"/>
      <c r="J28" s="119"/>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401661</v>
      </c>
      <c r="C29" s="63" t="s">
        <v>274</v>
      </c>
      <c r="D29" s="64">
        <v>45261</v>
      </c>
      <c r="E29" s="65" t="s">
        <v>2</v>
      </c>
      <c r="F29" s="67">
        <v>173</v>
      </c>
      <c r="G29" s="116">
        <v>2021</v>
      </c>
      <c r="H29" s="89" t="e">
        <f>IF(AND(ISNUMBER(D29), ISNUMBER(F29)),
    ROUNDDOWN(
        MIN(
            IF(OR(ISBLANK(I29), I29=""),
                EOMONTH(DATE(#REF!, $A$1, 1), 0), I29)
            - MAX(D29, DATE(#REF!, $A$1, 1)) + 1)
        / DAY(EOMONTH(DATE(#REF!, $A$1, 1), 0)) * F29,
        2
    ),
    ""
)</f>
        <v>#REF!</v>
      </c>
      <c r="I29" s="86"/>
      <c r="J29" s="119"/>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EINSTELLUNG!O6</f>
        <v>1</v>
      </c>
      <c r="R29" s="202"/>
    </row>
    <row r="30" spans="1:29" ht="16" customHeight="1">
      <c r="A30" s="61" t="s">
        <v>91</v>
      </c>
      <c r="B30" s="101">
        <v>401670</v>
      </c>
      <c r="C30" s="63" t="s">
        <v>275</v>
      </c>
      <c r="D30" s="64">
        <v>45358</v>
      </c>
      <c r="E30" s="65" t="s">
        <v>2</v>
      </c>
      <c r="F30" s="67">
        <v>173</v>
      </c>
      <c r="G30" s="116">
        <v>2021</v>
      </c>
      <c r="H30" s="89" t="e">
        <f>IF(AND(ISNUMBER(D30), ISNUMBER(F30)),
    ROUNDDOWN(
        MIN(
            IF(OR(ISBLANK(I30), I30=""),
                EOMONTH(DATE(#REF!, $A$1, 1), 0), I30)
            - MAX(D30, DATE(#REF!, $A$1, 1)) + 1)
        / DAY(EOMONTH(DATE(#REF!, $A$1, 1), 0)) * F30,
        2
    ),
    ""
)</f>
        <v>#REF!</v>
      </c>
      <c r="I30" s="86"/>
      <c r="J30" s="119"/>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401678</v>
      </c>
      <c r="C31" s="63" t="s">
        <v>276</v>
      </c>
      <c r="D31" s="64">
        <v>45414</v>
      </c>
      <c r="E31" s="65" t="s">
        <v>2</v>
      </c>
      <c r="F31" s="67">
        <v>173</v>
      </c>
      <c r="G31" s="116">
        <v>2021</v>
      </c>
      <c r="H31" s="89" t="e">
        <f>IF(AND(ISNUMBER(D31), ISNUMBER(F31)),
    ROUNDDOWN(
        MIN(
            IF(OR(ISBLANK(I31), I31=""),
                EOMONTH(DATE(#REF!, $A$1, 1), 0), I31)
            - MAX(D31, DATE(#REF!, $A$1, 1)) + 1)
        / DAY(EOMONTH(DATE(#REF!, $A$1, 1), 0)) * F31,
        2
    ),
    ""
)</f>
        <v>#REF!</v>
      </c>
      <c r="I31" s="86"/>
      <c r="J31" s="119"/>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1.9607843137254902E-2</v>
      </c>
      <c r="R31" s="218"/>
    </row>
    <row r="32" spans="1:29" ht="16" customHeight="1">
      <c r="A32" s="61" t="s">
        <v>94</v>
      </c>
      <c r="B32" s="101">
        <v>401691</v>
      </c>
      <c r="C32" s="63" t="s">
        <v>277</v>
      </c>
      <c r="D32" s="64">
        <v>45539</v>
      </c>
      <c r="E32" s="65" t="s">
        <v>2</v>
      </c>
      <c r="F32" s="67">
        <v>69.2</v>
      </c>
      <c r="G32" s="116">
        <v>808.4</v>
      </c>
      <c r="H32" s="89" t="e">
        <f>IF(AND(ISNUMBER(D32), ISNUMBER(F32)),
    ROUNDDOWN(
        MIN(
            IF(OR(ISBLANK(I32), I32=""),
                EOMONTH(DATE(#REF!, $A$1, 1), 0), I32)
            - MAX(D32, DATE(#REF!, $A$1, 1)) + 1)
        / DAY(EOMONTH(DATE(#REF!, $A$1, 1), 0)) * F32,
        2
    ),
    ""
)</f>
        <v>#REF!</v>
      </c>
      <c r="I32" s="86">
        <v>46047</v>
      </c>
      <c r="J32" s="119">
        <v>2</v>
      </c>
      <c r="K32" s="92">
        <f t="shared" si="0"/>
        <v>53.893333333333331</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t="s">
        <v>197</v>
      </c>
    </row>
    <row r="33" spans="1:24" ht="16" customHeight="1">
      <c r="A33" s="62" t="s">
        <v>95</v>
      </c>
      <c r="B33" s="101">
        <v>401690</v>
      </c>
      <c r="C33" s="63" t="s">
        <v>278</v>
      </c>
      <c r="D33" s="64">
        <v>45536</v>
      </c>
      <c r="E33" s="65" t="s">
        <v>2</v>
      </c>
      <c r="F33" s="67">
        <v>173</v>
      </c>
      <c r="G33" s="116">
        <v>2021</v>
      </c>
      <c r="H33" s="89" t="e">
        <f>IF(AND(ISNUMBER(D33), ISNUMBER(F33)),
    ROUNDDOWN(
        MIN(
            IF(OR(ISBLANK(I33), I33=""),
                EOMONTH(DATE(#REF!, $A$1, 1), 0), I33)
            - MAX(D33, DATE(#REF!, $A$1, 1)) + 1)
        / DAY(EOMONTH(DATE(#REF!, $A$1, 1), 0)) * F33,
        2
    ),
    ""
)</f>
        <v>#REF!</v>
      </c>
      <c r="I33" s="86"/>
      <c r="J33" s="119"/>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185" t="s">
        <v>96</v>
      </c>
      <c r="R33" s="186"/>
      <c r="S33" s="189" t="s">
        <v>97</v>
      </c>
      <c r="T33" s="190"/>
      <c r="U33" s="189" t="s">
        <v>98</v>
      </c>
      <c r="V33" s="190"/>
    </row>
    <row r="34" spans="1:24" ht="16" customHeight="1">
      <c r="A34" s="61" t="s">
        <v>99</v>
      </c>
      <c r="B34" s="101">
        <v>401703</v>
      </c>
      <c r="C34" s="63" t="s">
        <v>279</v>
      </c>
      <c r="D34" s="64">
        <v>45616</v>
      </c>
      <c r="E34" s="65" t="s">
        <v>2</v>
      </c>
      <c r="F34" s="67">
        <v>173</v>
      </c>
      <c r="G34" s="116">
        <v>2021</v>
      </c>
      <c r="H34" s="89" t="e">
        <f>IF(AND(ISNUMBER(D34), ISNUMBER(F34)),
    ROUNDDOWN(
        MIN(
            IF(OR(ISBLANK(I34), I34=""),
                EOMONTH(DATE(#REF!, $A$1, 1), 0), I34)
            - MAX(D34, DATE(#REF!, $A$1, 1)) + 1)
        / DAY(EOMONTH(DATE(#REF!, $A$1, 1), 0)) * F34,
        2
    ),
    ""
)</f>
        <v>#REF!</v>
      </c>
      <c r="I34" s="86"/>
      <c r="J34" s="119"/>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187"/>
      <c r="R34" s="188"/>
      <c r="S34" s="191"/>
      <c r="T34" s="192"/>
      <c r="U34" s="191"/>
      <c r="V34" s="192"/>
    </row>
    <row r="35" spans="1:24" ht="16" customHeight="1">
      <c r="A35" s="61" t="s">
        <v>100</v>
      </c>
      <c r="B35" s="101">
        <v>401214</v>
      </c>
      <c r="C35" s="63" t="s">
        <v>280</v>
      </c>
      <c r="D35" s="64">
        <v>45636</v>
      </c>
      <c r="E35" s="65" t="s">
        <v>3</v>
      </c>
      <c r="F35" s="67">
        <v>173</v>
      </c>
      <c r="G35" s="116">
        <v>2082</v>
      </c>
      <c r="H35" s="89" t="e">
        <f>IF(AND(ISNUMBER(D35), ISNUMBER(F35)),
    ROUNDDOWN(
        MIN(
            IF(OR(ISBLANK(I35), I35=""),
                EOMONTH(DATE(#REF!, $A$1, 1), 0), I35)
            - MAX(D35, DATE(#REF!, $A$1, 1)) + 1)
        / DAY(EOMONTH(DATE(#REF!, $A$1, 1), 0)) * F35,
        2
    ),
    ""
)</f>
        <v>#REF!</v>
      </c>
      <c r="I35" s="86"/>
      <c r="J35" s="119"/>
      <c r="K35" s="92">
        <f t="shared" ref="K35:K82"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EINSTELLUNG!C6</f>
        <v>1</v>
      </c>
      <c r="R35" s="174"/>
      <c r="S35" s="174">
        <f>EINSTELLUNG!C22</f>
        <v>1</v>
      </c>
      <c r="T35" s="174"/>
      <c r="U35" s="175">
        <f>S35-Q35</f>
        <v>0</v>
      </c>
      <c r="V35" s="175"/>
    </row>
    <row r="36" spans="1:24" ht="16" customHeight="1">
      <c r="A36" s="61" t="s">
        <v>102</v>
      </c>
      <c r="B36" s="101">
        <v>401715</v>
      </c>
      <c r="C36" s="63" t="s">
        <v>281</v>
      </c>
      <c r="D36" s="64">
        <v>45755</v>
      </c>
      <c r="E36" s="65" t="s">
        <v>2</v>
      </c>
      <c r="F36" s="67">
        <v>173</v>
      </c>
      <c r="G36" s="116">
        <v>2021</v>
      </c>
      <c r="H36" s="89" t="e">
        <f>IF(AND(ISNUMBER(D36), ISNUMBER(F36)),
    ROUNDDOWN(
        MIN(
            IF(OR(ISBLANK(I36), I36=""),
                EOMONTH(DATE(#REF!, $A$1, 1), 0), I36)
            - MAX(D36, DATE(#REF!, $A$1, 1)) + 1)
        / DAY(EOMONTH(DATE(#REF!, $A$1, 1), 0)) * F36,
        2
    ),
    ""
)</f>
        <v>#REF!</v>
      </c>
      <c r="I36" s="86"/>
      <c r="J36" s="119"/>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EINSTELLUNG!D6</f>
        <v>1</v>
      </c>
      <c r="R36" s="174"/>
      <c r="S36" s="174" cm="1">
        <f t="array" ref="S36">SumMergedCells(Q17:R29)</f>
        <v>0</v>
      </c>
      <c r="T36" s="174"/>
      <c r="U36" s="175">
        <f t="shared" ref="U36:U41" si="2">S36-Q36</f>
        <v>-1</v>
      </c>
      <c r="V36" s="175"/>
    </row>
    <row r="37" spans="1:24" ht="16" customHeight="1">
      <c r="A37" s="62" t="s">
        <v>104</v>
      </c>
      <c r="B37" s="101">
        <v>401716</v>
      </c>
      <c r="C37" s="63" t="s">
        <v>282</v>
      </c>
      <c r="D37" s="64">
        <v>45800</v>
      </c>
      <c r="E37" s="65" t="s">
        <v>2</v>
      </c>
      <c r="F37" s="67">
        <v>173</v>
      </c>
      <c r="G37" s="116">
        <v>2021</v>
      </c>
      <c r="H37" s="89" t="e">
        <f>IF(AND(ISNUMBER(D37), ISNUMBER(F37)),
    ROUNDDOWN(
        MIN(
            IF(OR(ISBLANK(I37), I37=""),
                EOMONTH(DATE(#REF!, $A$1, 1), 0), I37)
            - MAX(D37, DATE(#REF!, $A$1, 1)) + 1)
        / DAY(EOMONTH(DATE(#REF!, $A$1, 1), 0)) * F37,
        2
    ),
    ""
)</f>
        <v>#REF!</v>
      </c>
      <c r="I37" s="86"/>
      <c r="J37" s="119"/>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2"/>
        <v>-1</v>
      </c>
      <c r="V37" s="182"/>
    </row>
    <row r="38" spans="1:24" ht="16" customHeight="1">
      <c r="A38" s="61" t="s">
        <v>106</v>
      </c>
      <c r="B38" s="101">
        <v>401717</v>
      </c>
      <c r="C38" s="63" t="s">
        <v>283</v>
      </c>
      <c r="D38" s="64">
        <v>45814</v>
      </c>
      <c r="E38" s="65" t="s">
        <v>2</v>
      </c>
      <c r="F38" s="67">
        <v>173</v>
      </c>
      <c r="G38" s="116">
        <v>2021</v>
      </c>
      <c r="H38" s="89" t="e">
        <f>IF(AND(ISNUMBER(D38), ISNUMBER(F38)),
    ROUNDDOWN(
        MIN(
            IF(OR(ISBLANK(I39), I39=""),
                EOMONTH(DATE(#REF!, $A$1, 1), 0), I39)
            - MAX(D38, DATE(#REF!, $A$1, 1)) + 1)
        / DAY(EOMONTH(DATE(#REF!, $A$1, 1), 0)) * F38,
        2
    ),
    ""
)</f>
        <v>#REF!</v>
      </c>
      <c r="I38" s="86"/>
      <c r="J38" s="119"/>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EINSTELLUNG!F6</f>
        <v>1</v>
      </c>
      <c r="R38" s="176"/>
      <c r="S38" s="176">
        <f>EINSTELLUNG!F22</f>
        <v>1</v>
      </c>
      <c r="T38" s="176"/>
      <c r="U38" s="177">
        <f t="shared" si="2"/>
        <v>0</v>
      </c>
      <c r="V38" s="177"/>
    </row>
    <row r="39" spans="1:24" ht="16" customHeight="1">
      <c r="A39" s="61" t="s">
        <v>108</v>
      </c>
      <c r="B39" s="101">
        <v>401722</v>
      </c>
      <c r="C39" s="63" t="s">
        <v>284</v>
      </c>
      <c r="D39" s="64">
        <v>45848</v>
      </c>
      <c r="E39" s="65" t="s">
        <v>2</v>
      </c>
      <c r="F39" s="67">
        <v>86.5</v>
      </c>
      <c r="G39" s="116">
        <v>1010.5</v>
      </c>
      <c r="H39" s="89" t="e">
        <f>IF(AND(ISNUMBER(D39), ISNUMBER(F39)),
    ROUNDDOWN(
        MIN(
            IF(OR(ISBLANK(I40), I40=""),
                EOMONTH(DATE(#REF!, $A$1, 1), 0), I40)
            - MAX(D39, DATE(#REF!, $A$1, 1)) + 1)
        / DAY(EOMONTH(DATE(#REF!, $A$1, 1), 0)) * F39,
        2
    ),
    ""
)</f>
        <v>#REF!</v>
      </c>
      <c r="I39" s="86"/>
      <c r="J39" s="119"/>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3" t="s">
        <v>285</v>
      </c>
      <c r="D40" s="64">
        <v>45852</v>
      </c>
      <c r="E40" s="65" t="s">
        <v>2</v>
      </c>
      <c r="F40" s="67">
        <v>86.5</v>
      </c>
      <c r="G40" s="116">
        <v>1010.5</v>
      </c>
      <c r="H40" s="89" t="e">
        <f>IF(AND(ISNUMBER(D40), ISNUMBER(F40)),
    ROUNDDOWN(
        MIN(
            IF(OR(ISBLANK(I40), I40=""),
                EOMONTH(DATE(#REF!, $A$1, 1), 0), I40)
            - MAX(D40, DATE(#REF!, $A$1, 1)) + 1)
        / DAY(EOMONTH(DATE(#REF!, $A$1, 1), 0)) * F40,
        2
    ),
    ""
)</f>
        <v>#REF!</v>
      </c>
      <c r="I40" s="86"/>
      <c r="J40" s="119"/>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2"/>
        <v>#REF!</v>
      </c>
      <c r="V40" s="175"/>
    </row>
    <row r="41" spans="1:24" ht="16" customHeight="1">
      <c r="A41" s="62" t="s">
        <v>112</v>
      </c>
      <c r="B41" s="101">
        <v>401726</v>
      </c>
      <c r="C41" s="63" t="s">
        <v>286</v>
      </c>
      <c r="D41" s="64">
        <v>45870</v>
      </c>
      <c r="E41" s="65" t="s">
        <v>2</v>
      </c>
      <c r="F41" s="67">
        <v>86.5</v>
      </c>
      <c r="G41" s="116">
        <v>1010.5</v>
      </c>
      <c r="H41" s="89" t="e">
        <f>IF(AND(ISNUMBER(D41), ISNUMBER(F41)),
    ROUNDDOWN(
        MIN(
            IF(OR(ISBLANK(I41), I41=""),
                EOMONTH(DATE(#REF!, $A$1, 1), 0), I41)
            - MAX(D41, DATE(#REF!, $A$1, 1)) + 1)
        / DAY(EOMONTH(DATE(#REF!, $A$1, 1), 0)) * F41,
        2
    ),
    ""
)</f>
        <v>#REF!</v>
      </c>
      <c r="I41" s="86"/>
      <c r="J41" s="119"/>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2"/>
        <v>#REF!</v>
      </c>
      <c r="V41" s="177"/>
    </row>
    <row r="42" spans="1:24" ht="16" customHeight="1">
      <c r="A42" s="61" t="s">
        <v>114</v>
      </c>
      <c r="B42" s="101">
        <v>401731</v>
      </c>
      <c r="C42" s="63" t="s">
        <v>287</v>
      </c>
      <c r="D42" s="64">
        <v>45899</v>
      </c>
      <c r="E42" s="65" t="s">
        <v>2</v>
      </c>
      <c r="F42" s="67">
        <v>86.5</v>
      </c>
      <c r="G42" s="116">
        <v>1010.5</v>
      </c>
      <c r="H42" s="89" t="e">
        <f>IF(AND(ISNUMBER(D42), ISNUMBER(F42)),
    ROUNDDOWN(
        MIN(
            IF(OR(ISBLANK(I42), I42=""),
                EOMONTH(DATE(#REF!, $A$1, 1), 0), I42)
            - MAX(D42, DATE(#REF!, $A$1, 1)) + 1)
        / DAY(EOMONTH(DATE(#REF!, $A$1, 1), 0)) * F42,
        2
    ),
    ""
)</f>
        <v>#REF!</v>
      </c>
      <c r="I42" s="86"/>
      <c r="J42" s="119"/>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401730</v>
      </c>
      <c r="C43" s="63" t="s">
        <v>288</v>
      </c>
      <c r="D43" s="64">
        <v>45895</v>
      </c>
      <c r="E43" s="65" t="s">
        <v>2</v>
      </c>
      <c r="F43" s="67">
        <v>86.5</v>
      </c>
      <c r="G43" s="116">
        <v>1010.5</v>
      </c>
      <c r="H43" s="89" t="e">
        <f>IF(AND(ISNUMBER(D43), ISNUMBER(F43)),
    ROUNDDOWN(
        MIN(
            IF(OR(ISBLANK(I43), I43=""),
                EOMONTH(DATE(#REF!, $A$1, 1), 0), I43)
            - MAX(D43, DATE(#REF!, $A$1, 1)) + 1)
        / DAY(EOMONTH(DATE(#REF!, $A$1, 1), 0)) * F43,
        2
    ),
    ""
)</f>
        <v>#REF!</v>
      </c>
      <c r="I43" s="86"/>
      <c r="J43" s="119"/>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3" t="s">
        <v>289</v>
      </c>
      <c r="D44" s="64">
        <v>45904</v>
      </c>
      <c r="E44" s="65" t="s">
        <v>2</v>
      </c>
      <c r="F44" s="67">
        <v>86.5</v>
      </c>
      <c r="G44" s="116">
        <v>1010.5</v>
      </c>
      <c r="H44" s="89" t="e">
        <f>IF(AND(ISNUMBER(D44), ISNUMBER(F44)),
    ROUNDDOWN(
        MIN(
            IF(OR(ISBLANK(I44), I44=""),
                EOMONTH(DATE(#REF!, $A$1, 1), 0), I44)
            - MAX(D44, DATE(#REF!, $A$1, 1)) + 1)
        / DAY(EOMONTH(DATE(#REF!, $A$1, 1), 0)) * F44,
        2
    ),
    ""
)</f>
        <v>#REF!</v>
      </c>
      <c r="I44" s="86"/>
      <c r="J44" s="119"/>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3" t="s">
        <v>290</v>
      </c>
      <c r="D45" s="64">
        <v>45906</v>
      </c>
      <c r="E45" s="65" t="s">
        <v>2</v>
      </c>
      <c r="F45" s="67">
        <v>86.5</v>
      </c>
      <c r="G45" s="116">
        <v>1010.5</v>
      </c>
      <c r="H45" s="89" t="e">
        <f>IF(AND(ISNUMBER(D45), ISNUMBER(F45)),
    ROUNDDOWN(
        MIN(
            IF(OR(ISBLANK(I45), I45=""),
                EOMONTH(DATE(#REF!, $A$1, 1), 0), I45)
            - MAX(D45, DATE(#REF!, $A$1, 1)) + 1)
        / DAY(EOMONTH(DATE(#REF!, $A$1, 1), 0)) * F45,
        2
    ),
    ""
)</f>
        <v>#REF!</v>
      </c>
      <c r="I45" s="86"/>
      <c r="J45" s="119"/>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3" t="s">
        <v>291</v>
      </c>
      <c r="D46" s="64">
        <v>45906</v>
      </c>
      <c r="E46" s="65" t="s">
        <v>2</v>
      </c>
      <c r="F46" s="67">
        <v>86.5</v>
      </c>
      <c r="G46" s="116">
        <v>1010.5</v>
      </c>
      <c r="H46" s="89" t="e">
        <f>IF(AND(ISNUMBER(D46), ISNUMBER(F46)),
    ROUNDDOWN(
        MIN(
            IF(OR(ISBLANK(I46), I46=""),
                EOMONTH(DATE(#REF!, $A$1, 1), 0), I46)
            - MAX(D46, DATE(#REF!, $A$1, 1)) + 1)
        / DAY(EOMONTH(DATE(#REF!, $A$1, 1), 0)) * F46,
        2
    ),
    ""
)</f>
        <v>#REF!</v>
      </c>
      <c r="I46" s="86"/>
      <c r="J46" s="119"/>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3" t="s">
        <v>292</v>
      </c>
      <c r="D47" s="64">
        <v>45909</v>
      </c>
      <c r="E47" s="65" t="s">
        <v>2</v>
      </c>
      <c r="F47" s="67">
        <v>86.5</v>
      </c>
      <c r="G47" s="116">
        <v>1010.5</v>
      </c>
      <c r="H47" s="89" t="e">
        <f>IF(AND(ISNUMBER(D47), ISNUMBER(F47)),
    ROUNDDOWN(
        MIN(
            IF(OR(ISBLANK(I47), I47=""),
                EOMONTH(DATE(#REF!, $A$1, 1), 0), I47)
            - MAX(D47, DATE(#REF!, $A$1, 1)) + 1)
        / DAY(EOMONTH(DATE(#REF!, $A$1, 1), 0)) * F47,
        2
    ),
    ""
)</f>
        <v>#REF!</v>
      </c>
      <c r="I47" s="86"/>
      <c r="J47" s="119"/>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401747</v>
      </c>
      <c r="C48" s="68" t="s">
        <v>293</v>
      </c>
      <c r="D48" s="69">
        <v>45941</v>
      </c>
      <c r="E48" s="65" t="s">
        <v>2</v>
      </c>
      <c r="F48" s="67">
        <v>86.5</v>
      </c>
      <c r="G48" s="116">
        <v>1010.5</v>
      </c>
      <c r="H48" s="89" t="e">
        <f>IF(AND(ISNUMBER(D48), ISNUMBER(F48)),
    ROUNDDOWN(
        MIN(
            IF(OR(ISBLANK(I48), I48=""),
                EOMONTH(DATE(#REF!, $A$1, 1), 0), I48)
            - MAX(D48, DATE(#REF!, $A$1, 1)) + 1)
        / DAY(EOMONTH(DATE(#REF!, $A$1, 1), 0)) * F48,
        2
    ),
    ""
)</f>
        <v>#REF!</v>
      </c>
      <c r="I48" s="86"/>
      <c r="J48" s="119"/>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401748</v>
      </c>
      <c r="C49" s="68" t="s">
        <v>294</v>
      </c>
      <c r="D49" s="69">
        <v>45941</v>
      </c>
      <c r="E49" s="65" t="s">
        <v>2</v>
      </c>
      <c r="F49" s="67">
        <v>86.5</v>
      </c>
      <c r="G49" s="116">
        <v>1010.5</v>
      </c>
      <c r="H49" s="89" t="e">
        <f>IF(AND(ISNUMBER(D49), ISNUMBER(F49)),
    ROUNDDOWN(
        MIN(
            IF(OR(ISBLANK(I49), I49=""),
                EOMONTH(DATE(#REF!, $A$1, 1), 0), I49)
            - MAX(D49, DATE(#REF!, $A$1, 1)) + 1)
        / DAY(EOMONTH(DATE(#REF!, $A$1, 1), 0)) * F49,
        2
    ),
    ""
)</f>
        <v>#REF!</v>
      </c>
      <c r="I49" s="86"/>
      <c r="J49" s="119"/>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401746</v>
      </c>
      <c r="C50" s="70" t="s">
        <v>295</v>
      </c>
      <c r="D50" s="69">
        <v>45941</v>
      </c>
      <c r="E50" s="65" t="s">
        <v>2</v>
      </c>
      <c r="F50" s="67">
        <v>86.5</v>
      </c>
      <c r="G50" s="116">
        <v>1010.5</v>
      </c>
      <c r="H50" s="89" t="e">
        <f>IF(AND(ISNUMBER(D50), ISNUMBER(F50)),
    ROUNDDOWN(
        MIN(
            IF(OR(ISBLANK(I50), I50=""),
                EOMONTH(DATE(#REF!, $A$1, 1), 0), I50)
            - MAX(D50, DATE(#REF!, $A$1, 1)) + 1)
        / DAY(EOMONTH(DATE(#REF!, $A$1, 1), 0)) * F50,
        2
    ),
    ""
)</f>
        <v>#REF!</v>
      </c>
      <c r="I50" s="86"/>
      <c r="J50" s="119"/>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401745</v>
      </c>
      <c r="C51" s="68" t="s">
        <v>296</v>
      </c>
      <c r="D51" s="69">
        <v>45934</v>
      </c>
      <c r="E51" s="65" t="s">
        <v>2</v>
      </c>
      <c r="F51" s="67">
        <v>86.5</v>
      </c>
      <c r="G51" s="116">
        <v>1010.5</v>
      </c>
      <c r="H51" s="89" t="e">
        <f>IF(AND(ISNUMBER(D51), ISNUMBER(F51)),
    ROUNDDOWN(
        MIN(
            IF(OR(ISBLANK(I51), I51=""),
                EOMONTH(DATE(#REF!, $A$1, 1), 0), I51)
            - MAX(D51, DATE(#REF!, $A$1, 1)) + 1)
        / DAY(EOMONTH(DATE(#REF!, $A$1, 1), 0)) * F51,
        2
    ),
    ""
)</f>
        <v>#REF!</v>
      </c>
      <c r="I51" s="86"/>
      <c r="J51" s="119"/>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69">
        <v>45961</v>
      </c>
      <c r="E52" s="65" t="s">
        <v>2</v>
      </c>
      <c r="F52" s="67">
        <v>86.5</v>
      </c>
      <c r="G52" s="116">
        <v>1010.5</v>
      </c>
      <c r="H52" s="89" t="e">
        <f>IF(AND(ISNUMBER(D52), ISNUMBER(F52)),
    ROUNDDOWN(
        MIN(
            IF(OR(ISBLANK(I52), I52=""),
                EOMONTH(DATE(#REF!, $A$1, 1), 0), I52)
            - MAX(D52, DATE(#REF!, $A$1, 1)) + 1)
        / DAY(EOMONTH(DATE(#REF!, $A$1, 1), 0)) * F52,
        2
    ),
    ""
)</f>
        <v>#REF!</v>
      </c>
      <c r="I52" s="86"/>
      <c r="J52" s="119"/>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69">
        <v>45986</v>
      </c>
      <c r="E53" s="65" t="s">
        <v>2</v>
      </c>
      <c r="F53" s="67">
        <v>86.5</v>
      </c>
      <c r="G53" s="116">
        <v>1010.5</v>
      </c>
      <c r="H53" s="89" t="e">
        <f>IF(AND(ISNUMBER(D53), ISNUMBER(F53)),
    ROUNDDOWN(
        MIN(
            IF(OR(ISBLANK(I53), I53=""),
                EOMONTH(DATE(#REF!, $A$1, 1), 0), I53)
            - MAX(D53, DATE(#REF!, $A$1, 1)) + 1)
        / DAY(EOMONTH(DATE(#REF!, $A$1, 1), 0)) * F53,
        2
    ),
    ""
)</f>
        <v>#REF!</v>
      </c>
      <c r="I53" s="86"/>
      <c r="J53" s="119"/>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401754</v>
      </c>
      <c r="C54" s="68" t="s">
        <v>299</v>
      </c>
      <c r="D54" s="69">
        <v>46014</v>
      </c>
      <c r="E54" s="65" t="s">
        <v>2</v>
      </c>
      <c r="F54" s="67">
        <v>86.5</v>
      </c>
      <c r="G54" s="116">
        <v>1010.5</v>
      </c>
      <c r="H54" s="89" t="e">
        <f>IF(AND(ISNUMBER(D54), ISNUMBER(F54)),
    ROUNDDOWN(
        MIN(
            IF(OR(ISBLANK(I54), I54=""),
                EOMONTH(DATE(#REF!, $A$1, 1), 0), I54)
            - MAX(D54, DATE(#REF!, $A$1, 1)) + 1)
        / DAY(EOMONTH(DATE(#REF!, $A$1, 1), 0)) * F54,
        2
    ),
    ""
)</f>
        <v>#REF!</v>
      </c>
      <c r="I54" s="86"/>
      <c r="J54" s="119"/>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c r="C55" s="68"/>
      <c r="D55" s="69"/>
      <c r="E55" s="65"/>
      <c r="F55" s="67"/>
      <c r="G55" s="116"/>
      <c r="H55" s="89" t="str">
        <f>IF(AND(ISNUMBER(D55), ISNUMBER(F55)),
    ROUNDDOWN(
        MIN(
            IF(OR(ISBLANK(I55), I55=""),
                EOMONTH(DATE(#REF!, $A$1, 1), 0), I55)
            - MAX(D55, DATE(#REF!, $A$1, 1)) + 1)
        / DAY(EOMONTH(DATE(#REF!, $A$1, 1), 0)) * F55,
        2
    ),
    ""
)</f>
        <v/>
      </c>
      <c r="I55" s="86"/>
      <c r="J55" s="119"/>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c r="C56" s="68"/>
      <c r="D56" s="69"/>
      <c r="E56" s="65"/>
      <c r="F56" s="67"/>
      <c r="G56" s="116"/>
      <c r="H56" s="89" t="str">
        <f>IF(AND(ISNUMBER(D56), ISNUMBER(F56)),
    ROUNDDOWN(
        MIN(
            IF(OR(ISBLANK(I56), I56=""),
                EOMONTH(DATE(#REF!, $A$1, 1), 0), I56)
            - MAX(D56, DATE(#REF!, $A$1, 1)) + 1)
        / DAY(EOMONTH(DATE(#REF!, $A$1, 1), 0)) * F56,
        2
    ),
    ""
)</f>
        <v/>
      </c>
      <c r="I56" s="86"/>
      <c r="J56" s="119"/>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c r="C57" s="68"/>
      <c r="D57" s="69"/>
      <c r="E57" s="65"/>
      <c r="F57" s="67"/>
      <c r="G57" s="116"/>
      <c r="H57" s="89" t="str">
        <f>IF(AND(ISNUMBER(D57), ISNUMBER(F57)),
    ROUNDDOWN(
        MIN(
            IF(OR(ISBLANK(I57), I57=""),
                EOMONTH(DATE(#REF!, $A$1, 1), 0), I57)
            - MAX(D57, DATE(#REF!, $A$1, 1)) + 1)
        / DAY(EOMONTH(DATE(#REF!, $A$1, 1), 0)) * F57,
        2
    ),
    ""
)</f>
        <v/>
      </c>
      <c r="I57" s="86"/>
      <c r="J57" s="119"/>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c r="C58" s="68"/>
      <c r="D58" s="69"/>
      <c r="E58" s="65"/>
      <c r="F58" s="67"/>
      <c r="G58" s="116"/>
      <c r="H58" s="89" t="str">
        <f>IF(AND(ISNUMBER(D58), ISNUMBER(F58)),
    ROUNDDOWN(
        MIN(
            IF(OR(ISBLANK(I58), I58=""),
                EOMONTH(DATE(#REF!, $A$1, 1), 0), I58)
            - MAX(D58, DATE(#REF!, $A$1, 1)) + 1)
        / DAY(EOMONTH(DATE(#REF!, $A$1, 1), 0)) * F58,
        2
    ),
    ""
)</f>
        <v/>
      </c>
      <c r="I58" s="86"/>
      <c r="J58" s="119"/>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c r="C59" s="68"/>
      <c r="D59" s="69"/>
      <c r="E59" s="65"/>
      <c r="F59" s="67"/>
      <c r="G59" s="116"/>
      <c r="H59" s="89" t="str">
        <f>IF(AND(ISNUMBER(D59), ISNUMBER(F59)),
    ROUNDDOWN(
        MIN(
            IF(OR(ISBLANK(I59), I59=""),
                EOMONTH(DATE(#REF!, $A$1, 1), 0), I59)
            - MAX(D59, DATE(#REF!, $A$1, 1)) + 1)
        / DAY(EOMONTH(DATE(#REF!, $A$1, 1), 0)) * F59,
        2
    ),
    ""
)</f>
        <v/>
      </c>
      <c r="I59" s="86"/>
      <c r="J59" s="119"/>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c r="C60" s="68"/>
      <c r="D60" s="69"/>
      <c r="E60" s="65"/>
      <c r="F60" s="67"/>
      <c r="G60" s="116"/>
      <c r="H60" s="89" t="str">
        <f>IF(AND(ISNUMBER(D60), ISNUMBER(F60)),
    ROUNDDOWN(
        MIN(
            IF(OR(ISBLANK(I60), I60=""),
                EOMONTH(DATE(#REF!, $A$1, 1), 0), I60)
            - MAX(D60, DATE(#REF!, $A$1, 1)) + 1)
        / DAY(EOMONTH(DATE(#REF!, $A$1, 1), 0)) * F60,
        2
    ),
    ""
)</f>
        <v/>
      </c>
      <c r="I60" s="86"/>
      <c r="J60" s="119"/>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c r="C61" s="68"/>
      <c r="D61" s="69"/>
      <c r="E61" s="65"/>
      <c r="F61" s="67"/>
      <c r="G61" s="116"/>
      <c r="H61" s="89" t="str">
        <f>IF(AND(ISNUMBER(D61), ISNUMBER(F61)),
    ROUNDDOWN(
        MIN(
            IF(OR(ISBLANK(I61), I61=""),
                EOMONTH(DATE(#REF!, $A$1, 1), 0), I61)
            - MAX(D61, DATE(#REF!, $A$1, 1)) + 1)
        / DAY(EOMONTH(DATE(#REF!, $A$1, 1), 0)) * F61,
        2
    ),
    ""
)</f>
        <v/>
      </c>
      <c r="I61" s="86"/>
      <c r="J61" s="119"/>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69"/>
      <c r="E62" s="65"/>
      <c r="F62" s="67"/>
      <c r="G62" s="116"/>
      <c r="H62" s="89" t="str">
        <f>IF(AND(ISNUMBER(D62), ISNUMBER(F62)),
    ROUNDDOWN(
        MIN(
            IF(OR(ISBLANK(I62), I62=""),
                EOMONTH(DATE(#REF!, $A$1, 1), 0), I62)
            - MAX(D62, DATE(#REF!, $A$1, 1)) + 1)
        / DAY(EOMONTH(DATE(#REF!, $A$1, 1), 0)) * F62,
        2
    ),
    ""
)</f>
        <v/>
      </c>
      <c r="I62" s="86"/>
      <c r="J62" s="119"/>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69"/>
      <c r="E63" s="65"/>
      <c r="F63" s="67"/>
      <c r="G63" s="116"/>
      <c r="H63" s="89" t="str">
        <f>IF(AND(ISNUMBER(D63), ISNUMBER(F63)),
    ROUNDDOWN(
        MIN(
            IF(OR(ISBLANK(I63), I63=""),
                EOMONTH(DATE(#REF!, $A$1, 1), 0), I63)
            - MAX(D63, DATE(#REF!, $A$1, 1)) + 1)
        / DAY(EOMONTH(DATE(#REF!, $A$1, 1), 0)) * F63,
        2
    ),
    ""
)</f>
        <v/>
      </c>
      <c r="I63" s="86"/>
      <c r="J63" s="119"/>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69"/>
      <c r="E64" s="65"/>
      <c r="F64" s="67"/>
      <c r="G64" s="116"/>
      <c r="H64" s="89" t="str">
        <f>IF(AND(ISNUMBER(D64), ISNUMBER(F64)),
    ROUNDDOWN(
        MIN(
            IF(OR(ISBLANK(I64), I64=""),
                EOMONTH(DATE(#REF!, $A$1, 1), 0), I64)
            - MAX(D64, DATE(#REF!, $A$1, 1)) + 1)
        / DAY(EOMONTH(DATE(#REF!, $A$1, 1), 0)) * F64,
        2
    ),
    ""
)</f>
        <v/>
      </c>
      <c r="I64" s="86"/>
      <c r="J64" s="119"/>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69"/>
      <c r="E65" s="65"/>
      <c r="F65" s="67"/>
      <c r="G65" s="116"/>
      <c r="H65" s="89" t="str">
        <f>IF(AND(ISNUMBER(D65), ISNUMBER(F65)),
    ROUNDDOWN(
        MIN(
            IF(OR(ISBLANK(I65), I65=""),
                EOMONTH(DATE(#REF!, $A$1, 1), 0), I65)
            - MAX(D65, DATE(#REF!, $A$1, 1)) + 1)
        / DAY(EOMONTH(DATE(#REF!, $A$1, 1), 0)) * F65,
        2
    ),
    ""
)</f>
        <v/>
      </c>
      <c r="I65" s="86"/>
      <c r="J65" s="119"/>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69"/>
      <c r="E66" s="65"/>
      <c r="F66" s="67"/>
      <c r="G66" s="116"/>
      <c r="H66" s="89" t="str">
        <f>IF(AND(ISNUMBER(D66), ISNUMBER(F66)),
    ROUNDDOWN(
        MIN(
            IF(OR(ISBLANK(I66), I66=""),
                EOMONTH(DATE(#REF!, $A$1, 1), 0), I66)
            - MAX(D66, DATE(#REF!, $A$1, 1)) + 1)
        / DAY(EOMONTH(DATE(#REF!, $A$1, 1), 0)) * F66,
        2
    ),
    ""
)</f>
        <v/>
      </c>
      <c r="I66" s="86"/>
      <c r="J66" s="119"/>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69"/>
      <c r="E67" s="65"/>
      <c r="F67" s="67"/>
      <c r="G67" s="116"/>
      <c r="H67" s="89" t="str">
        <f>IF(AND(ISNUMBER(D67), ISNUMBER(F67)),
    ROUNDDOWN(
        MIN(
            IF(OR(ISBLANK(I67), I67=""),
                EOMONTH(DATE(#REF!, $A$1, 1), 0), I67)
            - MAX(D67, DATE(#REF!, $A$1, 1)) + 1)
        / DAY(EOMONTH(DATE(#REF!, $A$1, 1), 0)) * F67,
        2
    ),
    ""
)</f>
        <v/>
      </c>
      <c r="I67" s="86"/>
      <c r="J67" s="119"/>
      <c r="K67" s="92">
        <f t="shared" si="1"/>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69"/>
      <c r="E68" s="65"/>
      <c r="F68" s="67"/>
      <c r="G68" s="116"/>
      <c r="H68" s="89" t="str">
        <f>IF(AND(ISNUMBER(D68), ISNUMBER(F68)),
    ROUNDDOWN(
        MIN(
            IF(OR(ISBLANK(I68), I68=""),
                EOMONTH(DATE(#REF!, $A$1, 1), 0), I68)
            - MAX(D68, DATE(#REF!, $A$1, 1)) + 1)
        / DAY(EOMONTH(DATE(#REF!, $A$1, 1), 0)) * F68,
        2
    ),
    ""
)</f>
        <v/>
      </c>
      <c r="I68" s="86"/>
      <c r="J68" s="119"/>
      <c r="K68" s="92">
        <f t="shared" si="1"/>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69"/>
      <c r="E69" s="65"/>
      <c r="F69" s="67"/>
      <c r="G69" s="116"/>
      <c r="H69" s="89" t="str">
        <f>IF(AND(ISNUMBER(D69), ISNUMBER(F69)),
    ROUNDDOWN(
        MIN(
            IF(OR(ISBLANK(I69), I69=""),
                EOMONTH(DATE(#REF!, $A$1, 1), 0), I69)
            - MAX(D69, DATE(#REF!, $A$1, 1)) + 1)
        / DAY(EOMONTH(DATE(#REF!, $A$1, 1), 0)) * F69,
        2
    ),
    ""
)</f>
        <v/>
      </c>
      <c r="I69" s="86"/>
      <c r="J69" s="119"/>
      <c r="K69" s="92">
        <f t="shared" si="1"/>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69"/>
      <c r="E70" s="65"/>
      <c r="F70" s="67"/>
      <c r="G70" s="116"/>
      <c r="H70" s="89" t="str">
        <f>IF(AND(ISNUMBER(D70), ISNUMBER(F70)),
    ROUNDDOWN(
        MIN(
            IF(OR(ISBLANK(I70), I70=""),
                EOMONTH(DATE(#REF!, $A$1, 1), 0), I70)
            - MAX(D70, DATE(#REF!, $A$1, 1)) + 1)
        / DAY(EOMONTH(DATE(#REF!, $A$1, 1), 0)) * F70,
        2
    ),
    ""
)</f>
        <v/>
      </c>
      <c r="I70" s="86"/>
      <c r="J70" s="119"/>
      <c r="K70" s="92">
        <f t="shared" si="1"/>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69"/>
      <c r="E71" s="65"/>
      <c r="F71" s="67"/>
      <c r="G71" s="116"/>
      <c r="H71" s="89" t="str">
        <f>IF(AND(ISNUMBER(D71), ISNUMBER(F71)),
    ROUNDDOWN(
        MIN(
            IF(OR(ISBLANK(I71), I71=""),
                EOMONTH(DATE(#REF!, $A$1, 1), 0), I71)
            - MAX(D71, DATE(#REF!, $A$1, 1)) + 1)
        / DAY(EOMONTH(DATE(#REF!, $A$1, 1), 0)) * F71,
        2
    ),
    ""
)</f>
        <v/>
      </c>
      <c r="I71" s="86"/>
      <c r="J71" s="119"/>
      <c r="K71" s="92">
        <f t="shared" si="1"/>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69"/>
      <c r="E72" s="65"/>
      <c r="F72" s="67"/>
      <c r="G72" s="116"/>
      <c r="H72" s="89" t="str">
        <f>IF(AND(ISNUMBER(D72), ISNUMBER(F72)),
    ROUNDDOWN(
        MIN(
            IF(OR(ISBLANK(I72), I72=""),
                EOMONTH(DATE(#REF!, $A$1, 1), 0), I72)
            - MAX(D72, DATE(#REF!, $A$1, 1)) + 1)
        / DAY(EOMONTH(DATE(#REF!, $A$1, 1), 0)) * F72,
        2
    ),
    ""
)</f>
        <v/>
      </c>
      <c r="I72" s="86"/>
      <c r="J72" s="119"/>
      <c r="K72" s="92">
        <f t="shared" si="1"/>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69"/>
      <c r="E73" s="65"/>
      <c r="F73" s="67"/>
      <c r="G73" s="116"/>
      <c r="H73" s="89" t="str">
        <f>IF(AND(ISNUMBER(D73), ISNUMBER(F73)),
    ROUNDDOWN(
        MIN(
            IF(OR(ISBLANK(I73), I73=""),
                EOMONTH(DATE(#REF!, $A$1, 1), 0), I73)
            - MAX(D73, DATE(#REF!, $A$1, 1)) + 1)
        / DAY(EOMONTH(DATE(#REF!, $A$1, 1), 0)) * F73,
        2
    ),
    ""
)</f>
        <v/>
      </c>
      <c r="I73" s="86"/>
      <c r="J73" s="119"/>
      <c r="K73" s="92">
        <f t="shared" si="1"/>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69"/>
      <c r="E74" s="65"/>
      <c r="F74" s="67"/>
      <c r="G74" s="116"/>
      <c r="H74" s="89" t="str">
        <f>IF(AND(ISNUMBER(D74), ISNUMBER(F74)),
    ROUNDDOWN(
        MIN(
            IF(OR(ISBLANK(I74), I74=""),
                EOMONTH(DATE(#REF!, $A$1, 1), 0), I74)
            - MAX(D74, DATE(#REF!, $A$1, 1)) + 1)
        / DAY(EOMONTH(DATE(#REF!, $A$1, 1), 0)) * F74,
        2
    ),
    ""
)</f>
        <v/>
      </c>
      <c r="I74" s="86"/>
      <c r="J74" s="119"/>
      <c r="K74" s="92">
        <f t="shared" si="1"/>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69"/>
      <c r="E75" s="65"/>
      <c r="F75" s="67"/>
      <c r="G75" s="116"/>
      <c r="H75" s="89" t="str">
        <f>IF(AND(ISNUMBER(D75), ISNUMBER(F75)),
    ROUNDDOWN(
        MIN(
            IF(OR(ISBLANK(I75), I75=""),
                EOMONTH(DATE(#REF!, $A$1, 1), 0), I75)
            - MAX(D75, DATE(#REF!, $A$1, 1)) + 1)
        / DAY(EOMONTH(DATE(#REF!, $A$1, 1), 0)) * F75,
        2
    ),
    ""
)</f>
        <v/>
      </c>
      <c r="I75" s="86"/>
      <c r="J75" s="119"/>
      <c r="K75" s="92">
        <f t="shared" si="1"/>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69"/>
      <c r="E76" s="65"/>
      <c r="F76" s="67"/>
      <c r="G76" s="116"/>
      <c r="H76" s="89" t="str">
        <f>IF(AND(ISNUMBER(D76), ISNUMBER(F76)),
    ROUNDDOWN(
        MIN(
            IF(OR(ISBLANK(I76), I76=""),
                EOMONTH(DATE(#REF!, $A$1, 1), 0), I76)
            - MAX(D76, DATE(#REF!, $A$1, 1)) + 1)
        / DAY(EOMONTH(DATE(#REF!, $A$1, 1), 0)) * F76,
        2
    ),
    ""
)</f>
        <v/>
      </c>
      <c r="I76" s="86"/>
      <c r="J76" s="119"/>
      <c r="K76" s="92">
        <f t="shared" si="1"/>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69"/>
      <c r="E77" s="65"/>
      <c r="F77" s="67"/>
      <c r="G77" s="116"/>
      <c r="H77" s="89" t="str">
        <f>IF(AND(ISNUMBER(D77), ISNUMBER(F77)),
    ROUNDDOWN(
        MIN(
            IF(OR(ISBLANK(I77), I77=""),
                EOMONTH(DATE(#REF!, $A$1, 1), 0), I77)
            - MAX(D77, DATE(#REF!, $A$1, 1)) + 1)
        / DAY(EOMONTH(DATE(#REF!, $A$1, 1), 0)) * F77,
        2
    ),
    ""
)</f>
        <v/>
      </c>
      <c r="I77" s="86"/>
      <c r="J77" s="119"/>
      <c r="K77" s="92">
        <f t="shared" si="1"/>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69"/>
      <c r="E78" s="65"/>
      <c r="F78" s="67"/>
      <c r="G78" s="116"/>
      <c r="H78" s="89" t="str">
        <f>IF(AND(ISNUMBER(D78), ISNUMBER(F78)),
    ROUNDDOWN(
        MIN(
            IF(OR(ISBLANK(I78), I78=""),
                EOMONTH(DATE(#REF!, $A$1, 1), 0), I78)
            - MAX(D78, DATE(#REF!, $A$1, 1)) + 1)
        / DAY(EOMONTH(DATE(#REF!, $A$1, 1), 0)) * F78,
        2
    ),
    ""
)</f>
        <v/>
      </c>
      <c r="I78" s="86"/>
      <c r="J78" s="119"/>
      <c r="K78" s="92">
        <f t="shared" si="1"/>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69"/>
      <c r="E79" s="65"/>
      <c r="F79" s="67"/>
      <c r="G79" s="116"/>
      <c r="H79" s="89" t="str">
        <f>IF(AND(ISNUMBER(D79), ISNUMBER(F79)),
    ROUNDDOWN(
        MIN(
            IF(OR(ISBLANK(I79), I79=""),
                EOMONTH(DATE(#REF!, $A$1, 1), 0), I79)
            - MAX(D79, DATE(#REF!, $A$1, 1)) + 1)
        / DAY(EOMONTH(DATE(#REF!, $A$1, 1), 0)) * F79,
        2
    ),
    ""
)</f>
        <v/>
      </c>
      <c r="I79" s="86"/>
      <c r="J79" s="119"/>
      <c r="K79" s="92">
        <f t="shared" si="1"/>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69"/>
      <c r="E80" s="65"/>
      <c r="F80" s="67"/>
      <c r="G80" s="116"/>
      <c r="H80" s="89" t="str">
        <f>IF(AND(ISNUMBER(D80), ISNUMBER(F80)),
    ROUNDDOWN(
        MIN(
            IF(OR(ISBLANK(I80), I80=""),
                EOMONTH(DATE(#REF!, $A$1, 1), 0), I80)
            - MAX(D80, DATE(#REF!, $A$1, 1)) + 1)
        / DAY(EOMONTH(DATE(#REF!, $A$1, 1), 0)) * F80,
        2
    ),
    ""
)</f>
        <v/>
      </c>
      <c r="I80" s="86"/>
      <c r="J80" s="119"/>
      <c r="K80" s="92">
        <f t="shared" si="1"/>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69"/>
      <c r="E81" s="65"/>
      <c r="F81" s="67"/>
      <c r="G81" s="116"/>
      <c r="H81" s="89" t="str">
        <f>IF(AND(ISNUMBER(D81), ISNUMBER(F81)),
    ROUNDDOWN(
        MIN(
            IF(OR(ISBLANK(I81), I81=""),
                EOMONTH(DATE(#REF!, $A$1, 1), 0), I81)
            - MAX(D81, DATE(#REF!, $A$1, 1)) + 1)
        / DAY(EOMONTH(DATE(#REF!, $A$1, 1), 0)) * F81,
        2
    ),
    ""
)</f>
        <v/>
      </c>
      <c r="I81" s="86"/>
      <c r="J81" s="119"/>
      <c r="K81" s="92">
        <f t="shared" si="1"/>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80"/>
      <c r="E82" s="81"/>
      <c r="F82" s="82"/>
      <c r="G82" s="117"/>
      <c r="H82" s="90" t="str">
        <f>IF(AND(ISNUMBER(D82), ISNUMBER(F82)),
    ROUNDDOWN(
        MIN(
            IF(OR(ISBLANK(I82), I82=""),
                EOMONTH(DATE(#REF!, $A$1, 1), 0), I82)
            - MAX(D82, DATE(#REF!, $A$1, 1)) + 1)
        / DAY(EOMONTH(DATE(#REF!, $A$1, 1), 0)) * F82,
        2
    ),
    ""
)</f>
        <v/>
      </c>
      <c r="I82" s="87"/>
      <c r="J82" s="120"/>
      <c r="K82" s="93">
        <f t="shared" si="1"/>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114" spans="11:14" ht="16" customHeight="1">
      <c r="K114" s="221"/>
      <c r="L114" s="221"/>
      <c r="M114" s="221"/>
      <c r="N114" s="58"/>
    </row>
    <row r="115" spans="11:14" ht="16" customHeight="1">
      <c r="K115" s="221"/>
      <c r="L115" s="221"/>
      <c r="M115" s="221"/>
      <c r="N115" s="58"/>
    </row>
    <row r="116" spans="11:14" ht="16" customHeight="1">
      <c r="K116" s="195"/>
      <c r="L116" s="195"/>
      <c r="M116" s="43"/>
      <c r="N116" s="43"/>
    </row>
    <row r="117" spans="11:14" ht="16" customHeight="1">
      <c r="K117" s="195"/>
      <c r="L117" s="195"/>
      <c r="M117" s="43"/>
      <c r="N117" s="43"/>
    </row>
    <row r="118" spans="11:14" ht="16" customHeight="1">
      <c r="K118" s="222"/>
      <c r="L118" s="222"/>
      <c r="M118" s="44"/>
      <c r="N118" s="44"/>
    </row>
    <row r="119" spans="11:14" ht="16" customHeight="1">
      <c r="K119" s="196"/>
      <c r="L119" s="196"/>
      <c r="M119" s="45"/>
      <c r="N119" s="45"/>
    </row>
    <row r="120" spans="11:14" ht="16" customHeight="1">
      <c r="K120" s="195"/>
      <c r="L120" s="195"/>
      <c r="M120" s="43"/>
      <c r="N120" s="43"/>
    </row>
    <row r="121" spans="11:14" ht="16" customHeight="1">
      <c r="K121" s="195"/>
      <c r="L121" s="195"/>
      <c r="M121" s="43"/>
      <c r="N121" s="43"/>
    </row>
    <row r="122" spans="11:14" ht="16" customHeight="1">
      <c r="K122" s="196"/>
      <c r="L122" s="196"/>
      <c r="M122" s="45"/>
      <c r="N122" s="45"/>
    </row>
    <row r="123" spans="11:14" ht="16" customHeight="1">
      <c r="K123" s="46"/>
      <c r="L123" s="46"/>
      <c r="M123" s="46"/>
      <c r="N123" s="46"/>
    </row>
  </sheetData>
  <sheetProtection algorithmName="SHA-512" hashValue="peNo5ZaaWbLw+k9+b3Ez51shYoIEPXw5f75LA7nXVsoEMRpR+fWGSX33T69sYY4vvwenqirqN3OZKL1XcKkKlg==" saltValue="QBo1KKVXB+5tQLW5u6oTx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4"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#REF!</xm:f>
          </x14:formula1>
          <xm:sqref>E3:E82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157</v>
      </c>
    </row>
    <row r="8" spans="1:13">
      <c r="M8" s="5" t="s">
        <v>158</v>
      </c>
    </row>
    <row r="9" spans="1:13">
      <c r="M9" s="5" t="s">
        <v>79</v>
      </c>
    </row>
    <row r="11" spans="1:13">
      <c r="M11" s="5" t="s">
        <v>159</v>
      </c>
    </row>
    <row r="12" spans="1:13">
      <c r="M12" s="5" t="s">
        <v>160</v>
      </c>
    </row>
    <row r="13" spans="1:13">
      <c r="M13" s="5" t="s">
        <v>161</v>
      </c>
    </row>
    <row r="14" spans="1:13">
      <c r="M14" s="5" t="s">
        <v>162</v>
      </c>
    </row>
    <row r="15" spans="1:13">
      <c r="M15" s="5" t="s">
        <v>163</v>
      </c>
    </row>
    <row r="21" spans="15:15">
      <c r="O21" s="6"/>
    </row>
    <row r="24" spans="15:15">
      <c r="O24" s="6"/>
    </row>
  </sheetData>
  <sheetProtection algorithmName="SHA-512" hashValue="R4MWCDiKS7f8WE7tkDiuHEF2dnqyMrUeMxn/jin/Yj73NAC/5UNcJvsTpljRxB6LnhgaQrYGz6H3DB7jACgqLg==" saltValue="rSWzJN+7MfYeOX9SzyqHHQ=="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activeCell="D11" sqref="D11"/>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2</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401006</v>
      </c>
      <c r="C3" s="97" t="s">
        <v>248</v>
      </c>
      <c r="D3" s="122">
        <v>38188</v>
      </c>
      <c r="E3" s="73" t="s">
        <v>13</v>
      </c>
      <c r="F3" s="98">
        <v>173</v>
      </c>
      <c r="G3" s="115">
        <v>2328</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401010</v>
      </c>
      <c r="C4" s="68" t="s">
        <v>249</v>
      </c>
      <c r="D4" s="123">
        <v>39388</v>
      </c>
      <c r="E4" s="65" t="s">
        <v>5</v>
      </c>
      <c r="F4" s="67">
        <v>173</v>
      </c>
      <c r="G4" s="116">
        <v>2183</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401047</v>
      </c>
      <c r="C5" s="68" t="s">
        <v>251</v>
      </c>
      <c r="D5" s="123">
        <v>41154</v>
      </c>
      <c r="E5" s="65" t="s">
        <v>4</v>
      </c>
      <c r="F5" s="67">
        <v>173</v>
      </c>
      <c r="G5" s="116">
        <v>2123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842.66960625479021</v>
      </c>
      <c r="P5" s="15">
        <f>EINSTELLUNG!I7</f>
        <v>2</v>
      </c>
      <c r="Q5" s="14">
        <f>P5-O5</f>
        <v>-840.66960625479021</v>
      </c>
      <c r="R5" s="18">
        <f>IFERROR(Q5*Q42, 0)</f>
        <v>0</v>
      </c>
    </row>
    <row r="6" spans="1:28" ht="16" customHeight="1">
      <c r="A6" s="61" t="s">
        <v>55</v>
      </c>
      <c r="B6" s="101">
        <v>401049</v>
      </c>
      <c r="C6" s="70" t="s">
        <v>250</v>
      </c>
      <c r="D6" s="123">
        <v>41130</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280" t="str">
        <f>IF(Q5&lt;0, "Schlecht! Zu wenig Urlaub abgebaut.", IF(Q5&gt;0, "Gut! Mehr Urlaub abgebaut als aufgebaut.", ""))</f>
        <v>Schlecht! Zu wenig Urlaub abgebaut.</v>
      </c>
      <c r="P6" s="280"/>
      <c r="Q6" s="280"/>
      <c r="R6" s="280"/>
    </row>
    <row r="7" spans="1:28" ht="16" customHeight="1">
      <c r="A7" s="61" t="s">
        <v>56</v>
      </c>
      <c r="B7" s="101">
        <v>401051</v>
      </c>
      <c r="C7" s="68" t="s">
        <v>252</v>
      </c>
      <c r="D7" s="123">
        <v>41176</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401089</v>
      </c>
      <c r="C8" s="68" t="s">
        <v>266</v>
      </c>
      <c r="D8" s="123">
        <v>44868</v>
      </c>
      <c r="E8" s="65" t="s">
        <v>3</v>
      </c>
      <c r="F8" s="67">
        <v>173</v>
      </c>
      <c r="G8" s="116">
        <v>2082</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278" t="s">
        <v>58</v>
      </c>
      <c r="P8" s="162"/>
      <c r="Q8" s="276" t="e">
        <f>SUM(H3:H82)</f>
        <v>#REF!</v>
      </c>
      <c r="R8" s="277"/>
    </row>
    <row r="9" spans="1:28" ht="16" customHeight="1">
      <c r="A9" s="62" t="s">
        <v>59</v>
      </c>
      <c r="B9" s="101">
        <v>401138</v>
      </c>
      <c r="C9" s="68" t="s">
        <v>253</v>
      </c>
      <c r="D9" s="123">
        <v>42006</v>
      </c>
      <c r="E9" s="65" t="s">
        <v>4</v>
      </c>
      <c r="F9" s="67">
        <v>173</v>
      </c>
      <c r="G9" s="116">
        <v>2123</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278" t="s">
        <v>60</v>
      </c>
      <c r="P9" s="162"/>
      <c r="Q9" s="276">
        <f>EINSTELLUNG!L23</f>
        <v>2</v>
      </c>
      <c r="R9" s="277"/>
      <c r="S9" s="19">
        <f>IFERROR(Q9/Q8, 0)</f>
        <v>0</v>
      </c>
    </row>
    <row r="10" spans="1:28" ht="16" customHeight="1">
      <c r="A10" s="61" t="s">
        <v>61</v>
      </c>
      <c r="B10" s="101">
        <v>401197</v>
      </c>
      <c r="C10" s="68" t="s">
        <v>254</v>
      </c>
      <c r="D10" s="123">
        <v>42644</v>
      </c>
      <c r="E10" s="65" t="s">
        <v>3</v>
      </c>
      <c r="F10" s="67">
        <v>173</v>
      </c>
      <c r="G10" s="116">
        <v>2082</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278" t="s">
        <v>62</v>
      </c>
      <c r="P10" s="162"/>
      <c r="Q10" s="276">
        <f>EINSTELLUNG!I23</f>
        <v>2</v>
      </c>
      <c r="R10" s="277"/>
    </row>
    <row r="11" spans="1:28" ht="16" customHeight="1">
      <c r="A11" s="61" t="s">
        <v>63</v>
      </c>
      <c r="B11" s="101">
        <v>401214</v>
      </c>
      <c r="C11" s="68" t="s">
        <v>280</v>
      </c>
      <c r="D11" s="123">
        <v>45636</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278" t="s">
        <v>64</v>
      </c>
      <c r="P11" s="162"/>
      <c r="Q11" s="276">
        <f>P5</f>
        <v>2</v>
      </c>
      <c r="R11" s="277"/>
    </row>
    <row r="12" spans="1:28" ht="16" customHeight="1">
      <c r="A12" s="61" t="s">
        <v>65</v>
      </c>
      <c r="B12" s="101">
        <v>401276</v>
      </c>
      <c r="C12" s="68" t="s">
        <v>255</v>
      </c>
      <c r="D12" s="123">
        <v>43252</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278" t="s">
        <v>68</v>
      </c>
      <c r="P12" s="162"/>
      <c r="Q12" s="276" t="e">
        <f>Q8-Q9-Q10-Q11</f>
        <v>#REF!</v>
      </c>
      <c r="R12" s="277"/>
    </row>
    <row r="13" spans="1:28" ht="16" customHeight="1">
      <c r="A13" s="62" t="s">
        <v>67</v>
      </c>
      <c r="B13" s="101">
        <v>401307</v>
      </c>
      <c r="C13" s="68" t="s">
        <v>256</v>
      </c>
      <c r="D13" s="123">
        <v>43571</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278" t="s">
        <v>70</v>
      </c>
      <c r="P13" s="162"/>
      <c r="Q13" s="276">
        <f>EINSTELLUNG!L7</f>
        <v>2</v>
      </c>
      <c r="R13" s="277"/>
    </row>
    <row r="14" spans="1:28" ht="16" customHeight="1">
      <c r="A14" s="61" t="s">
        <v>69</v>
      </c>
      <c r="B14" s="101">
        <v>401308</v>
      </c>
      <c r="C14" s="68" t="s">
        <v>257</v>
      </c>
      <c r="D14" s="123">
        <v>43579</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278" t="s">
        <v>72</v>
      </c>
      <c r="P14" s="162"/>
      <c r="Q14" s="276" t="e">
        <f>Q12-Q13</f>
        <v>#REF!</v>
      </c>
      <c r="R14" s="277"/>
    </row>
    <row r="15" spans="1:28" ht="16" customHeight="1">
      <c r="A15" s="61" t="s">
        <v>71</v>
      </c>
      <c r="B15" s="101">
        <v>401389</v>
      </c>
      <c r="C15" s="68" t="s">
        <v>259</v>
      </c>
      <c r="D15" s="123">
        <v>44384</v>
      </c>
      <c r="E15" s="65" t="s">
        <v>11</v>
      </c>
      <c r="F15" s="67">
        <v>173</v>
      </c>
      <c r="G15" s="116">
        <v>2300</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79" t="e">
        <f>IF(Q14&lt;0, "Schlecht! Zu wenig Stunden für Dienstplan.", IF(Q14&gt;0, "Du hast mehr als genug Stunden für Dienstplan.", ""))</f>
        <v>#REF!</v>
      </c>
      <c r="P15" s="279"/>
      <c r="Q15" s="279"/>
      <c r="R15" s="279"/>
      <c r="S15" s="56"/>
      <c r="T15" s="56"/>
      <c r="U15" s="56"/>
    </row>
    <row r="16" spans="1:28" ht="16" customHeight="1">
      <c r="A16" s="61" t="s">
        <v>73</v>
      </c>
      <c r="B16" s="101">
        <v>401394</v>
      </c>
      <c r="C16" s="68" t="s">
        <v>258</v>
      </c>
      <c r="D16" s="123">
        <v>44379</v>
      </c>
      <c r="E16" s="65" t="s">
        <v>2</v>
      </c>
      <c r="F16" s="67">
        <v>173</v>
      </c>
      <c r="G16" s="116">
        <v>2021</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401432</v>
      </c>
      <c r="C17" s="68" t="s">
        <v>260</v>
      </c>
      <c r="D17" s="123">
        <v>44441</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273" t="s">
        <v>75</v>
      </c>
      <c r="P17" s="170"/>
      <c r="Q17" s="274">
        <f>SUM(L3:L82)</f>
        <v>0</v>
      </c>
      <c r="R17" s="275"/>
      <c r="W17" s="12"/>
    </row>
    <row r="18" spans="1:29" ht="16" customHeight="1">
      <c r="A18" s="61" t="s">
        <v>76</v>
      </c>
      <c r="B18" s="101">
        <v>401476</v>
      </c>
      <c r="C18" s="68" t="s">
        <v>262</v>
      </c>
      <c r="D18" s="123">
        <v>44504</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1"/>
      <c r="P18" s="252"/>
      <c r="Q18" s="253"/>
      <c r="R18" s="254"/>
    </row>
    <row r="19" spans="1:29" ht="16" customHeight="1">
      <c r="A19" s="61" t="s">
        <v>77</v>
      </c>
      <c r="B19" s="101">
        <v>401479</v>
      </c>
      <c r="C19" s="68" t="s">
        <v>263</v>
      </c>
      <c r="D19" s="123">
        <v>44511</v>
      </c>
      <c r="E19" s="65" t="s">
        <v>6</v>
      </c>
      <c r="F19" s="67">
        <v>173</v>
      </c>
      <c r="G19" s="116">
        <v>2160</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1"/>
      <c r="P19" s="252"/>
      <c r="Q19" s="253"/>
      <c r="R19" s="254"/>
    </row>
    <row r="20" spans="1:29" ht="16" customHeight="1">
      <c r="A20" s="61" t="s">
        <v>78</v>
      </c>
      <c r="B20" s="101">
        <v>401481</v>
      </c>
      <c r="C20" s="68" t="s">
        <v>264</v>
      </c>
      <c r="D20" s="123">
        <v>44531</v>
      </c>
      <c r="E20" s="65" t="s">
        <v>2</v>
      </c>
      <c r="F20" s="67">
        <v>173</v>
      </c>
      <c r="G20" s="116">
        <v>2021</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1"/>
      <c r="P20" s="252"/>
      <c r="Q20" s="253"/>
      <c r="R20" s="254"/>
    </row>
    <row r="21" spans="1:29" ht="16" customHeight="1">
      <c r="A21" s="62" t="s">
        <v>80</v>
      </c>
      <c r="B21" s="101">
        <v>401558</v>
      </c>
      <c r="C21" s="68" t="s">
        <v>261</v>
      </c>
      <c r="D21" s="123">
        <v>44460</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1" t="s">
        <v>342</v>
      </c>
      <c r="P21" s="252"/>
      <c r="Q21" s="253">
        <v>5000</v>
      </c>
      <c r="R21" s="254"/>
    </row>
    <row r="22" spans="1:29" ht="16" customHeight="1">
      <c r="A22" s="61" t="s">
        <v>81</v>
      </c>
      <c r="B22" s="101">
        <v>401564</v>
      </c>
      <c r="C22" s="68" t="s">
        <v>265</v>
      </c>
      <c r="D22" s="123">
        <v>44824</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1"/>
      <c r="P22" s="252"/>
      <c r="Q22" s="253"/>
      <c r="R22" s="254"/>
    </row>
    <row r="23" spans="1:29" ht="16" customHeight="1">
      <c r="A23" s="61" t="s">
        <v>82</v>
      </c>
      <c r="B23" s="101">
        <v>401583</v>
      </c>
      <c r="C23" s="68" t="s">
        <v>267</v>
      </c>
      <c r="D23" s="123">
        <v>44900</v>
      </c>
      <c r="E23" s="65" t="s">
        <v>10</v>
      </c>
      <c r="F23" s="67">
        <v>173</v>
      </c>
      <c r="G23" s="116">
        <v>2300</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1"/>
      <c r="P23" s="252"/>
      <c r="Q23" s="253"/>
      <c r="R23" s="254"/>
      <c r="W23" s="12"/>
    </row>
    <row r="24" spans="1:29" ht="16" customHeight="1">
      <c r="A24" s="61" t="s">
        <v>83</v>
      </c>
      <c r="B24" s="101">
        <v>401589</v>
      </c>
      <c r="C24" s="68" t="s">
        <v>268</v>
      </c>
      <c r="D24" s="123">
        <v>44926</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1"/>
      <c r="P24" s="252"/>
      <c r="Q24" s="253"/>
      <c r="R24" s="254"/>
      <c r="W24" s="12"/>
    </row>
    <row r="25" spans="1:29" ht="16" customHeight="1" thickBot="1">
      <c r="A25" s="62" t="s">
        <v>84</v>
      </c>
      <c r="B25" s="101">
        <v>401602</v>
      </c>
      <c r="C25" s="68" t="s">
        <v>269</v>
      </c>
      <c r="D25" s="123">
        <v>45975</v>
      </c>
      <c r="E25" s="65" t="s">
        <v>2</v>
      </c>
      <c r="F25" s="67">
        <v>173</v>
      </c>
      <c r="G25" s="116">
        <v>2021</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6"/>
      <c r="P25" s="267"/>
      <c r="Q25" s="268"/>
      <c r="R25" s="269"/>
    </row>
    <row r="26" spans="1:29" ht="16" customHeight="1">
      <c r="A26" s="61" t="s">
        <v>85</v>
      </c>
      <c r="B26" s="101">
        <v>401605</v>
      </c>
      <c r="C26" s="68" t="s">
        <v>270</v>
      </c>
      <c r="D26" s="123">
        <v>44986</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70"/>
      <c r="P26" s="213"/>
      <c r="Q26" s="271"/>
      <c r="R26" s="272"/>
    </row>
    <row r="27" spans="1:29" ht="16" customHeight="1">
      <c r="A27" s="61" t="s">
        <v>86</v>
      </c>
      <c r="B27" s="101">
        <v>401626</v>
      </c>
      <c r="C27" s="68" t="s">
        <v>271</v>
      </c>
      <c r="D27" s="123">
        <v>45063</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262"/>
      <c r="P27" s="168"/>
      <c r="Q27" s="263"/>
      <c r="R27" s="264"/>
      <c r="S27" s="166" t="s">
        <v>87</v>
      </c>
      <c r="T27" s="167"/>
      <c r="U27" s="167"/>
      <c r="V27" s="167"/>
    </row>
    <row r="28" spans="1:29" ht="16" customHeight="1" thickBot="1">
      <c r="A28" s="61" t="s">
        <v>88</v>
      </c>
      <c r="B28" s="101">
        <v>401633</v>
      </c>
      <c r="C28" s="68" t="s">
        <v>272</v>
      </c>
      <c r="D28" s="123">
        <v>45089</v>
      </c>
      <c r="E28" s="65" t="s">
        <v>10</v>
      </c>
      <c r="F28" s="67">
        <v>173</v>
      </c>
      <c r="G28" s="116">
        <v>2300</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65"/>
      <c r="P28" s="207"/>
      <c r="Q28" s="245"/>
      <c r="R28" s="246"/>
    </row>
    <row r="29" spans="1:29" ht="16" customHeight="1" thickBot="1">
      <c r="A29" s="62" t="s">
        <v>89</v>
      </c>
      <c r="B29" s="101">
        <v>401647</v>
      </c>
      <c r="C29" s="68" t="s">
        <v>273</v>
      </c>
      <c r="D29" s="123">
        <v>45182</v>
      </c>
      <c r="E29" s="65" t="s">
        <v>2</v>
      </c>
      <c r="F29" s="67">
        <v>173</v>
      </c>
      <c r="G29" s="116">
        <v>2021</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247" t="s">
        <v>90</v>
      </c>
      <c r="P29" s="199"/>
      <c r="Q29" s="248">
        <f>EINSTELLUNG!O7</f>
        <v>2</v>
      </c>
      <c r="R29" s="249"/>
    </row>
    <row r="30" spans="1:29" ht="16" customHeight="1">
      <c r="A30" s="61" t="s">
        <v>91</v>
      </c>
      <c r="B30" s="101">
        <v>401661</v>
      </c>
      <c r="C30" s="68" t="s">
        <v>274</v>
      </c>
      <c r="D30" s="123">
        <v>45261</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401670</v>
      </c>
      <c r="C31" s="68" t="s">
        <v>275</v>
      </c>
      <c r="D31" s="123">
        <v>45358</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55">
        <v>0</v>
      </c>
      <c r="P31" s="256"/>
      <c r="Q31" s="257">
        <v>1.7241379310344827E-2</v>
      </c>
      <c r="R31" s="215"/>
    </row>
    <row r="32" spans="1:29" ht="16" customHeight="1">
      <c r="A32" s="61" t="s">
        <v>94</v>
      </c>
      <c r="B32" s="101">
        <v>401678</v>
      </c>
      <c r="C32" s="68" t="s">
        <v>276</v>
      </c>
      <c r="D32" s="123">
        <v>45414</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401690</v>
      </c>
      <c r="C33" s="68" t="s">
        <v>278</v>
      </c>
      <c r="D33" s="123">
        <v>45536</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258"/>
      <c r="P33" s="259"/>
      <c r="Q33" s="185" t="s">
        <v>96</v>
      </c>
      <c r="R33" s="186"/>
      <c r="S33" s="189" t="s">
        <v>97</v>
      </c>
      <c r="T33" s="190"/>
      <c r="U33" s="189" t="s">
        <v>98</v>
      </c>
      <c r="V33" s="190"/>
    </row>
    <row r="34" spans="1:24" ht="16" customHeight="1">
      <c r="A34" s="61" t="s">
        <v>99</v>
      </c>
      <c r="B34" s="101">
        <v>401703</v>
      </c>
      <c r="C34" s="68" t="s">
        <v>279</v>
      </c>
      <c r="D34" s="123">
        <v>45616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260"/>
      <c r="P34" s="261"/>
      <c r="Q34" s="187"/>
      <c r="R34" s="188"/>
      <c r="S34" s="191"/>
      <c r="T34" s="192"/>
      <c r="U34" s="191"/>
      <c r="V34" s="192"/>
    </row>
    <row r="35" spans="1:24" ht="16" customHeight="1">
      <c r="A35" s="61" t="s">
        <v>100</v>
      </c>
      <c r="B35" s="101">
        <v>401715</v>
      </c>
      <c r="C35" s="68" t="s">
        <v>281</v>
      </c>
      <c r="D35" s="123">
        <v>45755</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250" t="s">
        <v>101</v>
      </c>
      <c r="P35" s="172"/>
      <c r="Q35" s="178">
        <f>EINSTELLUNG!C7</f>
        <v>2</v>
      </c>
      <c r="R35" s="180"/>
      <c r="S35" s="178">
        <f>EINSTELLUNG!C23</f>
        <v>2</v>
      </c>
      <c r="T35" s="180"/>
      <c r="U35" s="175">
        <f>S35-Q35</f>
        <v>0</v>
      </c>
      <c r="V35" s="175"/>
    </row>
    <row r="36" spans="1:24" ht="16" customHeight="1">
      <c r="A36" s="61" t="s">
        <v>102</v>
      </c>
      <c r="B36" s="101">
        <v>401716</v>
      </c>
      <c r="C36" s="68" t="s">
        <v>282</v>
      </c>
      <c r="D36" s="123">
        <v>45800</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250" t="s">
        <v>103</v>
      </c>
      <c r="P36" s="172"/>
      <c r="Q36" s="178">
        <f>EINSTELLUNG!D7</f>
        <v>2</v>
      </c>
      <c r="R36" s="180"/>
      <c r="S36" s="174" cm="1">
        <f t="array" ref="S36">SumMergedCells(Q17:R29)</f>
        <v>0</v>
      </c>
      <c r="T36" s="174"/>
      <c r="U36" s="175">
        <f t="shared" ref="U36:U41" si="2">S36-Q36</f>
        <v>-2</v>
      </c>
      <c r="V36" s="175"/>
    </row>
    <row r="37" spans="1:24" ht="16" customHeight="1">
      <c r="A37" s="62" t="s">
        <v>104</v>
      </c>
      <c r="B37" s="101">
        <v>401717</v>
      </c>
      <c r="C37" s="68" t="s">
        <v>283</v>
      </c>
      <c r="D37" s="123">
        <v>45814</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250" t="s">
        <v>105</v>
      </c>
      <c r="P37" s="172"/>
      <c r="Q37" s="243">
        <f>IF(ISERROR(Q36/Q35), 0, Q36/Q35)</f>
        <v>1</v>
      </c>
      <c r="R37" s="244"/>
      <c r="S37" s="243">
        <f>IF(ISERROR(S36/S35), 0, S36/S35)</f>
        <v>0</v>
      </c>
      <c r="T37" s="244"/>
      <c r="U37" s="182">
        <f t="shared" si="2"/>
        <v>-1</v>
      </c>
      <c r="V37" s="182"/>
    </row>
    <row r="38" spans="1:24" ht="16" customHeight="1">
      <c r="A38" s="61" t="s">
        <v>106</v>
      </c>
      <c r="B38" s="101">
        <v>401722</v>
      </c>
      <c r="C38" s="68" t="s">
        <v>284</v>
      </c>
      <c r="D38" s="123">
        <v>45848</v>
      </c>
      <c r="E38" s="65" t="s">
        <v>2</v>
      </c>
      <c r="F38" s="67">
        <v>86.5</v>
      </c>
      <c r="G38" s="116">
        <v>1010.5</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250" t="s">
        <v>107</v>
      </c>
      <c r="P38" s="172"/>
      <c r="Q38" s="241">
        <f>EINSTELLUNG!F7</f>
        <v>2</v>
      </c>
      <c r="R38" s="242"/>
      <c r="S38" s="241">
        <f>EINSTELLUNG!F23</f>
        <v>2</v>
      </c>
      <c r="T38" s="242"/>
      <c r="U38" s="177">
        <f t="shared" si="2"/>
        <v>0</v>
      </c>
      <c r="V38" s="177"/>
    </row>
    <row r="39" spans="1:24" ht="16" customHeight="1">
      <c r="A39" s="61" t="s">
        <v>108</v>
      </c>
      <c r="B39" s="101">
        <v>401723</v>
      </c>
      <c r="C39" s="68" t="s">
        <v>285</v>
      </c>
      <c r="D39" s="123">
        <v>45852</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250" t="s">
        <v>109</v>
      </c>
      <c r="P39" s="172"/>
      <c r="Q39" s="178">
        <f>IF(Q38=0, 0, Q35/Q38)</f>
        <v>1</v>
      </c>
      <c r="R39" s="180"/>
      <c r="S39" s="178">
        <f>IF(S38=0, 0, S35/S38)</f>
        <v>1</v>
      </c>
      <c r="T39" s="180"/>
      <c r="U39" s="175">
        <f t="shared" si="2"/>
        <v>0</v>
      </c>
      <c r="V39" s="175"/>
    </row>
    <row r="40" spans="1:24" ht="16" customHeight="1">
      <c r="A40" s="61" t="s">
        <v>110</v>
      </c>
      <c r="B40" s="101">
        <v>401726</v>
      </c>
      <c r="C40" s="68" t="s">
        <v>286</v>
      </c>
      <c r="D40" s="123">
        <v>45870</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IF(Q12=0, 0, Q35/Q12)</f>
        <v>#REF!</v>
      </c>
      <c r="R40" s="174"/>
      <c r="S40" s="174" t="e">
        <f>IF(Q12=0, 0, S35/Q12)</f>
        <v>#REF!</v>
      </c>
      <c r="T40" s="174"/>
      <c r="U40" s="175" t="e">
        <f t="shared" si="2"/>
        <v>#REF!</v>
      </c>
      <c r="V40" s="175"/>
    </row>
    <row r="41" spans="1:24" ht="16" customHeight="1">
      <c r="A41" s="62" t="s">
        <v>112</v>
      </c>
      <c r="B41" s="101">
        <v>401730</v>
      </c>
      <c r="C41" s="68" t="s">
        <v>288</v>
      </c>
      <c r="D41" s="123">
        <v>45895</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IF(Q12=0, 0, Q38/Q12)</f>
        <v>#REF!</v>
      </c>
      <c r="R41" s="176"/>
      <c r="S41" s="176" t="e">
        <f>IF(Q12=0, 0, S38/Q12)</f>
        <v>#REF!</v>
      </c>
      <c r="T41" s="176"/>
      <c r="U41" s="177" t="e">
        <f t="shared" si="2"/>
        <v>#REF!</v>
      </c>
      <c r="V41" s="177"/>
    </row>
    <row r="42" spans="1:24" ht="16" customHeight="1">
      <c r="A42" s="61" t="s">
        <v>114</v>
      </c>
      <c r="B42" s="101">
        <v>401731</v>
      </c>
      <c r="C42" s="68" t="s">
        <v>287</v>
      </c>
      <c r="D42" s="123">
        <v>45899</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401734</v>
      </c>
      <c r="C43" s="68" t="s">
        <v>289</v>
      </c>
      <c r="D43" s="123">
        <v>45904</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401736</v>
      </c>
      <c r="C44" s="68" t="s">
        <v>290</v>
      </c>
      <c r="D44" s="123">
        <v>45906</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401737</v>
      </c>
      <c r="C45" s="68" t="s">
        <v>291</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t="s">
        <v>378</v>
      </c>
    </row>
    <row r="46" spans="1:24" ht="16" customHeight="1">
      <c r="A46" s="61" t="s">
        <v>120</v>
      </c>
      <c r="B46" s="101">
        <v>401738</v>
      </c>
      <c r="C46" s="68" t="s">
        <v>292</v>
      </c>
      <c r="D46" s="123">
        <v>45909</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401745</v>
      </c>
      <c r="C47" s="70" t="s">
        <v>296</v>
      </c>
      <c r="D47" s="123">
        <v>45934</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401746</v>
      </c>
      <c r="C48" s="68" t="s">
        <v>295</v>
      </c>
      <c r="D48" s="123">
        <v>45941</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401747</v>
      </c>
      <c r="C49" s="68" t="s">
        <v>293</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401748</v>
      </c>
      <c r="C50" s="68" t="s">
        <v>294</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401751</v>
      </c>
      <c r="C51" s="68" t="s">
        <v>297</v>
      </c>
      <c r="D51" s="123">
        <v>45961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401752</v>
      </c>
      <c r="C52" s="68" t="s">
        <v>298</v>
      </c>
      <c r="D52" s="123">
        <v>45986</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401754</v>
      </c>
      <c r="C53" s="68" t="s">
        <v>299</v>
      </c>
      <c r="D53" s="123">
        <v>46014</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402405</v>
      </c>
      <c r="C54" s="68" t="s">
        <v>352</v>
      </c>
      <c r="D54" s="123">
        <v>46054</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55</v>
      </c>
      <c r="C55" s="68" t="s">
        <v>353</v>
      </c>
      <c r="D55" s="123">
        <v>46054</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503000</v>
      </c>
      <c r="C56" s="68" t="s">
        <v>354</v>
      </c>
      <c r="D56" s="123">
        <v>42401</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504000</v>
      </c>
      <c r="C57" s="68" t="s">
        <v>355</v>
      </c>
      <c r="D57" s="123">
        <v>46054</v>
      </c>
      <c r="E57" s="65" t="s">
        <v>3</v>
      </c>
      <c r="F57" s="67">
        <v>138.4</v>
      </c>
      <c r="G57" s="116">
        <v>1665.6</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505000</v>
      </c>
      <c r="C58" s="68" t="s">
        <v>356</v>
      </c>
      <c r="D58" s="123">
        <v>46054</v>
      </c>
      <c r="E58" s="65" t="s">
        <v>2</v>
      </c>
      <c r="F58" s="67">
        <v>138.4</v>
      </c>
      <c r="G58" s="116">
        <v>1616.8</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500600</v>
      </c>
      <c r="C59" s="68" t="s">
        <v>357</v>
      </c>
      <c r="D59" s="123">
        <v>46054</v>
      </c>
      <c r="E59" s="65" t="s">
        <v>2</v>
      </c>
      <c r="F59" s="67">
        <v>173</v>
      </c>
      <c r="G59" s="116">
        <v>2021</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600000</v>
      </c>
      <c r="C60" s="68" t="s">
        <v>358</v>
      </c>
      <c r="D60" s="123">
        <v>46054</v>
      </c>
      <c r="E60" s="65" t="s">
        <v>2</v>
      </c>
      <c r="F60" s="67">
        <v>151.38</v>
      </c>
      <c r="G60" s="116">
        <v>1768.38</v>
      </c>
      <c r="H60" s="89" t="e">
        <f>IF(AND(ISNUMBER(D60), ISNUMBER(F60)),
    ROUNDDOWN(
        MIN(
            IF(OR(ISBLANK(I60), I60=""),
                EOMONTH(DATE(#REF!, $A$1, 1), 0), I60)
            - MAX(D60, DATE(#REF!, $A$1, 1)) + 1)
        / DAY(EOMONTH(DATE(#REF!, $A$1, 1), 0)) * F60,
        2
    ),
    ""
)</f>
        <v>#REF!</v>
      </c>
      <c r="I60" s="126">
        <v>46055</v>
      </c>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173</v>
      </c>
      <c r="G61" s="116">
        <v>2021</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 ISNUMBER(F62)),
    ROUNDDOWN(
        MIN(
            IF(OR(ISBLANK(I62), I62=""),
                EOMONTH(DATE(#REF!, $A$1, 1), 0), I62)
            - MAX(D62, DATE(#REF!, $A$1, 1)) + 1)
        / DAY(EOMONTH(DATE(#REF!, $A$1, 1), 0)) * F62,
        2
    ),
    ""
)</f>
        <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5"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5"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4" spans="1:15" ht="16" customHeight="1">
      <c r="O84" s="20"/>
    </row>
    <row r="85" spans="1:15" ht="16" customHeight="1">
      <c r="O85" s="20"/>
    </row>
    <row r="86" spans="1:15" ht="16" customHeight="1">
      <c r="O86" s="20"/>
    </row>
  </sheetData>
  <sheetProtection algorithmName="SHA-512" hashValue="QAlEXCa3ph5EhVsikvAgdOSjI1VL+LR1AOr0x2SeF1yncmhYfmj3LTBcVXPPNdVgH15UrONQ07VBU7WUjgfAzQ==" saltValue="7KepVygwYEnhpwNmgI3XYQ=="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1">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#REF!</xm:f>
          </x14:formula1>
          <xm:sqref>E3:E82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tabSelected="1" zoomScaleNormal="100" workbookViewId="0">
      <pane ySplit="2" topLeftCell="A3" activePane="bottomLeft" state="frozen"/>
      <selection activeCell="T24" sqref="T24"/>
      <selection pane="bottomLeft" activeCell="H6" sqref="H6"/>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3</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861.45075354782682</v>
      </c>
      <c r="P5" s="15">
        <f>EINSTELLUNG!I8</f>
        <v>3</v>
      </c>
      <c r="Q5" s="14">
        <f>P5-O5</f>
        <v>-858.45075354782682</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EINSTELLUNG!L24</f>
        <v>3</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EINSTELLUNG!I24</f>
        <v>3</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3</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-445</v>
      </c>
      <c r="R12" s="193"/>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EINSTELLUNG!L8</f>
        <v>3</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EINSTELLUNG!O8</f>
        <v>3</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1.6666666666666666E-2</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EINSTELLUNG!C8</f>
        <v>3</v>
      </c>
      <c r="R35" s="174"/>
      <c r="S35" s="174">
        <f>EINSTELLUNG!C24</f>
        <v>3</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EINSTELLUNG!D8</f>
        <v>3</v>
      </c>
      <c r="R36" s="174"/>
      <c r="S36" s="174" cm="1">
        <f t="array" ref="S36">SumMergedCells(Q17:R29)</f>
        <v>0</v>
      </c>
      <c r="T36" s="174"/>
      <c r="U36" s="175">
        <f t="shared" ref="U36:U41" si="2">S36-Q36</f>
        <v>-3</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2"/>
        <v>-1</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EINSTELLUNG!F8</f>
        <v>3</v>
      </c>
      <c r="R38" s="176"/>
      <c r="S38" s="176">
        <f>EINSTELLUNG!F24</f>
        <v>3</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2"/>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2"/>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401754</v>
      </c>
      <c r="C54" s="68" t="s">
        <v>299</v>
      </c>
      <c r="D54" s="123">
        <v>46014</v>
      </c>
      <c r="E54" s="65" t="s">
        <v>2</v>
      </c>
      <c r="F54" s="67">
        <v>86.5</v>
      </c>
      <c r="G54" s="116">
        <v>1010.5</v>
      </c>
      <c r="H54" s="89" t="e">
        <f>IF(AND(ISNUMBER(D54), ISNUMBER(F54)),
    ROUNDDOWN(
        MIN(
            IF(OR(ISBLANK(I54), I54=""),
                EOMONTH(DATE(#REF!, $A$1, 1), 0), I54)
            - MAX(D54, DATE(#REF!, $A$1, 1)) + 1)
        / DAY(EOMONTH(DATE(#REF!, $A$1, 1), 0)) * F54,
        2
    ),
    ""
)</f>
        <v>#REF!</v>
      </c>
      <c r="I54" s="126">
        <v>46096</v>
      </c>
      <c r="J54" s="66">
        <v>8</v>
      </c>
      <c r="K54" s="92">
        <f t="shared" si="1"/>
        <v>260.77419354838707</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t="s">
        <v>205</v>
      </c>
    </row>
    <row r="55" spans="1:14" ht="16" customHeight="1">
      <c r="A55" s="61" t="s">
        <v>129</v>
      </c>
      <c r="B55" s="101">
        <v>401999</v>
      </c>
      <c r="C55" s="68" t="s">
        <v>341</v>
      </c>
      <c r="D55" s="123">
        <v>46082</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402405</v>
      </c>
      <c r="C56" s="68" t="s">
        <v>352</v>
      </c>
      <c r="D56" s="123">
        <v>46054</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500600</v>
      </c>
      <c r="C57" s="70" t="s">
        <v>357</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503000</v>
      </c>
      <c r="C58" s="68" t="s">
        <v>354</v>
      </c>
      <c r="D58" s="123">
        <v>42401</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504000</v>
      </c>
      <c r="C59" s="68" t="s">
        <v>355</v>
      </c>
      <c r="D59" s="123">
        <v>46054</v>
      </c>
      <c r="E59" s="65" t="s">
        <v>3</v>
      </c>
      <c r="F59" s="67">
        <v>138.4</v>
      </c>
      <c r="G59" s="116">
        <v>1665.6</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505000</v>
      </c>
      <c r="C60" s="68" t="s">
        <v>356</v>
      </c>
      <c r="D60" s="123">
        <v>46054</v>
      </c>
      <c r="E60" s="65" t="s">
        <v>2</v>
      </c>
      <c r="F60" s="67">
        <v>138.4</v>
      </c>
      <c r="G60" s="116">
        <v>1616.8</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173</v>
      </c>
      <c r="G61" s="116">
        <v>2021</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800000</v>
      </c>
      <c r="C62" s="68" t="s">
        <v>376</v>
      </c>
      <c r="D62" s="123">
        <v>46082</v>
      </c>
      <c r="E62" s="65" t="s">
        <v>2</v>
      </c>
      <c r="F62" s="67">
        <v>173</v>
      </c>
      <c r="G62" s="116">
        <v>2021</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ayW8AvcSdTp9nIUpndyKO1ZRDiYHx6s9pN4Mufvzt87IBT5RdSJzwmLJINthPKXvhmJ64tjphjSdkPB76Nepkg==" saltValue="IRsH8ebaTULeOig6rDkehg=="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2">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#REF!</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9" activePane="bottomLeft" state="frozen"/>
      <selection activeCell="T24" sqref="T24"/>
      <selection pane="bottomLeft" activeCell="F64" sqref="F64"/>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4</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855.94051045650838</v>
      </c>
      <c r="P5" s="15">
        <f>EINSTELLUNG!I9</f>
        <v>4</v>
      </c>
      <c r="Q5" s="14">
        <f>P5-O5</f>
        <v>-851.94051045650838</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EINSTELLUNG!L25</f>
        <v>4</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EINSTELLUNG!I25</f>
        <v>4</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4</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-255</v>
      </c>
      <c r="R12" s="193"/>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EINSTELLUNG!L9</f>
        <v>4</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EINSTELLUNG!O9</f>
        <v>4</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EINSTELLUNG!C9</f>
        <v>4</v>
      </c>
      <c r="R35" s="174"/>
      <c r="S35" s="174">
        <f>EINSTELLUNG!C25</f>
        <v>4</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EINSTELLUNG!D9</f>
        <v>4</v>
      </c>
      <c r="R36" s="174"/>
      <c r="S36" s="174" cm="1">
        <f t="array" ref="S36">SumMergedCells(Q17:R29)</f>
        <v>5004</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1251</v>
      </c>
      <c r="T37" s="181"/>
      <c r="U37" s="182">
        <f t="shared" si="2"/>
        <v>1250</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EINSTELLUNG!F9</f>
        <v>4</v>
      </c>
      <c r="R38" s="176"/>
      <c r="S38" s="176">
        <f>EINSTELLUNG!F25</f>
        <v>4</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2"/>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2"/>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402004</v>
      </c>
      <c r="C55" s="68" t="s">
        <v>350</v>
      </c>
      <c r="D55" s="123">
        <v>46122</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402405</v>
      </c>
      <c r="C56" s="68" t="s">
        <v>352</v>
      </c>
      <c r="D56" s="123">
        <v>46054</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500600</v>
      </c>
      <c r="C57" s="68" t="s">
        <v>357</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503000</v>
      </c>
      <c r="C58" s="68" t="s">
        <v>354</v>
      </c>
      <c r="D58" s="123">
        <v>42401</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504000</v>
      </c>
      <c r="C59" s="68" t="s">
        <v>355</v>
      </c>
      <c r="D59" s="123">
        <v>46054</v>
      </c>
      <c r="E59" s="65" t="s">
        <v>3</v>
      </c>
      <c r="F59" s="67">
        <v>138.4</v>
      </c>
      <c r="G59" s="116">
        <v>1665.6</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505000</v>
      </c>
      <c r="C60" s="68" t="s">
        <v>356</v>
      </c>
      <c r="D60" s="123">
        <v>46054</v>
      </c>
      <c r="E60" s="65" t="s">
        <v>2</v>
      </c>
      <c r="F60" s="67">
        <v>138.4</v>
      </c>
      <c r="G60" s="116">
        <v>1616.8</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138.4</v>
      </c>
      <c r="G61" s="116">
        <v>1616.8</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800000</v>
      </c>
      <c r="C62" s="68" t="s">
        <v>376</v>
      </c>
      <c r="D62" s="123">
        <v>46082</v>
      </c>
      <c r="E62" s="65" t="s">
        <v>2</v>
      </c>
      <c r="F62" s="67">
        <v>64</v>
      </c>
      <c r="G62" s="116">
        <v>1000</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044Rns7zJcVdqKfUWMKruyfWi5pn6HzoyS+zN9UolsEPxjEkEjmwXZdK5BQQjVbnWPVFeZX36kV7GHXxy+wmhg==" saltValue="sprztEwEmdlYpuUModpAY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2">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 type="list" allowBlank="1" showInputMessage="1" showErrorMessage="1" sqref="F62" xr:uid="{95490940-887F-4C66-8640-1B530E68E1E0}">
      <formula1>KV_DD_APRIL_62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#REF!</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F21" sqref="F21"/>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5</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899.01401315020325</v>
      </c>
      <c r="P5" s="15">
        <f>EINSTELLUNG!I10</f>
        <v>5</v>
      </c>
      <c r="Q5" s="14">
        <f>P5-O5</f>
        <v>-894.01401315020325</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EINSTELLUNG!L26</f>
        <v>5</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EINSTELLUNG!I26</f>
        <v>5</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5</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t="e">
        <f>Q8-Q9-Q10-Q11</f>
        <v>#REF!</v>
      </c>
      <c r="R12" s="164"/>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EINSTELLUNG!L10</f>
        <v>5</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t="e">
        <f>Q12-Q13</f>
        <v>#REF!</v>
      </c>
      <c r="R14" s="164"/>
    </row>
    <row r="15" spans="1:28" ht="16" customHeight="1">
      <c r="A15" s="61" t="s">
        <v>71</v>
      </c>
      <c r="B15" s="101">
        <v>401308</v>
      </c>
      <c r="C15" s="68" t="s">
        <v>257</v>
      </c>
      <c r="D15" s="123">
        <v>43579</v>
      </c>
      <c r="E15" s="65" t="s">
        <v>3</v>
      </c>
      <c r="F15" s="67">
        <v>129.75</v>
      </c>
      <c r="G15" s="116">
        <v>1561.5</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e">
        <f>IF(Q14&lt;0, "Schlecht! Zu wenig Stunden für Dienstplan.", IF(Q14&gt;0, "Du hast mehr als genug Stunden für Dienstplan.", ""))</f>
        <v>#REF!</v>
      </c>
      <c r="P15" s="287"/>
      <c r="Q15" s="287"/>
      <c r="R15" s="287"/>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70"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EINSTELLUNG!O10</f>
        <v>5</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EINSTELLUNG!C10</f>
        <v>5</v>
      </c>
      <c r="R35" s="174"/>
      <c r="S35" s="174">
        <f>EINSTELLUNG!C26</f>
        <v>5</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EINSTELLUNG!D10</f>
        <v>5</v>
      </c>
      <c r="R36" s="174"/>
      <c r="S36" s="174" cm="1">
        <f t="array" ref="S36">SumMergedCells(Q17:R29)</f>
        <v>5005</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1001</v>
      </c>
      <c r="T37" s="181"/>
      <c r="U37" s="182">
        <f t="shared" si="2"/>
        <v>1000</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EINSTELLUNG!F10</f>
        <v>5</v>
      </c>
      <c r="R38" s="176"/>
      <c r="S38" s="176">
        <f>EINSTELLUNG!F26</f>
        <v>5</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IF(Q12=0, 0, Q35/Q12)</f>
        <v>#REF!</v>
      </c>
      <c r="R40" s="174"/>
      <c r="S40" s="174" t="e">
        <f>IF(Q12=0, 0, S35/Q12)</f>
        <v>#REF!</v>
      </c>
      <c r="T40" s="174"/>
      <c r="U40" s="175" t="e">
        <f t="shared" si="2"/>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IF(Q12=0, 0, Q38/Q12)</f>
        <v>#REF!</v>
      </c>
      <c r="R41" s="176"/>
      <c r="S41" s="176" t="e">
        <f>IF(Q12=0, 0, S38/Q12)</f>
        <v>#REF!</v>
      </c>
      <c r="T41" s="176"/>
      <c r="U41" s="177" t="e">
        <f t="shared" si="2"/>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t="e">
        <f>IF(AND(ISNUMBER(D63), ISNUMBER(F63)),
    ROUNDDOWN(
        MIN(
            IF(OR(ISBLANK(I63), I63=""),
                EOMONTH(DATE(#REF!, $A$1, 1), 0), I63)
            - MAX(D63, DATE(#REF!, $A$1, 1)) + 1)
        / DAY(EOMONTH(DATE(#REF!, $A$1, 1), 0)) * F63,
        2
    ),
    ""
)</f>
        <v>#REF!</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t="e">
        <f>IF(AND(ISNUMBER(D64), ISNUMBER(F64)),
    ROUNDDOWN(
        MIN(
            IF(OR(ISBLANK(I64), I64=""),
                EOMONTH(DATE(#REF!, $A$1, 1), 0), I64)
            - MAX(D64, DATE(#REF!, $A$1, 1)) + 1)
        / DAY(EOMONTH(DATE(#REF!, $A$1, 1), 0)) * F64,
        2
    ),
    ""
)</f>
        <v>#REF!</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2PVAYXBmpBEMGyFqSs9jKnrHdYNrzps4PAt/GlvAubuc4+ASXgSCZ4v9FOiUZrIvKbp7KMeVpScrdmyc6XCNvw==" saltValue="Wj1iI7XUCDLAt2nTf90bQ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 type="list" allowBlank="1" showInputMessage="1" showErrorMessage="1" sqref="F64" xr:uid="{715954FE-C7A3-334D-8E51-2A2A2DEBAB9C}">
      <formula1>KV_DD_MAI_64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#REF!</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6</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903.18770866157831</v>
      </c>
      <c r="P5" s="15">
        <f>EINSTELLUNG!I11</f>
        <v>6</v>
      </c>
      <c r="Q5" s="14">
        <f>P5-O5</f>
        <v>-897.18770866157831</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EINSTELLUNG!L27</f>
        <v>6</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EINSTELLUNG!I27</f>
        <v>6</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6</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442</v>
      </c>
      <c r="R12" s="193"/>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EINSTELLUNG!L11</f>
        <v>6</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70"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EINSTELLUNG!O11</f>
        <v>6</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1.6666666666666666E-2</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EINSTELLUNG!C11</f>
        <v>6</v>
      </c>
      <c r="R35" s="174"/>
      <c r="S35" s="174">
        <f>EINSTELLUNG!C27</f>
        <v>6</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EINSTELLUNG!D11</f>
        <v>6</v>
      </c>
      <c r="R36" s="174"/>
      <c r="S36" s="174" cm="1">
        <f t="array" ref="S36">SumMergedCells(Q17:R29)</f>
        <v>0</v>
      </c>
      <c r="T36" s="174"/>
      <c r="U36" s="175">
        <f t="shared" ref="U36:U41" si="2">S36-Q36</f>
        <v>-6</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2"/>
        <v>-1</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EINSTELLUNG!F11</f>
        <v>6</v>
      </c>
      <c r="R38" s="176"/>
      <c r="S38" s="176">
        <f>EINSTELLUNG!F27</f>
        <v>6</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1.3574660633484163E-2</v>
      </c>
      <c r="R40" s="174"/>
      <c r="S40" s="174">
        <f>IF(Q12=0, 0, S35/Q12)</f>
        <v>1.3574660633484163E-2</v>
      </c>
      <c r="T40" s="174"/>
      <c r="U40" s="175">
        <f t="shared" si="2"/>
        <v>0</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1.3574660633484163E-2</v>
      </c>
      <c r="R41" s="176"/>
      <c r="S41" s="176">
        <f>IF(Q12=0, 0, S38/Q12)</f>
        <v>1.3574660633484163E-2</v>
      </c>
      <c r="T41" s="176"/>
      <c r="U41" s="177">
        <f t="shared" si="2"/>
        <v>0</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t="e">
        <f>IF(AND(ISNUMBER(D63), ISNUMBER(F63)),
    ROUNDDOWN(
        MIN(
            IF(OR(ISBLANK(I63), I63=""),
                EOMONTH(DATE(#REF!, $A$1, 1), 0), I63)
            - MAX(D63, DATE(#REF!, $A$1, 1)) + 1)
        / DAY(EOMONTH(DATE(#REF!, $A$1, 1), 0)) * F63,
        2
    ),
    ""
)</f>
        <v>#REF!</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t="e">
        <f>IF(AND(ISNUMBER(D64), ISNUMBER(F64)),
    ROUNDDOWN(
        MIN(
            IF(OR(ISBLANK(I64), I64=""),
                EOMONTH(DATE(#REF!, $A$1, 1), 0), I64)
            - MAX(D64, DATE(#REF!, $A$1, 1)) + 1)
        / DAY(EOMONTH(DATE(#REF!, $A$1, 1), 0)) * F64,
        2
    ),
    ""
)</f>
        <v>#REF!</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574ac6ZPMqhwegzS1Sh43iEyeiBWnaM1p0YdSeEj0G4F8naxW0CW8t6VpFEnMJ/Q0IqoiDg/ONpI6FgW6hSxrw==" saltValue="124QarGXTJuQqi5UcJgOPw=="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3">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#REF!</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7</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903.18770866157831</v>
      </c>
      <c r="P5" s="15">
        <f>EINSTELLUNG!I12</f>
        <v>7</v>
      </c>
      <c r="Q5" s="14">
        <f>P5-O5</f>
        <v>-896.18770866157831</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EINSTELLUNG!L28</f>
        <v>7</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EINSTELLUNG!I28</f>
        <v>7</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7</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39</v>
      </c>
      <c r="R12" s="193"/>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EINSTELLUNG!L12</f>
        <v>7</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70"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70"/>
      <c r="P26" s="213"/>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EINSTELLUNG!O12</f>
        <v>7</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EINSTELLUNG!C12</f>
        <v>7</v>
      </c>
      <c r="R35" s="174"/>
      <c r="S35" s="174">
        <f>EINSTELLUNG!C28</f>
        <v>7</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EINSTELLUNG!D12</f>
        <v>7</v>
      </c>
      <c r="R36" s="174"/>
      <c r="S36" s="178" cm="1">
        <f t="array" ref="S36">SumMergedCells(Q17:R29)</f>
        <v>0</v>
      </c>
      <c r="T36" s="180"/>
      <c r="U36" s="175">
        <f t="shared" ref="U36:U41" si="2">S36-Q36</f>
        <v>-7</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2"/>
        <v>-1</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EINSTELLUNG!F12</f>
        <v>7</v>
      </c>
      <c r="R38" s="176"/>
      <c r="S38" s="176">
        <f>EINSTELLUNG!F28</f>
        <v>7</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2"/>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2"/>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t="e">
        <f>IF(AND(ISNUMBER(D63), ISNUMBER(F63)),
    ROUNDDOWN(
        MIN(
            IF(OR(ISBLANK(I63), I63=""),
                EOMONTH(DATE(#REF!, $A$1, 1), 0), I63)
            - MAX(D63, DATE(#REF!, $A$1, 1)) + 1)
        / DAY(EOMONTH(DATE(#REF!, $A$1, 1), 0)) * F63,
        2
    ),
    ""
)</f>
        <v>#REF!</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t="e">
        <f>IF(AND(ISNUMBER(D64), ISNUMBER(F64)),
    ROUNDDOWN(
        MIN(
            IF(OR(ISBLANK(I64), I64=""),
                EOMONTH(DATE(#REF!, $A$1, 1), 0), I64)
            - MAX(D64, DATE(#REF!, $A$1, 1)) + 1)
        / DAY(EOMONTH(DATE(#REF!, $A$1, 1), 0)) * F64,
        2
    ),
    ""
)</f>
        <v>#REF!</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G9jJaxmXMc0pSHz53Pbwe8/EyBJApyrrEfqZXuMczTTc/n9/8FEVD2X/ch9CV2nh0SB55LqbqF57emwDKJEc2w==" saltValue="cjOfsjpdt8jTwI+ADqwbM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#REF!</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8</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899.01401315020314</v>
      </c>
      <c r="P5" s="15">
        <f>EINSTELLUNG!I13</f>
        <v>8</v>
      </c>
      <c r="Q5" s="14">
        <f>P5-O5</f>
        <v>-891.01401315020314</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EINSTELLUNG!L29</f>
        <v>8</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EINSTELLUNG!I29</f>
        <v>8</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8</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t="e">
        <f>Q8-Q9-Q10-Q11</f>
        <v>#REF!</v>
      </c>
      <c r="R12" s="164"/>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EINSTELLUNG!L13</f>
        <v>8</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t="e">
        <f>Q12-Q13</f>
        <v>#REF!</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e">
        <f>IF(Q14&lt;0, "Schlecht! Zu wenig Stunden für Dienstplan.", IF(Q14&gt;0, "Du hast mehr als genug Stunden für Dienstplan.", ""))</f>
        <v>#REF!</v>
      </c>
      <c r="P15" s="287"/>
      <c r="Q15" s="287"/>
      <c r="R15" s="287"/>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EINSTELLUNG!O13</f>
        <v>8</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1.8518518518518517E-2</v>
      </c>
      <c r="R31" s="218"/>
    </row>
    <row r="32" spans="1:29" ht="16" customHeight="1">
      <c r="A32" s="61"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EINSTELLUNG!C13</f>
        <v>8</v>
      </c>
      <c r="R35" s="174"/>
      <c r="S35" s="174">
        <f>EINSTELLUNG!C29</f>
        <v>8</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EINSTELLUNG!D13</f>
        <v>8</v>
      </c>
      <c r="R36" s="174"/>
      <c r="S36" s="178" cm="1">
        <f t="array" ref="S36">SumMergedCells(Q17:R29)</f>
        <v>0</v>
      </c>
      <c r="T36" s="180"/>
      <c r="U36" s="175">
        <f t="shared" ref="U36:U41" si="2">S36-Q36</f>
        <v>-8</v>
      </c>
      <c r="V36" s="175"/>
    </row>
    <row r="37" spans="1:24" ht="16" customHeight="1">
      <c r="A37" s="62"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243">
        <f>IF(ISERROR(S36/S35), 0, S36/S35)</f>
        <v>0</v>
      </c>
      <c r="T37" s="244"/>
      <c r="U37" s="182">
        <f t="shared" si="2"/>
        <v>-1</v>
      </c>
      <c r="V37" s="182"/>
    </row>
    <row r="38" spans="1:24" ht="16" customHeight="1">
      <c r="A38" s="61"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EINSTELLUNG!F13</f>
        <v>8</v>
      </c>
      <c r="R38" s="176"/>
      <c r="S38" s="176">
        <f>EINSTELLUNG!F29</f>
        <v>8</v>
      </c>
      <c r="T38" s="176"/>
      <c r="U38" s="177">
        <f t="shared" si="2"/>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IF(Q12=0, 0, Q35/Q12)</f>
        <v>#REF!</v>
      </c>
      <c r="R40" s="174"/>
      <c r="S40" s="174" t="e">
        <f>IF(Q12=0, 0, S35/Q12)</f>
        <v>#REF!</v>
      </c>
      <c r="T40" s="174"/>
      <c r="U40" s="175" t="e">
        <f t="shared" si="2"/>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IF(Q12=0, 0, Q38/Q12)</f>
        <v>#REF!</v>
      </c>
      <c r="R41" s="176"/>
      <c r="S41" s="176" t="e">
        <f>IF(Q12=0, 0, S38/Q12)</f>
        <v>#REF!</v>
      </c>
      <c r="T41" s="176"/>
      <c r="U41" s="177" t="e">
        <f t="shared" si="2"/>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t="e">
        <f>IF(AND(ISNUMBER(D49), ISNUMBER(F49)),
    ROUNDDOWN(
        MIN(
            IF(OR(ISBLANK(I49), I49=""),
                EOMONTH(DATE(#REF!, $A$1, 1), 0), I49)
            - MAX(D49, DATE(#REF!, $A$1, 1)) + 1)
        / DAY(EOMONTH(DATE(#REF!, $A$1, 1), 0)) * F49,
        2
    ),
    ""
)</f>
        <v>#REF!</v>
      </c>
      <c r="I49" s="126">
        <v>46249</v>
      </c>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t="s">
        <v>205</v>
      </c>
    </row>
    <row r="50" spans="1:14" ht="16" customHeight="1">
      <c r="A50" s="61" t="s">
        <v>124</v>
      </c>
      <c r="B50" s="101">
        <v>401747</v>
      </c>
      <c r="C50" s="68" t="s">
        <v>293</v>
      </c>
      <c r="D50" s="123">
        <v>45941</v>
      </c>
      <c r="E50" s="65" t="s">
        <v>2</v>
      </c>
      <c r="F50" s="67">
        <v>86.5</v>
      </c>
      <c r="G50" s="116">
        <v>1010.5</v>
      </c>
      <c r="H50" s="89" t="e">
        <f>IF(AND(ISNUMBER(D50), ISNUMBER(F50)),
    ROUNDDOWN(
        MIN(
            IF(OR(ISBLANK(I50), I50=""),
                EOMONTH(DATE(#REF!, $A$1, 1), 0), I50)
            - MAX(D50, DATE(#REF!, $A$1, 1)) + 1)
        / DAY(EOMONTH(DATE(#REF!, $A$1, 1), 0)) * F50,
        2
    ),
    ""
)</f>
        <v>#REF!</v>
      </c>
      <c r="I50" s="126">
        <v>46250</v>
      </c>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t="s">
        <v>197</v>
      </c>
    </row>
    <row r="51" spans="1:14" ht="16" customHeight="1">
      <c r="A51" s="61" t="s">
        <v>125</v>
      </c>
      <c r="B51" s="101">
        <v>401748</v>
      </c>
      <c r="C51" s="68" t="s">
        <v>294</v>
      </c>
      <c r="D51" s="123">
        <v>45941</v>
      </c>
      <c r="E51" s="65" t="s">
        <v>2</v>
      </c>
      <c r="F51" s="67">
        <v>86.5</v>
      </c>
      <c r="G51" s="116">
        <v>1010.5</v>
      </c>
      <c r="H51" s="89" t="e">
        <f>IF(AND(ISNUMBER(D51), ISNUMBER(F51)),
    ROUNDDOWN(
        MIN(
            IF(OR(ISBLANK(I51), I51=""),
                EOMONTH(DATE(#REF!, $A$1, 1), 0), I51)
            - MAX(D51, DATE(#REF!, $A$1, 1)) + 1)
        / DAY(EOMONTH(DATE(#REF!, $A$1, 1), 0)) * F51,
        2
    ),
    ""
)</f>
        <v>#REF!</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t="e">
        <f>IF(AND(ISNUMBER(D52), ISNUMBER(F52)),
    ROUNDDOWN(
        MIN(
            IF(OR(ISBLANK(I52), I52=""),
                EOMONTH(DATE(#REF!, $A$1, 1), 0), I52)
            - MAX(D52, DATE(#REF!, $A$1, 1)) + 1)
        / DAY(EOMONTH(DATE(#REF!, $A$1, 1), 0)) * F52,
        2
    ),
    ""
)</f>
        <v>#REF!</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t="e">
        <f>IF(AND(ISNUMBER(D53), ISNUMBER(F53)),
    ROUNDDOWN(
        MIN(
            IF(OR(ISBLANK(I53), I53=""),
                EOMONTH(DATE(#REF!, $A$1, 1), 0), I53)
            - MAX(D53, DATE(#REF!, $A$1, 1)) + 1)
        / DAY(EOMONTH(DATE(#REF!, $A$1, 1), 0)) * F53,
        2
    ),
    ""
)</f>
        <v>#REF!</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70" t="s">
        <v>341</v>
      </c>
      <c r="D54" s="123">
        <v>46082</v>
      </c>
      <c r="E54" s="65" t="s">
        <v>2</v>
      </c>
      <c r="F54" s="67">
        <v>173</v>
      </c>
      <c r="G54" s="116">
        <v>2021</v>
      </c>
      <c r="H54" s="89" t="e">
        <f>IF(AND(ISNUMBER(D54), ISNUMBER(F54)),
    ROUNDDOWN(
        MIN(
            IF(OR(ISBLANK(I54), I54=""),
                EOMONTH(DATE(#REF!, $A$1, 1), 0), I54)
            - MAX(D54, DATE(#REF!, $A$1, 1)) + 1)
        / DAY(EOMONTH(DATE(#REF!, $A$1, 1), 0)) * F54,
        2
    ),
    ""
)</f>
        <v>#REF!</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t="e">
        <f>IF(AND(ISNUMBER(D55), ISNUMBER(F55)),
    ROUNDDOWN(
        MIN(
            IF(OR(ISBLANK(I55), I55=""),
                EOMONTH(DATE(#REF!, $A$1, 1), 0), I55)
            - MAX(D55, DATE(#REF!, $A$1, 1)) + 1)
        / DAY(EOMONTH(DATE(#REF!, $A$1, 1), 0)) * F55,
        2
    ),
    ""
)</f>
        <v>#REF!</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t="e">
        <f>IF(AND(ISNUMBER(D56), ISNUMBER(F56)),
    ROUNDDOWN(
        MIN(
            IF(OR(ISBLANK(I56), I56=""),
                EOMONTH(DATE(#REF!, $A$1, 1), 0), I56)
            - MAX(D56, DATE(#REF!, $A$1, 1)) + 1)
        / DAY(EOMONTH(DATE(#REF!, $A$1, 1), 0)) * F56,
        2
    ),
    ""
)</f>
        <v>#REF!</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t="e">
        <f>IF(AND(ISNUMBER(D57), ISNUMBER(F57)),
    ROUNDDOWN(
        MIN(
            IF(OR(ISBLANK(I57), I57=""),
                EOMONTH(DATE(#REF!, $A$1, 1), 0), I57)
            - MAX(D57, DATE(#REF!, $A$1, 1)) + 1)
        / DAY(EOMONTH(DATE(#REF!, $A$1, 1), 0)) * F57,
        2
    ),
    ""
)</f>
        <v>#REF!</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t="e">
        <f>IF(AND(ISNUMBER(D58), ISNUMBER(F58)),
    ROUNDDOWN(
        MIN(
            IF(OR(ISBLANK(I58), I58=""),
                EOMONTH(DATE(#REF!, $A$1, 1), 0), I58)
            - MAX(D58, DATE(#REF!, $A$1, 1)) + 1)
        / DAY(EOMONTH(DATE(#REF!, $A$1, 1), 0)) * F58,
        2
    ),
    ""
)</f>
        <v>#REF!</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t="e">
        <f>IF(AND(ISNUMBER(D59), ISNUMBER(F59)),
    ROUNDDOWN(
        MIN(
            IF(OR(ISBLANK(I59), I59=""),
                EOMONTH(DATE(#REF!, $A$1, 1), 0), I59)
            - MAX(D59, DATE(#REF!, $A$1, 1)) + 1)
        / DAY(EOMONTH(DATE(#REF!, $A$1, 1), 0)) * F59,
        2
    ),
    ""
)</f>
        <v>#REF!</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t="e">
        <f>IF(AND(ISNUMBER(D60), ISNUMBER(F60)),
    ROUNDDOWN(
        MIN(
            IF(OR(ISBLANK(I60), I60=""),
                EOMONTH(DATE(#REF!, $A$1, 1), 0), I60)
            - MAX(D60, DATE(#REF!, $A$1, 1)) + 1)
        / DAY(EOMONTH(DATE(#REF!, $A$1, 1), 0)) * F60,
        2
    ),
    ""
)</f>
        <v>#REF!</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t="e">
        <f>IF(AND(ISNUMBER(D61), ISNUMBER(F61)),
    ROUNDDOWN(
        MIN(
            IF(OR(ISBLANK(I61), I61=""),
                EOMONTH(DATE(#REF!, $A$1, 1), 0), I61)
            - MAX(D61, DATE(#REF!, $A$1, 1)) + 1)
        / DAY(EOMONTH(DATE(#REF!, $A$1, 1), 0)) * F61,
        2
    ),
    ""
)</f>
        <v>#REF!</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t="e">
        <f>IF(AND(ISNUMBER(D62), ISNUMBER(F62)),
    ROUNDDOWN(
        MIN(
            IF(OR(ISBLANK(I62), I62=""),
                EOMONTH(DATE(#REF!, $A$1, 1), 0), I62)
            - MAX(D62, DATE(#REF!, $A$1, 1)) + 1)
        / DAY(EOMONTH(DATE(#REF!, $A$1, 1), 0)) * F62,
        2
    ),
    ""
)</f>
        <v>#REF!</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129.75</v>
      </c>
      <c r="G63" s="116">
        <v>1515.75</v>
      </c>
      <c r="H63" s="89" t="e">
        <f>IF(AND(ISNUMBER(D63), ISNUMBER(F63)),
    ROUNDDOWN(
        MIN(
            IF(OR(ISBLANK(I63), I63=""),
                EOMONTH(DATE(#REF!, $A$1, 1), 0), I63)
            - MAX(D63, DATE(#REF!, $A$1, 1)) + 1)
        / DAY(EOMONTH(DATE(#REF!, $A$1, 1), 0)) * F63,
        2
    ),
    ""
)</f>
        <v>#REF!</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t="e">
        <f>IF(AND(ISNUMBER(D64), ISNUMBER(F64)),
    ROUNDDOWN(
        MIN(
            IF(OR(ISBLANK(I64), I64=""),
                EOMONTH(DATE(#REF!, $A$1, 1), 0), I64)
            - MAX(D64, DATE(#REF!, $A$1, 1)) + 1)
        / DAY(EOMONTH(DATE(#REF!, $A$1, 1), 0)) * F64,
        2
    ),
    ""
)</f>
        <v>#REF!</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BLMIG/0iEc+IvnfjpJw93X6mpITfgFTFPxLXe9azGRVDYiE3ypGoxjoQImFpQu/IklVv8C1Bu+NphLZD9AAquA==" saltValue="fvWVNL4+V2SUqQBUwy+UQ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4" type="noConversion"/>
  <dataValidations count="63">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#REF!</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9</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882.31923110470268</v>
      </c>
      <c r="P5" s="15">
        <f>EINSTELLUNG!I14</f>
        <v>9</v>
      </c>
      <c r="Q5" s="14">
        <f>P5-O5</f>
        <v>-873.31923110470268</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2"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1"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EINSTELLUNG!L30</f>
        <v>9</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EINSTELLUNG!I30</f>
        <v>9</v>
      </c>
      <c r="R10" s="164"/>
    </row>
    <row r="11" spans="1:28" ht="16" customHeight="1">
      <c r="A11" s="62"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9</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167</v>
      </c>
      <c r="R12" s="193"/>
    </row>
    <row r="13" spans="1:28" ht="16" customHeight="1">
      <c r="A13" s="61"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2"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EINSTELLUNG!L14</f>
        <v>9</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2" t="s">
        <v>78</v>
      </c>
      <c r="B20" s="101">
        <v>401479</v>
      </c>
      <c r="C20" s="68"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1"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t="e">
        <f>IF(AND(ISNUMBER(D22), ISNUMBER(F22)),
    ROUNDDOWN(
        MIN(
            IF(OR(ISBLANK(I22), I22=""),
                EOMONTH(DATE(#REF!, $A$1, 1), 0), I22)
            - MAX(D22, DATE(#REF!, $A$1, 1)) + 1)
        / DAY(EOMONTH(DATE(#REF!, $A$1, 1), 0)) * F22,
        2
    ),
    ""
)</f>
        <v>#REF!</v>
      </c>
      <c r="I22" s="126">
        <v>46275</v>
      </c>
      <c r="J22" s="66">
        <v>4</v>
      </c>
      <c r="K22" s="92">
        <f>IFERROR(IF(OR(MONTH(D22)=1, MONTH(D22)=3, MONTH(D22)=5, MONTH(D22)=7, MONTH(D22)=8, MONTH(D22)=10, MONTH(D22)=12), (G22/31)*J22, IF(OR(MONTH(D22)=4, MONTH(D22)=6, MONTH(D22)=9, MONTH(D22)=11), (G22/30)*J22, (G22/DAY(EOMONTH(D22,0)))*J22)), 0)</f>
        <v>269.46666666666664</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t="s">
        <v>197</v>
      </c>
      <c r="O22" s="252"/>
      <c r="P22" s="283"/>
      <c r="Q22" s="284"/>
      <c r="R22" s="161"/>
    </row>
    <row r="23" spans="1:29" ht="16" customHeight="1">
      <c r="A23" s="62" t="s">
        <v>82</v>
      </c>
      <c r="B23" s="101">
        <v>401564</v>
      </c>
      <c r="C23" s="68" t="s">
        <v>265</v>
      </c>
      <c r="D23" s="123">
        <v>44824</v>
      </c>
      <c r="E23" s="65" t="s">
        <v>2</v>
      </c>
      <c r="F23" s="67">
        <v>173</v>
      </c>
      <c r="G23" s="116">
        <v>2021</v>
      </c>
      <c r="H23" s="89" t="e">
        <f>IF(AND(ISNUMBER(D23), ISNUMBER(F23)),
    ROUNDDOWN(
        MIN(
            IF(OR(ISBLANK(I23), I23=""),
                EOMONTH(DATE(#REF!, $A$1, 1), 0), I23)
            - MAX(D23, DATE(#REF!, $A$1, 1)) + 1)
        / DAY(EOMONTH(DATE(#REF!, $A$1, 1), 0)) * F23,
        2
    ),
    ""
)</f>
        <v>#REF!</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99" t="s">
        <v>267</v>
      </c>
      <c r="D24" s="123">
        <v>44900</v>
      </c>
      <c r="E24" s="65" t="s">
        <v>10</v>
      </c>
      <c r="F24" s="67">
        <v>173</v>
      </c>
      <c r="G24" s="116">
        <v>2300</v>
      </c>
      <c r="H24" s="89" t="e">
        <f>IF(AND(ISNUMBER(D24), ISNUMBER(F24)),
    ROUNDDOWN(
        MIN(
            IF(OR(ISBLANK(I24), I24=""),
                EOMONTH(DATE(#REF!, $A$1, 1), 0), I24)
            - MAX(D24, DATE(#REF!, $A$1, 1)) + 1)
        / DAY(EOMONTH(DATE(#REF!, $A$1, 1), 0)) * F24,
        2
    ),
    ""
)</f>
        <v>#REF!</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1" t="s">
        <v>84</v>
      </c>
      <c r="B25" s="101">
        <v>401589</v>
      </c>
      <c r="C25" s="68" t="s">
        <v>268</v>
      </c>
      <c r="D25" s="123">
        <v>44926</v>
      </c>
      <c r="E25" s="65" t="s">
        <v>10</v>
      </c>
      <c r="F25" s="67">
        <v>173</v>
      </c>
      <c r="G25" s="116">
        <v>2300</v>
      </c>
      <c r="H25" s="89" t="e">
        <f>IF(AND(ISNUMBER(D25), ISNUMBER(F25)),
    ROUNDDOWN(
        MIN(
            IF(OR(ISBLANK(I25), I25=""),
                EOMONTH(DATE(#REF!, $A$1, 1), 0), I25)
            - MAX(D25, DATE(#REF!, $A$1, 1)) + 1)
        / DAY(EOMONTH(DATE(#REF!, $A$1, 1), 0)) * F25,
        2
    ),
    ""
)</f>
        <v>#REF!</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2" t="s">
        <v>85</v>
      </c>
      <c r="B26" s="101">
        <v>401602</v>
      </c>
      <c r="C26" s="68" t="s">
        <v>269</v>
      </c>
      <c r="D26" s="123">
        <v>45975</v>
      </c>
      <c r="E26" s="65" t="s">
        <v>2</v>
      </c>
      <c r="F26" s="67">
        <v>173</v>
      </c>
      <c r="G26" s="116">
        <v>2021</v>
      </c>
      <c r="H26" s="89" t="e">
        <f>IF(AND(ISNUMBER(D26), ISNUMBER(F26)),
    ROUNDDOWN(
        MIN(
            IF(OR(ISBLANK(I26), I26=""),
                EOMONTH(DATE(#REF!, $A$1, 1), 0), I26)
            - MAX(D26, DATE(#REF!, $A$1, 1)) + 1)
        / DAY(EOMONTH(DATE(#REF!, $A$1, 1), 0)) * F26,
        2
    ),
    ""
)</f>
        <v>#REF!</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t="e">
        <f>IF(AND(ISNUMBER(D27), ISNUMBER(F27)),
    ROUNDDOWN(
        MIN(
            IF(OR(ISBLANK(I27), I27=""),
                EOMONTH(DATE(#REF!, $A$1, 1), 0), I27)
            - MAX(D27, DATE(#REF!, $A$1, 1)) + 1)
        / DAY(EOMONTH(DATE(#REF!, $A$1, 1), 0)) * F27,
        2
    ),
    ""
)</f>
        <v>#REF!</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t="e">
        <f>IF(AND(ISNUMBER(D28), ISNUMBER(F28)),
    ROUNDDOWN(
        MIN(
            IF(OR(ISBLANK(I28), I28=""),
                EOMONTH(DATE(#REF!, $A$1, 1), 0), I28)
            - MAX(D28, DATE(#REF!, $A$1, 1)) + 1)
        / DAY(EOMONTH(DATE(#REF!, $A$1, 1), 0)) * F28,
        2
    ),
    ""
)</f>
        <v>#REF!</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t="e">
        <f>IF(AND(ISNUMBER(D29), ISNUMBER(F29)),
    ROUNDDOWN(
        MIN(
            IF(OR(ISBLANK(I29), I29=""),
                EOMONTH(DATE(#REF!, $A$1, 1), 0), I29)
            - MAX(D29, DATE(#REF!, $A$1, 1)) + 1)
        / DAY(EOMONTH(DATE(#REF!, $A$1, 1), 0)) * F29,
        2
    ),
    ""
)</f>
        <v>#REF!</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EINSTELLUNG!O14</f>
        <v>9</v>
      </c>
      <c r="R29" s="202"/>
    </row>
    <row r="30" spans="1:29" ht="16" customHeight="1">
      <c r="A30" s="61" t="s">
        <v>91</v>
      </c>
      <c r="B30" s="101">
        <v>401647</v>
      </c>
      <c r="C30" s="68" t="s">
        <v>273</v>
      </c>
      <c r="D30" s="123">
        <v>45182</v>
      </c>
      <c r="E30" s="65" t="s">
        <v>2</v>
      </c>
      <c r="F30" s="67">
        <v>173</v>
      </c>
      <c r="G30" s="116">
        <v>2021</v>
      </c>
      <c r="H30" s="89" t="e">
        <f>IF(AND(ISNUMBER(D30), ISNUMBER(F30)),
    ROUNDDOWN(
        MIN(
            IF(OR(ISBLANK(I30), I30=""),
                EOMONTH(DATE(#REF!, $A$1, 1), 0), I30)
            - MAX(D30, DATE(#REF!, $A$1, 1)) + 1)
        / DAY(EOMONTH(DATE(#REF!, $A$1, 1), 0)) * F30,
        2
    ),
    ""
)</f>
        <v>#REF!</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t="e">
        <f>IF(AND(ISNUMBER(D31), ISNUMBER(F31)),
    ROUNDDOWN(
        MIN(
            IF(OR(ISBLANK(I31), I31=""),
                EOMONTH(DATE(#REF!, $A$1, 1), 0), I31)
            - MAX(D31, DATE(#REF!, $A$1, 1)) + 1)
        / DAY(EOMONTH(DATE(#REF!, $A$1, 1), 0)) * F31,
        2
    ),
    ""
)</f>
        <v>#REF!</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1.6949152542372881E-2</v>
      </c>
      <c r="R31" s="218"/>
    </row>
    <row r="32" spans="1:29" ht="16" customHeight="1">
      <c r="A32" s="62" t="s">
        <v>94</v>
      </c>
      <c r="B32" s="101">
        <v>401670</v>
      </c>
      <c r="C32" s="68" t="s">
        <v>275</v>
      </c>
      <c r="D32" s="123">
        <v>45358</v>
      </c>
      <c r="E32" s="65" t="s">
        <v>2</v>
      </c>
      <c r="F32" s="67">
        <v>173</v>
      </c>
      <c r="G32" s="116">
        <v>2021</v>
      </c>
      <c r="H32" s="89" t="e">
        <f>IF(AND(ISNUMBER(D32), ISNUMBER(F32)),
    ROUNDDOWN(
        MIN(
            IF(OR(ISBLANK(I32), I32=""),
                EOMONTH(DATE(#REF!, $A$1, 1), 0), I32)
            - MAX(D32, DATE(#REF!, $A$1, 1)) + 1)
        / DAY(EOMONTH(DATE(#REF!, $A$1, 1), 0)) * F32,
        2
    ),
    ""
)</f>
        <v>#REF!</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1" t="s">
        <v>95</v>
      </c>
      <c r="B33" s="101">
        <v>401678</v>
      </c>
      <c r="C33" s="68" t="s">
        <v>276</v>
      </c>
      <c r="D33" s="123">
        <v>45414</v>
      </c>
      <c r="E33" s="65" t="s">
        <v>2</v>
      </c>
      <c r="F33" s="67">
        <v>173</v>
      </c>
      <c r="G33" s="116">
        <v>2021</v>
      </c>
      <c r="H33" s="89" t="e">
        <f>IF(AND(ISNUMBER(D33), ISNUMBER(F33)),
    ROUNDDOWN(
        MIN(
            IF(OR(ISBLANK(I33), I33=""),
                EOMONTH(DATE(#REF!, $A$1, 1), 0), I33)
            - MAX(D33, DATE(#REF!, $A$1, 1)) + 1)
        / DAY(EOMONTH(DATE(#REF!, $A$1, 1), 0)) * F33,
        2
    ),
    ""
)</f>
        <v>#REF!</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t="e">
        <f>IF(AND(ISNUMBER(D34), ISNUMBER(F34)),
    ROUNDDOWN(
        MIN(
            IF(OR(ISBLANK(I34), I34=""),
                EOMONTH(DATE(#REF!, $A$1, 1), 0), I34)
            - MAX(D34, DATE(#REF!, $A$1, 1)) + 1)
        / DAY(EOMONTH(DATE(#REF!, $A$1, 1), 0)) * F34,
        2
    ),
    ""
)</f>
        <v>#REF!</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2" t="s">
        <v>100</v>
      </c>
      <c r="B35" s="101">
        <v>401703</v>
      </c>
      <c r="C35" s="68" t="s">
        <v>279</v>
      </c>
      <c r="D35" s="123">
        <v>45616</v>
      </c>
      <c r="E35" s="65" t="s">
        <v>2</v>
      </c>
      <c r="F35" s="67">
        <v>173</v>
      </c>
      <c r="G35" s="116">
        <v>2021</v>
      </c>
      <c r="H35" s="89" t="e">
        <f>IF(AND(ISNUMBER(D35), ISNUMBER(F35)),
    ROUNDDOWN(
        MIN(
            IF(OR(ISBLANK(I35), I35=""),
                EOMONTH(DATE(#REF!, $A$1, 1), 0), I35)
            - MAX(D35, DATE(#REF!, $A$1, 1)) + 1)
        / DAY(EOMONTH(DATE(#REF!, $A$1, 1), 0)) * F35,
        2
    ),
    ""
)</f>
        <v>#REF!</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EINSTELLUNG!C14</f>
        <v>9</v>
      </c>
      <c r="R35" s="174"/>
      <c r="S35" s="174">
        <f>EINSTELLUNG!C30</f>
        <v>9</v>
      </c>
      <c r="T35" s="174"/>
      <c r="U35" s="175">
        <f>S35-Q35</f>
        <v>0</v>
      </c>
      <c r="V35" s="175"/>
    </row>
    <row r="36" spans="1:24" ht="16" customHeight="1">
      <c r="A36" s="61" t="s">
        <v>102</v>
      </c>
      <c r="B36" s="101">
        <v>401715</v>
      </c>
      <c r="C36" s="68" t="s">
        <v>281</v>
      </c>
      <c r="D36" s="123">
        <v>45755</v>
      </c>
      <c r="E36" s="65" t="s">
        <v>2</v>
      </c>
      <c r="F36" s="67">
        <v>173</v>
      </c>
      <c r="G36" s="116">
        <v>2021</v>
      </c>
      <c r="H36" s="89" t="e">
        <f>IF(AND(ISNUMBER(D36), ISNUMBER(F36)),
    ROUNDDOWN(
        MIN(
            IF(OR(ISBLANK(I36), I36=""),
                EOMONTH(DATE(#REF!, $A$1, 1), 0), I36)
            - MAX(D36, DATE(#REF!, $A$1, 1)) + 1)
        / DAY(EOMONTH(DATE(#REF!, $A$1, 1), 0)) * F36,
        2
    ),
    ""
)</f>
        <v>#REF!</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EINSTELLUNG!D14</f>
        <v>9</v>
      </c>
      <c r="R36" s="174"/>
      <c r="S36" s="178" cm="1">
        <f t="array" ref="S36">SumMergedCells(Q17:R29)</f>
        <v>0</v>
      </c>
      <c r="T36" s="180"/>
      <c r="U36" s="175">
        <f t="shared" ref="U36:U41" si="0">S36-Q36</f>
        <v>-9</v>
      </c>
      <c r="V36" s="175"/>
    </row>
    <row r="37" spans="1:24" ht="16" customHeight="1">
      <c r="A37" s="61" t="s">
        <v>104</v>
      </c>
      <c r="B37" s="101">
        <v>401716</v>
      </c>
      <c r="C37" s="68" t="s">
        <v>282</v>
      </c>
      <c r="D37" s="123">
        <v>45800</v>
      </c>
      <c r="E37" s="65" t="s">
        <v>2</v>
      </c>
      <c r="F37" s="67">
        <v>173</v>
      </c>
      <c r="G37" s="116">
        <v>2021</v>
      </c>
      <c r="H37" s="89" t="e">
        <f>IF(AND(ISNUMBER(D37), ISNUMBER(F37)),
    ROUNDDOWN(
        MIN(
            IF(OR(ISBLANK(I37), I37=""),
                EOMONTH(DATE(#REF!, $A$1, 1), 0), I37)
            - MAX(D37, DATE(#REF!, $A$1, 1)) + 1)
        / DAY(EOMONTH(DATE(#REF!, $A$1, 1), 0)) * F37,
        2
    ),
    ""
)</f>
        <v>#REF!</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0"/>
        <v>-1</v>
      </c>
      <c r="V37" s="182"/>
    </row>
    <row r="38" spans="1:24" ht="16" customHeight="1">
      <c r="A38" s="62" t="s">
        <v>106</v>
      </c>
      <c r="B38" s="101">
        <v>401717</v>
      </c>
      <c r="C38" s="68" t="s">
        <v>283</v>
      </c>
      <c r="D38" s="123">
        <v>45814</v>
      </c>
      <c r="E38" s="65" t="s">
        <v>2</v>
      </c>
      <c r="F38" s="67">
        <v>173</v>
      </c>
      <c r="G38" s="116">
        <v>2021</v>
      </c>
      <c r="H38" s="89" t="e">
        <f>IF(AND(ISNUMBER(D38), ISNUMBER(F38)),
    ROUNDDOWN(
        MIN(
            IF(OR(ISBLANK(I39), I39=""),
                EOMONTH(DATE(#REF!, $A$1, 1), 0), I39)
            - MAX(D38, DATE(#REF!, $A$1, 1)) + 1)
        / DAY(EOMONTH(DATE(#REF!, $A$1, 1), 0)) * F38,
        2
    ),
    ""
)</f>
        <v>#REF!</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EINSTELLUNG!F14</f>
        <v>9</v>
      </c>
      <c r="R38" s="176"/>
      <c r="S38" s="176">
        <f>EINSTELLUNG!F30</f>
        <v>9</v>
      </c>
      <c r="T38" s="176"/>
      <c r="U38" s="177">
        <f t="shared" si="0"/>
        <v>0</v>
      </c>
      <c r="V38" s="177"/>
    </row>
    <row r="39" spans="1:24" ht="16" customHeight="1">
      <c r="A39" s="61" t="s">
        <v>108</v>
      </c>
      <c r="B39" s="101">
        <v>401722</v>
      </c>
      <c r="C39" s="68" t="s">
        <v>284</v>
      </c>
      <c r="D39" s="123">
        <v>45848</v>
      </c>
      <c r="E39" s="65" t="s">
        <v>2</v>
      </c>
      <c r="F39" s="67">
        <v>86.5</v>
      </c>
      <c r="G39" s="116">
        <v>1010.5</v>
      </c>
      <c r="H39" s="89" t="e">
        <f>IF(AND(ISNUMBER(D39), ISNUMBER(F39)),
    ROUNDDOWN(
        MIN(
            IF(OR(ISBLANK(I40), I40=""),
                EOMONTH(DATE(#REF!, $A$1, 1), 0), I40)
            - MAX(D39, DATE(#REF!, $A$1, 1)) + 1)
        / DAY(EOMONTH(DATE(#REF!, $A$1, 1), 0)) * F39,
        2
    ),
    ""
)</f>
        <v>#REF!</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401723</v>
      </c>
      <c r="C40" s="68" t="s">
        <v>285</v>
      </c>
      <c r="D40" s="123">
        <v>45852</v>
      </c>
      <c r="E40" s="65" t="s">
        <v>2</v>
      </c>
      <c r="F40" s="67">
        <v>86.5</v>
      </c>
      <c r="G40" s="116">
        <v>1010.5</v>
      </c>
      <c r="H40" s="89" t="e">
        <f>IF(AND(ISNUMBER(D40), ISNUMBER(F40)),
    ROUNDDOWN(
        MIN(
            IF(OR(ISBLANK(I40), I40=""),
                EOMONTH(DATE(#REF!, $A$1, 1), 0), I40)
            - MAX(D40, DATE(#REF!, $A$1, 1)) + 1)
        / DAY(EOMONTH(DATE(#REF!, $A$1, 1), 0)) * F40,
        2
    ),
    ""
)</f>
        <v>#REF!</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0"/>
        <v>#REF!</v>
      </c>
      <c r="V40" s="175"/>
    </row>
    <row r="41" spans="1:24" ht="16" customHeight="1">
      <c r="A41" s="62" t="s">
        <v>112</v>
      </c>
      <c r="B41" s="101">
        <v>401726</v>
      </c>
      <c r="C41" s="68" t="s">
        <v>286</v>
      </c>
      <c r="D41" s="123">
        <v>45870</v>
      </c>
      <c r="E41" s="65" t="s">
        <v>2</v>
      </c>
      <c r="F41" s="67">
        <v>86.5</v>
      </c>
      <c r="G41" s="116">
        <v>1010.5</v>
      </c>
      <c r="H41" s="89" t="e">
        <f>IF(AND(ISNUMBER(D41), ISNUMBER(F41)),
    ROUNDDOWN(
        MIN(
            IF(OR(ISBLANK(I41), I41=""),
                EOMONTH(DATE(#REF!, $A$1, 1), 0), I41)
            - MAX(D41, DATE(#REF!, $A$1, 1)) + 1)
        / DAY(EOMONTH(DATE(#REF!, $A$1, 1), 0)) * F41,
        2
    ),
    ""
)</f>
        <v>#REF!</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0"/>
        <v>#REF!</v>
      </c>
      <c r="V41" s="177"/>
    </row>
    <row r="42" spans="1:24" ht="16" customHeight="1">
      <c r="A42" s="61" t="s">
        <v>114</v>
      </c>
      <c r="B42" s="101">
        <v>401730</v>
      </c>
      <c r="C42" s="68" t="s">
        <v>288</v>
      </c>
      <c r="D42" s="123">
        <v>45895</v>
      </c>
      <c r="E42" s="65" t="s">
        <v>2</v>
      </c>
      <c r="F42" s="67">
        <v>86.5</v>
      </c>
      <c r="G42" s="116">
        <v>1010.5</v>
      </c>
      <c r="H42" s="89" t="e">
        <f>IF(AND(ISNUMBER(D42), ISNUMBER(F42)),
    ROUNDDOWN(
        MIN(
            IF(OR(ISBLANK(I42), I42=""),
                EOMONTH(DATE(#REF!, $A$1, 1), 0), I42)
            - MAX(D42, DATE(#REF!, $A$1, 1)) + 1)
        / DAY(EOMONTH(DATE(#REF!, $A$1, 1), 0)) * F42,
        2
    ),
    ""
)</f>
        <v>#REF!</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70" t="s">
        <v>287</v>
      </c>
      <c r="D43" s="123">
        <v>45899</v>
      </c>
      <c r="E43" s="65" t="s">
        <v>2</v>
      </c>
      <c r="F43" s="67">
        <v>86.5</v>
      </c>
      <c r="G43" s="116">
        <v>1010.5</v>
      </c>
      <c r="H43" s="89" t="e">
        <f>IF(AND(ISNUMBER(D43), ISNUMBER(F43)),
    ROUNDDOWN(
        MIN(
            IF(OR(ISBLANK(I43), I43=""),
                EOMONTH(DATE(#REF!, $A$1, 1), 0), I43)
            - MAX(D43, DATE(#REF!, $A$1, 1)) + 1)
        / DAY(EOMONTH(DATE(#REF!, $A$1, 1), 0)) * F43,
        2
    ),
    ""
)</f>
        <v>#REF!</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2" t="s">
        <v>117</v>
      </c>
      <c r="B44" s="101">
        <v>401734</v>
      </c>
      <c r="C44" s="68" t="s">
        <v>289</v>
      </c>
      <c r="D44" s="123">
        <v>45904</v>
      </c>
      <c r="E44" s="65" t="s">
        <v>2</v>
      </c>
      <c r="F44" s="67">
        <v>86.5</v>
      </c>
      <c r="G44" s="116">
        <v>1010.5</v>
      </c>
      <c r="H44" s="89" t="e">
        <f>IF(AND(ISNUMBER(D44), ISNUMBER(F44)),
    ROUNDDOWN(
        MIN(
            IF(OR(ISBLANK(I44), I44=""),
                EOMONTH(DATE(#REF!, $A$1, 1), 0), I44)
            - MAX(D44, DATE(#REF!, $A$1, 1)) + 1)
        / DAY(EOMONTH(DATE(#REF!, $A$1, 1), 0)) * F44,
        2
    ),
    ""
)</f>
        <v>#REF!</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1" t="s">
        <v>119</v>
      </c>
      <c r="B45" s="101">
        <v>401736</v>
      </c>
      <c r="C45" s="68" t="s">
        <v>290</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t="e">
        <f>IF(AND(ISNUMBER(D46), ISNUMBER(F46)),
    ROUNDDOWN(
        MIN(
            IF(OR(ISBLANK(I46), I46=""),
                EOMONTH(DATE(#REF!, $A$1, 1), 0), I46)
            - MAX(D46, DATE(#REF!, $A$1, 1)) + 1)
        / DAY(EOMONTH(DATE(#REF!, $A$1, 1), 0)) * F46,
        2
    ),
    ""
)</f>
        <v>#REF!</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2" t="s">
        <v>121</v>
      </c>
      <c r="B47" s="101">
        <v>401738</v>
      </c>
      <c r="C47" s="68" t="s">
        <v>292</v>
      </c>
      <c r="D47" s="123">
        <v>45909</v>
      </c>
      <c r="E47" s="65" t="s">
        <v>2</v>
      </c>
      <c r="F47" s="67">
        <v>86.5</v>
      </c>
      <c r="G47" s="116">
        <v>1010.5</v>
      </c>
      <c r="H47" s="89" t="e">
        <f>IF(AND(ISNUMBER(D47), ISNUMBER(F47)),
    ROUNDDOWN(
        MIN(
            IF(OR(ISBLANK(I47), I47=""),
                EOMONTH(DATE(#REF!, $A$1, 1), 0), I47)
            - MAX(D47, DATE(#REF!, $A$1, 1)) + 1)
        / DAY(EOMONTH(DATE(#REF!, $A$1, 1), 0)) * F47,
        2
    ),
    ""
)</f>
        <v>#REF!</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t="e">
        <f>IF(AND(ISNUMBER(D48), ISNUMBER(F48)),
    ROUNDDOWN(
        MIN(
            IF(OR(ISBLANK(I48), I48=""),
                EOMONTH(DATE(#REF!, $A$1, 1), 0), I48)
            - MAX(D48, DATE(#REF!, $A$1, 1)) + 1)
        / DAY(EOMONTH(DATE(#REF!, $A$1, 1), 0)) * F48,
        2
    ),
    ""
)</f>
        <v>#REF!</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1" t="s">
        <v>123</v>
      </c>
      <c r="B49" s="101">
        <v>401748</v>
      </c>
      <c r="C49" s="68" t="s">
        <v>294</v>
      </c>
      <c r="D49" s="123">
        <v>45941</v>
      </c>
      <c r="E49" s="65" t="s">
        <v>2</v>
      </c>
      <c r="F49" s="67">
        <v>86.5</v>
      </c>
      <c r="G49" s="116">
        <v>1010.5</v>
      </c>
      <c r="H49" s="89" t="e">
        <f>IF(AND(ISNUMBER(D49), ISNUMBER(F49)),
    ROUNDDOWN(
        MIN(
            IF(OR(ISBLANK(I49), I49=""),
                EOMONTH(DATE(#REF!, $A$1, 1), 0), I49)
            - MAX(D49, DATE(#REF!, $A$1, 1)) + 1)
        / DAY(EOMONTH(DATE(#REF!, $A$1, 1), 0)) * F49,
        2
    ),
    ""
)</f>
        <v>#REF!</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2" t="s">
        <v>124</v>
      </c>
      <c r="B50" s="101">
        <v>401751</v>
      </c>
      <c r="C50" s="68" t="s">
        <v>297</v>
      </c>
      <c r="D50" s="123">
        <v>45961</v>
      </c>
      <c r="E50" s="65" t="s">
        <v>2</v>
      </c>
      <c r="F50" s="67">
        <v>86.5</v>
      </c>
      <c r="G50" s="116">
        <v>1010.5</v>
      </c>
      <c r="H50" s="89" t="e">
        <f>IF(AND(ISNUMBER(D50), ISNUMBER(F50)),
    ROUNDDOWN(
        MIN(
            IF(OR(ISBLANK(I50), I50=""),
                EOMONTH(DATE(#REF!, $A$1, 1), 0), I50)
            - MAX(D50, DATE(#REF!, $A$1, 1)) + 1)
        / DAY(EOMONTH(DATE(#REF!, $A$1, 1), 0)) * F50,
        2
    ),
    ""
)</f>
        <v>#REF!</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401752</v>
      </c>
      <c r="C51" s="68" t="s">
        <v>298</v>
      </c>
      <c r="D51" s="123">
        <v>45986</v>
      </c>
      <c r="E51" s="65" t="s">
        <v>2</v>
      </c>
      <c r="F51" s="67">
        <v>86.5</v>
      </c>
      <c r="G51" s="116">
        <v>1010.5</v>
      </c>
      <c r="H51" s="89" t="e">
        <f>IF(AND(ISNUMBER(D51), ISNUMBER(F51)),
    ROUNDDOWN(
        MIN(
            IF(OR(ISBLANK(I51), I51=""),
                EOMONTH(DATE(#REF!, $A$1, 1), 0), I51)
            - MAX(D51, DATE(#REF!, $A$1, 1)) + 1)
        / DAY(EOMONTH(DATE(#REF!, $A$1, 1), 0)) * F51,
        2
    ),
    ""
)</f>
        <v>#REF!</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401999</v>
      </c>
      <c r="C52" s="68" t="s">
        <v>341</v>
      </c>
      <c r="D52" s="123">
        <v>46082</v>
      </c>
      <c r="E52" s="65" t="s">
        <v>2</v>
      </c>
      <c r="F52" s="67">
        <v>173</v>
      </c>
      <c r="G52" s="116">
        <v>2021</v>
      </c>
      <c r="H52" s="89" t="e">
        <f>IF(AND(ISNUMBER(D52), ISNUMBER(F52)),
    ROUNDDOWN(
        MIN(
            IF(OR(ISBLANK(I52), I52=""),
                EOMONTH(DATE(#REF!, $A$1, 1), 0), I52)
            - MAX(D52, DATE(#REF!, $A$1, 1)) + 1)
        / DAY(EOMONTH(DATE(#REF!, $A$1, 1), 0)) * F52,
        2
    ),
    ""
)</f>
        <v>#REF!</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402000</v>
      </c>
      <c r="C53" s="68" t="s">
        <v>348</v>
      </c>
      <c r="D53" s="123">
        <v>46143</v>
      </c>
      <c r="E53" s="65" t="s">
        <v>2</v>
      </c>
      <c r="F53" s="67">
        <v>173</v>
      </c>
      <c r="G53" s="116">
        <v>2021</v>
      </c>
      <c r="H53" s="89" t="e">
        <f>IF(AND(ISNUMBER(D53), ISNUMBER(F53)),
    ROUNDDOWN(
        MIN(
            IF(OR(ISBLANK(I53), I53=""),
                EOMONTH(DATE(#REF!, $A$1, 1), 0), I53)
            - MAX(D53, DATE(#REF!, $A$1, 1)) + 1)
        / DAY(EOMONTH(DATE(#REF!, $A$1, 1), 0)) * F53,
        2
    ),
    ""
)</f>
        <v>#REF!</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402004</v>
      </c>
      <c r="C54" s="68" t="s">
        <v>350</v>
      </c>
      <c r="D54" s="123">
        <v>46122</v>
      </c>
      <c r="E54" s="65" t="s">
        <v>2</v>
      </c>
      <c r="F54" s="67">
        <v>173</v>
      </c>
      <c r="G54" s="116">
        <v>2021</v>
      </c>
      <c r="H54" s="89" t="e">
        <f>IF(AND(ISNUMBER(D54), ISNUMBER(F54)),
    ROUNDDOWN(
        MIN(
            IF(OR(ISBLANK(I54), I54=""),
                EOMONTH(DATE(#REF!, $A$1, 1), 0), I54)
            - MAX(D54, DATE(#REF!, $A$1, 1)) + 1)
        / DAY(EOMONTH(DATE(#REF!, $A$1, 1), 0)) * F54,
        2
    ),
    ""
)</f>
        <v>#REF!</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402405</v>
      </c>
      <c r="C55" s="68" t="s">
        <v>352</v>
      </c>
      <c r="D55" s="123">
        <v>46054</v>
      </c>
      <c r="E55" s="65" t="s">
        <v>2</v>
      </c>
      <c r="F55" s="67">
        <v>173</v>
      </c>
      <c r="G55" s="116">
        <v>2021</v>
      </c>
      <c r="H55" s="89" t="e">
        <f>IF(AND(ISNUMBER(D55), ISNUMBER(F55)),
    ROUNDDOWN(
        MIN(
            IF(OR(ISBLANK(I55), I55=""),
                EOMONTH(DATE(#REF!, $A$1, 1), 0), I55)
            - MAX(D55, DATE(#REF!, $A$1, 1)) + 1)
        / DAY(EOMONTH(DATE(#REF!, $A$1, 1), 0)) * F55,
        2
    ),
    ""
)</f>
        <v>#REF!</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2" t="s">
        <v>130</v>
      </c>
      <c r="B56" s="101">
        <v>500600</v>
      </c>
      <c r="C56" s="68" t="s">
        <v>357</v>
      </c>
      <c r="D56" s="123">
        <v>46054</v>
      </c>
      <c r="E56" s="65" t="s">
        <v>2</v>
      </c>
      <c r="F56" s="67">
        <v>173</v>
      </c>
      <c r="G56" s="116">
        <v>2021</v>
      </c>
      <c r="H56" s="89" t="e">
        <f>IF(AND(ISNUMBER(D56), ISNUMBER(F56)),
    ROUNDDOWN(
        MIN(
            IF(OR(ISBLANK(I56), I56=""),
                EOMONTH(DATE(#REF!, $A$1, 1), 0), I56)
            - MAX(D56, DATE(#REF!, $A$1, 1)) + 1)
        / DAY(EOMONTH(DATE(#REF!, $A$1, 1), 0)) * F56,
        2
    ),
    ""
)</f>
        <v>#REF!</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1" t="s">
        <v>131</v>
      </c>
      <c r="B57" s="101">
        <v>502000</v>
      </c>
      <c r="C57" s="68" t="s">
        <v>351</v>
      </c>
      <c r="D57" s="123">
        <v>46147</v>
      </c>
      <c r="E57" s="65" t="s">
        <v>2</v>
      </c>
      <c r="F57" s="67">
        <v>173</v>
      </c>
      <c r="G57" s="116">
        <v>2021</v>
      </c>
      <c r="H57" s="89" t="e">
        <f>IF(AND(ISNUMBER(D57), ISNUMBER(F57)),
    ROUNDDOWN(
        MIN(
            IF(OR(ISBLANK(I57), I57=""),
                EOMONTH(DATE(#REF!, $A$1, 1), 0), I57)
            - MAX(D57, DATE(#REF!, $A$1, 1)) + 1)
        / DAY(EOMONTH(DATE(#REF!, $A$1, 1), 0)) * F57,
        2
    ),
    ""
)</f>
        <v>#REF!</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503000</v>
      </c>
      <c r="C58" s="68" t="s">
        <v>354</v>
      </c>
      <c r="D58" s="123">
        <v>42401</v>
      </c>
      <c r="E58" s="65" t="s">
        <v>2</v>
      </c>
      <c r="F58" s="67">
        <v>173</v>
      </c>
      <c r="G58" s="116">
        <v>2021</v>
      </c>
      <c r="H58" s="89" t="e">
        <f>IF(AND(ISNUMBER(D58), ISNUMBER(F58)),
    ROUNDDOWN(
        MIN(
            IF(OR(ISBLANK(I58), I58=""),
                EOMONTH(DATE(#REF!, $A$1, 1), 0), I58)
            - MAX(D58, DATE(#REF!, $A$1, 1)) + 1)
        / DAY(EOMONTH(DATE(#REF!, $A$1, 1), 0)) * F58,
        2
    ),
    ""
)</f>
        <v>#REF!</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2" t="s">
        <v>133</v>
      </c>
      <c r="B59" s="101">
        <v>504000</v>
      </c>
      <c r="C59" s="68" t="s">
        <v>355</v>
      </c>
      <c r="D59" s="123">
        <v>46054</v>
      </c>
      <c r="E59" s="65" t="s">
        <v>3</v>
      </c>
      <c r="F59" s="67">
        <v>138.4</v>
      </c>
      <c r="G59" s="116">
        <v>1665.6</v>
      </c>
      <c r="H59" s="89" t="e">
        <f>IF(AND(ISNUMBER(D59), ISNUMBER(F59)),
    ROUNDDOWN(
        MIN(
            IF(OR(ISBLANK(I59), I59=""),
                EOMONTH(DATE(#REF!, $A$1, 1), 0), I59)
            - MAX(D59, DATE(#REF!, $A$1, 1)) + 1)
        / DAY(EOMONTH(DATE(#REF!, $A$1, 1), 0)) * F59,
        2
    ),
    ""
)</f>
        <v>#REF!</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505000</v>
      </c>
      <c r="C60" s="68" t="s">
        <v>356</v>
      </c>
      <c r="D60" s="123">
        <v>46054</v>
      </c>
      <c r="E60" s="65" t="s">
        <v>2</v>
      </c>
      <c r="F60" s="67">
        <v>138.4</v>
      </c>
      <c r="G60" s="116">
        <v>1616.8</v>
      </c>
      <c r="H60" s="89" t="e">
        <f>IF(AND(ISNUMBER(D60), ISNUMBER(F60)),
    ROUNDDOWN(
        MIN(
            IF(OR(ISBLANK(I60), I60=""),
                EOMONTH(DATE(#REF!, $A$1, 1), 0), I60)
            - MAX(D60, DATE(#REF!, $A$1, 1)) + 1)
        / DAY(EOMONTH(DATE(#REF!, $A$1, 1), 0)) * F60,
        2
    ),
    ""
)</f>
        <v>#REF!</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1" t="s">
        <v>135</v>
      </c>
      <c r="B61" s="101">
        <v>700000</v>
      </c>
      <c r="C61" s="68" t="s">
        <v>375</v>
      </c>
      <c r="D61" s="123">
        <v>46054</v>
      </c>
      <c r="E61" s="65" t="s">
        <v>2</v>
      </c>
      <c r="F61" s="67">
        <v>129.75</v>
      </c>
      <c r="G61" s="116">
        <v>1515.75</v>
      </c>
      <c r="H61" s="89" t="e">
        <f>IF(AND(ISNUMBER(D61), ISNUMBER(F61)),
    ROUNDDOWN(
        MIN(
            IF(OR(ISBLANK(I61), I61=""),
                EOMONTH(DATE(#REF!, $A$1, 1), 0), I61)
            - MAX(D61, DATE(#REF!, $A$1, 1)) + 1)
        / DAY(EOMONTH(DATE(#REF!, $A$1, 1), 0)) * F61,
        2
    ),
    ""
)</f>
        <v>#REF!</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2" t="s">
        <v>136</v>
      </c>
      <c r="B62" s="101">
        <v>800000</v>
      </c>
      <c r="C62" s="68" t="s">
        <v>376</v>
      </c>
      <c r="D62" s="123">
        <v>46082</v>
      </c>
      <c r="E62" s="65" t="s">
        <v>2</v>
      </c>
      <c r="F62" s="67">
        <v>173</v>
      </c>
      <c r="G62" s="116">
        <v>2021</v>
      </c>
      <c r="H62" s="89" t="e">
        <f>IF(AND(ISNUMBER(D62), ISNUMBER(F62)),
    ROUNDDOWN(
        MIN(
            IF(OR(ISBLANK(I62), I62=""),
                EOMONTH(DATE(#REF!, $A$1, 1), 0), I62)
            - MAX(D62, DATE(#REF!, $A$1, 1)) + 1)
        / DAY(EOMONTH(DATE(#REF!, $A$1, 1), 0)) * F62,
        2
    ),
    ""
)</f>
        <v>#REF!</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2"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1"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2"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1"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2"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2"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1"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Co+YNCN0perPRL9vxY6czS/10p7XLjHnU4EnwWRi591R0FJJSl+lPHROAT8g32DpRpkwMkE4mBIVz/ovPTuEQ==" saltValue="u3les1/lgODs1s1vwU1cn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#REF!</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10</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865.62444905920211</v>
      </c>
      <c r="P5" s="15">
        <f>EINSTELLUNG!I15</f>
        <v>10</v>
      </c>
      <c r="Q5" s="14">
        <f>P5-O5</f>
        <v>-855.62444905920211</v>
      </c>
      <c r="R5" s="18">
        <f>IFERROR(Q5*Q42, 0)</f>
        <v>0</v>
      </c>
    </row>
    <row r="6" spans="1:28" ht="16" customHeight="1">
      <c r="A6" s="61" t="s">
        <v>55</v>
      </c>
      <c r="B6" s="101">
        <v>401047</v>
      </c>
      <c r="C6" s="68" t="s">
        <v>251</v>
      </c>
      <c r="D6" s="123">
        <v>41154</v>
      </c>
      <c r="E6" s="65" t="s">
        <v>4</v>
      </c>
      <c r="F6" s="67">
        <v>173</v>
      </c>
      <c r="G6" s="116">
        <v>2123</v>
      </c>
      <c r="H6" s="89" t="e">
        <f>IF(AND(ISNUMBER(D6), ISNUMBER(F6)),
    ROUNDDOWN(
        MIN(
            IF(OR(ISBLANK(I6), I6=""),
                EOMONTH(DATE(#REF!, $A$1, 1), 0), I6)
            - MAX(D6, DATE(#REF!, $A$1, 1)) + 1)
        / DAY(EOMONTH(DATE(#REF!, $A$1, 1), 0)) * F6,
        2
    ),
    ""
)</f>
        <v>#REF!</v>
      </c>
      <c r="I6" s="126">
        <v>46305</v>
      </c>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t="s">
        <v>205</v>
      </c>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t="e">
        <f>IF(AND(ISNUMBER(D7), ISNUMBER(F7)),
    ROUNDDOWN(
        MIN(
            IF(OR(ISBLANK(I7), I7=""),
                EOMONTH(DATE(#REF!, $A$1, 1), 0), I7)
            - MAX(D7, DATE(#REF!, $A$1, 1)) + 1)
        / DAY(EOMONTH(DATE(#REF!, $A$1, 1), 0)) * F7,
        2
    ),
    ""
)</f>
        <v>#REF!</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t="e">
        <f>IF(AND(ISNUMBER(D8), ISNUMBER(F8)),
    ROUNDDOWN(
        MIN(
            IF(OR(ISBLANK(I8), I8=""),
                EOMONTH(DATE(#REF!, $A$1, 1), 0), I8)
            - MAX(D8, DATE(#REF!, $A$1, 1)) + 1)
        / DAY(EOMONTH(DATE(#REF!, $A$1, 1), 0)) * F8,
        2
    ),
    ""
)</f>
        <v>#REF!</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401089</v>
      </c>
      <c r="C9" s="68" t="s">
        <v>266</v>
      </c>
      <c r="D9" s="123">
        <v>44868</v>
      </c>
      <c r="E9" s="65" t="s">
        <v>3</v>
      </c>
      <c r="F9" s="67">
        <v>173</v>
      </c>
      <c r="G9" s="116">
        <v>2082</v>
      </c>
      <c r="H9" s="89" t="e">
        <f>IF(AND(ISNUMBER(D9), ISNUMBER(F9)),
    ROUNDDOWN(
        MIN(
            IF(OR(ISBLANK(I9), I9=""),
                EOMONTH(DATE(#REF!, $A$1, 1), 0), I9)
            - MAX(D9, DATE(#REF!, $A$1, 1)) + 1)
        / DAY(EOMONTH(DATE(#REF!, $A$1, 1), 0)) * F9,
        2
    ),
    ""
)</f>
        <v>#REF!</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EINSTELLUNG!L31</f>
        <v>10</v>
      </c>
      <c r="R9" s="164"/>
      <c r="S9" s="19">
        <f>IFERROR(Q9/Q8, 0)</f>
        <v>0</v>
      </c>
    </row>
    <row r="10" spans="1:28" ht="16" customHeight="1">
      <c r="A10" s="61" t="s">
        <v>61</v>
      </c>
      <c r="B10" s="101">
        <v>401138</v>
      </c>
      <c r="C10" s="68" t="s">
        <v>253</v>
      </c>
      <c r="D10" s="123">
        <v>42006</v>
      </c>
      <c r="E10" s="65" t="s">
        <v>4</v>
      </c>
      <c r="F10" s="67">
        <v>173</v>
      </c>
      <c r="G10" s="116">
        <v>2123</v>
      </c>
      <c r="H10" s="89" t="e">
        <f>IF(AND(ISNUMBER(D10), ISNUMBER(F10)),
    ROUNDDOWN(
        MIN(
            IF(OR(ISBLANK(I10), I10=""),
                EOMONTH(DATE(#REF!, $A$1, 1), 0), I10)
            - MAX(D10, DATE(#REF!, $A$1, 1)) + 1)
        / DAY(EOMONTH(DATE(#REF!, $A$1, 1), 0)) * F10,
        2
    ),
    ""
)</f>
        <v>#REF!</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EINSTELLUNG!I31</f>
        <v>10</v>
      </c>
      <c r="R10" s="164"/>
    </row>
    <row r="11" spans="1:28" ht="16" customHeight="1">
      <c r="A11" s="61" t="s">
        <v>63</v>
      </c>
      <c r="B11" s="101">
        <v>401197</v>
      </c>
      <c r="C11" s="68" t="s">
        <v>254</v>
      </c>
      <c r="D11" s="123">
        <v>42644</v>
      </c>
      <c r="E11" s="65" t="s">
        <v>3</v>
      </c>
      <c r="F11" s="67">
        <v>173</v>
      </c>
      <c r="G11" s="116">
        <v>2082</v>
      </c>
      <c r="H11" s="89" t="e">
        <f>IF(AND(ISNUMBER(D11), ISNUMBER(F11)),
    ROUNDDOWN(
        MIN(
            IF(OR(ISBLANK(I11), I11=""),
                EOMONTH(DATE(#REF!, $A$1, 1), 0), I11)
            - MAX(D11, DATE(#REF!, $A$1, 1)) + 1)
        / DAY(EOMONTH(DATE(#REF!, $A$1, 1), 0)) * F11,
        2
    ),
    ""
)</f>
        <v>#REF!</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10</v>
      </c>
      <c r="R11" s="164"/>
    </row>
    <row r="12" spans="1:28" ht="16" customHeight="1">
      <c r="A12" s="61" t="s">
        <v>65</v>
      </c>
      <c r="B12" s="101">
        <v>401214</v>
      </c>
      <c r="C12" s="68" t="s">
        <v>280</v>
      </c>
      <c r="D12" s="123">
        <v>45636</v>
      </c>
      <c r="E12" s="65" t="s">
        <v>3</v>
      </c>
      <c r="F12" s="67">
        <v>173</v>
      </c>
      <c r="G12" s="116">
        <v>2082</v>
      </c>
      <c r="H12" s="89" t="e">
        <f>IF(AND(ISNUMBER(D12), ISNUMBER(F12)),
    ROUNDDOWN(
        MIN(
            IF(OR(ISBLANK(I12), I12=""),
                EOMONTH(DATE(#REF!, $A$1, 1), 0), I12)
            - MAX(D12, DATE(#REF!, $A$1, 1)) + 1)
        / DAY(EOMONTH(DATE(#REF!, $A$1, 1), 0)) * F12,
        2
    ),
    ""
)</f>
        <v>#REF!</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-121</v>
      </c>
      <c r="R12" s="193"/>
    </row>
    <row r="13" spans="1:28" ht="16" customHeight="1">
      <c r="A13" s="62" t="s">
        <v>67</v>
      </c>
      <c r="B13" s="101">
        <v>401276</v>
      </c>
      <c r="C13" s="68" t="s">
        <v>255</v>
      </c>
      <c r="D13" s="123">
        <v>43252</v>
      </c>
      <c r="E13" s="65" t="s">
        <v>3</v>
      </c>
      <c r="F13" s="67">
        <v>173</v>
      </c>
      <c r="G13" s="116">
        <v>2082</v>
      </c>
      <c r="H13" s="89" t="e">
        <f>IF(AND(ISNUMBER(D13), ISNUMBER(F13)),
    ROUNDDOWN(
        MIN(
            IF(OR(ISBLANK(I13), I13=""),
                EOMONTH(DATE(#REF!, $A$1, 1), 0), I13)
            - MAX(D13, DATE(#REF!, $A$1, 1)) + 1)
        / DAY(EOMONTH(DATE(#REF!, $A$1, 1), 0)) * F13,
        2
    ),
    ""
)</f>
        <v>#REF!</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401307</v>
      </c>
      <c r="C14" s="68" t="s">
        <v>256</v>
      </c>
      <c r="D14" s="123">
        <v>43571</v>
      </c>
      <c r="E14" s="65" t="s">
        <v>3</v>
      </c>
      <c r="F14" s="67">
        <v>173</v>
      </c>
      <c r="G14" s="116">
        <v>2082</v>
      </c>
      <c r="H14" s="89" t="e">
        <f>IF(AND(ISNUMBER(D14), ISNUMBER(F14)),
    ROUNDDOWN(
        MIN(
            IF(OR(ISBLANK(I14), I14=""),
                EOMONTH(DATE(#REF!, $A$1, 1), 0), I14)
            - MAX(D14, DATE(#REF!, $A$1, 1)) + 1)
        / DAY(EOMONTH(DATE(#REF!, $A$1, 1), 0)) * F14,
        2
    ),
    ""
)</f>
        <v>#REF!</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EINSTELLUNG!L15</f>
        <v>10</v>
      </c>
      <c r="R14" s="164"/>
    </row>
    <row r="15" spans="1:28" ht="16" customHeight="1">
      <c r="A15" s="61" t="s">
        <v>71</v>
      </c>
      <c r="B15" s="101">
        <v>401308</v>
      </c>
      <c r="C15" s="68" t="s">
        <v>257</v>
      </c>
      <c r="D15" s="123">
        <v>43579</v>
      </c>
      <c r="E15" s="65" t="s">
        <v>3</v>
      </c>
      <c r="F15" s="67">
        <v>173</v>
      </c>
      <c r="G15" s="116">
        <v>2082</v>
      </c>
      <c r="H15" s="89" t="e">
        <f>IF(AND(ISNUMBER(D15), ISNUMBER(F15)),
    ROUNDDOWN(
        MIN(
            IF(OR(ISBLANK(I15), I15=""),
                EOMONTH(DATE(#REF!, $A$1, 1), 0), I15)
            - MAX(D15, DATE(#REF!, $A$1, 1)) + 1)
        / DAY(EOMONTH(DATE(#REF!, $A$1, 1), 0)) * F15,
        2
    ),
    ""
)</f>
        <v>#REF!</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401389</v>
      </c>
      <c r="C16" s="68" t="s">
        <v>259</v>
      </c>
      <c r="D16" s="123">
        <v>44384</v>
      </c>
      <c r="E16" s="65" t="s">
        <v>11</v>
      </c>
      <c r="F16" s="67">
        <v>173</v>
      </c>
      <c r="G16" s="116">
        <v>2300</v>
      </c>
      <c r="H16" s="89" t="e">
        <f>IF(AND(ISNUMBER(D16), ISNUMBER(F16)),
    ROUNDDOWN(
        MIN(
            IF(OR(ISBLANK(I16), I16=""),
                EOMONTH(DATE(#REF!, $A$1, 1), 0), I16)
            - MAX(D16, DATE(#REF!, $A$1, 1)) + 1)
        / DAY(EOMONTH(DATE(#REF!, $A$1, 1), 0)) * F16,
        2
    ),
    ""
)</f>
        <v>#REF!</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401394</v>
      </c>
      <c r="C17" s="68" t="s">
        <v>258</v>
      </c>
      <c r="D17" s="123">
        <v>44379</v>
      </c>
      <c r="E17" s="65" t="s">
        <v>2</v>
      </c>
      <c r="F17" s="67">
        <v>173</v>
      </c>
      <c r="G17" s="116">
        <v>2021</v>
      </c>
      <c r="H17" s="89" t="e">
        <f>IF(AND(ISNUMBER(D17), ISNUMBER(F17)),
    ROUNDDOWN(
        MIN(
            IF(OR(ISBLANK(I17), I17=""),
                EOMONTH(DATE(#REF!, $A$1, 1), 0), I17)
            - MAX(D17, DATE(#REF!, $A$1, 1)) + 1)
        / DAY(EOMONTH(DATE(#REF!, $A$1, 1), 0)) * F17,
        2
    ),
    ""
)</f>
        <v>#REF!</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t="e">
        <f>IF(AND(ISNUMBER(D18), ISNUMBER(F18)),
    ROUNDDOWN(
        MIN(
            IF(OR(ISBLANK(I18), I18=""),
                EOMONTH(DATE(#REF!, $A$1, 1), 0), I18)
            - MAX(D18, DATE(#REF!, $A$1, 1)) + 1)
        / DAY(EOMONTH(DATE(#REF!, $A$1, 1), 0)) * F18,
        2
    ),
    ""
)</f>
        <v>#REF!</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t="e">
        <f>IF(AND(ISNUMBER(D19), ISNUMBER(F19)),
    ROUNDDOWN(
        MIN(
            IF(OR(ISBLANK(I19), I19=""),
                EOMONTH(DATE(#REF!, $A$1, 1), 0), I19)
            - MAX(D19, DATE(#REF!, $A$1, 1)) + 1)
        / DAY(EOMONTH(DATE(#REF!, $A$1, 1), 0)) * F19,
        2
    ),
    ""
)</f>
        <v>#REF!</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t="e">
        <f>IF(AND(ISNUMBER(D20), ISNUMBER(F20)),
    ROUNDDOWN(
        MIN(
            IF(OR(ISBLANK(I20), I20=""),
                EOMONTH(DATE(#REF!, $A$1, 1), 0), I20)
            - MAX(D20, DATE(#REF!, $A$1, 1)) + 1)
        / DAY(EOMONTH(DATE(#REF!, $A$1, 1), 0)) * F20,
        2
    ),
    ""
)</f>
        <v>#REF!</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t="e">
        <f>IF(AND(ISNUMBER(D21), ISNUMBER(F21)),
    ROUNDDOWN(
        MIN(
            IF(OR(ISBLANK(I21), I21=""),
                EOMONTH(DATE(#REF!, $A$1, 1), 0), I21)
            - MAX(D21, DATE(#REF!, $A$1, 1)) + 1)
        / DAY(EOMONTH(DATE(#REF!, $A$1, 1), 0)) * F21,
        2
    ),
    ""
)</f>
        <v>#REF!</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401564</v>
      </c>
      <c r="C22" s="68" t="s">
        <v>265</v>
      </c>
      <c r="D22" s="123">
        <v>44824</v>
      </c>
      <c r="E22" s="65" t="s">
        <v>2</v>
      </c>
      <c r="F22" s="67">
        <v>173</v>
      </c>
      <c r="G22" s="116">
        <v>2021</v>
      </c>
      <c r="H22" s="89" t="e">
        <f>IF(AND(ISNUMBER(D22), ISNUMBER(F22)),
    ROUNDDOWN(
        MIN(
            IF(OR(ISBLANK(I22), I22=""),
                EOMONTH(DATE(#REF!, $A$1, 1), 0), I22)
            - MAX(D22, DATE(#REF!, $A$1, 1)) + 1)
        / DAY(EOMONTH(DATE(#REF!, $A$1, 1), 0)) * F22,
        2
    ),
    ""
)</f>
        <v>#REF!</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401583</v>
      </c>
      <c r="C23" s="68" t="s">
        <v>267</v>
      </c>
      <c r="D23" s="123">
        <v>44900</v>
      </c>
      <c r="E23" s="65" t="s">
        <v>10</v>
      </c>
      <c r="F23" s="67">
        <v>173</v>
      </c>
      <c r="G23" s="116">
        <v>2300</v>
      </c>
      <c r="H23" s="89" t="e">
        <f>IF(AND(ISNUMBER(D23), ISNUMBER(F23)),
    ROUNDDOWN(
        MIN(
            IF(OR(ISBLANK(I23), I23=""),
                EOMONTH(DATE(#REF!, $A$1, 1), 0), I23)
            - MAX(D23, DATE(#REF!, $A$1, 1)) + 1)
        / DAY(EOMONTH(DATE(#REF!, $A$1, 1), 0)) * F23,
        2
    ),
    ""
)</f>
        <v>#REF!</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401589</v>
      </c>
      <c r="C24" s="68" t="s">
        <v>268</v>
      </c>
      <c r="D24" s="123">
        <v>44926</v>
      </c>
      <c r="E24" s="65" t="s">
        <v>10</v>
      </c>
      <c r="F24" s="67">
        <v>173</v>
      </c>
      <c r="G24" s="116">
        <v>2300</v>
      </c>
      <c r="H24" s="89" t="e">
        <f>IF(AND(ISNUMBER(D24), ISNUMBER(F24)),
    ROUNDDOWN(
        MIN(
            IF(OR(ISBLANK(I24), I24=""),
                EOMONTH(DATE(#REF!, $A$1, 1), 0), I24)
            - MAX(D24, DATE(#REF!, $A$1, 1)) + 1)
        / DAY(EOMONTH(DATE(#REF!, $A$1, 1), 0)) * F24,
        2
    ),
    ""
)</f>
        <v>#REF!</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401602</v>
      </c>
      <c r="C25" s="68" t="s">
        <v>269</v>
      </c>
      <c r="D25" s="123">
        <v>45975</v>
      </c>
      <c r="E25" s="65" t="s">
        <v>2</v>
      </c>
      <c r="F25" s="67">
        <v>173</v>
      </c>
      <c r="G25" s="116">
        <v>2021</v>
      </c>
      <c r="H25" s="89" t="e">
        <f>IF(AND(ISNUMBER(D25), ISNUMBER(F25)),
    ROUNDDOWN(
        MIN(
            IF(OR(ISBLANK(I25), I25=""),
                EOMONTH(DATE(#REF!, $A$1, 1), 0), I25)
            - MAX(D25, DATE(#REF!, $A$1, 1)) + 1)
        / DAY(EOMONTH(DATE(#REF!, $A$1, 1), 0)) * F25,
        2
    ),
    ""
)</f>
        <v>#REF!</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401605</v>
      </c>
      <c r="C26" s="68" t="s">
        <v>270</v>
      </c>
      <c r="D26" s="123">
        <v>44986</v>
      </c>
      <c r="E26" s="65" t="s">
        <v>2</v>
      </c>
      <c r="F26" s="67">
        <v>173</v>
      </c>
      <c r="G26" s="116">
        <v>2021</v>
      </c>
      <c r="H26" s="89" t="e">
        <f>IF(AND(ISNUMBER(D26), ISNUMBER(F26)),
    ROUNDDOWN(
        MIN(
            IF(OR(ISBLANK(I26), I26=""),
                EOMONTH(DATE(#REF!, $A$1, 1), 0), I26)
            - MAX(D26, DATE(#REF!, $A$1, 1)) + 1)
        / DAY(EOMONTH(DATE(#REF!, $A$1, 1), 0)) * F26,
        2
    ),
    ""
)</f>
        <v>#REF!</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401626</v>
      </c>
      <c r="C27" s="68" t="s">
        <v>271</v>
      </c>
      <c r="D27" s="123">
        <v>45063</v>
      </c>
      <c r="E27" s="65" t="s">
        <v>2</v>
      </c>
      <c r="F27" s="67">
        <v>173</v>
      </c>
      <c r="G27" s="116">
        <v>2021</v>
      </c>
      <c r="H27" s="89" t="e">
        <f>IF(AND(ISNUMBER(D27), ISNUMBER(F27)),
    ROUNDDOWN(
        MIN(
            IF(OR(ISBLANK(I27), I27=""),
                EOMONTH(DATE(#REF!, $A$1, 1), 0), I27)
            - MAX(D27, DATE(#REF!, $A$1, 1)) + 1)
        / DAY(EOMONTH(DATE(#REF!, $A$1, 1), 0)) * F27,
        2
    ),
    ""
)</f>
        <v>#REF!</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401633</v>
      </c>
      <c r="C28" s="68" t="s">
        <v>272</v>
      </c>
      <c r="D28" s="123">
        <v>45089</v>
      </c>
      <c r="E28" s="65" t="s">
        <v>10</v>
      </c>
      <c r="F28" s="67">
        <v>173</v>
      </c>
      <c r="G28" s="116">
        <v>2300</v>
      </c>
      <c r="H28" s="89" t="e">
        <f>IF(AND(ISNUMBER(D28), ISNUMBER(F28)),
    ROUNDDOWN(
        MIN(
            IF(OR(ISBLANK(I28), I28=""),
                EOMONTH(DATE(#REF!, $A$1, 1), 0), I28)
            - MAX(D28, DATE(#REF!, $A$1, 1)) + 1)
        / DAY(EOMONTH(DATE(#REF!, $A$1, 1), 0)) * F28,
        2
    ),
    ""
)</f>
        <v>#REF!</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401647</v>
      </c>
      <c r="C29" s="68" t="s">
        <v>273</v>
      </c>
      <c r="D29" s="123">
        <v>45182</v>
      </c>
      <c r="E29" s="65" t="s">
        <v>2</v>
      </c>
      <c r="F29" s="67">
        <v>173</v>
      </c>
      <c r="G29" s="116">
        <v>2021</v>
      </c>
      <c r="H29" s="89" t="e">
        <f>IF(AND(ISNUMBER(D29), ISNUMBER(F29)),
    ROUNDDOWN(
        MIN(
            IF(OR(ISBLANK(I29), I29=""),
                EOMONTH(DATE(#REF!, $A$1, 1), 0), I29)
            - MAX(D29, DATE(#REF!, $A$1, 1)) + 1)
        / DAY(EOMONTH(DATE(#REF!, $A$1, 1), 0)) * F29,
        2
    ),
    ""
)</f>
        <v>#REF!</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EINSTELLUNG!O15</f>
        <v>10</v>
      </c>
      <c r="R29" s="202"/>
    </row>
    <row r="30" spans="1:29" ht="16" customHeight="1">
      <c r="A30" s="61" t="s">
        <v>91</v>
      </c>
      <c r="B30" s="101">
        <v>401661</v>
      </c>
      <c r="C30" s="68" t="s">
        <v>274</v>
      </c>
      <c r="D30" s="123">
        <v>45261</v>
      </c>
      <c r="E30" s="65" t="s">
        <v>2</v>
      </c>
      <c r="F30" s="67">
        <v>173</v>
      </c>
      <c r="G30" s="116">
        <v>2021</v>
      </c>
      <c r="H30" s="89" t="e">
        <f>IF(AND(ISNUMBER(D30), ISNUMBER(F30)),
    ROUNDDOWN(
        MIN(
            IF(OR(ISBLANK(I30), I30=""),
                EOMONTH(DATE(#REF!, $A$1, 1), 0), I30)
            - MAX(D30, DATE(#REF!, $A$1, 1)) + 1)
        / DAY(EOMONTH(DATE(#REF!, $A$1, 1), 0)) * F30,
        2
    ),
    ""
)</f>
        <v>#REF!</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401670</v>
      </c>
      <c r="C31" s="70" t="s">
        <v>275</v>
      </c>
      <c r="D31" s="123">
        <v>45358</v>
      </c>
      <c r="E31" s="65" t="s">
        <v>2</v>
      </c>
      <c r="F31" s="67">
        <v>173</v>
      </c>
      <c r="G31" s="116">
        <v>2021</v>
      </c>
      <c r="H31" s="89" t="e">
        <f>IF(AND(ISNUMBER(D31), ISNUMBER(F31)),
    ROUNDDOWN(
        MIN(
            IF(OR(ISBLANK(I31), I31=""),
                EOMONTH(DATE(#REF!, $A$1, 1), 0), I31)
            - MAX(D31, DATE(#REF!, $A$1, 1)) + 1)
        / DAY(EOMONTH(DATE(#REF!, $A$1, 1), 0)) * F31,
        2
    ),
    ""
)</f>
        <v>#REF!</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1.6666666666666666E-2</v>
      </c>
      <c r="R31" s="218"/>
    </row>
    <row r="32" spans="1:29" ht="16" customHeight="1">
      <c r="A32" s="61" t="s">
        <v>94</v>
      </c>
      <c r="B32" s="101">
        <v>401678</v>
      </c>
      <c r="C32" s="68" t="s">
        <v>276</v>
      </c>
      <c r="D32" s="123">
        <v>45414</v>
      </c>
      <c r="E32" s="65" t="s">
        <v>2</v>
      </c>
      <c r="F32" s="67">
        <v>173</v>
      </c>
      <c r="G32" s="116">
        <v>2021</v>
      </c>
      <c r="H32" s="89" t="e">
        <f>IF(AND(ISNUMBER(D32), ISNUMBER(F32)),
    ROUNDDOWN(
        MIN(
            IF(OR(ISBLANK(I32), I32=""),
                EOMONTH(DATE(#REF!, $A$1, 1), 0), I32)
            - MAX(D32, DATE(#REF!, $A$1, 1)) + 1)
        / DAY(EOMONTH(DATE(#REF!, $A$1, 1), 0)) * F32,
        2
    ),
    ""
)</f>
        <v>#REF!</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401690</v>
      </c>
      <c r="C33" s="68" t="s">
        <v>278</v>
      </c>
      <c r="D33" s="123">
        <v>45536</v>
      </c>
      <c r="E33" s="65" t="s">
        <v>2</v>
      </c>
      <c r="F33" s="67">
        <v>173</v>
      </c>
      <c r="G33" s="116">
        <v>2021</v>
      </c>
      <c r="H33" s="89" t="e">
        <f>IF(AND(ISNUMBER(D33), ISNUMBER(F33)),
    ROUNDDOWN(
        MIN(
            IF(OR(ISBLANK(I33), I33=""),
                EOMONTH(DATE(#REF!, $A$1, 1), 0), I33)
            - MAX(D33, DATE(#REF!, $A$1, 1)) + 1)
        / DAY(EOMONTH(DATE(#REF!, $A$1, 1), 0)) * F33,
        2
    ),
    ""
)</f>
        <v>#REF!</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401703</v>
      </c>
      <c r="C34" s="68" t="s">
        <v>279</v>
      </c>
      <c r="D34" s="123">
        <v>45616</v>
      </c>
      <c r="E34" s="65" t="s">
        <v>2</v>
      </c>
      <c r="F34" s="67">
        <v>173</v>
      </c>
      <c r="G34" s="116">
        <v>2021</v>
      </c>
      <c r="H34" s="89" t="e">
        <f>IF(AND(ISNUMBER(D34), ISNUMBER(F34)),
    ROUNDDOWN(
        MIN(
            IF(OR(ISBLANK(I34), I34=""),
                EOMONTH(DATE(#REF!, $A$1, 1), 0), I34)
            - MAX(D34, DATE(#REF!, $A$1, 1)) + 1)
        / DAY(EOMONTH(DATE(#REF!, $A$1, 1), 0)) * F34,
        2
    ),
    ""
)</f>
        <v>#REF!</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401715</v>
      </c>
      <c r="C35" s="68" t="s">
        <v>281</v>
      </c>
      <c r="D35" s="123">
        <v>45755</v>
      </c>
      <c r="E35" s="65" t="s">
        <v>2</v>
      </c>
      <c r="F35" s="67">
        <v>173</v>
      </c>
      <c r="G35" s="116">
        <v>2021</v>
      </c>
      <c r="H35" s="89" t="e">
        <f>IF(AND(ISNUMBER(D35), ISNUMBER(F35)),
    ROUNDDOWN(
        MIN(
            IF(OR(ISBLANK(I35), I35=""),
                EOMONTH(DATE(#REF!, $A$1, 1), 0), I35)
            - MAX(D35, DATE(#REF!, $A$1, 1)) + 1)
        / DAY(EOMONTH(DATE(#REF!, $A$1, 1), 0)) * F35,
        2
    ),
    ""
)</f>
        <v>#REF!</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EINSTELLUNG!C15</f>
        <v>10</v>
      </c>
      <c r="R35" s="174"/>
      <c r="S35" s="174">
        <f>EINSTELLUNG!C31</f>
        <v>10</v>
      </c>
      <c r="T35" s="174"/>
      <c r="U35" s="175">
        <f>S35-Q35</f>
        <v>0</v>
      </c>
      <c r="V35" s="175"/>
    </row>
    <row r="36" spans="1:24" ht="16" customHeight="1">
      <c r="A36" s="61" t="s">
        <v>102</v>
      </c>
      <c r="B36" s="101">
        <v>401716</v>
      </c>
      <c r="C36" s="68" t="s">
        <v>282</v>
      </c>
      <c r="D36" s="123">
        <v>45800</v>
      </c>
      <c r="E36" s="65" t="s">
        <v>2</v>
      </c>
      <c r="F36" s="67">
        <v>173</v>
      </c>
      <c r="G36" s="116">
        <v>2021</v>
      </c>
      <c r="H36" s="89" t="e">
        <f>IF(AND(ISNUMBER(D36), ISNUMBER(F36)),
    ROUNDDOWN(
        MIN(
            IF(OR(ISBLANK(I36), I36=""),
                EOMONTH(DATE(#REF!, $A$1, 1), 0), I36)
            - MAX(D36, DATE(#REF!, $A$1, 1)) + 1)
        / DAY(EOMONTH(DATE(#REF!, $A$1, 1), 0)) * F36,
        2
    ),
    ""
)</f>
        <v>#REF!</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EINSTELLUNG!D15</f>
        <v>10</v>
      </c>
      <c r="R36" s="174"/>
      <c r="S36" s="178" cm="1">
        <f t="array" ref="S36">SumMergedCells(Q17:R29)</f>
        <v>0</v>
      </c>
      <c r="T36" s="180"/>
      <c r="U36" s="175">
        <f t="shared" ref="U36:U41" si="0">S36-Q36</f>
        <v>-10</v>
      </c>
      <c r="V36" s="175"/>
    </row>
    <row r="37" spans="1:24" ht="16" customHeight="1">
      <c r="A37" s="62" t="s">
        <v>104</v>
      </c>
      <c r="B37" s="101">
        <v>401717</v>
      </c>
      <c r="C37" s="68" t="s">
        <v>283</v>
      </c>
      <c r="D37" s="123">
        <v>45814</v>
      </c>
      <c r="E37" s="65" t="s">
        <v>2</v>
      </c>
      <c r="F37" s="67">
        <v>173</v>
      </c>
      <c r="G37" s="116">
        <v>2021</v>
      </c>
      <c r="H37" s="89" t="e">
        <f>IF(AND(ISNUMBER(D37), ISNUMBER(F37)),
    ROUNDDOWN(
        MIN(
            IF(OR(ISBLANK(I37), I37=""),
                EOMONTH(DATE(#REF!, $A$1, 1), 0), I37)
            - MAX(D37, DATE(#REF!, $A$1, 1)) + 1)
        / DAY(EOMONTH(DATE(#REF!, $A$1, 1), 0)) * F37,
        2
    ),
    ""
)</f>
        <v>#REF!</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0"/>
        <v>-1</v>
      </c>
      <c r="V37" s="182"/>
    </row>
    <row r="38" spans="1:24" ht="16" customHeight="1">
      <c r="A38" s="61" t="s">
        <v>106</v>
      </c>
      <c r="B38" s="101">
        <v>401722</v>
      </c>
      <c r="C38" s="68" t="s">
        <v>284</v>
      </c>
      <c r="D38" s="123">
        <v>45848</v>
      </c>
      <c r="E38" s="65" t="s">
        <v>2</v>
      </c>
      <c r="F38" s="67">
        <v>86.5</v>
      </c>
      <c r="G38" s="116">
        <v>1010.5</v>
      </c>
      <c r="H38" s="89" t="e">
        <f>IF(AND(ISNUMBER(D38), ISNUMBER(F38)),
    ROUNDDOWN(
        MIN(
            IF(OR(ISBLANK(I39), I39=""),
                EOMONTH(DATE(#REF!, $A$1, 1), 0), I39)
            - MAX(D38, DATE(#REF!, $A$1, 1)) + 1)
        / DAY(EOMONTH(DATE(#REF!, $A$1, 1), 0)) * F38,
        2
    ),
    ""
)</f>
        <v>#REF!</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EINSTELLUNG!F15</f>
        <v>10</v>
      </c>
      <c r="R38" s="176"/>
      <c r="S38" s="176">
        <f>EINSTELLUNG!F31</f>
        <v>10</v>
      </c>
      <c r="T38" s="176"/>
      <c r="U38" s="177">
        <f t="shared" si="0"/>
        <v>0</v>
      </c>
      <c r="V38" s="177"/>
    </row>
    <row r="39" spans="1:24" ht="16" customHeight="1">
      <c r="A39" s="61" t="s">
        <v>108</v>
      </c>
      <c r="B39" s="101">
        <v>401723</v>
      </c>
      <c r="C39" s="68" t="s">
        <v>285</v>
      </c>
      <c r="D39" s="123">
        <v>45852</v>
      </c>
      <c r="E39" s="65" t="s">
        <v>2</v>
      </c>
      <c r="F39" s="67">
        <v>86.5</v>
      </c>
      <c r="G39" s="116">
        <v>1010.5</v>
      </c>
      <c r="H39" s="89" t="e">
        <f>IF(AND(ISNUMBER(D39), ISNUMBER(F39)),
    ROUNDDOWN(
        MIN(
            IF(OR(ISBLANK(I40), I40=""),
                EOMONTH(DATE(#REF!, $A$1, 1), 0), I40)
            - MAX(D39, DATE(#REF!, $A$1, 1)) + 1)
        / DAY(EOMONTH(DATE(#REF!, $A$1, 1), 0)) * F39,
        2
    ),
    ""
)</f>
        <v>#REF!</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401726</v>
      </c>
      <c r="C40" s="68" t="s">
        <v>286</v>
      </c>
      <c r="D40" s="123">
        <v>45870</v>
      </c>
      <c r="E40" s="65" t="s">
        <v>2</v>
      </c>
      <c r="F40" s="67">
        <v>86.5</v>
      </c>
      <c r="G40" s="116">
        <v>1010.5</v>
      </c>
      <c r="H40" s="89" t="e">
        <f>IF(AND(ISNUMBER(D40), ISNUMBER(F40)),
    ROUNDDOWN(
        MIN(
            IF(OR(ISBLANK(I40), I40=""),
                EOMONTH(DATE(#REF!, $A$1, 1), 0), I40)
            - MAX(D40, DATE(#REF!, $A$1, 1)) + 1)
        / DAY(EOMONTH(DATE(#REF!, $A$1, 1), 0)) * F40,
        2
    ),
    ""
)</f>
        <v>#REF!</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0"/>
        <v>#REF!</v>
      </c>
      <c r="V40" s="175"/>
    </row>
    <row r="41" spans="1:24" ht="16" customHeight="1">
      <c r="A41" s="62" t="s">
        <v>112</v>
      </c>
      <c r="B41" s="101">
        <v>401730</v>
      </c>
      <c r="C41" s="68" t="s">
        <v>288</v>
      </c>
      <c r="D41" s="123">
        <v>45895</v>
      </c>
      <c r="E41" s="65" t="s">
        <v>2</v>
      </c>
      <c r="F41" s="67">
        <v>86.5</v>
      </c>
      <c r="G41" s="116">
        <v>1010.5</v>
      </c>
      <c r="H41" s="89" t="e">
        <f>IF(AND(ISNUMBER(D41), ISNUMBER(F41)),
    ROUNDDOWN(
        MIN(
            IF(OR(ISBLANK(I41), I41=""),
                EOMONTH(DATE(#REF!, $A$1, 1), 0), I41)
            - MAX(D41, DATE(#REF!, $A$1, 1)) + 1)
        / DAY(EOMONTH(DATE(#REF!, $A$1, 1), 0)) * F41,
        2
    ),
    ""
)</f>
        <v>#REF!</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0"/>
        <v>#REF!</v>
      </c>
      <c r="V41" s="177"/>
    </row>
    <row r="42" spans="1:24" ht="16" customHeight="1">
      <c r="A42" s="61" t="s">
        <v>114</v>
      </c>
      <c r="B42" s="101">
        <v>401731</v>
      </c>
      <c r="C42" s="68" t="s">
        <v>287</v>
      </c>
      <c r="D42" s="123">
        <v>45899</v>
      </c>
      <c r="E42" s="65" t="s">
        <v>2</v>
      </c>
      <c r="F42" s="67">
        <v>86.5</v>
      </c>
      <c r="G42" s="116">
        <v>1010.5</v>
      </c>
      <c r="H42" s="89" t="e">
        <f>IF(AND(ISNUMBER(D42), ISNUMBER(F42)),
    ROUNDDOWN(
        MIN(
            IF(OR(ISBLANK(I42), I42=""),
                EOMONTH(DATE(#REF!, $A$1, 1), 0), I42)
            - MAX(D42, DATE(#REF!, $A$1, 1)) + 1)
        / DAY(EOMONTH(DATE(#REF!, $A$1, 1), 0)) * F42,
        2
    ),
    ""
)</f>
        <v>#REF!</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401734</v>
      </c>
      <c r="C43" s="70" t="s">
        <v>289</v>
      </c>
      <c r="D43" s="123">
        <v>45904</v>
      </c>
      <c r="E43" s="65" t="s">
        <v>2</v>
      </c>
      <c r="F43" s="67">
        <v>86.5</v>
      </c>
      <c r="G43" s="116">
        <v>1010.5</v>
      </c>
      <c r="H43" s="89" t="e">
        <f>IF(AND(ISNUMBER(D43), ISNUMBER(F43)),
    ROUNDDOWN(
        MIN(
            IF(OR(ISBLANK(I43), I43=""),
                EOMONTH(DATE(#REF!, $A$1, 1), 0), I43)
            - MAX(D43, DATE(#REF!, $A$1, 1)) + 1)
        / DAY(EOMONTH(DATE(#REF!, $A$1, 1), 0)) * F43,
        2
    ),
    ""
)</f>
        <v>#REF!</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401736</v>
      </c>
      <c r="C44" s="68" t="s">
        <v>290</v>
      </c>
      <c r="D44" s="123">
        <v>45906</v>
      </c>
      <c r="E44" s="65" t="s">
        <v>2</v>
      </c>
      <c r="F44" s="67">
        <v>86.5</v>
      </c>
      <c r="G44" s="116">
        <v>1010.5</v>
      </c>
      <c r="H44" s="89" t="e">
        <f>IF(AND(ISNUMBER(D44), ISNUMBER(F44)),
    ROUNDDOWN(
        MIN(
            IF(OR(ISBLANK(I44), I44=""),
                EOMONTH(DATE(#REF!, $A$1, 1), 0), I44)
            - MAX(D44, DATE(#REF!, $A$1, 1)) + 1)
        / DAY(EOMONTH(DATE(#REF!, $A$1, 1), 0)) * F44,
        2
    ),
    ""
)</f>
        <v>#REF!</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401737</v>
      </c>
      <c r="C45" s="68" t="s">
        <v>291</v>
      </c>
      <c r="D45" s="123">
        <v>45906</v>
      </c>
      <c r="E45" s="65" t="s">
        <v>2</v>
      </c>
      <c r="F45" s="67">
        <v>86.5</v>
      </c>
      <c r="G45" s="116">
        <v>1010.5</v>
      </c>
      <c r="H45" s="89" t="e">
        <f>IF(AND(ISNUMBER(D45), ISNUMBER(F45)),
    ROUNDDOWN(
        MIN(
            IF(OR(ISBLANK(I45), I45=""),
                EOMONTH(DATE(#REF!, $A$1, 1), 0), I45)
            - MAX(D45, DATE(#REF!, $A$1, 1)) + 1)
        / DAY(EOMONTH(DATE(#REF!, $A$1, 1), 0)) * F45,
        2
    ),
    ""
)</f>
        <v>#REF!</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401738</v>
      </c>
      <c r="C46" s="68" t="s">
        <v>292</v>
      </c>
      <c r="D46" s="123">
        <v>45909</v>
      </c>
      <c r="E46" s="65" t="s">
        <v>2</v>
      </c>
      <c r="F46" s="67">
        <v>86.5</v>
      </c>
      <c r="G46" s="116">
        <v>1010.5</v>
      </c>
      <c r="H46" s="89" t="e">
        <f>IF(AND(ISNUMBER(D46), ISNUMBER(F46)),
    ROUNDDOWN(
        MIN(
            IF(OR(ISBLANK(I46), I46=""),
                EOMONTH(DATE(#REF!, $A$1, 1), 0), I46)
            - MAX(D46, DATE(#REF!, $A$1, 1)) + 1)
        / DAY(EOMONTH(DATE(#REF!, $A$1, 1), 0)) * F46,
        2
    ),
    ""
)</f>
        <v>#REF!</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401745</v>
      </c>
      <c r="C47" s="68" t="s">
        <v>296</v>
      </c>
      <c r="D47" s="123">
        <v>45934</v>
      </c>
      <c r="E47" s="65" t="s">
        <v>2</v>
      </c>
      <c r="F47" s="67">
        <v>86.5</v>
      </c>
      <c r="G47" s="116">
        <v>1010.5</v>
      </c>
      <c r="H47" s="89" t="e">
        <f>IF(AND(ISNUMBER(D47), ISNUMBER(F47)),
    ROUNDDOWN(
        MIN(
            IF(OR(ISBLANK(I47), I47=""),
                EOMONTH(DATE(#REF!, $A$1, 1), 0), I47)
            - MAX(D47, DATE(#REF!, $A$1, 1)) + 1)
        / DAY(EOMONTH(DATE(#REF!, $A$1, 1), 0)) * F47,
        2
    ),
    ""
)</f>
        <v>#REF!</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401748</v>
      </c>
      <c r="C48" s="68" t="s">
        <v>294</v>
      </c>
      <c r="D48" s="123">
        <v>45941</v>
      </c>
      <c r="E48" s="65" t="s">
        <v>2</v>
      </c>
      <c r="F48" s="67">
        <v>86.5</v>
      </c>
      <c r="G48" s="116">
        <v>1010.5</v>
      </c>
      <c r="H48" s="89" t="e">
        <f>IF(AND(ISNUMBER(D48), ISNUMBER(F48)),
    ROUNDDOWN(
        MIN(
            IF(OR(ISBLANK(I48), I48=""),
                EOMONTH(DATE(#REF!, $A$1, 1), 0), I48)
            - MAX(D48, DATE(#REF!, $A$1, 1)) + 1)
        / DAY(EOMONTH(DATE(#REF!, $A$1, 1), 0)) * F48,
        2
    ),
    ""
)</f>
        <v>#REF!</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401751</v>
      </c>
      <c r="C49" s="68" t="s">
        <v>297</v>
      </c>
      <c r="D49" s="123">
        <v>45961</v>
      </c>
      <c r="E49" s="65" t="s">
        <v>2</v>
      </c>
      <c r="F49" s="67">
        <v>86.5</v>
      </c>
      <c r="G49" s="116">
        <v>1010.5</v>
      </c>
      <c r="H49" s="89" t="e">
        <f>IF(AND(ISNUMBER(D49), ISNUMBER(F49)),
    ROUNDDOWN(
        MIN(
            IF(OR(ISBLANK(I49), I49=""),
                EOMONTH(DATE(#REF!, $A$1, 1), 0), I49)
            - MAX(D49, DATE(#REF!, $A$1, 1)) + 1)
        / DAY(EOMONTH(DATE(#REF!, $A$1, 1), 0)) * F49,
        2
    ),
    ""
)</f>
        <v>#REF!</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401752</v>
      </c>
      <c r="C50" s="68" t="s">
        <v>298</v>
      </c>
      <c r="D50" s="123">
        <v>45986</v>
      </c>
      <c r="E50" s="65" t="s">
        <v>2</v>
      </c>
      <c r="F50" s="67">
        <v>86.5</v>
      </c>
      <c r="G50" s="116">
        <v>1010.5</v>
      </c>
      <c r="H50" s="89" t="e">
        <f>IF(AND(ISNUMBER(D50), ISNUMBER(F50)),
    ROUNDDOWN(
        MIN(
            IF(OR(ISBLANK(I50), I50=""),
                EOMONTH(DATE(#REF!, $A$1, 1), 0), I50)
            - MAX(D50, DATE(#REF!, $A$1, 1)) + 1)
        / DAY(EOMONTH(DATE(#REF!, $A$1, 1), 0)) * F50,
        2
    ),
    ""
)</f>
        <v>#REF!</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401999</v>
      </c>
      <c r="C51" s="68" t="s">
        <v>341</v>
      </c>
      <c r="D51" s="123">
        <v>46082</v>
      </c>
      <c r="E51" s="65" t="s">
        <v>2</v>
      </c>
      <c r="F51" s="67">
        <v>173</v>
      </c>
      <c r="G51" s="116">
        <v>2021</v>
      </c>
      <c r="H51" s="89" t="e">
        <f>IF(AND(ISNUMBER(D51), ISNUMBER(F51)),
    ROUNDDOWN(
        MIN(
            IF(OR(ISBLANK(I51), I51=""),
                EOMONTH(DATE(#REF!, $A$1, 1), 0), I51)
            - MAX(D51, DATE(#REF!, $A$1, 1)) + 1)
        / DAY(EOMONTH(DATE(#REF!, $A$1, 1), 0)) * F51,
        2
    ),
    ""
)</f>
        <v>#REF!</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402000</v>
      </c>
      <c r="C52" s="68" t="s">
        <v>348</v>
      </c>
      <c r="D52" s="123">
        <v>46143</v>
      </c>
      <c r="E52" s="65" t="s">
        <v>2</v>
      </c>
      <c r="F52" s="67">
        <v>173</v>
      </c>
      <c r="G52" s="116">
        <v>2021</v>
      </c>
      <c r="H52" s="89" t="e">
        <f>IF(AND(ISNUMBER(D52), ISNUMBER(F52)),
    ROUNDDOWN(
        MIN(
            IF(OR(ISBLANK(I52), I52=""),
                EOMONTH(DATE(#REF!, $A$1, 1), 0), I52)
            - MAX(D52, DATE(#REF!, $A$1, 1)) + 1)
        / DAY(EOMONTH(DATE(#REF!, $A$1, 1), 0)) * F52,
        2
    ),
    ""
)</f>
        <v>#REF!</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402004</v>
      </c>
      <c r="C53" s="68" t="s">
        <v>350</v>
      </c>
      <c r="D53" s="123">
        <v>46122</v>
      </c>
      <c r="E53" s="65" t="s">
        <v>2</v>
      </c>
      <c r="F53" s="67">
        <v>173</v>
      </c>
      <c r="G53" s="116">
        <v>2021</v>
      </c>
      <c r="H53" s="89" t="e">
        <f>IF(AND(ISNUMBER(D53), ISNUMBER(F53)),
    ROUNDDOWN(
        MIN(
            IF(OR(ISBLANK(I53), I53=""),
                EOMONTH(DATE(#REF!, $A$1, 1), 0), I53)
            - MAX(D53, DATE(#REF!, $A$1, 1)) + 1)
        / DAY(EOMONTH(DATE(#REF!, $A$1, 1), 0)) * F53,
        2
    ),
    ""
)</f>
        <v>#REF!</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402405</v>
      </c>
      <c r="C54" s="68" t="s">
        <v>352</v>
      </c>
      <c r="D54" s="123">
        <v>46054</v>
      </c>
      <c r="E54" s="65" t="s">
        <v>2</v>
      </c>
      <c r="F54" s="67">
        <v>173</v>
      </c>
      <c r="G54" s="116">
        <v>2021</v>
      </c>
      <c r="H54" s="89" t="e">
        <f>IF(AND(ISNUMBER(D54), ISNUMBER(F54)),
    ROUNDDOWN(
        MIN(
            IF(OR(ISBLANK(I54), I54=""),
                EOMONTH(DATE(#REF!, $A$1, 1), 0), I54)
            - MAX(D54, DATE(#REF!, $A$1, 1)) + 1)
        / DAY(EOMONTH(DATE(#REF!, $A$1, 1), 0)) * F54,
        2
    ),
    ""
)</f>
        <v>#REF!</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500600</v>
      </c>
      <c r="C55" s="68" t="s">
        <v>357</v>
      </c>
      <c r="D55" s="123">
        <v>46054</v>
      </c>
      <c r="E55" s="65" t="s">
        <v>2</v>
      </c>
      <c r="F55" s="67">
        <v>173</v>
      </c>
      <c r="G55" s="116">
        <v>2021</v>
      </c>
      <c r="H55" s="89" t="e">
        <f>IF(AND(ISNUMBER(D55), ISNUMBER(F55)),
    ROUNDDOWN(
        MIN(
            IF(OR(ISBLANK(I55), I55=""),
                EOMONTH(DATE(#REF!, $A$1, 1), 0), I55)
            - MAX(D55, DATE(#REF!, $A$1, 1)) + 1)
        / DAY(EOMONTH(DATE(#REF!, $A$1, 1), 0)) * F55,
        2
    ),
    ""
)</f>
        <v>#REF!</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502000</v>
      </c>
      <c r="C56" s="68" t="s">
        <v>351</v>
      </c>
      <c r="D56" s="123">
        <v>46147</v>
      </c>
      <c r="E56" s="65" t="s">
        <v>2</v>
      </c>
      <c r="F56" s="67">
        <v>173</v>
      </c>
      <c r="G56" s="116">
        <v>2021</v>
      </c>
      <c r="H56" s="89" t="e">
        <f>IF(AND(ISNUMBER(D56), ISNUMBER(F56)),
    ROUNDDOWN(
        MIN(
            IF(OR(ISBLANK(I56), I56=""),
                EOMONTH(DATE(#REF!, $A$1, 1), 0), I56)
            - MAX(D56, DATE(#REF!, $A$1, 1)) + 1)
        / DAY(EOMONTH(DATE(#REF!, $A$1, 1), 0)) * F56,
        2
    ),
    ""
)</f>
        <v>#REF!</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503000</v>
      </c>
      <c r="C57" s="68" t="s">
        <v>354</v>
      </c>
      <c r="D57" s="123">
        <v>42401</v>
      </c>
      <c r="E57" s="65" t="s">
        <v>2</v>
      </c>
      <c r="F57" s="67">
        <v>173</v>
      </c>
      <c r="G57" s="116">
        <v>2021</v>
      </c>
      <c r="H57" s="89" t="e">
        <f>IF(AND(ISNUMBER(D57), ISNUMBER(F57)),
    ROUNDDOWN(
        MIN(
            IF(OR(ISBLANK(I57), I57=""),
                EOMONTH(DATE(#REF!, $A$1, 1), 0), I57)
            - MAX(D57, DATE(#REF!, $A$1, 1)) + 1)
        / DAY(EOMONTH(DATE(#REF!, $A$1, 1), 0)) * F57,
        2
    ),
    ""
)</f>
        <v>#REF!</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504000</v>
      </c>
      <c r="C58" s="68" t="s">
        <v>355</v>
      </c>
      <c r="D58" s="123">
        <v>46054</v>
      </c>
      <c r="E58" s="65" t="s">
        <v>3</v>
      </c>
      <c r="F58" s="67">
        <v>138.4</v>
      </c>
      <c r="G58" s="116">
        <v>1665.6</v>
      </c>
      <c r="H58" s="89" t="e">
        <f>IF(AND(ISNUMBER(D58), ISNUMBER(F58)),
    ROUNDDOWN(
        MIN(
            IF(OR(ISBLANK(I58), I58=""),
                EOMONTH(DATE(#REF!, $A$1, 1), 0), I58)
            - MAX(D58, DATE(#REF!, $A$1, 1)) + 1)
        / DAY(EOMONTH(DATE(#REF!, $A$1, 1), 0)) * F58,
        2
    ),
    ""
)</f>
        <v>#REF!</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505000</v>
      </c>
      <c r="C59" s="68" t="s">
        <v>356</v>
      </c>
      <c r="D59" s="123">
        <v>46054</v>
      </c>
      <c r="E59" s="65" t="s">
        <v>2</v>
      </c>
      <c r="F59" s="67">
        <v>138.4</v>
      </c>
      <c r="G59" s="116">
        <v>1616.8</v>
      </c>
      <c r="H59" s="89" t="e">
        <f>IF(AND(ISNUMBER(D59), ISNUMBER(F59)),
    ROUNDDOWN(
        MIN(
            IF(OR(ISBLANK(I59), I59=""),
                EOMONTH(DATE(#REF!, $A$1, 1), 0), I59)
            - MAX(D59, DATE(#REF!, $A$1, 1)) + 1)
        / DAY(EOMONTH(DATE(#REF!, $A$1, 1), 0)) * F59,
        2
    ),
    ""
)</f>
        <v>#REF!</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700000</v>
      </c>
      <c r="C60" s="68" t="s">
        <v>375</v>
      </c>
      <c r="D60" s="123">
        <v>46054</v>
      </c>
      <c r="E60" s="65" t="s">
        <v>2</v>
      </c>
      <c r="F60" s="67">
        <v>129.75</v>
      </c>
      <c r="G60" s="116">
        <v>1515.75</v>
      </c>
      <c r="H60" s="89" t="e">
        <f>IF(AND(ISNUMBER(D60), ISNUMBER(F60)),
    ROUNDDOWN(
        MIN(
            IF(OR(ISBLANK(I60), I60=""),
                EOMONTH(DATE(#REF!, $A$1, 1), 0), I60)
            - MAX(D60, DATE(#REF!, $A$1, 1)) + 1)
        / DAY(EOMONTH(DATE(#REF!, $A$1, 1), 0)) * F60,
        2
    ),
    ""
)</f>
        <v>#REF!</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800000</v>
      </c>
      <c r="C61" s="68" t="s">
        <v>376</v>
      </c>
      <c r="D61" s="123">
        <v>46082</v>
      </c>
      <c r="E61" s="65" t="s">
        <v>2</v>
      </c>
      <c r="F61" s="67">
        <v>173</v>
      </c>
      <c r="G61" s="116">
        <v>2021</v>
      </c>
      <c r="H61" s="89" t="e">
        <f>IF(AND(ISNUMBER(D61), ISNUMBER(F61)),
    ROUNDDOWN(
        MIN(
            IF(OR(ISBLANK(I61), I61=""),
                EOMONTH(DATE(#REF!, $A$1, 1), 0), I61)
            - MAX(D61, DATE(#REF!, $A$1, 1)) + 1)
        / DAY(EOMONTH(DATE(#REF!, $A$1, 1), 0)) * F61,
        2
    ),
    ""
)</f>
        <v>#REF!</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 ISNUMBER(F62)),
    ROUNDDOWN(
        MIN(
            IF(OR(ISBLANK(I62), I62=""),
                EOMONTH(DATE(#REF!, $A$1, 1), 0), I62)
            - MAX(D62, DATE(#REF!, $A$1, 1)) + 1)
        / DAY(EOMONTH(DATE(#REF!, $A$1, 1), 0)) * F62,
        2
    ),
    ""
)</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0Vl/7bc/CHaDE3KwznUJCeTsdWM9xbnFanlbDCjKv9E67pFNCYVKFMx+oabQ9xJA4f6vKyBQ2cDZOPVCGCdbjQ==" saltValue="MWL5yNNYvI3By8Bm/7B9H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3">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 type="list" allowBlank="1" showInputMessage="1" showErrorMessage="1" sqref="F62" xr:uid="{6C8530BE-D5EB-4825-B982-2F84F1B7ADD8}">
      <formula1>KV_DD_OKTOBER_62</formula1>
    </dataValidation>
    <dataValidation type="list" allowBlank="1" showInputMessage="1" showErrorMessage="1" sqref="F63" xr:uid="{5DE59C06-6BA7-446E-AA32-C54C32CB28C1}">
      <formula1>KV_DD_OKTOBER_63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#REF!</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11</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848.92966701370153</v>
      </c>
      <c r="P5" s="15">
        <f>EINSTELLUNG!I16</f>
        <v>11</v>
      </c>
      <c r="Q5" s="14">
        <f>P5-O5</f>
        <v>-837.92966701370153</v>
      </c>
      <c r="R5" s="18">
        <f>IFERROR(Q5*Q42, 0)</f>
        <v>0</v>
      </c>
    </row>
    <row r="6" spans="1:28" ht="16" customHeight="1">
      <c r="A6" s="61" t="s">
        <v>55</v>
      </c>
      <c r="B6" s="101">
        <v>401049</v>
      </c>
      <c r="C6" s="68" t="s">
        <v>250</v>
      </c>
      <c r="D6" s="123">
        <v>41130</v>
      </c>
      <c r="E6" s="65" t="s">
        <v>4</v>
      </c>
      <c r="F6" s="67">
        <v>173</v>
      </c>
      <c r="G6" s="116">
        <v>2123</v>
      </c>
      <c r="H6" s="89" t="e">
        <f>IF(AND(ISNUMBER(D6), ISNUMBER(F6)),
    ROUNDDOWN(
        MIN(
            IF(OR(ISBLANK(I6), I6=""),
                EOMONTH(DATE(#REF!, $A$1, 1), 0), I6)
            - MAX(D6, DATE(#REF!, $A$1, 1)) + 1)
        / DAY(EOMONTH(DATE(#REF!, $A$1, 1), 0)) * F6,
        2
    ),
    ""
)</f>
        <v>#REF!</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8" t="s">
        <v>252</v>
      </c>
      <c r="D7" s="123">
        <v>41176</v>
      </c>
      <c r="E7" s="65" t="s">
        <v>4</v>
      </c>
      <c r="F7" s="67">
        <v>173</v>
      </c>
      <c r="G7" s="116">
        <v>2123</v>
      </c>
      <c r="H7" s="89" t="e">
        <f>IF(AND(ISNUMBER(D7), ISNUMBER(F7)),
    ROUNDDOWN(
        MIN(
            IF(OR(ISBLANK(I7), I7=""),
                EOMONTH(DATE(#REF!, $A$1, 1), 0), I7)
            - MAX(D7, DATE(#REF!, $A$1, 1)) + 1)
        / DAY(EOMONTH(DATE(#REF!, $A$1, 1), 0)) * F7,
        2
    ),
    ""
)</f>
        <v>#REF!</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2" t="s">
        <v>57</v>
      </c>
      <c r="B8" s="101">
        <v>401089</v>
      </c>
      <c r="C8" s="68" t="s">
        <v>266</v>
      </c>
      <c r="D8" s="123">
        <v>44868</v>
      </c>
      <c r="E8" s="65" t="s">
        <v>3</v>
      </c>
      <c r="F8" s="67">
        <v>173</v>
      </c>
      <c r="G8" s="116">
        <v>2082</v>
      </c>
      <c r="H8" s="89" t="e">
        <f>IF(AND(ISNUMBER(D8), ISNUMBER(F8)),
    ROUNDDOWN(
        MIN(
            IF(OR(ISBLANK(I8), I8=""),
                EOMONTH(DATE(#REF!, $A$1, 1), 0), I8)
            - MAX(D8, DATE(#REF!, $A$1, 1)) + 1)
        / DAY(EOMONTH(DATE(#REF!, $A$1, 1), 0)) * F8,
        2
    ),
    ""
)</f>
        <v>#REF!</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1" t="s">
        <v>59</v>
      </c>
      <c r="B9" s="101">
        <v>401138</v>
      </c>
      <c r="C9" s="68" t="s">
        <v>253</v>
      </c>
      <c r="D9" s="123">
        <v>42006</v>
      </c>
      <c r="E9" s="65" t="s">
        <v>4</v>
      </c>
      <c r="F9" s="67">
        <v>173</v>
      </c>
      <c r="G9" s="116">
        <v>2123</v>
      </c>
      <c r="H9" s="89" t="e">
        <f>IF(AND(ISNUMBER(D9), ISNUMBER(F9)),
    ROUNDDOWN(
        MIN(
            IF(OR(ISBLANK(I9), I9=""),
                EOMONTH(DATE(#REF!, $A$1, 1), 0), I9)
            - MAX(D9, DATE(#REF!, $A$1, 1)) + 1)
        / DAY(EOMONTH(DATE(#REF!, $A$1, 1), 0)) * F9,
        2
    ),
    ""
)</f>
        <v>#REF!</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EINSTELLUNG!L32</f>
        <v>11</v>
      </c>
      <c r="R9" s="164"/>
      <c r="S9" s="19">
        <f>IFERROR(Q9/Q8, 0)</f>
        <v>0</v>
      </c>
    </row>
    <row r="10" spans="1:28" ht="16" customHeight="1">
      <c r="A10" s="61" t="s">
        <v>61</v>
      </c>
      <c r="B10" s="101">
        <v>401197</v>
      </c>
      <c r="C10" s="68" t="s">
        <v>254</v>
      </c>
      <c r="D10" s="123">
        <v>42644</v>
      </c>
      <c r="E10" s="65" t="s">
        <v>3</v>
      </c>
      <c r="F10" s="67">
        <v>173</v>
      </c>
      <c r="G10" s="116">
        <v>2082</v>
      </c>
      <c r="H10" s="89" t="e">
        <f>IF(AND(ISNUMBER(D10), ISNUMBER(F10)),
    ROUNDDOWN(
        MIN(
            IF(OR(ISBLANK(I10), I10=""),
                EOMONTH(DATE(#REF!, $A$1, 1), 0), I10)
            - MAX(D10, DATE(#REF!, $A$1, 1)) + 1)
        / DAY(EOMONTH(DATE(#REF!, $A$1, 1), 0)) * F10,
        2
    ),
    ""
)</f>
        <v>#REF!</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EINSTELLUNG!I32</f>
        <v>11</v>
      </c>
      <c r="R10" s="164"/>
    </row>
    <row r="11" spans="1:28" ht="16" customHeight="1">
      <c r="A11" s="62" t="s">
        <v>63</v>
      </c>
      <c r="B11" s="101">
        <v>401214</v>
      </c>
      <c r="C11" s="68" t="s">
        <v>280</v>
      </c>
      <c r="D11" s="123">
        <v>45636</v>
      </c>
      <c r="E11" s="65" t="s">
        <v>3</v>
      </c>
      <c r="F11" s="67">
        <v>173</v>
      </c>
      <c r="G11" s="116">
        <v>2082</v>
      </c>
      <c r="H11" s="89" t="e">
        <f>IF(AND(ISNUMBER(D11), ISNUMBER(F11)),
    ROUNDDOWN(
        MIN(
            IF(OR(ISBLANK(I11), I11=""),
                EOMONTH(DATE(#REF!, $A$1, 1), 0), I11)
            - MAX(D11, DATE(#REF!, $A$1, 1)) + 1)
        / DAY(EOMONTH(DATE(#REF!, $A$1, 1), 0)) * F11,
        2
    ),
    ""
)</f>
        <v>#REF!</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11</v>
      </c>
      <c r="R11" s="164"/>
    </row>
    <row r="12" spans="1:28" ht="16" customHeight="1">
      <c r="A12" s="61" t="s">
        <v>65</v>
      </c>
      <c r="B12" s="101">
        <v>401276</v>
      </c>
      <c r="C12" s="68" t="s">
        <v>255</v>
      </c>
      <c r="D12" s="123">
        <v>43252</v>
      </c>
      <c r="E12" s="65" t="s">
        <v>3</v>
      </c>
      <c r="F12" s="67">
        <v>173</v>
      </c>
      <c r="G12" s="116">
        <v>2082</v>
      </c>
      <c r="H12" s="89" t="e">
        <f>IF(AND(ISNUMBER(D12), ISNUMBER(F12)),
    ROUNDDOWN(
        MIN(
            IF(OR(ISBLANK(I12), I12=""),
                EOMONTH(DATE(#REF!, $A$1, 1), 0), I12)
            - MAX(D12, DATE(#REF!, $A$1, 1)) + 1)
        / DAY(EOMONTH(DATE(#REF!, $A$1, 1), 0)) * F12,
        2
    ),
    ""
)</f>
        <v>#REF!</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t="e">
        <f>Q8-Q9-Q10-Q11</f>
        <v>#REF!</v>
      </c>
      <c r="R12" s="164"/>
    </row>
    <row r="13" spans="1:28" ht="16" customHeight="1">
      <c r="A13" s="61" t="s">
        <v>67</v>
      </c>
      <c r="B13" s="101">
        <v>401307</v>
      </c>
      <c r="C13" s="68" t="s">
        <v>256</v>
      </c>
      <c r="D13" s="123">
        <v>43571</v>
      </c>
      <c r="E13" s="65" t="s">
        <v>3</v>
      </c>
      <c r="F13" s="67">
        <v>173</v>
      </c>
      <c r="G13" s="116">
        <v>2082</v>
      </c>
      <c r="H13" s="89" t="e">
        <f>IF(AND(ISNUMBER(D13), ISNUMBER(F13)),
    ROUNDDOWN(
        MIN(
            IF(OR(ISBLANK(I13), I13=""),
                EOMONTH(DATE(#REF!, $A$1, 1), 0), I13)
            - MAX(D13, DATE(#REF!, $A$1, 1)) + 1)
        / DAY(EOMONTH(DATE(#REF!, $A$1, 1), 0)) * F13,
        2
    ),
    ""
)</f>
        <v>#REF!</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EINSTELLUNG!L16</f>
        <v>11</v>
      </c>
      <c r="R13" s="164"/>
    </row>
    <row r="14" spans="1:28" ht="16" customHeight="1">
      <c r="A14" s="62" t="s">
        <v>69</v>
      </c>
      <c r="B14" s="101">
        <v>401308</v>
      </c>
      <c r="C14" s="68" t="s">
        <v>257</v>
      </c>
      <c r="D14" s="123">
        <v>43579</v>
      </c>
      <c r="E14" s="65" t="s">
        <v>3</v>
      </c>
      <c r="F14" s="67">
        <v>173</v>
      </c>
      <c r="G14" s="116">
        <v>2082</v>
      </c>
      <c r="H14" s="89" t="e">
        <f>IF(AND(ISNUMBER(D14), ISNUMBER(F14)),
    ROUNDDOWN(
        MIN(
            IF(OR(ISBLANK(I14), I14=""),
                EOMONTH(DATE(#REF!, $A$1, 1), 0), I14)
            - MAX(D14, DATE(#REF!, $A$1, 1)) + 1)
        / DAY(EOMONTH(DATE(#REF!, $A$1, 1), 0)) * F14,
        2
    ),
    ""
)</f>
        <v>#REF!</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t="e">
        <f>Q12-Q13</f>
        <v>#REF!</v>
      </c>
      <c r="R14" s="164"/>
    </row>
    <row r="15" spans="1:28" ht="16" customHeight="1">
      <c r="A15" s="61" t="s">
        <v>71</v>
      </c>
      <c r="B15" s="101">
        <v>401389</v>
      </c>
      <c r="C15" s="68" t="s">
        <v>259</v>
      </c>
      <c r="D15" s="123">
        <v>44384</v>
      </c>
      <c r="E15" s="65" t="s">
        <v>11</v>
      </c>
      <c r="F15" s="67">
        <v>173</v>
      </c>
      <c r="G15" s="116">
        <v>2300</v>
      </c>
      <c r="H15" s="89" t="e">
        <f>IF(AND(ISNUMBER(D15), ISNUMBER(F15)),
    ROUNDDOWN(
        MIN(
            IF(OR(ISBLANK(I15), I15=""),
                EOMONTH(DATE(#REF!, $A$1, 1), 0), I15)
            - MAX(D15, DATE(#REF!, $A$1, 1)) + 1)
        / DAY(EOMONTH(DATE(#REF!, $A$1, 1), 0)) * F15,
        2
    ),
    ""
)</f>
        <v>#REF!</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e">
        <f>IF(Q14&lt;0, "Schlecht! Zu wenig Stunden für Dienstplan.", IF(Q14&gt;0, "Du hast mehr als genug Stunden für Dienstplan.", ""))</f>
        <v>#REF!</v>
      </c>
      <c r="P15" s="287"/>
      <c r="Q15" s="287"/>
      <c r="R15" s="287"/>
      <c r="S15" s="56"/>
      <c r="T15" s="56"/>
      <c r="U15" s="56"/>
    </row>
    <row r="16" spans="1:28" ht="16" customHeight="1">
      <c r="A16" s="61" t="s">
        <v>73</v>
      </c>
      <c r="B16" s="101">
        <v>401394</v>
      </c>
      <c r="C16" s="68" t="s">
        <v>258</v>
      </c>
      <c r="D16" s="123">
        <v>44379</v>
      </c>
      <c r="E16" s="65" t="s">
        <v>2</v>
      </c>
      <c r="F16" s="67">
        <v>173</v>
      </c>
      <c r="G16" s="116">
        <v>2021</v>
      </c>
      <c r="H16" s="89" t="e">
        <f>IF(AND(ISNUMBER(D16), ISNUMBER(F16)),
    ROUNDDOWN(
        MIN(
            IF(OR(ISBLANK(I16), I16=""),
                EOMONTH(DATE(#REF!, $A$1, 1), 0), I16)
            - MAX(D16, DATE(#REF!, $A$1, 1)) + 1)
        / DAY(EOMONTH(DATE(#REF!, $A$1, 1), 0)) * F16,
        2
    ),
    ""
)</f>
        <v>#REF!</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401432</v>
      </c>
      <c r="C17" s="68" t="s">
        <v>260</v>
      </c>
      <c r="D17" s="123">
        <v>44441</v>
      </c>
      <c r="E17" s="65" t="s">
        <v>2</v>
      </c>
      <c r="F17" s="67">
        <v>173</v>
      </c>
      <c r="G17" s="116">
        <v>2021</v>
      </c>
      <c r="H17" s="89" t="e">
        <f>IF(AND(ISNUMBER(D17), ISNUMBER(F17)),
    ROUNDDOWN(
        MIN(
            IF(OR(ISBLANK(I17), I17=""),
                EOMONTH(DATE(#REF!, $A$1, 1), 0), I17)
            - MAX(D17, DATE(#REF!, $A$1, 1)) + 1)
        / DAY(EOMONTH(DATE(#REF!, $A$1, 1), 0)) * F17,
        2
    ),
    ""
)</f>
        <v>#REF!</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401476</v>
      </c>
      <c r="C18" s="68" t="s">
        <v>262</v>
      </c>
      <c r="D18" s="123">
        <v>44504</v>
      </c>
      <c r="E18" s="65" t="s">
        <v>2</v>
      </c>
      <c r="F18" s="67">
        <v>173</v>
      </c>
      <c r="G18" s="116">
        <v>2021</v>
      </c>
      <c r="H18" s="89" t="e">
        <f>IF(AND(ISNUMBER(D18), ISNUMBER(F18)),
    ROUNDDOWN(
        MIN(
            IF(OR(ISBLANK(I18), I18=""),
                EOMONTH(DATE(#REF!, $A$1, 1), 0), I18)
            - MAX(D18, DATE(#REF!, $A$1, 1)) + 1)
        / DAY(EOMONTH(DATE(#REF!, $A$1, 1), 0)) * F18,
        2
    ),
    ""
)</f>
        <v>#REF!</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401479</v>
      </c>
      <c r="C19" s="68" t="s">
        <v>263</v>
      </c>
      <c r="D19" s="123">
        <v>44511</v>
      </c>
      <c r="E19" s="65" t="s">
        <v>6</v>
      </c>
      <c r="F19" s="67">
        <v>173</v>
      </c>
      <c r="G19" s="116">
        <v>2160</v>
      </c>
      <c r="H19" s="89" t="e">
        <f>IF(AND(ISNUMBER(D19), ISNUMBER(F19)),
    ROUNDDOWN(
        MIN(
            IF(OR(ISBLANK(I19), I19=""),
                EOMONTH(DATE(#REF!, $A$1, 1), 0), I19)
            - MAX(D19, DATE(#REF!, $A$1, 1)) + 1)
        / DAY(EOMONTH(DATE(#REF!, $A$1, 1), 0)) * F19,
        2
    ),
    ""
)</f>
        <v>#REF!</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2" t="s">
        <v>78</v>
      </c>
      <c r="B20" s="101">
        <v>401481</v>
      </c>
      <c r="C20" s="68" t="s">
        <v>264</v>
      </c>
      <c r="D20" s="123">
        <v>44531</v>
      </c>
      <c r="E20" s="65" t="s">
        <v>2</v>
      </c>
      <c r="F20" s="67">
        <v>173</v>
      </c>
      <c r="G20" s="116">
        <v>2021</v>
      </c>
      <c r="H20" s="89" t="e">
        <f>IF(AND(ISNUMBER(D20), ISNUMBER(F20)),
    ROUNDDOWN(
        MIN(
            IF(OR(ISBLANK(I20), I20=""),
                EOMONTH(DATE(#REF!, $A$1, 1), 0), I20)
            - MAX(D20, DATE(#REF!, $A$1, 1)) + 1)
        / DAY(EOMONTH(DATE(#REF!, $A$1, 1), 0)) * F20,
        2
    ),
    ""
)</f>
        <v>#REF!</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1" t="s">
        <v>80</v>
      </c>
      <c r="B21" s="101">
        <v>401564</v>
      </c>
      <c r="C21" s="68" t="s">
        <v>265</v>
      </c>
      <c r="D21" s="123">
        <v>44824</v>
      </c>
      <c r="E21" s="65" t="s">
        <v>2</v>
      </c>
      <c r="F21" s="67">
        <v>173</v>
      </c>
      <c r="G21" s="116">
        <v>2021</v>
      </c>
      <c r="H21" s="89" t="e">
        <f>IF(AND(ISNUMBER(D21), ISNUMBER(F21)),
    ROUNDDOWN(
        MIN(
            IF(OR(ISBLANK(I21), I21=""),
                EOMONTH(DATE(#REF!, $A$1, 1), 0), I21)
            - MAX(D21, DATE(#REF!, $A$1, 1)) + 1)
        / DAY(EOMONTH(DATE(#REF!, $A$1, 1), 0)) * F21,
        2
    ),
    ""
)</f>
        <v>#REF!</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401583</v>
      </c>
      <c r="C22" s="68" t="s">
        <v>267</v>
      </c>
      <c r="D22" s="123">
        <v>44900</v>
      </c>
      <c r="E22" s="65" t="s">
        <v>10</v>
      </c>
      <c r="F22" s="67">
        <v>173</v>
      </c>
      <c r="G22" s="116">
        <v>2300</v>
      </c>
      <c r="H22" s="89" t="e">
        <f>IF(AND(ISNUMBER(D22), ISNUMBER(F22)),
    ROUNDDOWN(
        MIN(
            IF(OR(ISBLANK(I22), I22=""),
                EOMONTH(DATE(#REF!, $A$1, 1), 0), I22)
            - MAX(D22, DATE(#REF!, $A$1, 1)) + 1)
        / DAY(EOMONTH(DATE(#REF!, $A$1, 1), 0)) * F22,
        2
    ),
    ""
)</f>
        <v>#REF!</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2" t="s">
        <v>82</v>
      </c>
      <c r="B23" s="101">
        <v>401589</v>
      </c>
      <c r="C23" s="68" t="s">
        <v>268</v>
      </c>
      <c r="D23" s="123">
        <v>44926</v>
      </c>
      <c r="E23" s="65" t="s">
        <v>10</v>
      </c>
      <c r="F23" s="67">
        <v>173</v>
      </c>
      <c r="G23" s="116">
        <v>2300</v>
      </c>
      <c r="H23" s="89" t="e">
        <f>IF(AND(ISNUMBER(D23), ISNUMBER(F23)),
    ROUNDDOWN(
        MIN(
            IF(OR(ISBLANK(I23), I23=""),
                EOMONTH(DATE(#REF!, $A$1, 1), 0), I23)
            - MAX(D23, DATE(#REF!, $A$1, 1)) + 1)
        / DAY(EOMONTH(DATE(#REF!, $A$1, 1), 0)) * F23,
        2
    ),
    ""
)</f>
        <v>#REF!</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401602</v>
      </c>
      <c r="C24" s="68" t="s">
        <v>269</v>
      </c>
      <c r="D24" s="123">
        <v>45975</v>
      </c>
      <c r="E24" s="65" t="s">
        <v>2</v>
      </c>
      <c r="F24" s="67">
        <v>173</v>
      </c>
      <c r="G24" s="116">
        <v>2021</v>
      </c>
      <c r="H24" s="89" t="e">
        <f>IF(AND(ISNUMBER(D24), ISNUMBER(F24)),
    ROUNDDOWN(
        MIN(
            IF(OR(ISBLANK(I24), I24=""),
                EOMONTH(DATE(#REF!, $A$1, 1), 0), I24)
            - MAX(D24, DATE(#REF!, $A$1, 1)) + 1)
        / DAY(EOMONTH(DATE(#REF!, $A$1, 1), 0)) * F24,
        2
    ),
    ""
)</f>
        <v>#REF!</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1" t="s">
        <v>84</v>
      </c>
      <c r="B25" s="101">
        <v>401605</v>
      </c>
      <c r="C25" s="68" t="s">
        <v>270</v>
      </c>
      <c r="D25" s="123">
        <v>44986</v>
      </c>
      <c r="E25" s="65" t="s">
        <v>2</v>
      </c>
      <c r="F25" s="67">
        <v>173</v>
      </c>
      <c r="G25" s="116">
        <v>2021</v>
      </c>
      <c r="H25" s="89" t="e">
        <f>IF(AND(ISNUMBER(D25), ISNUMBER(F25)),
    ROUNDDOWN(
        MIN(
            IF(OR(ISBLANK(I25), I25=""),
                EOMONTH(DATE(#REF!, $A$1, 1), 0), I25)
            - MAX(D25, DATE(#REF!, $A$1, 1)) + 1)
        / DAY(EOMONTH(DATE(#REF!, $A$1, 1), 0)) * F25,
        2
    ),
    ""
)</f>
        <v>#REF!</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2" t="s">
        <v>85</v>
      </c>
      <c r="B26" s="101">
        <v>401626</v>
      </c>
      <c r="C26" s="68" t="s">
        <v>271</v>
      </c>
      <c r="D26" s="123">
        <v>45063</v>
      </c>
      <c r="E26" s="65" t="s">
        <v>2</v>
      </c>
      <c r="F26" s="67">
        <v>173</v>
      </c>
      <c r="G26" s="116">
        <v>2021</v>
      </c>
      <c r="H26" s="89" t="e">
        <f>IF(AND(ISNUMBER(D26), ISNUMBER(F26)),
    ROUNDDOWN(
        MIN(
            IF(OR(ISBLANK(I26), I26=""),
                EOMONTH(DATE(#REF!, $A$1, 1), 0), I26)
            - MAX(D26, DATE(#REF!, $A$1, 1)) + 1)
        / DAY(EOMONTH(DATE(#REF!, $A$1, 1), 0)) * F26,
        2
    ),
    ""
)</f>
        <v>#REF!</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401633</v>
      </c>
      <c r="C27" s="68" t="s">
        <v>272</v>
      </c>
      <c r="D27" s="123">
        <v>45089</v>
      </c>
      <c r="E27" s="65" t="s">
        <v>10</v>
      </c>
      <c r="F27" s="67">
        <v>173</v>
      </c>
      <c r="G27" s="116">
        <v>2300</v>
      </c>
      <c r="H27" s="89" t="e">
        <f>IF(AND(ISNUMBER(D27), ISNUMBER(F27)),
    ROUNDDOWN(
        MIN(
            IF(OR(ISBLANK(I27), I27=""),
                EOMONTH(DATE(#REF!, $A$1, 1), 0), I27)
            - MAX(D27, DATE(#REF!, $A$1, 1)) + 1)
        / DAY(EOMONTH(DATE(#REF!, $A$1, 1), 0)) * F27,
        2
    ),
    ""
)</f>
        <v>#REF!</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401647</v>
      </c>
      <c r="C28" s="68" t="s">
        <v>273</v>
      </c>
      <c r="D28" s="123">
        <v>45182</v>
      </c>
      <c r="E28" s="65" t="s">
        <v>2</v>
      </c>
      <c r="F28" s="67">
        <v>173</v>
      </c>
      <c r="G28" s="116">
        <v>2021</v>
      </c>
      <c r="H28" s="89" t="e">
        <f>IF(AND(ISNUMBER(D28), ISNUMBER(F28)),
    ROUNDDOWN(
        MIN(
            IF(OR(ISBLANK(I28), I28=""),
                EOMONTH(DATE(#REF!, $A$1, 1), 0), I28)
            - MAX(D28, DATE(#REF!, $A$1, 1)) + 1)
        / DAY(EOMONTH(DATE(#REF!, $A$1, 1), 0)) * F28,
        2
    ),
    ""
)</f>
        <v>#REF!</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401661</v>
      </c>
      <c r="C29" s="68" t="s">
        <v>274</v>
      </c>
      <c r="D29" s="123">
        <v>45261</v>
      </c>
      <c r="E29" s="65" t="s">
        <v>2</v>
      </c>
      <c r="F29" s="67">
        <v>173</v>
      </c>
      <c r="G29" s="116">
        <v>2021</v>
      </c>
      <c r="H29" s="89" t="e">
        <f>IF(AND(ISNUMBER(D29), ISNUMBER(F29)),
    ROUNDDOWN(
        MIN(
            IF(OR(ISBLANK(I29), I29=""),
                EOMONTH(DATE(#REF!, $A$1, 1), 0), I29)
            - MAX(D29, DATE(#REF!, $A$1, 1)) + 1)
        / DAY(EOMONTH(DATE(#REF!, $A$1, 1), 0)) * F29,
        2
    ),
    ""
)</f>
        <v>#REF!</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EINSTELLUNG!O16</f>
        <v>11</v>
      </c>
      <c r="R29" s="202"/>
    </row>
    <row r="30" spans="1:29" ht="16" customHeight="1">
      <c r="A30" s="61" t="s">
        <v>91</v>
      </c>
      <c r="B30" s="101">
        <v>401670</v>
      </c>
      <c r="C30" s="68" t="s">
        <v>275</v>
      </c>
      <c r="D30" s="123">
        <v>45358</v>
      </c>
      <c r="E30" s="65" t="s">
        <v>2</v>
      </c>
      <c r="F30" s="67">
        <v>173</v>
      </c>
      <c r="G30" s="116">
        <v>2021</v>
      </c>
      <c r="H30" s="89" t="e">
        <f>IF(AND(ISNUMBER(D30), ISNUMBER(F30)),
    ROUNDDOWN(
        MIN(
            IF(OR(ISBLANK(I30), I30=""),
                EOMONTH(DATE(#REF!, $A$1, 1), 0), I30)
            - MAX(D30, DATE(#REF!, $A$1, 1)) + 1)
        / DAY(EOMONTH(DATE(#REF!, $A$1, 1), 0)) * F30,
        2
    ),
    ""
)</f>
        <v>#REF!</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401678</v>
      </c>
      <c r="C31" s="70" t="s">
        <v>276</v>
      </c>
      <c r="D31" s="123">
        <v>45414</v>
      </c>
      <c r="E31" s="65" t="s">
        <v>2</v>
      </c>
      <c r="F31" s="67">
        <v>173</v>
      </c>
      <c r="G31" s="116">
        <v>2021</v>
      </c>
      <c r="H31" s="89" t="e">
        <f>IF(AND(ISNUMBER(D31), ISNUMBER(F31)),
    ROUNDDOWN(
        MIN(
            IF(OR(ISBLANK(I31), I31=""),
                EOMONTH(DATE(#REF!, $A$1, 1), 0), I31)
            - MAX(D31, DATE(#REF!, $A$1, 1)) + 1)
        / DAY(EOMONTH(DATE(#REF!, $A$1, 1), 0)) * F31,
        2
    ),
    ""
)</f>
        <v>#REF!</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2" t="s">
        <v>94</v>
      </c>
      <c r="B32" s="101">
        <v>401690</v>
      </c>
      <c r="C32" s="68" t="s">
        <v>278</v>
      </c>
      <c r="D32" s="123">
        <v>45536</v>
      </c>
      <c r="E32" s="65" t="s">
        <v>2</v>
      </c>
      <c r="F32" s="67">
        <v>173</v>
      </c>
      <c r="G32" s="116">
        <v>2021</v>
      </c>
      <c r="H32" s="89" t="e">
        <f>IF(AND(ISNUMBER(D32), ISNUMBER(F32)),
    ROUNDDOWN(
        MIN(
            IF(OR(ISBLANK(I32), I32=""),
                EOMONTH(DATE(#REF!, $A$1, 1), 0), I32)
            - MAX(D32, DATE(#REF!, $A$1, 1)) + 1)
        / DAY(EOMONTH(DATE(#REF!, $A$1, 1), 0)) * F32,
        2
    ),
    ""
)</f>
        <v>#REF!</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1" t="s">
        <v>95</v>
      </c>
      <c r="B33" s="101">
        <v>401703</v>
      </c>
      <c r="C33" s="68" t="s">
        <v>279</v>
      </c>
      <c r="D33" s="123">
        <v>45616</v>
      </c>
      <c r="E33" s="65" t="s">
        <v>2</v>
      </c>
      <c r="F33" s="67">
        <v>173</v>
      </c>
      <c r="G33" s="116">
        <v>2021</v>
      </c>
      <c r="H33" s="89" t="e">
        <f>IF(AND(ISNUMBER(D33), ISNUMBER(F33)),
    ROUNDDOWN(
        MIN(
            IF(OR(ISBLANK(I33), I33=""),
                EOMONTH(DATE(#REF!, $A$1, 1), 0), I33)
            - MAX(D33, DATE(#REF!, $A$1, 1)) + 1)
        / DAY(EOMONTH(DATE(#REF!, $A$1, 1), 0)) * F33,
        2
    ),
    ""
)</f>
        <v>#REF!</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401715</v>
      </c>
      <c r="C34" s="68" t="s">
        <v>281</v>
      </c>
      <c r="D34" s="123">
        <v>45755</v>
      </c>
      <c r="E34" s="65" t="s">
        <v>2</v>
      </c>
      <c r="F34" s="67">
        <v>173</v>
      </c>
      <c r="G34" s="116">
        <v>2021</v>
      </c>
      <c r="H34" s="89" t="e">
        <f>IF(AND(ISNUMBER(D34), ISNUMBER(F34)),
    ROUNDDOWN(
        MIN(
            IF(OR(ISBLANK(I34), I34=""),
                EOMONTH(DATE(#REF!, $A$1, 1), 0), I34)
            - MAX(D34, DATE(#REF!, $A$1, 1)) + 1)
        / DAY(EOMONTH(DATE(#REF!, $A$1, 1), 0)) * F34,
        2
    ),
    ""
)</f>
        <v>#REF!</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2" t="s">
        <v>100</v>
      </c>
      <c r="B35" s="101">
        <v>401716</v>
      </c>
      <c r="C35" s="68" t="s">
        <v>282</v>
      </c>
      <c r="D35" s="123">
        <v>45800</v>
      </c>
      <c r="E35" s="65" t="s">
        <v>2</v>
      </c>
      <c r="F35" s="67">
        <v>173</v>
      </c>
      <c r="G35" s="116">
        <v>2021</v>
      </c>
      <c r="H35" s="89" t="e">
        <f>IF(AND(ISNUMBER(D35), ISNUMBER(F35)),
    ROUNDDOWN(
        MIN(
            IF(OR(ISBLANK(I35), I35=""),
                EOMONTH(DATE(#REF!, $A$1, 1), 0), I35)
            - MAX(D35, DATE(#REF!, $A$1, 1)) + 1)
        / DAY(EOMONTH(DATE(#REF!, $A$1, 1), 0)) * F35,
        2
    ),
    ""
)</f>
        <v>#REF!</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EINSTELLUNG!C16</f>
        <v>11</v>
      </c>
      <c r="R35" s="174"/>
      <c r="S35" s="174">
        <f>EINSTELLUNG!C32</f>
        <v>11</v>
      </c>
      <c r="T35" s="174"/>
      <c r="U35" s="175">
        <f>S35-Q35</f>
        <v>0</v>
      </c>
      <c r="V35" s="175"/>
    </row>
    <row r="36" spans="1:24" ht="16" customHeight="1">
      <c r="A36" s="61" t="s">
        <v>102</v>
      </c>
      <c r="B36" s="101">
        <v>401717</v>
      </c>
      <c r="C36" s="68" t="s">
        <v>283</v>
      </c>
      <c r="D36" s="123">
        <v>45814</v>
      </c>
      <c r="E36" s="65" t="s">
        <v>2</v>
      </c>
      <c r="F36" s="67">
        <v>173</v>
      </c>
      <c r="G36" s="116">
        <v>2021</v>
      </c>
      <c r="H36" s="89" t="e">
        <f>IF(AND(ISNUMBER(D36), ISNUMBER(F36)),
    ROUNDDOWN(
        MIN(
            IF(OR(ISBLANK(I36), I36=""),
                EOMONTH(DATE(#REF!, $A$1, 1), 0), I36)
            - MAX(D36, DATE(#REF!, $A$1, 1)) + 1)
        / DAY(EOMONTH(DATE(#REF!, $A$1, 1), 0)) * F36,
        2
    ),
    ""
)</f>
        <v>#REF!</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EINSTELLUNG!D16</f>
        <v>11</v>
      </c>
      <c r="R36" s="174"/>
      <c r="S36" s="178" cm="1">
        <f t="array" ref="S36">SumMergedCells(Q17:R29)</f>
        <v>0</v>
      </c>
      <c r="T36" s="180"/>
      <c r="U36" s="175">
        <f t="shared" ref="U36:U41" si="0">S36-Q36</f>
        <v>-11</v>
      </c>
      <c r="V36" s="175"/>
    </row>
    <row r="37" spans="1:24" ht="16" customHeight="1">
      <c r="A37" s="61" t="s">
        <v>104</v>
      </c>
      <c r="B37" s="101">
        <v>401722</v>
      </c>
      <c r="C37" s="68" t="s">
        <v>284</v>
      </c>
      <c r="D37" s="123">
        <v>45848</v>
      </c>
      <c r="E37" s="65" t="s">
        <v>2</v>
      </c>
      <c r="F37" s="67">
        <v>86.5</v>
      </c>
      <c r="G37" s="116">
        <v>1010.5</v>
      </c>
      <c r="H37" s="89" t="e">
        <f>IF(AND(ISNUMBER(D37), ISNUMBER(F37)),
    ROUNDDOWN(
        MIN(
            IF(OR(ISBLANK(I37), I37=""),
                EOMONTH(DATE(#REF!, $A$1, 1), 0), I37)
            - MAX(D37, DATE(#REF!, $A$1, 1)) + 1)
        / DAY(EOMONTH(DATE(#REF!, $A$1, 1), 0)) * F37,
        2
    ),
    ""
)</f>
        <v>#REF!</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0"/>
        <v>-1</v>
      </c>
      <c r="V37" s="182"/>
    </row>
    <row r="38" spans="1:24" ht="16" customHeight="1">
      <c r="A38" s="62" t="s">
        <v>106</v>
      </c>
      <c r="B38" s="101">
        <v>401723</v>
      </c>
      <c r="C38" s="68" t="s">
        <v>285</v>
      </c>
      <c r="D38" s="123">
        <v>45852</v>
      </c>
      <c r="E38" s="65" t="s">
        <v>2</v>
      </c>
      <c r="F38" s="67">
        <v>86.5</v>
      </c>
      <c r="G38" s="116">
        <v>1010.5</v>
      </c>
      <c r="H38" s="89" t="e">
        <f>IF(AND(ISNUMBER(D38), ISNUMBER(F38)),
    ROUNDDOWN(
        MIN(
            IF(OR(ISBLANK(I39), I39=""),
                EOMONTH(DATE(#REF!, $A$1, 1), 0), I39)
            - MAX(D38, DATE(#REF!, $A$1, 1)) + 1)
        / DAY(EOMONTH(DATE(#REF!, $A$1, 1), 0)) * F38,
        2
    ),
    ""
)</f>
        <v>#REF!</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EINSTELLUNG!F16</f>
        <v>11</v>
      </c>
      <c r="R38" s="176"/>
      <c r="S38" s="176">
        <f>EINSTELLUNG!F32</f>
        <v>11</v>
      </c>
      <c r="T38" s="176"/>
      <c r="U38" s="177">
        <f t="shared" si="0"/>
        <v>0</v>
      </c>
      <c r="V38" s="177"/>
    </row>
    <row r="39" spans="1:24" ht="16" customHeight="1">
      <c r="A39" s="61" t="s">
        <v>108</v>
      </c>
      <c r="B39" s="101">
        <v>401726</v>
      </c>
      <c r="C39" s="68" t="s">
        <v>286</v>
      </c>
      <c r="D39" s="123">
        <v>45870</v>
      </c>
      <c r="E39" s="65" t="s">
        <v>2</v>
      </c>
      <c r="F39" s="67">
        <v>86.5</v>
      </c>
      <c r="G39" s="116">
        <v>1010.5</v>
      </c>
      <c r="H39" s="89" t="e">
        <f>IF(AND(ISNUMBER(D39), ISNUMBER(F39)),
    ROUNDDOWN(
        MIN(
            IF(OR(ISBLANK(I40), I40=""),
                EOMONTH(DATE(#REF!, $A$1, 1), 0), I40)
            - MAX(D39, DATE(#REF!, $A$1, 1)) + 1)
        / DAY(EOMONTH(DATE(#REF!, $A$1, 1), 0)) * F39,
        2
    ),
    ""
)</f>
        <v>#REF!</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401730</v>
      </c>
      <c r="C40" s="68" t="s">
        <v>288</v>
      </c>
      <c r="D40" s="123">
        <v>45895</v>
      </c>
      <c r="E40" s="65" t="s">
        <v>2</v>
      </c>
      <c r="F40" s="67">
        <v>86.5</v>
      </c>
      <c r="G40" s="116">
        <v>1010.5</v>
      </c>
      <c r="H40" s="89" t="e">
        <f>IF(AND(ISNUMBER(D40), ISNUMBER(F40)),
    ROUNDDOWN(
        MIN(
            IF(OR(ISBLANK(I40), I40=""),
                EOMONTH(DATE(#REF!, $A$1, 1), 0), I40)
            - MAX(D40, DATE(#REF!, $A$1, 1)) + 1)
        / DAY(EOMONTH(DATE(#REF!, $A$1, 1), 0)) * F40,
        2
    ),
    ""
)</f>
        <v>#REF!</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IF(Q12=0, 0, Q35/Q12)</f>
        <v>#REF!</v>
      </c>
      <c r="R40" s="174"/>
      <c r="S40" s="174" t="e">
        <f>IF(Q12=0, 0, S35/Q12)</f>
        <v>#REF!</v>
      </c>
      <c r="T40" s="174"/>
      <c r="U40" s="175" t="e">
        <f t="shared" si="0"/>
        <v>#REF!</v>
      </c>
      <c r="V40" s="175"/>
    </row>
    <row r="41" spans="1:24" ht="16" customHeight="1">
      <c r="A41" s="62" t="s">
        <v>112</v>
      </c>
      <c r="B41" s="101">
        <v>401731</v>
      </c>
      <c r="C41" s="68" t="s">
        <v>287</v>
      </c>
      <c r="D41" s="123">
        <v>45899</v>
      </c>
      <c r="E41" s="65" t="s">
        <v>2</v>
      </c>
      <c r="F41" s="67">
        <v>86.5</v>
      </c>
      <c r="G41" s="116">
        <v>1010.5</v>
      </c>
      <c r="H41" s="89" t="e">
        <f>IF(AND(ISNUMBER(D41), ISNUMBER(F41)),
    ROUNDDOWN(
        MIN(
            IF(OR(ISBLANK(I41), I41=""),
                EOMONTH(DATE(#REF!, $A$1, 1), 0), I41)
            - MAX(D41, DATE(#REF!, $A$1, 1)) + 1)
        / DAY(EOMONTH(DATE(#REF!, $A$1, 1), 0)) * F41,
        2
    ),
    ""
)</f>
        <v>#REF!</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IF(Q12=0, 0, Q38/Q12)</f>
        <v>#REF!</v>
      </c>
      <c r="R41" s="176"/>
      <c r="S41" s="176" t="e">
        <f>IF(Q12=0, 0, S38/Q12)</f>
        <v>#REF!</v>
      </c>
      <c r="T41" s="176"/>
      <c r="U41" s="177" t="e">
        <f t="shared" si="0"/>
        <v>#REF!</v>
      </c>
      <c r="V41" s="177"/>
    </row>
    <row r="42" spans="1:24" ht="16" customHeight="1">
      <c r="A42" s="61" t="s">
        <v>114</v>
      </c>
      <c r="B42" s="101">
        <v>401734</v>
      </c>
      <c r="C42" s="68" t="s">
        <v>289</v>
      </c>
      <c r="D42" s="123">
        <v>45904</v>
      </c>
      <c r="E42" s="65" t="s">
        <v>2</v>
      </c>
      <c r="F42" s="67">
        <v>86.5</v>
      </c>
      <c r="G42" s="116">
        <v>1010.5</v>
      </c>
      <c r="H42" s="89" t="e">
        <f>IF(AND(ISNUMBER(D42), ISNUMBER(F42)),
    ROUNDDOWN(
        MIN(
            IF(OR(ISBLANK(I42), I42=""),
                EOMONTH(DATE(#REF!, $A$1, 1), 0), I42)
            - MAX(D42, DATE(#REF!, $A$1, 1)) + 1)
        / DAY(EOMONTH(DATE(#REF!, $A$1, 1), 0)) * F42,
        2
    ),
    ""
)</f>
        <v>#REF!</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401736</v>
      </c>
      <c r="C43" s="70" t="s">
        <v>290</v>
      </c>
      <c r="D43" s="123">
        <v>45906</v>
      </c>
      <c r="E43" s="65" t="s">
        <v>2</v>
      </c>
      <c r="F43" s="67">
        <v>86.5</v>
      </c>
      <c r="G43" s="116">
        <v>1010.5</v>
      </c>
      <c r="H43" s="89" t="e">
        <f>IF(AND(ISNUMBER(D43), ISNUMBER(F43)),
    ROUNDDOWN(
        MIN(
            IF(OR(ISBLANK(I43), I43=""),
                EOMONTH(DATE(#REF!, $A$1, 1), 0), I43)
            - MAX(D43, DATE(#REF!, $A$1, 1)) + 1)
        / DAY(EOMONTH(DATE(#REF!, $A$1, 1), 0)) * F43,
        2
    ),
    ""
)</f>
        <v>#REF!</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2" t="s">
        <v>117</v>
      </c>
      <c r="B44" s="101">
        <v>401737</v>
      </c>
      <c r="C44" s="68" t="s">
        <v>291</v>
      </c>
      <c r="D44" s="123">
        <v>45906</v>
      </c>
      <c r="E44" s="65" t="s">
        <v>2</v>
      </c>
      <c r="F44" s="67">
        <v>86.5</v>
      </c>
      <c r="G44" s="116">
        <v>1010.5</v>
      </c>
      <c r="H44" s="89" t="e">
        <f>IF(AND(ISNUMBER(D44), ISNUMBER(F44)),
    ROUNDDOWN(
        MIN(
            IF(OR(ISBLANK(I44), I44=""),
                EOMONTH(DATE(#REF!, $A$1, 1), 0), I44)
            - MAX(D44, DATE(#REF!, $A$1, 1)) + 1)
        / DAY(EOMONTH(DATE(#REF!, $A$1, 1), 0)) * F44,
        2
    ),
    ""
)</f>
        <v>#REF!</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1" t="s">
        <v>119</v>
      </c>
      <c r="B45" s="101">
        <v>401738</v>
      </c>
      <c r="C45" s="68" t="s">
        <v>292</v>
      </c>
      <c r="D45" s="123">
        <v>45909</v>
      </c>
      <c r="E45" s="65" t="s">
        <v>2</v>
      </c>
      <c r="F45" s="67">
        <v>86.5</v>
      </c>
      <c r="G45" s="116">
        <v>1010.5</v>
      </c>
      <c r="H45" s="89" t="e">
        <f>IF(AND(ISNUMBER(D45), ISNUMBER(F45)),
    ROUNDDOWN(
        MIN(
            IF(OR(ISBLANK(I45), I45=""),
                EOMONTH(DATE(#REF!, $A$1, 1), 0), I45)
            - MAX(D45, DATE(#REF!, $A$1, 1)) + 1)
        / DAY(EOMONTH(DATE(#REF!, $A$1, 1), 0)) * F45,
        2
    ),
    ""
)</f>
        <v>#REF!</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401745</v>
      </c>
      <c r="C46" s="68" t="s">
        <v>296</v>
      </c>
      <c r="D46" s="123">
        <v>45934</v>
      </c>
      <c r="E46" s="65" t="s">
        <v>2</v>
      </c>
      <c r="F46" s="67">
        <v>86.5</v>
      </c>
      <c r="G46" s="116">
        <v>1010.5</v>
      </c>
      <c r="H46" s="89" t="e">
        <f>IF(AND(ISNUMBER(D46), ISNUMBER(F46)),
    ROUNDDOWN(
        MIN(
            IF(OR(ISBLANK(I46), I46=""),
                EOMONTH(DATE(#REF!, $A$1, 1), 0), I46)
            - MAX(D46, DATE(#REF!, $A$1, 1)) + 1)
        / DAY(EOMONTH(DATE(#REF!, $A$1, 1), 0)) * F46,
        2
    ),
    ""
)</f>
        <v>#REF!</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2" t="s">
        <v>121</v>
      </c>
      <c r="B47" s="101">
        <v>401748</v>
      </c>
      <c r="C47" s="68" t="s">
        <v>294</v>
      </c>
      <c r="D47" s="123">
        <v>45941</v>
      </c>
      <c r="E47" s="65" t="s">
        <v>2</v>
      </c>
      <c r="F47" s="67">
        <v>86.5</v>
      </c>
      <c r="G47" s="116">
        <v>1010.5</v>
      </c>
      <c r="H47" s="89" t="e">
        <f>IF(AND(ISNUMBER(D47), ISNUMBER(F47)),
    ROUNDDOWN(
        MIN(
            IF(OR(ISBLANK(I47), I47=""),
                EOMONTH(DATE(#REF!, $A$1, 1), 0), I47)
            - MAX(D47, DATE(#REF!, $A$1, 1)) + 1)
        / DAY(EOMONTH(DATE(#REF!, $A$1, 1), 0)) * F47,
        2
    ),
    ""
)</f>
        <v>#REF!</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401751</v>
      </c>
      <c r="C48" s="68" t="s">
        <v>297</v>
      </c>
      <c r="D48" s="123">
        <v>45961</v>
      </c>
      <c r="E48" s="65" t="s">
        <v>2</v>
      </c>
      <c r="F48" s="67">
        <v>86.5</v>
      </c>
      <c r="G48" s="116">
        <v>1010.5</v>
      </c>
      <c r="H48" s="89" t="e">
        <f>IF(AND(ISNUMBER(D48), ISNUMBER(F48)),
    ROUNDDOWN(
        MIN(
            IF(OR(ISBLANK(I48), I48=""),
                EOMONTH(DATE(#REF!, $A$1, 1), 0), I48)
            - MAX(D48, DATE(#REF!, $A$1, 1)) + 1)
        / DAY(EOMONTH(DATE(#REF!, $A$1, 1), 0)) * F48,
        2
    ),
    ""
)</f>
        <v>#REF!</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1" t="s">
        <v>123</v>
      </c>
      <c r="B49" s="101">
        <v>401752</v>
      </c>
      <c r="C49" s="68" t="s">
        <v>298</v>
      </c>
      <c r="D49" s="123">
        <v>45986</v>
      </c>
      <c r="E49" s="65" t="s">
        <v>2</v>
      </c>
      <c r="F49" s="67">
        <v>86.5</v>
      </c>
      <c r="G49" s="116">
        <v>1010.5</v>
      </c>
      <c r="H49" s="89" t="e">
        <f>IF(AND(ISNUMBER(D49), ISNUMBER(F49)),
    ROUNDDOWN(
        MIN(
            IF(OR(ISBLANK(I49), I49=""),
                EOMONTH(DATE(#REF!, $A$1, 1), 0), I49)
            - MAX(D49, DATE(#REF!, $A$1, 1)) + 1)
        / DAY(EOMONTH(DATE(#REF!, $A$1, 1), 0)) * F49,
        2
    ),
    ""
)</f>
        <v>#REF!</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2" t="s">
        <v>124</v>
      </c>
      <c r="B50" s="101">
        <v>401999</v>
      </c>
      <c r="C50" s="68" t="s">
        <v>341</v>
      </c>
      <c r="D50" s="123">
        <v>46082</v>
      </c>
      <c r="E50" s="65" t="s">
        <v>2</v>
      </c>
      <c r="F50" s="67">
        <v>173</v>
      </c>
      <c r="G50" s="116">
        <v>2021</v>
      </c>
      <c r="H50" s="89" t="e">
        <f>IF(AND(ISNUMBER(D50), ISNUMBER(F50)),
    ROUNDDOWN(
        MIN(
            IF(OR(ISBLANK(I50), I50=""),
                EOMONTH(DATE(#REF!, $A$1, 1), 0), I50)
            - MAX(D50, DATE(#REF!, $A$1, 1)) + 1)
        / DAY(EOMONTH(DATE(#REF!, $A$1, 1), 0)) * F50,
        2
    ),
    ""
)</f>
        <v>#REF!</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402000</v>
      </c>
      <c r="C51" s="68" t="s">
        <v>348</v>
      </c>
      <c r="D51" s="123">
        <v>46143</v>
      </c>
      <c r="E51" s="65" t="s">
        <v>2</v>
      </c>
      <c r="F51" s="67">
        <v>173</v>
      </c>
      <c r="G51" s="116">
        <v>2021</v>
      </c>
      <c r="H51" s="89" t="e">
        <f>IF(AND(ISNUMBER(D51), ISNUMBER(F51)),
    ROUNDDOWN(
        MIN(
            IF(OR(ISBLANK(I51), I51=""),
                EOMONTH(DATE(#REF!, $A$1, 1), 0), I51)
            - MAX(D51, DATE(#REF!, $A$1, 1)) + 1)
        / DAY(EOMONTH(DATE(#REF!, $A$1, 1), 0)) * F51,
        2
    ),
    ""
)</f>
        <v>#REF!</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402004</v>
      </c>
      <c r="C52" s="68" t="s">
        <v>350</v>
      </c>
      <c r="D52" s="123">
        <v>46122</v>
      </c>
      <c r="E52" s="65" t="s">
        <v>2</v>
      </c>
      <c r="F52" s="67">
        <v>173</v>
      </c>
      <c r="G52" s="116">
        <v>2021</v>
      </c>
      <c r="H52" s="89" t="e">
        <f>IF(AND(ISNUMBER(D52), ISNUMBER(F52)),
    ROUNDDOWN(
        MIN(
            IF(OR(ISBLANK(I52), I52=""),
                EOMONTH(DATE(#REF!, $A$1, 1), 0), I52)
            - MAX(D52, DATE(#REF!, $A$1, 1)) + 1)
        / DAY(EOMONTH(DATE(#REF!, $A$1, 1), 0)) * F52,
        2
    ),
    ""
)</f>
        <v>#REF!</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402405</v>
      </c>
      <c r="C53" s="68" t="s">
        <v>352</v>
      </c>
      <c r="D53" s="123">
        <v>46054</v>
      </c>
      <c r="E53" s="65" t="s">
        <v>2</v>
      </c>
      <c r="F53" s="67">
        <v>173</v>
      </c>
      <c r="G53" s="116">
        <v>2021</v>
      </c>
      <c r="H53" s="89" t="e">
        <f>IF(AND(ISNUMBER(D53), ISNUMBER(F53)),
    ROUNDDOWN(
        MIN(
            IF(OR(ISBLANK(I53), I53=""),
                EOMONTH(DATE(#REF!, $A$1, 1), 0), I53)
            - MAX(D53, DATE(#REF!, $A$1, 1)) + 1)
        / DAY(EOMONTH(DATE(#REF!, $A$1, 1), 0)) * F53,
        2
    ),
    ""
)</f>
        <v>#REF!</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500600</v>
      </c>
      <c r="C54" s="68" t="s">
        <v>357</v>
      </c>
      <c r="D54" s="123">
        <v>46054</v>
      </c>
      <c r="E54" s="65" t="s">
        <v>2</v>
      </c>
      <c r="F54" s="67">
        <v>173</v>
      </c>
      <c r="G54" s="116">
        <v>2021</v>
      </c>
      <c r="H54" s="89" t="e">
        <f>IF(AND(ISNUMBER(D54), ISNUMBER(F54)),
    ROUNDDOWN(
        MIN(
            IF(OR(ISBLANK(I54), I54=""),
                EOMONTH(DATE(#REF!, $A$1, 1), 0), I54)
            - MAX(D54, DATE(#REF!, $A$1, 1)) + 1)
        / DAY(EOMONTH(DATE(#REF!, $A$1, 1), 0)) * F54,
        2
    ),
    ""
)</f>
        <v>#REF!</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502000</v>
      </c>
      <c r="C55" s="68" t="s">
        <v>351</v>
      </c>
      <c r="D55" s="123">
        <v>46147</v>
      </c>
      <c r="E55" s="65" t="s">
        <v>2</v>
      </c>
      <c r="F55" s="67">
        <v>173</v>
      </c>
      <c r="G55" s="116">
        <v>2021</v>
      </c>
      <c r="H55" s="89" t="e">
        <f>IF(AND(ISNUMBER(D55), ISNUMBER(F55)),
    ROUNDDOWN(
        MIN(
            IF(OR(ISBLANK(I55), I55=""),
                EOMONTH(DATE(#REF!, $A$1, 1), 0), I55)
            - MAX(D55, DATE(#REF!, $A$1, 1)) + 1)
        / DAY(EOMONTH(DATE(#REF!, $A$1, 1), 0)) * F55,
        2
    ),
    ""
)</f>
        <v>#REF!</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2" t="s">
        <v>130</v>
      </c>
      <c r="B56" s="101">
        <v>503000</v>
      </c>
      <c r="C56" s="68" t="s">
        <v>354</v>
      </c>
      <c r="D56" s="123">
        <v>42401</v>
      </c>
      <c r="E56" s="65" t="s">
        <v>2</v>
      </c>
      <c r="F56" s="67">
        <v>173</v>
      </c>
      <c r="G56" s="116">
        <v>2021</v>
      </c>
      <c r="H56" s="89" t="e">
        <f>IF(AND(ISNUMBER(D56), ISNUMBER(F56)),
    ROUNDDOWN(
        MIN(
            IF(OR(ISBLANK(I56), I56=""),
                EOMONTH(DATE(#REF!, $A$1, 1), 0), I56)
            - MAX(D56, DATE(#REF!, $A$1, 1)) + 1)
        / DAY(EOMONTH(DATE(#REF!, $A$1, 1), 0)) * F56,
        2
    ),
    ""
)</f>
        <v>#REF!</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1" t="s">
        <v>131</v>
      </c>
      <c r="B57" s="101">
        <v>504000</v>
      </c>
      <c r="C57" s="68" t="s">
        <v>355</v>
      </c>
      <c r="D57" s="123">
        <v>46054</v>
      </c>
      <c r="E57" s="65" t="s">
        <v>3</v>
      </c>
      <c r="F57" s="67">
        <v>138.4</v>
      </c>
      <c r="G57" s="116">
        <v>1665.6</v>
      </c>
      <c r="H57" s="89" t="e">
        <f>IF(AND(ISNUMBER(D57), ISNUMBER(F57)),
    ROUNDDOWN(
        MIN(
            IF(OR(ISBLANK(I57), I57=""),
                EOMONTH(DATE(#REF!, $A$1, 1), 0), I57)
            - MAX(D57, DATE(#REF!, $A$1, 1)) + 1)
        / DAY(EOMONTH(DATE(#REF!, $A$1, 1), 0)) * F57,
        2
    ),
    ""
)</f>
        <v>#REF!</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505000</v>
      </c>
      <c r="C58" s="68" t="s">
        <v>356</v>
      </c>
      <c r="D58" s="123">
        <v>46054</v>
      </c>
      <c r="E58" s="65" t="s">
        <v>2</v>
      </c>
      <c r="F58" s="67">
        <v>138.4</v>
      </c>
      <c r="G58" s="116">
        <v>1616.8</v>
      </c>
      <c r="H58" s="89" t="e">
        <f>IF(AND(ISNUMBER(D58), ISNUMBER(F58)),
    ROUNDDOWN(
        MIN(
            IF(OR(ISBLANK(I58), I58=""),
                EOMONTH(DATE(#REF!, $A$1, 1), 0), I58)
            - MAX(D58, DATE(#REF!, $A$1, 1)) + 1)
        / DAY(EOMONTH(DATE(#REF!, $A$1, 1), 0)) * F58,
        2
    ),
    ""
)</f>
        <v>#REF!</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2" t="s">
        <v>133</v>
      </c>
      <c r="B59" s="101">
        <v>700000</v>
      </c>
      <c r="C59" s="68" t="s">
        <v>375</v>
      </c>
      <c r="D59" s="123">
        <v>46054</v>
      </c>
      <c r="E59" s="65" t="s">
        <v>2</v>
      </c>
      <c r="F59" s="67">
        <v>129.75</v>
      </c>
      <c r="G59" s="116">
        <v>1515.75</v>
      </c>
      <c r="H59" s="89" t="e">
        <f>IF(AND(ISNUMBER(D59), ISNUMBER(F59)),
    ROUNDDOWN(
        MIN(
            IF(OR(ISBLANK(I59), I59=""),
                EOMONTH(DATE(#REF!, $A$1, 1), 0), I59)
            - MAX(D59, DATE(#REF!, $A$1, 1)) + 1)
        / DAY(EOMONTH(DATE(#REF!, $A$1, 1), 0)) * F59,
        2
    ),
    ""
)</f>
        <v>#REF!</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800000</v>
      </c>
      <c r="C60" s="68" t="s">
        <v>376</v>
      </c>
      <c r="D60" s="123">
        <v>46082</v>
      </c>
      <c r="E60" s="65" t="s">
        <v>2</v>
      </c>
      <c r="F60" s="67">
        <v>173</v>
      </c>
      <c r="G60" s="116">
        <v>2021</v>
      </c>
      <c r="H60" s="89" t="e">
        <f>IF(AND(ISNUMBER(D60), ISNUMBER(F60)),
    ROUNDDOWN(
        MIN(
            IF(OR(ISBLANK(I60), I60=""),
                EOMONTH(DATE(#REF!, $A$1, 1), 0), I60)
            - MAX(D60, DATE(#REF!, $A$1, 1)) + 1)
        / DAY(EOMONTH(DATE(#REF!, $A$1, 1), 0)) * F60,
        2
    ),
    ""
)</f>
        <v>#REF!</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1" t="s">
        <v>135</v>
      </c>
      <c r="B61" s="101"/>
      <c r="C61" s="68"/>
      <c r="D61" s="123"/>
      <c r="E61" s="65"/>
      <c r="F61" s="67"/>
      <c r="G61" s="116"/>
      <c r="H61" s="89" t="str">
        <f>IF(AND(ISNUMBER(D61), ISNUMBER(F61)),
    ROUNDDOWN(
        MIN(
            IF(OR(ISBLANK(I61), I61=""),
                EOMONTH(DATE(#REF!, $A$1, 1), 0), I61)
            - MAX(D61, DATE(#REF!, $A$1, 1)) + 1)
        / DAY(EOMONTH(DATE(#REF!, $A$1, 1), 0)) * F61,
        2
    ),
    ""
)</f>
        <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2" t="s">
        <v>136</v>
      </c>
      <c r="B62" s="101"/>
      <c r="C62" s="68"/>
      <c r="D62" s="123"/>
      <c r="E62" s="65"/>
      <c r="F62" s="67"/>
      <c r="G62" s="116"/>
      <c r="H62" s="89" t="str">
        <f>IF(AND(ISNUMBER(D62), ISNUMBER(F62)),
    ROUNDDOWN(
        MIN(
            IF(OR(ISBLANK(I62), I62=""),
                EOMONTH(DATE(#REF!, $A$1, 1), 0), I62)
            - MAX(D62, DATE(#REF!, $A$1, 1)) + 1)
        / DAY(EOMONTH(DATE(#REF!, $A$1, 1), 0)) * F62,
        2
    ),
    ""
)</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2"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1"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2"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1"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2"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2"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1"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93EhL1sk6djHf94+ta+zSaSewxI2j+dAJktaYOjjCygHGh2+LNTvgr369cIKeTTkbtqYAJhnF6KxZvxA0TquQQ==" saltValue="mbXwdImk183JgQZ3aE7pX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4" type="noConversion"/>
  <dataValidations count="62">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#REF!</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12</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t="e">
        <f>DATE(#REF!, $A$1, 1)</f>
        <v>#REF!</v>
      </c>
    </row>
    <row r="2" spans="1:28" ht="16" customHeight="1" thickBot="1">
      <c r="A2" s="60"/>
      <c r="B2" s="219"/>
      <c r="C2" s="228"/>
      <c r="D2" s="226"/>
      <c r="E2" s="226"/>
      <c r="F2" s="226"/>
      <c r="G2" s="230"/>
      <c r="H2" s="232"/>
      <c r="I2" s="234"/>
      <c r="J2" s="236"/>
      <c r="K2" s="238"/>
      <c r="L2" s="240"/>
      <c r="M2" s="224"/>
      <c r="N2" s="220"/>
      <c r="AB2" s="8" t="e">
        <f>EOMONTH(DATE(#REF!, $A$1, 1), 0)</f>
        <v>#REF!</v>
      </c>
    </row>
    <row r="3" spans="1:28" ht="16" customHeight="1">
      <c r="A3" s="61" t="s">
        <v>48</v>
      </c>
      <c r="B3" s="100">
        <v>55</v>
      </c>
      <c r="C3" s="97" t="s">
        <v>353</v>
      </c>
      <c r="D3" s="122">
        <v>46054</v>
      </c>
      <c r="E3" s="73" t="s">
        <v>2</v>
      </c>
      <c r="F3" s="98">
        <v>173</v>
      </c>
      <c r="G3" s="115">
        <v>2021</v>
      </c>
      <c r="H3" s="88" t="e">
        <f>IF(AND(ISNUMBER(D3), ISNUMBER(F3)),
    ROUNDDOWN(
        MIN(
            IF(OR(ISBLANK(I3), I3=""),
                EOMONTH(DATE(#REF!, $A$1, 1), 0), I3)
            - MAX(D3, DATE(#REF!, $A$1, 1)) + 1)
        / DAY(EOMONTH(DATE(#REF!, $A$1, 1), 0)) * F3,
        2
    ),
    ""
)</f>
        <v>#REF!</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t="e">
        <f>IF(AND(ISNUMBER(D4), ISNUMBER(F4)),
    ROUNDDOWN(
        MIN(
            IF(OR(ISBLANK(I4), I4=""),
                EOMONTH(DATE(#REF!, $A$1, 1), 0), I4)
            - MAX(D4, DATE(#REF!, $A$1, 1)) + 1)
        / DAY(EOMONTH(DATE(#REF!, $A$1, 1), 0)) * F4,
        2
    ),
    ""
)</f>
        <v>#REF!</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t="e">
        <f>IF(AND(ISNUMBER(D5), ISNUMBER(F5)),
    ROUNDDOWN(
        MIN(
            IF(OR(ISBLANK(I5), I5=""),
                EOMONTH(DATE(#REF!, $A$1, 1), 0), I5)
            - MAX(D5, DATE(#REF!, $A$1, 1)) + 1)
        / DAY(EOMONTH(DATE(#REF!, $A$1, 1), 0)) * F5,
        2
    ),
    ""
)</f>
        <v>#REF!</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848.92966701370153</v>
      </c>
      <c r="P5" s="15">
        <f>EINSTELLUNG!I17</f>
        <v>12</v>
      </c>
      <c r="Q5" s="14">
        <f>P5-O5</f>
        <v>-836.92966701370153</v>
      </c>
      <c r="R5" s="18">
        <f>IFERROR(Q5*Q42, 0)</f>
        <v>0</v>
      </c>
    </row>
    <row r="6" spans="1:28" ht="16" customHeight="1">
      <c r="A6" s="61" t="s">
        <v>55</v>
      </c>
      <c r="B6" s="101">
        <v>401049</v>
      </c>
      <c r="C6" s="68" t="s">
        <v>250</v>
      </c>
      <c r="D6" s="123">
        <v>41130</v>
      </c>
      <c r="E6" s="65" t="s">
        <v>4</v>
      </c>
      <c r="F6" s="67">
        <v>173</v>
      </c>
      <c r="G6" s="116">
        <v>2123</v>
      </c>
      <c r="H6" s="89" t="e">
        <f>IF(AND(ISNUMBER(D6), ISNUMBER(F6)),
    ROUNDDOWN(
        MIN(
            IF(OR(ISBLANK(I6), I6=""),
                EOMONTH(DATE(#REF!, $A$1, 1), 0), I6)
            - MAX(D6, DATE(#REF!, $A$1, 1)) + 1)
        / DAY(EOMONTH(DATE(#REF!, $A$1, 1), 0)) * F6,
        2
    ),
    ""
)</f>
        <v>#REF!</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8" t="s">
        <v>252</v>
      </c>
      <c r="D7" s="123">
        <v>41176</v>
      </c>
      <c r="E7" s="65" t="s">
        <v>4</v>
      </c>
      <c r="F7" s="67">
        <v>173</v>
      </c>
      <c r="G7" s="116">
        <v>2123</v>
      </c>
      <c r="H7" s="89" t="e">
        <f>IF(AND(ISNUMBER(D7), ISNUMBER(F7)),
    ROUNDDOWN(
        MIN(
            IF(OR(ISBLANK(I7), I7=""),
                EOMONTH(DATE(#REF!, $A$1, 1), 0), I7)
            - MAX(D7, DATE(#REF!, $A$1, 1)) + 1)
        / DAY(EOMONTH(DATE(#REF!, $A$1, 1), 0)) * F7,
        2
    ),
    ""
)</f>
        <v>#REF!</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401089</v>
      </c>
      <c r="C8" s="68" t="s">
        <v>266</v>
      </c>
      <c r="D8" s="123">
        <v>44868</v>
      </c>
      <c r="E8" s="65" t="s">
        <v>3</v>
      </c>
      <c r="F8" s="67">
        <v>173</v>
      </c>
      <c r="G8" s="116">
        <v>2082</v>
      </c>
      <c r="H8" s="89" t="e">
        <f>IF(AND(ISNUMBER(D8), ISNUMBER(F8)),
    ROUNDDOWN(
        MIN(
            IF(OR(ISBLANK(I8), I8=""),
                EOMONTH(DATE(#REF!, $A$1, 1), 0), I8)
            - MAX(D8, DATE(#REF!, $A$1, 1)) + 1)
        / DAY(EOMONTH(DATE(#REF!, $A$1, 1), 0)) * F8,
        2
    ),
    ""
)</f>
        <v>#REF!</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t="e">
        <f>SUM(H3:H82)</f>
        <v>#REF!</v>
      </c>
      <c r="R8" s="164"/>
    </row>
    <row r="9" spans="1:28" ht="16" customHeight="1">
      <c r="A9" s="62" t="s">
        <v>59</v>
      </c>
      <c r="B9" s="101">
        <v>401138</v>
      </c>
      <c r="C9" s="68" t="s">
        <v>253</v>
      </c>
      <c r="D9" s="123">
        <v>42006</v>
      </c>
      <c r="E9" s="65" t="s">
        <v>4</v>
      </c>
      <c r="F9" s="67">
        <v>173</v>
      </c>
      <c r="G9" s="116">
        <v>2123</v>
      </c>
      <c r="H9" s="89" t="e">
        <f>IF(AND(ISNUMBER(D9), ISNUMBER(F9)),
    ROUNDDOWN(
        MIN(
            IF(OR(ISBLANK(I9), I9=""),
                EOMONTH(DATE(#REF!, $A$1, 1), 0), I9)
            - MAX(D9, DATE(#REF!, $A$1, 1)) + 1)
        / DAY(EOMONTH(DATE(#REF!, $A$1, 1), 0)) * F9,
        2
    ),
    ""
)</f>
        <v>#REF!</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EINSTELLUNG!L33</f>
        <v>12</v>
      </c>
      <c r="R9" s="164"/>
      <c r="S9" s="19">
        <f>IFERROR(Q9/Q8, 0)</f>
        <v>0</v>
      </c>
    </row>
    <row r="10" spans="1:28" ht="16" customHeight="1">
      <c r="A10" s="61" t="s">
        <v>61</v>
      </c>
      <c r="B10" s="101">
        <v>401197</v>
      </c>
      <c r="C10" s="68" t="s">
        <v>254</v>
      </c>
      <c r="D10" s="123">
        <v>42644</v>
      </c>
      <c r="E10" s="65" t="s">
        <v>3</v>
      </c>
      <c r="F10" s="67">
        <v>173</v>
      </c>
      <c r="G10" s="116">
        <v>2082</v>
      </c>
      <c r="H10" s="89" t="e">
        <f>IF(AND(ISNUMBER(D10), ISNUMBER(F10)),
    ROUNDDOWN(
        MIN(
            IF(OR(ISBLANK(I10), I10=""),
                EOMONTH(DATE(#REF!, $A$1, 1), 0), I10)
            - MAX(D10, DATE(#REF!, $A$1, 1)) + 1)
        / DAY(EOMONTH(DATE(#REF!, $A$1, 1), 0)) * F10,
        2
    ),
    ""
)</f>
        <v>#REF!</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EINSTELLUNG!I33</f>
        <v>12</v>
      </c>
      <c r="R10" s="164"/>
    </row>
    <row r="11" spans="1:28" ht="16" customHeight="1">
      <c r="A11" s="61" t="s">
        <v>63</v>
      </c>
      <c r="B11" s="101">
        <v>401214</v>
      </c>
      <c r="C11" s="68" t="s">
        <v>280</v>
      </c>
      <c r="D11" s="123">
        <v>45636</v>
      </c>
      <c r="E11" s="65" t="s">
        <v>3</v>
      </c>
      <c r="F11" s="67">
        <v>173</v>
      </c>
      <c r="G11" s="116">
        <v>2082</v>
      </c>
      <c r="H11" s="89" t="e">
        <f>IF(AND(ISNUMBER(D11), ISNUMBER(F11)),
    ROUNDDOWN(
        MIN(
            IF(OR(ISBLANK(I11), I11=""),
                EOMONTH(DATE(#REF!, $A$1, 1), 0), I11)
            - MAX(D11, DATE(#REF!, $A$1, 1)) + 1)
        / DAY(EOMONTH(DATE(#REF!, $A$1, 1), 0)) * F11,
        2
    ),
    ""
)</f>
        <v>#REF!</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12</v>
      </c>
      <c r="R11" s="164"/>
    </row>
    <row r="12" spans="1:28" ht="16" customHeight="1">
      <c r="A12" s="61" t="s">
        <v>65</v>
      </c>
      <c r="B12" s="101">
        <v>401276</v>
      </c>
      <c r="C12" s="68" t="s">
        <v>255</v>
      </c>
      <c r="D12" s="123">
        <v>43252</v>
      </c>
      <c r="E12" s="65" t="s">
        <v>3</v>
      </c>
      <c r="F12" s="67">
        <v>173</v>
      </c>
      <c r="G12" s="116">
        <v>2082</v>
      </c>
      <c r="H12" s="89" t="e">
        <f>IF(AND(ISNUMBER(D12), ISNUMBER(F12)),
    ROUNDDOWN(
        MIN(
            IF(OR(ISBLANK(I12), I12=""),
                EOMONTH(DATE(#REF!, $A$1, 1), 0), I12)
            - MAX(D12, DATE(#REF!, $A$1, 1)) + 1)
        / DAY(EOMONTH(DATE(#REF!, $A$1, 1), 0)) * F12,
        2
    ),
    ""
)</f>
        <v>#REF!</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-303</v>
      </c>
      <c r="R12" s="193"/>
    </row>
    <row r="13" spans="1:28" ht="16" customHeight="1">
      <c r="A13" s="62" t="s">
        <v>67</v>
      </c>
      <c r="B13" s="101">
        <v>401307</v>
      </c>
      <c r="C13" s="68" t="s">
        <v>256</v>
      </c>
      <c r="D13" s="123">
        <v>43571</v>
      </c>
      <c r="E13" s="65" t="s">
        <v>3</v>
      </c>
      <c r="F13" s="67">
        <v>173</v>
      </c>
      <c r="G13" s="116">
        <v>2082</v>
      </c>
      <c r="H13" s="89" t="e">
        <f>IF(AND(ISNUMBER(D13), ISNUMBER(F13)),
    ROUNDDOWN(
        MIN(
            IF(OR(ISBLANK(I13), I13=""),
                EOMONTH(DATE(#REF!, $A$1, 1), 0), I13)
            - MAX(D13, DATE(#REF!, $A$1, 1)) + 1)
        / DAY(EOMONTH(DATE(#REF!, $A$1, 1), 0)) * F13,
        2
    ),
    ""
)</f>
        <v>#REF!</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t="e">
        <f>Q8-Q9-Q10-Q11-Q12</f>
        <v>#REF!</v>
      </c>
      <c r="R13" s="164"/>
    </row>
    <row r="14" spans="1:28" ht="16" customHeight="1">
      <c r="A14" s="61" t="s">
        <v>69</v>
      </c>
      <c r="B14" s="101">
        <v>401308</v>
      </c>
      <c r="C14" s="68" t="s">
        <v>257</v>
      </c>
      <c r="D14" s="123">
        <v>43579</v>
      </c>
      <c r="E14" s="65" t="s">
        <v>3</v>
      </c>
      <c r="F14" s="67">
        <v>173</v>
      </c>
      <c r="G14" s="116">
        <v>2082</v>
      </c>
      <c r="H14" s="89" t="e">
        <f>IF(AND(ISNUMBER(D14), ISNUMBER(F14)),
    ROUNDDOWN(
        MIN(
            IF(OR(ISBLANK(I14), I14=""),
                EOMONTH(DATE(#REF!, $A$1, 1), 0), I14)
            - MAX(D14, DATE(#REF!, $A$1, 1)) + 1)
        / DAY(EOMONTH(DATE(#REF!, $A$1, 1), 0)) * F14,
        2
    ),
    ""
)</f>
        <v>#REF!</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EINSTELLUNG!L17</f>
        <v>12</v>
      </c>
      <c r="R14" s="164"/>
    </row>
    <row r="15" spans="1:28" ht="16" customHeight="1">
      <c r="A15" s="61" t="s">
        <v>71</v>
      </c>
      <c r="B15" s="101">
        <v>401389</v>
      </c>
      <c r="C15" s="68" t="s">
        <v>259</v>
      </c>
      <c r="D15" s="123">
        <v>44384</v>
      </c>
      <c r="E15" s="65" t="s">
        <v>11</v>
      </c>
      <c r="F15" s="67">
        <v>173</v>
      </c>
      <c r="G15" s="116">
        <v>2300</v>
      </c>
      <c r="H15" s="89" t="e">
        <f>IF(AND(ISNUMBER(D15), ISNUMBER(F15)),
    ROUNDDOWN(
        MIN(
            IF(OR(ISBLANK(I15), I15=""),
                EOMONTH(DATE(#REF!, $A$1, 1), 0), I15)
            - MAX(D15, DATE(#REF!, $A$1, 1)) + 1)
        / DAY(EOMONTH(DATE(#REF!, $A$1, 1), 0)) * F15,
        2
    ),
    ""
)</f>
        <v>#REF!</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t="e">
        <f>Q13-Q14</f>
        <v>#REF!</v>
      </c>
      <c r="R15" s="164"/>
      <c r="S15" s="56"/>
      <c r="T15" s="56"/>
      <c r="U15" s="56"/>
    </row>
    <row r="16" spans="1:28" ht="16" customHeight="1">
      <c r="A16" s="61" t="s">
        <v>73</v>
      </c>
      <c r="B16" s="101">
        <v>401394</v>
      </c>
      <c r="C16" s="68" t="s">
        <v>258</v>
      </c>
      <c r="D16" s="123">
        <v>44379</v>
      </c>
      <c r="E16" s="65" t="s">
        <v>2</v>
      </c>
      <c r="F16" s="67">
        <v>173</v>
      </c>
      <c r="G16" s="116">
        <v>2021</v>
      </c>
      <c r="H16" s="89" t="e">
        <f>IF(AND(ISNUMBER(D16), ISNUMBER(F16)),
    ROUNDDOWN(
        MIN(
            IF(OR(ISBLANK(I16), I16=""),
                EOMONTH(DATE(#REF!, $A$1, 1), 0), I16)
            - MAX(D16, DATE(#REF!, $A$1, 1)) + 1)
        / DAY(EOMONTH(DATE(#REF!, $A$1, 1), 0)) * F16,
        2
    ),
    ""
)</f>
        <v>#REF!</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e">
        <f>IF(Q15&lt;0, "Schlecht! Zu wenig Stunden für Dienstplan.", IF(Q15&gt;0, "Du hast mehr als genug Stunden für Dienstplan.", ""))</f>
        <v>#REF!</v>
      </c>
      <c r="P16" s="165"/>
      <c r="Q16" s="165"/>
      <c r="R16" s="165"/>
      <c r="W16" s="12"/>
    </row>
    <row r="17" spans="1:29" ht="16" customHeight="1">
      <c r="A17" s="62" t="s">
        <v>74</v>
      </c>
      <c r="B17" s="101">
        <v>401432</v>
      </c>
      <c r="C17" s="68" t="s">
        <v>260</v>
      </c>
      <c r="D17" s="123">
        <v>44441</v>
      </c>
      <c r="E17" s="65" t="s">
        <v>2</v>
      </c>
      <c r="F17" s="67">
        <v>173</v>
      </c>
      <c r="G17" s="116">
        <v>2021</v>
      </c>
      <c r="H17" s="89" t="e">
        <f>IF(AND(ISNUMBER(D17), ISNUMBER(F17)),
    ROUNDDOWN(
        MIN(
            IF(OR(ISBLANK(I17), I17=""),
                EOMONTH(DATE(#REF!, $A$1, 1), 0), I17)
            - MAX(D17, DATE(#REF!, $A$1, 1)) + 1)
        / DAY(EOMONTH(DATE(#REF!, $A$1, 1), 0)) * F17,
        2
    ),
    ""
)</f>
        <v>#REF!</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401476</v>
      </c>
      <c r="C18" s="68" t="s">
        <v>262</v>
      </c>
      <c r="D18" s="123">
        <v>44504</v>
      </c>
      <c r="E18" s="65" t="s">
        <v>2</v>
      </c>
      <c r="F18" s="67">
        <v>173</v>
      </c>
      <c r="G18" s="116">
        <v>2021</v>
      </c>
      <c r="H18" s="89" t="e">
        <f>IF(AND(ISNUMBER(D18), ISNUMBER(F18)),
    ROUNDDOWN(
        MIN(
            IF(OR(ISBLANK(I18), I18=""),
                EOMONTH(DATE(#REF!, $A$1, 1), 0), I18)
            - MAX(D18, DATE(#REF!, $A$1, 1)) + 1)
        / DAY(EOMONTH(DATE(#REF!, $A$1, 1), 0)) * F18,
        2
    ),
    ""
)</f>
        <v>#REF!</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401479</v>
      </c>
      <c r="C19" s="68" t="s">
        <v>263</v>
      </c>
      <c r="D19" s="123">
        <v>44511</v>
      </c>
      <c r="E19" s="65" t="s">
        <v>6</v>
      </c>
      <c r="F19" s="67">
        <v>173</v>
      </c>
      <c r="G19" s="116">
        <v>2160</v>
      </c>
      <c r="H19" s="89" t="e">
        <f>IF(AND(ISNUMBER(D19), ISNUMBER(F19)),
    ROUNDDOWN(
        MIN(
            IF(OR(ISBLANK(I19), I19=""),
                EOMONTH(DATE(#REF!, $A$1, 1), 0), I19)
            - MAX(D19, DATE(#REF!, $A$1, 1)) + 1)
        / DAY(EOMONTH(DATE(#REF!, $A$1, 1), 0)) * F19,
        2
    ),
    ""
)</f>
        <v>#REF!</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401481</v>
      </c>
      <c r="C20" s="70" t="s">
        <v>264</v>
      </c>
      <c r="D20" s="123">
        <v>44531</v>
      </c>
      <c r="E20" s="65" t="s">
        <v>2</v>
      </c>
      <c r="F20" s="67">
        <v>173</v>
      </c>
      <c r="G20" s="116">
        <v>2021</v>
      </c>
      <c r="H20" s="89" t="e">
        <f>IF(AND(ISNUMBER(D20), ISNUMBER(F20)),
    ROUNDDOWN(
        MIN(
            IF(OR(ISBLANK(I20), I20=""),
                EOMONTH(DATE(#REF!, $A$1, 1), 0), I20)
            - MAX(D20, DATE(#REF!, $A$1, 1)) + 1)
        / DAY(EOMONTH(DATE(#REF!, $A$1, 1), 0)) * F20,
        2
    ),
    ""
)</f>
        <v>#REF!</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401564</v>
      </c>
      <c r="C21" s="68" t="s">
        <v>265</v>
      </c>
      <c r="D21" s="123">
        <v>44824</v>
      </c>
      <c r="E21" s="65" t="s">
        <v>2</v>
      </c>
      <c r="F21" s="67">
        <v>173</v>
      </c>
      <c r="G21" s="116">
        <v>2021</v>
      </c>
      <c r="H21" s="89" t="e">
        <f>IF(AND(ISNUMBER(D21), ISNUMBER(F21)),
    ROUNDDOWN(
        MIN(
            IF(OR(ISBLANK(I21), I21=""),
                EOMONTH(DATE(#REF!, $A$1, 1), 0), I21)
            - MAX(D21, DATE(#REF!, $A$1, 1)) + 1)
        / DAY(EOMONTH(DATE(#REF!, $A$1, 1), 0)) * F21,
        2
    ),
    ""
)</f>
        <v>#REF!</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401583</v>
      </c>
      <c r="C22" s="68" t="s">
        <v>267</v>
      </c>
      <c r="D22" s="123">
        <v>44900</v>
      </c>
      <c r="E22" s="65" t="s">
        <v>10</v>
      </c>
      <c r="F22" s="67">
        <v>173</v>
      </c>
      <c r="G22" s="116">
        <v>2300</v>
      </c>
      <c r="H22" s="89" t="e">
        <f>IF(AND(ISNUMBER(D22), ISNUMBER(F22)),
    ROUNDDOWN(
        MIN(
            IF(OR(ISBLANK(I22), I22=""),
                EOMONTH(DATE(#REF!, $A$1, 1), 0), I22)
            - MAX(D22, DATE(#REF!, $A$1, 1)) + 1)
        / DAY(EOMONTH(DATE(#REF!, $A$1, 1), 0)) * F22,
        2
    ),
    ""
)</f>
        <v>#REF!</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401589</v>
      </c>
      <c r="C23" s="68" t="s">
        <v>268</v>
      </c>
      <c r="D23" s="123">
        <v>44926</v>
      </c>
      <c r="E23" s="65" t="s">
        <v>10</v>
      </c>
      <c r="F23" s="67">
        <v>173</v>
      </c>
      <c r="G23" s="116">
        <v>2300</v>
      </c>
      <c r="H23" s="89" t="e">
        <f>IF(AND(ISNUMBER(D23), ISNUMBER(F23)),
    ROUNDDOWN(
        MIN(
            IF(OR(ISBLANK(I23), I23=""),
                EOMONTH(DATE(#REF!, $A$1, 1), 0), I23)
            - MAX(D23, DATE(#REF!, $A$1, 1)) + 1)
        / DAY(EOMONTH(DATE(#REF!, $A$1, 1), 0)) * F23,
        2
    ),
    ""
)</f>
        <v>#REF!</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401602</v>
      </c>
      <c r="C24" s="68" t="s">
        <v>269</v>
      </c>
      <c r="D24" s="123">
        <v>45975</v>
      </c>
      <c r="E24" s="65" t="s">
        <v>2</v>
      </c>
      <c r="F24" s="67">
        <v>173</v>
      </c>
      <c r="G24" s="116">
        <v>2021</v>
      </c>
      <c r="H24" s="89" t="e">
        <f>IF(AND(ISNUMBER(D24), ISNUMBER(F24)),
    ROUNDDOWN(
        MIN(
            IF(OR(ISBLANK(I24), I24=""),
                EOMONTH(DATE(#REF!, $A$1, 1), 0), I24)
            - MAX(D24, DATE(#REF!, $A$1, 1)) + 1)
        / DAY(EOMONTH(DATE(#REF!, $A$1, 1), 0)) * F24,
        2
    ),
    ""
)</f>
        <v>#REF!</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401605</v>
      </c>
      <c r="C25" s="68" t="s">
        <v>270</v>
      </c>
      <c r="D25" s="123">
        <v>44986</v>
      </c>
      <c r="E25" s="65" t="s">
        <v>2</v>
      </c>
      <c r="F25" s="67">
        <v>173</v>
      </c>
      <c r="G25" s="116">
        <v>2021</v>
      </c>
      <c r="H25" s="89" t="e">
        <f>IF(AND(ISNUMBER(D25), ISNUMBER(F25)),
    ROUNDDOWN(
        MIN(
            IF(OR(ISBLANK(I25), I25=""),
                EOMONTH(DATE(#REF!, $A$1, 1), 0), I25)
            - MAX(D25, DATE(#REF!, $A$1, 1)) + 1)
        / DAY(EOMONTH(DATE(#REF!, $A$1, 1), 0)) * F25,
        2
    ),
    ""
)</f>
        <v>#REF!</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401626</v>
      </c>
      <c r="C26" s="68" t="s">
        <v>271</v>
      </c>
      <c r="D26" s="123">
        <v>45063</v>
      </c>
      <c r="E26" s="65" t="s">
        <v>2</v>
      </c>
      <c r="F26" s="67">
        <v>173</v>
      </c>
      <c r="G26" s="116">
        <v>2021</v>
      </c>
      <c r="H26" s="89" t="e">
        <f>IF(AND(ISNUMBER(D26), ISNUMBER(F26)),
    ROUNDDOWN(
        MIN(
            IF(OR(ISBLANK(I26), I26=""),
                EOMONTH(DATE(#REF!, $A$1, 1), 0), I26)
            - MAX(D26, DATE(#REF!, $A$1, 1)) + 1)
        / DAY(EOMONTH(DATE(#REF!, $A$1, 1), 0)) * F26,
        2
    ),
    ""
)</f>
        <v>#REF!</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401633</v>
      </c>
      <c r="C27" s="68" t="s">
        <v>272</v>
      </c>
      <c r="D27" s="123">
        <v>45089</v>
      </c>
      <c r="E27" s="65" t="s">
        <v>10</v>
      </c>
      <c r="F27" s="67">
        <v>173</v>
      </c>
      <c r="G27" s="116">
        <v>2300</v>
      </c>
      <c r="H27" s="89" t="e">
        <f>IF(AND(ISNUMBER(D27), ISNUMBER(F27)),
    ROUNDDOWN(
        MIN(
            IF(OR(ISBLANK(I27), I27=""),
                EOMONTH(DATE(#REF!, $A$1, 1), 0), I27)
            - MAX(D27, DATE(#REF!, $A$1, 1)) + 1)
        / DAY(EOMONTH(DATE(#REF!, $A$1, 1), 0)) * F27,
        2
    ),
    ""
)</f>
        <v>#REF!</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row>
    <row r="28" spans="1:29" ht="16" customHeight="1">
      <c r="A28" s="61" t="s">
        <v>88</v>
      </c>
      <c r="B28" s="101">
        <v>401647</v>
      </c>
      <c r="C28" s="68" t="s">
        <v>273</v>
      </c>
      <c r="D28" s="123">
        <v>45182</v>
      </c>
      <c r="E28" s="65" t="s">
        <v>2</v>
      </c>
      <c r="F28" s="67">
        <v>173</v>
      </c>
      <c r="G28" s="116">
        <v>2021</v>
      </c>
      <c r="H28" s="89" t="e">
        <f>IF(AND(ISNUMBER(D28), ISNUMBER(F28)),
    ROUNDDOWN(
        MIN(
            IF(OR(ISBLANK(I28), I28=""),
                EOMONTH(DATE(#REF!, $A$1, 1), 0), I28)
            - MAX(D28, DATE(#REF!, $A$1, 1)) + 1)
        / DAY(EOMONTH(DATE(#REF!, $A$1, 1), 0)) * F28,
        2
    ),
    ""
)</f>
        <v>#REF!</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168"/>
      <c r="P28" s="169"/>
      <c r="Q28" s="161"/>
      <c r="R28" s="206"/>
    </row>
    <row r="29" spans="1:29" ht="16" customHeight="1" thickBot="1">
      <c r="A29" s="62" t="s">
        <v>89</v>
      </c>
      <c r="B29" s="101">
        <v>401661</v>
      </c>
      <c r="C29" s="68" t="s">
        <v>274</v>
      </c>
      <c r="D29" s="123">
        <v>45261</v>
      </c>
      <c r="E29" s="65" t="s">
        <v>2</v>
      </c>
      <c r="F29" s="67">
        <v>173</v>
      </c>
      <c r="G29" s="116">
        <v>2021</v>
      </c>
      <c r="H29" s="89" t="e">
        <f>IF(AND(ISNUMBER(D29), ISNUMBER(F29)),
    ROUNDDOWN(
        MIN(
            IF(OR(ISBLANK(I29), I29=""),
                EOMONTH(DATE(#REF!, $A$1, 1), 0), I29)
            - MAX(D29, DATE(#REF!, $A$1, 1)) + 1)
        / DAY(EOMONTH(DATE(#REF!, $A$1, 1), 0)) * F29,
        2
    ),
    ""
)</f>
        <v>#REF!</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288" t="s">
        <v>90</v>
      </c>
      <c r="P29" s="289"/>
      <c r="Q29" s="290">
        <f>EINSTELLUNG!O17</f>
        <v>12</v>
      </c>
      <c r="R29" s="291"/>
    </row>
    <row r="30" spans="1:29" ht="16" customHeight="1">
      <c r="A30" s="61" t="s">
        <v>91</v>
      </c>
      <c r="B30" s="101">
        <v>401670</v>
      </c>
      <c r="C30" s="68" t="s">
        <v>275</v>
      </c>
      <c r="D30" s="123">
        <v>45358</v>
      </c>
      <c r="E30" s="65" t="s">
        <v>2</v>
      </c>
      <c r="F30" s="67">
        <v>173</v>
      </c>
      <c r="G30" s="116">
        <v>2021</v>
      </c>
      <c r="H30" s="89" t="e">
        <f>IF(AND(ISNUMBER(D30), ISNUMBER(F30)),
    ROUNDDOWN(
        MIN(
            IF(OR(ISBLANK(I30), I30=""),
                EOMONTH(DATE(#REF!, $A$1, 1), 0), I30)
            - MAX(D30, DATE(#REF!, $A$1, 1)) + 1)
        / DAY(EOMONTH(DATE(#REF!, $A$1, 1), 0)) * F30,
        2
    ),
    ""
)</f>
        <v>#REF!</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401678</v>
      </c>
      <c r="C31" s="70" t="s">
        <v>276</v>
      </c>
      <c r="D31" s="123">
        <v>45414</v>
      </c>
      <c r="E31" s="65" t="s">
        <v>2</v>
      </c>
      <c r="F31" s="67">
        <v>173</v>
      </c>
      <c r="G31" s="116">
        <v>2021</v>
      </c>
      <c r="H31" s="89" t="e">
        <f>IF(AND(ISNUMBER(D31), ISNUMBER(F31)),
    ROUNDDOWN(
        MIN(
            IF(OR(ISBLANK(I31), I31=""),
                EOMONTH(DATE(#REF!, $A$1, 1), 0), I31)
            - MAX(D31, DATE(#REF!, $A$1, 1)) + 1)
        / DAY(EOMONTH(DATE(#REF!, $A$1, 1), 0)) * F31,
        2
    ),
    ""
)</f>
        <v>#REF!</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401690</v>
      </c>
      <c r="C32" s="68" t="s">
        <v>278</v>
      </c>
      <c r="D32" s="123">
        <v>45536</v>
      </c>
      <c r="E32" s="65" t="s">
        <v>2</v>
      </c>
      <c r="F32" s="67">
        <v>173</v>
      </c>
      <c r="G32" s="116">
        <v>2021</v>
      </c>
      <c r="H32" s="89" t="e">
        <f>IF(AND(ISNUMBER(D32), ISNUMBER(F32)),
    ROUNDDOWN(
        MIN(
            IF(OR(ISBLANK(I32), I32=""),
                EOMONTH(DATE(#REF!, $A$1, 1), 0), I32)
            - MAX(D32, DATE(#REF!, $A$1, 1)) + 1)
        / DAY(EOMONTH(DATE(#REF!, $A$1, 1), 0)) * F32,
        2
    ),
    ""
)</f>
        <v>#REF!</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401703</v>
      </c>
      <c r="C33" s="68" t="s">
        <v>279</v>
      </c>
      <c r="D33" s="123">
        <v>45616</v>
      </c>
      <c r="E33" s="65" t="s">
        <v>2</v>
      </c>
      <c r="F33" s="67">
        <v>173</v>
      </c>
      <c r="G33" s="116">
        <v>2021</v>
      </c>
      <c r="H33" s="89" t="e">
        <f>IF(AND(ISNUMBER(D33), ISNUMBER(F33)),
    ROUNDDOWN(
        MIN(
            IF(OR(ISBLANK(I33), I33=""),
                EOMONTH(DATE(#REF!, $A$1, 1), 0), I33)
            - MAX(D33, DATE(#REF!, $A$1, 1)) + 1)
        / DAY(EOMONTH(DATE(#REF!, $A$1, 1), 0)) * F33,
        2
    ),
    ""
)</f>
        <v>#REF!</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401715</v>
      </c>
      <c r="C34" s="68" t="s">
        <v>281</v>
      </c>
      <c r="D34" s="123">
        <v>45755</v>
      </c>
      <c r="E34" s="65" t="s">
        <v>2</v>
      </c>
      <c r="F34" s="67">
        <v>173</v>
      </c>
      <c r="G34" s="116">
        <v>2021</v>
      </c>
      <c r="H34" s="89" t="e">
        <f>IF(AND(ISNUMBER(D34), ISNUMBER(F34)),
    ROUNDDOWN(
        MIN(
            IF(OR(ISBLANK(I34), I34=""),
                EOMONTH(DATE(#REF!, $A$1, 1), 0), I34)
            - MAX(D34, DATE(#REF!, $A$1, 1)) + 1)
        / DAY(EOMONTH(DATE(#REF!, $A$1, 1), 0)) * F34,
        2
    ),
    ""
)</f>
        <v>#REF!</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401716</v>
      </c>
      <c r="C35" s="68" t="s">
        <v>282</v>
      </c>
      <c r="D35" s="123">
        <v>45800</v>
      </c>
      <c r="E35" s="65" t="s">
        <v>2</v>
      </c>
      <c r="F35" s="67">
        <v>173</v>
      </c>
      <c r="G35" s="116">
        <v>2021</v>
      </c>
      <c r="H35" s="89" t="e">
        <f>IF(AND(ISNUMBER(D35), ISNUMBER(F35)),
    ROUNDDOWN(
        MIN(
            IF(OR(ISBLANK(I35), I35=""),
                EOMONTH(DATE(#REF!, $A$1, 1), 0), I35)
            - MAX(D35, DATE(#REF!, $A$1, 1)) + 1)
        / DAY(EOMONTH(DATE(#REF!, $A$1, 1), 0)) * F35,
        2
    ),
    ""
)</f>
        <v>#REF!</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EINSTELLUNG!C17</f>
        <v>12</v>
      </c>
      <c r="R35" s="174"/>
      <c r="S35" s="174">
        <f>EINSTELLUNG!C33</f>
        <v>12</v>
      </c>
      <c r="T35" s="174"/>
      <c r="U35" s="175">
        <f>S35-Q35</f>
        <v>0</v>
      </c>
      <c r="V35" s="175"/>
    </row>
    <row r="36" spans="1:24" ht="16" customHeight="1">
      <c r="A36" s="61" t="s">
        <v>102</v>
      </c>
      <c r="B36" s="101">
        <v>401717</v>
      </c>
      <c r="C36" s="68" t="s">
        <v>283</v>
      </c>
      <c r="D36" s="123">
        <v>45814</v>
      </c>
      <c r="E36" s="65" t="s">
        <v>2</v>
      </c>
      <c r="F36" s="67">
        <v>173</v>
      </c>
      <c r="G36" s="116">
        <v>2021</v>
      </c>
      <c r="H36" s="89" t="e">
        <f>IF(AND(ISNUMBER(D36), ISNUMBER(F36)),
    ROUNDDOWN(
        MIN(
            IF(OR(ISBLANK(I36), I36=""),
                EOMONTH(DATE(#REF!, $A$1, 1), 0), I36)
            - MAX(D36, DATE(#REF!, $A$1, 1)) + 1)
        / DAY(EOMONTH(DATE(#REF!, $A$1, 1), 0)) * F36,
        2
    ),
    ""
)</f>
        <v>#REF!</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EINSTELLUNG!D17</f>
        <v>12</v>
      </c>
      <c r="R36" s="174"/>
      <c r="S36" s="178" cm="1">
        <f t="array" ref="S36">SumMergedCells(Q17:R29)</f>
        <v>0</v>
      </c>
      <c r="T36" s="180"/>
      <c r="U36" s="175">
        <f t="shared" ref="U36:U41" si="0">S36-Q36</f>
        <v>-12</v>
      </c>
      <c r="V36" s="175"/>
    </row>
    <row r="37" spans="1:24" ht="16" customHeight="1">
      <c r="A37" s="62" t="s">
        <v>104</v>
      </c>
      <c r="B37" s="101">
        <v>401722</v>
      </c>
      <c r="C37" s="68" t="s">
        <v>284</v>
      </c>
      <c r="D37" s="123">
        <v>45848</v>
      </c>
      <c r="E37" s="65" t="s">
        <v>2</v>
      </c>
      <c r="F37" s="67">
        <v>86.5</v>
      </c>
      <c r="G37" s="116">
        <v>1010.5</v>
      </c>
      <c r="H37" s="89" t="e">
        <f>IF(AND(ISNUMBER(D37), ISNUMBER(F37)),
    ROUNDDOWN(
        MIN(
            IF(OR(ISBLANK(I37), I37=""),
                EOMONTH(DATE(#REF!, $A$1, 1), 0), I37)
            - MAX(D37, DATE(#REF!, $A$1, 1)) + 1)
        / DAY(EOMONTH(DATE(#REF!, $A$1, 1), 0)) * F37,
        2
    ),
    ""
)</f>
        <v>#REF!</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0</v>
      </c>
      <c r="T37" s="181"/>
      <c r="U37" s="182">
        <f t="shared" si="0"/>
        <v>-1</v>
      </c>
      <c r="V37" s="182"/>
    </row>
    <row r="38" spans="1:24" ht="16" customHeight="1">
      <c r="A38" s="61" t="s">
        <v>106</v>
      </c>
      <c r="B38" s="101">
        <v>401723</v>
      </c>
      <c r="C38" s="68" t="s">
        <v>285</v>
      </c>
      <c r="D38" s="123">
        <v>45852</v>
      </c>
      <c r="E38" s="65" t="s">
        <v>2</v>
      </c>
      <c r="F38" s="67">
        <v>86.5</v>
      </c>
      <c r="G38" s="116">
        <v>1010.5</v>
      </c>
      <c r="H38" s="89" t="e">
        <f>IF(AND(ISNUMBER(D38), ISNUMBER(F38)),
    ROUNDDOWN(
        MIN(
            IF(OR(ISBLANK(I39), I39=""),
                EOMONTH(DATE(#REF!, $A$1, 1), 0), I39)
            - MAX(D38, DATE(#REF!, $A$1, 1)) + 1)
        / DAY(EOMONTH(DATE(#REF!, $A$1, 1), 0)) * F38,
        2
    ),
    ""
)</f>
        <v>#REF!</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EINSTELLUNG!F17</f>
        <v>12</v>
      </c>
      <c r="R38" s="176"/>
      <c r="S38" s="176">
        <f>EINSTELLUNG!F33</f>
        <v>12</v>
      </c>
      <c r="T38" s="176"/>
      <c r="U38" s="177">
        <f t="shared" si="0"/>
        <v>0</v>
      </c>
      <c r="V38" s="177"/>
    </row>
    <row r="39" spans="1:24" ht="16" customHeight="1">
      <c r="A39" s="61" t="s">
        <v>108</v>
      </c>
      <c r="B39" s="101">
        <v>401726</v>
      </c>
      <c r="C39" s="68" t="s">
        <v>286</v>
      </c>
      <c r="D39" s="123">
        <v>45870</v>
      </c>
      <c r="E39" s="65" t="s">
        <v>2</v>
      </c>
      <c r="F39" s="67">
        <v>86.5</v>
      </c>
      <c r="G39" s="116">
        <v>1010.5</v>
      </c>
      <c r="H39" s="89" t="e">
        <f>IF(AND(ISNUMBER(D39), ISNUMBER(F39)),
    ROUNDDOWN(
        MIN(
            IF(OR(ISBLANK(I40), I40=""),
                EOMONTH(DATE(#REF!, $A$1, 1), 0), I40)
            - MAX(D39, DATE(#REF!, $A$1, 1)) + 1)
        / DAY(EOMONTH(DATE(#REF!, $A$1, 1), 0)) * F39,
        2
    ),
    ""
)</f>
        <v>#REF!</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401730</v>
      </c>
      <c r="C40" s="68" t="s">
        <v>288</v>
      </c>
      <c r="D40" s="123">
        <v>45895</v>
      </c>
      <c r="E40" s="65" t="s">
        <v>2</v>
      </c>
      <c r="F40" s="67">
        <v>86.5</v>
      </c>
      <c r="G40" s="116">
        <v>1010.5</v>
      </c>
      <c r="H40" s="89" t="e">
        <f>IF(AND(ISNUMBER(D40), ISNUMBER(F40)),
    ROUNDDOWN(
        MIN(
            IF(OR(ISBLANK(I40), I40=""),
                EOMONTH(DATE(#REF!, $A$1, 1), 0), I40)
            - MAX(D40, DATE(#REF!, $A$1, 1)) + 1)
        / DAY(EOMONTH(DATE(#REF!, $A$1, 1), 0)) * F40,
        2
    ),
    ""
)</f>
        <v>#REF!</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t="e">
        <f>IF(Q13=0, 0, Q35/Q13)</f>
        <v>#REF!</v>
      </c>
      <c r="R40" s="174"/>
      <c r="S40" s="174" t="e">
        <f>IF(Q13=0, 0, S35/Q13)</f>
        <v>#REF!</v>
      </c>
      <c r="T40" s="174"/>
      <c r="U40" s="175" t="e">
        <f t="shared" si="0"/>
        <v>#REF!</v>
      </c>
      <c r="V40" s="175"/>
    </row>
    <row r="41" spans="1:24" ht="16" customHeight="1">
      <c r="A41" s="62" t="s">
        <v>112</v>
      </c>
      <c r="B41" s="101">
        <v>401731</v>
      </c>
      <c r="C41" s="68" t="s">
        <v>287</v>
      </c>
      <c r="D41" s="123">
        <v>45899</v>
      </c>
      <c r="E41" s="65" t="s">
        <v>2</v>
      </c>
      <c r="F41" s="67">
        <v>86.5</v>
      </c>
      <c r="G41" s="116">
        <v>1010.5</v>
      </c>
      <c r="H41" s="89" t="e">
        <f>IF(AND(ISNUMBER(D41), ISNUMBER(F41)),
    ROUNDDOWN(
        MIN(
            IF(OR(ISBLANK(I41), I41=""),
                EOMONTH(DATE(#REF!, $A$1, 1), 0), I41)
            - MAX(D41, DATE(#REF!, $A$1, 1)) + 1)
        / DAY(EOMONTH(DATE(#REF!, $A$1, 1), 0)) * F41,
        2
    ),
    ""
)</f>
        <v>#REF!</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t="e">
        <f>IF(Q13=0, 0, Q38/Q13)</f>
        <v>#REF!</v>
      </c>
      <c r="R41" s="176"/>
      <c r="S41" s="176" t="e">
        <f>IF(Q13=0, 0, S38/Q13)</f>
        <v>#REF!</v>
      </c>
      <c r="T41" s="176"/>
      <c r="U41" s="177" t="e">
        <f t="shared" si="0"/>
        <v>#REF!</v>
      </c>
      <c r="V41" s="177"/>
    </row>
    <row r="42" spans="1:24" ht="16" customHeight="1">
      <c r="A42" s="61" t="s">
        <v>114</v>
      </c>
      <c r="B42" s="101">
        <v>401734</v>
      </c>
      <c r="C42" s="68" t="s">
        <v>289</v>
      </c>
      <c r="D42" s="123">
        <v>45904</v>
      </c>
      <c r="E42" s="65" t="s">
        <v>2</v>
      </c>
      <c r="F42" s="67">
        <v>86.5</v>
      </c>
      <c r="G42" s="116">
        <v>1010.5</v>
      </c>
      <c r="H42" s="89" t="e">
        <f>IF(AND(ISNUMBER(D42), ISNUMBER(F42)),
    ROUNDDOWN(
        MIN(
            IF(OR(ISBLANK(I42), I42=""),
                EOMONTH(DATE(#REF!, $A$1, 1), 0), I42)
            - MAX(D42, DATE(#REF!, $A$1, 1)) + 1)
        / DAY(EOMONTH(DATE(#REF!, $A$1, 1), 0)) * F42,
        2
    ),
    ""
)</f>
        <v>#REF!</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401736</v>
      </c>
      <c r="C43" s="68" t="s">
        <v>290</v>
      </c>
      <c r="D43" s="123">
        <v>45906</v>
      </c>
      <c r="E43" s="65" t="s">
        <v>2</v>
      </c>
      <c r="F43" s="67">
        <v>86.5</v>
      </c>
      <c r="G43" s="116">
        <v>1010.5</v>
      </c>
      <c r="H43" s="89" t="e">
        <f>IF(AND(ISNUMBER(D43), ISNUMBER(F43)),
    ROUNDDOWN(
        MIN(
            IF(OR(ISBLANK(I43), I43=""),
                EOMONTH(DATE(#REF!, $A$1, 1), 0), I43)
            - MAX(D43, DATE(#REF!, $A$1, 1)) + 1)
        / DAY(EOMONTH(DATE(#REF!, $A$1, 1), 0)) * F43,
        2
    ),
    ""
)</f>
        <v>#REF!</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401737</v>
      </c>
      <c r="C44" s="68" t="s">
        <v>291</v>
      </c>
      <c r="D44" s="123">
        <v>45906</v>
      </c>
      <c r="E44" s="65" t="s">
        <v>2</v>
      </c>
      <c r="F44" s="67">
        <v>86.5</v>
      </c>
      <c r="G44" s="116">
        <v>1010.5</v>
      </c>
      <c r="H44" s="89" t="e">
        <f>IF(AND(ISNUMBER(D44), ISNUMBER(F44)),
    ROUNDDOWN(
        MIN(
            IF(OR(ISBLANK(I44), I44=""),
                EOMONTH(DATE(#REF!, $A$1, 1), 0), I44)
            - MAX(D44, DATE(#REF!, $A$1, 1)) + 1)
        / DAY(EOMONTH(DATE(#REF!, $A$1, 1), 0)) * F44,
        2
    ),
    ""
)</f>
        <v>#REF!</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401738</v>
      </c>
      <c r="C45" s="68" t="s">
        <v>292</v>
      </c>
      <c r="D45" s="123">
        <v>45909</v>
      </c>
      <c r="E45" s="65" t="s">
        <v>2</v>
      </c>
      <c r="F45" s="67">
        <v>86.5</v>
      </c>
      <c r="G45" s="116">
        <v>1010.5</v>
      </c>
      <c r="H45" s="89" t="e">
        <f>IF(AND(ISNUMBER(D45), ISNUMBER(F45)),
    ROUNDDOWN(
        MIN(
            IF(OR(ISBLANK(I45), I45=""),
                EOMONTH(DATE(#REF!, $A$1, 1), 0), I45)
            - MAX(D45, DATE(#REF!, $A$1, 1)) + 1)
        / DAY(EOMONTH(DATE(#REF!, $A$1, 1), 0)) * F45,
        2
    ),
    ""
)</f>
        <v>#REF!</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401745</v>
      </c>
      <c r="C46" s="68" t="s">
        <v>296</v>
      </c>
      <c r="D46" s="123">
        <v>45934</v>
      </c>
      <c r="E46" s="65" t="s">
        <v>2</v>
      </c>
      <c r="F46" s="67">
        <v>86.5</v>
      </c>
      <c r="G46" s="116">
        <v>1010.5</v>
      </c>
      <c r="H46" s="89" t="e">
        <f>IF(AND(ISNUMBER(D46), ISNUMBER(F46)),
    ROUNDDOWN(
        MIN(
            IF(OR(ISBLANK(I46), I46=""),
                EOMONTH(DATE(#REF!, $A$1, 1), 0), I46)
            - MAX(D46, DATE(#REF!, $A$1, 1)) + 1)
        / DAY(EOMONTH(DATE(#REF!, $A$1, 1), 0)) * F46,
        2
    ),
    ""
)</f>
        <v>#REF!</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401748</v>
      </c>
      <c r="C47" s="68" t="s">
        <v>294</v>
      </c>
      <c r="D47" s="123">
        <v>45941</v>
      </c>
      <c r="E47" s="65" t="s">
        <v>2</v>
      </c>
      <c r="F47" s="67">
        <v>86.5</v>
      </c>
      <c r="G47" s="116">
        <v>1010.5</v>
      </c>
      <c r="H47" s="89" t="e">
        <f>IF(AND(ISNUMBER(D47), ISNUMBER(F47)),
    ROUNDDOWN(
        MIN(
            IF(OR(ISBLANK(I47), I47=""),
                EOMONTH(DATE(#REF!, $A$1, 1), 0), I47)
            - MAX(D47, DATE(#REF!, $A$1, 1)) + 1)
        / DAY(EOMONTH(DATE(#REF!, $A$1, 1), 0)) * F47,
        2
    ),
    ""
)</f>
        <v>#REF!</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401751</v>
      </c>
      <c r="C48" s="68" t="s">
        <v>297</v>
      </c>
      <c r="D48" s="123">
        <v>45961</v>
      </c>
      <c r="E48" s="65" t="s">
        <v>2</v>
      </c>
      <c r="F48" s="67">
        <v>86.5</v>
      </c>
      <c r="G48" s="116">
        <v>1010.5</v>
      </c>
      <c r="H48" s="89" t="e">
        <f>IF(AND(ISNUMBER(D48), ISNUMBER(F48)),
    ROUNDDOWN(
        MIN(
            IF(OR(ISBLANK(I48), I48=""),
                EOMONTH(DATE(#REF!, $A$1, 1), 0), I48)
            - MAX(D48, DATE(#REF!, $A$1, 1)) + 1)
        / DAY(EOMONTH(DATE(#REF!, $A$1, 1), 0)) * F48,
        2
    ),
    ""
)</f>
        <v>#REF!</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401752</v>
      </c>
      <c r="C49" s="68" t="s">
        <v>298</v>
      </c>
      <c r="D49" s="123">
        <v>45986</v>
      </c>
      <c r="E49" s="65" t="s">
        <v>2</v>
      </c>
      <c r="F49" s="67">
        <v>86.5</v>
      </c>
      <c r="G49" s="116">
        <v>1010.5</v>
      </c>
      <c r="H49" s="89" t="e">
        <f>IF(AND(ISNUMBER(D49), ISNUMBER(F49)),
    ROUNDDOWN(
        MIN(
            IF(OR(ISBLANK(I49), I49=""),
                EOMONTH(DATE(#REF!, $A$1, 1), 0), I49)
            - MAX(D49, DATE(#REF!, $A$1, 1)) + 1)
        / DAY(EOMONTH(DATE(#REF!, $A$1, 1), 0)) * F49,
        2
    ),
    ""
)</f>
        <v>#REF!</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401999</v>
      </c>
      <c r="C50" s="68" t="s">
        <v>341</v>
      </c>
      <c r="D50" s="123">
        <v>46082</v>
      </c>
      <c r="E50" s="65" t="s">
        <v>2</v>
      </c>
      <c r="F50" s="67">
        <v>173</v>
      </c>
      <c r="G50" s="116">
        <v>2021</v>
      </c>
      <c r="H50" s="89" t="e">
        <f>IF(AND(ISNUMBER(D50), ISNUMBER(F50)),
    ROUNDDOWN(
        MIN(
            IF(OR(ISBLANK(I50), I50=""),
                EOMONTH(DATE(#REF!, $A$1, 1), 0), I50)
            - MAX(D50, DATE(#REF!, $A$1, 1)) + 1)
        / DAY(EOMONTH(DATE(#REF!, $A$1, 1), 0)) * F50,
        2
    ),
    ""
)</f>
        <v>#REF!</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402000</v>
      </c>
      <c r="C51" s="68" t="s">
        <v>348</v>
      </c>
      <c r="D51" s="123">
        <v>46143</v>
      </c>
      <c r="E51" s="65" t="s">
        <v>2</v>
      </c>
      <c r="F51" s="67">
        <v>173</v>
      </c>
      <c r="G51" s="116">
        <v>2021</v>
      </c>
      <c r="H51" s="89" t="e">
        <f>IF(AND(ISNUMBER(D51), ISNUMBER(F51)),
    ROUNDDOWN(
        MIN(
            IF(OR(ISBLANK(I51), I51=""),
                EOMONTH(DATE(#REF!, $A$1, 1), 0), I51)
            - MAX(D51, DATE(#REF!, $A$1, 1)) + 1)
        / DAY(EOMONTH(DATE(#REF!, $A$1, 1), 0)) * F51,
        2
    ),
    ""
)</f>
        <v>#REF!</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402004</v>
      </c>
      <c r="C52" s="68" t="s">
        <v>350</v>
      </c>
      <c r="D52" s="123">
        <v>46122</v>
      </c>
      <c r="E52" s="65" t="s">
        <v>2</v>
      </c>
      <c r="F52" s="67">
        <v>173</v>
      </c>
      <c r="G52" s="116">
        <v>2021</v>
      </c>
      <c r="H52" s="89" t="e">
        <f>IF(AND(ISNUMBER(D52), ISNUMBER(F52)),
    ROUNDDOWN(
        MIN(
            IF(OR(ISBLANK(I52), I52=""),
                EOMONTH(DATE(#REF!, $A$1, 1), 0), I52)
            - MAX(D52, DATE(#REF!, $A$1, 1)) + 1)
        / DAY(EOMONTH(DATE(#REF!, $A$1, 1), 0)) * F52,
        2
    ),
    ""
)</f>
        <v>#REF!</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402405</v>
      </c>
      <c r="C53" s="68" t="s">
        <v>352</v>
      </c>
      <c r="D53" s="123">
        <v>46054</v>
      </c>
      <c r="E53" s="65" t="s">
        <v>2</v>
      </c>
      <c r="F53" s="67">
        <v>173</v>
      </c>
      <c r="G53" s="116">
        <v>2021</v>
      </c>
      <c r="H53" s="89" t="e">
        <f>IF(AND(ISNUMBER(D53), ISNUMBER(F53)),
    ROUNDDOWN(
        MIN(
            IF(OR(ISBLANK(I53), I53=""),
                EOMONTH(DATE(#REF!, $A$1, 1), 0), I53)
            - MAX(D53, DATE(#REF!, $A$1, 1)) + 1)
        / DAY(EOMONTH(DATE(#REF!, $A$1, 1), 0)) * F53,
        2
    ),
    ""
)</f>
        <v>#REF!</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500600</v>
      </c>
      <c r="C54" s="68" t="s">
        <v>357</v>
      </c>
      <c r="D54" s="123">
        <v>46054</v>
      </c>
      <c r="E54" s="65" t="s">
        <v>2</v>
      </c>
      <c r="F54" s="67">
        <v>173</v>
      </c>
      <c r="G54" s="116">
        <v>2021</v>
      </c>
      <c r="H54" s="89" t="e">
        <f>IF(AND(ISNUMBER(D54), ISNUMBER(F54)),
    ROUNDDOWN(
        MIN(
            IF(OR(ISBLANK(I54), I54=""),
                EOMONTH(DATE(#REF!, $A$1, 1), 0), I54)
            - MAX(D54, DATE(#REF!, $A$1, 1)) + 1)
        / DAY(EOMONTH(DATE(#REF!, $A$1, 1), 0)) * F54,
        2
    ),
    ""
)</f>
        <v>#REF!</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502000</v>
      </c>
      <c r="C55" s="68" t="s">
        <v>351</v>
      </c>
      <c r="D55" s="123">
        <v>46147</v>
      </c>
      <c r="E55" s="65" t="s">
        <v>2</v>
      </c>
      <c r="F55" s="67">
        <v>173</v>
      </c>
      <c r="G55" s="116">
        <v>2021</v>
      </c>
      <c r="H55" s="89" t="e">
        <f>IF(AND(ISNUMBER(D55), ISNUMBER(F55)),
    ROUNDDOWN(
        MIN(
            IF(OR(ISBLANK(I55), I55=""),
                EOMONTH(DATE(#REF!, $A$1, 1), 0), I55)
            - MAX(D55, DATE(#REF!, $A$1, 1)) + 1)
        / DAY(EOMONTH(DATE(#REF!, $A$1, 1), 0)) * F55,
        2
    ),
    ""
)</f>
        <v>#REF!</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503000</v>
      </c>
      <c r="C56" s="68" t="s">
        <v>354</v>
      </c>
      <c r="D56" s="123">
        <v>42401</v>
      </c>
      <c r="E56" s="65" t="s">
        <v>2</v>
      </c>
      <c r="F56" s="67">
        <v>173</v>
      </c>
      <c r="G56" s="116">
        <v>2021</v>
      </c>
      <c r="H56" s="89" t="e">
        <f>IF(AND(ISNUMBER(D56), ISNUMBER(F56)),
    ROUNDDOWN(
        MIN(
            IF(OR(ISBLANK(I56), I56=""),
                EOMONTH(DATE(#REF!, $A$1, 1), 0), I56)
            - MAX(D56, DATE(#REF!, $A$1, 1)) + 1)
        / DAY(EOMONTH(DATE(#REF!, $A$1, 1), 0)) * F56,
        2
    ),
    ""
)</f>
        <v>#REF!</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504000</v>
      </c>
      <c r="C57" s="68" t="s">
        <v>355</v>
      </c>
      <c r="D57" s="123">
        <v>46054</v>
      </c>
      <c r="E57" s="65" t="s">
        <v>3</v>
      </c>
      <c r="F57" s="67">
        <v>138.4</v>
      </c>
      <c r="G57" s="116">
        <v>1665.6</v>
      </c>
      <c r="H57" s="89" t="e">
        <f>IF(AND(ISNUMBER(D57), ISNUMBER(F57)),
    ROUNDDOWN(
        MIN(
            IF(OR(ISBLANK(I57), I57=""),
                EOMONTH(DATE(#REF!, $A$1, 1), 0), I57)
            - MAX(D57, DATE(#REF!, $A$1, 1)) + 1)
        / DAY(EOMONTH(DATE(#REF!, $A$1, 1), 0)) * F57,
        2
    ),
    ""
)</f>
        <v>#REF!</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505000</v>
      </c>
      <c r="C58" s="68" t="s">
        <v>356</v>
      </c>
      <c r="D58" s="123">
        <v>46054</v>
      </c>
      <c r="E58" s="65" t="s">
        <v>2</v>
      </c>
      <c r="F58" s="67">
        <v>138.4</v>
      </c>
      <c r="G58" s="116">
        <v>1616.8</v>
      </c>
      <c r="H58" s="89" t="e">
        <f>IF(AND(ISNUMBER(D58), ISNUMBER(F58)),
    ROUNDDOWN(
        MIN(
            IF(OR(ISBLANK(I58), I58=""),
                EOMONTH(DATE(#REF!, $A$1, 1), 0), I58)
            - MAX(D58, DATE(#REF!, $A$1, 1)) + 1)
        / DAY(EOMONTH(DATE(#REF!, $A$1, 1), 0)) * F58,
        2
    ),
    ""
)</f>
        <v>#REF!</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700000</v>
      </c>
      <c r="C59" s="68" t="s">
        <v>375</v>
      </c>
      <c r="D59" s="123">
        <v>46054</v>
      </c>
      <c r="E59" s="65" t="s">
        <v>2</v>
      </c>
      <c r="F59" s="67">
        <v>129.75</v>
      </c>
      <c r="G59" s="116">
        <v>1515.75</v>
      </c>
      <c r="H59" s="89" t="e">
        <f>IF(AND(ISNUMBER(D59), ISNUMBER(F59)),
    ROUNDDOWN(
        MIN(
            IF(OR(ISBLANK(I59), I59=""),
                EOMONTH(DATE(#REF!, $A$1, 1), 0), I59)
            - MAX(D59, DATE(#REF!, $A$1, 1)) + 1)
        / DAY(EOMONTH(DATE(#REF!, $A$1, 1), 0)) * F59,
        2
    ),
    ""
)</f>
        <v>#REF!</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800000</v>
      </c>
      <c r="C60" s="68" t="s">
        <v>376</v>
      </c>
      <c r="D60" s="123">
        <v>46082</v>
      </c>
      <c r="E60" s="65" t="s">
        <v>2</v>
      </c>
      <c r="F60" s="67">
        <v>173</v>
      </c>
      <c r="G60" s="116">
        <v>2021</v>
      </c>
      <c r="H60" s="89" t="e">
        <f>IF(AND(ISNUMBER(D60), ISNUMBER(F60)),
    ROUNDDOWN(
        MIN(
            IF(OR(ISBLANK(I60), I60=""),
                EOMONTH(DATE(#REF!, $A$1, 1), 0), I60)
            - MAX(D60, DATE(#REF!, $A$1, 1)) + 1)
        / DAY(EOMONTH(DATE(#REF!, $A$1, 1), 0)) * F60,
        2
    ),
    ""
)</f>
        <v>#REF!</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c r="C61" s="68"/>
      <c r="D61" s="123"/>
      <c r="E61" s="65"/>
      <c r="F61" s="67"/>
      <c r="G61" s="116"/>
      <c r="H61" s="89" t="str">
        <f>IF(AND(ISNUMBER(D61), ISNUMBER(F61)),
    ROUNDDOWN(
        MIN(
            IF(OR(ISBLANK(I61), I61=""),
                EOMONTH(DATE(#REF!, $A$1, 1), 0), I61)
            - MAX(D61, DATE(#REF!, $A$1, 1)) + 1)
        / DAY(EOMONTH(DATE(#REF!, $A$1, 1), 0)) * F61,
        2
    ),
    ""
)</f>
        <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 ISNUMBER(F62)),
    ROUNDDOWN(
        MIN(
            IF(OR(ISBLANK(I62), I62=""),
                EOMONTH(DATE(#REF!, $A$1, 1), 0), I62)
            - MAX(D62, DATE(#REF!, $A$1, 1)) + 1)
        / DAY(EOMONTH(DATE(#REF!, $A$1, 1), 0)) * F62,
        2
    ),
    ""
)</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 ISNUMBER(F63)),
    ROUNDDOWN(
        MIN(
            IF(OR(ISBLANK(I63), I63=""),
                EOMONTH(DATE(#REF!, $A$1, 1), 0), I63)
            - MAX(D63, DATE(#REF!, $A$1, 1)) + 1)
        / DAY(EOMONTH(DATE(#REF!, $A$1, 1), 0)) * F63,
        2
    ),
    ""
)</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 ISNUMBER(F64)),
    ROUNDDOWN(
        MIN(
            IF(OR(ISBLANK(I64), I64=""),
                EOMONTH(DATE(#REF!, $A$1, 1), 0), I64)
            - MAX(D64, DATE(#REF!, $A$1, 1)) + 1)
        / DAY(EOMONTH(DATE(#REF!, $A$1, 1), 0)) * F64,
        2
    ),
    ""
)</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 ISNUMBER(F65)),
    ROUNDDOWN(
        MIN(
            IF(OR(ISBLANK(I65), I65=""),
                EOMONTH(DATE(#REF!, $A$1, 1), 0), I65)
            - MAX(D65, DATE(#REF!, $A$1, 1)) + 1)
        / DAY(EOMONTH(DATE(#REF!, $A$1, 1), 0)) * F65,
        2
    ),
    ""
)</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 ISNUMBER(F66)),
    ROUNDDOWN(
        MIN(
            IF(OR(ISBLANK(I66), I66=""),
                EOMONTH(DATE(#REF!, $A$1, 1), 0), I66)
            - MAX(D66, DATE(#REF!, $A$1, 1)) + 1)
        / DAY(EOMONTH(DATE(#REF!, $A$1, 1), 0)) * F66,
        2
    ),
    ""
)</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 ISNUMBER(F67)),
    ROUNDDOWN(
        MIN(
            IF(OR(ISBLANK(I67), I67=""),
                EOMONTH(DATE(#REF!, $A$1, 1), 0), I67)
            - MAX(D67, DATE(#REF!, $A$1, 1)) + 1)
        / DAY(EOMONTH(DATE(#REF!, $A$1, 1), 0)) * F67,
        2
    ),
    ""
)</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 ISNUMBER(F68)),
    ROUNDDOWN(
        MIN(
            IF(OR(ISBLANK(I68), I68=""),
                EOMONTH(DATE(#REF!, $A$1, 1), 0), I68)
            - MAX(D68, DATE(#REF!, $A$1, 1)) + 1)
        / DAY(EOMONTH(DATE(#REF!, $A$1, 1), 0)) * F68,
        2
    ),
    ""
)</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 ISNUMBER(F69)),
    ROUNDDOWN(
        MIN(
            IF(OR(ISBLANK(I69), I69=""),
                EOMONTH(DATE(#REF!, $A$1, 1), 0), I69)
            - MAX(D69, DATE(#REF!, $A$1, 1)) + 1)
        / DAY(EOMONTH(DATE(#REF!, $A$1, 1), 0)) * F69,
        2
    ),
    ""
)</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 ISNUMBER(F70)),
    ROUNDDOWN(
        MIN(
            IF(OR(ISBLANK(I70), I70=""),
                EOMONTH(DATE(#REF!, $A$1, 1), 0), I70)
            - MAX(D70, DATE(#REF!, $A$1, 1)) + 1)
        / DAY(EOMONTH(DATE(#REF!, $A$1, 1), 0)) * F70,
        2
    ),
    ""
)</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 ISNUMBER(F71)),
    ROUNDDOWN(
        MIN(
            IF(OR(ISBLANK(I71), I71=""),
                EOMONTH(DATE(#REF!, $A$1, 1), 0), I71)
            - MAX(D71, DATE(#REF!, $A$1, 1)) + 1)
        / DAY(EOMONTH(DATE(#REF!, $A$1, 1), 0)) * F71,
        2
    ),
    ""
)</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 ISNUMBER(F72)),
    ROUNDDOWN(
        MIN(
            IF(OR(ISBLANK(I72), I72=""),
                EOMONTH(DATE(#REF!, $A$1, 1), 0), I72)
            - MAX(D72, DATE(#REF!, $A$1, 1)) + 1)
        / DAY(EOMONTH(DATE(#REF!, $A$1, 1), 0)) * F72,
        2
    ),
    ""
)</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 ISNUMBER(F73)),
    ROUNDDOWN(
        MIN(
            IF(OR(ISBLANK(I73), I73=""),
                EOMONTH(DATE(#REF!, $A$1, 1), 0), I73)
            - MAX(D73, DATE(#REF!, $A$1, 1)) + 1)
        / DAY(EOMONTH(DATE(#REF!, $A$1, 1), 0)) * F73,
        2
    ),
    ""
)</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 ISNUMBER(F74)),
    ROUNDDOWN(
        MIN(
            IF(OR(ISBLANK(I74), I74=""),
                EOMONTH(DATE(#REF!, $A$1, 1), 0), I74)
            - MAX(D74, DATE(#REF!, $A$1, 1)) + 1)
        / DAY(EOMONTH(DATE(#REF!, $A$1, 1), 0)) * F74,
        2
    ),
    ""
)</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 ISNUMBER(F75)),
    ROUNDDOWN(
        MIN(
            IF(OR(ISBLANK(I75), I75=""),
                EOMONTH(DATE(#REF!, $A$1, 1), 0), I75)
            - MAX(D75, DATE(#REF!, $A$1, 1)) + 1)
        / DAY(EOMONTH(DATE(#REF!, $A$1, 1), 0)) * F75,
        2
    ),
    ""
)</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 ISNUMBER(F76)),
    ROUNDDOWN(
        MIN(
            IF(OR(ISBLANK(I76), I76=""),
                EOMONTH(DATE(#REF!, $A$1, 1), 0), I76)
            - MAX(D76, DATE(#REF!, $A$1, 1)) + 1)
        / DAY(EOMONTH(DATE(#REF!, $A$1, 1), 0)) * F76,
        2
    ),
    ""
)</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 ISNUMBER(F77)),
    ROUNDDOWN(
        MIN(
            IF(OR(ISBLANK(I77), I77=""),
                EOMONTH(DATE(#REF!, $A$1, 1), 0), I77)
            - MAX(D77, DATE(#REF!, $A$1, 1)) + 1)
        / DAY(EOMONTH(DATE(#REF!, $A$1, 1), 0)) * F77,
        2
    ),
    ""
)</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 ISNUMBER(F78)),
    ROUNDDOWN(
        MIN(
            IF(OR(ISBLANK(I78), I78=""),
                EOMONTH(DATE(#REF!, $A$1, 1), 0), I78)
            - MAX(D78, DATE(#REF!, $A$1, 1)) + 1)
        / DAY(EOMONTH(DATE(#REF!, $A$1, 1), 0)) * F78,
        2
    ),
    ""
)</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 ISNUMBER(F79)),
    ROUNDDOWN(
        MIN(
            IF(OR(ISBLANK(I79), I79=""),
                EOMONTH(DATE(#REF!, $A$1, 1), 0), I79)
            - MAX(D79, DATE(#REF!, $A$1, 1)) + 1)
        / DAY(EOMONTH(DATE(#REF!, $A$1, 1), 0)) * F79,
        2
    ),
    ""
)</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 ISNUMBER(F80)),
    ROUNDDOWN(
        MIN(
            IF(OR(ISBLANK(I80), I80=""),
                EOMONTH(DATE(#REF!, $A$1, 1), 0), I80)
            - MAX(D80, DATE(#REF!, $A$1, 1)) + 1)
        / DAY(EOMONTH(DATE(#REF!, $A$1, 1), 0)) * F80,
        2
    ),
    ""
)</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 ISNUMBER(F81)),
    ROUNDDOWN(
        MIN(
            IF(OR(ISBLANK(I81), I81=""),
                EOMONTH(DATE(#REF!, $A$1, 1), 0), I81)
            - MAX(D81, DATE(#REF!, $A$1, 1)) + 1)
        / DAY(EOMONTH(DATE(#REF!, $A$1, 1), 0)) * F81,
        2
    ),
    ""
)</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 ISNUMBER(F82)),
    ROUNDDOWN(
        MIN(
            IF(OR(ISBLANK(I82), I82=""),
                EOMONTH(DATE(#REF!, $A$1, 1), 0), I82)
            - MAX(D82, DATE(#REF!, $A$1, 1)) + 1)
        / DAY(EOMONTH(DATE(#REF!, $A$1, 1), 0)) * F82,
        2
    ),
    ""
)</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tcxvtEQ+Y7TqiKasWm/mhYMVbNdYv1izcpDANTSrBDkB6mvWdQTqe4QSv+a0kFJljPmBzKS0/c8fZXP7oT/YLA==" saltValue="l3iXlVmbe6TKjx5XdmVVdw=="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4" type="noConversion"/>
  <dataValidations count="62">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#REF!</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293" t="e">
        <f>"FINANZIELL ÜBERSICHT "&amp;#REF!</f>
        <v>#REF!</v>
      </c>
      <c r="C2" s="293"/>
      <c r="D2" s="293"/>
      <c r="E2" s="293"/>
      <c r="F2" s="293"/>
      <c r="G2" s="293"/>
      <c r="H2" s="293"/>
      <c r="I2" s="293"/>
      <c r="J2" s="293"/>
      <c r="K2" s="293"/>
      <c r="L2" s="293"/>
      <c r="M2" s="293"/>
      <c r="N2" s="293"/>
      <c r="O2" s="293"/>
      <c r="P2" s="293"/>
      <c r="Q2" s="293"/>
      <c r="R2" s="2"/>
    </row>
    <row r="3" spans="2:18" ht="15.75" customHeight="1">
      <c r="B3" s="293"/>
      <c r="C3" s="293"/>
      <c r="D3" s="293"/>
      <c r="E3" s="293"/>
      <c r="F3" s="293"/>
      <c r="G3" s="293"/>
      <c r="H3" s="293"/>
      <c r="I3" s="293"/>
      <c r="J3" s="293"/>
      <c r="K3" s="293"/>
      <c r="L3" s="293"/>
      <c r="M3" s="293"/>
      <c r="N3" s="293"/>
      <c r="O3" s="293"/>
      <c r="P3" s="293"/>
      <c r="Q3" s="293"/>
      <c r="R3" s="2"/>
    </row>
    <row r="4" spans="2:18" ht="30" customHeight="1">
      <c r="B4" s="295"/>
      <c r="C4" s="294" t="s">
        <v>18</v>
      </c>
      <c r="D4" s="294"/>
      <c r="E4" s="294"/>
      <c r="F4" s="294" t="s">
        <v>164</v>
      </c>
      <c r="G4" s="294"/>
      <c r="H4" s="294"/>
      <c r="I4" s="294" t="s">
        <v>165</v>
      </c>
      <c r="J4" s="294"/>
      <c r="K4" s="294"/>
      <c r="L4" s="294" t="s">
        <v>166</v>
      </c>
      <c r="M4" s="294" t="s">
        <v>167</v>
      </c>
      <c r="N4" s="296" t="s">
        <v>168</v>
      </c>
      <c r="O4" s="296"/>
      <c r="P4" s="296"/>
      <c r="Q4" s="296" t="s">
        <v>93</v>
      </c>
    </row>
    <row r="5" spans="2:18" ht="30" customHeight="1">
      <c r="B5" s="295"/>
      <c r="C5" s="294"/>
      <c r="D5" s="294"/>
      <c r="E5" s="294"/>
      <c r="F5" s="294"/>
      <c r="G5" s="294"/>
      <c r="H5" s="294"/>
      <c r="I5" s="294"/>
      <c r="J5" s="294"/>
      <c r="K5" s="294"/>
      <c r="L5" s="294"/>
      <c r="M5" s="294"/>
      <c r="N5" s="296"/>
      <c r="O5" s="296"/>
      <c r="P5" s="296"/>
      <c r="Q5" s="296"/>
    </row>
    <row r="6" spans="2:18" ht="30" customHeight="1">
      <c r="B6" s="295"/>
      <c r="C6" s="25" t="s">
        <v>169</v>
      </c>
      <c r="D6" s="25" t="s">
        <v>170</v>
      </c>
      <c r="E6" s="26" t="s">
        <v>171</v>
      </c>
      <c r="F6" s="25" t="s">
        <v>169</v>
      </c>
      <c r="G6" s="25" t="s">
        <v>170</v>
      </c>
      <c r="H6" s="26" t="s">
        <v>171</v>
      </c>
      <c r="I6" s="25" t="s">
        <v>169</v>
      </c>
      <c r="J6" s="25" t="s">
        <v>170</v>
      </c>
      <c r="K6" s="26" t="s">
        <v>171</v>
      </c>
      <c r="L6" s="294"/>
      <c r="M6" s="294"/>
      <c r="N6" s="25" t="s">
        <v>172</v>
      </c>
      <c r="O6" s="25" t="s">
        <v>173</v>
      </c>
      <c r="P6" s="26" t="s">
        <v>171</v>
      </c>
      <c r="Q6" s="296"/>
    </row>
    <row r="7" spans="2:18" ht="30" customHeight="1">
      <c r="B7" s="28" t="s">
        <v>174</v>
      </c>
      <c r="C7" s="30">
        <f>EINSTELLUNG!C6</f>
        <v>1</v>
      </c>
      <c r="D7" s="30">
        <f>EINSTELLUNG!C22</f>
        <v>1</v>
      </c>
      <c r="E7" s="48">
        <f>D7-C7</f>
        <v>0</v>
      </c>
      <c r="F7" s="30">
        <f>EINSTELLUNG!D6</f>
        <v>1</v>
      </c>
      <c r="G7" s="30">
        <f>Januar!S36</f>
        <v>0</v>
      </c>
      <c r="H7" s="48">
        <f>G7-F7</f>
        <v>-1</v>
      </c>
      <c r="I7" s="31">
        <f>EINSTELLUNG!E6</f>
        <v>1</v>
      </c>
      <c r="J7" s="31">
        <f>EINSTELLUNG!E22</f>
        <v>0</v>
      </c>
      <c r="K7" s="32">
        <f>J7-I7</f>
        <v>-1</v>
      </c>
      <c r="L7" s="30" t="e">
        <f>Januar!S40</f>
        <v>#REF!</v>
      </c>
      <c r="M7" s="27" t="e">
        <f>Januar!S41</f>
        <v>#REF!</v>
      </c>
      <c r="N7" s="27">
        <f>Januar!O5</f>
        <v>724.55354077472225</v>
      </c>
      <c r="O7" s="27">
        <f>Januar!P5</f>
        <v>1</v>
      </c>
      <c r="P7" s="50">
        <f>O7-N7</f>
        <v>-723.55354077472225</v>
      </c>
      <c r="Q7" s="31">
        <f>Januar!Q31</f>
        <v>1.9607843137254902E-2</v>
      </c>
    </row>
    <row r="8" spans="2:18" ht="30" customHeight="1">
      <c r="B8" s="28" t="s">
        <v>175</v>
      </c>
      <c r="C8" s="30">
        <f>EINSTELLUNG!C7</f>
        <v>2</v>
      </c>
      <c r="D8" s="30">
        <f>EINSTELLUNG!C23</f>
        <v>2</v>
      </c>
      <c r="E8" s="48">
        <f>D8-C8</f>
        <v>0</v>
      </c>
      <c r="F8" s="30">
        <f>EINSTELLUNG!D7</f>
        <v>2</v>
      </c>
      <c r="G8" s="30">
        <f>Februar!$S$36</f>
        <v>0</v>
      </c>
      <c r="H8" s="48">
        <f>G8-F8</f>
        <v>-2</v>
      </c>
      <c r="I8" s="31">
        <f>EINSTELLUNG!E7</f>
        <v>1</v>
      </c>
      <c r="J8" s="31">
        <f>EINSTELLUNG!E23</f>
        <v>0</v>
      </c>
      <c r="K8" s="32">
        <f t="shared" ref="K8:K22" si="0">J8-I8</f>
        <v>-1</v>
      </c>
      <c r="L8" s="30" t="e">
        <f>Februar!S40</f>
        <v>#REF!</v>
      </c>
      <c r="M8" s="27" t="e">
        <f>Februar!S41</f>
        <v>#REF!</v>
      </c>
      <c r="N8" s="27">
        <f>Februar!O5</f>
        <v>842.66960625479021</v>
      </c>
      <c r="O8" s="27">
        <f>Februar!P5</f>
        <v>2</v>
      </c>
      <c r="P8" s="50">
        <f t="shared" ref="P8:P23" si="1">O8-N8</f>
        <v>-840.66960625479021</v>
      </c>
      <c r="Q8" s="31">
        <f>Februar!Q31</f>
        <v>1.7241379310344827E-2</v>
      </c>
    </row>
    <row r="9" spans="2:18" ht="30" customHeight="1">
      <c r="B9" s="28" t="s">
        <v>176</v>
      </c>
      <c r="C9" s="30">
        <f>EINSTELLUNG!C8</f>
        <v>3</v>
      </c>
      <c r="D9" s="30">
        <f>EINSTELLUNG!C24</f>
        <v>3</v>
      </c>
      <c r="E9" s="48">
        <f>D9-C9</f>
        <v>0</v>
      </c>
      <c r="F9" s="30">
        <f>EINSTELLUNG!D8</f>
        <v>3</v>
      </c>
      <c r="G9" s="30">
        <f>Marz!$S$36</f>
        <v>0</v>
      </c>
      <c r="H9" s="48">
        <f>G9-F9</f>
        <v>-3</v>
      </c>
      <c r="I9" s="31">
        <f>EINSTELLUNG!E8</f>
        <v>1</v>
      </c>
      <c r="J9" s="31">
        <f>EINSTELLUNG!E24</f>
        <v>0</v>
      </c>
      <c r="K9" s="32">
        <f>J9-I9</f>
        <v>-1</v>
      </c>
      <c r="L9" s="30" t="e">
        <f>Marz!S40</f>
        <v>#REF!</v>
      </c>
      <c r="M9" s="27" t="e">
        <f>Marz!S41</f>
        <v>#REF!</v>
      </c>
      <c r="N9" s="27">
        <f>Marz!O5</f>
        <v>861.45075354782682</v>
      </c>
      <c r="O9" s="27">
        <f>Marz!P5</f>
        <v>3</v>
      </c>
      <c r="P9" s="50">
        <f t="shared" si="1"/>
        <v>-858.45075354782682</v>
      </c>
      <c r="Q9" s="31">
        <f>Marz!Q31</f>
        <v>1.6666666666666666E-2</v>
      </c>
    </row>
    <row r="10" spans="2:18" ht="30" customHeight="1">
      <c r="B10" s="33" t="s">
        <v>177</v>
      </c>
      <c r="C10" s="34">
        <f>SUM(C7:C9)</f>
        <v>6</v>
      </c>
      <c r="D10" s="34">
        <f>SUM(D7:D9)</f>
        <v>6</v>
      </c>
      <c r="E10" s="49">
        <f>D10-C10</f>
        <v>0</v>
      </c>
      <c r="F10" s="34">
        <f>SUM(F7:F9)</f>
        <v>6</v>
      </c>
      <c r="G10" s="34">
        <f>SUM(G7:G9)</f>
        <v>0</v>
      </c>
      <c r="H10" s="49">
        <f>G10-F10</f>
        <v>-6</v>
      </c>
      <c r="I10" s="35">
        <f>AVERAGE(I7:I9)</f>
        <v>1</v>
      </c>
      <c r="J10" s="35">
        <f>AVERAGE(J7:J9)</f>
        <v>0</v>
      </c>
      <c r="K10" s="36">
        <f>J10-I10</f>
        <v>-1</v>
      </c>
      <c r="L10" s="34" t="e">
        <f>AVERAGE(L7:L9)</f>
        <v>#REF!</v>
      </c>
      <c r="M10" s="29" t="e">
        <f>AVERAGE(M7:M9)</f>
        <v>#REF!</v>
      </c>
      <c r="N10" s="29">
        <f>SUM(N7:N9)</f>
        <v>2428.6739005773393</v>
      </c>
      <c r="O10" s="29">
        <f>SUM(O7:O9)</f>
        <v>6</v>
      </c>
      <c r="P10" s="51">
        <f t="shared" si="1"/>
        <v>-2422.6739005773393</v>
      </c>
      <c r="Q10" s="35">
        <f>AVERAGE(Q7:Q9)</f>
        <v>1.7838629704755467E-2</v>
      </c>
    </row>
    <row r="11" spans="2:18" ht="30" customHeight="1">
      <c r="B11" s="28" t="s">
        <v>178</v>
      </c>
      <c r="C11" s="30">
        <f>EINSTELLUNG!C9</f>
        <v>4</v>
      </c>
      <c r="D11" s="30">
        <f>EINSTELLUNG!C25</f>
        <v>4</v>
      </c>
      <c r="E11" s="48">
        <f t="shared" ref="E11:E21" si="2">D11-C11</f>
        <v>0</v>
      </c>
      <c r="F11" s="30">
        <f>EINSTELLUNG!D9</f>
        <v>4</v>
      </c>
      <c r="G11" s="30">
        <f>April!$S$36</f>
        <v>5004</v>
      </c>
      <c r="H11" s="48">
        <f>G11-F11</f>
        <v>5000</v>
      </c>
      <c r="I11" s="31">
        <f>EINSTELLUNG!E9</f>
        <v>1</v>
      </c>
      <c r="J11" s="31">
        <f>EINSTELLUNG!E25</f>
        <v>1251</v>
      </c>
      <c r="K11" s="32">
        <f t="shared" si="0"/>
        <v>1250</v>
      </c>
      <c r="L11" s="30" t="e">
        <f>April!S40</f>
        <v>#REF!</v>
      </c>
      <c r="M11" s="27" t="e">
        <f>April!S41</f>
        <v>#REF!</v>
      </c>
      <c r="N11" s="27">
        <f>April!O5</f>
        <v>855.94051045650838</v>
      </c>
      <c r="O11" s="27">
        <f>April!P5</f>
        <v>4</v>
      </c>
      <c r="P11" s="50">
        <f t="shared" si="1"/>
        <v>-851.94051045650838</v>
      </c>
      <c r="Q11" s="31">
        <f>April!Q31</f>
        <v>0</v>
      </c>
    </row>
    <row r="12" spans="2:18" ht="30" customHeight="1">
      <c r="B12" s="28" t="s">
        <v>179</v>
      </c>
      <c r="C12" s="30">
        <f>EINSTELLUNG!C10</f>
        <v>5</v>
      </c>
      <c r="D12" s="30">
        <f>EINSTELLUNG!C26</f>
        <v>5</v>
      </c>
      <c r="E12" s="48">
        <f t="shared" si="2"/>
        <v>0</v>
      </c>
      <c r="F12" s="30">
        <f>EINSTELLUNG!D10</f>
        <v>5</v>
      </c>
      <c r="G12" s="30">
        <f>Mai!$S$36</f>
        <v>5005</v>
      </c>
      <c r="H12" s="48">
        <f t="shared" ref="H12:H23" si="3">G12-F12</f>
        <v>5000</v>
      </c>
      <c r="I12" s="31">
        <f>EINSTELLUNG!E10</f>
        <v>1</v>
      </c>
      <c r="J12" s="31">
        <f>EINSTELLUNG!E26</f>
        <v>1001</v>
      </c>
      <c r="K12" s="32">
        <f t="shared" si="0"/>
        <v>1000</v>
      </c>
      <c r="L12" s="30" t="e">
        <f>Mai!S40</f>
        <v>#REF!</v>
      </c>
      <c r="M12" s="27" t="e">
        <f>Mai!S41</f>
        <v>#REF!</v>
      </c>
      <c r="N12" s="27">
        <f>Mai!O5</f>
        <v>899.01401315020325</v>
      </c>
      <c r="O12" s="27">
        <f>Mai!P5</f>
        <v>5</v>
      </c>
      <c r="P12" s="50">
        <f t="shared" si="1"/>
        <v>-894.01401315020325</v>
      </c>
      <c r="Q12" s="31">
        <f>Mai!Q31</f>
        <v>0</v>
      </c>
    </row>
    <row r="13" spans="2:18" ht="30" customHeight="1">
      <c r="B13" s="28" t="s">
        <v>180</v>
      </c>
      <c r="C13" s="30">
        <f>EINSTELLUNG!C11</f>
        <v>6</v>
      </c>
      <c r="D13" s="30">
        <f>EINSTELLUNG!C27</f>
        <v>6</v>
      </c>
      <c r="E13" s="48">
        <f t="shared" si="2"/>
        <v>0</v>
      </c>
      <c r="F13" s="30">
        <f>EINSTELLUNG!D11</f>
        <v>6</v>
      </c>
      <c r="G13" s="30">
        <f>Juni!$S$36</f>
        <v>0</v>
      </c>
      <c r="H13" s="48">
        <f t="shared" si="3"/>
        <v>-6</v>
      </c>
      <c r="I13" s="31">
        <f>EINSTELLUNG!E11</f>
        <v>1</v>
      </c>
      <c r="J13" s="31">
        <f>EINSTELLUNG!E27</f>
        <v>0</v>
      </c>
      <c r="K13" s="32">
        <f t="shared" si="0"/>
        <v>-1</v>
      </c>
      <c r="L13" s="30">
        <f>Juni!S40</f>
        <v>1.3574660633484163E-2</v>
      </c>
      <c r="M13" s="27">
        <f>Juni!S41</f>
        <v>1.3574660633484163E-2</v>
      </c>
      <c r="N13" s="27">
        <f>Juni!O5</f>
        <v>903.18770866157831</v>
      </c>
      <c r="O13" s="27">
        <f>Juni!P5</f>
        <v>6</v>
      </c>
      <c r="P13" s="50">
        <f t="shared" si="1"/>
        <v>-897.18770866157831</v>
      </c>
      <c r="Q13" s="31">
        <f>Juni!Q31</f>
        <v>1.6666666666666666E-2</v>
      </c>
    </row>
    <row r="14" spans="2:18" ht="30" customHeight="1">
      <c r="B14" s="33" t="s">
        <v>181</v>
      </c>
      <c r="C14" s="34">
        <f>SUM(C11:C13)</f>
        <v>15</v>
      </c>
      <c r="D14" s="34">
        <f>SUM(D11:D13)</f>
        <v>15</v>
      </c>
      <c r="E14" s="49">
        <f t="shared" si="2"/>
        <v>0</v>
      </c>
      <c r="F14" s="34">
        <f>SUM(F11:F13)</f>
        <v>15</v>
      </c>
      <c r="G14" s="34">
        <f>SUM(G11:G13)</f>
        <v>10009</v>
      </c>
      <c r="H14" s="49">
        <f t="shared" si="3"/>
        <v>9994</v>
      </c>
      <c r="I14" s="35">
        <f>AVERAGE(I11:I13)</f>
        <v>1</v>
      </c>
      <c r="J14" s="35">
        <f>AVERAGE(J11:J13)</f>
        <v>750.66666666666663</v>
      </c>
      <c r="K14" s="36">
        <f t="shared" si="0"/>
        <v>749.66666666666663</v>
      </c>
      <c r="L14" s="34" t="e">
        <f>AVERAGE(L11:L13)</f>
        <v>#REF!</v>
      </c>
      <c r="M14" s="29" t="e">
        <f>AVERAGE(M11:M13)</f>
        <v>#REF!</v>
      </c>
      <c r="N14" s="29">
        <f>SUM(N11:N13)</f>
        <v>2658.1422322682897</v>
      </c>
      <c r="O14" s="29">
        <f>SUM(O11:O13)</f>
        <v>15</v>
      </c>
      <c r="P14" s="51">
        <f t="shared" si="1"/>
        <v>-2643.1422322682897</v>
      </c>
      <c r="Q14" s="35">
        <f>AVERAGE(Q11:Q13)</f>
        <v>5.5555555555555558E-3</v>
      </c>
    </row>
    <row r="15" spans="2:18" ht="30" customHeight="1">
      <c r="B15" s="28" t="s">
        <v>182</v>
      </c>
      <c r="C15" s="30">
        <f>EINSTELLUNG!C12</f>
        <v>7</v>
      </c>
      <c r="D15" s="30">
        <f>EINSTELLUNG!C28</f>
        <v>7</v>
      </c>
      <c r="E15" s="48">
        <f t="shared" si="2"/>
        <v>0</v>
      </c>
      <c r="F15" s="30">
        <f>EINSTELLUNG!D12</f>
        <v>7</v>
      </c>
      <c r="G15" s="30">
        <f>Juli!$S$36</f>
        <v>0</v>
      </c>
      <c r="H15" s="48">
        <f t="shared" si="3"/>
        <v>-7</v>
      </c>
      <c r="I15" s="31">
        <f>EINSTELLUNG!E12</f>
        <v>1</v>
      </c>
      <c r="J15" s="31">
        <f>EINSTELLUNG!E28</f>
        <v>0</v>
      </c>
      <c r="K15" s="32">
        <f t="shared" si="0"/>
        <v>-1</v>
      </c>
      <c r="L15" s="30" t="e">
        <f>Juli!S40</f>
        <v>#REF!</v>
      </c>
      <c r="M15" s="27" t="e">
        <f>Juli!S41</f>
        <v>#REF!</v>
      </c>
      <c r="N15" s="27">
        <f>Juli!O5</f>
        <v>903.18770866157831</v>
      </c>
      <c r="O15" s="27">
        <f>Juli!P5</f>
        <v>7</v>
      </c>
      <c r="P15" s="50">
        <f t="shared" si="1"/>
        <v>-896.18770866157831</v>
      </c>
      <c r="Q15" s="31">
        <f>Juli!Q31</f>
        <v>0</v>
      </c>
    </row>
    <row r="16" spans="2:18" ht="30" customHeight="1">
      <c r="B16" s="28" t="s">
        <v>183</v>
      </c>
      <c r="C16" s="30">
        <f>EINSTELLUNG!C13</f>
        <v>8</v>
      </c>
      <c r="D16" s="30">
        <f>EINSTELLUNG!C29</f>
        <v>8</v>
      </c>
      <c r="E16" s="48">
        <f t="shared" si="2"/>
        <v>0</v>
      </c>
      <c r="F16" s="30">
        <f>EINSTELLUNG!D13</f>
        <v>8</v>
      </c>
      <c r="G16" s="30">
        <f>August!$S$36</f>
        <v>0</v>
      </c>
      <c r="H16" s="48">
        <f t="shared" si="3"/>
        <v>-8</v>
      </c>
      <c r="I16" s="31">
        <f>EINSTELLUNG!E13</f>
        <v>1</v>
      </c>
      <c r="J16" s="31">
        <f>EINSTELLUNG!E29</f>
        <v>0</v>
      </c>
      <c r="K16" s="32">
        <f t="shared" si="0"/>
        <v>-1</v>
      </c>
      <c r="L16" s="30" t="e">
        <f>August!S40</f>
        <v>#REF!</v>
      </c>
      <c r="M16" s="27" t="e">
        <f>August!S41</f>
        <v>#REF!</v>
      </c>
      <c r="N16" s="27">
        <f>August!O5</f>
        <v>899.01401315020314</v>
      </c>
      <c r="O16" s="27">
        <f>August!P5</f>
        <v>8</v>
      </c>
      <c r="P16" s="50">
        <f t="shared" si="1"/>
        <v>-891.01401315020314</v>
      </c>
      <c r="Q16" s="31">
        <f>August!Q31</f>
        <v>1.8518518518518517E-2</v>
      </c>
    </row>
    <row r="17" spans="2:17" ht="30" customHeight="1">
      <c r="B17" s="28" t="s">
        <v>184</v>
      </c>
      <c r="C17" s="30">
        <f>EINSTELLUNG!C14</f>
        <v>9</v>
      </c>
      <c r="D17" s="30">
        <f>EINSTELLUNG!C30</f>
        <v>9</v>
      </c>
      <c r="E17" s="48">
        <f t="shared" si="2"/>
        <v>0</v>
      </c>
      <c r="F17" s="30">
        <f>EINSTELLUNG!D14</f>
        <v>9</v>
      </c>
      <c r="G17" s="30">
        <f>September!$S$36</f>
        <v>0</v>
      </c>
      <c r="H17" s="48">
        <f t="shared" si="3"/>
        <v>-9</v>
      </c>
      <c r="I17" s="31">
        <f>EINSTELLUNG!E14</f>
        <v>1</v>
      </c>
      <c r="J17" s="31">
        <f>EINSTELLUNG!E30</f>
        <v>0</v>
      </c>
      <c r="K17" s="32">
        <f t="shared" si="0"/>
        <v>-1</v>
      </c>
      <c r="L17" s="30" t="e">
        <f>September!S40</f>
        <v>#REF!</v>
      </c>
      <c r="M17" s="27" t="e">
        <f>September!S41</f>
        <v>#REF!</v>
      </c>
      <c r="N17" s="27">
        <f>September!O5</f>
        <v>882.31923110470268</v>
      </c>
      <c r="O17" s="27">
        <f>September!P5</f>
        <v>9</v>
      </c>
      <c r="P17" s="50">
        <f t="shared" si="1"/>
        <v>-873.31923110470268</v>
      </c>
      <c r="Q17" s="31">
        <f>September!Q31</f>
        <v>1.6949152542372881E-2</v>
      </c>
    </row>
    <row r="18" spans="2:17" ht="30" customHeight="1">
      <c r="B18" s="33" t="s">
        <v>185</v>
      </c>
      <c r="C18" s="34">
        <f>SUM(C15:C17)</f>
        <v>24</v>
      </c>
      <c r="D18" s="34">
        <f>SUM(D15:D17)</f>
        <v>24</v>
      </c>
      <c r="E18" s="49">
        <f>D18-C18</f>
        <v>0</v>
      </c>
      <c r="F18" s="34">
        <f>SUM(F15:F17)</f>
        <v>24</v>
      </c>
      <c r="G18" s="34">
        <f>SUM(G15:G17)</f>
        <v>0</v>
      </c>
      <c r="H18" s="49">
        <f t="shared" si="3"/>
        <v>-24</v>
      </c>
      <c r="I18" s="35">
        <f>AVERAGE(I15:I17)</f>
        <v>1</v>
      </c>
      <c r="J18" s="35">
        <f>AVERAGE(J15:J17)</f>
        <v>0</v>
      </c>
      <c r="K18" s="36">
        <f t="shared" si="0"/>
        <v>-1</v>
      </c>
      <c r="L18" s="34" t="e">
        <f>AVERAGE(L15:L17)</f>
        <v>#REF!</v>
      </c>
      <c r="M18" s="29" t="e">
        <f>AVERAGE(M15:M17)</f>
        <v>#REF!</v>
      </c>
      <c r="N18" s="29">
        <f>SUM(N15:N17)</f>
        <v>2684.520952916484</v>
      </c>
      <c r="O18" s="29">
        <f>SUM(O15:O17)</f>
        <v>24</v>
      </c>
      <c r="P18" s="51">
        <f t="shared" si="1"/>
        <v>-2660.520952916484</v>
      </c>
      <c r="Q18" s="35">
        <f>AVERAGE(Q15:Q17)</f>
        <v>1.1822557020297131E-2</v>
      </c>
    </row>
    <row r="19" spans="2:17" ht="30" customHeight="1">
      <c r="B19" s="28" t="s">
        <v>186</v>
      </c>
      <c r="C19" s="30">
        <f>EINSTELLUNG!C15</f>
        <v>10</v>
      </c>
      <c r="D19" s="30">
        <f>EINSTELLUNG!C31</f>
        <v>10</v>
      </c>
      <c r="E19" s="48">
        <f>D19-C19</f>
        <v>0</v>
      </c>
      <c r="F19" s="30">
        <f>EINSTELLUNG!D15</f>
        <v>10</v>
      </c>
      <c r="G19" s="30">
        <f>Oktober!$S$36</f>
        <v>0</v>
      </c>
      <c r="H19" s="48">
        <f t="shared" si="3"/>
        <v>-10</v>
      </c>
      <c r="I19" s="31">
        <f>EINSTELLUNG!E15</f>
        <v>1</v>
      </c>
      <c r="J19" s="31">
        <f>EINSTELLUNG!E31</f>
        <v>0</v>
      </c>
      <c r="K19" s="32">
        <f t="shared" si="0"/>
        <v>-1</v>
      </c>
      <c r="L19" s="30" t="e">
        <f>Oktober!S40</f>
        <v>#REF!</v>
      </c>
      <c r="M19" s="27" t="e">
        <f>Oktober!S41</f>
        <v>#REF!</v>
      </c>
      <c r="N19" s="27">
        <f>Oktober!O5</f>
        <v>865.62444905920211</v>
      </c>
      <c r="O19" s="27">
        <f>Oktober!P5</f>
        <v>10</v>
      </c>
      <c r="P19" s="50">
        <f t="shared" si="1"/>
        <v>-855.62444905920211</v>
      </c>
      <c r="Q19" s="31">
        <f>Oktober!Q31</f>
        <v>1.6666666666666666E-2</v>
      </c>
    </row>
    <row r="20" spans="2:17" ht="30" customHeight="1">
      <c r="B20" s="28" t="s">
        <v>187</v>
      </c>
      <c r="C20" s="30">
        <f>EINSTELLUNG!C16</f>
        <v>11</v>
      </c>
      <c r="D20" s="30">
        <f>EINSTELLUNG!C32</f>
        <v>11</v>
      </c>
      <c r="E20" s="48">
        <f>D20-C20</f>
        <v>0</v>
      </c>
      <c r="F20" s="30">
        <f>EINSTELLUNG!D16</f>
        <v>11</v>
      </c>
      <c r="G20" s="30">
        <f>November!$S$36</f>
        <v>0</v>
      </c>
      <c r="H20" s="48">
        <f t="shared" si="3"/>
        <v>-11</v>
      </c>
      <c r="I20" s="31">
        <f>EINSTELLUNG!E16</f>
        <v>1</v>
      </c>
      <c r="J20" s="31">
        <f>EINSTELLUNG!E32</f>
        <v>0</v>
      </c>
      <c r="K20" s="32">
        <f t="shared" si="0"/>
        <v>-1</v>
      </c>
      <c r="L20" s="30" t="e">
        <f>November!S40</f>
        <v>#REF!</v>
      </c>
      <c r="M20" s="27" t="e">
        <f>November!S41</f>
        <v>#REF!</v>
      </c>
      <c r="N20" s="27">
        <f>November!O5</f>
        <v>848.92966701370153</v>
      </c>
      <c r="O20" s="27">
        <f>November!P5</f>
        <v>11</v>
      </c>
      <c r="P20" s="50">
        <f t="shared" si="1"/>
        <v>-837.92966701370153</v>
      </c>
      <c r="Q20" s="31">
        <f>November!Q31</f>
        <v>0</v>
      </c>
    </row>
    <row r="21" spans="2:17" ht="30" customHeight="1">
      <c r="B21" s="28" t="s">
        <v>188</v>
      </c>
      <c r="C21" s="30">
        <f>EINSTELLUNG!C17</f>
        <v>12</v>
      </c>
      <c r="D21" s="30">
        <f>EINSTELLUNG!C33</f>
        <v>12</v>
      </c>
      <c r="E21" s="48">
        <f t="shared" si="2"/>
        <v>0</v>
      </c>
      <c r="F21" s="30">
        <f>EINSTELLUNG!D17</f>
        <v>12</v>
      </c>
      <c r="G21" s="30">
        <f>Dezember!$S$36</f>
        <v>0</v>
      </c>
      <c r="H21" s="48">
        <f t="shared" si="3"/>
        <v>-12</v>
      </c>
      <c r="I21" s="31">
        <f>EINSTELLUNG!E17</f>
        <v>1</v>
      </c>
      <c r="J21" s="31">
        <f>EINSTELLUNG!E33</f>
        <v>0</v>
      </c>
      <c r="K21" s="32">
        <f t="shared" si="0"/>
        <v>-1</v>
      </c>
      <c r="L21" s="30" t="e">
        <f>Dezember!S40</f>
        <v>#REF!</v>
      </c>
      <c r="M21" s="27" t="e">
        <f>Dezember!S41</f>
        <v>#REF!</v>
      </c>
      <c r="N21" s="27">
        <f>Dezember!O5</f>
        <v>848.92966701370153</v>
      </c>
      <c r="O21" s="37">
        <f>Dezember!P5</f>
        <v>12</v>
      </c>
      <c r="P21" s="50">
        <f t="shared" si="1"/>
        <v>-836.92966701370153</v>
      </c>
      <c r="Q21" s="31">
        <f>Dezember!Q31</f>
        <v>0</v>
      </c>
    </row>
    <row r="22" spans="2:17" ht="30" customHeight="1">
      <c r="B22" s="33" t="s">
        <v>189</v>
      </c>
      <c r="C22" s="34">
        <f>SUM(C19:C21)</f>
        <v>33</v>
      </c>
      <c r="D22" s="34">
        <f>SUM(D19:D21)</f>
        <v>33</v>
      </c>
      <c r="E22" s="49">
        <f>D22-C22</f>
        <v>0</v>
      </c>
      <c r="F22" s="34">
        <f>SUM(F19:F21)</f>
        <v>33</v>
      </c>
      <c r="G22" s="34">
        <f>SUM(G19:G21)</f>
        <v>0</v>
      </c>
      <c r="H22" s="49">
        <f t="shared" si="3"/>
        <v>-33</v>
      </c>
      <c r="I22" s="35">
        <f>AVERAGE(I19:I21)</f>
        <v>1</v>
      </c>
      <c r="J22" s="35">
        <f>AVERAGE(J19:J21)</f>
        <v>0</v>
      </c>
      <c r="K22" s="36">
        <f t="shared" si="0"/>
        <v>-1</v>
      </c>
      <c r="L22" s="34" t="e">
        <f>AVERAGE(L19:L21)</f>
        <v>#REF!</v>
      </c>
      <c r="M22" s="29" t="e">
        <f>AVERAGE(M19:M21)</f>
        <v>#REF!</v>
      </c>
      <c r="N22" s="29">
        <f>SUM(N19:N21)</f>
        <v>2563.4837830866049</v>
      </c>
      <c r="O22" s="29">
        <f>SUM(O19:O21)</f>
        <v>33</v>
      </c>
      <c r="P22" s="51">
        <f>O22-N22</f>
        <v>-2530.4837830866049</v>
      </c>
      <c r="Q22" s="35">
        <f>AVERAGE(Q19:Q21)</f>
        <v>5.5555555555555558E-3</v>
      </c>
    </row>
    <row r="23" spans="2:17" ht="30" customHeight="1">
      <c r="B23" s="38" t="e">
        <f>#REF!</f>
        <v>#REF!</v>
      </c>
      <c r="C23" s="39">
        <f>SUM(C10,C14,C18,C22)</f>
        <v>78</v>
      </c>
      <c r="D23" s="39">
        <f>SUM(D10,D14,D18,D22)</f>
        <v>78</v>
      </c>
      <c r="E23" s="49">
        <f>D23-C23</f>
        <v>0</v>
      </c>
      <c r="F23" s="39">
        <f>SUM(F10,F14,F18,F22)</f>
        <v>78</v>
      </c>
      <c r="G23" s="39">
        <f>SUM(G10,G14,G18,G22)</f>
        <v>10009</v>
      </c>
      <c r="H23" s="49">
        <f t="shared" si="3"/>
        <v>9931</v>
      </c>
      <c r="I23" s="40">
        <f>AVERAGE(I10,I14,I18,I22)</f>
        <v>1</v>
      </c>
      <c r="J23" s="40">
        <f>AVERAGE(J10,J14,J18,J22)</f>
        <v>187.66666666666666</v>
      </c>
      <c r="K23" s="36">
        <f>J23-I23</f>
        <v>186.66666666666666</v>
      </c>
      <c r="L23" s="39" t="e">
        <f>AVERAGE(L22,L18,L14,L10)</f>
        <v>#REF!</v>
      </c>
      <c r="M23" s="41" t="e">
        <f>AVERAGE(M10,M14,M18,M22)</f>
        <v>#REF!</v>
      </c>
      <c r="N23" s="41">
        <f>SUM(N10,N14,N18,N22)</f>
        <v>10334.820868848718</v>
      </c>
      <c r="O23" s="41">
        <f>SUM(O10,O14,O18,O22)</f>
        <v>78</v>
      </c>
      <c r="P23" s="51">
        <f t="shared" si="1"/>
        <v>-10256.820868848718</v>
      </c>
      <c r="Q23" s="40">
        <f>AVERAGE(Q22,Q18,Q14,Q10)</f>
        <v>1.0193074459040927E-2</v>
      </c>
    </row>
    <row r="24" spans="2:17" ht="15">
      <c r="O24" s="4"/>
    </row>
    <row r="25" spans="2:17">
      <c r="B25" s="292" t="s">
        <v>190</v>
      </c>
      <c r="C25" s="292"/>
      <c r="D25" s="292"/>
      <c r="E25" s="292"/>
    </row>
    <row r="26" spans="2:17">
      <c r="B26" s="292"/>
      <c r="C26" s="292"/>
      <c r="D26" s="292"/>
      <c r="E26" s="292"/>
    </row>
    <row r="27" spans="2:17">
      <c r="B27" s="292"/>
      <c r="C27" s="292"/>
      <c r="D27" s="292"/>
      <c r="E27" s="292"/>
    </row>
  </sheetData>
  <sheetProtection algorithmName="SHA-512" hashValue="w0kgLdt+YRueLjnBxZAo3c5E5xFWfS3IMU032SwUdwQXYYdpGNMQupHGeCFvWLYYMm53Pz17TrPf8hb4DcaDVg==" saltValue="yXadrAl/k5Ke1QqTqE6qYg=="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8"/>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111" bestFit="1" customWidth="1"/>
    <col min="5" max="5" width="12.83203125" style="111" bestFit="1" customWidth="1"/>
    <col min="6" max="6" width="21.5" bestFit="1" customWidth="1"/>
    <col min="7" max="7" width="18.5" bestFit="1" customWidth="1"/>
    <col min="8" max="8" width="13" style="113" bestFit="1" customWidth="1"/>
    <col min="9" max="9" width="9.5" style="113" bestFit="1" customWidth="1"/>
    <col min="10" max="10" width="11.6640625" style="113" bestFit="1" customWidth="1"/>
    <col min="11" max="11" width="24.33203125" bestFit="1" customWidth="1"/>
  </cols>
  <sheetData>
    <row r="1" spans="1:11">
      <c r="A1" s="109" t="s">
        <v>217</v>
      </c>
      <c r="B1" s="109" t="s">
        <v>191</v>
      </c>
      <c r="C1" s="109" t="s">
        <v>40</v>
      </c>
      <c r="D1" s="110" t="s">
        <v>218</v>
      </c>
      <c r="E1" s="110" t="s">
        <v>219</v>
      </c>
      <c r="F1" s="109" t="s">
        <v>194</v>
      </c>
      <c r="G1" s="109" t="s">
        <v>229</v>
      </c>
      <c r="H1" s="112" t="s">
        <v>220</v>
      </c>
      <c r="I1" s="112" t="s">
        <v>221</v>
      </c>
      <c r="J1" s="112" t="s">
        <v>230</v>
      </c>
      <c r="K1" s="109" t="s">
        <v>222</v>
      </c>
    </row>
    <row r="2" spans="1:11">
      <c r="A2" t="s">
        <v>303</v>
      </c>
      <c r="B2">
        <v>401691</v>
      </c>
      <c r="C2" t="s">
        <v>277</v>
      </c>
      <c r="D2" s="111">
        <v>45539</v>
      </c>
      <c r="E2" s="111">
        <v>46047</v>
      </c>
      <c r="F2" t="s">
        <v>321</v>
      </c>
      <c r="G2">
        <v>509</v>
      </c>
      <c r="H2" s="113">
        <v>0.5</v>
      </c>
      <c r="I2" s="113">
        <v>1.25</v>
      </c>
      <c r="J2" s="113">
        <v>0.625</v>
      </c>
      <c r="K2" t="s">
        <v>304</v>
      </c>
    </row>
    <row r="3" spans="1:11">
      <c r="A3" t="s">
        <v>377</v>
      </c>
      <c r="B3">
        <v>600000</v>
      </c>
      <c r="C3" t="s">
        <v>358</v>
      </c>
      <c r="D3" s="111">
        <v>46054</v>
      </c>
      <c r="E3" s="111">
        <v>46055</v>
      </c>
      <c r="G3">
        <v>2</v>
      </c>
      <c r="H3" s="113">
        <v>0</v>
      </c>
      <c r="I3" s="113">
        <v>0.3</v>
      </c>
      <c r="J3" s="113">
        <v>0</v>
      </c>
      <c r="K3" t="s">
        <v>364</v>
      </c>
    </row>
    <row r="4" spans="1:11">
      <c r="A4" t="s">
        <v>343</v>
      </c>
      <c r="B4">
        <v>401754</v>
      </c>
      <c r="C4" t="s">
        <v>299</v>
      </c>
      <c r="D4" s="111">
        <v>46014</v>
      </c>
      <c r="E4" s="111">
        <v>46096</v>
      </c>
      <c r="F4" t="s">
        <v>344</v>
      </c>
      <c r="G4">
        <v>83</v>
      </c>
      <c r="H4" s="113">
        <v>1</v>
      </c>
      <c r="I4" s="113">
        <v>0.5</v>
      </c>
      <c r="J4" s="113">
        <v>0.5</v>
      </c>
      <c r="K4" t="s">
        <v>242</v>
      </c>
    </row>
    <row r="5" spans="1:11">
      <c r="A5" t="s">
        <v>183</v>
      </c>
      <c r="B5">
        <v>401746</v>
      </c>
      <c r="C5" t="s">
        <v>295</v>
      </c>
      <c r="D5" s="111">
        <v>45941</v>
      </c>
      <c r="E5" s="111">
        <v>46249</v>
      </c>
      <c r="F5" t="s">
        <v>344</v>
      </c>
      <c r="G5">
        <v>309</v>
      </c>
      <c r="H5" s="113">
        <v>1</v>
      </c>
      <c r="I5" s="113">
        <v>1</v>
      </c>
      <c r="J5" s="113">
        <v>1</v>
      </c>
      <c r="K5" t="s">
        <v>243</v>
      </c>
    </row>
    <row r="6" spans="1:11">
      <c r="A6" t="s">
        <v>183</v>
      </c>
      <c r="B6">
        <v>401747</v>
      </c>
      <c r="C6" t="s">
        <v>293</v>
      </c>
      <c r="D6" s="111">
        <v>45941</v>
      </c>
      <c r="E6" s="111">
        <v>46250</v>
      </c>
      <c r="F6" t="s">
        <v>321</v>
      </c>
      <c r="G6">
        <v>310</v>
      </c>
      <c r="H6" s="113">
        <v>0.5</v>
      </c>
      <c r="I6" s="113">
        <v>1</v>
      </c>
      <c r="J6" s="113">
        <v>0.5</v>
      </c>
      <c r="K6" t="s">
        <v>304</v>
      </c>
    </row>
    <row r="7" spans="1:11">
      <c r="A7" t="s">
        <v>184</v>
      </c>
      <c r="B7">
        <v>401558</v>
      </c>
      <c r="C7" t="s">
        <v>261</v>
      </c>
      <c r="D7" s="111">
        <v>44460</v>
      </c>
      <c r="E7" s="111">
        <v>46275</v>
      </c>
      <c r="F7" t="s">
        <v>321</v>
      </c>
      <c r="G7">
        <v>1816</v>
      </c>
      <c r="H7" s="113">
        <v>0.5</v>
      </c>
      <c r="I7" s="113">
        <v>1.5</v>
      </c>
      <c r="J7" s="113">
        <v>0.75</v>
      </c>
      <c r="K7" t="s">
        <v>304</v>
      </c>
    </row>
    <row r="8" spans="1:11">
      <c r="A8" t="s">
        <v>186</v>
      </c>
      <c r="B8">
        <v>401047</v>
      </c>
      <c r="C8" t="s">
        <v>251</v>
      </c>
      <c r="D8" s="111">
        <v>41154</v>
      </c>
      <c r="E8" s="111">
        <v>46305</v>
      </c>
      <c r="F8" t="s">
        <v>344</v>
      </c>
      <c r="G8">
        <v>5152</v>
      </c>
      <c r="H8" s="113">
        <v>1</v>
      </c>
      <c r="I8" s="113">
        <v>2</v>
      </c>
      <c r="J8" s="113">
        <v>2</v>
      </c>
      <c r="K8" t="s">
        <v>231</v>
      </c>
    </row>
  </sheetData>
  <sheetProtection algorithmName="SHA-512" hashValue="UpGZMn51okm5va0l98X2kRllAo5ZdInIZnXlp9nfZlHqJZDjoAw/pnJ8dwKhIzEwNpKb0Hi/4GIiT3pBSmNvYw==" saltValue="WVhYtpPScmBQ2SzFr+ynMQ=="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M45"/>
  <sheetViews>
    <sheetView showGridLines="0" topLeftCell="A2" zoomScale="120" zoomScaleNormal="120" workbookViewId="0">
      <selection activeCell="G34" sqref="G34"/>
    </sheetView>
  </sheetViews>
  <sheetFormatPr baseColWidth="10" defaultColWidth="10.83203125" defaultRowHeight="15" customHeight="1"/>
  <cols>
    <col min="1" max="1" width="32.83203125" style="342" customWidth="1"/>
    <col min="2" max="5" width="16.83203125" style="342" customWidth="1"/>
    <col min="6" max="7" width="18.83203125" style="342" customWidth="1"/>
    <col min="8" max="8" width="22.83203125" style="342" customWidth="1"/>
    <col min="9" max="12" width="36.83203125" style="342" customWidth="1"/>
    <col min="13" max="16384" width="10.83203125" style="342"/>
  </cols>
  <sheetData>
    <row r="1" spans="1:12" ht="15" customHeight="1">
      <c r="A1" s="354" t="s">
        <v>223</v>
      </c>
      <c r="B1" s="355"/>
      <c r="C1" s="355"/>
      <c r="D1" s="355"/>
      <c r="E1" s="355"/>
      <c r="F1" s="356"/>
      <c r="G1" s="356"/>
      <c r="H1" s="356"/>
      <c r="I1" s="356"/>
      <c r="J1" s="356"/>
      <c r="K1" s="356"/>
      <c r="L1" s="356"/>
    </row>
    <row r="2" spans="1:12" ht="15" customHeight="1">
      <c r="A2" s="357" t="s">
        <v>224</v>
      </c>
      <c r="B2" s="357">
        <v>2026</v>
      </c>
      <c r="C2" s="356"/>
      <c r="D2" s="356"/>
      <c r="E2" s="356"/>
      <c r="F2" s="356"/>
      <c r="G2" s="356"/>
      <c r="H2" s="356"/>
      <c r="I2" s="356"/>
      <c r="J2" s="356"/>
      <c r="K2" s="356"/>
      <c r="L2" s="356"/>
    </row>
    <row r="3" spans="1:12" ht="15" customHeight="1">
      <c r="A3" s="356"/>
      <c r="B3" s="356"/>
      <c r="C3" s="356"/>
      <c r="D3" s="356"/>
      <c r="E3" s="356"/>
      <c r="F3" s="356"/>
      <c r="G3" s="356"/>
      <c r="H3" s="356"/>
      <c r="I3" s="356"/>
      <c r="J3" s="356"/>
      <c r="K3" s="356"/>
      <c r="L3" s="356"/>
    </row>
    <row r="4" spans="1:12" ht="15" customHeight="1">
      <c r="A4" s="358" t="s">
        <v>232</v>
      </c>
      <c r="B4" s="359"/>
      <c r="C4" s="359"/>
      <c r="D4" s="359"/>
      <c r="E4" s="359"/>
      <c r="F4" s="356"/>
      <c r="G4" s="356"/>
      <c r="H4" s="356"/>
      <c r="I4" s="356"/>
      <c r="J4" s="356"/>
      <c r="K4" s="356"/>
      <c r="L4" s="356"/>
    </row>
    <row r="5" spans="1:12" ht="42" customHeight="1">
      <c r="A5" s="360" t="s">
        <v>322</v>
      </c>
      <c r="B5" s="360"/>
      <c r="C5" s="360"/>
      <c r="D5" s="360"/>
      <c r="E5" s="360"/>
      <c r="F5" s="356"/>
      <c r="G5" s="356"/>
      <c r="H5" s="356"/>
      <c r="I5" s="356"/>
      <c r="J5" s="356"/>
      <c r="K5" s="356"/>
      <c r="L5" s="356"/>
    </row>
    <row r="6" spans="1:12" ht="42" customHeight="1">
      <c r="A6" s="360"/>
      <c r="B6" s="360"/>
      <c r="C6" s="360"/>
      <c r="D6" s="360"/>
      <c r="E6" s="360"/>
      <c r="F6" s="356"/>
      <c r="G6" s="356"/>
      <c r="H6" s="356"/>
      <c r="I6" s="356"/>
      <c r="J6" s="356"/>
      <c r="K6" s="356"/>
      <c r="L6" s="356"/>
    </row>
    <row r="7" spans="1:12" ht="15" customHeight="1">
      <c r="A7" s="356"/>
      <c r="B7" s="356"/>
      <c r="C7" s="356"/>
      <c r="D7" s="356"/>
      <c r="E7" s="356"/>
      <c r="F7" s="356"/>
      <c r="G7" s="356"/>
      <c r="H7" s="356"/>
      <c r="I7" s="356"/>
      <c r="J7" s="356"/>
      <c r="K7" s="356"/>
      <c r="L7" s="356"/>
    </row>
    <row r="8" spans="1:12" ht="15" customHeight="1">
      <c r="A8" s="361" t="s">
        <v>225</v>
      </c>
      <c r="B8" s="361" t="s">
        <v>226</v>
      </c>
      <c r="C8" s="361" t="s">
        <v>323</v>
      </c>
      <c r="D8" s="361"/>
      <c r="E8" s="361"/>
      <c r="F8" s="356"/>
      <c r="G8" s="356"/>
      <c r="H8" s="356"/>
      <c r="I8" s="356"/>
      <c r="J8" s="356"/>
      <c r="K8" s="356"/>
      <c r="L8" s="356"/>
    </row>
    <row r="9" spans="1:12" ht="15" customHeight="1">
      <c r="A9" s="362" t="s">
        <v>227</v>
      </c>
      <c r="B9" s="344">
        <v>7</v>
      </c>
      <c r="C9" s="345" t="s">
        <v>233</v>
      </c>
      <c r="D9" s="345"/>
      <c r="E9" s="345"/>
      <c r="F9" s="356"/>
      <c r="G9" s="356"/>
      <c r="H9" s="356"/>
      <c r="I9" s="356"/>
      <c r="J9" s="356"/>
      <c r="K9" s="356"/>
      <c r="L9" s="356"/>
    </row>
    <row r="10" spans="1:12" ht="15" customHeight="1">
      <c r="A10" s="362" t="s">
        <v>244</v>
      </c>
      <c r="B10" s="352">
        <v>5.1724137931034482E-2</v>
      </c>
      <c r="C10" s="345" t="s">
        <v>245</v>
      </c>
      <c r="D10" s="345"/>
      <c r="E10" s="345"/>
      <c r="F10" s="356"/>
      <c r="G10" s="356"/>
      <c r="H10" s="356"/>
      <c r="I10" s="356"/>
      <c r="J10" s="356"/>
      <c r="K10" s="356"/>
      <c r="L10" s="356"/>
    </row>
    <row r="11" spans="1:12" ht="15" customHeight="1">
      <c r="A11" s="362" t="s">
        <v>230</v>
      </c>
      <c r="B11" s="353">
        <v>5.375</v>
      </c>
      <c r="C11" s="345" t="s">
        <v>324</v>
      </c>
      <c r="D11" s="345"/>
      <c r="E11" s="345"/>
      <c r="F11" s="356"/>
      <c r="G11" s="356"/>
      <c r="H11" s="356"/>
      <c r="I11" s="356"/>
      <c r="J11" s="356"/>
      <c r="K11" s="356"/>
      <c r="L11" s="356"/>
    </row>
    <row r="12" spans="1:12" ht="15" customHeight="1">
      <c r="A12" s="362" t="s">
        <v>300</v>
      </c>
      <c r="B12" s="353">
        <v>0.7678571428571429</v>
      </c>
      <c r="C12" s="345" t="s">
        <v>234</v>
      </c>
      <c r="D12" s="345"/>
      <c r="E12" s="345"/>
      <c r="F12" s="356"/>
      <c r="G12" s="356"/>
      <c r="H12" s="356"/>
      <c r="I12" s="356"/>
      <c r="J12" s="356"/>
      <c r="K12" s="356"/>
      <c r="L12" s="356"/>
    </row>
    <row r="13" spans="1:12" ht="15" customHeight="1">
      <c r="A13" s="362" t="s">
        <v>235</v>
      </c>
      <c r="B13" s="344">
        <v>1</v>
      </c>
      <c r="C13" s="345" t="s">
        <v>236</v>
      </c>
      <c r="D13" s="345"/>
      <c r="E13" s="345"/>
      <c r="F13" s="356"/>
      <c r="G13" s="356"/>
      <c r="H13" s="356"/>
      <c r="I13" s="356"/>
      <c r="J13" s="356"/>
      <c r="K13" s="356"/>
      <c r="L13" s="356"/>
    </row>
    <row r="14" spans="1:12" ht="15" customHeight="1">
      <c r="A14" s="362" t="s">
        <v>231</v>
      </c>
      <c r="B14" s="344">
        <v>1</v>
      </c>
      <c r="C14" s="345" t="s">
        <v>237</v>
      </c>
      <c r="D14" s="345"/>
      <c r="E14" s="345"/>
      <c r="F14" s="356"/>
      <c r="G14" s="356"/>
      <c r="H14" s="356"/>
      <c r="I14" s="356"/>
      <c r="J14" s="356"/>
      <c r="K14" s="356"/>
      <c r="L14" s="356"/>
    </row>
    <row r="15" spans="1:12" ht="15" customHeight="1">
      <c r="A15" s="362" t="s">
        <v>238</v>
      </c>
      <c r="B15" s="344">
        <v>1</v>
      </c>
      <c r="C15" s="345" t="s">
        <v>325</v>
      </c>
      <c r="D15" s="345"/>
      <c r="E15" s="345"/>
      <c r="F15" s="356"/>
      <c r="G15" s="356"/>
      <c r="H15" s="356"/>
      <c r="I15" s="356"/>
      <c r="J15" s="356"/>
      <c r="K15" s="356"/>
      <c r="L15" s="356"/>
    </row>
    <row r="16" spans="1:12" ht="15" customHeight="1">
      <c r="A16" s="362" t="s">
        <v>228</v>
      </c>
      <c r="B16" s="344">
        <v>0</v>
      </c>
      <c r="C16" s="345" t="s">
        <v>326</v>
      </c>
      <c r="D16" s="345"/>
      <c r="E16" s="345"/>
      <c r="F16" s="356"/>
      <c r="G16" s="356"/>
      <c r="H16" s="356"/>
      <c r="I16" s="356"/>
      <c r="J16" s="356"/>
      <c r="K16" s="356"/>
      <c r="L16" s="356"/>
    </row>
    <row r="17" spans="1:13" ht="15" customHeight="1">
      <c r="A17" s="362" t="s">
        <v>327</v>
      </c>
      <c r="B17" s="344">
        <v>1</v>
      </c>
      <c r="C17" s="345" t="s">
        <v>301</v>
      </c>
      <c r="D17" s="345"/>
      <c r="E17" s="345"/>
      <c r="F17" s="356"/>
      <c r="G17" s="356"/>
      <c r="H17" s="356"/>
      <c r="I17" s="356"/>
      <c r="J17" s="356"/>
      <c r="K17" s="356"/>
      <c r="L17" s="356"/>
    </row>
    <row r="18" spans="1:13" ht="15" customHeight="1" thickBot="1">
      <c r="A18" s="356"/>
      <c r="B18" s="356"/>
      <c r="C18" s="356"/>
      <c r="D18" s="356"/>
      <c r="E18" s="356"/>
      <c r="F18" s="356"/>
      <c r="G18" s="356"/>
      <c r="H18" s="356"/>
      <c r="I18" s="356"/>
      <c r="J18" s="356"/>
      <c r="K18" s="356"/>
      <c r="L18" s="356"/>
    </row>
    <row r="19" spans="1:13" ht="24" customHeight="1" thickBot="1">
      <c r="A19" s="346" t="s">
        <v>328</v>
      </c>
      <c r="B19" s="128" t="s">
        <v>365</v>
      </c>
      <c r="C19" s="356"/>
      <c r="D19" s="356"/>
      <c r="E19" s="356"/>
      <c r="F19" s="356"/>
      <c r="G19" s="356"/>
      <c r="H19" s="356"/>
      <c r="I19" s="356"/>
      <c r="J19" s="356"/>
      <c r="K19" s="356"/>
      <c r="L19" s="356"/>
    </row>
    <row r="20" spans="1:13" ht="15" customHeight="1">
      <c r="A20" s="356"/>
      <c r="B20" s="356"/>
      <c r="C20" s="356"/>
      <c r="D20" s="356"/>
      <c r="E20" s="356"/>
      <c r="F20" s="356"/>
      <c r="G20" s="356"/>
      <c r="H20" s="356"/>
      <c r="I20" s="356"/>
      <c r="J20" s="356"/>
      <c r="K20" s="356"/>
      <c r="L20" s="356"/>
    </row>
    <row r="21" spans="1:13" ht="48" customHeight="1">
      <c r="A21" s="363" t="s">
        <v>239</v>
      </c>
      <c r="B21" s="364" t="s">
        <v>366</v>
      </c>
      <c r="C21" s="364"/>
      <c r="D21" s="364"/>
      <c r="E21" s="364"/>
      <c r="F21" s="356"/>
      <c r="G21" s="356"/>
      <c r="H21" s="356"/>
      <c r="I21" s="356"/>
      <c r="J21" s="356"/>
      <c r="K21" s="356"/>
      <c r="L21" s="356"/>
    </row>
    <row r="22" spans="1:13" ht="48" customHeight="1">
      <c r="A22" s="365"/>
      <c r="B22" s="364"/>
      <c r="C22" s="364"/>
      <c r="D22" s="364"/>
      <c r="E22" s="364"/>
      <c r="F22" s="356"/>
      <c r="G22" s="356"/>
      <c r="H22" s="356"/>
      <c r="I22" s="356"/>
      <c r="J22" s="356"/>
      <c r="K22" s="356"/>
      <c r="L22" s="356"/>
    </row>
    <row r="23" spans="1:13" ht="15" customHeight="1">
      <c r="A23" s="356"/>
      <c r="B23" s="356"/>
      <c r="C23" s="356"/>
      <c r="D23" s="356"/>
      <c r="E23" s="356"/>
      <c r="F23" s="356"/>
      <c r="G23" s="356"/>
      <c r="H23" s="356"/>
      <c r="I23" s="356"/>
      <c r="J23" s="356"/>
      <c r="K23" s="356"/>
      <c r="L23" s="356"/>
    </row>
    <row r="24" spans="1:13" ht="15" customHeight="1">
      <c r="A24" s="356"/>
      <c r="B24" s="356"/>
      <c r="C24" s="356"/>
      <c r="D24" s="356"/>
      <c r="E24" s="356"/>
      <c r="F24" s="356"/>
      <c r="G24" s="356"/>
      <c r="H24" s="356"/>
      <c r="I24" s="356"/>
      <c r="J24" s="356"/>
      <c r="K24" s="356"/>
      <c r="L24" s="356"/>
    </row>
    <row r="25" spans="1:13" ht="15" customHeight="1">
      <c r="A25" s="366" t="s">
        <v>329</v>
      </c>
      <c r="B25" s="355"/>
      <c r="C25" s="355"/>
      <c r="D25" s="355"/>
      <c r="E25" s="355"/>
      <c r="F25" s="355"/>
      <c r="G25" s="355"/>
      <c r="H25" s="355"/>
      <c r="I25" s="355"/>
      <c r="J25" s="355"/>
      <c r="K25" s="355"/>
      <c r="L25" s="355"/>
      <c r="M25" s="343"/>
    </row>
    <row r="26" spans="1:13" ht="15" customHeight="1">
      <c r="A26" s="356"/>
      <c r="B26" s="356"/>
      <c r="C26" s="356"/>
      <c r="D26" s="356"/>
      <c r="E26" s="356"/>
      <c r="F26" s="356"/>
      <c r="G26" s="356"/>
      <c r="H26" s="356"/>
      <c r="I26" s="356"/>
      <c r="J26" s="356"/>
      <c r="K26" s="356"/>
      <c r="L26" s="356"/>
    </row>
    <row r="27" spans="1:13" ht="15" customHeight="1">
      <c r="A27" s="347" t="s">
        <v>217</v>
      </c>
      <c r="B27" s="347" t="s">
        <v>241</v>
      </c>
      <c r="C27" s="347" t="s">
        <v>246</v>
      </c>
      <c r="D27" s="347" t="s">
        <v>230</v>
      </c>
      <c r="E27" s="347" t="s">
        <v>302</v>
      </c>
      <c r="F27" s="347" t="s">
        <v>345</v>
      </c>
      <c r="G27" s="347" t="s">
        <v>379</v>
      </c>
      <c r="H27" s="347" t="s">
        <v>238</v>
      </c>
      <c r="I27" s="347" t="s">
        <v>367</v>
      </c>
      <c r="J27" s="347" t="s">
        <v>330</v>
      </c>
      <c r="K27" s="347" t="s">
        <v>320</v>
      </c>
      <c r="L27" s="347"/>
      <c r="M27" s="347"/>
    </row>
    <row r="28" spans="1:13" ht="42" customHeight="1">
      <c r="A28" s="348" t="s">
        <v>303</v>
      </c>
      <c r="B28" s="348">
        <v>1</v>
      </c>
      <c r="C28" s="350">
        <v>1.9607843137254902E-2</v>
      </c>
      <c r="D28" s="351">
        <v>0.625</v>
      </c>
      <c r="E28" s="351">
        <v>0.625</v>
      </c>
      <c r="F28" s="348">
        <v>0</v>
      </c>
      <c r="G28" s="348">
        <v>0</v>
      </c>
      <c r="H28" s="348">
        <v>0</v>
      </c>
      <c r="I28" s="348">
        <v>0</v>
      </c>
      <c r="J28" s="349" t="s">
        <v>331</v>
      </c>
      <c r="K28" s="345" t="s">
        <v>305</v>
      </c>
      <c r="L28" s="345"/>
      <c r="M28" s="345"/>
    </row>
    <row r="29" spans="1:13" ht="42" customHeight="1">
      <c r="A29" s="348" t="s">
        <v>377</v>
      </c>
      <c r="B29" s="348">
        <v>1</v>
      </c>
      <c r="C29" s="350">
        <v>1.7241379310344827E-2</v>
      </c>
      <c r="D29" s="351">
        <v>0</v>
      </c>
      <c r="E29" s="351">
        <v>0</v>
      </c>
      <c r="F29" s="348">
        <v>0</v>
      </c>
      <c r="G29" s="348">
        <v>0</v>
      </c>
      <c r="H29" s="348">
        <v>0</v>
      </c>
      <c r="I29" s="348">
        <v>1</v>
      </c>
      <c r="J29" s="349" t="s">
        <v>368</v>
      </c>
      <c r="K29" s="345" t="s">
        <v>369</v>
      </c>
      <c r="L29" s="345"/>
      <c r="M29" s="345"/>
    </row>
    <row r="30" spans="1:13" ht="42" customHeight="1">
      <c r="A30" s="348" t="s">
        <v>343</v>
      </c>
      <c r="B30" s="348">
        <v>1</v>
      </c>
      <c r="C30" s="350">
        <v>1.6949152542372881E-2</v>
      </c>
      <c r="D30" s="351">
        <v>0.5</v>
      </c>
      <c r="E30" s="351">
        <v>0.5</v>
      </c>
      <c r="F30" s="348">
        <v>1</v>
      </c>
      <c r="G30" s="348">
        <v>0</v>
      </c>
      <c r="H30" s="348">
        <v>0</v>
      </c>
      <c r="I30" s="348">
        <v>0</v>
      </c>
      <c r="J30" s="349" t="s">
        <v>346</v>
      </c>
      <c r="K30" s="345" t="s">
        <v>347</v>
      </c>
      <c r="L30" s="345"/>
      <c r="M30" s="345"/>
    </row>
    <row r="31" spans="1:13" ht="42" customHeight="1">
      <c r="A31" s="348" t="s">
        <v>183</v>
      </c>
      <c r="B31" s="348">
        <v>2</v>
      </c>
      <c r="C31" s="350">
        <v>3.3333333333333333E-2</v>
      </c>
      <c r="D31" s="351">
        <v>1.5</v>
      </c>
      <c r="E31" s="351">
        <v>0.75</v>
      </c>
      <c r="F31" s="348">
        <v>0</v>
      </c>
      <c r="G31" s="348">
        <v>0</v>
      </c>
      <c r="H31" s="348">
        <v>1</v>
      </c>
      <c r="I31" s="348">
        <v>0</v>
      </c>
      <c r="J31" s="349" t="s">
        <v>383</v>
      </c>
      <c r="K31" s="345" t="s">
        <v>349</v>
      </c>
      <c r="L31" s="345"/>
      <c r="M31" s="345"/>
    </row>
    <row r="32" spans="1:13" ht="42" customHeight="1">
      <c r="A32" s="348" t="s">
        <v>184</v>
      </c>
      <c r="B32" s="348">
        <v>1</v>
      </c>
      <c r="C32" s="350">
        <v>1.6949152542372881E-2</v>
      </c>
      <c r="D32" s="351">
        <v>0.75</v>
      </c>
      <c r="E32" s="351">
        <v>0.75</v>
      </c>
      <c r="F32" s="348">
        <v>0</v>
      </c>
      <c r="G32" s="348">
        <v>0</v>
      </c>
      <c r="H32" s="348">
        <v>0</v>
      </c>
      <c r="I32" s="348">
        <v>0</v>
      </c>
      <c r="J32" s="349" t="s">
        <v>331</v>
      </c>
      <c r="K32" s="345" t="s">
        <v>305</v>
      </c>
      <c r="L32" s="345"/>
      <c r="M32" s="345"/>
    </row>
    <row r="33" spans="1:13" ht="42" customHeight="1">
      <c r="A33" s="348" t="s">
        <v>186</v>
      </c>
      <c r="B33" s="348">
        <v>1</v>
      </c>
      <c r="C33" s="350">
        <v>1.7241379310344827E-2</v>
      </c>
      <c r="D33" s="351">
        <v>2</v>
      </c>
      <c r="E33" s="351">
        <v>2</v>
      </c>
      <c r="F33" s="348">
        <v>0</v>
      </c>
      <c r="G33" s="348">
        <v>1</v>
      </c>
      <c r="H33" s="348">
        <v>0</v>
      </c>
      <c r="I33" s="348">
        <v>0</v>
      </c>
      <c r="J33" s="349" t="s">
        <v>346</v>
      </c>
      <c r="K33" s="345" t="s">
        <v>380</v>
      </c>
      <c r="L33" s="345"/>
      <c r="M33" s="345"/>
    </row>
    <row r="34" spans="1:13" ht="15" customHeight="1">
      <c r="A34" s="356"/>
      <c r="B34" s="356"/>
      <c r="C34" s="356"/>
      <c r="D34" s="356"/>
      <c r="E34" s="356"/>
      <c r="F34" s="356"/>
      <c r="G34" s="356"/>
      <c r="H34" s="356"/>
      <c r="I34" s="356"/>
      <c r="J34" s="356"/>
      <c r="K34" s="356"/>
      <c r="L34" s="356"/>
    </row>
    <row r="35" spans="1:13" ht="15" customHeight="1">
      <c r="A35" s="356"/>
      <c r="B35" s="356"/>
      <c r="C35" s="356"/>
      <c r="D35" s="356"/>
      <c r="E35" s="356"/>
      <c r="F35" s="356"/>
      <c r="G35" s="356"/>
      <c r="H35" s="356"/>
      <c r="I35" s="356"/>
      <c r="J35" s="356"/>
      <c r="K35" s="356"/>
      <c r="L35" s="356"/>
    </row>
    <row r="36" spans="1:13" ht="15" customHeight="1">
      <c r="A36" s="356"/>
      <c r="B36" s="356"/>
      <c r="C36" s="356"/>
      <c r="D36" s="356"/>
      <c r="E36" s="356"/>
      <c r="F36" s="356"/>
      <c r="G36" s="356"/>
      <c r="H36" s="356"/>
      <c r="I36" s="356"/>
      <c r="J36" s="356"/>
      <c r="K36" s="356"/>
      <c r="L36" s="356"/>
    </row>
    <row r="37" spans="1:13" ht="15" customHeight="1">
      <c r="A37" s="367" t="s">
        <v>332</v>
      </c>
      <c r="B37" s="365"/>
      <c r="C37" s="365"/>
      <c r="D37" s="365"/>
      <c r="E37" s="365"/>
      <c r="F37" s="356"/>
      <c r="G37" s="356"/>
      <c r="H37" s="356"/>
      <c r="I37" s="356"/>
      <c r="J37" s="356"/>
      <c r="K37" s="356"/>
      <c r="L37" s="356"/>
    </row>
    <row r="38" spans="1:13" ht="38" customHeight="1">
      <c r="A38" s="361" t="s">
        <v>244</v>
      </c>
      <c r="B38" s="364" t="s">
        <v>247</v>
      </c>
      <c r="C38" s="364"/>
      <c r="D38" s="364"/>
      <c r="E38" s="364"/>
      <c r="F38" s="356"/>
      <c r="G38" s="356"/>
      <c r="H38" s="356"/>
      <c r="I38" s="356"/>
      <c r="J38" s="356"/>
      <c r="K38" s="356"/>
      <c r="L38" s="356"/>
    </row>
    <row r="39" spans="1:13" ht="38" customHeight="1">
      <c r="A39" s="361" t="s">
        <v>230</v>
      </c>
      <c r="B39" s="364" t="s">
        <v>333</v>
      </c>
      <c r="C39" s="364"/>
      <c r="D39" s="364"/>
      <c r="E39" s="364"/>
      <c r="F39" s="356"/>
      <c r="G39" s="356"/>
      <c r="H39" s="356"/>
      <c r="I39" s="356"/>
      <c r="J39" s="356"/>
      <c r="K39" s="356"/>
      <c r="L39" s="356"/>
    </row>
    <row r="40" spans="1:13" ht="38" customHeight="1">
      <c r="A40" s="361" t="s">
        <v>300</v>
      </c>
      <c r="B40" s="364" t="s">
        <v>334</v>
      </c>
      <c r="C40" s="364"/>
      <c r="D40" s="364"/>
      <c r="E40" s="364"/>
      <c r="F40" s="356"/>
      <c r="G40" s="356"/>
      <c r="H40" s="356"/>
      <c r="I40" s="356"/>
      <c r="J40" s="356"/>
      <c r="K40" s="356"/>
      <c r="L40" s="356"/>
    </row>
    <row r="41" spans="1:13" ht="38" customHeight="1">
      <c r="A41" s="361" t="s">
        <v>242</v>
      </c>
      <c r="B41" s="364" t="s">
        <v>335</v>
      </c>
      <c r="C41" s="364"/>
      <c r="D41" s="364"/>
      <c r="E41" s="364"/>
      <c r="F41" s="356"/>
      <c r="G41" s="356"/>
      <c r="H41" s="356"/>
      <c r="I41" s="356"/>
      <c r="J41" s="356"/>
      <c r="K41" s="356"/>
      <c r="L41" s="356"/>
    </row>
    <row r="42" spans="1:13" ht="38" customHeight="1">
      <c r="A42" s="361" t="s">
        <v>231</v>
      </c>
      <c r="B42" s="364" t="s">
        <v>336</v>
      </c>
      <c r="C42" s="364"/>
      <c r="D42" s="364"/>
      <c r="E42" s="364"/>
      <c r="F42" s="356"/>
      <c r="G42" s="356"/>
      <c r="H42" s="356"/>
      <c r="I42" s="356"/>
      <c r="J42" s="356"/>
      <c r="K42" s="356"/>
      <c r="L42" s="356"/>
    </row>
    <row r="43" spans="1:13" ht="38" customHeight="1">
      <c r="A43" s="361" t="s">
        <v>243</v>
      </c>
      <c r="B43" s="364" t="s">
        <v>337</v>
      </c>
      <c r="C43" s="364"/>
      <c r="D43" s="364"/>
      <c r="E43" s="364"/>
      <c r="F43" s="356"/>
      <c r="G43" s="356"/>
      <c r="H43" s="356"/>
      <c r="I43" s="356"/>
      <c r="J43" s="356"/>
      <c r="K43" s="356"/>
      <c r="L43" s="356"/>
    </row>
    <row r="44" spans="1:13" ht="38" customHeight="1">
      <c r="A44" s="361" t="s">
        <v>240</v>
      </c>
      <c r="B44" s="364" t="s">
        <v>338</v>
      </c>
      <c r="C44" s="364"/>
      <c r="D44" s="364"/>
      <c r="E44" s="364"/>
      <c r="F44" s="356"/>
      <c r="G44" s="356"/>
      <c r="H44" s="356"/>
      <c r="I44" s="356"/>
      <c r="J44" s="356"/>
      <c r="K44" s="356"/>
      <c r="L44" s="356"/>
    </row>
    <row r="45" spans="1:13" ht="38" customHeight="1">
      <c r="A45" s="361" t="s">
        <v>339</v>
      </c>
      <c r="B45" s="364" t="s">
        <v>340</v>
      </c>
      <c r="C45" s="364"/>
      <c r="D45" s="364"/>
      <c r="E45" s="364"/>
      <c r="F45" s="356"/>
      <c r="G45" s="356"/>
      <c r="H45" s="356"/>
      <c r="I45" s="356"/>
      <c r="J45" s="356"/>
      <c r="K45" s="356"/>
      <c r="L45" s="356"/>
    </row>
  </sheetData>
  <sheetProtection algorithmName="SHA-512" hashValue="f3eR62ui72loK3JpibOyAhyEPhBXQNqDytBFrk1z7pvs66A3OpJ8OAWpvf4lHJR7OdYzvqv2CwHkmGc/r9rW6w==" saltValue="Be2vRrZnj43Qfy3pqCwi2g==" spinCount="100000" sheet="1" objects="1" scenarios="1"/>
  <mergeCells count="30">
    <mergeCell ref="B45:E45"/>
    <mergeCell ref="A37:E37"/>
    <mergeCell ref="C11:E11"/>
    <mergeCell ref="C12:E12"/>
    <mergeCell ref="C13:E13"/>
    <mergeCell ref="C16:E16"/>
    <mergeCell ref="C17:E17"/>
    <mergeCell ref="C14:E14"/>
    <mergeCell ref="C15:E15"/>
    <mergeCell ref="A1:E1"/>
    <mergeCell ref="A4:E4"/>
    <mergeCell ref="A5:E6"/>
    <mergeCell ref="C9:E9"/>
    <mergeCell ref="C10:E10"/>
    <mergeCell ref="A21:A22"/>
    <mergeCell ref="B21:E22"/>
    <mergeCell ref="B42:E42"/>
    <mergeCell ref="B41:E41"/>
    <mergeCell ref="B39:E39"/>
    <mergeCell ref="B40:E40"/>
    <mergeCell ref="B38:E38"/>
    <mergeCell ref="A25:M25"/>
    <mergeCell ref="B44:E44"/>
    <mergeCell ref="K28:M28"/>
    <mergeCell ref="K29:M29"/>
    <mergeCell ref="K30:M30"/>
    <mergeCell ref="K31:M31"/>
    <mergeCell ref="K32:M32"/>
    <mergeCell ref="B43:E43"/>
    <mergeCell ref="K33:M33"/>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gJAhJmOzv2XuoG9wg+MI/1hoxOFqJmXfHGLBpelXL8TvKAkgaxfc1ZGvcDB2SA0hI+Ufq1SopUYeSbT0r/p4+Q==" saltValue="nLwntafGqF4tSQBdRnR8S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5"/>
  <sheetViews>
    <sheetView workbookViewId="0"/>
  </sheetViews>
  <sheetFormatPr baseColWidth="10" defaultRowHeight="15"/>
  <sheetData>
    <row r="1" spans="1:940">
      <c r="A1" s="113">
        <v>173</v>
      </c>
      <c r="B1" s="113">
        <v>173</v>
      </c>
      <c r="C1" s="113">
        <v>173</v>
      </c>
      <c r="D1" s="113">
        <v>173</v>
      </c>
      <c r="E1" s="113">
        <v>173</v>
      </c>
      <c r="F1" s="113">
        <v>173</v>
      </c>
      <c r="G1" s="113">
        <v>173</v>
      </c>
      <c r="H1" s="113">
        <v>173</v>
      </c>
      <c r="I1" s="113">
        <v>173</v>
      </c>
      <c r="J1" s="113">
        <v>173</v>
      </c>
      <c r="K1" s="113">
        <v>173</v>
      </c>
      <c r="L1" s="113">
        <v>173</v>
      </c>
      <c r="M1" s="113">
        <v>173</v>
      </c>
      <c r="N1" s="113">
        <v>173</v>
      </c>
      <c r="O1" s="113">
        <v>173</v>
      </c>
      <c r="P1" s="113">
        <v>173</v>
      </c>
      <c r="Q1" s="113">
        <v>173</v>
      </c>
      <c r="R1" s="113">
        <v>173</v>
      </c>
      <c r="S1" s="113">
        <v>173</v>
      </c>
      <c r="T1" s="113">
        <v>173</v>
      </c>
      <c r="U1" s="113">
        <v>173</v>
      </c>
      <c r="V1" s="113">
        <v>173</v>
      </c>
      <c r="W1" s="113">
        <v>173</v>
      </c>
      <c r="X1" s="113">
        <v>173</v>
      </c>
      <c r="Y1" s="113">
        <v>173</v>
      </c>
      <c r="Z1" s="113">
        <v>173</v>
      </c>
      <c r="AA1" s="113">
        <v>173</v>
      </c>
      <c r="AB1" s="113">
        <v>173</v>
      </c>
      <c r="AC1" s="113">
        <v>173</v>
      </c>
      <c r="AD1" s="113">
        <v>173</v>
      </c>
      <c r="AE1" s="113">
        <v>173</v>
      </c>
      <c r="AF1" s="113">
        <v>173</v>
      </c>
      <c r="AG1" s="113">
        <v>173</v>
      </c>
      <c r="AH1" s="113">
        <v>173</v>
      </c>
      <c r="AI1" s="113">
        <v>173</v>
      </c>
      <c r="AJ1" s="113">
        <v>173</v>
      </c>
      <c r="AK1" s="113">
        <v>173</v>
      </c>
      <c r="AL1" s="113">
        <v>173</v>
      </c>
      <c r="AM1" s="113">
        <v>173</v>
      </c>
      <c r="AN1" s="113">
        <v>173</v>
      </c>
      <c r="AO1" s="113">
        <v>173</v>
      </c>
      <c r="AP1" s="113">
        <v>173</v>
      </c>
      <c r="AQ1" s="113">
        <v>173</v>
      </c>
      <c r="AR1" s="113">
        <v>173</v>
      </c>
      <c r="AS1" s="113">
        <v>173</v>
      </c>
      <c r="AT1" s="113">
        <v>173</v>
      </c>
      <c r="AU1" s="113">
        <v>173</v>
      </c>
      <c r="AV1" s="113">
        <v>173</v>
      </c>
      <c r="AW1" s="113">
        <v>173</v>
      </c>
      <c r="AX1" s="113">
        <v>173</v>
      </c>
      <c r="AY1" s="113">
        <v>173</v>
      </c>
      <c r="AZ1" s="113">
        <v>173</v>
      </c>
      <c r="CC1" s="113">
        <v>173</v>
      </c>
      <c r="CD1" s="113">
        <v>173</v>
      </c>
      <c r="CE1" s="113">
        <v>173</v>
      </c>
      <c r="CF1" s="113">
        <v>173</v>
      </c>
      <c r="CG1" s="113">
        <v>173</v>
      </c>
      <c r="CH1" s="113">
        <v>173</v>
      </c>
      <c r="CI1" s="113">
        <v>173</v>
      </c>
      <c r="CJ1" s="113">
        <v>173</v>
      </c>
      <c r="CK1" s="113">
        <v>173</v>
      </c>
      <c r="CL1" s="113">
        <v>173</v>
      </c>
      <c r="CM1" s="113">
        <v>173</v>
      </c>
      <c r="CN1" s="113">
        <v>173</v>
      </c>
      <c r="CO1" s="113">
        <v>173</v>
      </c>
      <c r="CP1" s="113">
        <v>173</v>
      </c>
      <c r="CQ1" s="113">
        <v>173</v>
      </c>
      <c r="CR1" s="113">
        <v>173</v>
      </c>
      <c r="CS1" s="113">
        <v>173</v>
      </c>
      <c r="CT1" s="113">
        <v>173</v>
      </c>
      <c r="CU1" s="113">
        <v>173</v>
      </c>
      <c r="CV1" s="113">
        <v>173</v>
      </c>
      <c r="CW1" s="113">
        <v>173</v>
      </c>
      <c r="CX1" s="113">
        <v>173</v>
      </c>
      <c r="CY1" s="113">
        <v>173</v>
      </c>
      <c r="CZ1" s="113">
        <v>173</v>
      </c>
      <c r="DA1" s="113">
        <v>173</v>
      </c>
      <c r="DB1" s="113">
        <v>173</v>
      </c>
      <c r="DC1" s="113">
        <v>173</v>
      </c>
      <c r="DD1" s="113">
        <v>173</v>
      </c>
      <c r="DE1" s="113">
        <v>173</v>
      </c>
      <c r="DF1" s="113">
        <v>173</v>
      </c>
      <c r="DG1" s="113">
        <v>173</v>
      </c>
      <c r="DH1" s="113">
        <v>173</v>
      </c>
      <c r="DI1" s="113">
        <v>173</v>
      </c>
      <c r="DJ1" s="113">
        <v>173</v>
      </c>
      <c r="DK1" s="113">
        <v>173</v>
      </c>
      <c r="DL1" s="113">
        <v>173</v>
      </c>
      <c r="DM1" s="113">
        <v>173</v>
      </c>
      <c r="DN1" s="113">
        <v>173</v>
      </c>
      <c r="DO1" s="113">
        <v>173</v>
      </c>
      <c r="DP1" s="113">
        <v>173</v>
      </c>
      <c r="DQ1" s="113">
        <v>173</v>
      </c>
      <c r="DR1" s="113">
        <v>173</v>
      </c>
      <c r="DS1" s="113">
        <v>173</v>
      </c>
      <c r="DT1" s="113">
        <v>173</v>
      </c>
      <c r="DU1" s="113">
        <v>173</v>
      </c>
      <c r="DV1" s="113">
        <v>173</v>
      </c>
      <c r="DW1" s="113">
        <v>173</v>
      </c>
      <c r="DX1" s="113">
        <v>173</v>
      </c>
      <c r="DY1" s="113">
        <v>173</v>
      </c>
      <c r="DZ1" s="113">
        <v>173</v>
      </c>
      <c r="EA1" s="113">
        <v>173</v>
      </c>
      <c r="EB1" s="113">
        <v>173</v>
      </c>
      <c r="EC1" s="113">
        <v>173</v>
      </c>
      <c r="ED1" s="113">
        <v>173</v>
      </c>
      <c r="EE1" s="113">
        <v>173</v>
      </c>
      <c r="EF1" s="113">
        <v>173</v>
      </c>
      <c r="EG1" s="113">
        <v>173</v>
      </c>
      <c r="EH1" s="113">
        <v>173</v>
      </c>
      <c r="EI1" s="113">
        <v>173</v>
      </c>
      <c r="FE1" s="113">
        <v>173</v>
      </c>
      <c r="FF1" s="113">
        <v>173</v>
      </c>
      <c r="FG1" s="113">
        <v>173</v>
      </c>
      <c r="FH1" s="113">
        <v>173</v>
      </c>
      <c r="FI1" s="113">
        <v>173</v>
      </c>
      <c r="FJ1" s="113">
        <v>173</v>
      </c>
      <c r="FK1" s="113">
        <v>173</v>
      </c>
      <c r="FL1" s="113">
        <v>173</v>
      </c>
      <c r="FM1" s="113">
        <v>173</v>
      </c>
      <c r="FN1" s="113">
        <v>173</v>
      </c>
      <c r="FO1" s="113">
        <v>173</v>
      </c>
      <c r="FP1" s="113">
        <v>173</v>
      </c>
      <c r="FQ1" s="113">
        <v>173</v>
      </c>
      <c r="FR1" s="113">
        <v>173</v>
      </c>
      <c r="FS1" s="113">
        <v>173</v>
      </c>
      <c r="FT1" s="113">
        <v>173</v>
      </c>
      <c r="FU1" s="113">
        <v>173</v>
      </c>
      <c r="FV1" s="113">
        <v>173</v>
      </c>
      <c r="FW1" s="113">
        <v>173</v>
      </c>
      <c r="FX1" s="113">
        <v>173</v>
      </c>
      <c r="FY1" s="113">
        <v>173</v>
      </c>
      <c r="FZ1" s="113">
        <v>173</v>
      </c>
      <c r="GA1" s="113">
        <v>173</v>
      </c>
      <c r="GB1" s="113">
        <v>173</v>
      </c>
      <c r="GC1" s="113">
        <v>173</v>
      </c>
      <c r="GD1" s="113">
        <v>173</v>
      </c>
      <c r="GE1" s="113">
        <v>173</v>
      </c>
      <c r="GF1" s="113">
        <v>173</v>
      </c>
      <c r="GG1" s="113">
        <v>173</v>
      </c>
      <c r="GH1" s="113">
        <v>173</v>
      </c>
      <c r="GI1" s="113">
        <v>173</v>
      </c>
      <c r="GJ1" s="113">
        <v>173</v>
      </c>
      <c r="GK1" s="113">
        <v>173</v>
      </c>
      <c r="GL1" s="113">
        <v>173</v>
      </c>
      <c r="GM1" s="113">
        <v>173</v>
      </c>
      <c r="GN1" s="113">
        <v>173</v>
      </c>
      <c r="GO1" s="113">
        <v>173</v>
      </c>
      <c r="GP1" s="113">
        <v>173</v>
      </c>
      <c r="GQ1" s="113">
        <v>173</v>
      </c>
      <c r="GR1" s="113">
        <v>173</v>
      </c>
      <c r="GS1" s="113">
        <v>173</v>
      </c>
      <c r="GT1" s="113">
        <v>173</v>
      </c>
      <c r="GU1" s="113">
        <v>173</v>
      </c>
      <c r="GV1" s="113">
        <v>173</v>
      </c>
      <c r="GW1" s="113">
        <v>173</v>
      </c>
      <c r="GX1" s="113">
        <v>173</v>
      </c>
      <c r="GY1" s="113">
        <v>173</v>
      </c>
      <c r="GZ1" s="113">
        <v>173</v>
      </c>
      <c r="HA1" s="113">
        <v>173</v>
      </c>
      <c r="HB1" s="113">
        <v>173</v>
      </c>
      <c r="HC1" s="113">
        <v>173</v>
      </c>
      <c r="HD1" s="113">
        <v>173</v>
      </c>
      <c r="HE1" s="113">
        <v>173</v>
      </c>
      <c r="HF1" s="113">
        <v>173</v>
      </c>
      <c r="HG1" s="113">
        <v>173</v>
      </c>
      <c r="HH1" s="113">
        <v>173</v>
      </c>
      <c r="HI1" s="113">
        <v>173</v>
      </c>
      <c r="HJ1" s="113">
        <v>173</v>
      </c>
      <c r="HK1" s="113">
        <v>173</v>
      </c>
      <c r="HL1" s="113">
        <v>173</v>
      </c>
      <c r="IG1" s="113">
        <v>173</v>
      </c>
      <c r="IH1" s="113">
        <v>173</v>
      </c>
      <c r="II1" s="113">
        <v>173</v>
      </c>
      <c r="IJ1" s="113">
        <v>173</v>
      </c>
      <c r="IK1" s="113">
        <v>173</v>
      </c>
      <c r="IL1" s="113">
        <v>173</v>
      </c>
      <c r="IM1" s="113">
        <v>173</v>
      </c>
      <c r="IN1" s="113">
        <v>173</v>
      </c>
      <c r="IO1" s="113">
        <v>173</v>
      </c>
      <c r="IP1" s="113">
        <v>173</v>
      </c>
      <c r="IQ1" s="113">
        <v>173</v>
      </c>
      <c r="IR1" s="113">
        <v>173</v>
      </c>
      <c r="IS1" s="113">
        <v>173</v>
      </c>
      <c r="IT1" s="113">
        <v>173</v>
      </c>
      <c r="IU1" s="113">
        <v>173</v>
      </c>
      <c r="IV1" s="113">
        <v>173</v>
      </c>
      <c r="IW1" s="113">
        <v>173</v>
      </c>
      <c r="IX1" s="113">
        <v>173</v>
      </c>
      <c r="IY1" s="113">
        <v>173</v>
      </c>
      <c r="IZ1" s="113">
        <v>173</v>
      </c>
      <c r="JA1" s="113">
        <v>173</v>
      </c>
      <c r="JB1" s="113">
        <v>173</v>
      </c>
      <c r="JC1" s="113">
        <v>173</v>
      </c>
      <c r="JD1" s="113">
        <v>173</v>
      </c>
      <c r="JE1" s="113">
        <v>173</v>
      </c>
      <c r="JF1" s="113">
        <v>173</v>
      </c>
      <c r="JG1" s="113">
        <v>173</v>
      </c>
      <c r="JH1" s="113">
        <v>173</v>
      </c>
      <c r="JI1" s="113">
        <v>173</v>
      </c>
      <c r="JJ1" s="113">
        <v>173</v>
      </c>
      <c r="JK1" s="113">
        <v>173</v>
      </c>
      <c r="JL1" s="113">
        <v>173</v>
      </c>
      <c r="JM1" s="113">
        <v>173</v>
      </c>
      <c r="JN1" s="113">
        <v>173</v>
      </c>
      <c r="JO1" s="113">
        <v>173</v>
      </c>
      <c r="JP1" s="113">
        <v>173</v>
      </c>
      <c r="JQ1" s="113">
        <v>173</v>
      </c>
      <c r="JR1" s="113">
        <v>173</v>
      </c>
      <c r="JS1" s="113">
        <v>173</v>
      </c>
      <c r="JT1" s="113">
        <v>173</v>
      </c>
      <c r="JU1" s="113">
        <v>173</v>
      </c>
      <c r="JV1" s="113">
        <v>173</v>
      </c>
      <c r="JW1" s="113">
        <v>173</v>
      </c>
      <c r="JX1" s="113">
        <v>173</v>
      </c>
      <c r="JY1" s="113">
        <v>173</v>
      </c>
      <c r="JZ1" s="113">
        <v>173</v>
      </c>
      <c r="KA1" s="113">
        <v>173</v>
      </c>
      <c r="KB1" s="113">
        <v>173</v>
      </c>
      <c r="KC1" s="113">
        <v>173</v>
      </c>
      <c r="KD1" s="113">
        <v>173</v>
      </c>
      <c r="KE1" s="113">
        <v>173</v>
      </c>
      <c r="KF1" s="113">
        <v>173</v>
      </c>
      <c r="KG1" s="113">
        <v>173</v>
      </c>
      <c r="KH1" s="113">
        <v>173</v>
      </c>
      <c r="KI1" s="113">
        <v>173</v>
      </c>
      <c r="KJ1" s="113">
        <v>173</v>
      </c>
      <c r="KK1" s="113">
        <v>173</v>
      </c>
      <c r="KL1" s="113">
        <v>173</v>
      </c>
      <c r="KM1" s="113">
        <v>173</v>
      </c>
      <c r="KN1" s="113">
        <v>173</v>
      </c>
      <c r="LI1" s="113">
        <v>173</v>
      </c>
      <c r="LJ1" s="113">
        <v>173</v>
      </c>
      <c r="LK1" s="113">
        <v>173</v>
      </c>
      <c r="LL1" s="113">
        <v>173</v>
      </c>
      <c r="LM1" s="113">
        <v>173</v>
      </c>
      <c r="LN1" s="113">
        <v>173</v>
      </c>
      <c r="LO1" s="113">
        <v>173</v>
      </c>
      <c r="LP1" s="113">
        <v>173</v>
      </c>
      <c r="LQ1" s="113">
        <v>173</v>
      </c>
      <c r="LR1" s="113">
        <v>173</v>
      </c>
      <c r="LS1" s="113">
        <v>173</v>
      </c>
      <c r="LT1" s="113">
        <v>173</v>
      </c>
      <c r="LU1" s="113">
        <v>173</v>
      </c>
      <c r="LV1" s="113">
        <v>173</v>
      </c>
      <c r="LW1" s="113">
        <v>173</v>
      </c>
      <c r="LX1" s="113">
        <v>173</v>
      </c>
      <c r="LY1" s="113">
        <v>173</v>
      </c>
      <c r="LZ1" s="113">
        <v>173</v>
      </c>
      <c r="MA1" s="113">
        <v>173</v>
      </c>
      <c r="MB1" s="113">
        <v>173</v>
      </c>
      <c r="MC1" s="113">
        <v>173</v>
      </c>
      <c r="MD1" s="113">
        <v>173</v>
      </c>
      <c r="ME1" s="113">
        <v>173</v>
      </c>
      <c r="MF1" s="113">
        <v>173</v>
      </c>
      <c r="MG1" s="113">
        <v>173</v>
      </c>
      <c r="MH1" s="113">
        <v>173</v>
      </c>
      <c r="MI1" s="113">
        <v>173</v>
      </c>
      <c r="MJ1" s="113">
        <v>173</v>
      </c>
      <c r="MK1" s="113">
        <v>173</v>
      </c>
      <c r="ML1" s="113">
        <v>173</v>
      </c>
      <c r="MM1" s="113">
        <v>173</v>
      </c>
      <c r="MN1" s="113">
        <v>173</v>
      </c>
      <c r="MO1" s="113">
        <v>173</v>
      </c>
      <c r="MP1" s="113">
        <v>173</v>
      </c>
      <c r="MQ1" s="113">
        <v>173</v>
      </c>
      <c r="MR1" s="113">
        <v>173</v>
      </c>
      <c r="MS1" s="113">
        <v>173</v>
      </c>
      <c r="MT1" s="113">
        <v>173</v>
      </c>
      <c r="MU1" s="113">
        <v>173</v>
      </c>
      <c r="MV1" s="113">
        <v>173</v>
      </c>
      <c r="MW1" s="113">
        <v>173</v>
      </c>
      <c r="MX1" s="113">
        <v>173</v>
      </c>
      <c r="MY1" s="113">
        <v>173</v>
      </c>
      <c r="MZ1" s="113">
        <v>173</v>
      </c>
      <c r="NA1" s="113">
        <v>173</v>
      </c>
      <c r="NB1" s="113">
        <v>173</v>
      </c>
      <c r="NC1" s="113">
        <v>173</v>
      </c>
      <c r="ND1" s="113">
        <v>173</v>
      </c>
      <c r="NE1" s="113">
        <v>173</v>
      </c>
      <c r="NF1" s="113">
        <v>173</v>
      </c>
      <c r="NG1" s="113">
        <v>173</v>
      </c>
      <c r="NH1" s="113">
        <v>173</v>
      </c>
      <c r="NI1" s="113">
        <v>173</v>
      </c>
      <c r="NJ1" s="113">
        <v>173</v>
      </c>
      <c r="NK1" s="113">
        <v>173</v>
      </c>
      <c r="NL1" s="113">
        <v>173</v>
      </c>
      <c r="NM1" s="113">
        <v>173</v>
      </c>
      <c r="NN1" s="113">
        <v>173</v>
      </c>
      <c r="NO1" s="113">
        <v>173</v>
      </c>
      <c r="NP1" s="113">
        <v>173</v>
      </c>
      <c r="NQ1" s="113">
        <v>173</v>
      </c>
      <c r="NR1" s="113">
        <v>173</v>
      </c>
      <c r="OK1" s="113">
        <v>173</v>
      </c>
      <c r="OL1" s="113">
        <v>173</v>
      </c>
      <c r="OM1" s="113">
        <v>173</v>
      </c>
      <c r="ON1" s="113">
        <v>173</v>
      </c>
      <c r="OO1" s="113">
        <v>173</v>
      </c>
      <c r="OP1" s="113">
        <v>173</v>
      </c>
      <c r="OQ1" s="113">
        <v>173</v>
      </c>
      <c r="OR1" s="113">
        <v>173</v>
      </c>
      <c r="OS1" s="113">
        <v>173</v>
      </c>
      <c r="OT1" s="113">
        <v>173</v>
      </c>
      <c r="OU1" s="113">
        <v>173</v>
      </c>
      <c r="OV1" s="113">
        <v>173</v>
      </c>
      <c r="OW1" s="113">
        <v>173</v>
      </c>
      <c r="OX1" s="113">
        <v>173</v>
      </c>
      <c r="OY1" s="113">
        <v>173</v>
      </c>
      <c r="OZ1" s="113">
        <v>173</v>
      </c>
      <c r="PA1" s="113">
        <v>173</v>
      </c>
      <c r="PB1" s="113">
        <v>173</v>
      </c>
      <c r="PC1" s="113">
        <v>173</v>
      </c>
      <c r="PD1" s="113">
        <v>173</v>
      </c>
      <c r="PE1" s="113">
        <v>173</v>
      </c>
      <c r="PF1" s="113">
        <v>173</v>
      </c>
      <c r="PG1" s="113">
        <v>173</v>
      </c>
      <c r="PH1" s="113">
        <v>173</v>
      </c>
      <c r="PI1" s="113">
        <v>173</v>
      </c>
      <c r="PJ1" s="113">
        <v>173</v>
      </c>
      <c r="PK1" s="113">
        <v>173</v>
      </c>
      <c r="PL1" s="113">
        <v>173</v>
      </c>
      <c r="PM1" s="113">
        <v>173</v>
      </c>
      <c r="PN1" s="113">
        <v>173</v>
      </c>
      <c r="PO1" s="113">
        <v>173</v>
      </c>
      <c r="PP1" s="113">
        <v>173</v>
      </c>
      <c r="PQ1" s="113">
        <v>173</v>
      </c>
      <c r="PR1" s="113">
        <v>173</v>
      </c>
      <c r="PS1" s="113">
        <v>173</v>
      </c>
      <c r="PT1" s="113">
        <v>173</v>
      </c>
      <c r="PU1" s="113">
        <v>173</v>
      </c>
      <c r="PV1" s="113">
        <v>173</v>
      </c>
      <c r="PW1" s="113">
        <v>173</v>
      </c>
      <c r="PX1" s="113">
        <v>173</v>
      </c>
      <c r="PY1" s="113">
        <v>173</v>
      </c>
      <c r="PZ1" s="113">
        <v>173</v>
      </c>
      <c r="QA1" s="113">
        <v>173</v>
      </c>
      <c r="QB1" s="113">
        <v>173</v>
      </c>
      <c r="QC1" s="113">
        <v>173</v>
      </c>
      <c r="QD1" s="113">
        <v>173</v>
      </c>
      <c r="QE1" s="113">
        <v>173</v>
      </c>
      <c r="QF1" s="113">
        <v>173</v>
      </c>
      <c r="QG1" s="113">
        <v>173</v>
      </c>
      <c r="QH1" s="113">
        <v>173</v>
      </c>
      <c r="QI1" s="113">
        <v>173</v>
      </c>
      <c r="QJ1" s="113">
        <v>173</v>
      </c>
      <c r="QK1" s="113">
        <v>173</v>
      </c>
      <c r="QL1" s="113">
        <v>173</v>
      </c>
      <c r="QM1" s="113">
        <v>173</v>
      </c>
      <c r="QN1" s="113">
        <v>173</v>
      </c>
      <c r="QO1" s="113">
        <v>173</v>
      </c>
      <c r="QP1" s="113">
        <v>173</v>
      </c>
      <c r="QQ1" s="113">
        <v>173</v>
      </c>
      <c r="QR1" s="113">
        <v>173</v>
      </c>
      <c r="QS1" s="113">
        <v>173</v>
      </c>
      <c r="RM1" s="113">
        <v>173</v>
      </c>
      <c r="RN1" s="113">
        <v>173</v>
      </c>
      <c r="RO1" s="113">
        <v>173</v>
      </c>
      <c r="RP1" s="113">
        <v>173</v>
      </c>
      <c r="RQ1" s="113">
        <v>173</v>
      </c>
      <c r="RR1" s="113">
        <v>173</v>
      </c>
      <c r="RS1" s="113">
        <v>173</v>
      </c>
      <c r="RT1" s="113">
        <v>173</v>
      </c>
      <c r="RU1" s="113">
        <v>173</v>
      </c>
      <c r="RV1" s="113">
        <v>173</v>
      </c>
      <c r="RW1" s="113">
        <v>173</v>
      </c>
      <c r="RX1" s="113">
        <v>173</v>
      </c>
      <c r="RY1" s="113">
        <v>173</v>
      </c>
      <c r="RZ1" s="113">
        <v>173</v>
      </c>
      <c r="SA1" s="113">
        <v>173</v>
      </c>
      <c r="SB1" s="113">
        <v>173</v>
      </c>
      <c r="SC1" s="113">
        <v>173</v>
      </c>
      <c r="SD1" s="113">
        <v>173</v>
      </c>
      <c r="SE1" s="113">
        <v>173</v>
      </c>
      <c r="SF1" s="113">
        <v>173</v>
      </c>
      <c r="SG1" s="113">
        <v>173</v>
      </c>
      <c r="SH1" s="113">
        <v>173</v>
      </c>
      <c r="SI1" s="113">
        <v>173</v>
      </c>
      <c r="SJ1" s="113">
        <v>173</v>
      </c>
      <c r="SK1" s="113">
        <v>173</v>
      </c>
      <c r="SL1" s="113">
        <v>173</v>
      </c>
      <c r="SM1" s="113">
        <v>173</v>
      </c>
      <c r="SN1" s="113">
        <v>173</v>
      </c>
      <c r="SO1" s="113">
        <v>173</v>
      </c>
      <c r="SP1" s="113">
        <v>173</v>
      </c>
      <c r="SQ1" s="113">
        <v>173</v>
      </c>
      <c r="SR1" s="113">
        <v>173</v>
      </c>
      <c r="SS1" s="113">
        <v>173</v>
      </c>
      <c r="ST1" s="113">
        <v>173</v>
      </c>
      <c r="SU1" s="113">
        <v>173</v>
      </c>
      <c r="SV1" s="113">
        <v>173</v>
      </c>
      <c r="SW1" s="113">
        <v>173</v>
      </c>
      <c r="SX1" s="113">
        <v>173</v>
      </c>
      <c r="SY1" s="113">
        <v>173</v>
      </c>
      <c r="SZ1" s="113">
        <v>173</v>
      </c>
      <c r="TA1" s="113">
        <v>173</v>
      </c>
      <c r="TB1" s="113">
        <v>173</v>
      </c>
      <c r="TC1" s="113">
        <v>173</v>
      </c>
      <c r="TD1" s="113">
        <v>173</v>
      </c>
      <c r="TE1" s="113">
        <v>173</v>
      </c>
      <c r="TF1" s="113">
        <v>173</v>
      </c>
      <c r="TG1" s="113">
        <v>173</v>
      </c>
      <c r="TH1" s="113">
        <v>173</v>
      </c>
      <c r="TI1" s="113">
        <v>173</v>
      </c>
      <c r="TJ1" s="113">
        <v>173</v>
      </c>
      <c r="TK1" s="113">
        <v>173</v>
      </c>
      <c r="TL1" s="113">
        <v>173</v>
      </c>
      <c r="TM1" s="113">
        <v>173</v>
      </c>
      <c r="TN1" s="113">
        <v>173</v>
      </c>
      <c r="TO1" s="113">
        <v>173</v>
      </c>
      <c r="TP1" s="113">
        <v>173</v>
      </c>
      <c r="TQ1" s="113">
        <v>173</v>
      </c>
      <c r="TR1" s="113">
        <v>173</v>
      </c>
      <c r="TS1" s="113">
        <v>173</v>
      </c>
      <c r="TT1" s="113">
        <v>173</v>
      </c>
      <c r="UO1" s="113">
        <v>173</v>
      </c>
      <c r="UP1" s="113">
        <v>173</v>
      </c>
      <c r="UQ1" s="113">
        <v>173</v>
      </c>
      <c r="UR1" s="113">
        <v>173</v>
      </c>
      <c r="US1" s="113">
        <v>173</v>
      </c>
      <c r="UT1" s="113">
        <v>173</v>
      </c>
      <c r="UU1" s="113">
        <v>173</v>
      </c>
      <c r="UV1" s="113">
        <v>173</v>
      </c>
      <c r="UW1" s="113">
        <v>173</v>
      </c>
      <c r="UX1" s="113">
        <v>173</v>
      </c>
      <c r="UY1" s="113">
        <v>173</v>
      </c>
      <c r="UZ1" s="113">
        <v>173</v>
      </c>
      <c r="VA1" s="113">
        <v>173</v>
      </c>
      <c r="VB1" s="113">
        <v>173</v>
      </c>
      <c r="VC1" s="113">
        <v>173</v>
      </c>
      <c r="VD1" s="113">
        <v>173</v>
      </c>
      <c r="VE1" s="113">
        <v>173</v>
      </c>
      <c r="VF1" s="113">
        <v>173</v>
      </c>
      <c r="VG1" s="113">
        <v>173</v>
      </c>
      <c r="VH1" s="113">
        <v>173</v>
      </c>
      <c r="VI1" s="113">
        <v>173</v>
      </c>
      <c r="VJ1" s="113">
        <v>173</v>
      </c>
      <c r="VK1" s="113">
        <v>173</v>
      </c>
      <c r="VL1" s="113">
        <v>173</v>
      </c>
      <c r="VM1" s="113">
        <v>173</v>
      </c>
      <c r="VN1" s="113">
        <v>173</v>
      </c>
      <c r="VO1" s="113">
        <v>173</v>
      </c>
      <c r="VP1" s="113">
        <v>173</v>
      </c>
      <c r="VQ1" s="113">
        <v>173</v>
      </c>
      <c r="VR1" s="113">
        <v>173</v>
      </c>
      <c r="VS1" s="113">
        <v>173</v>
      </c>
      <c r="VT1" s="113">
        <v>173</v>
      </c>
      <c r="VU1" s="113">
        <v>173</v>
      </c>
      <c r="VV1" s="113">
        <v>173</v>
      </c>
      <c r="VW1" s="113">
        <v>173</v>
      </c>
      <c r="VX1" s="113">
        <v>173</v>
      </c>
      <c r="VY1" s="113">
        <v>173</v>
      </c>
      <c r="VZ1" s="113">
        <v>173</v>
      </c>
      <c r="WA1" s="113">
        <v>173</v>
      </c>
      <c r="WB1" s="113">
        <v>173</v>
      </c>
      <c r="WC1" s="113">
        <v>173</v>
      </c>
      <c r="WD1" s="113">
        <v>173</v>
      </c>
      <c r="WE1" s="113">
        <v>173</v>
      </c>
      <c r="WF1" s="113">
        <v>173</v>
      </c>
      <c r="WG1" s="113">
        <v>173</v>
      </c>
      <c r="WH1" s="113">
        <v>173</v>
      </c>
      <c r="WI1" s="113">
        <v>173</v>
      </c>
      <c r="WJ1" s="113">
        <v>173</v>
      </c>
      <c r="WK1" s="113">
        <v>173</v>
      </c>
      <c r="WL1" s="113">
        <v>173</v>
      </c>
      <c r="WM1" s="113">
        <v>173</v>
      </c>
      <c r="WN1" s="113">
        <v>173</v>
      </c>
      <c r="WO1" s="113">
        <v>173</v>
      </c>
      <c r="WP1" s="113">
        <v>173</v>
      </c>
      <c r="WQ1" s="113">
        <v>173</v>
      </c>
      <c r="WR1" s="113">
        <v>173</v>
      </c>
      <c r="WS1" s="113">
        <v>173</v>
      </c>
      <c r="WT1" s="113">
        <v>173</v>
      </c>
      <c r="WU1" s="113">
        <v>173</v>
      </c>
      <c r="WV1" s="113">
        <v>173</v>
      </c>
      <c r="WW1" s="113">
        <v>173</v>
      </c>
      <c r="XQ1" s="113">
        <v>173</v>
      </c>
      <c r="XR1" s="113">
        <v>173</v>
      </c>
      <c r="XS1" s="113">
        <v>173</v>
      </c>
      <c r="XT1" s="113">
        <v>173</v>
      </c>
      <c r="XU1" s="113">
        <v>173</v>
      </c>
      <c r="XV1" s="113">
        <v>173</v>
      </c>
      <c r="XW1" s="113">
        <v>173</v>
      </c>
      <c r="XX1" s="113">
        <v>173</v>
      </c>
      <c r="XY1" s="113">
        <v>173</v>
      </c>
      <c r="XZ1" s="113">
        <v>173</v>
      </c>
      <c r="YA1" s="113">
        <v>173</v>
      </c>
      <c r="YB1" s="113">
        <v>173</v>
      </c>
      <c r="YC1" s="113">
        <v>173</v>
      </c>
      <c r="YD1" s="113">
        <v>173</v>
      </c>
      <c r="YE1" s="113">
        <v>173</v>
      </c>
      <c r="YF1" s="113">
        <v>173</v>
      </c>
      <c r="YG1" s="113">
        <v>173</v>
      </c>
      <c r="YH1" s="113">
        <v>173</v>
      </c>
      <c r="YI1" s="113">
        <v>173</v>
      </c>
      <c r="YJ1" s="113">
        <v>173</v>
      </c>
      <c r="YK1" s="113">
        <v>173</v>
      </c>
      <c r="YL1" s="113">
        <v>173</v>
      </c>
      <c r="YM1" s="113">
        <v>173</v>
      </c>
      <c r="YN1" s="113">
        <v>173</v>
      </c>
      <c r="YO1" s="113">
        <v>173</v>
      </c>
      <c r="YP1" s="113">
        <v>173</v>
      </c>
      <c r="YQ1" s="113">
        <v>173</v>
      </c>
      <c r="YR1" s="113">
        <v>173</v>
      </c>
      <c r="YS1" s="113">
        <v>173</v>
      </c>
      <c r="YT1" s="113">
        <v>173</v>
      </c>
      <c r="YU1" s="113">
        <v>173</v>
      </c>
      <c r="YV1" s="113">
        <v>173</v>
      </c>
      <c r="YW1" s="113">
        <v>173</v>
      </c>
      <c r="YX1" s="113">
        <v>173</v>
      </c>
      <c r="YY1" s="113">
        <v>173</v>
      </c>
      <c r="YZ1" s="113">
        <v>173</v>
      </c>
      <c r="ZA1" s="113">
        <v>173</v>
      </c>
      <c r="ZB1" s="113">
        <v>173</v>
      </c>
      <c r="ZC1" s="113">
        <v>173</v>
      </c>
      <c r="ZD1" s="113">
        <v>173</v>
      </c>
      <c r="ZE1" s="113">
        <v>173</v>
      </c>
      <c r="ZF1" s="113">
        <v>173</v>
      </c>
      <c r="ZG1" s="113">
        <v>173</v>
      </c>
      <c r="ZH1" s="113">
        <v>173</v>
      </c>
      <c r="ZI1" s="113">
        <v>173</v>
      </c>
      <c r="ZJ1" s="113">
        <v>173</v>
      </c>
      <c r="ZK1" s="113">
        <v>173</v>
      </c>
      <c r="ZL1" s="113">
        <v>173</v>
      </c>
      <c r="ZM1" s="113">
        <v>173</v>
      </c>
      <c r="ZN1" s="113">
        <v>173</v>
      </c>
      <c r="ZO1" s="113">
        <v>173</v>
      </c>
      <c r="ZP1" s="113">
        <v>173</v>
      </c>
      <c r="ZQ1" s="113">
        <v>173</v>
      </c>
      <c r="ZR1" s="113">
        <v>173</v>
      </c>
      <c r="ZS1" s="113">
        <v>173</v>
      </c>
      <c r="ZT1" s="113">
        <v>173</v>
      </c>
      <c r="ZU1" s="113">
        <v>173</v>
      </c>
      <c r="ZV1" s="113">
        <v>173</v>
      </c>
      <c r="ZW1" s="113">
        <v>173</v>
      </c>
      <c r="AAS1" s="113">
        <v>173</v>
      </c>
      <c r="AAT1" s="113">
        <v>173</v>
      </c>
      <c r="AAU1" s="113">
        <v>173</v>
      </c>
      <c r="AAV1" s="113">
        <v>173</v>
      </c>
      <c r="AAW1" s="113">
        <v>173</v>
      </c>
      <c r="AAX1" s="113">
        <v>173</v>
      </c>
      <c r="AAY1" s="113">
        <v>173</v>
      </c>
      <c r="AAZ1" s="113">
        <v>173</v>
      </c>
      <c r="ABA1" s="113">
        <v>173</v>
      </c>
      <c r="ABB1" s="113">
        <v>173</v>
      </c>
      <c r="ABC1" s="113">
        <v>173</v>
      </c>
      <c r="ABD1" s="113">
        <v>173</v>
      </c>
      <c r="ABE1" s="113">
        <v>173</v>
      </c>
      <c r="ABF1" s="113">
        <v>173</v>
      </c>
      <c r="ABG1" s="113">
        <v>173</v>
      </c>
      <c r="ABH1" s="113">
        <v>173</v>
      </c>
      <c r="ABI1" s="113">
        <v>173</v>
      </c>
      <c r="ABJ1" s="113">
        <v>173</v>
      </c>
      <c r="ABK1" s="113">
        <v>173</v>
      </c>
      <c r="ABL1" s="113">
        <v>173</v>
      </c>
      <c r="ABM1" s="113">
        <v>173</v>
      </c>
      <c r="ABN1" s="113">
        <v>173</v>
      </c>
      <c r="ABO1" s="113">
        <v>173</v>
      </c>
      <c r="ABP1" s="113">
        <v>173</v>
      </c>
      <c r="ABQ1" s="113">
        <v>173</v>
      </c>
      <c r="ABR1" s="113">
        <v>173</v>
      </c>
      <c r="ABS1" s="113">
        <v>173</v>
      </c>
      <c r="ABT1" s="113">
        <v>173</v>
      </c>
      <c r="ABU1" s="113">
        <v>173</v>
      </c>
      <c r="ABV1" s="113">
        <v>173</v>
      </c>
      <c r="ABW1" s="113">
        <v>173</v>
      </c>
      <c r="ABX1" s="113">
        <v>173</v>
      </c>
      <c r="ABY1" s="113">
        <v>173</v>
      </c>
      <c r="ABZ1" s="113">
        <v>173</v>
      </c>
      <c r="ACA1" s="113">
        <v>173</v>
      </c>
      <c r="ACB1" s="113">
        <v>173</v>
      </c>
      <c r="ACC1" s="113">
        <v>173</v>
      </c>
      <c r="ACD1" s="113">
        <v>173</v>
      </c>
      <c r="ACE1" s="113">
        <v>173</v>
      </c>
      <c r="ACF1" s="113">
        <v>173</v>
      </c>
      <c r="ACG1" s="113">
        <v>173</v>
      </c>
      <c r="ACH1" s="113">
        <v>173</v>
      </c>
      <c r="ACI1" s="113">
        <v>173</v>
      </c>
      <c r="ACJ1" s="113">
        <v>173</v>
      </c>
      <c r="ACK1" s="113">
        <v>173</v>
      </c>
      <c r="ACL1" s="113">
        <v>173</v>
      </c>
      <c r="ACM1" s="113">
        <v>173</v>
      </c>
      <c r="ACN1" s="113">
        <v>173</v>
      </c>
      <c r="ACO1" s="113">
        <v>173</v>
      </c>
      <c r="ACP1" s="113">
        <v>173</v>
      </c>
      <c r="ACQ1" s="113">
        <v>173</v>
      </c>
      <c r="ACR1" s="113">
        <v>173</v>
      </c>
      <c r="ACS1" s="113">
        <v>173</v>
      </c>
      <c r="ACT1" s="113">
        <v>173</v>
      </c>
      <c r="ACU1" s="113">
        <v>173</v>
      </c>
      <c r="ACV1" s="113">
        <v>173</v>
      </c>
      <c r="ACW1" s="113">
        <v>173</v>
      </c>
      <c r="ACX1" s="113">
        <v>173</v>
      </c>
      <c r="ACY1" s="113">
        <v>173</v>
      </c>
      <c r="ACZ1" s="113">
        <v>173</v>
      </c>
      <c r="ADA1" s="113">
        <v>173</v>
      </c>
      <c r="ADU1" s="113">
        <v>173</v>
      </c>
      <c r="ADV1" s="113">
        <v>173</v>
      </c>
      <c r="ADW1" s="113">
        <v>173</v>
      </c>
      <c r="ADX1" s="113">
        <v>173</v>
      </c>
      <c r="ADY1" s="113">
        <v>173</v>
      </c>
      <c r="ADZ1" s="113">
        <v>173</v>
      </c>
      <c r="AEA1" s="113">
        <v>173</v>
      </c>
      <c r="AEB1" s="113">
        <v>173</v>
      </c>
      <c r="AEC1" s="113">
        <v>173</v>
      </c>
      <c r="AED1" s="113">
        <v>173</v>
      </c>
      <c r="AEE1" s="113">
        <v>173</v>
      </c>
      <c r="AEF1" s="113">
        <v>173</v>
      </c>
      <c r="AEG1" s="113">
        <v>173</v>
      </c>
      <c r="AEH1" s="113">
        <v>173</v>
      </c>
      <c r="AEI1" s="113">
        <v>173</v>
      </c>
      <c r="AEJ1" s="113">
        <v>173</v>
      </c>
      <c r="AEK1" s="113">
        <v>173</v>
      </c>
      <c r="AEL1" s="113">
        <v>173</v>
      </c>
      <c r="AEM1" s="113">
        <v>173</v>
      </c>
      <c r="AEN1" s="113">
        <v>173</v>
      </c>
      <c r="AEO1" s="113">
        <v>173</v>
      </c>
      <c r="AEP1" s="113">
        <v>173</v>
      </c>
      <c r="AEQ1" s="113">
        <v>173</v>
      </c>
      <c r="AER1" s="113">
        <v>173</v>
      </c>
      <c r="AES1" s="113">
        <v>173</v>
      </c>
      <c r="AET1" s="113">
        <v>173</v>
      </c>
      <c r="AEU1" s="113">
        <v>173</v>
      </c>
      <c r="AEV1" s="113">
        <v>173</v>
      </c>
      <c r="AEW1" s="113">
        <v>173</v>
      </c>
      <c r="AEX1" s="113">
        <v>173</v>
      </c>
      <c r="AEY1" s="113">
        <v>173</v>
      </c>
      <c r="AEZ1" s="113">
        <v>173</v>
      </c>
      <c r="AFA1" s="113">
        <v>173</v>
      </c>
      <c r="AFB1" s="113">
        <v>173</v>
      </c>
      <c r="AFC1" s="113">
        <v>173</v>
      </c>
      <c r="AFD1" s="113">
        <v>173</v>
      </c>
      <c r="AFE1" s="113">
        <v>173</v>
      </c>
      <c r="AFF1" s="113">
        <v>173</v>
      </c>
      <c r="AFG1" s="113">
        <v>173</v>
      </c>
      <c r="AFH1" s="113">
        <v>173</v>
      </c>
      <c r="AFI1" s="113">
        <v>173</v>
      </c>
      <c r="AFJ1" s="113">
        <v>173</v>
      </c>
      <c r="AFK1" s="113">
        <v>173</v>
      </c>
      <c r="AFL1" s="113">
        <v>173</v>
      </c>
      <c r="AFM1" s="113">
        <v>173</v>
      </c>
      <c r="AFN1" s="113">
        <v>173</v>
      </c>
      <c r="AFO1" s="113">
        <v>173</v>
      </c>
      <c r="AFP1" s="113">
        <v>173</v>
      </c>
      <c r="AFQ1" s="113">
        <v>173</v>
      </c>
      <c r="AFR1" s="113">
        <v>173</v>
      </c>
      <c r="AFS1" s="113">
        <v>173</v>
      </c>
      <c r="AFT1" s="113">
        <v>173</v>
      </c>
      <c r="AFU1" s="113">
        <v>173</v>
      </c>
      <c r="AFV1" s="113">
        <v>173</v>
      </c>
      <c r="AFW1" s="113">
        <v>173</v>
      </c>
      <c r="AFX1" s="113">
        <v>173</v>
      </c>
      <c r="AFY1" s="113">
        <v>173</v>
      </c>
      <c r="AFZ1" s="113">
        <v>173</v>
      </c>
      <c r="AGA1" s="113">
        <v>173</v>
      </c>
      <c r="AGB1" s="113">
        <v>173</v>
      </c>
      <c r="AGW1" s="113">
        <v>173</v>
      </c>
      <c r="AGX1" s="113">
        <v>173</v>
      </c>
      <c r="AGY1" s="113">
        <v>173</v>
      </c>
      <c r="AGZ1" s="113">
        <v>173</v>
      </c>
      <c r="AHA1" s="113">
        <v>173</v>
      </c>
      <c r="AHB1" s="113">
        <v>173</v>
      </c>
      <c r="AHC1" s="113">
        <v>173</v>
      </c>
      <c r="AHD1" s="113">
        <v>173</v>
      </c>
      <c r="AHE1" s="113">
        <v>173</v>
      </c>
      <c r="AHF1" s="113">
        <v>173</v>
      </c>
      <c r="AHG1" s="113">
        <v>173</v>
      </c>
      <c r="AHH1" s="113">
        <v>173</v>
      </c>
      <c r="AHI1" s="113">
        <v>173</v>
      </c>
      <c r="AHJ1" s="113">
        <v>173</v>
      </c>
      <c r="AHK1" s="113">
        <v>173</v>
      </c>
      <c r="AHL1" s="113">
        <v>173</v>
      </c>
      <c r="AHM1" s="113">
        <v>173</v>
      </c>
      <c r="AHN1" s="113">
        <v>173</v>
      </c>
      <c r="AHO1" s="113">
        <v>173</v>
      </c>
      <c r="AHP1" s="113">
        <v>173</v>
      </c>
      <c r="AHQ1" s="113">
        <v>173</v>
      </c>
      <c r="AHR1" s="113">
        <v>173</v>
      </c>
      <c r="AHS1" s="113">
        <v>173</v>
      </c>
      <c r="AHT1" s="113">
        <v>173</v>
      </c>
      <c r="AHU1" s="113">
        <v>173</v>
      </c>
      <c r="AHV1" s="113">
        <v>173</v>
      </c>
      <c r="AHW1" s="113">
        <v>173</v>
      </c>
      <c r="AHX1" s="113">
        <v>173</v>
      </c>
      <c r="AHY1" s="113">
        <v>173</v>
      </c>
      <c r="AHZ1" s="113">
        <v>173</v>
      </c>
      <c r="AIA1" s="113">
        <v>173</v>
      </c>
      <c r="AIB1" s="113">
        <v>173</v>
      </c>
      <c r="AIC1" s="113">
        <v>173</v>
      </c>
      <c r="AID1" s="113">
        <v>173</v>
      </c>
      <c r="AIE1" s="113">
        <v>173</v>
      </c>
      <c r="AIF1" s="113">
        <v>173</v>
      </c>
      <c r="AIG1" s="113">
        <v>173</v>
      </c>
      <c r="AIH1" s="113">
        <v>173</v>
      </c>
      <c r="AII1" s="113">
        <v>173</v>
      </c>
      <c r="AIJ1" s="113">
        <v>173</v>
      </c>
      <c r="AIK1" s="113">
        <v>173</v>
      </c>
      <c r="AIL1" s="113">
        <v>173</v>
      </c>
      <c r="AIM1" s="113">
        <v>173</v>
      </c>
      <c r="AIN1" s="113">
        <v>173</v>
      </c>
      <c r="AIO1" s="113">
        <v>173</v>
      </c>
      <c r="AIP1" s="113">
        <v>173</v>
      </c>
      <c r="AIQ1" s="113">
        <v>173</v>
      </c>
      <c r="AIR1" s="113">
        <v>173</v>
      </c>
      <c r="AIS1" s="113">
        <v>173</v>
      </c>
      <c r="AIT1" s="113">
        <v>173</v>
      </c>
      <c r="AIU1" s="113">
        <v>173</v>
      </c>
      <c r="AIV1" s="113">
        <v>173</v>
      </c>
      <c r="AIW1" s="113">
        <v>173</v>
      </c>
      <c r="AIX1" s="113">
        <v>173</v>
      </c>
      <c r="AIY1" s="113">
        <v>173</v>
      </c>
      <c r="AIZ1" s="113">
        <v>173</v>
      </c>
      <c r="AJA1" s="113">
        <v>173</v>
      </c>
      <c r="AJB1" s="113">
        <v>173</v>
      </c>
      <c r="AJC1" s="113">
        <v>173</v>
      </c>
      <c r="AJD1" s="113">
        <v>173</v>
      </c>
    </row>
    <row r="2" spans="1:940">
      <c r="A2" s="113">
        <v>151.38</v>
      </c>
      <c r="B2" s="113">
        <v>151.38</v>
      </c>
      <c r="C2" s="113">
        <v>151.38</v>
      </c>
      <c r="D2" s="113">
        <v>151.38</v>
      </c>
      <c r="E2" s="113">
        <v>151.38</v>
      </c>
      <c r="F2" s="113">
        <v>151.38</v>
      </c>
      <c r="G2" s="113">
        <v>151.38</v>
      </c>
      <c r="H2" s="113">
        <v>151.38</v>
      </c>
      <c r="I2" s="113">
        <v>151.38</v>
      </c>
      <c r="J2" s="113">
        <v>151.38</v>
      </c>
      <c r="K2" s="113">
        <v>151.38</v>
      </c>
      <c r="L2" s="113">
        <v>151.38</v>
      </c>
      <c r="M2" s="113">
        <v>151.38</v>
      </c>
      <c r="N2" s="113">
        <v>151.38</v>
      </c>
      <c r="O2" s="113">
        <v>151.38</v>
      </c>
      <c r="P2" s="113">
        <v>151.38</v>
      </c>
      <c r="Q2" s="113">
        <v>151.38</v>
      </c>
      <c r="R2" s="113">
        <v>151.38</v>
      </c>
      <c r="S2" s="113">
        <v>151.38</v>
      </c>
      <c r="T2" s="113">
        <v>151.38</v>
      </c>
      <c r="U2" s="113">
        <v>151.38</v>
      </c>
      <c r="V2" s="113">
        <v>151.38</v>
      </c>
      <c r="W2" s="113">
        <v>151.38</v>
      </c>
      <c r="X2" s="113">
        <v>151.38</v>
      </c>
      <c r="Y2" s="113">
        <v>151.38</v>
      </c>
      <c r="Z2" s="113">
        <v>151.38</v>
      </c>
      <c r="AA2" s="113">
        <v>151.38</v>
      </c>
      <c r="AB2" s="113">
        <v>151.38</v>
      </c>
      <c r="AC2" s="113">
        <v>151.38</v>
      </c>
      <c r="AD2" s="113">
        <v>151.38</v>
      </c>
      <c r="AE2" s="113">
        <v>151.38</v>
      </c>
      <c r="AF2" s="113">
        <v>151.38</v>
      </c>
      <c r="AG2" s="113">
        <v>151.38</v>
      </c>
      <c r="AH2" s="113">
        <v>151.38</v>
      </c>
      <c r="AI2" s="113">
        <v>151.38</v>
      </c>
      <c r="AJ2" s="113">
        <v>151.38</v>
      </c>
      <c r="AK2" s="113">
        <v>151.38</v>
      </c>
      <c r="AL2" s="113">
        <v>151.38</v>
      </c>
      <c r="AM2" s="113">
        <v>151.38</v>
      </c>
      <c r="AN2" s="113">
        <v>151.38</v>
      </c>
      <c r="AO2" s="113">
        <v>151.38</v>
      </c>
      <c r="AP2" s="113">
        <v>151.38</v>
      </c>
      <c r="AQ2" s="113">
        <v>151.38</v>
      </c>
      <c r="AR2" s="113">
        <v>151.38</v>
      </c>
      <c r="AS2" s="113">
        <v>151.38</v>
      </c>
      <c r="AT2" s="113">
        <v>151.38</v>
      </c>
      <c r="AU2" s="113">
        <v>151.38</v>
      </c>
      <c r="AV2" s="113">
        <v>151.38</v>
      </c>
      <c r="AW2" s="113">
        <v>151.38</v>
      </c>
      <c r="AX2" s="113">
        <v>151.38</v>
      </c>
      <c r="AY2" s="113">
        <v>151.38</v>
      </c>
      <c r="AZ2" s="113">
        <v>151.38</v>
      </c>
      <c r="CC2" s="113">
        <v>151.38</v>
      </c>
      <c r="CD2" s="113">
        <v>151.38</v>
      </c>
      <c r="CE2" s="113">
        <v>151.38</v>
      </c>
      <c r="CF2" s="113">
        <v>151.38</v>
      </c>
      <c r="CG2" s="113">
        <v>151.38</v>
      </c>
      <c r="CH2" s="113">
        <v>151.38</v>
      </c>
      <c r="CI2" s="113">
        <v>151.38</v>
      </c>
      <c r="CJ2" s="113">
        <v>151.38</v>
      </c>
      <c r="CK2" s="113">
        <v>151.38</v>
      </c>
      <c r="CL2" s="113">
        <v>151.38</v>
      </c>
      <c r="CM2" s="113">
        <v>151.38</v>
      </c>
      <c r="CN2" s="113">
        <v>151.38</v>
      </c>
      <c r="CO2" s="113">
        <v>151.38</v>
      </c>
      <c r="CP2" s="113">
        <v>151.38</v>
      </c>
      <c r="CQ2" s="113">
        <v>151.38</v>
      </c>
      <c r="CR2" s="113">
        <v>151.38</v>
      </c>
      <c r="CS2" s="113">
        <v>151.38</v>
      </c>
      <c r="CT2" s="113">
        <v>151.38</v>
      </c>
      <c r="CU2" s="113">
        <v>151.38</v>
      </c>
      <c r="CV2" s="113">
        <v>151.38</v>
      </c>
      <c r="CW2" s="113">
        <v>151.38</v>
      </c>
      <c r="CX2" s="113">
        <v>151.38</v>
      </c>
      <c r="CY2" s="113">
        <v>151.38</v>
      </c>
      <c r="CZ2" s="113">
        <v>151.38</v>
      </c>
      <c r="DA2" s="113">
        <v>151.38</v>
      </c>
      <c r="DB2" s="113">
        <v>151.38</v>
      </c>
      <c r="DC2" s="113">
        <v>151.38</v>
      </c>
      <c r="DD2" s="113">
        <v>151.38</v>
      </c>
      <c r="DE2" s="113">
        <v>151.38</v>
      </c>
      <c r="DF2" s="113">
        <v>151.38</v>
      </c>
      <c r="DG2" s="113">
        <v>151.38</v>
      </c>
      <c r="DH2" s="113">
        <v>151.38</v>
      </c>
      <c r="DI2" s="113">
        <v>151.38</v>
      </c>
      <c r="DJ2" s="113">
        <v>151.38</v>
      </c>
      <c r="DK2" s="113">
        <v>151.38</v>
      </c>
      <c r="DL2" s="113">
        <v>151.38</v>
      </c>
      <c r="DM2" s="113">
        <v>151.38</v>
      </c>
      <c r="DN2" s="113">
        <v>151.38</v>
      </c>
      <c r="DO2" s="113">
        <v>151.38</v>
      </c>
      <c r="DP2" s="113">
        <v>151.38</v>
      </c>
      <c r="DQ2" s="113">
        <v>151.38</v>
      </c>
      <c r="DR2" s="113">
        <v>151.38</v>
      </c>
      <c r="DS2" s="113">
        <v>151.38</v>
      </c>
      <c r="DT2" s="113">
        <v>151.38</v>
      </c>
      <c r="DU2" s="113">
        <v>151.38</v>
      </c>
      <c r="DV2" s="113">
        <v>151.38</v>
      </c>
      <c r="DW2" s="113">
        <v>151.38</v>
      </c>
      <c r="DX2" s="113">
        <v>151.38</v>
      </c>
      <c r="DY2" s="113">
        <v>151.38</v>
      </c>
      <c r="DZ2" s="113">
        <v>151.38</v>
      </c>
      <c r="EA2" s="113">
        <v>151.38</v>
      </c>
      <c r="EB2" s="113">
        <v>151.38</v>
      </c>
      <c r="EC2" s="113">
        <v>151.38</v>
      </c>
      <c r="ED2" s="113">
        <v>151.38</v>
      </c>
      <c r="EE2" s="113">
        <v>151.38</v>
      </c>
      <c r="EF2" s="113">
        <v>151.38</v>
      </c>
      <c r="EG2" s="113">
        <v>151.38</v>
      </c>
      <c r="EH2" s="113">
        <v>151.38</v>
      </c>
      <c r="EI2" s="113">
        <v>151.38</v>
      </c>
      <c r="FE2" s="113">
        <v>151.38</v>
      </c>
      <c r="FF2" s="113">
        <v>151.38</v>
      </c>
      <c r="FG2" s="113">
        <v>151.38</v>
      </c>
      <c r="FH2" s="113">
        <v>151.38</v>
      </c>
      <c r="FI2" s="113">
        <v>151.38</v>
      </c>
      <c r="FJ2" s="113">
        <v>151.38</v>
      </c>
      <c r="FK2" s="113">
        <v>151.38</v>
      </c>
      <c r="FL2" s="113">
        <v>151.38</v>
      </c>
      <c r="FM2" s="113">
        <v>151.38</v>
      </c>
      <c r="FN2" s="113">
        <v>151.38</v>
      </c>
      <c r="FO2" s="113">
        <v>151.38</v>
      </c>
      <c r="FP2" s="113">
        <v>151.38</v>
      </c>
      <c r="FQ2" s="113">
        <v>151.38</v>
      </c>
      <c r="FR2" s="113">
        <v>151.38</v>
      </c>
      <c r="FS2" s="113">
        <v>151.38</v>
      </c>
      <c r="FT2" s="113">
        <v>151.38</v>
      </c>
      <c r="FU2" s="113">
        <v>151.38</v>
      </c>
      <c r="FV2" s="113">
        <v>151.38</v>
      </c>
      <c r="FW2" s="113">
        <v>151.38</v>
      </c>
      <c r="FX2" s="113">
        <v>151.38</v>
      </c>
      <c r="FY2" s="113">
        <v>151.38</v>
      </c>
      <c r="FZ2" s="113">
        <v>151.38</v>
      </c>
      <c r="GA2" s="113">
        <v>151.38</v>
      </c>
      <c r="GB2" s="113">
        <v>151.38</v>
      </c>
      <c r="GC2" s="113">
        <v>151.38</v>
      </c>
      <c r="GD2" s="113">
        <v>151.38</v>
      </c>
      <c r="GE2" s="113">
        <v>151.38</v>
      </c>
      <c r="GF2" s="113">
        <v>151.38</v>
      </c>
      <c r="GG2" s="113">
        <v>151.38</v>
      </c>
      <c r="GH2" s="113">
        <v>151.38</v>
      </c>
      <c r="GI2" s="113">
        <v>151.38</v>
      </c>
      <c r="GJ2" s="113">
        <v>151.38</v>
      </c>
      <c r="GK2" s="113">
        <v>151.38</v>
      </c>
      <c r="GL2" s="113">
        <v>151.38</v>
      </c>
      <c r="GM2" s="113">
        <v>151.38</v>
      </c>
      <c r="GN2" s="113">
        <v>151.38</v>
      </c>
      <c r="GO2" s="113">
        <v>151.38</v>
      </c>
      <c r="GP2" s="113">
        <v>151.38</v>
      </c>
      <c r="GQ2" s="113">
        <v>151.38</v>
      </c>
      <c r="GR2" s="113">
        <v>151.38</v>
      </c>
      <c r="GS2" s="113">
        <v>151.38</v>
      </c>
      <c r="GT2" s="113">
        <v>151.38</v>
      </c>
      <c r="GU2" s="113">
        <v>151.38</v>
      </c>
      <c r="GV2" s="113">
        <v>151.38</v>
      </c>
      <c r="GW2" s="113">
        <v>151.38</v>
      </c>
      <c r="GX2" s="113">
        <v>151.38</v>
      </c>
      <c r="GY2" s="113">
        <v>151.38</v>
      </c>
      <c r="GZ2" s="113">
        <v>151.38</v>
      </c>
      <c r="HA2" s="113">
        <v>151.38</v>
      </c>
      <c r="HB2" s="113">
        <v>151.38</v>
      </c>
      <c r="HC2" s="113">
        <v>151.38</v>
      </c>
      <c r="HD2" s="113">
        <v>151.38</v>
      </c>
      <c r="HE2" s="113">
        <v>151.38</v>
      </c>
      <c r="HF2" s="113">
        <v>151.38</v>
      </c>
      <c r="HG2" s="113">
        <v>151.38</v>
      </c>
      <c r="HH2" s="113">
        <v>151.38</v>
      </c>
      <c r="HI2" s="113">
        <v>151.38</v>
      </c>
      <c r="HJ2" s="113">
        <v>151.38</v>
      </c>
      <c r="HK2" s="113">
        <v>151.38</v>
      </c>
      <c r="HL2" s="113">
        <v>151.38</v>
      </c>
      <c r="IG2" s="113">
        <v>151.38</v>
      </c>
      <c r="IH2" s="113">
        <v>151.38</v>
      </c>
      <c r="II2" s="113">
        <v>151.38</v>
      </c>
      <c r="IJ2" s="113">
        <v>151.38</v>
      </c>
      <c r="IK2" s="113">
        <v>151.38</v>
      </c>
      <c r="IL2" s="113">
        <v>151.38</v>
      </c>
      <c r="IM2" s="113">
        <v>151.38</v>
      </c>
      <c r="IN2" s="113">
        <v>151.38</v>
      </c>
      <c r="IO2" s="113">
        <v>151.38</v>
      </c>
      <c r="IP2" s="113">
        <v>151.38</v>
      </c>
      <c r="IQ2" s="113">
        <v>151.38</v>
      </c>
      <c r="IR2" s="113">
        <v>151.38</v>
      </c>
      <c r="IS2" s="113">
        <v>151.38</v>
      </c>
      <c r="IT2" s="113">
        <v>151.38</v>
      </c>
      <c r="IU2" s="113">
        <v>151.38</v>
      </c>
      <c r="IV2" s="113">
        <v>151.38</v>
      </c>
      <c r="IW2" s="113">
        <v>151.38</v>
      </c>
      <c r="IX2" s="113">
        <v>151.38</v>
      </c>
      <c r="IY2" s="113">
        <v>151.38</v>
      </c>
      <c r="IZ2" s="113">
        <v>151.38</v>
      </c>
      <c r="JA2" s="113">
        <v>151.38</v>
      </c>
      <c r="JB2" s="113">
        <v>151.38</v>
      </c>
      <c r="JC2" s="113">
        <v>151.38</v>
      </c>
      <c r="JD2" s="113">
        <v>151.38</v>
      </c>
      <c r="JE2" s="113">
        <v>151.38</v>
      </c>
      <c r="JF2" s="113">
        <v>151.38</v>
      </c>
      <c r="JG2" s="113">
        <v>151.38</v>
      </c>
      <c r="JH2" s="113">
        <v>151.38</v>
      </c>
      <c r="JI2" s="113">
        <v>151.38</v>
      </c>
      <c r="JJ2" s="113">
        <v>151.38</v>
      </c>
      <c r="JK2" s="113">
        <v>151.38</v>
      </c>
      <c r="JL2" s="113">
        <v>151.38</v>
      </c>
      <c r="JM2" s="113">
        <v>151.38</v>
      </c>
      <c r="JN2" s="113">
        <v>151.38</v>
      </c>
      <c r="JO2" s="113">
        <v>151.38</v>
      </c>
      <c r="JP2" s="113">
        <v>151.38</v>
      </c>
      <c r="JQ2" s="113">
        <v>151.38</v>
      </c>
      <c r="JR2" s="113">
        <v>151.38</v>
      </c>
      <c r="JS2" s="113">
        <v>151.38</v>
      </c>
      <c r="JT2" s="113">
        <v>151.38</v>
      </c>
      <c r="JU2" s="113">
        <v>151.38</v>
      </c>
      <c r="JV2" s="113">
        <v>151.38</v>
      </c>
      <c r="JW2" s="113">
        <v>151.38</v>
      </c>
      <c r="JX2" s="113">
        <v>151.38</v>
      </c>
      <c r="JY2" s="113">
        <v>151.38</v>
      </c>
      <c r="JZ2" s="113">
        <v>151.38</v>
      </c>
      <c r="KA2" s="113">
        <v>151.38</v>
      </c>
      <c r="KB2" s="113">
        <v>151.38</v>
      </c>
      <c r="KC2" s="113">
        <v>151.38</v>
      </c>
      <c r="KD2" s="113">
        <v>151.38</v>
      </c>
      <c r="KE2" s="113">
        <v>151.38</v>
      </c>
      <c r="KF2" s="113">
        <v>151.38</v>
      </c>
      <c r="KG2" s="113">
        <v>151.38</v>
      </c>
      <c r="KH2" s="113">
        <v>151.38</v>
      </c>
      <c r="KI2" s="113">
        <v>151.38</v>
      </c>
      <c r="KJ2" s="113">
        <v>151.38</v>
      </c>
      <c r="KK2" s="113">
        <v>151.38</v>
      </c>
      <c r="KL2" s="113">
        <v>151.38</v>
      </c>
      <c r="KM2" s="113">
        <v>151.38</v>
      </c>
      <c r="KN2" s="113">
        <v>151.38</v>
      </c>
      <c r="LI2" s="113">
        <v>151.38</v>
      </c>
      <c r="LJ2" s="113">
        <v>151.38</v>
      </c>
      <c r="LK2" s="113">
        <v>151.38</v>
      </c>
      <c r="LL2" s="113">
        <v>151.38</v>
      </c>
      <c r="LM2" s="113">
        <v>151.38</v>
      </c>
      <c r="LN2" s="113">
        <v>151.38</v>
      </c>
      <c r="LO2" s="113">
        <v>151.38</v>
      </c>
      <c r="LP2" s="113">
        <v>151.38</v>
      </c>
      <c r="LQ2" s="113">
        <v>151.38</v>
      </c>
      <c r="LR2" s="113">
        <v>151.38</v>
      </c>
      <c r="LS2" s="113">
        <v>151.38</v>
      </c>
      <c r="LT2" s="113">
        <v>151.38</v>
      </c>
      <c r="LU2" s="113">
        <v>151.38</v>
      </c>
      <c r="LV2" s="113">
        <v>151.38</v>
      </c>
      <c r="LW2" s="113">
        <v>151.38</v>
      </c>
      <c r="LX2" s="113">
        <v>151.38</v>
      </c>
      <c r="LY2" s="113">
        <v>151.38</v>
      </c>
      <c r="LZ2" s="113">
        <v>151.38</v>
      </c>
      <c r="MA2" s="113">
        <v>151.38</v>
      </c>
      <c r="MB2" s="113">
        <v>151.38</v>
      </c>
      <c r="MC2" s="113">
        <v>151.38</v>
      </c>
      <c r="MD2" s="113">
        <v>151.38</v>
      </c>
      <c r="ME2" s="113">
        <v>151.38</v>
      </c>
      <c r="MF2" s="113">
        <v>151.38</v>
      </c>
      <c r="MG2" s="113">
        <v>151.38</v>
      </c>
      <c r="MH2" s="113">
        <v>151.38</v>
      </c>
      <c r="MI2" s="113">
        <v>151.38</v>
      </c>
      <c r="MJ2" s="113">
        <v>151.38</v>
      </c>
      <c r="MK2" s="113">
        <v>151.38</v>
      </c>
      <c r="ML2" s="113">
        <v>151.38</v>
      </c>
      <c r="MM2" s="113">
        <v>151.38</v>
      </c>
      <c r="MN2" s="113">
        <v>151.38</v>
      </c>
      <c r="MO2" s="113">
        <v>151.38</v>
      </c>
      <c r="MP2" s="113">
        <v>151.38</v>
      </c>
      <c r="MQ2" s="113">
        <v>151.38</v>
      </c>
      <c r="MR2" s="113">
        <v>151.38</v>
      </c>
      <c r="MS2" s="113">
        <v>151.38</v>
      </c>
      <c r="MT2" s="113">
        <v>151.38</v>
      </c>
      <c r="MU2" s="113">
        <v>151.38</v>
      </c>
      <c r="MV2" s="113">
        <v>151.38</v>
      </c>
      <c r="MW2" s="113">
        <v>151.38</v>
      </c>
      <c r="MX2" s="113">
        <v>151.38</v>
      </c>
      <c r="MY2" s="113">
        <v>151.38</v>
      </c>
      <c r="MZ2" s="113">
        <v>151.38</v>
      </c>
      <c r="NA2" s="113">
        <v>151.38</v>
      </c>
      <c r="NB2" s="113">
        <v>151.38</v>
      </c>
      <c r="NC2" s="113">
        <v>151.38</v>
      </c>
      <c r="ND2" s="113">
        <v>151.38</v>
      </c>
      <c r="NE2" s="113">
        <v>151.38</v>
      </c>
      <c r="NF2" s="113">
        <v>151.38</v>
      </c>
      <c r="NG2" s="113">
        <v>151.38</v>
      </c>
      <c r="NH2" s="113">
        <v>151.38</v>
      </c>
      <c r="NI2" s="113">
        <v>151.38</v>
      </c>
      <c r="NJ2" s="113">
        <v>151.38</v>
      </c>
      <c r="NK2" s="113">
        <v>151.38</v>
      </c>
      <c r="NL2" s="113">
        <v>151.38</v>
      </c>
      <c r="NM2" s="113">
        <v>151.38</v>
      </c>
      <c r="NN2" s="113">
        <v>151.38</v>
      </c>
      <c r="NO2" s="113">
        <v>151.38</v>
      </c>
      <c r="NP2" s="113">
        <v>151.38</v>
      </c>
      <c r="NQ2" s="113">
        <v>151.38</v>
      </c>
      <c r="NR2" s="113">
        <v>151.38</v>
      </c>
      <c r="OK2" s="113">
        <v>151.38</v>
      </c>
      <c r="OL2" s="113">
        <v>151.38</v>
      </c>
      <c r="OM2" s="113">
        <v>151.38</v>
      </c>
      <c r="ON2" s="113">
        <v>151.38</v>
      </c>
      <c r="OO2" s="113">
        <v>151.38</v>
      </c>
      <c r="OP2" s="113">
        <v>151.38</v>
      </c>
      <c r="OQ2" s="113">
        <v>151.38</v>
      </c>
      <c r="OR2" s="113">
        <v>151.38</v>
      </c>
      <c r="OS2" s="113">
        <v>151.38</v>
      </c>
      <c r="OT2" s="113">
        <v>151.38</v>
      </c>
      <c r="OU2" s="113">
        <v>151.38</v>
      </c>
      <c r="OV2" s="113">
        <v>151.38</v>
      </c>
      <c r="OW2" s="113">
        <v>151.38</v>
      </c>
      <c r="OX2" s="113">
        <v>151.38</v>
      </c>
      <c r="OY2" s="113">
        <v>151.38</v>
      </c>
      <c r="OZ2" s="113">
        <v>151.38</v>
      </c>
      <c r="PA2" s="113">
        <v>151.38</v>
      </c>
      <c r="PB2" s="113">
        <v>151.38</v>
      </c>
      <c r="PC2" s="113">
        <v>151.38</v>
      </c>
      <c r="PD2" s="113">
        <v>151.38</v>
      </c>
      <c r="PE2" s="113">
        <v>151.38</v>
      </c>
      <c r="PF2" s="113">
        <v>151.38</v>
      </c>
      <c r="PG2" s="113">
        <v>151.38</v>
      </c>
      <c r="PH2" s="113">
        <v>151.38</v>
      </c>
      <c r="PI2" s="113">
        <v>151.38</v>
      </c>
      <c r="PJ2" s="113">
        <v>151.38</v>
      </c>
      <c r="PK2" s="113">
        <v>151.38</v>
      </c>
      <c r="PL2" s="113">
        <v>151.38</v>
      </c>
      <c r="PM2" s="113">
        <v>151.38</v>
      </c>
      <c r="PN2" s="113">
        <v>151.38</v>
      </c>
      <c r="PO2" s="113">
        <v>151.38</v>
      </c>
      <c r="PP2" s="113">
        <v>151.38</v>
      </c>
      <c r="PQ2" s="113">
        <v>151.38</v>
      </c>
      <c r="PR2" s="113">
        <v>151.38</v>
      </c>
      <c r="PS2" s="113">
        <v>151.38</v>
      </c>
      <c r="PT2" s="113">
        <v>151.38</v>
      </c>
      <c r="PU2" s="113">
        <v>151.38</v>
      </c>
      <c r="PV2" s="113">
        <v>151.38</v>
      </c>
      <c r="PW2" s="113">
        <v>151.38</v>
      </c>
      <c r="PX2" s="113">
        <v>151.38</v>
      </c>
      <c r="PY2" s="113">
        <v>151.38</v>
      </c>
      <c r="PZ2" s="113">
        <v>151.38</v>
      </c>
      <c r="QA2" s="113">
        <v>151.38</v>
      </c>
      <c r="QB2" s="113">
        <v>151.38</v>
      </c>
      <c r="QC2" s="113">
        <v>151.38</v>
      </c>
      <c r="QD2" s="113">
        <v>151.38</v>
      </c>
      <c r="QE2" s="113">
        <v>151.38</v>
      </c>
      <c r="QF2" s="113">
        <v>151.38</v>
      </c>
      <c r="QG2" s="113">
        <v>151.38</v>
      </c>
      <c r="QH2" s="113">
        <v>151.38</v>
      </c>
      <c r="QI2" s="113">
        <v>151.38</v>
      </c>
      <c r="QJ2" s="113">
        <v>151.38</v>
      </c>
      <c r="QK2" s="113">
        <v>151.38</v>
      </c>
      <c r="QL2" s="113">
        <v>151.38</v>
      </c>
      <c r="QM2" s="113">
        <v>151.38</v>
      </c>
      <c r="QN2" s="113">
        <v>151.38</v>
      </c>
      <c r="QO2" s="113">
        <v>151.38</v>
      </c>
      <c r="QP2" s="113">
        <v>151.38</v>
      </c>
      <c r="QQ2" s="113">
        <v>151.38</v>
      </c>
      <c r="QR2" s="113">
        <v>151.38</v>
      </c>
      <c r="QS2" s="113">
        <v>151.38</v>
      </c>
      <c r="RM2" s="113">
        <v>151.38</v>
      </c>
      <c r="RN2" s="113">
        <v>151.38</v>
      </c>
      <c r="RO2" s="113">
        <v>151.38</v>
      </c>
      <c r="RP2" s="113">
        <v>151.38</v>
      </c>
      <c r="RQ2" s="113">
        <v>151.38</v>
      </c>
      <c r="RR2" s="113">
        <v>151.38</v>
      </c>
      <c r="RS2" s="113">
        <v>151.38</v>
      </c>
      <c r="RT2" s="113">
        <v>151.38</v>
      </c>
      <c r="RU2" s="113">
        <v>151.38</v>
      </c>
      <c r="RV2" s="113">
        <v>151.38</v>
      </c>
      <c r="RW2" s="113">
        <v>151.38</v>
      </c>
      <c r="RX2" s="113">
        <v>151.38</v>
      </c>
      <c r="RY2" s="113">
        <v>151.38</v>
      </c>
      <c r="RZ2" s="113">
        <v>151.38</v>
      </c>
      <c r="SA2" s="113">
        <v>151.38</v>
      </c>
      <c r="SB2" s="113">
        <v>151.38</v>
      </c>
      <c r="SC2" s="113">
        <v>151.38</v>
      </c>
      <c r="SD2" s="113">
        <v>151.38</v>
      </c>
      <c r="SE2" s="113">
        <v>151.38</v>
      </c>
      <c r="SF2" s="113">
        <v>151.38</v>
      </c>
      <c r="SG2" s="113">
        <v>151.38</v>
      </c>
      <c r="SH2" s="113">
        <v>151.38</v>
      </c>
      <c r="SI2" s="113">
        <v>151.38</v>
      </c>
      <c r="SJ2" s="113">
        <v>151.38</v>
      </c>
      <c r="SK2" s="113">
        <v>151.38</v>
      </c>
      <c r="SL2" s="113">
        <v>151.38</v>
      </c>
      <c r="SM2" s="113">
        <v>151.38</v>
      </c>
      <c r="SN2" s="113">
        <v>151.38</v>
      </c>
      <c r="SO2" s="113">
        <v>151.38</v>
      </c>
      <c r="SP2" s="113">
        <v>151.38</v>
      </c>
      <c r="SQ2" s="113">
        <v>151.38</v>
      </c>
      <c r="SR2" s="113">
        <v>151.38</v>
      </c>
      <c r="SS2" s="113">
        <v>151.38</v>
      </c>
      <c r="ST2" s="113">
        <v>151.38</v>
      </c>
      <c r="SU2" s="113">
        <v>151.38</v>
      </c>
      <c r="SV2" s="113">
        <v>151.38</v>
      </c>
      <c r="SW2" s="113">
        <v>151.38</v>
      </c>
      <c r="SX2" s="113">
        <v>151.38</v>
      </c>
      <c r="SY2" s="113">
        <v>151.38</v>
      </c>
      <c r="SZ2" s="113">
        <v>151.38</v>
      </c>
      <c r="TA2" s="113">
        <v>151.38</v>
      </c>
      <c r="TB2" s="113">
        <v>151.38</v>
      </c>
      <c r="TC2" s="113">
        <v>151.38</v>
      </c>
      <c r="TD2" s="113">
        <v>151.38</v>
      </c>
      <c r="TE2" s="113">
        <v>151.38</v>
      </c>
      <c r="TF2" s="113">
        <v>151.38</v>
      </c>
      <c r="TG2" s="113">
        <v>151.38</v>
      </c>
      <c r="TH2" s="113">
        <v>151.38</v>
      </c>
      <c r="TI2" s="113">
        <v>151.38</v>
      </c>
      <c r="TJ2" s="113">
        <v>151.38</v>
      </c>
      <c r="TK2" s="113">
        <v>151.38</v>
      </c>
      <c r="TL2" s="113">
        <v>151.38</v>
      </c>
      <c r="TM2" s="113">
        <v>151.38</v>
      </c>
      <c r="TN2" s="113">
        <v>151.38</v>
      </c>
      <c r="TO2" s="113">
        <v>151.38</v>
      </c>
      <c r="TP2" s="113">
        <v>151.38</v>
      </c>
      <c r="TQ2" s="113">
        <v>151.38</v>
      </c>
      <c r="TR2" s="113">
        <v>151.38</v>
      </c>
      <c r="TS2" s="113">
        <v>151.38</v>
      </c>
      <c r="TT2" s="113">
        <v>151.38</v>
      </c>
      <c r="UO2" s="113">
        <v>151.38</v>
      </c>
      <c r="UP2" s="113">
        <v>151.38</v>
      </c>
      <c r="UQ2" s="113">
        <v>151.38</v>
      </c>
      <c r="UR2" s="113">
        <v>151.38</v>
      </c>
      <c r="US2" s="113">
        <v>151.38</v>
      </c>
      <c r="UT2" s="113">
        <v>151.38</v>
      </c>
      <c r="UU2" s="113">
        <v>151.38</v>
      </c>
      <c r="UV2" s="113">
        <v>151.38</v>
      </c>
      <c r="UW2" s="113">
        <v>151.38</v>
      </c>
      <c r="UX2" s="113">
        <v>151.38</v>
      </c>
      <c r="UY2" s="113">
        <v>151.38</v>
      </c>
      <c r="UZ2" s="113">
        <v>151.38</v>
      </c>
      <c r="VA2" s="113">
        <v>151.38</v>
      </c>
      <c r="VB2" s="113">
        <v>151.38</v>
      </c>
      <c r="VC2" s="113">
        <v>151.38</v>
      </c>
      <c r="VD2" s="113">
        <v>151.38</v>
      </c>
      <c r="VE2" s="113">
        <v>151.38</v>
      </c>
      <c r="VF2" s="113">
        <v>151.38</v>
      </c>
      <c r="VG2" s="113">
        <v>151.38</v>
      </c>
      <c r="VH2" s="113">
        <v>151.38</v>
      </c>
      <c r="VI2" s="113">
        <v>151.38</v>
      </c>
      <c r="VJ2" s="113">
        <v>151.38</v>
      </c>
      <c r="VK2" s="113">
        <v>151.38</v>
      </c>
      <c r="VL2" s="113">
        <v>151.38</v>
      </c>
      <c r="VM2" s="113">
        <v>151.38</v>
      </c>
      <c r="VN2" s="113">
        <v>151.38</v>
      </c>
      <c r="VO2" s="113">
        <v>151.38</v>
      </c>
      <c r="VP2" s="113">
        <v>151.38</v>
      </c>
      <c r="VQ2" s="113">
        <v>151.38</v>
      </c>
      <c r="VR2" s="113">
        <v>151.38</v>
      </c>
      <c r="VS2" s="113">
        <v>151.38</v>
      </c>
      <c r="VT2" s="113">
        <v>151.38</v>
      </c>
      <c r="VU2" s="113">
        <v>151.38</v>
      </c>
      <c r="VV2" s="113">
        <v>151.38</v>
      </c>
      <c r="VW2" s="113">
        <v>151.38</v>
      </c>
      <c r="VX2" s="113">
        <v>151.38</v>
      </c>
      <c r="VY2" s="113">
        <v>151.38</v>
      </c>
      <c r="VZ2" s="113">
        <v>151.38</v>
      </c>
      <c r="WA2" s="113">
        <v>151.38</v>
      </c>
      <c r="WB2" s="113">
        <v>151.38</v>
      </c>
      <c r="WC2" s="113">
        <v>151.38</v>
      </c>
      <c r="WD2" s="113">
        <v>151.38</v>
      </c>
      <c r="WE2" s="113">
        <v>151.38</v>
      </c>
      <c r="WF2" s="113">
        <v>151.38</v>
      </c>
      <c r="WG2" s="113">
        <v>151.38</v>
      </c>
      <c r="WH2" s="113">
        <v>151.38</v>
      </c>
      <c r="WI2" s="113">
        <v>151.38</v>
      </c>
      <c r="WJ2" s="113">
        <v>151.38</v>
      </c>
      <c r="WK2" s="113">
        <v>151.38</v>
      </c>
      <c r="WL2" s="113">
        <v>151.38</v>
      </c>
      <c r="WM2" s="113">
        <v>151.38</v>
      </c>
      <c r="WN2" s="113">
        <v>151.38</v>
      </c>
      <c r="WO2" s="113">
        <v>151.38</v>
      </c>
      <c r="WP2" s="113">
        <v>151.38</v>
      </c>
      <c r="WQ2" s="113">
        <v>151.38</v>
      </c>
      <c r="WR2" s="113">
        <v>151.38</v>
      </c>
      <c r="WS2" s="113">
        <v>151.38</v>
      </c>
      <c r="WT2" s="113">
        <v>151.38</v>
      </c>
      <c r="WU2" s="113">
        <v>151.38</v>
      </c>
      <c r="WV2" s="113">
        <v>151.38</v>
      </c>
      <c r="WW2" s="113">
        <v>151.38</v>
      </c>
      <c r="XQ2" s="113">
        <v>151.38</v>
      </c>
      <c r="XR2" s="113">
        <v>151.38</v>
      </c>
      <c r="XS2" s="113">
        <v>151.38</v>
      </c>
      <c r="XT2" s="113">
        <v>151.38</v>
      </c>
      <c r="XU2" s="113">
        <v>151.38</v>
      </c>
      <c r="XV2" s="113">
        <v>151.38</v>
      </c>
      <c r="XW2" s="113">
        <v>151.38</v>
      </c>
      <c r="XX2" s="113">
        <v>151.38</v>
      </c>
      <c r="XY2" s="113">
        <v>151.38</v>
      </c>
      <c r="XZ2" s="113">
        <v>151.38</v>
      </c>
      <c r="YA2" s="113">
        <v>151.38</v>
      </c>
      <c r="YB2" s="113">
        <v>151.38</v>
      </c>
      <c r="YC2" s="113">
        <v>151.38</v>
      </c>
      <c r="YD2" s="113">
        <v>151.38</v>
      </c>
      <c r="YE2" s="113">
        <v>151.38</v>
      </c>
      <c r="YF2" s="113">
        <v>151.38</v>
      </c>
      <c r="YG2" s="113">
        <v>151.38</v>
      </c>
      <c r="YH2" s="113">
        <v>151.38</v>
      </c>
      <c r="YI2" s="113">
        <v>151.38</v>
      </c>
      <c r="YJ2" s="113">
        <v>151.38</v>
      </c>
      <c r="YK2" s="113">
        <v>151.38</v>
      </c>
      <c r="YL2" s="113">
        <v>151.38</v>
      </c>
      <c r="YM2" s="113">
        <v>151.38</v>
      </c>
      <c r="YN2" s="113">
        <v>151.38</v>
      </c>
      <c r="YO2" s="113">
        <v>151.38</v>
      </c>
      <c r="YP2" s="113">
        <v>151.38</v>
      </c>
      <c r="YQ2" s="113">
        <v>151.38</v>
      </c>
      <c r="YR2" s="113">
        <v>151.38</v>
      </c>
      <c r="YS2" s="113">
        <v>151.38</v>
      </c>
      <c r="YT2" s="113">
        <v>151.38</v>
      </c>
      <c r="YU2" s="113">
        <v>151.38</v>
      </c>
      <c r="YV2" s="113">
        <v>151.38</v>
      </c>
      <c r="YW2" s="113">
        <v>151.38</v>
      </c>
      <c r="YX2" s="113">
        <v>151.38</v>
      </c>
      <c r="YY2" s="113">
        <v>151.38</v>
      </c>
      <c r="YZ2" s="113">
        <v>151.38</v>
      </c>
      <c r="ZA2" s="113">
        <v>151.38</v>
      </c>
      <c r="ZB2" s="113">
        <v>151.38</v>
      </c>
      <c r="ZC2" s="113">
        <v>151.38</v>
      </c>
      <c r="ZD2" s="113">
        <v>151.38</v>
      </c>
      <c r="ZE2" s="113">
        <v>151.38</v>
      </c>
      <c r="ZF2" s="113">
        <v>151.38</v>
      </c>
      <c r="ZG2" s="113">
        <v>151.38</v>
      </c>
      <c r="ZH2" s="113">
        <v>151.38</v>
      </c>
      <c r="ZI2" s="113">
        <v>151.38</v>
      </c>
      <c r="ZJ2" s="113">
        <v>151.38</v>
      </c>
      <c r="ZK2" s="113">
        <v>151.38</v>
      </c>
      <c r="ZL2" s="113">
        <v>151.38</v>
      </c>
      <c r="ZM2" s="113">
        <v>151.38</v>
      </c>
      <c r="ZN2" s="113">
        <v>151.38</v>
      </c>
      <c r="ZO2" s="113">
        <v>151.38</v>
      </c>
      <c r="ZP2" s="113">
        <v>151.38</v>
      </c>
      <c r="ZQ2" s="113">
        <v>151.38</v>
      </c>
      <c r="ZR2" s="113">
        <v>151.38</v>
      </c>
      <c r="ZS2" s="113">
        <v>151.38</v>
      </c>
      <c r="ZT2" s="113">
        <v>151.38</v>
      </c>
      <c r="ZU2" s="113">
        <v>151.38</v>
      </c>
      <c r="ZV2" s="113">
        <v>151.38</v>
      </c>
      <c r="ZW2" s="113">
        <v>151.38</v>
      </c>
      <c r="AAS2" s="113">
        <v>151.38</v>
      </c>
      <c r="AAT2" s="113">
        <v>151.38</v>
      </c>
      <c r="AAU2" s="113">
        <v>151.38</v>
      </c>
      <c r="AAV2" s="113">
        <v>151.38</v>
      </c>
      <c r="AAW2" s="113">
        <v>151.38</v>
      </c>
      <c r="AAX2" s="113">
        <v>151.38</v>
      </c>
      <c r="AAY2" s="113">
        <v>151.38</v>
      </c>
      <c r="AAZ2" s="113">
        <v>151.38</v>
      </c>
      <c r="ABA2" s="113">
        <v>151.38</v>
      </c>
      <c r="ABB2" s="113">
        <v>151.38</v>
      </c>
      <c r="ABC2" s="113">
        <v>151.38</v>
      </c>
      <c r="ABD2" s="113">
        <v>151.38</v>
      </c>
      <c r="ABE2" s="113">
        <v>151.38</v>
      </c>
      <c r="ABF2" s="113">
        <v>151.38</v>
      </c>
      <c r="ABG2" s="113">
        <v>151.38</v>
      </c>
      <c r="ABH2" s="113">
        <v>151.38</v>
      </c>
      <c r="ABI2" s="113">
        <v>151.38</v>
      </c>
      <c r="ABJ2" s="113">
        <v>151.38</v>
      </c>
      <c r="ABK2" s="113">
        <v>151.38</v>
      </c>
      <c r="ABL2" s="113">
        <v>151.38</v>
      </c>
      <c r="ABM2" s="113">
        <v>151.38</v>
      </c>
      <c r="ABN2" s="113">
        <v>151.38</v>
      </c>
      <c r="ABO2" s="113">
        <v>151.38</v>
      </c>
      <c r="ABP2" s="113">
        <v>151.38</v>
      </c>
      <c r="ABQ2" s="113">
        <v>151.38</v>
      </c>
      <c r="ABR2" s="113">
        <v>151.38</v>
      </c>
      <c r="ABS2" s="113">
        <v>151.38</v>
      </c>
      <c r="ABT2" s="113">
        <v>151.38</v>
      </c>
      <c r="ABU2" s="113">
        <v>151.38</v>
      </c>
      <c r="ABV2" s="113">
        <v>151.38</v>
      </c>
      <c r="ABW2" s="113">
        <v>151.38</v>
      </c>
      <c r="ABX2" s="113">
        <v>151.38</v>
      </c>
      <c r="ABY2" s="113">
        <v>151.38</v>
      </c>
      <c r="ABZ2" s="113">
        <v>151.38</v>
      </c>
      <c r="ACA2" s="113">
        <v>151.38</v>
      </c>
      <c r="ACB2" s="113">
        <v>151.38</v>
      </c>
      <c r="ACC2" s="113">
        <v>151.38</v>
      </c>
      <c r="ACD2" s="113">
        <v>151.38</v>
      </c>
      <c r="ACE2" s="113">
        <v>151.38</v>
      </c>
      <c r="ACF2" s="113">
        <v>151.38</v>
      </c>
      <c r="ACG2" s="113">
        <v>151.38</v>
      </c>
      <c r="ACH2" s="113">
        <v>151.38</v>
      </c>
      <c r="ACI2" s="113">
        <v>151.38</v>
      </c>
      <c r="ACJ2" s="113">
        <v>151.38</v>
      </c>
      <c r="ACK2" s="113">
        <v>151.38</v>
      </c>
      <c r="ACL2" s="113">
        <v>151.38</v>
      </c>
      <c r="ACM2" s="113">
        <v>151.38</v>
      </c>
      <c r="ACN2" s="113">
        <v>151.38</v>
      </c>
      <c r="ACO2" s="113">
        <v>151.38</v>
      </c>
      <c r="ACP2" s="113">
        <v>151.38</v>
      </c>
      <c r="ACQ2" s="113">
        <v>151.38</v>
      </c>
      <c r="ACR2" s="113">
        <v>151.38</v>
      </c>
      <c r="ACS2" s="113">
        <v>151.38</v>
      </c>
      <c r="ACT2" s="113">
        <v>151.38</v>
      </c>
      <c r="ACU2" s="113">
        <v>151.38</v>
      </c>
      <c r="ACV2" s="113">
        <v>151.38</v>
      </c>
      <c r="ACW2" s="113">
        <v>151.38</v>
      </c>
      <c r="ACX2" s="113">
        <v>151.38</v>
      </c>
      <c r="ACY2" s="113">
        <v>151.38</v>
      </c>
      <c r="ACZ2" s="113">
        <v>151.38</v>
      </c>
      <c r="ADA2" s="113">
        <v>151.38</v>
      </c>
      <c r="ADU2" s="113">
        <v>151.38</v>
      </c>
      <c r="ADV2" s="113">
        <v>151.38</v>
      </c>
      <c r="ADW2" s="113">
        <v>151.38</v>
      </c>
      <c r="ADX2" s="113">
        <v>151.38</v>
      </c>
      <c r="ADY2" s="113">
        <v>151.38</v>
      </c>
      <c r="ADZ2" s="113">
        <v>151.38</v>
      </c>
      <c r="AEA2" s="113">
        <v>151.38</v>
      </c>
      <c r="AEB2" s="113">
        <v>151.38</v>
      </c>
      <c r="AEC2" s="113">
        <v>151.38</v>
      </c>
      <c r="AED2" s="113">
        <v>151.38</v>
      </c>
      <c r="AEE2" s="113">
        <v>151.38</v>
      </c>
      <c r="AEF2" s="113">
        <v>151.38</v>
      </c>
      <c r="AEG2" s="113">
        <v>151.38</v>
      </c>
      <c r="AEH2" s="113">
        <v>151.38</v>
      </c>
      <c r="AEI2" s="113">
        <v>151.38</v>
      </c>
      <c r="AEJ2" s="113">
        <v>151.38</v>
      </c>
      <c r="AEK2" s="113">
        <v>151.38</v>
      </c>
      <c r="AEL2" s="113">
        <v>151.38</v>
      </c>
      <c r="AEM2" s="113">
        <v>151.38</v>
      </c>
      <c r="AEN2" s="113">
        <v>151.38</v>
      </c>
      <c r="AEO2" s="113">
        <v>151.38</v>
      </c>
      <c r="AEP2" s="113">
        <v>151.38</v>
      </c>
      <c r="AEQ2" s="113">
        <v>151.38</v>
      </c>
      <c r="AER2" s="113">
        <v>151.38</v>
      </c>
      <c r="AES2" s="113">
        <v>151.38</v>
      </c>
      <c r="AET2" s="113">
        <v>151.38</v>
      </c>
      <c r="AEU2" s="113">
        <v>151.38</v>
      </c>
      <c r="AEV2" s="113">
        <v>151.38</v>
      </c>
      <c r="AEW2" s="113">
        <v>151.38</v>
      </c>
      <c r="AEX2" s="113">
        <v>151.38</v>
      </c>
      <c r="AEY2" s="113">
        <v>151.38</v>
      </c>
      <c r="AEZ2" s="113">
        <v>151.38</v>
      </c>
      <c r="AFA2" s="113">
        <v>151.38</v>
      </c>
      <c r="AFB2" s="113">
        <v>151.38</v>
      </c>
      <c r="AFC2" s="113">
        <v>151.38</v>
      </c>
      <c r="AFD2" s="113">
        <v>151.38</v>
      </c>
      <c r="AFE2" s="113">
        <v>151.38</v>
      </c>
      <c r="AFF2" s="113">
        <v>151.38</v>
      </c>
      <c r="AFG2" s="113">
        <v>151.38</v>
      </c>
      <c r="AFH2" s="113">
        <v>151.38</v>
      </c>
      <c r="AFI2" s="113">
        <v>151.38</v>
      </c>
      <c r="AFJ2" s="113">
        <v>151.38</v>
      </c>
      <c r="AFK2" s="113">
        <v>151.38</v>
      </c>
      <c r="AFL2" s="113">
        <v>151.38</v>
      </c>
      <c r="AFM2" s="113">
        <v>151.38</v>
      </c>
      <c r="AFN2" s="113">
        <v>151.38</v>
      </c>
      <c r="AFO2" s="113">
        <v>151.38</v>
      </c>
      <c r="AFP2" s="113">
        <v>151.38</v>
      </c>
      <c r="AFQ2" s="113">
        <v>151.38</v>
      </c>
      <c r="AFR2" s="113">
        <v>151.38</v>
      </c>
      <c r="AFS2" s="113">
        <v>151.38</v>
      </c>
      <c r="AFT2" s="113">
        <v>151.38</v>
      </c>
      <c r="AFU2" s="113">
        <v>151.38</v>
      </c>
      <c r="AFV2" s="113">
        <v>151.38</v>
      </c>
      <c r="AFW2" s="113">
        <v>151.38</v>
      </c>
      <c r="AFX2" s="113">
        <v>151.38</v>
      </c>
      <c r="AFY2" s="113">
        <v>151.38</v>
      </c>
      <c r="AFZ2" s="113">
        <v>151.38</v>
      </c>
      <c r="AGA2" s="113">
        <v>151.38</v>
      </c>
      <c r="AGB2" s="113">
        <v>151.38</v>
      </c>
      <c r="AGW2" s="113">
        <v>151.38</v>
      </c>
      <c r="AGX2" s="113">
        <v>151.38</v>
      </c>
      <c r="AGY2" s="113">
        <v>151.38</v>
      </c>
      <c r="AGZ2" s="113">
        <v>151.38</v>
      </c>
      <c r="AHA2" s="113">
        <v>151.38</v>
      </c>
      <c r="AHB2" s="113">
        <v>151.38</v>
      </c>
      <c r="AHC2" s="113">
        <v>151.38</v>
      </c>
      <c r="AHD2" s="113">
        <v>151.38</v>
      </c>
      <c r="AHE2" s="113">
        <v>151.38</v>
      </c>
      <c r="AHF2" s="113">
        <v>151.38</v>
      </c>
      <c r="AHG2" s="113">
        <v>151.38</v>
      </c>
      <c r="AHH2" s="113">
        <v>151.38</v>
      </c>
      <c r="AHI2" s="113">
        <v>151.38</v>
      </c>
      <c r="AHJ2" s="113">
        <v>151.38</v>
      </c>
      <c r="AHK2" s="113">
        <v>151.38</v>
      </c>
      <c r="AHL2" s="113">
        <v>151.38</v>
      </c>
      <c r="AHM2" s="113">
        <v>151.38</v>
      </c>
      <c r="AHN2" s="113">
        <v>151.38</v>
      </c>
      <c r="AHO2" s="113">
        <v>151.38</v>
      </c>
      <c r="AHP2" s="113">
        <v>151.38</v>
      </c>
      <c r="AHQ2" s="113">
        <v>151.38</v>
      </c>
      <c r="AHR2" s="113">
        <v>151.38</v>
      </c>
      <c r="AHS2" s="113">
        <v>151.38</v>
      </c>
      <c r="AHT2" s="113">
        <v>151.38</v>
      </c>
      <c r="AHU2" s="113">
        <v>151.38</v>
      </c>
      <c r="AHV2" s="113">
        <v>151.38</v>
      </c>
      <c r="AHW2" s="113">
        <v>151.38</v>
      </c>
      <c r="AHX2" s="113">
        <v>151.38</v>
      </c>
      <c r="AHY2" s="113">
        <v>151.38</v>
      </c>
      <c r="AHZ2" s="113">
        <v>151.38</v>
      </c>
      <c r="AIA2" s="113">
        <v>151.38</v>
      </c>
      <c r="AIB2" s="113">
        <v>151.38</v>
      </c>
      <c r="AIC2" s="113">
        <v>151.38</v>
      </c>
      <c r="AID2" s="113">
        <v>151.38</v>
      </c>
      <c r="AIE2" s="113">
        <v>151.38</v>
      </c>
      <c r="AIF2" s="113">
        <v>151.38</v>
      </c>
      <c r="AIG2" s="113">
        <v>151.38</v>
      </c>
      <c r="AIH2" s="113">
        <v>151.38</v>
      </c>
      <c r="AII2" s="113">
        <v>151.38</v>
      </c>
      <c r="AIJ2" s="113">
        <v>151.38</v>
      </c>
      <c r="AIK2" s="113">
        <v>151.38</v>
      </c>
      <c r="AIL2" s="113">
        <v>151.38</v>
      </c>
      <c r="AIM2" s="113">
        <v>151.38</v>
      </c>
      <c r="AIN2" s="113">
        <v>151.38</v>
      </c>
      <c r="AIO2" s="113">
        <v>151.38</v>
      </c>
      <c r="AIP2" s="113">
        <v>151.38</v>
      </c>
      <c r="AIQ2" s="113">
        <v>151.38</v>
      </c>
      <c r="AIR2" s="113">
        <v>151.38</v>
      </c>
      <c r="AIS2" s="113">
        <v>151.38</v>
      </c>
      <c r="AIT2" s="113">
        <v>151.38</v>
      </c>
      <c r="AIU2" s="113">
        <v>151.38</v>
      </c>
      <c r="AIV2" s="113">
        <v>151.38</v>
      </c>
      <c r="AIW2" s="113">
        <v>151.38</v>
      </c>
      <c r="AIX2" s="113">
        <v>151.38</v>
      </c>
      <c r="AIY2" s="113">
        <v>151.38</v>
      </c>
      <c r="AIZ2" s="113">
        <v>151.38</v>
      </c>
      <c r="AJA2" s="113">
        <v>151.38</v>
      </c>
      <c r="AJB2" s="113">
        <v>151.38</v>
      </c>
      <c r="AJC2" s="113">
        <v>151.38</v>
      </c>
      <c r="AJD2" s="113">
        <v>151.38</v>
      </c>
    </row>
    <row r="3" spans="1:940">
      <c r="A3" s="113">
        <v>138.4</v>
      </c>
      <c r="B3" s="113">
        <v>138.4</v>
      </c>
      <c r="C3" s="113">
        <v>138.4</v>
      </c>
      <c r="D3" s="113">
        <v>138.4</v>
      </c>
      <c r="E3" s="113">
        <v>138.4</v>
      </c>
      <c r="F3" s="113">
        <v>138.4</v>
      </c>
      <c r="G3" s="113">
        <v>138.4</v>
      </c>
      <c r="H3" s="113">
        <v>138.4</v>
      </c>
      <c r="I3" s="113">
        <v>138.4</v>
      </c>
      <c r="J3" s="113">
        <v>138.4</v>
      </c>
      <c r="K3" s="113">
        <v>138.4</v>
      </c>
      <c r="L3" s="113">
        <v>138.4</v>
      </c>
      <c r="M3" s="113">
        <v>138.4</v>
      </c>
      <c r="N3" s="113">
        <v>138.4</v>
      </c>
      <c r="O3" s="113">
        <v>138.4</v>
      </c>
      <c r="P3" s="113">
        <v>138.4</v>
      </c>
      <c r="Q3" s="113">
        <v>138.4</v>
      </c>
      <c r="R3" s="113">
        <v>138.4</v>
      </c>
      <c r="S3" s="113">
        <v>138.4</v>
      </c>
      <c r="T3" s="113">
        <v>138.4</v>
      </c>
      <c r="U3" s="113">
        <v>138.4</v>
      </c>
      <c r="V3" s="113">
        <v>138.4</v>
      </c>
      <c r="W3" s="113">
        <v>138.4</v>
      </c>
      <c r="X3" s="113">
        <v>138.4</v>
      </c>
      <c r="Y3" s="113">
        <v>138.4</v>
      </c>
      <c r="Z3" s="113">
        <v>138.4</v>
      </c>
      <c r="AA3" s="113">
        <v>138.4</v>
      </c>
      <c r="AB3" s="113">
        <v>138.4</v>
      </c>
      <c r="AC3" s="113">
        <v>138.4</v>
      </c>
      <c r="AD3" s="113">
        <v>138.4</v>
      </c>
      <c r="AE3" s="113">
        <v>138.4</v>
      </c>
      <c r="AF3" s="113">
        <v>138.4</v>
      </c>
      <c r="AG3" s="113">
        <v>138.4</v>
      </c>
      <c r="AH3" s="113">
        <v>138.4</v>
      </c>
      <c r="AI3" s="113">
        <v>138.4</v>
      </c>
      <c r="AJ3" s="113">
        <v>138.4</v>
      </c>
      <c r="AK3" s="113">
        <v>138.4</v>
      </c>
      <c r="AL3" s="113">
        <v>138.4</v>
      </c>
      <c r="AM3" s="113">
        <v>138.4</v>
      </c>
      <c r="AN3" s="113">
        <v>138.4</v>
      </c>
      <c r="AO3" s="113">
        <v>138.4</v>
      </c>
      <c r="AP3" s="113">
        <v>138.4</v>
      </c>
      <c r="AQ3" s="113">
        <v>138.4</v>
      </c>
      <c r="AR3" s="113">
        <v>138.4</v>
      </c>
      <c r="AS3" s="113">
        <v>138.4</v>
      </c>
      <c r="AT3" s="113">
        <v>138.4</v>
      </c>
      <c r="AU3" s="113">
        <v>138.4</v>
      </c>
      <c r="AV3" s="113">
        <v>138.4</v>
      </c>
      <c r="AW3" s="113">
        <v>138.4</v>
      </c>
      <c r="AX3" s="113">
        <v>138.4</v>
      </c>
      <c r="AY3" s="113">
        <v>138.4</v>
      </c>
      <c r="AZ3" s="113">
        <v>138.4</v>
      </c>
      <c r="CC3" s="113">
        <v>138.4</v>
      </c>
      <c r="CD3" s="113">
        <v>138.4</v>
      </c>
      <c r="CE3" s="113">
        <v>138.4</v>
      </c>
      <c r="CF3" s="113">
        <v>138.4</v>
      </c>
      <c r="CG3" s="113">
        <v>138.4</v>
      </c>
      <c r="CH3" s="113">
        <v>138.4</v>
      </c>
      <c r="CI3" s="113">
        <v>138.4</v>
      </c>
      <c r="CJ3" s="113">
        <v>138.4</v>
      </c>
      <c r="CK3" s="113">
        <v>138.4</v>
      </c>
      <c r="CL3" s="113">
        <v>138.4</v>
      </c>
      <c r="CM3" s="113">
        <v>138.4</v>
      </c>
      <c r="CN3" s="113">
        <v>138.4</v>
      </c>
      <c r="CO3" s="113">
        <v>138.4</v>
      </c>
      <c r="CP3" s="113">
        <v>138.4</v>
      </c>
      <c r="CQ3" s="113">
        <v>138.4</v>
      </c>
      <c r="CR3" s="113">
        <v>138.4</v>
      </c>
      <c r="CS3" s="113">
        <v>138.4</v>
      </c>
      <c r="CT3" s="113">
        <v>138.4</v>
      </c>
      <c r="CU3" s="113">
        <v>138.4</v>
      </c>
      <c r="CV3" s="113">
        <v>138.4</v>
      </c>
      <c r="CW3" s="113">
        <v>138.4</v>
      </c>
      <c r="CX3" s="113">
        <v>138.4</v>
      </c>
      <c r="CY3" s="113">
        <v>138.4</v>
      </c>
      <c r="CZ3" s="113">
        <v>138.4</v>
      </c>
      <c r="DA3" s="113">
        <v>138.4</v>
      </c>
      <c r="DB3" s="113">
        <v>138.4</v>
      </c>
      <c r="DC3" s="113">
        <v>138.4</v>
      </c>
      <c r="DD3" s="113">
        <v>138.4</v>
      </c>
      <c r="DE3" s="113">
        <v>138.4</v>
      </c>
      <c r="DF3" s="113">
        <v>138.4</v>
      </c>
      <c r="DG3" s="113">
        <v>138.4</v>
      </c>
      <c r="DH3" s="113">
        <v>138.4</v>
      </c>
      <c r="DI3" s="113">
        <v>138.4</v>
      </c>
      <c r="DJ3" s="113">
        <v>138.4</v>
      </c>
      <c r="DK3" s="113">
        <v>138.4</v>
      </c>
      <c r="DL3" s="113">
        <v>138.4</v>
      </c>
      <c r="DM3" s="113">
        <v>138.4</v>
      </c>
      <c r="DN3" s="113">
        <v>138.4</v>
      </c>
      <c r="DO3" s="113">
        <v>138.4</v>
      </c>
      <c r="DP3" s="113">
        <v>138.4</v>
      </c>
      <c r="DQ3" s="113">
        <v>138.4</v>
      </c>
      <c r="DR3" s="113">
        <v>138.4</v>
      </c>
      <c r="DS3" s="113">
        <v>138.4</v>
      </c>
      <c r="DT3" s="113">
        <v>138.4</v>
      </c>
      <c r="DU3" s="113">
        <v>138.4</v>
      </c>
      <c r="DV3" s="113">
        <v>138.4</v>
      </c>
      <c r="DW3" s="113">
        <v>138.4</v>
      </c>
      <c r="DX3" s="113">
        <v>138.4</v>
      </c>
      <c r="DY3" s="113">
        <v>138.4</v>
      </c>
      <c r="DZ3" s="113">
        <v>138.4</v>
      </c>
      <c r="EA3" s="113">
        <v>138.4</v>
      </c>
      <c r="EB3" s="113">
        <v>138.4</v>
      </c>
      <c r="EC3" s="113">
        <v>138.4</v>
      </c>
      <c r="ED3" s="113">
        <v>138.4</v>
      </c>
      <c r="EE3" s="113">
        <v>138.4</v>
      </c>
      <c r="EF3" s="113">
        <v>138.4</v>
      </c>
      <c r="EG3" s="113">
        <v>138.4</v>
      </c>
      <c r="EH3" s="113">
        <v>138.4</v>
      </c>
      <c r="EI3" s="113">
        <v>138.4</v>
      </c>
      <c r="FE3" s="113">
        <v>138.4</v>
      </c>
      <c r="FF3" s="113">
        <v>138.4</v>
      </c>
      <c r="FG3" s="113">
        <v>138.4</v>
      </c>
      <c r="FH3" s="113">
        <v>138.4</v>
      </c>
      <c r="FI3" s="113">
        <v>138.4</v>
      </c>
      <c r="FJ3" s="113">
        <v>138.4</v>
      </c>
      <c r="FK3" s="113">
        <v>138.4</v>
      </c>
      <c r="FL3" s="113">
        <v>138.4</v>
      </c>
      <c r="FM3" s="113">
        <v>138.4</v>
      </c>
      <c r="FN3" s="113">
        <v>138.4</v>
      </c>
      <c r="FO3" s="113">
        <v>138.4</v>
      </c>
      <c r="FP3" s="113">
        <v>138.4</v>
      </c>
      <c r="FQ3" s="113">
        <v>138.4</v>
      </c>
      <c r="FR3" s="113">
        <v>138.4</v>
      </c>
      <c r="FS3" s="113">
        <v>138.4</v>
      </c>
      <c r="FT3" s="113">
        <v>138.4</v>
      </c>
      <c r="FU3" s="113">
        <v>138.4</v>
      </c>
      <c r="FV3" s="113">
        <v>138.4</v>
      </c>
      <c r="FW3" s="113">
        <v>138.4</v>
      </c>
      <c r="FX3" s="113">
        <v>138.4</v>
      </c>
      <c r="FY3" s="113">
        <v>138.4</v>
      </c>
      <c r="FZ3" s="113">
        <v>138.4</v>
      </c>
      <c r="GA3" s="113">
        <v>138.4</v>
      </c>
      <c r="GB3" s="113">
        <v>138.4</v>
      </c>
      <c r="GC3" s="113">
        <v>138.4</v>
      </c>
      <c r="GD3" s="113">
        <v>138.4</v>
      </c>
      <c r="GE3" s="113">
        <v>138.4</v>
      </c>
      <c r="GF3" s="113">
        <v>138.4</v>
      </c>
      <c r="GG3" s="113">
        <v>138.4</v>
      </c>
      <c r="GH3" s="113">
        <v>138.4</v>
      </c>
      <c r="GI3" s="113">
        <v>138.4</v>
      </c>
      <c r="GJ3" s="113">
        <v>138.4</v>
      </c>
      <c r="GK3" s="113">
        <v>138.4</v>
      </c>
      <c r="GL3" s="113">
        <v>138.4</v>
      </c>
      <c r="GM3" s="113">
        <v>138.4</v>
      </c>
      <c r="GN3" s="113">
        <v>138.4</v>
      </c>
      <c r="GO3" s="113">
        <v>138.4</v>
      </c>
      <c r="GP3" s="113">
        <v>138.4</v>
      </c>
      <c r="GQ3" s="113">
        <v>138.4</v>
      </c>
      <c r="GR3" s="113">
        <v>138.4</v>
      </c>
      <c r="GS3" s="113">
        <v>138.4</v>
      </c>
      <c r="GT3" s="113">
        <v>138.4</v>
      </c>
      <c r="GU3" s="113">
        <v>138.4</v>
      </c>
      <c r="GV3" s="113">
        <v>138.4</v>
      </c>
      <c r="GW3" s="113">
        <v>138.4</v>
      </c>
      <c r="GX3" s="113">
        <v>138.4</v>
      </c>
      <c r="GY3" s="113">
        <v>138.4</v>
      </c>
      <c r="GZ3" s="113">
        <v>138.4</v>
      </c>
      <c r="HA3" s="113">
        <v>138.4</v>
      </c>
      <c r="HB3" s="113">
        <v>138.4</v>
      </c>
      <c r="HC3" s="113">
        <v>138.4</v>
      </c>
      <c r="HD3" s="113">
        <v>138.4</v>
      </c>
      <c r="HE3" s="113">
        <v>138.4</v>
      </c>
      <c r="HF3" s="113">
        <v>138.4</v>
      </c>
      <c r="HG3" s="113">
        <v>138.4</v>
      </c>
      <c r="HH3" s="113">
        <v>138.4</v>
      </c>
      <c r="HI3" s="113">
        <v>138.4</v>
      </c>
      <c r="HJ3" s="113">
        <v>138.4</v>
      </c>
      <c r="HK3" s="113">
        <v>138.4</v>
      </c>
      <c r="HL3" s="113">
        <v>138.4</v>
      </c>
      <c r="IG3" s="113">
        <v>138.4</v>
      </c>
      <c r="IH3" s="113">
        <v>138.4</v>
      </c>
      <c r="II3" s="113">
        <v>138.4</v>
      </c>
      <c r="IJ3" s="113">
        <v>138.4</v>
      </c>
      <c r="IK3" s="113">
        <v>138.4</v>
      </c>
      <c r="IL3" s="113">
        <v>138.4</v>
      </c>
      <c r="IM3" s="113">
        <v>138.4</v>
      </c>
      <c r="IN3" s="113">
        <v>138.4</v>
      </c>
      <c r="IO3" s="113">
        <v>138.4</v>
      </c>
      <c r="IP3" s="113">
        <v>138.4</v>
      </c>
      <c r="IQ3" s="113">
        <v>138.4</v>
      </c>
      <c r="IR3" s="113">
        <v>138.4</v>
      </c>
      <c r="IS3" s="113">
        <v>138.4</v>
      </c>
      <c r="IT3" s="113">
        <v>138.4</v>
      </c>
      <c r="IU3" s="113">
        <v>138.4</v>
      </c>
      <c r="IV3" s="113">
        <v>138.4</v>
      </c>
      <c r="IW3" s="113">
        <v>138.4</v>
      </c>
      <c r="IX3" s="113">
        <v>138.4</v>
      </c>
      <c r="IY3" s="113">
        <v>138.4</v>
      </c>
      <c r="IZ3" s="113">
        <v>138.4</v>
      </c>
      <c r="JA3" s="113">
        <v>138.4</v>
      </c>
      <c r="JB3" s="113">
        <v>138.4</v>
      </c>
      <c r="JC3" s="113">
        <v>138.4</v>
      </c>
      <c r="JD3" s="113">
        <v>138.4</v>
      </c>
      <c r="JE3" s="113">
        <v>138.4</v>
      </c>
      <c r="JF3" s="113">
        <v>138.4</v>
      </c>
      <c r="JG3" s="113">
        <v>138.4</v>
      </c>
      <c r="JH3" s="113">
        <v>138.4</v>
      </c>
      <c r="JI3" s="113">
        <v>138.4</v>
      </c>
      <c r="JJ3" s="113">
        <v>138.4</v>
      </c>
      <c r="JK3" s="113">
        <v>138.4</v>
      </c>
      <c r="JL3" s="113">
        <v>138.4</v>
      </c>
      <c r="JM3" s="113">
        <v>138.4</v>
      </c>
      <c r="JN3" s="113">
        <v>138.4</v>
      </c>
      <c r="JO3" s="113">
        <v>138.4</v>
      </c>
      <c r="JP3" s="113">
        <v>138.4</v>
      </c>
      <c r="JQ3" s="113">
        <v>138.4</v>
      </c>
      <c r="JR3" s="113">
        <v>138.4</v>
      </c>
      <c r="JS3" s="113">
        <v>138.4</v>
      </c>
      <c r="JT3" s="113">
        <v>138.4</v>
      </c>
      <c r="JU3" s="113">
        <v>138.4</v>
      </c>
      <c r="JV3" s="113">
        <v>138.4</v>
      </c>
      <c r="JW3" s="113">
        <v>138.4</v>
      </c>
      <c r="JX3" s="113">
        <v>138.4</v>
      </c>
      <c r="JY3" s="113">
        <v>138.4</v>
      </c>
      <c r="JZ3" s="113">
        <v>138.4</v>
      </c>
      <c r="KA3" s="113">
        <v>138.4</v>
      </c>
      <c r="KB3" s="113">
        <v>138.4</v>
      </c>
      <c r="KC3" s="113">
        <v>138.4</v>
      </c>
      <c r="KD3" s="113">
        <v>138.4</v>
      </c>
      <c r="KE3" s="113">
        <v>138.4</v>
      </c>
      <c r="KF3" s="113">
        <v>138.4</v>
      </c>
      <c r="KG3" s="113">
        <v>138.4</v>
      </c>
      <c r="KH3" s="113">
        <v>138.4</v>
      </c>
      <c r="KI3" s="113">
        <v>138.4</v>
      </c>
      <c r="KJ3" s="113">
        <v>138.4</v>
      </c>
      <c r="KK3" s="113">
        <v>138.4</v>
      </c>
      <c r="KL3" s="113">
        <v>138.4</v>
      </c>
      <c r="KM3" s="113">
        <v>138.4</v>
      </c>
      <c r="KN3" s="113">
        <v>138.4</v>
      </c>
      <c r="LI3" s="113">
        <v>138.4</v>
      </c>
      <c r="LJ3" s="113">
        <v>138.4</v>
      </c>
      <c r="LK3" s="113">
        <v>138.4</v>
      </c>
      <c r="LL3" s="113">
        <v>138.4</v>
      </c>
      <c r="LM3" s="113">
        <v>138.4</v>
      </c>
      <c r="LN3" s="113">
        <v>138.4</v>
      </c>
      <c r="LO3" s="113">
        <v>138.4</v>
      </c>
      <c r="LP3" s="113">
        <v>138.4</v>
      </c>
      <c r="LQ3" s="113">
        <v>138.4</v>
      </c>
      <c r="LR3" s="113">
        <v>138.4</v>
      </c>
      <c r="LS3" s="113">
        <v>138.4</v>
      </c>
      <c r="LT3" s="113">
        <v>138.4</v>
      </c>
      <c r="LU3" s="113">
        <v>138.4</v>
      </c>
      <c r="LV3" s="113">
        <v>138.4</v>
      </c>
      <c r="LW3" s="113">
        <v>138.4</v>
      </c>
      <c r="LX3" s="113">
        <v>138.4</v>
      </c>
      <c r="LY3" s="113">
        <v>138.4</v>
      </c>
      <c r="LZ3" s="113">
        <v>138.4</v>
      </c>
      <c r="MA3" s="113">
        <v>138.4</v>
      </c>
      <c r="MB3" s="113">
        <v>138.4</v>
      </c>
      <c r="MC3" s="113">
        <v>138.4</v>
      </c>
      <c r="MD3" s="113">
        <v>138.4</v>
      </c>
      <c r="ME3" s="113">
        <v>138.4</v>
      </c>
      <c r="MF3" s="113">
        <v>138.4</v>
      </c>
      <c r="MG3" s="113">
        <v>138.4</v>
      </c>
      <c r="MH3" s="113">
        <v>138.4</v>
      </c>
      <c r="MI3" s="113">
        <v>138.4</v>
      </c>
      <c r="MJ3" s="113">
        <v>138.4</v>
      </c>
      <c r="MK3" s="113">
        <v>138.4</v>
      </c>
      <c r="ML3" s="113">
        <v>138.4</v>
      </c>
      <c r="MM3" s="113">
        <v>138.4</v>
      </c>
      <c r="MN3" s="113">
        <v>138.4</v>
      </c>
      <c r="MO3" s="113">
        <v>138.4</v>
      </c>
      <c r="MP3" s="113">
        <v>138.4</v>
      </c>
      <c r="MQ3" s="113">
        <v>138.4</v>
      </c>
      <c r="MR3" s="113">
        <v>138.4</v>
      </c>
      <c r="MS3" s="113">
        <v>138.4</v>
      </c>
      <c r="MT3" s="113">
        <v>138.4</v>
      </c>
      <c r="MU3" s="113">
        <v>138.4</v>
      </c>
      <c r="MV3" s="113">
        <v>138.4</v>
      </c>
      <c r="MW3" s="113">
        <v>138.4</v>
      </c>
      <c r="MX3" s="113">
        <v>138.4</v>
      </c>
      <c r="MY3" s="113">
        <v>138.4</v>
      </c>
      <c r="MZ3" s="113">
        <v>138.4</v>
      </c>
      <c r="NA3" s="113">
        <v>138.4</v>
      </c>
      <c r="NB3" s="113">
        <v>138.4</v>
      </c>
      <c r="NC3" s="113">
        <v>138.4</v>
      </c>
      <c r="ND3" s="113">
        <v>138.4</v>
      </c>
      <c r="NE3" s="113">
        <v>138.4</v>
      </c>
      <c r="NF3" s="113">
        <v>138.4</v>
      </c>
      <c r="NG3" s="113">
        <v>138.4</v>
      </c>
      <c r="NH3" s="113">
        <v>138.4</v>
      </c>
      <c r="NI3" s="113">
        <v>138.4</v>
      </c>
      <c r="NJ3" s="113">
        <v>138.4</v>
      </c>
      <c r="NK3" s="113">
        <v>138.4</v>
      </c>
      <c r="NL3" s="113">
        <v>138.4</v>
      </c>
      <c r="NM3" s="113">
        <v>138.4</v>
      </c>
      <c r="NN3" s="113">
        <v>138.4</v>
      </c>
      <c r="NO3" s="113">
        <v>138.4</v>
      </c>
      <c r="NP3" s="113">
        <v>138.4</v>
      </c>
      <c r="NQ3" s="113">
        <v>138.4</v>
      </c>
      <c r="NR3" s="113">
        <v>138.4</v>
      </c>
      <c r="OK3" s="113">
        <v>138.4</v>
      </c>
      <c r="OL3" s="113">
        <v>138.4</v>
      </c>
      <c r="OM3" s="113">
        <v>138.4</v>
      </c>
      <c r="ON3" s="113">
        <v>138.4</v>
      </c>
      <c r="OO3" s="113">
        <v>138.4</v>
      </c>
      <c r="OP3" s="113">
        <v>138.4</v>
      </c>
      <c r="OQ3" s="113">
        <v>138.4</v>
      </c>
      <c r="OR3" s="113">
        <v>138.4</v>
      </c>
      <c r="OS3" s="113">
        <v>138.4</v>
      </c>
      <c r="OT3" s="113">
        <v>138.4</v>
      </c>
      <c r="OU3" s="113">
        <v>138.4</v>
      </c>
      <c r="OV3" s="113">
        <v>138.4</v>
      </c>
      <c r="OW3" s="113">
        <v>138.4</v>
      </c>
      <c r="OX3" s="113">
        <v>138.4</v>
      </c>
      <c r="OY3" s="113">
        <v>138.4</v>
      </c>
      <c r="OZ3" s="113">
        <v>138.4</v>
      </c>
      <c r="PA3" s="113">
        <v>138.4</v>
      </c>
      <c r="PB3" s="113">
        <v>138.4</v>
      </c>
      <c r="PC3" s="113">
        <v>138.4</v>
      </c>
      <c r="PD3" s="113">
        <v>138.4</v>
      </c>
      <c r="PE3" s="113">
        <v>138.4</v>
      </c>
      <c r="PF3" s="113">
        <v>138.4</v>
      </c>
      <c r="PG3" s="113">
        <v>138.4</v>
      </c>
      <c r="PH3" s="113">
        <v>138.4</v>
      </c>
      <c r="PI3" s="113">
        <v>138.4</v>
      </c>
      <c r="PJ3" s="113">
        <v>138.4</v>
      </c>
      <c r="PK3" s="113">
        <v>138.4</v>
      </c>
      <c r="PL3" s="113">
        <v>138.4</v>
      </c>
      <c r="PM3" s="113">
        <v>138.4</v>
      </c>
      <c r="PN3" s="113">
        <v>138.4</v>
      </c>
      <c r="PO3" s="113">
        <v>138.4</v>
      </c>
      <c r="PP3" s="113">
        <v>138.4</v>
      </c>
      <c r="PQ3" s="113">
        <v>138.4</v>
      </c>
      <c r="PR3" s="113">
        <v>138.4</v>
      </c>
      <c r="PS3" s="113">
        <v>138.4</v>
      </c>
      <c r="PT3" s="113">
        <v>138.4</v>
      </c>
      <c r="PU3" s="113">
        <v>138.4</v>
      </c>
      <c r="PV3" s="113">
        <v>138.4</v>
      </c>
      <c r="PW3" s="113">
        <v>138.4</v>
      </c>
      <c r="PX3" s="113">
        <v>138.4</v>
      </c>
      <c r="PY3" s="113">
        <v>138.4</v>
      </c>
      <c r="PZ3" s="113">
        <v>138.4</v>
      </c>
      <c r="QA3" s="113">
        <v>138.4</v>
      </c>
      <c r="QB3" s="113">
        <v>138.4</v>
      </c>
      <c r="QC3" s="113">
        <v>138.4</v>
      </c>
      <c r="QD3" s="113">
        <v>138.4</v>
      </c>
      <c r="QE3" s="113">
        <v>138.4</v>
      </c>
      <c r="QF3" s="113">
        <v>138.4</v>
      </c>
      <c r="QG3" s="113">
        <v>138.4</v>
      </c>
      <c r="QH3" s="113">
        <v>138.4</v>
      </c>
      <c r="QI3" s="113">
        <v>138.4</v>
      </c>
      <c r="QJ3" s="113">
        <v>138.4</v>
      </c>
      <c r="QK3" s="113">
        <v>138.4</v>
      </c>
      <c r="QL3" s="113">
        <v>138.4</v>
      </c>
      <c r="QM3" s="113">
        <v>138.4</v>
      </c>
      <c r="QN3" s="113">
        <v>138.4</v>
      </c>
      <c r="QO3" s="113">
        <v>138.4</v>
      </c>
      <c r="QP3" s="113">
        <v>138.4</v>
      </c>
      <c r="QQ3" s="113">
        <v>138.4</v>
      </c>
      <c r="QR3" s="113">
        <v>138.4</v>
      </c>
      <c r="QS3" s="113">
        <v>138.4</v>
      </c>
      <c r="RM3" s="113">
        <v>138.4</v>
      </c>
      <c r="RN3" s="113">
        <v>138.4</v>
      </c>
      <c r="RO3" s="113">
        <v>138.4</v>
      </c>
      <c r="RP3" s="113">
        <v>138.4</v>
      </c>
      <c r="RQ3" s="113">
        <v>138.4</v>
      </c>
      <c r="RR3" s="113">
        <v>138.4</v>
      </c>
      <c r="RS3" s="113">
        <v>138.4</v>
      </c>
      <c r="RT3" s="113">
        <v>138.4</v>
      </c>
      <c r="RU3" s="113">
        <v>138.4</v>
      </c>
      <c r="RV3" s="113">
        <v>138.4</v>
      </c>
      <c r="RW3" s="113">
        <v>138.4</v>
      </c>
      <c r="RX3" s="113">
        <v>138.4</v>
      </c>
      <c r="RY3" s="113">
        <v>138.4</v>
      </c>
      <c r="RZ3" s="113">
        <v>138.4</v>
      </c>
      <c r="SA3" s="113">
        <v>138.4</v>
      </c>
      <c r="SB3" s="113">
        <v>138.4</v>
      </c>
      <c r="SC3" s="113">
        <v>138.4</v>
      </c>
      <c r="SD3" s="113">
        <v>138.4</v>
      </c>
      <c r="SE3" s="113">
        <v>138.4</v>
      </c>
      <c r="SF3" s="113">
        <v>138.4</v>
      </c>
      <c r="SG3" s="113">
        <v>138.4</v>
      </c>
      <c r="SH3" s="113">
        <v>138.4</v>
      </c>
      <c r="SI3" s="113">
        <v>138.4</v>
      </c>
      <c r="SJ3" s="113">
        <v>138.4</v>
      </c>
      <c r="SK3" s="113">
        <v>138.4</v>
      </c>
      <c r="SL3" s="113">
        <v>138.4</v>
      </c>
      <c r="SM3" s="113">
        <v>138.4</v>
      </c>
      <c r="SN3" s="113">
        <v>138.4</v>
      </c>
      <c r="SO3" s="113">
        <v>138.4</v>
      </c>
      <c r="SP3" s="113">
        <v>138.4</v>
      </c>
      <c r="SQ3" s="113">
        <v>138.4</v>
      </c>
      <c r="SR3" s="113">
        <v>138.4</v>
      </c>
      <c r="SS3" s="113">
        <v>138.4</v>
      </c>
      <c r="ST3" s="113">
        <v>138.4</v>
      </c>
      <c r="SU3" s="113">
        <v>138.4</v>
      </c>
      <c r="SV3" s="113">
        <v>138.4</v>
      </c>
      <c r="SW3" s="113">
        <v>138.4</v>
      </c>
      <c r="SX3" s="113">
        <v>138.4</v>
      </c>
      <c r="SY3" s="113">
        <v>138.4</v>
      </c>
      <c r="SZ3" s="113">
        <v>138.4</v>
      </c>
      <c r="TA3" s="113">
        <v>138.4</v>
      </c>
      <c r="TB3" s="113">
        <v>138.4</v>
      </c>
      <c r="TC3" s="113">
        <v>138.4</v>
      </c>
      <c r="TD3" s="113">
        <v>138.4</v>
      </c>
      <c r="TE3" s="113">
        <v>138.4</v>
      </c>
      <c r="TF3" s="113">
        <v>138.4</v>
      </c>
      <c r="TG3" s="113">
        <v>138.4</v>
      </c>
      <c r="TH3" s="113">
        <v>138.4</v>
      </c>
      <c r="TI3" s="113">
        <v>138.4</v>
      </c>
      <c r="TJ3" s="113">
        <v>138.4</v>
      </c>
      <c r="TK3" s="113">
        <v>138.4</v>
      </c>
      <c r="TL3" s="113">
        <v>138.4</v>
      </c>
      <c r="TM3" s="113">
        <v>138.4</v>
      </c>
      <c r="TN3" s="113">
        <v>138.4</v>
      </c>
      <c r="TO3" s="113">
        <v>138.4</v>
      </c>
      <c r="TP3" s="113">
        <v>138.4</v>
      </c>
      <c r="TQ3" s="113">
        <v>138.4</v>
      </c>
      <c r="TR3" s="113">
        <v>138.4</v>
      </c>
      <c r="TS3" s="113">
        <v>138.4</v>
      </c>
      <c r="TT3" s="113">
        <v>138.4</v>
      </c>
      <c r="UO3" s="113">
        <v>138.4</v>
      </c>
      <c r="UP3" s="113">
        <v>138.4</v>
      </c>
      <c r="UQ3" s="113">
        <v>138.4</v>
      </c>
      <c r="UR3" s="113">
        <v>138.4</v>
      </c>
      <c r="US3" s="113">
        <v>138.4</v>
      </c>
      <c r="UT3" s="113">
        <v>138.4</v>
      </c>
      <c r="UU3" s="113">
        <v>138.4</v>
      </c>
      <c r="UV3" s="113">
        <v>138.4</v>
      </c>
      <c r="UW3" s="113">
        <v>138.4</v>
      </c>
      <c r="UX3" s="113">
        <v>138.4</v>
      </c>
      <c r="UY3" s="113">
        <v>138.4</v>
      </c>
      <c r="UZ3" s="113">
        <v>138.4</v>
      </c>
      <c r="VA3" s="113">
        <v>138.4</v>
      </c>
      <c r="VB3" s="113">
        <v>138.4</v>
      </c>
      <c r="VC3" s="113">
        <v>138.4</v>
      </c>
      <c r="VD3" s="113">
        <v>138.4</v>
      </c>
      <c r="VE3" s="113">
        <v>138.4</v>
      </c>
      <c r="VF3" s="113">
        <v>138.4</v>
      </c>
      <c r="VG3" s="113">
        <v>138.4</v>
      </c>
      <c r="VH3" s="113">
        <v>138.4</v>
      </c>
      <c r="VI3" s="113">
        <v>138.4</v>
      </c>
      <c r="VJ3" s="113">
        <v>138.4</v>
      </c>
      <c r="VK3" s="113">
        <v>138.4</v>
      </c>
      <c r="VL3" s="113">
        <v>138.4</v>
      </c>
      <c r="VM3" s="113">
        <v>138.4</v>
      </c>
      <c r="VN3" s="113">
        <v>138.4</v>
      </c>
      <c r="VO3" s="113">
        <v>138.4</v>
      </c>
      <c r="VP3" s="113">
        <v>138.4</v>
      </c>
      <c r="VQ3" s="113">
        <v>138.4</v>
      </c>
      <c r="VR3" s="113">
        <v>138.4</v>
      </c>
      <c r="VS3" s="113">
        <v>138.4</v>
      </c>
      <c r="VT3" s="113">
        <v>138.4</v>
      </c>
      <c r="VU3" s="113">
        <v>138.4</v>
      </c>
      <c r="VV3" s="113">
        <v>138.4</v>
      </c>
      <c r="VW3" s="113">
        <v>138.4</v>
      </c>
      <c r="VX3" s="113">
        <v>138.4</v>
      </c>
      <c r="VY3" s="113">
        <v>138.4</v>
      </c>
      <c r="VZ3" s="113">
        <v>138.4</v>
      </c>
      <c r="WA3" s="113">
        <v>138.4</v>
      </c>
      <c r="WB3" s="113">
        <v>138.4</v>
      </c>
      <c r="WC3" s="113">
        <v>138.4</v>
      </c>
      <c r="WD3" s="113">
        <v>138.4</v>
      </c>
      <c r="WE3" s="113">
        <v>138.4</v>
      </c>
      <c r="WF3" s="113">
        <v>138.4</v>
      </c>
      <c r="WG3" s="113">
        <v>138.4</v>
      </c>
      <c r="WH3" s="113">
        <v>138.4</v>
      </c>
      <c r="WI3" s="113">
        <v>138.4</v>
      </c>
      <c r="WJ3" s="113">
        <v>138.4</v>
      </c>
      <c r="WK3" s="113">
        <v>138.4</v>
      </c>
      <c r="WL3" s="113">
        <v>138.4</v>
      </c>
      <c r="WM3" s="113">
        <v>138.4</v>
      </c>
      <c r="WN3" s="113">
        <v>138.4</v>
      </c>
      <c r="WO3" s="113">
        <v>138.4</v>
      </c>
      <c r="WP3" s="113">
        <v>138.4</v>
      </c>
      <c r="WQ3" s="113">
        <v>138.4</v>
      </c>
      <c r="WR3" s="113">
        <v>138.4</v>
      </c>
      <c r="WS3" s="113">
        <v>138.4</v>
      </c>
      <c r="WT3" s="113">
        <v>138.4</v>
      </c>
      <c r="WU3" s="113">
        <v>138.4</v>
      </c>
      <c r="WV3" s="113">
        <v>138.4</v>
      </c>
      <c r="WW3" s="113">
        <v>138.4</v>
      </c>
      <c r="XQ3" s="113">
        <v>138.4</v>
      </c>
      <c r="XR3" s="113">
        <v>138.4</v>
      </c>
      <c r="XS3" s="113">
        <v>138.4</v>
      </c>
      <c r="XT3" s="113">
        <v>138.4</v>
      </c>
      <c r="XU3" s="113">
        <v>138.4</v>
      </c>
      <c r="XV3" s="113">
        <v>138.4</v>
      </c>
      <c r="XW3" s="113">
        <v>138.4</v>
      </c>
      <c r="XX3" s="113">
        <v>138.4</v>
      </c>
      <c r="XY3" s="113">
        <v>138.4</v>
      </c>
      <c r="XZ3" s="113">
        <v>138.4</v>
      </c>
      <c r="YA3" s="113">
        <v>138.4</v>
      </c>
      <c r="YB3" s="113">
        <v>138.4</v>
      </c>
      <c r="YC3" s="113">
        <v>138.4</v>
      </c>
      <c r="YD3" s="113">
        <v>138.4</v>
      </c>
      <c r="YE3" s="113">
        <v>138.4</v>
      </c>
      <c r="YF3" s="113">
        <v>138.4</v>
      </c>
      <c r="YG3" s="113">
        <v>138.4</v>
      </c>
      <c r="YH3" s="113">
        <v>138.4</v>
      </c>
      <c r="YI3" s="113">
        <v>138.4</v>
      </c>
      <c r="YJ3" s="113">
        <v>138.4</v>
      </c>
      <c r="YK3" s="113">
        <v>138.4</v>
      </c>
      <c r="YL3" s="113">
        <v>138.4</v>
      </c>
      <c r="YM3" s="113">
        <v>138.4</v>
      </c>
      <c r="YN3" s="113">
        <v>138.4</v>
      </c>
      <c r="YO3" s="113">
        <v>138.4</v>
      </c>
      <c r="YP3" s="113">
        <v>138.4</v>
      </c>
      <c r="YQ3" s="113">
        <v>138.4</v>
      </c>
      <c r="YR3" s="113">
        <v>138.4</v>
      </c>
      <c r="YS3" s="113">
        <v>138.4</v>
      </c>
      <c r="YT3" s="113">
        <v>138.4</v>
      </c>
      <c r="YU3" s="113">
        <v>138.4</v>
      </c>
      <c r="YV3" s="113">
        <v>138.4</v>
      </c>
      <c r="YW3" s="113">
        <v>138.4</v>
      </c>
      <c r="YX3" s="113">
        <v>138.4</v>
      </c>
      <c r="YY3" s="113">
        <v>138.4</v>
      </c>
      <c r="YZ3" s="113">
        <v>138.4</v>
      </c>
      <c r="ZA3" s="113">
        <v>138.4</v>
      </c>
      <c r="ZB3" s="113">
        <v>138.4</v>
      </c>
      <c r="ZC3" s="113">
        <v>138.4</v>
      </c>
      <c r="ZD3" s="113">
        <v>138.4</v>
      </c>
      <c r="ZE3" s="113">
        <v>138.4</v>
      </c>
      <c r="ZF3" s="113">
        <v>138.4</v>
      </c>
      <c r="ZG3" s="113">
        <v>138.4</v>
      </c>
      <c r="ZH3" s="113">
        <v>138.4</v>
      </c>
      <c r="ZI3" s="113">
        <v>138.4</v>
      </c>
      <c r="ZJ3" s="113">
        <v>138.4</v>
      </c>
      <c r="ZK3" s="113">
        <v>138.4</v>
      </c>
      <c r="ZL3" s="113">
        <v>138.4</v>
      </c>
      <c r="ZM3" s="113">
        <v>138.4</v>
      </c>
      <c r="ZN3" s="113">
        <v>138.4</v>
      </c>
      <c r="ZO3" s="113">
        <v>138.4</v>
      </c>
      <c r="ZP3" s="113">
        <v>138.4</v>
      </c>
      <c r="ZQ3" s="113">
        <v>138.4</v>
      </c>
      <c r="ZR3" s="113">
        <v>138.4</v>
      </c>
      <c r="ZS3" s="113">
        <v>138.4</v>
      </c>
      <c r="ZT3" s="113">
        <v>138.4</v>
      </c>
      <c r="ZU3" s="113">
        <v>138.4</v>
      </c>
      <c r="ZV3" s="113">
        <v>138.4</v>
      </c>
      <c r="ZW3" s="113">
        <v>138.4</v>
      </c>
      <c r="AAS3" s="113">
        <v>138.4</v>
      </c>
      <c r="AAT3" s="113">
        <v>138.4</v>
      </c>
      <c r="AAU3" s="113">
        <v>138.4</v>
      </c>
      <c r="AAV3" s="113">
        <v>138.4</v>
      </c>
      <c r="AAW3" s="113">
        <v>138.4</v>
      </c>
      <c r="AAX3" s="113">
        <v>138.4</v>
      </c>
      <c r="AAY3" s="113">
        <v>138.4</v>
      </c>
      <c r="AAZ3" s="113">
        <v>138.4</v>
      </c>
      <c r="ABA3" s="113">
        <v>138.4</v>
      </c>
      <c r="ABB3" s="113">
        <v>138.4</v>
      </c>
      <c r="ABC3" s="113">
        <v>138.4</v>
      </c>
      <c r="ABD3" s="113">
        <v>138.4</v>
      </c>
      <c r="ABE3" s="113">
        <v>138.4</v>
      </c>
      <c r="ABF3" s="113">
        <v>138.4</v>
      </c>
      <c r="ABG3" s="113">
        <v>138.4</v>
      </c>
      <c r="ABH3" s="113">
        <v>138.4</v>
      </c>
      <c r="ABI3" s="113">
        <v>138.4</v>
      </c>
      <c r="ABJ3" s="113">
        <v>138.4</v>
      </c>
      <c r="ABK3" s="113">
        <v>138.4</v>
      </c>
      <c r="ABL3" s="113">
        <v>138.4</v>
      </c>
      <c r="ABM3" s="113">
        <v>138.4</v>
      </c>
      <c r="ABN3" s="113">
        <v>138.4</v>
      </c>
      <c r="ABO3" s="113">
        <v>138.4</v>
      </c>
      <c r="ABP3" s="113">
        <v>138.4</v>
      </c>
      <c r="ABQ3" s="113">
        <v>138.4</v>
      </c>
      <c r="ABR3" s="113">
        <v>138.4</v>
      </c>
      <c r="ABS3" s="113">
        <v>138.4</v>
      </c>
      <c r="ABT3" s="113">
        <v>138.4</v>
      </c>
      <c r="ABU3" s="113">
        <v>138.4</v>
      </c>
      <c r="ABV3" s="113">
        <v>138.4</v>
      </c>
      <c r="ABW3" s="113">
        <v>138.4</v>
      </c>
      <c r="ABX3" s="113">
        <v>138.4</v>
      </c>
      <c r="ABY3" s="113">
        <v>138.4</v>
      </c>
      <c r="ABZ3" s="113">
        <v>138.4</v>
      </c>
      <c r="ACA3" s="113">
        <v>138.4</v>
      </c>
      <c r="ACB3" s="113">
        <v>138.4</v>
      </c>
      <c r="ACC3" s="113">
        <v>138.4</v>
      </c>
      <c r="ACD3" s="113">
        <v>138.4</v>
      </c>
      <c r="ACE3" s="113">
        <v>138.4</v>
      </c>
      <c r="ACF3" s="113">
        <v>138.4</v>
      </c>
      <c r="ACG3" s="113">
        <v>138.4</v>
      </c>
      <c r="ACH3" s="113">
        <v>138.4</v>
      </c>
      <c r="ACI3" s="113">
        <v>138.4</v>
      </c>
      <c r="ACJ3" s="113">
        <v>138.4</v>
      </c>
      <c r="ACK3" s="113">
        <v>138.4</v>
      </c>
      <c r="ACL3" s="113">
        <v>138.4</v>
      </c>
      <c r="ACM3" s="113">
        <v>138.4</v>
      </c>
      <c r="ACN3" s="113">
        <v>138.4</v>
      </c>
      <c r="ACO3" s="113">
        <v>138.4</v>
      </c>
      <c r="ACP3" s="113">
        <v>138.4</v>
      </c>
      <c r="ACQ3" s="113">
        <v>138.4</v>
      </c>
      <c r="ACR3" s="113">
        <v>138.4</v>
      </c>
      <c r="ACS3" s="113">
        <v>138.4</v>
      </c>
      <c r="ACT3" s="113">
        <v>138.4</v>
      </c>
      <c r="ACU3" s="113">
        <v>138.4</v>
      </c>
      <c r="ACV3" s="113">
        <v>138.4</v>
      </c>
      <c r="ACW3" s="113">
        <v>138.4</v>
      </c>
      <c r="ACX3" s="113">
        <v>138.4</v>
      </c>
      <c r="ACY3" s="113">
        <v>138.4</v>
      </c>
      <c r="ACZ3" s="113">
        <v>138.4</v>
      </c>
      <c r="ADA3" s="113">
        <v>138.4</v>
      </c>
      <c r="ADU3" s="113">
        <v>138.4</v>
      </c>
      <c r="ADV3" s="113">
        <v>138.4</v>
      </c>
      <c r="ADW3" s="113">
        <v>138.4</v>
      </c>
      <c r="ADX3" s="113">
        <v>138.4</v>
      </c>
      <c r="ADY3" s="113">
        <v>138.4</v>
      </c>
      <c r="ADZ3" s="113">
        <v>138.4</v>
      </c>
      <c r="AEA3" s="113">
        <v>138.4</v>
      </c>
      <c r="AEB3" s="113">
        <v>138.4</v>
      </c>
      <c r="AEC3" s="113">
        <v>138.4</v>
      </c>
      <c r="AED3" s="113">
        <v>138.4</v>
      </c>
      <c r="AEE3" s="113">
        <v>138.4</v>
      </c>
      <c r="AEF3" s="113">
        <v>138.4</v>
      </c>
      <c r="AEG3" s="113">
        <v>138.4</v>
      </c>
      <c r="AEH3" s="113">
        <v>138.4</v>
      </c>
      <c r="AEI3" s="113">
        <v>138.4</v>
      </c>
      <c r="AEJ3" s="113">
        <v>138.4</v>
      </c>
      <c r="AEK3" s="113">
        <v>138.4</v>
      </c>
      <c r="AEL3" s="113">
        <v>138.4</v>
      </c>
      <c r="AEM3" s="113">
        <v>138.4</v>
      </c>
      <c r="AEN3" s="113">
        <v>138.4</v>
      </c>
      <c r="AEO3" s="113">
        <v>138.4</v>
      </c>
      <c r="AEP3" s="113">
        <v>138.4</v>
      </c>
      <c r="AEQ3" s="113">
        <v>138.4</v>
      </c>
      <c r="AER3" s="113">
        <v>138.4</v>
      </c>
      <c r="AES3" s="113">
        <v>138.4</v>
      </c>
      <c r="AET3" s="113">
        <v>138.4</v>
      </c>
      <c r="AEU3" s="113">
        <v>138.4</v>
      </c>
      <c r="AEV3" s="113">
        <v>138.4</v>
      </c>
      <c r="AEW3" s="113">
        <v>138.4</v>
      </c>
      <c r="AEX3" s="113">
        <v>138.4</v>
      </c>
      <c r="AEY3" s="113">
        <v>138.4</v>
      </c>
      <c r="AEZ3" s="113">
        <v>138.4</v>
      </c>
      <c r="AFA3" s="113">
        <v>138.4</v>
      </c>
      <c r="AFB3" s="113">
        <v>138.4</v>
      </c>
      <c r="AFC3" s="113">
        <v>138.4</v>
      </c>
      <c r="AFD3" s="113">
        <v>138.4</v>
      </c>
      <c r="AFE3" s="113">
        <v>138.4</v>
      </c>
      <c r="AFF3" s="113">
        <v>138.4</v>
      </c>
      <c r="AFG3" s="113">
        <v>138.4</v>
      </c>
      <c r="AFH3" s="113">
        <v>138.4</v>
      </c>
      <c r="AFI3" s="113">
        <v>138.4</v>
      </c>
      <c r="AFJ3" s="113">
        <v>138.4</v>
      </c>
      <c r="AFK3" s="113">
        <v>138.4</v>
      </c>
      <c r="AFL3" s="113">
        <v>138.4</v>
      </c>
      <c r="AFM3" s="113">
        <v>138.4</v>
      </c>
      <c r="AFN3" s="113">
        <v>138.4</v>
      </c>
      <c r="AFO3" s="113">
        <v>138.4</v>
      </c>
      <c r="AFP3" s="113">
        <v>138.4</v>
      </c>
      <c r="AFQ3" s="113">
        <v>138.4</v>
      </c>
      <c r="AFR3" s="113">
        <v>138.4</v>
      </c>
      <c r="AFS3" s="113">
        <v>138.4</v>
      </c>
      <c r="AFT3" s="113">
        <v>138.4</v>
      </c>
      <c r="AFU3" s="113">
        <v>138.4</v>
      </c>
      <c r="AFV3" s="113">
        <v>138.4</v>
      </c>
      <c r="AFW3" s="113">
        <v>138.4</v>
      </c>
      <c r="AFX3" s="113">
        <v>138.4</v>
      </c>
      <c r="AFY3" s="113">
        <v>138.4</v>
      </c>
      <c r="AFZ3" s="113">
        <v>138.4</v>
      </c>
      <c r="AGA3" s="113">
        <v>138.4</v>
      </c>
      <c r="AGB3" s="113">
        <v>138.4</v>
      </c>
      <c r="AGW3" s="113">
        <v>138.4</v>
      </c>
      <c r="AGX3" s="113">
        <v>138.4</v>
      </c>
      <c r="AGY3" s="113">
        <v>138.4</v>
      </c>
      <c r="AGZ3" s="113">
        <v>138.4</v>
      </c>
      <c r="AHA3" s="113">
        <v>138.4</v>
      </c>
      <c r="AHB3" s="113">
        <v>138.4</v>
      </c>
      <c r="AHC3" s="113">
        <v>138.4</v>
      </c>
      <c r="AHD3" s="113">
        <v>138.4</v>
      </c>
      <c r="AHE3" s="113">
        <v>138.4</v>
      </c>
      <c r="AHF3" s="113">
        <v>138.4</v>
      </c>
      <c r="AHG3" s="113">
        <v>138.4</v>
      </c>
      <c r="AHH3" s="113">
        <v>138.4</v>
      </c>
      <c r="AHI3" s="113">
        <v>138.4</v>
      </c>
      <c r="AHJ3" s="113">
        <v>138.4</v>
      </c>
      <c r="AHK3" s="113">
        <v>138.4</v>
      </c>
      <c r="AHL3" s="113">
        <v>138.4</v>
      </c>
      <c r="AHM3" s="113">
        <v>138.4</v>
      </c>
      <c r="AHN3" s="113">
        <v>138.4</v>
      </c>
      <c r="AHO3" s="113">
        <v>138.4</v>
      </c>
      <c r="AHP3" s="113">
        <v>138.4</v>
      </c>
      <c r="AHQ3" s="113">
        <v>138.4</v>
      </c>
      <c r="AHR3" s="113">
        <v>138.4</v>
      </c>
      <c r="AHS3" s="113">
        <v>138.4</v>
      </c>
      <c r="AHT3" s="113">
        <v>138.4</v>
      </c>
      <c r="AHU3" s="113">
        <v>138.4</v>
      </c>
      <c r="AHV3" s="113">
        <v>138.4</v>
      </c>
      <c r="AHW3" s="113">
        <v>138.4</v>
      </c>
      <c r="AHX3" s="113">
        <v>138.4</v>
      </c>
      <c r="AHY3" s="113">
        <v>138.4</v>
      </c>
      <c r="AHZ3" s="113">
        <v>138.4</v>
      </c>
      <c r="AIA3" s="113">
        <v>138.4</v>
      </c>
      <c r="AIB3" s="113">
        <v>138.4</v>
      </c>
      <c r="AIC3" s="113">
        <v>138.4</v>
      </c>
      <c r="AID3" s="113">
        <v>138.4</v>
      </c>
      <c r="AIE3" s="113">
        <v>138.4</v>
      </c>
      <c r="AIF3" s="113">
        <v>138.4</v>
      </c>
      <c r="AIG3" s="113">
        <v>138.4</v>
      </c>
      <c r="AIH3" s="113">
        <v>138.4</v>
      </c>
      <c r="AII3" s="113">
        <v>138.4</v>
      </c>
      <c r="AIJ3" s="113">
        <v>138.4</v>
      </c>
      <c r="AIK3" s="113">
        <v>138.4</v>
      </c>
      <c r="AIL3" s="113">
        <v>138.4</v>
      </c>
      <c r="AIM3" s="113">
        <v>138.4</v>
      </c>
      <c r="AIN3" s="113">
        <v>138.4</v>
      </c>
      <c r="AIO3" s="113">
        <v>138.4</v>
      </c>
      <c r="AIP3" s="113">
        <v>138.4</v>
      </c>
      <c r="AIQ3" s="113">
        <v>138.4</v>
      </c>
      <c r="AIR3" s="113">
        <v>138.4</v>
      </c>
      <c r="AIS3" s="113">
        <v>138.4</v>
      </c>
      <c r="AIT3" s="113">
        <v>138.4</v>
      </c>
      <c r="AIU3" s="113">
        <v>138.4</v>
      </c>
      <c r="AIV3" s="113">
        <v>138.4</v>
      </c>
      <c r="AIW3" s="113">
        <v>138.4</v>
      </c>
      <c r="AIX3" s="113">
        <v>138.4</v>
      </c>
      <c r="AIY3" s="113">
        <v>138.4</v>
      </c>
      <c r="AIZ3" s="113">
        <v>138.4</v>
      </c>
      <c r="AJA3" s="113">
        <v>138.4</v>
      </c>
      <c r="AJB3" s="113">
        <v>138.4</v>
      </c>
      <c r="AJC3" s="113">
        <v>138.4</v>
      </c>
      <c r="AJD3" s="113">
        <v>138.4</v>
      </c>
    </row>
    <row r="4" spans="1:940">
      <c r="A4" s="113">
        <v>129.75</v>
      </c>
      <c r="B4" s="113">
        <v>129.75</v>
      </c>
      <c r="C4" s="113">
        <v>129.75</v>
      </c>
      <c r="D4" s="113">
        <v>129.75</v>
      </c>
      <c r="E4" s="113">
        <v>129.75</v>
      </c>
      <c r="F4" s="113">
        <v>129.75</v>
      </c>
      <c r="G4" s="113">
        <v>129.75</v>
      </c>
      <c r="H4" s="113">
        <v>129.75</v>
      </c>
      <c r="I4" s="113">
        <v>129.75</v>
      </c>
      <c r="J4" s="113">
        <v>129.75</v>
      </c>
      <c r="K4" s="113">
        <v>129.75</v>
      </c>
      <c r="L4" s="113">
        <v>129.75</v>
      </c>
      <c r="M4" s="113">
        <v>129.75</v>
      </c>
      <c r="N4" s="113">
        <v>129.75</v>
      </c>
      <c r="O4" s="113">
        <v>129.75</v>
      </c>
      <c r="P4" s="113">
        <v>129.75</v>
      </c>
      <c r="Q4" s="113">
        <v>129.75</v>
      </c>
      <c r="R4" s="113">
        <v>129.75</v>
      </c>
      <c r="S4" s="113">
        <v>129.75</v>
      </c>
      <c r="T4" s="113">
        <v>129.75</v>
      </c>
      <c r="U4" s="113">
        <v>129.75</v>
      </c>
      <c r="V4" s="113">
        <v>129.75</v>
      </c>
      <c r="W4" s="113">
        <v>129.75</v>
      </c>
      <c r="X4" s="113">
        <v>129.75</v>
      </c>
      <c r="Y4" s="113">
        <v>129.75</v>
      </c>
      <c r="Z4" s="113">
        <v>129.75</v>
      </c>
      <c r="AA4" s="113">
        <v>129.75</v>
      </c>
      <c r="AB4" s="113">
        <v>129.75</v>
      </c>
      <c r="AC4" s="113">
        <v>129.75</v>
      </c>
      <c r="AD4" s="113">
        <v>129.75</v>
      </c>
      <c r="AE4" s="113">
        <v>129.75</v>
      </c>
      <c r="AF4" s="113">
        <v>129.75</v>
      </c>
      <c r="AG4" s="113">
        <v>129.75</v>
      </c>
      <c r="AH4" s="113">
        <v>129.75</v>
      </c>
      <c r="AI4" s="113">
        <v>129.75</v>
      </c>
      <c r="AJ4" s="113">
        <v>129.75</v>
      </c>
      <c r="AK4" s="113">
        <v>129.75</v>
      </c>
      <c r="AL4" s="113">
        <v>129.75</v>
      </c>
      <c r="AM4" s="113">
        <v>129.75</v>
      </c>
      <c r="AN4" s="113">
        <v>129.75</v>
      </c>
      <c r="AO4" s="113">
        <v>129.75</v>
      </c>
      <c r="AP4" s="113">
        <v>129.75</v>
      </c>
      <c r="AQ4" s="113">
        <v>129.75</v>
      </c>
      <c r="AR4" s="113">
        <v>129.75</v>
      </c>
      <c r="AS4" s="113">
        <v>129.75</v>
      </c>
      <c r="AT4" s="113">
        <v>129.75</v>
      </c>
      <c r="AU4" s="113">
        <v>129.75</v>
      </c>
      <c r="AV4" s="113">
        <v>129.75</v>
      </c>
      <c r="AW4" s="113">
        <v>129.75</v>
      </c>
      <c r="AX4" s="113">
        <v>129.75</v>
      </c>
      <c r="AY4" s="113">
        <v>129.75</v>
      </c>
      <c r="AZ4" s="113">
        <v>129.75</v>
      </c>
      <c r="CC4" s="113">
        <v>129.75</v>
      </c>
      <c r="CD4" s="113">
        <v>129.75</v>
      </c>
      <c r="CE4" s="113">
        <v>129.75</v>
      </c>
      <c r="CF4" s="113">
        <v>129.75</v>
      </c>
      <c r="CG4" s="113">
        <v>129.75</v>
      </c>
      <c r="CH4" s="113">
        <v>129.75</v>
      </c>
      <c r="CI4" s="113">
        <v>129.75</v>
      </c>
      <c r="CJ4" s="113">
        <v>129.75</v>
      </c>
      <c r="CK4" s="113">
        <v>129.75</v>
      </c>
      <c r="CL4" s="113">
        <v>129.75</v>
      </c>
      <c r="CM4" s="113">
        <v>129.75</v>
      </c>
      <c r="CN4" s="113">
        <v>129.75</v>
      </c>
      <c r="CO4" s="113">
        <v>129.75</v>
      </c>
      <c r="CP4" s="113">
        <v>129.75</v>
      </c>
      <c r="CQ4" s="113">
        <v>129.75</v>
      </c>
      <c r="CR4" s="113">
        <v>129.75</v>
      </c>
      <c r="CS4" s="113">
        <v>129.75</v>
      </c>
      <c r="CT4" s="113">
        <v>129.75</v>
      </c>
      <c r="CU4" s="113">
        <v>129.75</v>
      </c>
      <c r="CV4" s="113">
        <v>129.75</v>
      </c>
      <c r="CW4" s="113">
        <v>129.75</v>
      </c>
      <c r="CX4" s="113">
        <v>129.75</v>
      </c>
      <c r="CY4" s="113">
        <v>129.75</v>
      </c>
      <c r="CZ4" s="113">
        <v>129.75</v>
      </c>
      <c r="DA4" s="113">
        <v>129.75</v>
      </c>
      <c r="DB4" s="113">
        <v>129.75</v>
      </c>
      <c r="DC4" s="113">
        <v>129.75</v>
      </c>
      <c r="DD4" s="113">
        <v>129.75</v>
      </c>
      <c r="DE4" s="113">
        <v>129.75</v>
      </c>
      <c r="DF4" s="113">
        <v>129.75</v>
      </c>
      <c r="DG4" s="113">
        <v>129.75</v>
      </c>
      <c r="DH4" s="113">
        <v>129.75</v>
      </c>
      <c r="DI4" s="113">
        <v>129.75</v>
      </c>
      <c r="DJ4" s="113">
        <v>129.75</v>
      </c>
      <c r="DK4" s="113">
        <v>129.75</v>
      </c>
      <c r="DL4" s="113">
        <v>129.75</v>
      </c>
      <c r="DM4" s="113">
        <v>129.75</v>
      </c>
      <c r="DN4" s="113">
        <v>129.75</v>
      </c>
      <c r="DO4" s="113">
        <v>129.75</v>
      </c>
      <c r="DP4" s="113">
        <v>129.75</v>
      </c>
      <c r="DQ4" s="113">
        <v>129.75</v>
      </c>
      <c r="DR4" s="113">
        <v>129.75</v>
      </c>
      <c r="DS4" s="113">
        <v>129.75</v>
      </c>
      <c r="DT4" s="113">
        <v>129.75</v>
      </c>
      <c r="DU4" s="113">
        <v>129.75</v>
      </c>
      <c r="DV4" s="113">
        <v>129.75</v>
      </c>
      <c r="DW4" s="113">
        <v>129.75</v>
      </c>
      <c r="DX4" s="113">
        <v>129.75</v>
      </c>
      <c r="DY4" s="113">
        <v>129.75</v>
      </c>
      <c r="DZ4" s="113">
        <v>129.75</v>
      </c>
      <c r="EA4" s="113">
        <v>129.75</v>
      </c>
      <c r="EB4" s="113">
        <v>129.75</v>
      </c>
      <c r="EC4" s="113">
        <v>129.75</v>
      </c>
      <c r="ED4" s="113">
        <v>129.75</v>
      </c>
      <c r="EE4" s="113">
        <v>129.75</v>
      </c>
      <c r="EF4" s="113">
        <v>129.75</v>
      </c>
      <c r="EG4" s="113">
        <v>129.75</v>
      </c>
      <c r="EH4" s="113">
        <v>129.75</v>
      </c>
      <c r="EI4" s="113">
        <v>129.75</v>
      </c>
      <c r="FE4" s="113">
        <v>129.75</v>
      </c>
      <c r="FF4" s="113">
        <v>129.75</v>
      </c>
      <c r="FG4" s="113">
        <v>129.75</v>
      </c>
      <c r="FH4" s="113">
        <v>129.75</v>
      </c>
      <c r="FI4" s="113">
        <v>129.75</v>
      </c>
      <c r="FJ4" s="113">
        <v>129.75</v>
      </c>
      <c r="FK4" s="113">
        <v>129.75</v>
      </c>
      <c r="FL4" s="113">
        <v>129.75</v>
      </c>
      <c r="FM4" s="113">
        <v>129.75</v>
      </c>
      <c r="FN4" s="113">
        <v>129.75</v>
      </c>
      <c r="FO4" s="113">
        <v>129.75</v>
      </c>
      <c r="FP4" s="113">
        <v>129.75</v>
      </c>
      <c r="FQ4" s="113">
        <v>129.75</v>
      </c>
      <c r="FR4" s="113">
        <v>129.75</v>
      </c>
      <c r="FS4" s="113">
        <v>129.75</v>
      </c>
      <c r="FT4" s="113">
        <v>129.75</v>
      </c>
      <c r="FU4" s="113">
        <v>129.75</v>
      </c>
      <c r="FV4" s="113">
        <v>129.75</v>
      </c>
      <c r="FW4" s="113">
        <v>129.75</v>
      </c>
      <c r="FX4" s="113">
        <v>129.75</v>
      </c>
      <c r="FY4" s="113">
        <v>129.75</v>
      </c>
      <c r="FZ4" s="113">
        <v>129.75</v>
      </c>
      <c r="GA4" s="113">
        <v>129.75</v>
      </c>
      <c r="GB4" s="113">
        <v>129.75</v>
      </c>
      <c r="GC4" s="113">
        <v>129.75</v>
      </c>
      <c r="GD4" s="113">
        <v>129.75</v>
      </c>
      <c r="GE4" s="113">
        <v>129.75</v>
      </c>
      <c r="GF4" s="113">
        <v>129.75</v>
      </c>
      <c r="GG4" s="113">
        <v>129.75</v>
      </c>
      <c r="GH4" s="113">
        <v>129.75</v>
      </c>
      <c r="GI4" s="113">
        <v>129.75</v>
      </c>
      <c r="GJ4" s="113">
        <v>129.75</v>
      </c>
      <c r="GK4" s="113">
        <v>129.75</v>
      </c>
      <c r="GL4" s="113">
        <v>129.75</v>
      </c>
      <c r="GM4" s="113">
        <v>129.75</v>
      </c>
      <c r="GN4" s="113">
        <v>129.75</v>
      </c>
      <c r="GO4" s="113">
        <v>129.75</v>
      </c>
      <c r="GP4" s="113">
        <v>129.75</v>
      </c>
      <c r="GQ4" s="113">
        <v>129.75</v>
      </c>
      <c r="GR4" s="113">
        <v>129.75</v>
      </c>
      <c r="GS4" s="113">
        <v>129.75</v>
      </c>
      <c r="GT4" s="113">
        <v>129.75</v>
      </c>
      <c r="GU4" s="113">
        <v>129.75</v>
      </c>
      <c r="GV4" s="113">
        <v>129.75</v>
      </c>
      <c r="GW4" s="113">
        <v>129.75</v>
      </c>
      <c r="GX4" s="113">
        <v>129.75</v>
      </c>
      <c r="GY4" s="113">
        <v>129.75</v>
      </c>
      <c r="GZ4" s="113">
        <v>129.75</v>
      </c>
      <c r="HA4" s="113">
        <v>129.75</v>
      </c>
      <c r="HB4" s="113">
        <v>129.75</v>
      </c>
      <c r="HC4" s="113">
        <v>129.75</v>
      </c>
      <c r="HD4" s="113">
        <v>129.75</v>
      </c>
      <c r="HE4" s="113">
        <v>129.75</v>
      </c>
      <c r="HF4" s="113">
        <v>129.75</v>
      </c>
      <c r="HG4" s="113">
        <v>129.75</v>
      </c>
      <c r="HH4" s="113">
        <v>129.75</v>
      </c>
      <c r="HI4" s="113">
        <v>129.75</v>
      </c>
      <c r="HJ4" s="113">
        <v>129.75</v>
      </c>
      <c r="HK4" s="113">
        <v>129.75</v>
      </c>
      <c r="HL4" s="113">
        <v>129.75</v>
      </c>
      <c r="IG4" s="113">
        <v>129.75</v>
      </c>
      <c r="IH4" s="113">
        <v>129.75</v>
      </c>
      <c r="II4" s="113">
        <v>129.75</v>
      </c>
      <c r="IJ4" s="113">
        <v>129.75</v>
      </c>
      <c r="IK4" s="113">
        <v>129.75</v>
      </c>
      <c r="IL4" s="113">
        <v>129.75</v>
      </c>
      <c r="IM4" s="113">
        <v>129.75</v>
      </c>
      <c r="IN4" s="113">
        <v>129.75</v>
      </c>
      <c r="IO4" s="113">
        <v>129.75</v>
      </c>
      <c r="IP4" s="113">
        <v>129.75</v>
      </c>
      <c r="IQ4" s="113">
        <v>129.75</v>
      </c>
      <c r="IR4" s="113">
        <v>129.75</v>
      </c>
      <c r="IS4" s="113">
        <v>129.75</v>
      </c>
      <c r="IT4" s="113">
        <v>129.75</v>
      </c>
      <c r="IU4" s="113">
        <v>129.75</v>
      </c>
      <c r="IV4" s="113">
        <v>129.75</v>
      </c>
      <c r="IW4" s="113">
        <v>129.75</v>
      </c>
      <c r="IX4" s="113">
        <v>129.75</v>
      </c>
      <c r="IY4" s="113">
        <v>129.75</v>
      </c>
      <c r="IZ4" s="113">
        <v>129.75</v>
      </c>
      <c r="JA4" s="113">
        <v>129.75</v>
      </c>
      <c r="JB4" s="113">
        <v>129.75</v>
      </c>
      <c r="JC4" s="113">
        <v>129.75</v>
      </c>
      <c r="JD4" s="113">
        <v>129.75</v>
      </c>
      <c r="JE4" s="113">
        <v>129.75</v>
      </c>
      <c r="JF4" s="113">
        <v>129.75</v>
      </c>
      <c r="JG4" s="113">
        <v>129.75</v>
      </c>
      <c r="JH4" s="113">
        <v>129.75</v>
      </c>
      <c r="JI4" s="113">
        <v>129.75</v>
      </c>
      <c r="JJ4" s="113">
        <v>129.75</v>
      </c>
      <c r="JK4" s="113">
        <v>129.75</v>
      </c>
      <c r="JL4" s="113">
        <v>129.75</v>
      </c>
      <c r="JM4" s="113">
        <v>129.75</v>
      </c>
      <c r="JN4" s="113">
        <v>129.75</v>
      </c>
      <c r="JO4" s="113">
        <v>129.75</v>
      </c>
      <c r="JP4" s="113">
        <v>129.75</v>
      </c>
      <c r="JQ4" s="113">
        <v>129.75</v>
      </c>
      <c r="JR4" s="113">
        <v>129.75</v>
      </c>
      <c r="JS4" s="113">
        <v>129.75</v>
      </c>
      <c r="JT4" s="113">
        <v>129.75</v>
      </c>
      <c r="JU4" s="113">
        <v>129.75</v>
      </c>
      <c r="JV4" s="113">
        <v>129.75</v>
      </c>
      <c r="JW4" s="113">
        <v>129.75</v>
      </c>
      <c r="JX4" s="113">
        <v>129.75</v>
      </c>
      <c r="JY4" s="113">
        <v>129.75</v>
      </c>
      <c r="JZ4" s="113">
        <v>129.75</v>
      </c>
      <c r="KA4" s="113">
        <v>129.75</v>
      </c>
      <c r="KB4" s="113">
        <v>129.75</v>
      </c>
      <c r="KC4" s="113">
        <v>129.75</v>
      </c>
      <c r="KD4" s="113">
        <v>129.75</v>
      </c>
      <c r="KE4" s="113">
        <v>129.75</v>
      </c>
      <c r="KF4" s="113">
        <v>129.75</v>
      </c>
      <c r="KG4" s="113">
        <v>129.75</v>
      </c>
      <c r="KH4" s="113">
        <v>129.75</v>
      </c>
      <c r="KI4" s="113">
        <v>129.75</v>
      </c>
      <c r="KJ4" s="113">
        <v>129.75</v>
      </c>
      <c r="KK4" s="113">
        <v>129.75</v>
      </c>
      <c r="KL4" s="113">
        <v>129.75</v>
      </c>
      <c r="KM4" s="113">
        <v>129.75</v>
      </c>
      <c r="KN4" s="113">
        <v>129.75</v>
      </c>
      <c r="LI4" s="113">
        <v>129.75</v>
      </c>
      <c r="LJ4" s="113">
        <v>129.75</v>
      </c>
      <c r="LK4" s="113">
        <v>129.75</v>
      </c>
      <c r="LL4" s="113">
        <v>129.75</v>
      </c>
      <c r="LM4" s="113">
        <v>129.75</v>
      </c>
      <c r="LN4" s="113">
        <v>129.75</v>
      </c>
      <c r="LO4" s="113">
        <v>129.75</v>
      </c>
      <c r="LP4" s="113">
        <v>129.75</v>
      </c>
      <c r="LQ4" s="113">
        <v>129.75</v>
      </c>
      <c r="LR4" s="113">
        <v>129.75</v>
      </c>
      <c r="LS4" s="113">
        <v>129.75</v>
      </c>
      <c r="LT4" s="113">
        <v>129.75</v>
      </c>
      <c r="LU4" s="113">
        <v>129.75</v>
      </c>
      <c r="LV4" s="113">
        <v>129.75</v>
      </c>
      <c r="LW4" s="113">
        <v>129.75</v>
      </c>
      <c r="LX4" s="113">
        <v>129.75</v>
      </c>
      <c r="LY4" s="113">
        <v>129.75</v>
      </c>
      <c r="LZ4" s="113">
        <v>129.75</v>
      </c>
      <c r="MA4" s="113">
        <v>129.75</v>
      </c>
      <c r="MB4" s="113">
        <v>129.75</v>
      </c>
      <c r="MC4" s="113">
        <v>129.75</v>
      </c>
      <c r="MD4" s="113">
        <v>129.75</v>
      </c>
      <c r="ME4" s="113">
        <v>129.75</v>
      </c>
      <c r="MF4" s="113">
        <v>129.75</v>
      </c>
      <c r="MG4" s="113">
        <v>129.75</v>
      </c>
      <c r="MH4" s="113">
        <v>129.75</v>
      </c>
      <c r="MI4" s="113">
        <v>129.75</v>
      </c>
      <c r="MJ4" s="113">
        <v>129.75</v>
      </c>
      <c r="MK4" s="113">
        <v>129.75</v>
      </c>
      <c r="ML4" s="113">
        <v>129.75</v>
      </c>
      <c r="MM4" s="113">
        <v>129.75</v>
      </c>
      <c r="MN4" s="113">
        <v>129.75</v>
      </c>
      <c r="MO4" s="113">
        <v>129.75</v>
      </c>
      <c r="MP4" s="113">
        <v>129.75</v>
      </c>
      <c r="MQ4" s="113">
        <v>129.75</v>
      </c>
      <c r="MR4" s="113">
        <v>129.75</v>
      </c>
      <c r="MS4" s="113">
        <v>129.75</v>
      </c>
      <c r="MT4" s="113">
        <v>129.75</v>
      </c>
      <c r="MU4" s="113">
        <v>129.75</v>
      </c>
      <c r="MV4" s="113">
        <v>129.75</v>
      </c>
      <c r="MW4" s="113">
        <v>129.75</v>
      </c>
      <c r="MX4" s="113">
        <v>129.75</v>
      </c>
      <c r="MY4" s="113">
        <v>129.75</v>
      </c>
      <c r="MZ4" s="113">
        <v>129.75</v>
      </c>
      <c r="NA4" s="113">
        <v>129.75</v>
      </c>
      <c r="NB4" s="113">
        <v>129.75</v>
      </c>
      <c r="NC4" s="113">
        <v>129.75</v>
      </c>
      <c r="ND4" s="113">
        <v>129.75</v>
      </c>
      <c r="NE4" s="113">
        <v>129.75</v>
      </c>
      <c r="NF4" s="113">
        <v>129.75</v>
      </c>
      <c r="NG4" s="113">
        <v>129.75</v>
      </c>
      <c r="NH4" s="113">
        <v>129.75</v>
      </c>
      <c r="NI4" s="113">
        <v>129.75</v>
      </c>
      <c r="NJ4" s="113">
        <v>129.75</v>
      </c>
      <c r="NK4" s="113">
        <v>129.75</v>
      </c>
      <c r="NL4" s="113">
        <v>129.75</v>
      </c>
      <c r="NM4" s="113">
        <v>129.75</v>
      </c>
      <c r="NN4" s="113">
        <v>129.75</v>
      </c>
      <c r="NO4" s="113">
        <v>129.75</v>
      </c>
      <c r="NP4" s="113">
        <v>129.75</v>
      </c>
      <c r="NQ4" s="113">
        <v>129.75</v>
      </c>
      <c r="NR4" s="113">
        <v>129.75</v>
      </c>
      <c r="OK4" s="113">
        <v>129.75</v>
      </c>
      <c r="OL4" s="113">
        <v>129.75</v>
      </c>
      <c r="OM4" s="113">
        <v>129.75</v>
      </c>
      <c r="ON4" s="113">
        <v>129.75</v>
      </c>
      <c r="OO4" s="113">
        <v>129.75</v>
      </c>
      <c r="OP4" s="113">
        <v>129.75</v>
      </c>
      <c r="OQ4" s="113">
        <v>129.75</v>
      </c>
      <c r="OR4" s="113">
        <v>129.75</v>
      </c>
      <c r="OS4" s="113">
        <v>129.75</v>
      </c>
      <c r="OT4" s="113">
        <v>129.75</v>
      </c>
      <c r="OU4" s="113">
        <v>129.75</v>
      </c>
      <c r="OV4" s="113">
        <v>129.75</v>
      </c>
      <c r="OW4" s="113">
        <v>129.75</v>
      </c>
      <c r="OX4" s="113">
        <v>129.75</v>
      </c>
      <c r="OY4" s="113">
        <v>129.75</v>
      </c>
      <c r="OZ4" s="113">
        <v>129.75</v>
      </c>
      <c r="PA4" s="113">
        <v>129.75</v>
      </c>
      <c r="PB4" s="113">
        <v>129.75</v>
      </c>
      <c r="PC4" s="113">
        <v>129.75</v>
      </c>
      <c r="PD4" s="113">
        <v>129.75</v>
      </c>
      <c r="PE4" s="113">
        <v>129.75</v>
      </c>
      <c r="PF4" s="113">
        <v>129.75</v>
      </c>
      <c r="PG4" s="113">
        <v>129.75</v>
      </c>
      <c r="PH4" s="113">
        <v>129.75</v>
      </c>
      <c r="PI4" s="113">
        <v>129.75</v>
      </c>
      <c r="PJ4" s="113">
        <v>129.75</v>
      </c>
      <c r="PK4" s="113">
        <v>129.75</v>
      </c>
      <c r="PL4" s="113">
        <v>129.75</v>
      </c>
      <c r="PM4" s="113">
        <v>129.75</v>
      </c>
      <c r="PN4" s="113">
        <v>129.75</v>
      </c>
      <c r="PO4" s="113">
        <v>129.75</v>
      </c>
      <c r="PP4" s="113">
        <v>129.75</v>
      </c>
      <c r="PQ4" s="113">
        <v>129.75</v>
      </c>
      <c r="PR4" s="113">
        <v>129.75</v>
      </c>
      <c r="PS4" s="113">
        <v>129.75</v>
      </c>
      <c r="PT4" s="113">
        <v>129.75</v>
      </c>
      <c r="PU4" s="113">
        <v>129.75</v>
      </c>
      <c r="PV4" s="113">
        <v>129.75</v>
      </c>
      <c r="PW4" s="113">
        <v>129.75</v>
      </c>
      <c r="PX4" s="113">
        <v>129.75</v>
      </c>
      <c r="PY4" s="113">
        <v>129.75</v>
      </c>
      <c r="PZ4" s="113">
        <v>129.75</v>
      </c>
      <c r="QA4" s="113">
        <v>129.75</v>
      </c>
      <c r="QB4" s="113">
        <v>129.75</v>
      </c>
      <c r="QC4" s="113">
        <v>129.75</v>
      </c>
      <c r="QD4" s="113">
        <v>129.75</v>
      </c>
      <c r="QE4" s="113">
        <v>129.75</v>
      </c>
      <c r="QF4" s="113">
        <v>129.75</v>
      </c>
      <c r="QG4" s="113">
        <v>129.75</v>
      </c>
      <c r="QH4" s="113">
        <v>129.75</v>
      </c>
      <c r="QI4" s="113">
        <v>129.75</v>
      </c>
      <c r="QJ4" s="113">
        <v>129.75</v>
      </c>
      <c r="QK4" s="113">
        <v>129.75</v>
      </c>
      <c r="QL4" s="113">
        <v>129.75</v>
      </c>
      <c r="QM4" s="113">
        <v>129.75</v>
      </c>
      <c r="QN4" s="113">
        <v>129.75</v>
      </c>
      <c r="QO4" s="113">
        <v>129.75</v>
      </c>
      <c r="QP4" s="113">
        <v>129.75</v>
      </c>
      <c r="QQ4" s="113">
        <v>129.75</v>
      </c>
      <c r="QR4" s="113">
        <v>129.75</v>
      </c>
      <c r="QS4" s="113">
        <v>129.75</v>
      </c>
      <c r="RM4" s="113">
        <v>129.75</v>
      </c>
      <c r="RN4" s="113">
        <v>129.75</v>
      </c>
      <c r="RO4" s="113">
        <v>129.75</v>
      </c>
      <c r="RP4" s="113">
        <v>129.75</v>
      </c>
      <c r="RQ4" s="113">
        <v>129.75</v>
      </c>
      <c r="RR4" s="113">
        <v>129.75</v>
      </c>
      <c r="RS4" s="113">
        <v>129.75</v>
      </c>
      <c r="RT4" s="113">
        <v>129.75</v>
      </c>
      <c r="RU4" s="113">
        <v>129.75</v>
      </c>
      <c r="RV4" s="113">
        <v>129.75</v>
      </c>
      <c r="RW4" s="113">
        <v>129.75</v>
      </c>
      <c r="RX4" s="113">
        <v>129.75</v>
      </c>
      <c r="RY4" s="113">
        <v>129.75</v>
      </c>
      <c r="RZ4" s="113">
        <v>129.75</v>
      </c>
      <c r="SA4" s="113">
        <v>129.75</v>
      </c>
      <c r="SB4" s="113">
        <v>129.75</v>
      </c>
      <c r="SC4" s="113">
        <v>129.75</v>
      </c>
      <c r="SD4" s="113">
        <v>129.75</v>
      </c>
      <c r="SE4" s="113">
        <v>129.75</v>
      </c>
      <c r="SF4" s="113">
        <v>129.75</v>
      </c>
      <c r="SG4" s="113">
        <v>129.75</v>
      </c>
      <c r="SH4" s="113">
        <v>129.75</v>
      </c>
      <c r="SI4" s="113">
        <v>129.75</v>
      </c>
      <c r="SJ4" s="113">
        <v>129.75</v>
      </c>
      <c r="SK4" s="113">
        <v>129.75</v>
      </c>
      <c r="SL4" s="113">
        <v>129.75</v>
      </c>
      <c r="SM4" s="113">
        <v>129.75</v>
      </c>
      <c r="SN4" s="113">
        <v>129.75</v>
      </c>
      <c r="SO4" s="113">
        <v>129.75</v>
      </c>
      <c r="SP4" s="113">
        <v>129.75</v>
      </c>
      <c r="SQ4" s="113">
        <v>129.75</v>
      </c>
      <c r="SR4" s="113">
        <v>129.75</v>
      </c>
      <c r="SS4" s="113">
        <v>129.75</v>
      </c>
      <c r="ST4" s="113">
        <v>129.75</v>
      </c>
      <c r="SU4" s="113">
        <v>129.75</v>
      </c>
      <c r="SV4" s="113">
        <v>129.75</v>
      </c>
      <c r="SW4" s="113">
        <v>129.75</v>
      </c>
      <c r="SX4" s="113">
        <v>129.75</v>
      </c>
      <c r="SY4" s="113">
        <v>129.75</v>
      </c>
      <c r="SZ4" s="113">
        <v>129.75</v>
      </c>
      <c r="TA4" s="113">
        <v>129.75</v>
      </c>
      <c r="TB4" s="113">
        <v>129.75</v>
      </c>
      <c r="TC4" s="113">
        <v>129.75</v>
      </c>
      <c r="TD4" s="113">
        <v>129.75</v>
      </c>
      <c r="TE4" s="113">
        <v>129.75</v>
      </c>
      <c r="TF4" s="113">
        <v>129.75</v>
      </c>
      <c r="TG4" s="113">
        <v>129.75</v>
      </c>
      <c r="TH4" s="113">
        <v>129.75</v>
      </c>
      <c r="TI4" s="113">
        <v>129.75</v>
      </c>
      <c r="TJ4" s="113">
        <v>129.75</v>
      </c>
      <c r="TK4" s="113">
        <v>129.75</v>
      </c>
      <c r="TL4" s="113">
        <v>129.75</v>
      </c>
      <c r="TM4" s="113">
        <v>129.75</v>
      </c>
      <c r="TN4" s="113">
        <v>129.75</v>
      </c>
      <c r="TO4" s="113">
        <v>129.75</v>
      </c>
      <c r="TP4" s="113">
        <v>129.75</v>
      </c>
      <c r="TQ4" s="113">
        <v>129.75</v>
      </c>
      <c r="TR4" s="113">
        <v>129.75</v>
      </c>
      <c r="TS4" s="113">
        <v>129.75</v>
      </c>
      <c r="TT4" s="113">
        <v>129.75</v>
      </c>
      <c r="UO4" s="113">
        <v>129.75</v>
      </c>
      <c r="UP4" s="113">
        <v>129.75</v>
      </c>
      <c r="UQ4" s="113">
        <v>129.75</v>
      </c>
      <c r="UR4" s="113">
        <v>129.75</v>
      </c>
      <c r="US4" s="113">
        <v>129.75</v>
      </c>
      <c r="UT4" s="113">
        <v>129.75</v>
      </c>
      <c r="UU4" s="113">
        <v>129.75</v>
      </c>
      <c r="UV4" s="113">
        <v>129.75</v>
      </c>
      <c r="UW4" s="113">
        <v>129.75</v>
      </c>
      <c r="UX4" s="113">
        <v>129.75</v>
      </c>
      <c r="UY4" s="113">
        <v>129.75</v>
      </c>
      <c r="UZ4" s="113">
        <v>129.75</v>
      </c>
      <c r="VA4" s="113">
        <v>129.75</v>
      </c>
      <c r="VB4" s="113">
        <v>129.75</v>
      </c>
      <c r="VC4" s="113">
        <v>129.75</v>
      </c>
      <c r="VD4" s="113">
        <v>129.75</v>
      </c>
      <c r="VE4" s="113">
        <v>129.75</v>
      </c>
      <c r="VF4" s="113">
        <v>129.75</v>
      </c>
      <c r="VG4" s="113">
        <v>129.75</v>
      </c>
      <c r="VH4" s="113">
        <v>129.75</v>
      </c>
      <c r="VI4" s="113">
        <v>129.75</v>
      </c>
      <c r="VJ4" s="113">
        <v>129.75</v>
      </c>
      <c r="VK4" s="113">
        <v>129.75</v>
      </c>
      <c r="VL4" s="113">
        <v>129.75</v>
      </c>
      <c r="VM4" s="113">
        <v>129.75</v>
      </c>
      <c r="VN4" s="113">
        <v>129.75</v>
      </c>
      <c r="VO4" s="113">
        <v>129.75</v>
      </c>
      <c r="VP4" s="113">
        <v>129.75</v>
      </c>
      <c r="VQ4" s="113">
        <v>129.75</v>
      </c>
      <c r="VR4" s="113">
        <v>129.75</v>
      </c>
      <c r="VS4" s="113">
        <v>129.75</v>
      </c>
      <c r="VT4" s="113">
        <v>129.75</v>
      </c>
      <c r="VU4" s="113">
        <v>129.75</v>
      </c>
      <c r="VV4" s="113">
        <v>129.75</v>
      </c>
      <c r="VW4" s="113">
        <v>129.75</v>
      </c>
      <c r="VX4" s="113">
        <v>129.75</v>
      </c>
      <c r="VY4" s="113">
        <v>129.75</v>
      </c>
      <c r="VZ4" s="113">
        <v>129.75</v>
      </c>
      <c r="WA4" s="113">
        <v>129.75</v>
      </c>
      <c r="WB4" s="113">
        <v>129.75</v>
      </c>
      <c r="WC4" s="113">
        <v>129.75</v>
      </c>
      <c r="WD4" s="113">
        <v>129.75</v>
      </c>
      <c r="WE4" s="113">
        <v>129.75</v>
      </c>
      <c r="WF4" s="113">
        <v>129.75</v>
      </c>
      <c r="WG4" s="113">
        <v>129.75</v>
      </c>
      <c r="WH4" s="113">
        <v>129.75</v>
      </c>
      <c r="WI4" s="113">
        <v>129.75</v>
      </c>
      <c r="WJ4" s="113">
        <v>129.75</v>
      </c>
      <c r="WK4" s="113">
        <v>129.75</v>
      </c>
      <c r="WL4" s="113">
        <v>129.75</v>
      </c>
      <c r="WM4" s="113">
        <v>129.75</v>
      </c>
      <c r="WN4" s="113">
        <v>129.75</v>
      </c>
      <c r="WO4" s="113">
        <v>129.75</v>
      </c>
      <c r="WP4" s="113">
        <v>129.75</v>
      </c>
      <c r="WQ4" s="113">
        <v>129.75</v>
      </c>
      <c r="WR4" s="113">
        <v>129.75</v>
      </c>
      <c r="WS4" s="113">
        <v>129.75</v>
      </c>
      <c r="WT4" s="113">
        <v>129.75</v>
      </c>
      <c r="WU4" s="113">
        <v>129.75</v>
      </c>
      <c r="WV4" s="113">
        <v>129.75</v>
      </c>
      <c r="WW4" s="113">
        <v>129.75</v>
      </c>
      <c r="XQ4" s="113">
        <v>129.75</v>
      </c>
      <c r="XR4" s="113">
        <v>129.75</v>
      </c>
      <c r="XS4" s="113">
        <v>129.75</v>
      </c>
      <c r="XT4" s="113">
        <v>129.75</v>
      </c>
      <c r="XU4" s="113">
        <v>129.75</v>
      </c>
      <c r="XV4" s="113">
        <v>129.75</v>
      </c>
      <c r="XW4" s="113">
        <v>129.75</v>
      </c>
      <c r="XX4" s="113">
        <v>129.75</v>
      </c>
      <c r="XY4" s="113">
        <v>129.75</v>
      </c>
      <c r="XZ4" s="113">
        <v>129.75</v>
      </c>
      <c r="YA4" s="113">
        <v>129.75</v>
      </c>
      <c r="YB4" s="113">
        <v>129.75</v>
      </c>
      <c r="YC4" s="113">
        <v>129.75</v>
      </c>
      <c r="YD4" s="113">
        <v>129.75</v>
      </c>
      <c r="YE4" s="113">
        <v>129.75</v>
      </c>
      <c r="YF4" s="113">
        <v>129.75</v>
      </c>
      <c r="YG4" s="113">
        <v>129.75</v>
      </c>
      <c r="YH4" s="113">
        <v>129.75</v>
      </c>
      <c r="YI4" s="113">
        <v>129.75</v>
      </c>
      <c r="YJ4" s="113">
        <v>129.75</v>
      </c>
      <c r="YK4" s="113">
        <v>129.75</v>
      </c>
      <c r="YL4" s="113">
        <v>129.75</v>
      </c>
      <c r="YM4" s="113">
        <v>129.75</v>
      </c>
      <c r="YN4" s="113">
        <v>129.75</v>
      </c>
      <c r="YO4" s="113">
        <v>129.75</v>
      </c>
      <c r="YP4" s="113">
        <v>129.75</v>
      </c>
      <c r="YQ4" s="113">
        <v>129.75</v>
      </c>
      <c r="YR4" s="113">
        <v>129.75</v>
      </c>
      <c r="YS4" s="113">
        <v>129.75</v>
      </c>
      <c r="YT4" s="113">
        <v>129.75</v>
      </c>
      <c r="YU4" s="113">
        <v>129.75</v>
      </c>
      <c r="YV4" s="113">
        <v>129.75</v>
      </c>
      <c r="YW4" s="113">
        <v>129.75</v>
      </c>
      <c r="YX4" s="113">
        <v>129.75</v>
      </c>
      <c r="YY4" s="113">
        <v>129.75</v>
      </c>
      <c r="YZ4" s="113">
        <v>129.75</v>
      </c>
      <c r="ZA4" s="113">
        <v>129.75</v>
      </c>
      <c r="ZB4" s="113">
        <v>129.75</v>
      </c>
      <c r="ZC4" s="113">
        <v>129.75</v>
      </c>
      <c r="ZD4" s="113">
        <v>129.75</v>
      </c>
      <c r="ZE4" s="113">
        <v>129.75</v>
      </c>
      <c r="ZF4" s="113">
        <v>129.75</v>
      </c>
      <c r="ZG4" s="113">
        <v>129.75</v>
      </c>
      <c r="ZH4" s="113">
        <v>129.75</v>
      </c>
      <c r="ZI4" s="113">
        <v>129.75</v>
      </c>
      <c r="ZJ4" s="113">
        <v>129.75</v>
      </c>
      <c r="ZK4" s="113">
        <v>129.75</v>
      </c>
      <c r="ZL4" s="113">
        <v>129.75</v>
      </c>
      <c r="ZM4" s="113">
        <v>129.75</v>
      </c>
      <c r="ZN4" s="113">
        <v>129.75</v>
      </c>
      <c r="ZO4" s="113">
        <v>129.75</v>
      </c>
      <c r="ZP4" s="113">
        <v>129.75</v>
      </c>
      <c r="ZQ4" s="113">
        <v>129.75</v>
      </c>
      <c r="ZR4" s="113">
        <v>129.75</v>
      </c>
      <c r="ZS4" s="113">
        <v>129.75</v>
      </c>
      <c r="ZT4" s="113">
        <v>129.75</v>
      </c>
      <c r="ZU4" s="113">
        <v>129.75</v>
      </c>
      <c r="ZV4" s="113">
        <v>129.75</v>
      </c>
      <c r="ZW4" s="113">
        <v>129.75</v>
      </c>
      <c r="AAS4" s="113">
        <v>129.75</v>
      </c>
      <c r="AAT4" s="113">
        <v>129.75</v>
      </c>
      <c r="AAU4" s="113">
        <v>129.75</v>
      </c>
      <c r="AAV4" s="113">
        <v>129.75</v>
      </c>
      <c r="AAW4" s="113">
        <v>129.75</v>
      </c>
      <c r="AAX4" s="113">
        <v>129.75</v>
      </c>
      <c r="AAY4" s="113">
        <v>129.75</v>
      </c>
      <c r="AAZ4" s="113">
        <v>129.75</v>
      </c>
      <c r="ABA4" s="113">
        <v>129.75</v>
      </c>
      <c r="ABB4" s="113">
        <v>129.75</v>
      </c>
      <c r="ABC4" s="113">
        <v>129.75</v>
      </c>
      <c r="ABD4" s="113">
        <v>129.75</v>
      </c>
      <c r="ABE4" s="113">
        <v>129.75</v>
      </c>
      <c r="ABF4" s="113">
        <v>129.75</v>
      </c>
      <c r="ABG4" s="113">
        <v>129.75</v>
      </c>
      <c r="ABH4" s="113">
        <v>129.75</v>
      </c>
      <c r="ABI4" s="113">
        <v>129.75</v>
      </c>
      <c r="ABJ4" s="113">
        <v>129.75</v>
      </c>
      <c r="ABK4" s="113">
        <v>129.75</v>
      </c>
      <c r="ABL4" s="113">
        <v>129.75</v>
      </c>
      <c r="ABM4" s="113">
        <v>129.75</v>
      </c>
      <c r="ABN4" s="113">
        <v>129.75</v>
      </c>
      <c r="ABO4" s="113">
        <v>129.75</v>
      </c>
      <c r="ABP4" s="113">
        <v>129.75</v>
      </c>
      <c r="ABQ4" s="113">
        <v>129.75</v>
      </c>
      <c r="ABR4" s="113">
        <v>129.75</v>
      </c>
      <c r="ABS4" s="113">
        <v>129.75</v>
      </c>
      <c r="ABT4" s="113">
        <v>129.75</v>
      </c>
      <c r="ABU4" s="113">
        <v>129.75</v>
      </c>
      <c r="ABV4" s="113">
        <v>129.75</v>
      </c>
      <c r="ABW4" s="113">
        <v>129.75</v>
      </c>
      <c r="ABX4" s="113">
        <v>129.75</v>
      </c>
      <c r="ABY4" s="113">
        <v>129.75</v>
      </c>
      <c r="ABZ4" s="113">
        <v>129.75</v>
      </c>
      <c r="ACA4" s="113">
        <v>129.75</v>
      </c>
      <c r="ACB4" s="113">
        <v>129.75</v>
      </c>
      <c r="ACC4" s="113">
        <v>129.75</v>
      </c>
      <c r="ACD4" s="113">
        <v>129.75</v>
      </c>
      <c r="ACE4" s="113">
        <v>129.75</v>
      </c>
      <c r="ACF4" s="113">
        <v>129.75</v>
      </c>
      <c r="ACG4" s="113">
        <v>129.75</v>
      </c>
      <c r="ACH4" s="113">
        <v>129.75</v>
      </c>
      <c r="ACI4" s="113">
        <v>129.75</v>
      </c>
      <c r="ACJ4" s="113">
        <v>129.75</v>
      </c>
      <c r="ACK4" s="113">
        <v>129.75</v>
      </c>
      <c r="ACL4" s="113">
        <v>129.75</v>
      </c>
      <c r="ACM4" s="113">
        <v>129.75</v>
      </c>
      <c r="ACN4" s="113">
        <v>129.75</v>
      </c>
      <c r="ACO4" s="113">
        <v>129.75</v>
      </c>
      <c r="ACP4" s="113">
        <v>129.75</v>
      </c>
      <c r="ACQ4" s="113">
        <v>129.75</v>
      </c>
      <c r="ACR4" s="113">
        <v>129.75</v>
      </c>
      <c r="ACS4" s="113">
        <v>129.75</v>
      </c>
      <c r="ACT4" s="113">
        <v>129.75</v>
      </c>
      <c r="ACU4" s="113">
        <v>129.75</v>
      </c>
      <c r="ACV4" s="113">
        <v>129.75</v>
      </c>
      <c r="ACW4" s="113">
        <v>129.75</v>
      </c>
      <c r="ACX4" s="113">
        <v>129.75</v>
      </c>
      <c r="ACY4" s="113">
        <v>129.75</v>
      </c>
      <c r="ACZ4" s="113">
        <v>129.75</v>
      </c>
      <c r="ADA4" s="113">
        <v>129.75</v>
      </c>
      <c r="ADU4" s="113">
        <v>129.75</v>
      </c>
      <c r="ADV4" s="113">
        <v>129.75</v>
      </c>
      <c r="ADW4" s="113">
        <v>129.75</v>
      </c>
      <c r="ADX4" s="113">
        <v>129.75</v>
      </c>
      <c r="ADY4" s="113">
        <v>129.75</v>
      </c>
      <c r="ADZ4" s="113">
        <v>129.75</v>
      </c>
      <c r="AEA4" s="113">
        <v>129.75</v>
      </c>
      <c r="AEB4" s="113">
        <v>129.75</v>
      </c>
      <c r="AEC4" s="113">
        <v>129.75</v>
      </c>
      <c r="AED4" s="113">
        <v>129.75</v>
      </c>
      <c r="AEE4" s="113">
        <v>129.75</v>
      </c>
      <c r="AEF4" s="113">
        <v>129.75</v>
      </c>
      <c r="AEG4" s="113">
        <v>129.75</v>
      </c>
      <c r="AEH4" s="113">
        <v>129.75</v>
      </c>
      <c r="AEI4" s="113">
        <v>129.75</v>
      </c>
      <c r="AEJ4" s="113">
        <v>129.75</v>
      </c>
      <c r="AEK4" s="113">
        <v>129.75</v>
      </c>
      <c r="AEL4" s="113">
        <v>129.75</v>
      </c>
      <c r="AEM4" s="113">
        <v>129.75</v>
      </c>
      <c r="AEN4" s="113">
        <v>129.75</v>
      </c>
      <c r="AEO4" s="113">
        <v>129.75</v>
      </c>
      <c r="AEP4" s="113">
        <v>129.75</v>
      </c>
      <c r="AEQ4" s="113">
        <v>129.75</v>
      </c>
      <c r="AER4" s="113">
        <v>129.75</v>
      </c>
      <c r="AES4" s="113">
        <v>129.75</v>
      </c>
      <c r="AET4" s="113">
        <v>129.75</v>
      </c>
      <c r="AEU4" s="113">
        <v>129.75</v>
      </c>
      <c r="AEV4" s="113">
        <v>129.75</v>
      </c>
      <c r="AEW4" s="113">
        <v>129.75</v>
      </c>
      <c r="AEX4" s="113">
        <v>129.75</v>
      </c>
      <c r="AEY4" s="113">
        <v>129.75</v>
      </c>
      <c r="AEZ4" s="113">
        <v>129.75</v>
      </c>
      <c r="AFA4" s="113">
        <v>129.75</v>
      </c>
      <c r="AFB4" s="113">
        <v>129.75</v>
      </c>
      <c r="AFC4" s="113">
        <v>129.75</v>
      </c>
      <c r="AFD4" s="113">
        <v>129.75</v>
      </c>
      <c r="AFE4" s="113">
        <v>129.75</v>
      </c>
      <c r="AFF4" s="113">
        <v>129.75</v>
      </c>
      <c r="AFG4" s="113">
        <v>129.75</v>
      </c>
      <c r="AFH4" s="113">
        <v>129.75</v>
      </c>
      <c r="AFI4" s="113">
        <v>129.75</v>
      </c>
      <c r="AFJ4" s="113">
        <v>129.75</v>
      </c>
      <c r="AFK4" s="113">
        <v>129.75</v>
      </c>
      <c r="AFL4" s="113">
        <v>129.75</v>
      </c>
      <c r="AFM4" s="113">
        <v>129.75</v>
      </c>
      <c r="AFN4" s="113">
        <v>129.75</v>
      </c>
      <c r="AFO4" s="113">
        <v>129.75</v>
      </c>
      <c r="AFP4" s="113">
        <v>129.75</v>
      </c>
      <c r="AFQ4" s="113">
        <v>129.75</v>
      </c>
      <c r="AFR4" s="113">
        <v>129.75</v>
      </c>
      <c r="AFS4" s="113">
        <v>129.75</v>
      </c>
      <c r="AFT4" s="113">
        <v>129.75</v>
      </c>
      <c r="AFU4" s="113">
        <v>129.75</v>
      </c>
      <c r="AFV4" s="113">
        <v>129.75</v>
      </c>
      <c r="AFW4" s="113">
        <v>129.75</v>
      </c>
      <c r="AFX4" s="113">
        <v>129.75</v>
      </c>
      <c r="AFY4" s="113">
        <v>129.75</v>
      </c>
      <c r="AFZ4" s="113">
        <v>129.75</v>
      </c>
      <c r="AGA4" s="113">
        <v>129.75</v>
      </c>
      <c r="AGB4" s="113">
        <v>129.75</v>
      </c>
      <c r="AGW4" s="113">
        <v>129.75</v>
      </c>
      <c r="AGX4" s="113">
        <v>129.75</v>
      </c>
      <c r="AGY4" s="113">
        <v>129.75</v>
      </c>
      <c r="AGZ4" s="113">
        <v>129.75</v>
      </c>
      <c r="AHA4" s="113">
        <v>129.75</v>
      </c>
      <c r="AHB4" s="113">
        <v>129.75</v>
      </c>
      <c r="AHC4" s="113">
        <v>129.75</v>
      </c>
      <c r="AHD4" s="113">
        <v>129.75</v>
      </c>
      <c r="AHE4" s="113">
        <v>129.75</v>
      </c>
      <c r="AHF4" s="113">
        <v>129.75</v>
      </c>
      <c r="AHG4" s="113">
        <v>129.75</v>
      </c>
      <c r="AHH4" s="113">
        <v>129.75</v>
      </c>
      <c r="AHI4" s="113">
        <v>129.75</v>
      </c>
      <c r="AHJ4" s="113">
        <v>129.75</v>
      </c>
      <c r="AHK4" s="113">
        <v>129.75</v>
      </c>
      <c r="AHL4" s="113">
        <v>129.75</v>
      </c>
      <c r="AHM4" s="113">
        <v>129.75</v>
      </c>
      <c r="AHN4" s="113">
        <v>129.75</v>
      </c>
      <c r="AHO4" s="113">
        <v>129.75</v>
      </c>
      <c r="AHP4" s="113">
        <v>129.75</v>
      </c>
      <c r="AHQ4" s="113">
        <v>129.75</v>
      </c>
      <c r="AHR4" s="113">
        <v>129.75</v>
      </c>
      <c r="AHS4" s="113">
        <v>129.75</v>
      </c>
      <c r="AHT4" s="113">
        <v>129.75</v>
      </c>
      <c r="AHU4" s="113">
        <v>129.75</v>
      </c>
      <c r="AHV4" s="113">
        <v>129.75</v>
      </c>
      <c r="AHW4" s="113">
        <v>129.75</v>
      </c>
      <c r="AHX4" s="113">
        <v>129.75</v>
      </c>
      <c r="AHY4" s="113">
        <v>129.75</v>
      </c>
      <c r="AHZ4" s="113">
        <v>129.75</v>
      </c>
      <c r="AIA4" s="113">
        <v>129.75</v>
      </c>
      <c r="AIB4" s="113">
        <v>129.75</v>
      </c>
      <c r="AIC4" s="113">
        <v>129.75</v>
      </c>
      <c r="AID4" s="113">
        <v>129.75</v>
      </c>
      <c r="AIE4" s="113">
        <v>129.75</v>
      </c>
      <c r="AIF4" s="113">
        <v>129.75</v>
      </c>
      <c r="AIG4" s="113">
        <v>129.75</v>
      </c>
      <c r="AIH4" s="113">
        <v>129.75</v>
      </c>
      <c r="AII4" s="113">
        <v>129.75</v>
      </c>
      <c r="AIJ4" s="113">
        <v>129.75</v>
      </c>
      <c r="AIK4" s="113">
        <v>129.75</v>
      </c>
      <c r="AIL4" s="113">
        <v>129.75</v>
      </c>
      <c r="AIM4" s="113">
        <v>129.75</v>
      </c>
      <c r="AIN4" s="113">
        <v>129.75</v>
      </c>
      <c r="AIO4" s="113">
        <v>129.75</v>
      </c>
      <c r="AIP4" s="113">
        <v>129.75</v>
      </c>
      <c r="AIQ4" s="113">
        <v>129.75</v>
      </c>
      <c r="AIR4" s="113">
        <v>129.75</v>
      </c>
      <c r="AIS4" s="113">
        <v>129.75</v>
      </c>
      <c r="AIT4" s="113">
        <v>129.75</v>
      </c>
      <c r="AIU4" s="113">
        <v>129.75</v>
      </c>
      <c r="AIV4" s="113">
        <v>129.75</v>
      </c>
      <c r="AIW4" s="113">
        <v>129.75</v>
      </c>
      <c r="AIX4" s="113">
        <v>129.75</v>
      </c>
      <c r="AIY4" s="113">
        <v>129.75</v>
      </c>
      <c r="AIZ4" s="113">
        <v>129.75</v>
      </c>
      <c r="AJA4" s="113">
        <v>129.75</v>
      </c>
      <c r="AJB4" s="113">
        <v>129.75</v>
      </c>
      <c r="AJC4" s="113">
        <v>129.75</v>
      </c>
      <c r="AJD4" s="113">
        <v>129.75</v>
      </c>
    </row>
    <row r="5" spans="1:940">
      <c r="A5" s="113">
        <v>108.13</v>
      </c>
      <c r="B5" s="113">
        <v>108.13</v>
      </c>
      <c r="C5" s="113">
        <v>108.13</v>
      </c>
      <c r="D5" s="113">
        <v>108.13</v>
      </c>
      <c r="E5" s="113">
        <v>108.13</v>
      </c>
      <c r="F5" s="113">
        <v>108.13</v>
      </c>
      <c r="G5" s="113">
        <v>108.13</v>
      </c>
      <c r="H5" s="113">
        <v>108.13</v>
      </c>
      <c r="I5" s="113">
        <v>108.13</v>
      </c>
      <c r="J5" s="113">
        <v>108.13</v>
      </c>
      <c r="K5" s="113">
        <v>108.13</v>
      </c>
      <c r="L5" s="113">
        <v>108.13</v>
      </c>
      <c r="M5" s="113">
        <v>108.13</v>
      </c>
      <c r="N5" s="113">
        <v>108.13</v>
      </c>
      <c r="O5" s="113">
        <v>108.13</v>
      </c>
      <c r="P5" s="113">
        <v>108.13</v>
      </c>
      <c r="Q5" s="113">
        <v>108.13</v>
      </c>
      <c r="R5" s="113">
        <v>108.13</v>
      </c>
      <c r="S5" s="113">
        <v>108.13</v>
      </c>
      <c r="T5" s="113">
        <v>108.13</v>
      </c>
      <c r="U5" s="113">
        <v>108.13</v>
      </c>
      <c r="V5" s="113">
        <v>108.13</v>
      </c>
      <c r="W5" s="113">
        <v>108.13</v>
      </c>
      <c r="X5" s="113">
        <v>108.13</v>
      </c>
      <c r="Y5" s="113">
        <v>108.13</v>
      </c>
      <c r="Z5" s="113">
        <v>108.13</v>
      </c>
      <c r="AA5" s="113">
        <v>108.13</v>
      </c>
      <c r="AB5" s="113">
        <v>108.13</v>
      </c>
      <c r="AC5" s="113">
        <v>108.13</v>
      </c>
      <c r="AD5" s="113">
        <v>108.13</v>
      </c>
      <c r="AE5" s="113">
        <v>108.13</v>
      </c>
      <c r="AF5" s="113">
        <v>108.13</v>
      </c>
      <c r="AG5" s="113">
        <v>108.13</v>
      </c>
      <c r="AH5" s="113">
        <v>108.13</v>
      </c>
      <c r="AI5" s="113">
        <v>108.13</v>
      </c>
      <c r="AJ5" s="113">
        <v>108.13</v>
      </c>
      <c r="AK5" s="113">
        <v>108.13</v>
      </c>
      <c r="AL5" s="113">
        <v>108.13</v>
      </c>
      <c r="AM5" s="113">
        <v>108.13</v>
      </c>
      <c r="AN5" s="113">
        <v>108.13</v>
      </c>
      <c r="AO5" s="113">
        <v>108.13</v>
      </c>
      <c r="AP5" s="113">
        <v>108.13</v>
      </c>
      <c r="AQ5" s="113">
        <v>108.13</v>
      </c>
      <c r="AR5" s="113">
        <v>108.13</v>
      </c>
      <c r="AS5" s="113">
        <v>108.13</v>
      </c>
      <c r="AT5" s="113">
        <v>108.13</v>
      </c>
      <c r="AU5" s="113">
        <v>108.13</v>
      </c>
      <c r="AV5" s="113">
        <v>108.13</v>
      </c>
      <c r="AW5" s="113">
        <v>108.13</v>
      </c>
      <c r="AX5" s="113">
        <v>108.13</v>
      </c>
      <c r="AY5" s="113">
        <v>108.13</v>
      </c>
      <c r="AZ5" s="113">
        <v>108.13</v>
      </c>
      <c r="CC5" s="113">
        <v>108.13</v>
      </c>
      <c r="CD5" s="113">
        <v>108.13</v>
      </c>
      <c r="CE5" s="113">
        <v>108.13</v>
      </c>
      <c r="CF5" s="113">
        <v>108.13</v>
      </c>
      <c r="CG5" s="113">
        <v>108.13</v>
      </c>
      <c r="CH5" s="113">
        <v>108.13</v>
      </c>
      <c r="CI5" s="113">
        <v>108.13</v>
      </c>
      <c r="CJ5" s="113">
        <v>108.13</v>
      </c>
      <c r="CK5" s="113">
        <v>108.13</v>
      </c>
      <c r="CL5" s="113">
        <v>108.13</v>
      </c>
      <c r="CM5" s="113">
        <v>108.13</v>
      </c>
      <c r="CN5" s="113">
        <v>108.13</v>
      </c>
      <c r="CO5" s="113">
        <v>108.13</v>
      </c>
      <c r="CP5" s="113">
        <v>108.13</v>
      </c>
      <c r="CQ5" s="113">
        <v>108.13</v>
      </c>
      <c r="CR5" s="113">
        <v>108.13</v>
      </c>
      <c r="CS5" s="113">
        <v>108.13</v>
      </c>
      <c r="CT5" s="113">
        <v>108.13</v>
      </c>
      <c r="CU5" s="113">
        <v>108.13</v>
      </c>
      <c r="CV5" s="113">
        <v>108.13</v>
      </c>
      <c r="CW5" s="113">
        <v>108.13</v>
      </c>
      <c r="CX5" s="113">
        <v>108.13</v>
      </c>
      <c r="CY5" s="113">
        <v>108.13</v>
      </c>
      <c r="CZ5" s="113">
        <v>108.13</v>
      </c>
      <c r="DA5" s="113">
        <v>108.13</v>
      </c>
      <c r="DB5" s="113">
        <v>108.13</v>
      </c>
      <c r="DC5" s="113">
        <v>108.13</v>
      </c>
      <c r="DD5" s="113">
        <v>108.13</v>
      </c>
      <c r="DE5" s="113">
        <v>108.13</v>
      </c>
      <c r="DF5" s="113">
        <v>108.13</v>
      </c>
      <c r="DG5" s="113">
        <v>108.13</v>
      </c>
      <c r="DH5" s="113">
        <v>108.13</v>
      </c>
      <c r="DI5" s="113">
        <v>108.13</v>
      </c>
      <c r="DJ5" s="113">
        <v>108.13</v>
      </c>
      <c r="DK5" s="113">
        <v>108.13</v>
      </c>
      <c r="DL5" s="113">
        <v>108.13</v>
      </c>
      <c r="DM5" s="113">
        <v>108.13</v>
      </c>
      <c r="DN5" s="113">
        <v>108.13</v>
      </c>
      <c r="DO5" s="113">
        <v>108.13</v>
      </c>
      <c r="DP5" s="113">
        <v>108.13</v>
      </c>
      <c r="DQ5" s="113">
        <v>108.13</v>
      </c>
      <c r="DR5" s="113">
        <v>108.13</v>
      </c>
      <c r="DS5" s="113">
        <v>108.13</v>
      </c>
      <c r="DT5" s="113">
        <v>108.13</v>
      </c>
      <c r="DU5" s="113">
        <v>108.13</v>
      </c>
      <c r="DV5" s="113">
        <v>108.13</v>
      </c>
      <c r="DW5" s="113">
        <v>108.13</v>
      </c>
      <c r="DX5" s="113">
        <v>108.13</v>
      </c>
      <c r="DY5" s="113">
        <v>108.13</v>
      </c>
      <c r="DZ5" s="113">
        <v>108.13</v>
      </c>
      <c r="EA5" s="113">
        <v>108.13</v>
      </c>
      <c r="EB5" s="113">
        <v>108.13</v>
      </c>
      <c r="EC5" s="113">
        <v>108.13</v>
      </c>
      <c r="ED5" s="113">
        <v>108.13</v>
      </c>
      <c r="EE5" s="113">
        <v>108.13</v>
      </c>
      <c r="EF5" s="113">
        <v>108.13</v>
      </c>
      <c r="EG5" s="113">
        <v>108.13</v>
      </c>
      <c r="EH5" s="113">
        <v>108.13</v>
      </c>
      <c r="EI5" s="113">
        <v>108.13</v>
      </c>
      <c r="FE5" s="113">
        <v>108.13</v>
      </c>
      <c r="FF5" s="113">
        <v>108.13</v>
      </c>
      <c r="FG5" s="113">
        <v>108.13</v>
      </c>
      <c r="FH5" s="113">
        <v>108.13</v>
      </c>
      <c r="FI5" s="113">
        <v>108.13</v>
      </c>
      <c r="FJ5" s="113">
        <v>108.13</v>
      </c>
      <c r="FK5" s="113">
        <v>108.13</v>
      </c>
      <c r="FL5" s="113">
        <v>108.13</v>
      </c>
      <c r="FM5" s="113">
        <v>108.13</v>
      </c>
      <c r="FN5" s="113">
        <v>108.13</v>
      </c>
      <c r="FO5" s="113">
        <v>108.13</v>
      </c>
      <c r="FP5" s="113">
        <v>108.13</v>
      </c>
      <c r="FQ5" s="113">
        <v>108.13</v>
      </c>
      <c r="FR5" s="113">
        <v>108.13</v>
      </c>
      <c r="FS5" s="113">
        <v>108.13</v>
      </c>
      <c r="FT5" s="113">
        <v>108.13</v>
      </c>
      <c r="FU5" s="113">
        <v>108.13</v>
      </c>
      <c r="FV5" s="113">
        <v>108.13</v>
      </c>
      <c r="FW5" s="113">
        <v>108.13</v>
      </c>
      <c r="FX5" s="113">
        <v>108.13</v>
      </c>
      <c r="FY5" s="113">
        <v>108.13</v>
      </c>
      <c r="FZ5" s="113">
        <v>108.13</v>
      </c>
      <c r="GA5" s="113">
        <v>108.13</v>
      </c>
      <c r="GB5" s="113">
        <v>108.13</v>
      </c>
      <c r="GC5" s="113">
        <v>108.13</v>
      </c>
      <c r="GD5" s="113">
        <v>108.13</v>
      </c>
      <c r="GE5" s="113">
        <v>108.13</v>
      </c>
      <c r="GF5" s="113">
        <v>108.13</v>
      </c>
      <c r="GG5" s="113">
        <v>108.13</v>
      </c>
      <c r="GH5" s="113">
        <v>108.13</v>
      </c>
      <c r="GI5" s="113">
        <v>108.13</v>
      </c>
      <c r="GJ5" s="113">
        <v>108.13</v>
      </c>
      <c r="GK5" s="113">
        <v>108.13</v>
      </c>
      <c r="GL5" s="113">
        <v>108.13</v>
      </c>
      <c r="GM5" s="113">
        <v>108.13</v>
      </c>
      <c r="GN5" s="113">
        <v>108.13</v>
      </c>
      <c r="GO5" s="113">
        <v>108.13</v>
      </c>
      <c r="GP5" s="113">
        <v>108.13</v>
      </c>
      <c r="GQ5" s="113">
        <v>108.13</v>
      </c>
      <c r="GR5" s="113">
        <v>108.13</v>
      </c>
      <c r="GS5" s="113">
        <v>108.13</v>
      </c>
      <c r="GT5" s="113">
        <v>108.13</v>
      </c>
      <c r="GU5" s="113">
        <v>108.13</v>
      </c>
      <c r="GV5" s="113">
        <v>108.13</v>
      </c>
      <c r="GW5" s="113">
        <v>108.13</v>
      </c>
      <c r="GX5" s="113">
        <v>108.13</v>
      </c>
      <c r="GY5" s="113">
        <v>108.13</v>
      </c>
      <c r="GZ5" s="113">
        <v>108.13</v>
      </c>
      <c r="HA5" s="113">
        <v>108.13</v>
      </c>
      <c r="HB5" s="113">
        <v>108.13</v>
      </c>
      <c r="HC5" s="113">
        <v>108.13</v>
      </c>
      <c r="HD5" s="113">
        <v>108.13</v>
      </c>
      <c r="HE5" s="113">
        <v>108.13</v>
      </c>
      <c r="HF5" s="113">
        <v>108.13</v>
      </c>
      <c r="HG5" s="113">
        <v>108.13</v>
      </c>
      <c r="HH5" s="113">
        <v>108.13</v>
      </c>
      <c r="HI5" s="113">
        <v>108.13</v>
      </c>
      <c r="HJ5" s="113">
        <v>108.13</v>
      </c>
      <c r="HK5" s="113">
        <v>108.13</v>
      </c>
      <c r="HL5" s="113">
        <v>108.13</v>
      </c>
      <c r="IG5" s="113">
        <v>108.13</v>
      </c>
      <c r="IH5" s="113">
        <v>108.13</v>
      </c>
      <c r="II5" s="113">
        <v>108.13</v>
      </c>
      <c r="IJ5" s="113">
        <v>108.13</v>
      </c>
      <c r="IK5" s="113">
        <v>108.13</v>
      </c>
      <c r="IL5" s="113">
        <v>108.13</v>
      </c>
      <c r="IM5" s="113">
        <v>108.13</v>
      </c>
      <c r="IN5" s="113">
        <v>108.13</v>
      </c>
      <c r="IO5" s="113">
        <v>108.13</v>
      </c>
      <c r="IP5" s="113">
        <v>108.13</v>
      </c>
      <c r="IQ5" s="113">
        <v>108.13</v>
      </c>
      <c r="IR5" s="113">
        <v>108.13</v>
      </c>
      <c r="IS5" s="113">
        <v>108.13</v>
      </c>
      <c r="IT5" s="113">
        <v>108.13</v>
      </c>
      <c r="IU5" s="113">
        <v>108.13</v>
      </c>
      <c r="IV5" s="113">
        <v>108.13</v>
      </c>
      <c r="IW5" s="113">
        <v>108.13</v>
      </c>
      <c r="IX5" s="113">
        <v>108.13</v>
      </c>
      <c r="IY5" s="113">
        <v>108.13</v>
      </c>
      <c r="IZ5" s="113">
        <v>108.13</v>
      </c>
      <c r="JA5" s="113">
        <v>108.13</v>
      </c>
      <c r="JB5" s="113">
        <v>108.13</v>
      </c>
      <c r="JC5" s="113">
        <v>108.13</v>
      </c>
      <c r="JD5" s="113">
        <v>108.13</v>
      </c>
      <c r="JE5" s="113">
        <v>108.13</v>
      </c>
      <c r="JF5" s="113">
        <v>108.13</v>
      </c>
      <c r="JG5" s="113">
        <v>108.13</v>
      </c>
      <c r="JH5" s="113">
        <v>108.13</v>
      </c>
      <c r="JI5" s="113">
        <v>108.13</v>
      </c>
      <c r="JJ5" s="113">
        <v>108.13</v>
      </c>
      <c r="JK5" s="113">
        <v>108.13</v>
      </c>
      <c r="JL5" s="113">
        <v>108.13</v>
      </c>
      <c r="JM5" s="113">
        <v>108.13</v>
      </c>
      <c r="JN5" s="113">
        <v>108.13</v>
      </c>
      <c r="JO5" s="113">
        <v>108.13</v>
      </c>
      <c r="JP5" s="113">
        <v>108.13</v>
      </c>
      <c r="JQ5" s="113">
        <v>108.13</v>
      </c>
      <c r="JR5" s="113">
        <v>108.13</v>
      </c>
      <c r="JS5" s="113">
        <v>108.13</v>
      </c>
      <c r="JT5" s="113">
        <v>108.13</v>
      </c>
      <c r="JU5" s="113">
        <v>108.13</v>
      </c>
      <c r="JV5" s="113">
        <v>108.13</v>
      </c>
      <c r="JW5" s="113">
        <v>108.13</v>
      </c>
      <c r="JX5" s="113">
        <v>108.13</v>
      </c>
      <c r="JY5" s="113">
        <v>108.13</v>
      </c>
      <c r="JZ5" s="113">
        <v>108.13</v>
      </c>
      <c r="KA5" s="113">
        <v>108.13</v>
      </c>
      <c r="KB5" s="113">
        <v>108.13</v>
      </c>
      <c r="KC5" s="113">
        <v>108.13</v>
      </c>
      <c r="KD5" s="113">
        <v>108.13</v>
      </c>
      <c r="KE5" s="113">
        <v>108.13</v>
      </c>
      <c r="KF5" s="113">
        <v>108.13</v>
      </c>
      <c r="KG5" s="113">
        <v>108.13</v>
      </c>
      <c r="KH5" s="113">
        <v>108.13</v>
      </c>
      <c r="KI5" s="113">
        <v>108.13</v>
      </c>
      <c r="KJ5" s="113">
        <v>108.13</v>
      </c>
      <c r="KK5" s="113">
        <v>108.13</v>
      </c>
      <c r="KL5" s="113">
        <v>108.13</v>
      </c>
      <c r="KM5" s="113">
        <v>108.13</v>
      </c>
      <c r="KN5" s="113">
        <v>108.13</v>
      </c>
      <c r="LI5" s="113">
        <v>108.13</v>
      </c>
      <c r="LJ5" s="113">
        <v>108.13</v>
      </c>
      <c r="LK5" s="113">
        <v>108.13</v>
      </c>
      <c r="LL5" s="113">
        <v>108.13</v>
      </c>
      <c r="LM5" s="113">
        <v>108.13</v>
      </c>
      <c r="LN5" s="113">
        <v>108.13</v>
      </c>
      <c r="LO5" s="113">
        <v>108.13</v>
      </c>
      <c r="LP5" s="113">
        <v>108.13</v>
      </c>
      <c r="LQ5" s="113">
        <v>108.13</v>
      </c>
      <c r="LR5" s="113">
        <v>108.13</v>
      </c>
      <c r="LS5" s="113">
        <v>108.13</v>
      </c>
      <c r="LT5" s="113">
        <v>108.13</v>
      </c>
      <c r="LU5" s="113">
        <v>108.13</v>
      </c>
      <c r="LV5" s="113">
        <v>108.13</v>
      </c>
      <c r="LW5" s="113">
        <v>108.13</v>
      </c>
      <c r="LX5" s="113">
        <v>108.13</v>
      </c>
      <c r="LY5" s="113">
        <v>108.13</v>
      </c>
      <c r="LZ5" s="113">
        <v>108.13</v>
      </c>
      <c r="MA5" s="113">
        <v>108.13</v>
      </c>
      <c r="MB5" s="113">
        <v>108.13</v>
      </c>
      <c r="MC5" s="113">
        <v>108.13</v>
      </c>
      <c r="MD5" s="113">
        <v>108.13</v>
      </c>
      <c r="ME5" s="113">
        <v>108.13</v>
      </c>
      <c r="MF5" s="113">
        <v>108.13</v>
      </c>
      <c r="MG5" s="113">
        <v>108.13</v>
      </c>
      <c r="MH5" s="113">
        <v>108.13</v>
      </c>
      <c r="MI5" s="113">
        <v>108.13</v>
      </c>
      <c r="MJ5" s="113">
        <v>108.13</v>
      </c>
      <c r="MK5" s="113">
        <v>108.13</v>
      </c>
      <c r="ML5" s="113">
        <v>108.13</v>
      </c>
      <c r="MM5" s="113">
        <v>108.13</v>
      </c>
      <c r="MN5" s="113">
        <v>108.13</v>
      </c>
      <c r="MO5" s="113">
        <v>108.13</v>
      </c>
      <c r="MP5" s="113">
        <v>108.13</v>
      </c>
      <c r="MQ5" s="113">
        <v>108.13</v>
      </c>
      <c r="MR5" s="113">
        <v>108.13</v>
      </c>
      <c r="MS5" s="113">
        <v>108.13</v>
      </c>
      <c r="MT5" s="113">
        <v>108.13</v>
      </c>
      <c r="MU5" s="113">
        <v>108.13</v>
      </c>
      <c r="MV5" s="113">
        <v>108.13</v>
      </c>
      <c r="MW5" s="113">
        <v>108.13</v>
      </c>
      <c r="MX5" s="113">
        <v>108.13</v>
      </c>
      <c r="MY5" s="113">
        <v>108.13</v>
      </c>
      <c r="MZ5" s="113">
        <v>108.13</v>
      </c>
      <c r="NA5" s="113">
        <v>108.13</v>
      </c>
      <c r="NB5" s="113">
        <v>108.13</v>
      </c>
      <c r="NC5" s="113">
        <v>108.13</v>
      </c>
      <c r="ND5" s="113">
        <v>108.13</v>
      </c>
      <c r="NE5" s="113">
        <v>108.13</v>
      </c>
      <c r="NF5" s="113">
        <v>108.13</v>
      </c>
      <c r="NG5" s="113">
        <v>108.13</v>
      </c>
      <c r="NH5" s="113">
        <v>108.13</v>
      </c>
      <c r="NI5" s="113">
        <v>108.13</v>
      </c>
      <c r="NJ5" s="113">
        <v>108.13</v>
      </c>
      <c r="NK5" s="113">
        <v>108.13</v>
      </c>
      <c r="NL5" s="113">
        <v>108.13</v>
      </c>
      <c r="NM5" s="113">
        <v>108.13</v>
      </c>
      <c r="NN5" s="113">
        <v>108.13</v>
      </c>
      <c r="NO5" s="113">
        <v>108.13</v>
      </c>
      <c r="NP5" s="113">
        <v>108.13</v>
      </c>
      <c r="NQ5" s="113">
        <v>108.13</v>
      </c>
      <c r="NR5" s="113">
        <v>108.13</v>
      </c>
      <c r="OK5" s="113">
        <v>108.13</v>
      </c>
      <c r="OL5" s="113">
        <v>108.13</v>
      </c>
      <c r="OM5" s="113">
        <v>108.13</v>
      </c>
      <c r="ON5" s="113">
        <v>108.13</v>
      </c>
      <c r="OO5" s="113">
        <v>108.13</v>
      </c>
      <c r="OP5" s="113">
        <v>108.13</v>
      </c>
      <c r="OQ5" s="113">
        <v>108.13</v>
      </c>
      <c r="OR5" s="113">
        <v>108.13</v>
      </c>
      <c r="OS5" s="113">
        <v>108.13</v>
      </c>
      <c r="OT5" s="113">
        <v>108.13</v>
      </c>
      <c r="OU5" s="113">
        <v>108.13</v>
      </c>
      <c r="OV5" s="113">
        <v>108.13</v>
      </c>
      <c r="OW5" s="113">
        <v>108.13</v>
      </c>
      <c r="OX5" s="113">
        <v>108.13</v>
      </c>
      <c r="OY5" s="113">
        <v>108.13</v>
      </c>
      <c r="OZ5" s="113">
        <v>108.13</v>
      </c>
      <c r="PA5" s="113">
        <v>108.13</v>
      </c>
      <c r="PB5" s="113">
        <v>108.13</v>
      </c>
      <c r="PC5" s="113">
        <v>108.13</v>
      </c>
      <c r="PD5" s="113">
        <v>108.13</v>
      </c>
      <c r="PE5" s="113">
        <v>108.13</v>
      </c>
      <c r="PF5" s="113">
        <v>108.13</v>
      </c>
      <c r="PG5" s="113">
        <v>108.13</v>
      </c>
      <c r="PH5" s="113">
        <v>108.13</v>
      </c>
      <c r="PI5" s="113">
        <v>108.13</v>
      </c>
      <c r="PJ5" s="113">
        <v>108.13</v>
      </c>
      <c r="PK5" s="113">
        <v>108.13</v>
      </c>
      <c r="PL5" s="113">
        <v>108.13</v>
      </c>
      <c r="PM5" s="113">
        <v>108.13</v>
      </c>
      <c r="PN5" s="113">
        <v>108.13</v>
      </c>
      <c r="PO5" s="113">
        <v>108.13</v>
      </c>
      <c r="PP5" s="113">
        <v>108.13</v>
      </c>
      <c r="PQ5" s="113">
        <v>108.13</v>
      </c>
      <c r="PR5" s="113">
        <v>108.13</v>
      </c>
      <c r="PS5" s="113">
        <v>108.13</v>
      </c>
      <c r="PT5" s="113">
        <v>108.13</v>
      </c>
      <c r="PU5" s="113">
        <v>108.13</v>
      </c>
      <c r="PV5" s="113">
        <v>108.13</v>
      </c>
      <c r="PW5" s="113">
        <v>108.13</v>
      </c>
      <c r="PX5" s="113">
        <v>108.13</v>
      </c>
      <c r="PY5" s="113">
        <v>108.13</v>
      </c>
      <c r="PZ5" s="113">
        <v>108.13</v>
      </c>
      <c r="QA5" s="113">
        <v>108.13</v>
      </c>
      <c r="QB5" s="113">
        <v>108.13</v>
      </c>
      <c r="QC5" s="113">
        <v>108.13</v>
      </c>
      <c r="QD5" s="113">
        <v>108.13</v>
      </c>
      <c r="QE5" s="113">
        <v>108.13</v>
      </c>
      <c r="QF5" s="113">
        <v>108.13</v>
      </c>
      <c r="QG5" s="113">
        <v>108.13</v>
      </c>
      <c r="QH5" s="113">
        <v>108.13</v>
      </c>
      <c r="QI5" s="113">
        <v>108.13</v>
      </c>
      <c r="QJ5" s="113">
        <v>108.13</v>
      </c>
      <c r="QK5" s="113">
        <v>108.13</v>
      </c>
      <c r="QL5" s="113">
        <v>108.13</v>
      </c>
      <c r="QM5" s="113">
        <v>108.13</v>
      </c>
      <c r="QN5" s="113">
        <v>108.13</v>
      </c>
      <c r="QO5" s="113">
        <v>108.13</v>
      </c>
      <c r="QP5" s="113">
        <v>108.13</v>
      </c>
      <c r="QQ5" s="113">
        <v>108.13</v>
      </c>
      <c r="QR5" s="113">
        <v>108.13</v>
      </c>
      <c r="QS5" s="113">
        <v>108.13</v>
      </c>
      <c r="RM5" s="113">
        <v>108.13</v>
      </c>
      <c r="RN5" s="113">
        <v>108.13</v>
      </c>
      <c r="RO5" s="113">
        <v>108.13</v>
      </c>
      <c r="RP5" s="113">
        <v>108.13</v>
      </c>
      <c r="RQ5" s="113">
        <v>108.13</v>
      </c>
      <c r="RR5" s="113">
        <v>108.13</v>
      </c>
      <c r="RS5" s="113">
        <v>108.13</v>
      </c>
      <c r="RT5" s="113">
        <v>108.13</v>
      </c>
      <c r="RU5" s="113">
        <v>108.13</v>
      </c>
      <c r="RV5" s="113">
        <v>108.13</v>
      </c>
      <c r="RW5" s="113">
        <v>108.13</v>
      </c>
      <c r="RX5" s="113">
        <v>108.13</v>
      </c>
      <c r="RY5" s="113">
        <v>108.13</v>
      </c>
      <c r="RZ5" s="113">
        <v>108.13</v>
      </c>
      <c r="SA5" s="113">
        <v>108.13</v>
      </c>
      <c r="SB5" s="113">
        <v>108.13</v>
      </c>
      <c r="SC5" s="113">
        <v>108.13</v>
      </c>
      <c r="SD5" s="113">
        <v>108.13</v>
      </c>
      <c r="SE5" s="113">
        <v>108.13</v>
      </c>
      <c r="SF5" s="113">
        <v>108.13</v>
      </c>
      <c r="SG5" s="113">
        <v>108.13</v>
      </c>
      <c r="SH5" s="113">
        <v>108.13</v>
      </c>
      <c r="SI5" s="113">
        <v>108.13</v>
      </c>
      <c r="SJ5" s="113">
        <v>108.13</v>
      </c>
      <c r="SK5" s="113">
        <v>108.13</v>
      </c>
      <c r="SL5" s="113">
        <v>108.13</v>
      </c>
      <c r="SM5" s="113">
        <v>108.13</v>
      </c>
      <c r="SN5" s="113">
        <v>108.13</v>
      </c>
      <c r="SO5" s="113">
        <v>108.13</v>
      </c>
      <c r="SP5" s="113">
        <v>108.13</v>
      </c>
      <c r="SQ5" s="113">
        <v>108.13</v>
      </c>
      <c r="SR5" s="113">
        <v>108.13</v>
      </c>
      <c r="SS5" s="113">
        <v>108.13</v>
      </c>
      <c r="ST5" s="113">
        <v>108.13</v>
      </c>
      <c r="SU5" s="113">
        <v>108.13</v>
      </c>
      <c r="SV5" s="113">
        <v>108.13</v>
      </c>
      <c r="SW5" s="113">
        <v>108.13</v>
      </c>
      <c r="SX5" s="113">
        <v>108.13</v>
      </c>
      <c r="SY5" s="113">
        <v>108.13</v>
      </c>
      <c r="SZ5" s="113">
        <v>108.13</v>
      </c>
      <c r="TA5" s="113">
        <v>108.13</v>
      </c>
      <c r="TB5" s="113">
        <v>108.13</v>
      </c>
      <c r="TC5" s="113">
        <v>108.13</v>
      </c>
      <c r="TD5" s="113">
        <v>108.13</v>
      </c>
      <c r="TE5" s="113">
        <v>108.13</v>
      </c>
      <c r="TF5" s="113">
        <v>108.13</v>
      </c>
      <c r="TG5" s="113">
        <v>108.13</v>
      </c>
      <c r="TH5" s="113">
        <v>108.13</v>
      </c>
      <c r="TI5" s="113">
        <v>108.13</v>
      </c>
      <c r="TJ5" s="113">
        <v>108.13</v>
      </c>
      <c r="TK5" s="113">
        <v>108.13</v>
      </c>
      <c r="TL5" s="113">
        <v>108.13</v>
      </c>
      <c r="TM5" s="113">
        <v>108.13</v>
      </c>
      <c r="TN5" s="113">
        <v>108.13</v>
      </c>
      <c r="TO5" s="113">
        <v>108.13</v>
      </c>
      <c r="TP5" s="113">
        <v>108.13</v>
      </c>
      <c r="TQ5" s="113">
        <v>108.13</v>
      </c>
      <c r="TR5" s="113">
        <v>108.13</v>
      </c>
      <c r="TS5" s="113">
        <v>108.13</v>
      </c>
      <c r="TT5" s="113">
        <v>108.13</v>
      </c>
      <c r="UO5" s="113">
        <v>108.13</v>
      </c>
      <c r="UP5" s="113">
        <v>108.13</v>
      </c>
      <c r="UQ5" s="113">
        <v>108.13</v>
      </c>
      <c r="UR5" s="113">
        <v>108.13</v>
      </c>
      <c r="US5" s="113">
        <v>108.13</v>
      </c>
      <c r="UT5" s="113">
        <v>108.13</v>
      </c>
      <c r="UU5" s="113">
        <v>108.13</v>
      </c>
      <c r="UV5" s="113">
        <v>108.13</v>
      </c>
      <c r="UW5" s="113">
        <v>108.13</v>
      </c>
      <c r="UX5" s="113">
        <v>108.13</v>
      </c>
      <c r="UY5" s="113">
        <v>108.13</v>
      </c>
      <c r="UZ5" s="113">
        <v>108.13</v>
      </c>
      <c r="VA5" s="113">
        <v>108.13</v>
      </c>
      <c r="VB5" s="113">
        <v>108.13</v>
      </c>
      <c r="VC5" s="113">
        <v>108.13</v>
      </c>
      <c r="VD5" s="113">
        <v>108.13</v>
      </c>
      <c r="VE5" s="113">
        <v>108.13</v>
      </c>
      <c r="VF5" s="113">
        <v>108.13</v>
      </c>
      <c r="VG5" s="113">
        <v>108.13</v>
      </c>
      <c r="VH5" s="113">
        <v>108.13</v>
      </c>
      <c r="VI5" s="113">
        <v>108.13</v>
      </c>
      <c r="VJ5" s="113">
        <v>108.13</v>
      </c>
      <c r="VK5" s="113">
        <v>108.13</v>
      </c>
      <c r="VL5" s="113">
        <v>108.13</v>
      </c>
      <c r="VM5" s="113">
        <v>108.13</v>
      </c>
      <c r="VN5" s="113">
        <v>108.13</v>
      </c>
      <c r="VO5" s="113">
        <v>108.13</v>
      </c>
      <c r="VP5" s="113">
        <v>108.13</v>
      </c>
      <c r="VQ5" s="113">
        <v>108.13</v>
      </c>
      <c r="VR5" s="113">
        <v>108.13</v>
      </c>
      <c r="VS5" s="113">
        <v>108.13</v>
      </c>
      <c r="VT5" s="113">
        <v>108.13</v>
      </c>
      <c r="VU5" s="113">
        <v>108.13</v>
      </c>
      <c r="VV5" s="113">
        <v>108.13</v>
      </c>
      <c r="VW5" s="113">
        <v>108.13</v>
      </c>
      <c r="VX5" s="113">
        <v>108.13</v>
      </c>
      <c r="VY5" s="113">
        <v>108.13</v>
      </c>
      <c r="VZ5" s="113">
        <v>108.13</v>
      </c>
      <c r="WA5" s="113">
        <v>108.13</v>
      </c>
      <c r="WB5" s="113">
        <v>108.13</v>
      </c>
      <c r="WC5" s="113">
        <v>108.13</v>
      </c>
      <c r="WD5" s="113">
        <v>108.13</v>
      </c>
      <c r="WE5" s="113">
        <v>108.13</v>
      </c>
      <c r="WF5" s="113">
        <v>108.13</v>
      </c>
      <c r="WG5" s="113">
        <v>108.13</v>
      </c>
      <c r="WH5" s="113">
        <v>108.13</v>
      </c>
      <c r="WI5" s="113">
        <v>108.13</v>
      </c>
      <c r="WJ5" s="113">
        <v>108.13</v>
      </c>
      <c r="WK5" s="113">
        <v>108.13</v>
      </c>
      <c r="WL5" s="113">
        <v>108.13</v>
      </c>
      <c r="WM5" s="113">
        <v>108.13</v>
      </c>
      <c r="WN5" s="113">
        <v>108.13</v>
      </c>
      <c r="WO5" s="113">
        <v>108.13</v>
      </c>
      <c r="WP5" s="113">
        <v>108.13</v>
      </c>
      <c r="WQ5" s="113">
        <v>108.13</v>
      </c>
      <c r="WR5" s="113">
        <v>108.13</v>
      </c>
      <c r="WS5" s="113">
        <v>108.13</v>
      </c>
      <c r="WT5" s="113">
        <v>108.13</v>
      </c>
      <c r="WU5" s="113">
        <v>108.13</v>
      </c>
      <c r="WV5" s="113">
        <v>108.13</v>
      </c>
      <c r="WW5" s="113">
        <v>108.13</v>
      </c>
      <c r="XQ5" s="113">
        <v>108.13</v>
      </c>
      <c r="XR5" s="113">
        <v>108.13</v>
      </c>
      <c r="XS5" s="113">
        <v>108.13</v>
      </c>
      <c r="XT5" s="113">
        <v>108.13</v>
      </c>
      <c r="XU5" s="113">
        <v>108.13</v>
      </c>
      <c r="XV5" s="113">
        <v>108.13</v>
      </c>
      <c r="XW5" s="113">
        <v>108.13</v>
      </c>
      <c r="XX5" s="113">
        <v>108.13</v>
      </c>
      <c r="XY5" s="113">
        <v>108.13</v>
      </c>
      <c r="XZ5" s="113">
        <v>108.13</v>
      </c>
      <c r="YA5" s="113">
        <v>108.13</v>
      </c>
      <c r="YB5" s="113">
        <v>108.13</v>
      </c>
      <c r="YC5" s="113">
        <v>108.13</v>
      </c>
      <c r="YD5" s="113">
        <v>108.13</v>
      </c>
      <c r="YE5" s="113">
        <v>108.13</v>
      </c>
      <c r="YF5" s="113">
        <v>108.13</v>
      </c>
      <c r="YG5" s="113">
        <v>108.13</v>
      </c>
      <c r="YH5" s="113">
        <v>108.13</v>
      </c>
      <c r="YI5" s="113">
        <v>108.13</v>
      </c>
      <c r="YJ5" s="113">
        <v>108.13</v>
      </c>
      <c r="YK5" s="113">
        <v>108.13</v>
      </c>
      <c r="YL5" s="113">
        <v>108.13</v>
      </c>
      <c r="YM5" s="113">
        <v>108.13</v>
      </c>
      <c r="YN5" s="113">
        <v>108.13</v>
      </c>
      <c r="YO5" s="113">
        <v>108.13</v>
      </c>
      <c r="YP5" s="113">
        <v>108.13</v>
      </c>
      <c r="YQ5" s="113">
        <v>108.13</v>
      </c>
      <c r="YR5" s="113">
        <v>108.13</v>
      </c>
      <c r="YS5" s="113">
        <v>108.13</v>
      </c>
      <c r="YT5" s="113">
        <v>108.13</v>
      </c>
      <c r="YU5" s="113">
        <v>108.13</v>
      </c>
      <c r="YV5" s="113">
        <v>108.13</v>
      </c>
      <c r="YW5" s="113">
        <v>108.13</v>
      </c>
      <c r="YX5" s="113">
        <v>108.13</v>
      </c>
      <c r="YY5" s="113">
        <v>108.13</v>
      </c>
      <c r="YZ5" s="113">
        <v>108.13</v>
      </c>
      <c r="ZA5" s="113">
        <v>108.13</v>
      </c>
      <c r="ZB5" s="113">
        <v>108.13</v>
      </c>
      <c r="ZC5" s="113">
        <v>108.13</v>
      </c>
      <c r="ZD5" s="113">
        <v>108.13</v>
      </c>
      <c r="ZE5" s="113">
        <v>108.13</v>
      </c>
      <c r="ZF5" s="113">
        <v>108.13</v>
      </c>
      <c r="ZG5" s="113">
        <v>108.13</v>
      </c>
      <c r="ZH5" s="113">
        <v>108.13</v>
      </c>
      <c r="ZI5" s="113">
        <v>108.13</v>
      </c>
      <c r="ZJ5" s="113">
        <v>108.13</v>
      </c>
      <c r="ZK5" s="113">
        <v>108.13</v>
      </c>
      <c r="ZL5" s="113">
        <v>108.13</v>
      </c>
      <c r="ZM5" s="113">
        <v>108.13</v>
      </c>
      <c r="ZN5" s="113">
        <v>108.13</v>
      </c>
      <c r="ZO5" s="113">
        <v>108.13</v>
      </c>
      <c r="ZP5" s="113">
        <v>108.13</v>
      </c>
      <c r="ZQ5" s="113">
        <v>108.13</v>
      </c>
      <c r="ZR5" s="113">
        <v>108.13</v>
      </c>
      <c r="ZS5" s="113">
        <v>108.13</v>
      </c>
      <c r="ZT5" s="113">
        <v>108.13</v>
      </c>
      <c r="ZU5" s="113">
        <v>108.13</v>
      </c>
      <c r="ZV5" s="113">
        <v>108.13</v>
      </c>
      <c r="ZW5" s="113">
        <v>108.13</v>
      </c>
      <c r="AAS5" s="113">
        <v>108.13</v>
      </c>
      <c r="AAT5" s="113">
        <v>108.13</v>
      </c>
      <c r="AAU5" s="113">
        <v>108.13</v>
      </c>
      <c r="AAV5" s="113">
        <v>108.13</v>
      </c>
      <c r="AAW5" s="113">
        <v>108.13</v>
      </c>
      <c r="AAX5" s="113">
        <v>108.13</v>
      </c>
      <c r="AAY5" s="113">
        <v>108.13</v>
      </c>
      <c r="AAZ5" s="113">
        <v>108.13</v>
      </c>
      <c r="ABA5" s="113">
        <v>108.13</v>
      </c>
      <c r="ABB5" s="113">
        <v>108.13</v>
      </c>
      <c r="ABC5" s="113">
        <v>108.13</v>
      </c>
      <c r="ABD5" s="113">
        <v>108.13</v>
      </c>
      <c r="ABE5" s="113">
        <v>108.13</v>
      </c>
      <c r="ABF5" s="113">
        <v>108.13</v>
      </c>
      <c r="ABG5" s="113">
        <v>108.13</v>
      </c>
      <c r="ABH5" s="113">
        <v>108.13</v>
      </c>
      <c r="ABI5" s="113">
        <v>108.13</v>
      </c>
      <c r="ABJ5" s="113">
        <v>108.13</v>
      </c>
      <c r="ABK5" s="113">
        <v>108.13</v>
      </c>
      <c r="ABL5" s="113">
        <v>108.13</v>
      </c>
      <c r="ABM5" s="113">
        <v>108.13</v>
      </c>
      <c r="ABN5" s="113">
        <v>108.13</v>
      </c>
      <c r="ABO5" s="113">
        <v>108.13</v>
      </c>
      <c r="ABP5" s="113">
        <v>108.13</v>
      </c>
      <c r="ABQ5" s="113">
        <v>108.13</v>
      </c>
      <c r="ABR5" s="113">
        <v>108.13</v>
      </c>
      <c r="ABS5" s="113">
        <v>108.13</v>
      </c>
      <c r="ABT5" s="113">
        <v>108.13</v>
      </c>
      <c r="ABU5" s="113">
        <v>108.13</v>
      </c>
      <c r="ABV5" s="113">
        <v>108.13</v>
      </c>
      <c r="ABW5" s="113">
        <v>108.13</v>
      </c>
      <c r="ABX5" s="113">
        <v>108.13</v>
      </c>
      <c r="ABY5" s="113">
        <v>108.13</v>
      </c>
      <c r="ABZ5" s="113">
        <v>108.13</v>
      </c>
      <c r="ACA5" s="113">
        <v>108.13</v>
      </c>
      <c r="ACB5" s="113">
        <v>108.13</v>
      </c>
      <c r="ACC5" s="113">
        <v>108.13</v>
      </c>
      <c r="ACD5" s="113">
        <v>108.13</v>
      </c>
      <c r="ACE5" s="113">
        <v>108.13</v>
      </c>
      <c r="ACF5" s="113">
        <v>108.13</v>
      </c>
      <c r="ACG5" s="113">
        <v>108.13</v>
      </c>
      <c r="ACH5" s="113">
        <v>108.13</v>
      </c>
      <c r="ACI5" s="113">
        <v>108.13</v>
      </c>
      <c r="ACJ5" s="113">
        <v>108.13</v>
      </c>
      <c r="ACK5" s="113">
        <v>108.13</v>
      </c>
      <c r="ACL5" s="113">
        <v>108.13</v>
      </c>
      <c r="ACM5" s="113">
        <v>108.13</v>
      </c>
      <c r="ACN5" s="113">
        <v>108.13</v>
      </c>
      <c r="ACO5" s="113">
        <v>108.13</v>
      </c>
      <c r="ACP5" s="113">
        <v>108.13</v>
      </c>
      <c r="ACQ5" s="113">
        <v>108.13</v>
      </c>
      <c r="ACR5" s="113">
        <v>108.13</v>
      </c>
      <c r="ACS5" s="113">
        <v>108.13</v>
      </c>
      <c r="ACT5" s="113">
        <v>108.13</v>
      </c>
      <c r="ACU5" s="113">
        <v>108.13</v>
      </c>
      <c r="ACV5" s="113">
        <v>108.13</v>
      </c>
      <c r="ACW5" s="113">
        <v>108.13</v>
      </c>
      <c r="ACX5" s="113">
        <v>108.13</v>
      </c>
      <c r="ACY5" s="113">
        <v>108.13</v>
      </c>
      <c r="ACZ5" s="113">
        <v>108.13</v>
      </c>
      <c r="ADA5" s="113">
        <v>108.13</v>
      </c>
      <c r="ADU5" s="113">
        <v>108.13</v>
      </c>
      <c r="ADV5" s="113">
        <v>108.13</v>
      </c>
      <c r="ADW5" s="113">
        <v>108.13</v>
      </c>
      <c r="ADX5" s="113">
        <v>108.13</v>
      </c>
      <c r="ADY5" s="113">
        <v>108.13</v>
      </c>
      <c r="ADZ5" s="113">
        <v>108.13</v>
      </c>
      <c r="AEA5" s="113">
        <v>108.13</v>
      </c>
      <c r="AEB5" s="113">
        <v>108.13</v>
      </c>
      <c r="AEC5" s="113">
        <v>108.13</v>
      </c>
      <c r="AED5" s="113">
        <v>108.13</v>
      </c>
      <c r="AEE5" s="113">
        <v>108.13</v>
      </c>
      <c r="AEF5" s="113">
        <v>108.13</v>
      </c>
      <c r="AEG5" s="113">
        <v>108.13</v>
      </c>
      <c r="AEH5" s="113">
        <v>108.13</v>
      </c>
      <c r="AEI5" s="113">
        <v>108.13</v>
      </c>
      <c r="AEJ5" s="113">
        <v>108.13</v>
      </c>
      <c r="AEK5" s="113">
        <v>108.13</v>
      </c>
      <c r="AEL5" s="113">
        <v>108.13</v>
      </c>
      <c r="AEM5" s="113">
        <v>108.13</v>
      </c>
      <c r="AEN5" s="113">
        <v>108.13</v>
      </c>
      <c r="AEO5" s="113">
        <v>108.13</v>
      </c>
      <c r="AEP5" s="113">
        <v>108.13</v>
      </c>
      <c r="AEQ5" s="113">
        <v>108.13</v>
      </c>
      <c r="AER5" s="113">
        <v>108.13</v>
      </c>
      <c r="AES5" s="113">
        <v>108.13</v>
      </c>
      <c r="AET5" s="113">
        <v>108.13</v>
      </c>
      <c r="AEU5" s="113">
        <v>108.13</v>
      </c>
      <c r="AEV5" s="113">
        <v>108.13</v>
      </c>
      <c r="AEW5" s="113">
        <v>108.13</v>
      </c>
      <c r="AEX5" s="113">
        <v>108.13</v>
      </c>
      <c r="AEY5" s="113">
        <v>108.13</v>
      </c>
      <c r="AEZ5" s="113">
        <v>108.13</v>
      </c>
      <c r="AFA5" s="113">
        <v>108.13</v>
      </c>
      <c r="AFB5" s="113">
        <v>108.13</v>
      </c>
      <c r="AFC5" s="113">
        <v>108.13</v>
      </c>
      <c r="AFD5" s="113">
        <v>108.13</v>
      </c>
      <c r="AFE5" s="113">
        <v>108.13</v>
      </c>
      <c r="AFF5" s="113">
        <v>108.13</v>
      </c>
      <c r="AFG5" s="113">
        <v>108.13</v>
      </c>
      <c r="AFH5" s="113">
        <v>108.13</v>
      </c>
      <c r="AFI5" s="113">
        <v>108.13</v>
      </c>
      <c r="AFJ5" s="113">
        <v>108.13</v>
      </c>
      <c r="AFK5" s="113">
        <v>108.13</v>
      </c>
      <c r="AFL5" s="113">
        <v>108.13</v>
      </c>
      <c r="AFM5" s="113">
        <v>108.13</v>
      </c>
      <c r="AFN5" s="113">
        <v>108.13</v>
      </c>
      <c r="AFO5" s="113">
        <v>108.13</v>
      </c>
      <c r="AFP5" s="113">
        <v>108.13</v>
      </c>
      <c r="AFQ5" s="113">
        <v>108.13</v>
      </c>
      <c r="AFR5" s="113">
        <v>108.13</v>
      </c>
      <c r="AFS5" s="113">
        <v>108.13</v>
      </c>
      <c r="AFT5" s="113">
        <v>108.13</v>
      </c>
      <c r="AFU5" s="113">
        <v>108.13</v>
      </c>
      <c r="AFV5" s="113">
        <v>108.13</v>
      </c>
      <c r="AFW5" s="113">
        <v>108.13</v>
      </c>
      <c r="AFX5" s="113">
        <v>108.13</v>
      </c>
      <c r="AFY5" s="113">
        <v>108.13</v>
      </c>
      <c r="AFZ5" s="113">
        <v>108.13</v>
      </c>
      <c r="AGA5" s="113">
        <v>108.13</v>
      </c>
      <c r="AGB5" s="113">
        <v>108.13</v>
      </c>
      <c r="AGW5" s="113">
        <v>108.13</v>
      </c>
      <c r="AGX5" s="113">
        <v>108.13</v>
      </c>
      <c r="AGY5" s="113">
        <v>108.13</v>
      </c>
      <c r="AGZ5" s="113">
        <v>108.13</v>
      </c>
      <c r="AHA5" s="113">
        <v>108.13</v>
      </c>
      <c r="AHB5" s="113">
        <v>108.13</v>
      </c>
      <c r="AHC5" s="113">
        <v>108.13</v>
      </c>
      <c r="AHD5" s="113">
        <v>108.13</v>
      </c>
      <c r="AHE5" s="113">
        <v>108.13</v>
      </c>
      <c r="AHF5" s="113">
        <v>108.13</v>
      </c>
      <c r="AHG5" s="113">
        <v>108.13</v>
      </c>
      <c r="AHH5" s="113">
        <v>108.13</v>
      </c>
      <c r="AHI5" s="113">
        <v>108.13</v>
      </c>
      <c r="AHJ5" s="113">
        <v>108.13</v>
      </c>
      <c r="AHK5" s="113">
        <v>108.13</v>
      </c>
      <c r="AHL5" s="113">
        <v>108.13</v>
      </c>
      <c r="AHM5" s="113">
        <v>108.13</v>
      </c>
      <c r="AHN5" s="113">
        <v>108.13</v>
      </c>
      <c r="AHO5" s="113">
        <v>108.13</v>
      </c>
      <c r="AHP5" s="113">
        <v>108.13</v>
      </c>
      <c r="AHQ5" s="113">
        <v>108.13</v>
      </c>
      <c r="AHR5" s="113">
        <v>108.13</v>
      </c>
      <c r="AHS5" s="113">
        <v>108.13</v>
      </c>
      <c r="AHT5" s="113">
        <v>108.13</v>
      </c>
      <c r="AHU5" s="113">
        <v>108.13</v>
      </c>
      <c r="AHV5" s="113">
        <v>108.13</v>
      </c>
      <c r="AHW5" s="113">
        <v>108.13</v>
      </c>
      <c r="AHX5" s="113">
        <v>108.13</v>
      </c>
      <c r="AHY5" s="113">
        <v>108.13</v>
      </c>
      <c r="AHZ5" s="113">
        <v>108.13</v>
      </c>
      <c r="AIA5" s="113">
        <v>108.13</v>
      </c>
      <c r="AIB5" s="113">
        <v>108.13</v>
      </c>
      <c r="AIC5" s="113">
        <v>108.13</v>
      </c>
      <c r="AID5" s="113">
        <v>108.13</v>
      </c>
      <c r="AIE5" s="113">
        <v>108.13</v>
      </c>
      <c r="AIF5" s="113">
        <v>108.13</v>
      </c>
      <c r="AIG5" s="113">
        <v>108.13</v>
      </c>
      <c r="AIH5" s="113">
        <v>108.13</v>
      </c>
      <c r="AII5" s="113">
        <v>108.13</v>
      </c>
      <c r="AIJ5" s="113">
        <v>108.13</v>
      </c>
      <c r="AIK5" s="113">
        <v>108.13</v>
      </c>
      <c r="AIL5" s="113">
        <v>108.13</v>
      </c>
      <c r="AIM5" s="113">
        <v>108.13</v>
      </c>
      <c r="AIN5" s="113">
        <v>108.13</v>
      </c>
      <c r="AIO5" s="113">
        <v>108.13</v>
      </c>
      <c r="AIP5" s="113">
        <v>108.13</v>
      </c>
      <c r="AIQ5" s="113">
        <v>108.13</v>
      </c>
      <c r="AIR5" s="113">
        <v>108.13</v>
      </c>
      <c r="AIS5" s="113">
        <v>108.13</v>
      </c>
      <c r="AIT5" s="113">
        <v>108.13</v>
      </c>
      <c r="AIU5" s="113">
        <v>108.13</v>
      </c>
      <c r="AIV5" s="113">
        <v>108.13</v>
      </c>
      <c r="AIW5" s="113">
        <v>108.13</v>
      </c>
      <c r="AIX5" s="113">
        <v>108.13</v>
      </c>
      <c r="AIY5" s="113">
        <v>108.13</v>
      </c>
      <c r="AIZ5" s="113">
        <v>108.13</v>
      </c>
      <c r="AJA5" s="113">
        <v>108.13</v>
      </c>
      <c r="AJB5" s="113">
        <v>108.13</v>
      </c>
      <c r="AJC5" s="113">
        <v>108.13</v>
      </c>
      <c r="AJD5" s="113">
        <v>108.13</v>
      </c>
    </row>
    <row r="6" spans="1:940">
      <c r="A6" s="113">
        <v>103.8</v>
      </c>
      <c r="B6" s="113">
        <v>103.8</v>
      </c>
      <c r="C6" s="113">
        <v>103.8</v>
      </c>
      <c r="D6" s="113">
        <v>103.8</v>
      </c>
      <c r="E6" s="113">
        <v>103.8</v>
      </c>
      <c r="F6" s="113">
        <v>103.8</v>
      </c>
      <c r="G6" s="113">
        <v>103.8</v>
      </c>
      <c r="H6" s="113">
        <v>103.8</v>
      </c>
      <c r="I6" s="113">
        <v>103.8</v>
      </c>
      <c r="J6" s="113">
        <v>103.8</v>
      </c>
      <c r="K6" s="113">
        <v>103.8</v>
      </c>
      <c r="L6" s="113">
        <v>103.8</v>
      </c>
      <c r="M6" s="113">
        <v>103.8</v>
      </c>
      <c r="N6" s="113">
        <v>103.8</v>
      </c>
      <c r="O6" s="113">
        <v>103.8</v>
      </c>
      <c r="P6" s="113">
        <v>103.8</v>
      </c>
      <c r="Q6" s="113">
        <v>103.8</v>
      </c>
      <c r="R6" s="113">
        <v>103.8</v>
      </c>
      <c r="S6" s="113">
        <v>103.8</v>
      </c>
      <c r="T6" s="113">
        <v>103.8</v>
      </c>
      <c r="U6" s="113">
        <v>103.8</v>
      </c>
      <c r="V6" s="113">
        <v>103.8</v>
      </c>
      <c r="W6" s="113">
        <v>103.8</v>
      </c>
      <c r="X6" s="113">
        <v>103.8</v>
      </c>
      <c r="Y6" s="113">
        <v>103.8</v>
      </c>
      <c r="Z6" s="113">
        <v>103.8</v>
      </c>
      <c r="AA6" s="113">
        <v>103.8</v>
      </c>
      <c r="AB6" s="113">
        <v>103.8</v>
      </c>
      <c r="AC6" s="113">
        <v>103.8</v>
      </c>
      <c r="AD6" s="113">
        <v>103.8</v>
      </c>
      <c r="AE6" s="113">
        <v>103.8</v>
      </c>
      <c r="AF6" s="113">
        <v>103.8</v>
      </c>
      <c r="AG6" s="113">
        <v>103.8</v>
      </c>
      <c r="AH6" s="113">
        <v>103.8</v>
      </c>
      <c r="AI6" s="113">
        <v>103.8</v>
      </c>
      <c r="AJ6" s="113">
        <v>103.8</v>
      </c>
      <c r="AK6" s="113">
        <v>103.8</v>
      </c>
      <c r="AL6" s="113">
        <v>103.8</v>
      </c>
      <c r="AM6" s="113">
        <v>103.8</v>
      </c>
      <c r="AN6" s="113">
        <v>103.8</v>
      </c>
      <c r="AO6" s="113">
        <v>103.8</v>
      </c>
      <c r="AP6" s="113">
        <v>103.8</v>
      </c>
      <c r="AQ6" s="113">
        <v>103.8</v>
      </c>
      <c r="AR6" s="113">
        <v>103.8</v>
      </c>
      <c r="AS6" s="113">
        <v>103.8</v>
      </c>
      <c r="AT6" s="113">
        <v>103.8</v>
      </c>
      <c r="AU6" s="113">
        <v>103.8</v>
      </c>
      <c r="AV6" s="113">
        <v>103.8</v>
      </c>
      <c r="AW6" s="113">
        <v>103.8</v>
      </c>
      <c r="AX6" s="113">
        <v>103.8</v>
      </c>
      <c r="AY6" s="113">
        <v>103.8</v>
      </c>
      <c r="AZ6" s="113">
        <v>103.8</v>
      </c>
      <c r="CC6" s="113">
        <v>103.8</v>
      </c>
      <c r="CD6" s="113">
        <v>103.8</v>
      </c>
      <c r="CE6" s="113">
        <v>103.8</v>
      </c>
      <c r="CF6" s="113">
        <v>103.8</v>
      </c>
      <c r="CG6" s="113">
        <v>103.8</v>
      </c>
      <c r="CH6" s="113">
        <v>103.8</v>
      </c>
      <c r="CI6" s="113">
        <v>103.8</v>
      </c>
      <c r="CJ6" s="113">
        <v>103.8</v>
      </c>
      <c r="CK6" s="113">
        <v>103.8</v>
      </c>
      <c r="CL6" s="113">
        <v>103.8</v>
      </c>
      <c r="CM6" s="113">
        <v>103.8</v>
      </c>
      <c r="CN6" s="113">
        <v>103.8</v>
      </c>
      <c r="CO6" s="113">
        <v>103.8</v>
      </c>
      <c r="CP6" s="113">
        <v>103.8</v>
      </c>
      <c r="CQ6" s="113">
        <v>103.8</v>
      </c>
      <c r="CR6" s="113">
        <v>103.8</v>
      </c>
      <c r="CS6" s="113">
        <v>103.8</v>
      </c>
      <c r="CT6" s="113">
        <v>103.8</v>
      </c>
      <c r="CU6" s="113">
        <v>103.8</v>
      </c>
      <c r="CV6" s="113">
        <v>103.8</v>
      </c>
      <c r="CW6" s="113">
        <v>103.8</v>
      </c>
      <c r="CX6" s="113">
        <v>103.8</v>
      </c>
      <c r="CY6" s="113">
        <v>103.8</v>
      </c>
      <c r="CZ6" s="113">
        <v>103.8</v>
      </c>
      <c r="DA6" s="113">
        <v>103.8</v>
      </c>
      <c r="DB6" s="113">
        <v>103.8</v>
      </c>
      <c r="DC6" s="113">
        <v>103.8</v>
      </c>
      <c r="DD6" s="113">
        <v>103.8</v>
      </c>
      <c r="DE6" s="113">
        <v>103.8</v>
      </c>
      <c r="DF6" s="113">
        <v>103.8</v>
      </c>
      <c r="DG6" s="113">
        <v>103.8</v>
      </c>
      <c r="DH6" s="113">
        <v>103.8</v>
      </c>
      <c r="DI6" s="113">
        <v>103.8</v>
      </c>
      <c r="DJ6" s="113">
        <v>103.8</v>
      </c>
      <c r="DK6" s="113">
        <v>103.8</v>
      </c>
      <c r="DL6" s="113">
        <v>103.8</v>
      </c>
      <c r="DM6" s="113">
        <v>103.8</v>
      </c>
      <c r="DN6" s="113">
        <v>103.8</v>
      </c>
      <c r="DO6" s="113">
        <v>103.8</v>
      </c>
      <c r="DP6" s="113">
        <v>103.8</v>
      </c>
      <c r="DQ6" s="113">
        <v>103.8</v>
      </c>
      <c r="DR6" s="113">
        <v>103.8</v>
      </c>
      <c r="DS6" s="113">
        <v>103.8</v>
      </c>
      <c r="DT6" s="113">
        <v>103.8</v>
      </c>
      <c r="DU6" s="113">
        <v>103.8</v>
      </c>
      <c r="DV6" s="113">
        <v>103.8</v>
      </c>
      <c r="DW6" s="113">
        <v>103.8</v>
      </c>
      <c r="DX6" s="113">
        <v>103.8</v>
      </c>
      <c r="DY6" s="113">
        <v>103.8</v>
      </c>
      <c r="DZ6" s="113">
        <v>103.8</v>
      </c>
      <c r="EA6" s="113">
        <v>103.8</v>
      </c>
      <c r="EB6" s="113">
        <v>103.8</v>
      </c>
      <c r="EC6" s="113">
        <v>103.8</v>
      </c>
      <c r="ED6" s="113">
        <v>103.8</v>
      </c>
      <c r="EE6" s="113">
        <v>103.8</v>
      </c>
      <c r="EF6" s="113">
        <v>103.8</v>
      </c>
      <c r="EG6" s="113">
        <v>103.8</v>
      </c>
      <c r="EH6" s="113">
        <v>103.8</v>
      </c>
      <c r="EI6" s="113">
        <v>103.8</v>
      </c>
      <c r="FE6" s="113">
        <v>103.8</v>
      </c>
      <c r="FF6" s="113">
        <v>103.8</v>
      </c>
      <c r="FG6" s="113">
        <v>103.8</v>
      </c>
      <c r="FH6" s="113">
        <v>103.8</v>
      </c>
      <c r="FI6" s="113">
        <v>103.8</v>
      </c>
      <c r="FJ6" s="113">
        <v>103.8</v>
      </c>
      <c r="FK6" s="113">
        <v>103.8</v>
      </c>
      <c r="FL6" s="113">
        <v>103.8</v>
      </c>
      <c r="FM6" s="113">
        <v>103.8</v>
      </c>
      <c r="FN6" s="113">
        <v>103.8</v>
      </c>
      <c r="FO6" s="113">
        <v>103.8</v>
      </c>
      <c r="FP6" s="113">
        <v>103.8</v>
      </c>
      <c r="FQ6" s="113">
        <v>103.8</v>
      </c>
      <c r="FR6" s="113">
        <v>103.8</v>
      </c>
      <c r="FS6" s="113">
        <v>103.8</v>
      </c>
      <c r="FT6" s="113">
        <v>103.8</v>
      </c>
      <c r="FU6" s="113">
        <v>103.8</v>
      </c>
      <c r="FV6" s="113">
        <v>103.8</v>
      </c>
      <c r="FW6" s="113">
        <v>103.8</v>
      </c>
      <c r="FX6" s="113">
        <v>103.8</v>
      </c>
      <c r="FY6" s="113">
        <v>103.8</v>
      </c>
      <c r="FZ6" s="113">
        <v>103.8</v>
      </c>
      <c r="GA6" s="113">
        <v>103.8</v>
      </c>
      <c r="GB6" s="113">
        <v>103.8</v>
      </c>
      <c r="GC6" s="113">
        <v>103.8</v>
      </c>
      <c r="GD6" s="113">
        <v>103.8</v>
      </c>
      <c r="GE6" s="113">
        <v>103.8</v>
      </c>
      <c r="GF6" s="113">
        <v>103.8</v>
      </c>
      <c r="GG6" s="113">
        <v>103.8</v>
      </c>
      <c r="GH6" s="113">
        <v>103.8</v>
      </c>
      <c r="GI6" s="113">
        <v>103.8</v>
      </c>
      <c r="GJ6" s="113">
        <v>103.8</v>
      </c>
      <c r="GK6" s="113">
        <v>103.8</v>
      </c>
      <c r="GL6" s="113">
        <v>103.8</v>
      </c>
      <c r="GM6" s="113">
        <v>103.8</v>
      </c>
      <c r="GN6" s="113">
        <v>103.8</v>
      </c>
      <c r="GO6" s="113">
        <v>103.8</v>
      </c>
      <c r="GP6" s="113">
        <v>103.8</v>
      </c>
      <c r="GQ6" s="113">
        <v>103.8</v>
      </c>
      <c r="GR6" s="113">
        <v>103.8</v>
      </c>
      <c r="GS6" s="113">
        <v>103.8</v>
      </c>
      <c r="GT6" s="113">
        <v>103.8</v>
      </c>
      <c r="GU6" s="113">
        <v>103.8</v>
      </c>
      <c r="GV6" s="113">
        <v>103.8</v>
      </c>
      <c r="GW6" s="113">
        <v>103.8</v>
      </c>
      <c r="GX6" s="113">
        <v>103.8</v>
      </c>
      <c r="GY6" s="113">
        <v>103.8</v>
      </c>
      <c r="GZ6" s="113">
        <v>103.8</v>
      </c>
      <c r="HA6" s="113">
        <v>103.8</v>
      </c>
      <c r="HB6" s="113">
        <v>103.8</v>
      </c>
      <c r="HC6" s="113">
        <v>103.8</v>
      </c>
      <c r="HD6" s="113">
        <v>103.8</v>
      </c>
      <c r="HE6" s="113">
        <v>103.8</v>
      </c>
      <c r="HF6" s="113">
        <v>103.8</v>
      </c>
      <c r="HG6" s="113">
        <v>103.8</v>
      </c>
      <c r="HH6" s="113">
        <v>103.8</v>
      </c>
      <c r="HI6" s="113">
        <v>103.8</v>
      </c>
      <c r="HJ6" s="113">
        <v>103.8</v>
      </c>
      <c r="HK6" s="113">
        <v>103.8</v>
      </c>
      <c r="HL6" s="113">
        <v>103.8</v>
      </c>
      <c r="IG6" s="113">
        <v>103.8</v>
      </c>
      <c r="IH6" s="113">
        <v>103.8</v>
      </c>
      <c r="II6" s="113">
        <v>103.8</v>
      </c>
      <c r="IJ6" s="113">
        <v>103.8</v>
      </c>
      <c r="IK6" s="113">
        <v>103.8</v>
      </c>
      <c r="IL6" s="113">
        <v>103.8</v>
      </c>
      <c r="IM6" s="113">
        <v>103.8</v>
      </c>
      <c r="IN6" s="113">
        <v>103.8</v>
      </c>
      <c r="IO6" s="113">
        <v>103.8</v>
      </c>
      <c r="IP6" s="113">
        <v>103.8</v>
      </c>
      <c r="IQ6" s="113">
        <v>103.8</v>
      </c>
      <c r="IR6" s="113">
        <v>103.8</v>
      </c>
      <c r="IS6" s="113">
        <v>103.8</v>
      </c>
      <c r="IT6" s="113">
        <v>103.8</v>
      </c>
      <c r="IU6" s="113">
        <v>103.8</v>
      </c>
      <c r="IV6" s="113">
        <v>103.8</v>
      </c>
      <c r="IW6" s="113">
        <v>103.8</v>
      </c>
      <c r="IX6" s="113">
        <v>103.8</v>
      </c>
      <c r="IY6" s="113">
        <v>103.8</v>
      </c>
      <c r="IZ6" s="113">
        <v>103.8</v>
      </c>
      <c r="JA6" s="113">
        <v>103.8</v>
      </c>
      <c r="JB6" s="113">
        <v>103.8</v>
      </c>
      <c r="JC6" s="113">
        <v>103.8</v>
      </c>
      <c r="JD6" s="113">
        <v>103.8</v>
      </c>
      <c r="JE6" s="113">
        <v>103.8</v>
      </c>
      <c r="JF6" s="113">
        <v>103.8</v>
      </c>
      <c r="JG6" s="113">
        <v>103.8</v>
      </c>
      <c r="JH6" s="113">
        <v>103.8</v>
      </c>
      <c r="JI6" s="113">
        <v>103.8</v>
      </c>
      <c r="JJ6" s="113">
        <v>103.8</v>
      </c>
      <c r="JK6" s="113">
        <v>103.8</v>
      </c>
      <c r="JL6" s="113">
        <v>103.8</v>
      </c>
      <c r="JM6" s="113">
        <v>103.8</v>
      </c>
      <c r="JN6" s="113">
        <v>103.8</v>
      </c>
      <c r="JO6" s="113">
        <v>103.8</v>
      </c>
      <c r="JP6" s="113">
        <v>103.8</v>
      </c>
      <c r="JQ6" s="113">
        <v>103.8</v>
      </c>
      <c r="JR6" s="113">
        <v>103.8</v>
      </c>
      <c r="JS6" s="113">
        <v>103.8</v>
      </c>
      <c r="JT6" s="113">
        <v>103.8</v>
      </c>
      <c r="JU6" s="113">
        <v>103.8</v>
      </c>
      <c r="JV6" s="113">
        <v>103.8</v>
      </c>
      <c r="JW6" s="113">
        <v>103.8</v>
      </c>
      <c r="JX6" s="113">
        <v>103.8</v>
      </c>
      <c r="JY6" s="113">
        <v>103.8</v>
      </c>
      <c r="JZ6" s="113">
        <v>103.8</v>
      </c>
      <c r="KA6" s="113">
        <v>103.8</v>
      </c>
      <c r="KB6" s="113">
        <v>103.8</v>
      </c>
      <c r="KC6" s="113">
        <v>103.8</v>
      </c>
      <c r="KD6" s="113">
        <v>103.8</v>
      </c>
      <c r="KE6" s="113">
        <v>103.8</v>
      </c>
      <c r="KF6" s="113">
        <v>103.8</v>
      </c>
      <c r="KG6" s="113">
        <v>103.8</v>
      </c>
      <c r="KH6" s="113">
        <v>103.8</v>
      </c>
      <c r="KI6" s="113">
        <v>103.8</v>
      </c>
      <c r="KJ6" s="113">
        <v>103.8</v>
      </c>
      <c r="KK6" s="113">
        <v>103.8</v>
      </c>
      <c r="KL6" s="113">
        <v>103.8</v>
      </c>
      <c r="KM6" s="113">
        <v>103.8</v>
      </c>
      <c r="KN6" s="113">
        <v>103.8</v>
      </c>
      <c r="LI6" s="113">
        <v>103.8</v>
      </c>
      <c r="LJ6" s="113">
        <v>103.8</v>
      </c>
      <c r="LK6" s="113">
        <v>103.8</v>
      </c>
      <c r="LL6" s="113">
        <v>103.8</v>
      </c>
      <c r="LM6" s="113">
        <v>103.8</v>
      </c>
      <c r="LN6" s="113">
        <v>103.8</v>
      </c>
      <c r="LO6" s="113">
        <v>103.8</v>
      </c>
      <c r="LP6" s="113">
        <v>103.8</v>
      </c>
      <c r="LQ6" s="113">
        <v>103.8</v>
      </c>
      <c r="LR6" s="113">
        <v>103.8</v>
      </c>
      <c r="LS6" s="113">
        <v>103.8</v>
      </c>
      <c r="LT6" s="113">
        <v>103.8</v>
      </c>
      <c r="LU6" s="113">
        <v>103.8</v>
      </c>
      <c r="LV6" s="113">
        <v>103.8</v>
      </c>
      <c r="LW6" s="113">
        <v>103.8</v>
      </c>
      <c r="LX6" s="113">
        <v>103.8</v>
      </c>
      <c r="LY6" s="113">
        <v>103.8</v>
      </c>
      <c r="LZ6" s="113">
        <v>103.8</v>
      </c>
      <c r="MA6" s="113">
        <v>103.8</v>
      </c>
      <c r="MB6" s="113">
        <v>103.8</v>
      </c>
      <c r="MC6" s="113">
        <v>103.8</v>
      </c>
      <c r="MD6" s="113">
        <v>103.8</v>
      </c>
      <c r="ME6" s="113">
        <v>103.8</v>
      </c>
      <c r="MF6" s="113">
        <v>103.8</v>
      </c>
      <c r="MG6" s="113">
        <v>103.8</v>
      </c>
      <c r="MH6" s="113">
        <v>103.8</v>
      </c>
      <c r="MI6" s="113">
        <v>103.8</v>
      </c>
      <c r="MJ6" s="113">
        <v>103.8</v>
      </c>
      <c r="MK6" s="113">
        <v>103.8</v>
      </c>
      <c r="ML6" s="113">
        <v>103.8</v>
      </c>
      <c r="MM6" s="113">
        <v>103.8</v>
      </c>
      <c r="MN6" s="113">
        <v>103.8</v>
      </c>
      <c r="MO6" s="113">
        <v>103.8</v>
      </c>
      <c r="MP6" s="113">
        <v>103.8</v>
      </c>
      <c r="MQ6" s="113">
        <v>103.8</v>
      </c>
      <c r="MR6" s="113">
        <v>103.8</v>
      </c>
      <c r="MS6" s="113">
        <v>103.8</v>
      </c>
      <c r="MT6" s="113">
        <v>103.8</v>
      </c>
      <c r="MU6" s="113">
        <v>103.8</v>
      </c>
      <c r="MV6" s="113">
        <v>103.8</v>
      </c>
      <c r="MW6" s="113">
        <v>103.8</v>
      </c>
      <c r="MX6" s="113">
        <v>103.8</v>
      </c>
      <c r="MY6" s="113">
        <v>103.8</v>
      </c>
      <c r="MZ6" s="113">
        <v>103.8</v>
      </c>
      <c r="NA6" s="113">
        <v>103.8</v>
      </c>
      <c r="NB6" s="113">
        <v>103.8</v>
      </c>
      <c r="NC6" s="113">
        <v>103.8</v>
      </c>
      <c r="ND6" s="113">
        <v>103.8</v>
      </c>
      <c r="NE6" s="113">
        <v>103.8</v>
      </c>
      <c r="NF6" s="113">
        <v>103.8</v>
      </c>
      <c r="NG6" s="113">
        <v>103.8</v>
      </c>
      <c r="NH6" s="113">
        <v>103.8</v>
      </c>
      <c r="NI6" s="113">
        <v>103.8</v>
      </c>
      <c r="NJ6" s="113">
        <v>103.8</v>
      </c>
      <c r="NK6" s="113">
        <v>103.8</v>
      </c>
      <c r="NL6" s="113">
        <v>103.8</v>
      </c>
      <c r="NM6" s="113">
        <v>103.8</v>
      </c>
      <c r="NN6" s="113">
        <v>103.8</v>
      </c>
      <c r="NO6" s="113">
        <v>103.8</v>
      </c>
      <c r="NP6" s="113">
        <v>103.8</v>
      </c>
      <c r="NQ6" s="113">
        <v>103.8</v>
      </c>
      <c r="NR6" s="113">
        <v>103.8</v>
      </c>
      <c r="OK6" s="113">
        <v>103.8</v>
      </c>
      <c r="OL6" s="113">
        <v>103.8</v>
      </c>
      <c r="OM6" s="113">
        <v>103.8</v>
      </c>
      <c r="ON6" s="113">
        <v>103.8</v>
      </c>
      <c r="OO6" s="113">
        <v>103.8</v>
      </c>
      <c r="OP6" s="113">
        <v>103.8</v>
      </c>
      <c r="OQ6" s="113">
        <v>103.8</v>
      </c>
      <c r="OR6" s="113">
        <v>103.8</v>
      </c>
      <c r="OS6" s="113">
        <v>103.8</v>
      </c>
      <c r="OT6" s="113">
        <v>103.8</v>
      </c>
      <c r="OU6" s="113">
        <v>103.8</v>
      </c>
      <c r="OV6" s="113">
        <v>103.8</v>
      </c>
      <c r="OW6" s="113">
        <v>103.8</v>
      </c>
      <c r="OX6" s="113">
        <v>103.8</v>
      </c>
      <c r="OY6" s="113">
        <v>103.8</v>
      </c>
      <c r="OZ6" s="113">
        <v>103.8</v>
      </c>
      <c r="PA6" s="113">
        <v>103.8</v>
      </c>
      <c r="PB6" s="113">
        <v>103.8</v>
      </c>
      <c r="PC6" s="113">
        <v>103.8</v>
      </c>
      <c r="PD6" s="113">
        <v>103.8</v>
      </c>
      <c r="PE6" s="113">
        <v>103.8</v>
      </c>
      <c r="PF6" s="113">
        <v>103.8</v>
      </c>
      <c r="PG6" s="113">
        <v>103.8</v>
      </c>
      <c r="PH6" s="113">
        <v>103.8</v>
      </c>
      <c r="PI6" s="113">
        <v>103.8</v>
      </c>
      <c r="PJ6" s="113">
        <v>103.8</v>
      </c>
      <c r="PK6" s="113">
        <v>103.8</v>
      </c>
      <c r="PL6" s="113">
        <v>103.8</v>
      </c>
      <c r="PM6" s="113">
        <v>103.8</v>
      </c>
      <c r="PN6" s="113">
        <v>103.8</v>
      </c>
      <c r="PO6" s="113">
        <v>103.8</v>
      </c>
      <c r="PP6" s="113">
        <v>103.8</v>
      </c>
      <c r="PQ6" s="113">
        <v>103.8</v>
      </c>
      <c r="PR6" s="113">
        <v>103.8</v>
      </c>
      <c r="PS6" s="113">
        <v>103.8</v>
      </c>
      <c r="PT6" s="113">
        <v>103.8</v>
      </c>
      <c r="PU6" s="113">
        <v>103.8</v>
      </c>
      <c r="PV6" s="113">
        <v>103.8</v>
      </c>
      <c r="PW6" s="113">
        <v>103.8</v>
      </c>
      <c r="PX6" s="113">
        <v>103.8</v>
      </c>
      <c r="PY6" s="113">
        <v>103.8</v>
      </c>
      <c r="PZ6" s="113">
        <v>103.8</v>
      </c>
      <c r="QA6" s="113">
        <v>103.8</v>
      </c>
      <c r="QB6" s="113">
        <v>103.8</v>
      </c>
      <c r="QC6" s="113">
        <v>103.8</v>
      </c>
      <c r="QD6" s="113">
        <v>103.8</v>
      </c>
      <c r="QE6" s="113">
        <v>103.8</v>
      </c>
      <c r="QF6" s="113">
        <v>103.8</v>
      </c>
      <c r="QG6" s="113">
        <v>103.8</v>
      </c>
      <c r="QH6" s="113">
        <v>103.8</v>
      </c>
      <c r="QI6" s="113">
        <v>103.8</v>
      </c>
      <c r="QJ6" s="113">
        <v>103.8</v>
      </c>
      <c r="QK6" s="113">
        <v>103.8</v>
      </c>
      <c r="QL6" s="113">
        <v>103.8</v>
      </c>
      <c r="QM6" s="113">
        <v>103.8</v>
      </c>
      <c r="QN6" s="113">
        <v>103.8</v>
      </c>
      <c r="QO6" s="113">
        <v>103.8</v>
      </c>
      <c r="QP6" s="113">
        <v>103.8</v>
      </c>
      <c r="QQ6" s="113">
        <v>103.8</v>
      </c>
      <c r="QR6" s="113">
        <v>103.8</v>
      </c>
      <c r="QS6" s="113">
        <v>103.8</v>
      </c>
      <c r="RM6" s="113">
        <v>103.8</v>
      </c>
      <c r="RN6" s="113">
        <v>103.8</v>
      </c>
      <c r="RO6" s="113">
        <v>103.8</v>
      </c>
      <c r="RP6" s="113">
        <v>103.8</v>
      </c>
      <c r="RQ6" s="113">
        <v>103.8</v>
      </c>
      <c r="RR6" s="113">
        <v>103.8</v>
      </c>
      <c r="RS6" s="113">
        <v>103.8</v>
      </c>
      <c r="RT6" s="113">
        <v>103.8</v>
      </c>
      <c r="RU6" s="113">
        <v>103.8</v>
      </c>
      <c r="RV6" s="113">
        <v>103.8</v>
      </c>
      <c r="RW6" s="113">
        <v>103.8</v>
      </c>
      <c r="RX6" s="113">
        <v>103.8</v>
      </c>
      <c r="RY6" s="113">
        <v>103.8</v>
      </c>
      <c r="RZ6" s="113">
        <v>103.8</v>
      </c>
      <c r="SA6" s="113">
        <v>103.8</v>
      </c>
      <c r="SB6" s="113">
        <v>103.8</v>
      </c>
      <c r="SC6" s="113">
        <v>103.8</v>
      </c>
      <c r="SD6" s="113">
        <v>103.8</v>
      </c>
      <c r="SE6" s="113">
        <v>103.8</v>
      </c>
      <c r="SF6" s="113">
        <v>103.8</v>
      </c>
      <c r="SG6" s="113">
        <v>103.8</v>
      </c>
      <c r="SH6" s="113">
        <v>103.8</v>
      </c>
      <c r="SI6" s="113">
        <v>103.8</v>
      </c>
      <c r="SJ6" s="113">
        <v>103.8</v>
      </c>
      <c r="SK6" s="113">
        <v>103.8</v>
      </c>
      <c r="SL6" s="113">
        <v>103.8</v>
      </c>
      <c r="SM6" s="113">
        <v>103.8</v>
      </c>
      <c r="SN6" s="113">
        <v>103.8</v>
      </c>
      <c r="SO6" s="113">
        <v>103.8</v>
      </c>
      <c r="SP6" s="113">
        <v>103.8</v>
      </c>
      <c r="SQ6" s="113">
        <v>103.8</v>
      </c>
      <c r="SR6" s="113">
        <v>103.8</v>
      </c>
      <c r="SS6" s="113">
        <v>103.8</v>
      </c>
      <c r="ST6" s="113">
        <v>103.8</v>
      </c>
      <c r="SU6" s="113">
        <v>103.8</v>
      </c>
      <c r="SV6" s="113">
        <v>103.8</v>
      </c>
      <c r="SW6" s="113">
        <v>103.8</v>
      </c>
      <c r="SX6" s="113">
        <v>103.8</v>
      </c>
      <c r="SY6" s="113">
        <v>103.8</v>
      </c>
      <c r="SZ6" s="113">
        <v>103.8</v>
      </c>
      <c r="TA6" s="113">
        <v>103.8</v>
      </c>
      <c r="TB6" s="113">
        <v>103.8</v>
      </c>
      <c r="TC6" s="113">
        <v>103.8</v>
      </c>
      <c r="TD6" s="113">
        <v>103.8</v>
      </c>
      <c r="TE6" s="113">
        <v>103.8</v>
      </c>
      <c r="TF6" s="113">
        <v>103.8</v>
      </c>
      <c r="TG6" s="113">
        <v>103.8</v>
      </c>
      <c r="TH6" s="113">
        <v>103.8</v>
      </c>
      <c r="TI6" s="113">
        <v>103.8</v>
      </c>
      <c r="TJ6" s="113">
        <v>103.8</v>
      </c>
      <c r="TK6" s="113">
        <v>103.8</v>
      </c>
      <c r="TL6" s="113">
        <v>103.8</v>
      </c>
      <c r="TM6" s="113">
        <v>103.8</v>
      </c>
      <c r="TN6" s="113">
        <v>103.8</v>
      </c>
      <c r="TO6" s="113">
        <v>103.8</v>
      </c>
      <c r="TP6" s="113">
        <v>103.8</v>
      </c>
      <c r="TQ6" s="113">
        <v>103.8</v>
      </c>
      <c r="TR6" s="113">
        <v>103.8</v>
      </c>
      <c r="TS6" s="113">
        <v>103.8</v>
      </c>
      <c r="TT6" s="113">
        <v>103.8</v>
      </c>
      <c r="UO6" s="113">
        <v>103.8</v>
      </c>
      <c r="UP6" s="113">
        <v>103.8</v>
      </c>
      <c r="UQ6" s="113">
        <v>103.8</v>
      </c>
      <c r="UR6" s="113">
        <v>103.8</v>
      </c>
      <c r="US6" s="113">
        <v>103.8</v>
      </c>
      <c r="UT6" s="113">
        <v>103.8</v>
      </c>
      <c r="UU6" s="113">
        <v>103.8</v>
      </c>
      <c r="UV6" s="113">
        <v>103.8</v>
      </c>
      <c r="UW6" s="113">
        <v>103.8</v>
      </c>
      <c r="UX6" s="113">
        <v>103.8</v>
      </c>
      <c r="UY6" s="113">
        <v>103.8</v>
      </c>
      <c r="UZ6" s="113">
        <v>103.8</v>
      </c>
      <c r="VA6" s="113">
        <v>103.8</v>
      </c>
      <c r="VB6" s="113">
        <v>103.8</v>
      </c>
      <c r="VC6" s="113">
        <v>103.8</v>
      </c>
      <c r="VD6" s="113">
        <v>103.8</v>
      </c>
      <c r="VE6" s="113">
        <v>103.8</v>
      </c>
      <c r="VF6" s="113">
        <v>103.8</v>
      </c>
      <c r="VG6" s="113">
        <v>103.8</v>
      </c>
      <c r="VH6" s="113">
        <v>103.8</v>
      </c>
      <c r="VI6" s="113">
        <v>103.8</v>
      </c>
      <c r="VJ6" s="113">
        <v>103.8</v>
      </c>
      <c r="VK6" s="113">
        <v>103.8</v>
      </c>
      <c r="VL6" s="113">
        <v>103.8</v>
      </c>
      <c r="VM6" s="113">
        <v>103.8</v>
      </c>
      <c r="VN6" s="113">
        <v>103.8</v>
      </c>
      <c r="VO6" s="113">
        <v>103.8</v>
      </c>
      <c r="VP6" s="113">
        <v>103.8</v>
      </c>
      <c r="VQ6" s="113">
        <v>103.8</v>
      </c>
      <c r="VR6" s="113">
        <v>103.8</v>
      </c>
      <c r="VS6" s="113">
        <v>103.8</v>
      </c>
      <c r="VT6" s="113">
        <v>103.8</v>
      </c>
      <c r="VU6" s="113">
        <v>103.8</v>
      </c>
      <c r="VV6" s="113">
        <v>103.8</v>
      </c>
      <c r="VW6" s="113">
        <v>103.8</v>
      </c>
      <c r="VX6" s="113">
        <v>103.8</v>
      </c>
      <c r="VY6" s="113">
        <v>103.8</v>
      </c>
      <c r="VZ6" s="113">
        <v>103.8</v>
      </c>
      <c r="WA6" s="113">
        <v>103.8</v>
      </c>
      <c r="WB6" s="113">
        <v>103.8</v>
      </c>
      <c r="WC6" s="113">
        <v>103.8</v>
      </c>
      <c r="WD6" s="113">
        <v>103.8</v>
      </c>
      <c r="WE6" s="113">
        <v>103.8</v>
      </c>
      <c r="WF6" s="113">
        <v>103.8</v>
      </c>
      <c r="WG6" s="113">
        <v>103.8</v>
      </c>
      <c r="WH6" s="113">
        <v>103.8</v>
      </c>
      <c r="WI6" s="113">
        <v>103.8</v>
      </c>
      <c r="WJ6" s="113">
        <v>103.8</v>
      </c>
      <c r="WK6" s="113">
        <v>103.8</v>
      </c>
      <c r="WL6" s="113">
        <v>103.8</v>
      </c>
      <c r="WM6" s="113">
        <v>103.8</v>
      </c>
      <c r="WN6" s="113">
        <v>103.8</v>
      </c>
      <c r="WO6" s="113">
        <v>103.8</v>
      </c>
      <c r="WP6" s="113">
        <v>103.8</v>
      </c>
      <c r="WQ6" s="113">
        <v>103.8</v>
      </c>
      <c r="WR6" s="113">
        <v>103.8</v>
      </c>
      <c r="WS6" s="113">
        <v>103.8</v>
      </c>
      <c r="WT6" s="113">
        <v>103.8</v>
      </c>
      <c r="WU6" s="113">
        <v>103.8</v>
      </c>
      <c r="WV6" s="113">
        <v>103.8</v>
      </c>
      <c r="WW6" s="113">
        <v>103.8</v>
      </c>
      <c r="XQ6" s="113">
        <v>103.8</v>
      </c>
      <c r="XR6" s="113">
        <v>103.8</v>
      </c>
      <c r="XS6" s="113">
        <v>103.8</v>
      </c>
      <c r="XT6" s="113">
        <v>103.8</v>
      </c>
      <c r="XU6" s="113">
        <v>103.8</v>
      </c>
      <c r="XV6" s="113">
        <v>103.8</v>
      </c>
      <c r="XW6" s="113">
        <v>103.8</v>
      </c>
      <c r="XX6" s="113">
        <v>103.8</v>
      </c>
      <c r="XY6" s="113">
        <v>103.8</v>
      </c>
      <c r="XZ6" s="113">
        <v>103.8</v>
      </c>
      <c r="YA6" s="113">
        <v>103.8</v>
      </c>
      <c r="YB6" s="113">
        <v>103.8</v>
      </c>
      <c r="YC6" s="113">
        <v>103.8</v>
      </c>
      <c r="YD6" s="113">
        <v>103.8</v>
      </c>
      <c r="YE6" s="113">
        <v>103.8</v>
      </c>
      <c r="YF6" s="113">
        <v>103.8</v>
      </c>
      <c r="YG6" s="113">
        <v>103.8</v>
      </c>
      <c r="YH6" s="113">
        <v>103.8</v>
      </c>
      <c r="YI6" s="113">
        <v>103.8</v>
      </c>
      <c r="YJ6" s="113">
        <v>103.8</v>
      </c>
      <c r="YK6" s="113">
        <v>103.8</v>
      </c>
      <c r="YL6" s="113">
        <v>103.8</v>
      </c>
      <c r="YM6" s="113">
        <v>103.8</v>
      </c>
      <c r="YN6" s="113">
        <v>103.8</v>
      </c>
      <c r="YO6" s="113">
        <v>103.8</v>
      </c>
      <c r="YP6" s="113">
        <v>103.8</v>
      </c>
      <c r="YQ6" s="113">
        <v>103.8</v>
      </c>
      <c r="YR6" s="113">
        <v>103.8</v>
      </c>
      <c r="YS6" s="113">
        <v>103.8</v>
      </c>
      <c r="YT6" s="113">
        <v>103.8</v>
      </c>
      <c r="YU6" s="113">
        <v>103.8</v>
      </c>
      <c r="YV6" s="113">
        <v>103.8</v>
      </c>
      <c r="YW6" s="113">
        <v>103.8</v>
      </c>
      <c r="YX6" s="113">
        <v>103.8</v>
      </c>
      <c r="YY6" s="113">
        <v>103.8</v>
      </c>
      <c r="YZ6" s="113">
        <v>103.8</v>
      </c>
      <c r="ZA6" s="113">
        <v>103.8</v>
      </c>
      <c r="ZB6" s="113">
        <v>103.8</v>
      </c>
      <c r="ZC6" s="113">
        <v>103.8</v>
      </c>
      <c r="ZD6" s="113">
        <v>103.8</v>
      </c>
      <c r="ZE6" s="113">
        <v>103.8</v>
      </c>
      <c r="ZF6" s="113">
        <v>103.8</v>
      </c>
      <c r="ZG6" s="113">
        <v>103.8</v>
      </c>
      <c r="ZH6" s="113">
        <v>103.8</v>
      </c>
      <c r="ZI6" s="113">
        <v>103.8</v>
      </c>
      <c r="ZJ6" s="113">
        <v>103.8</v>
      </c>
      <c r="ZK6" s="113">
        <v>103.8</v>
      </c>
      <c r="ZL6" s="113">
        <v>103.8</v>
      </c>
      <c r="ZM6" s="113">
        <v>103.8</v>
      </c>
      <c r="ZN6" s="113">
        <v>103.8</v>
      </c>
      <c r="ZO6" s="113">
        <v>103.8</v>
      </c>
      <c r="ZP6" s="113">
        <v>103.8</v>
      </c>
      <c r="ZQ6" s="113">
        <v>103.8</v>
      </c>
      <c r="ZR6" s="113">
        <v>103.8</v>
      </c>
      <c r="ZS6" s="113">
        <v>103.8</v>
      </c>
      <c r="ZT6" s="113">
        <v>103.8</v>
      </c>
      <c r="ZU6" s="113">
        <v>103.8</v>
      </c>
      <c r="ZV6" s="113">
        <v>103.8</v>
      </c>
      <c r="ZW6" s="113">
        <v>103.8</v>
      </c>
      <c r="AAS6" s="113">
        <v>103.8</v>
      </c>
      <c r="AAT6" s="113">
        <v>103.8</v>
      </c>
      <c r="AAU6" s="113">
        <v>103.8</v>
      </c>
      <c r="AAV6" s="113">
        <v>103.8</v>
      </c>
      <c r="AAW6" s="113">
        <v>103.8</v>
      </c>
      <c r="AAX6" s="113">
        <v>103.8</v>
      </c>
      <c r="AAY6" s="113">
        <v>103.8</v>
      </c>
      <c r="AAZ6" s="113">
        <v>103.8</v>
      </c>
      <c r="ABA6" s="113">
        <v>103.8</v>
      </c>
      <c r="ABB6" s="113">
        <v>103.8</v>
      </c>
      <c r="ABC6" s="113">
        <v>103.8</v>
      </c>
      <c r="ABD6" s="113">
        <v>103.8</v>
      </c>
      <c r="ABE6" s="113">
        <v>103.8</v>
      </c>
      <c r="ABF6" s="113">
        <v>103.8</v>
      </c>
      <c r="ABG6" s="113">
        <v>103.8</v>
      </c>
      <c r="ABH6" s="113">
        <v>103.8</v>
      </c>
      <c r="ABI6" s="113">
        <v>103.8</v>
      </c>
      <c r="ABJ6" s="113">
        <v>103.8</v>
      </c>
      <c r="ABK6" s="113">
        <v>103.8</v>
      </c>
      <c r="ABL6" s="113">
        <v>103.8</v>
      </c>
      <c r="ABM6" s="113">
        <v>103.8</v>
      </c>
      <c r="ABN6" s="113">
        <v>103.8</v>
      </c>
      <c r="ABO6" s="113">
        <v>103.8</v>
      </c>
      <c r="ABP6" s="113">
        <v>103.8</v>
      </c>
      <c r="ABQ6" s="113">
        <v>103.8</v>
      </c>
      <c r="ABR6" s="113">
        <v>103.8</v>
      </c>
      <c r="ABS6" s="113">
        <v>103.8</v>
      </c>
      <c r="ABT6" s="113">
        <v>103.8</v>
      </c>
      <c r="ABU6" s="113">
        <v>103.8</v>
      </c>
      <c r="ABV6" s="113">
        <v>103.8</v>
      </c>
      <c r="ABW6" s="113">
        <v>103.8</v>
      </c>
      <c r="ABX6" s="113">
        <v>103.8</v>
      </c>
      <c r="ABY6" s="113">
        <v>103.8</v>
      </c>
      <c r="ABZ6" s="113">
        <v>103.8</v>
      </c>
      <c r="ACA6" s="113">
        <v>103.8</v>
      </c>
      <c r="ACB6" s="113">
        <v>103.8</v>
      </c>
      <c r="ACC6" s="113">
        <v>103.8</v>
      </c>
      <c r="ACD6" s="113">
        <v>103.8</v>
      </c>
      <c r="ACE6" s="113">
        <v>103.8</v>
      </c>
      <c r="ACF6" s="113">
        <v>103.8</v>
      </c>
      <c r="ACG6" s="113">
        <v>103.8</v>
      </c>
      <c r="ACH6" s="113">
        <v>103.8</v>
      </c>
      <c r="ACI6" s="113">
        <v>103.8</v>
      </c>
      <c r="ACJ6" s="113">
        <v>103.8</v>
      </c>
      <c r="ACK6" s="113">
        <v>103.8</v>
      </c>
      <c r="ACL6" s="113">
        <v>103.8</v>
      </c>
      <c r="ACM6" s="113">
        <v>103.8</v>
      </c>
      <c r="ACN6" s="113">
        <v>103.8</v>
      </c>
      <c r="ACO6" s="113">
        <v>103.8</v>
      </c>
      <c r="ACP6" s="113">
        <v>103.8</v>
      </c>
      <c r="ACQ6" s="113">
        <v>103.8</v>
      </c>
      <c r="ACR6" s="113">
        <v>103.8</v>
      </c>
      <c r="ACS6" s="113">
        <v>103.8</v>
      </c>
      <c r="ACT6" s="113">
        <v>103.8</v>
      </c>
      <c r="ACU6" s="113">
        <v>103.8</v>
      </c>
      <c r="ACV6" s="113">
        <v>103.8</v>
      </c>
      <c r="ACW6" s="113">
        <v>103.8</v>
      </c>
      <c r="ACX6" s="113">
        <v>103.8</v>
      </c>
      <c r="ACY6" s="113">
        <v>103.8</v>
      </c>
      <c r="ACZ6" s="113">
        <v>103.8</v>
      </c>
      <c r="ADA6" s="113">
        <v>103.8</v>
      </c>
      <c r="ADU6" s="113">
        <v>103.8</v>
      </c>
      <c r="ADV6" s="113">
        <v>103.8</v>
      </c>
      <c r="ADW6" s="113">
        <v>103.8</v>
      </c>
      <c r="ADX6" s="113">
        <v>103.8</v>
      </c>
      <c r="ADY6" s="113">
        <v>103.8</v>
      </c>
      <c r="ADZ6" s="113">
        <v>103.8</v>
      </c>
      <c r="AEA6" s="113">
        <v>103.8</v>
      </c>
      <c r="AEB6" s="113">
        <v>103.8</v>
      </c>
      <c r="AEC6" s="113">
        <v>103.8</v>
      </c>
      <c r="AED6" s="113">
        <v>103.8</v>
      </c>
      <c r="AEE6" s="113">
        <v>103.8</v>
      </c>
      <c r="AEF6" s="113">
        <v>103.8</v>
      </c>
      <c r="AEG6" s="113">
        <v>103.8</v>
      </c>
      <c r="AEH6" s="113">
        <v>103.8</v>
      </c>
      <c r="AEI6" s="113">
        <v>103.8</v>
      </c>
      <c r="AEJ6" s="113">
        <v>103.8</v>
      </c>
      <c r="AEK6" s="113">
        <v>103.8</v>
      </c>
      <c r="AEL6" s="113">
        <v>103.8</v>
      </c>
      <c r="AEM6" s="113">
        <v>103.8</v>
      </c>
      <c r="AEN6" s="113">
        <v>103.8</v>
      </c>
      <c r="AEO6" s="113">
        <v>103.8</v>
      </c>
      <c r="AEP6" s="113">
        <v>103.8</v>
      </c>
      <c r="AEQ6" s="113">
        <v>103.8</v>
      </c>
      <c r="AER6" s="113">
        <v>103.8</v>
      </c>
      <c r="AES6" s="113">
        <v>103.8</v>
      </c>
      <c r="AET6" s="113">
        <v>103.8</v>
      </c>
      <c r="AEU6" s="113">
        <v>103.8</v>
      </c>
      <c r="AEV6" s="113">
        <v>103.8</v>
      </c>
      <c r="AEW6" s="113">
        <v>103.8</v>
      </c>
      <c r="AEX6" s="113">
        <v>103.8</v>
      </c>
      <c r="AEY6" s="113">
        <v>103.8</v>
      </c>
      <c r="AEZ6" s="113">
        <v>103.8</v>
      </c>
      <c r="AFA6" s="113">
        <v>103.8</v>
      </c>
      <c r="AFB6" s="113">
        <v>103.8</v>
      </c>
      <c r="AFC6" s="113">
        <v>103.8</v>
      </c>
      <c r="AFD6" s="113">
        <v>103.8</v>
      </c>
      <c r="AFE6" s="113">
        <v>103.8</v>
      </c>
      <c r="AFF6" s="113">
        <v>103.8</v>
      </c>
      <c r="AFG6" s="113">
        <v>103.8</v>
      </c>
      <c r="AFH6" s="113">
        <v>103.8</v>
      </c>
      <c r="AFI6" s="113">
        <v>103.8</v>
      </c>
      <c r="AFJ6" s="113">
        <v>103.8</v>
      </c>
      <c r="AFK6" s="113">
        <v>103.8</v>
      </c>
      <c r="AFL6" s="113">
        <v>103.8</v>
      </c>
      <c r="AFM6" s="113">
        <v>103.8</v>
      </c>
      <c r="AFN6" s="113">
        <v>103.8</v>
      </c>
      <c r="AFO6" s="113">
        <v>103.8</v>
      </c>
      <c r="AFP6" s="113">
        <v>103.8</v>
      </c>
      <c r="AFQ6" s="113">
        <v>103.8</v>
      </c>
      <c r="AFR6" s="113">
        <v>103.8</v>
      </c>
      <c r="AFS6" s="113">
        <v>103.8</v>
      </c>
      <c r="AFT6" s="113">
        <v>103.8</v>
      </c>
      <c r="AFU6" s="113">
        <v>103.8</v>
      </c>
      <c r="AFV6" s="113">
        <v>103.8</v>
      </c>
      <c r="AFW6" s="113">
        <v>103.8</v>
      </c>
      <c r="AFX6" s="113">
        <v>103.8</v>
      </c>
      <c r="AFY6" s="113">
        <v>103.8</v>
      </c>
      <c r="AFZ6" s="113">
        <v>103.8</v>
      </c>
      <c r="AGA6" s="113">
        <v>103.8</v>
      </c>
      <c r="AGB6" s="113">
        <v>103.8</v>
      </c>
      <c r="AGW6" s="113">
        <v>103.8</v>
      </c>
      <c r="AGX6" s="113">
        <v>103.8</v>
      </c>
      <c r="AGY6" s="113">
        <v>103.8</v>
      </c>
      <c r="AGZ6" s="113">
        <v>103.8</v>
      </c>
      <c r="AHA6" s="113">
        <v>103.8</v>
      </c>
      <c r="AHB6" s="113">
        <v>103.8</v>
      </c>
      <c r="AHC6" s="113">
        <v>103.8</v>
      </c>
      <c r="AHD6" s="113">
        <v>103.8</v>
      </c>
      <c r="AHE6" s="113">
        <v>103.8</v>
      </c>
      <c r="AHF6" s="113">
        <v>103.8</v>
      </c>
      <c r="AHG6" s="113">
        <v>103.8</v>
      </c>
      <c r="AHH6" s="113">
        <v>103.8</v>
      </c>
      <c r="AHI6" s="113">
        <v>103.8</v>
      </c>
      <c r="AHJ6" s="113">
        <v>103.8</v>
      </c>
      <c r="AHK6" s="113">
        <v>103.8</v>
      </c>
      <c r="AHL6" s="113">
        <v>103.8</v>
      </c>
      <c r="AHM6" s="113">
        <v>103.8</v>
      </c>
      <c r="AHN6" s="113">
        <v>103.8</v>
      </c>
      <c r="AHO6" s="113">
        <v>103.8</v>
      </c>
      <c r="AHP6" s="113">
        <v>103.8</v>
      </c>
      <c r="AHQ6" s="113">
        <v>103.8</v>
      </c>
      <c r="AHR6" s="113">
        <v>103.8</v>
      </c>
      <c r="AHS6" s="113">
        <v>103.8</v>
      </c>
      <c r="AHT6" s="113">
        <v>103.8</v>
      </c>
      <c r="AHU6" s="113">
        <v>103.8</v>
      </c>
      <c r="AHV6" s="113">
        <v>103.8</v>
      </c>
      <c r="AHW6" s="113">
        <v>103.8</v>
      </c>
      <c r="AHX6" s="113">
        <v>103.8</v>
      </c>
      <c r="AHY6" s="113">
        <v>103.8</v>
      </c>
      <c r="AHZ6" s="113">
        <v>103.8</v>
      </c>
      <c r="AIA6" s="113">
        <v>103.8</v>
      </c>
      <c r="AIB6" s="113">
        <v>103.8</v>
      </c>
      <c r="AIC6" s="113">
        <v>103.8</v>
      </c>
      <c r="AID6" s="113">
        <v>103.8</v>
      </c>
      <c r="AIE6" s="113">
        <v>103.8</v>
      </c>
      <c r="AIF6" s="113">
        <v>103.8</v>
      </c>
      <c r="AIG6" s="113">
        <v>103.8</v>
      </c>
      <c r="AIH6" s="113">
        <v>103.8</v>
      </c>
      <c r="AII6" s="113">
        <v>103.8</v>
      </c>
      <c r="AIJ6" s="113">
        <v>103.8</v>
      </c>
      <c r="AIK6" s="113">
        <v>103.8</v>
      </c>
      <c r="AIL6" s="113">
        <v>103.8</v>
      </c>
      <c r="AIM6" s="113">
        <v>103.8</v>
      </c>
      <c r="AIN6" s="113">
        <v>103.8</v>
      </c>
      <c r="AIO6" s="113">
        <v>103.8</v>
      </c>
      <c r="AIP6" s="113">
        <v>103.8</v>
      </c>
      <c r="AIQ6" s="113">
        <v>103.8</v>
      </c>
      <c r="AIR6" s="113">
        <v>103.8</v>
      </c>
      <c r="AIS6" s="113">
        <v>103.8</v>
      </c>
      <c r="AIT6" s="113">
        <v>103.8</v>
      </c>
      <c r="AIU6" s="113">
        <v>103.8</v>
      </c>
      <c r="AIV6" s="113">
        <v>103.8</v>
      </c>
      <c r="AIW6" s="113">
        <v>103.8</v>
      </c>
      <c r="AIX6" s="113">
        <v>103.8</v>
      </c>
      <c r="AIY6" s="113">
        <v>103.8</v>
      </c>
      <c r="AIZ6" s="113">
        <v>103.8</v>
      </c>
      <c r="AJA6" s="113">
        <v>103.8</v>
      </c>
      <c r="AJB6" s="113">
        <v>103.8</v>
      </c>
      <c r="AJC6" s="113">
        <v>103.8</v>
      </c>
      <c r="AJD6" s="113">
        <v>103.8</v>
      </c>
    </row>
    <row r="7" spans="1:940">
      <c r="A7" s="113">
        <v>86.5</v>
      </c>
      <c r="B7" s="113">
        <v>86.5</v>
      </c>
      <c r="C7" s="113">
        <v>86.5</v>
      </c>
      <c r="D7" s="113">
        <v>86.5</v>
      </c>
      <c r="E7" s="113">
        <v>86.5</v>
      </c>
      <c r="F7" s="113">
        <v>86.5</v>
      </c>
      <c r="G7" s="113">
        <v>100</v>
      </c>
      <c r="H7" s="113">
        <v>100</v>
      </c>
      <c r="I7" s="113">
        <v>100</v>
      </c>
      <c r="J7" s="113">
        <v>100</v>
      </c>
      <c r="K7" s="113">
        <v>86.5</v>
      </c>
      <c r="L7" s="113">
        <v>86.5</v>
      </c>
      <c r="M7" s="113">
        <v>86.5</v>
      </c>
      <c r="N7" s="113">
        <v>86.5</v>
      </c>
      <c r="O7" s="113">
        <v>86.5</v>
      </c>
      <c r="P7" s="113">
        <v>86.5</v>
      </c>
      <c r="Q7" s="113">
        <v>86.5</v>
      </c>
      <c r="R7" s="113">
        <v>86.5</v>
      </c>
      <c r="S7" s="113">
        <v>100</v>
      </c>
      <c r="T7" s="113">
        <v>86.5</v>
      </c>
      <c r="U7" s="113">
        <v>86.5</v>
      </c>
      <c r="V7" s="113">
        <v>86.5</v>
      </c>
      <c r="W7" s="113">
        <v>86.5</v>
      </c>
      <c r="X7" s="113">
        <v>86.5</v>
      </c>
      <c r="Y7" s="113">
        <v>86.5</v>
      </c>
      <c r="Z7" s="113">
        <v>86.5</v>
      </c>
      <c r="AA7" s="113">
        <v>86.5</v>
      </c>
      <c r="AB7" s="113">
        <v>86.5</v>
      </c>
      <c r="AC7" s="113">
        <v>86.5</v>
      </c>
      <c r="AD7" s="113">
        <v>86.5</v>
      </c>
      <c r="AE7" s="113">
        <v>86.5</v>
      </c>
      <c r="AF7" s="113">
        <v>86.5</v>
      </c>
      <c r="AG7" s="113">
        <v>100</v>
      </c>
      <c r="AH7" s="113">
        <v>86.5</v>
      </c>
      <c r="AI7" s="113">
        <v>86.5</v>
      </c>
      <c r="AJ7" s="113">
        <v>86.5</v>
      </c>
      <c r="AK7" s="113">
        <v>86.5</v>
      </c>
      <c r="AL7" s="113">
        <v>86.5</v>
      </c>
      <c r="AM7" s="113">
        <v>86.5</v>
      </c>
      <c r="AN7" s="113">
        <v>86.5</v>
      </c>
      <c r="AO7" s="113">
        <v>86.5</v>
      </c>
      <c r="AP7" s="113">
        <v>86.5</v>
      </c>
      <c r="AQ7" s="113">
        <v>86.5</v>
      </c>
      <c r="AR7" s="113">
        <v>86.5</v>
      </c>
      <c r="AS7" s="113">
        <v>86.5</v>
      </c>
      <c r="AT7" s="113">
        <v>86.5</v>
      </c>
      <c r="AU7" s="113">
        <v>86.5</v>
      </c>
      <c r="AV7" s="113">
        <v>86.5</v>
      </c>
      <c r="AW7" s="113">
        <v>86.5</v>
      </c>
      <c r="AX7" s="113">
        <v>86.5</v>
      </c>
      <c r="AY7" s="113">
        <v>86.5</v>
      </c>
      <c r="AZ7" s="113">
        <v>86.5</v>
      </c>
      <c r="CC7" s="113">
        <v>86.5</v>
      </c>
      <c r="CD7" s="113">
        <v>86.5</v>
      </c>
      <c r="CE7" s="113">
        <v>86.5</v>
      </c>
      <c r="CF7" s="113">
        <v>86.5</v>
      </c>
      <c r="CG7" s="113">
        <v>86.5</v>
      </c>
      <c r="CH7" s="113">
        <v>86.5</v>
      </c>
      <c r="CI7" s="113">
        <v>86.5</v>
      </c>
      <c r="CJ7" s="113">
        <v>86.5</v>
      </c>
      <c r="CK7" s="113">
        <v>86.5</v>
      </c>
      <c r="CL7" s="113">
        <v>86.5</v>
      </c>
      <c r="CM7" s="113">
        <v>86.5</v>
      </c>
      <c r="CN7" s="113">
        <v>86.5</v>
      </c>
      <c r="CO7" s="113">
        <v>86.5</v>
      </c>
      <c r="CP7" s="113">
        <v>86.5</v>
      </c>
      <c r="CQ7" s="113">
        <v>86.5</v>
      </c>
      <c r="CR7" s="113">
        <v>86.5</v>
      </c>
      <c r="CS7" s="113">
        <v>86.5</v>
      </c>
      <c r="CT7" s="113">
        <v>86.5</v>
      </c>
      <c r="CU7" s="113">
        <v>86.5</v>
      </c>
      <c r="CV7" s="113">
        <v>86.5</v>
      </c>
      <c r="CW7" s="113">
        <v>86.5</v>
      </c>
      <c r="CX7" s="113">
        <v>86.5</v>
      </c>
      <c r="CY7" s="113">
        <v>86.5</v>
      </c>
      <c r="CZ7" s="113">
        <v>86.5</v>
      </c>
      <c r="DA7" s="113">
        <v>86.5</v>
      </c>
      <c r="DB7" s="113">
        <v>86.5</v>
      </c>
      <c r="DC7" s="113">
        <v>86.5</v>
      </c>
      <c r="DD7" s="113">
        <v>86.5</v>
      </c>
      <c r="DE7" s="113">
        <v>86.5</v>
      </c>
      <c r="DF7" s="113">
        <v>86.5</v>
      </c>
      <c r="DG7" s="113">
        <v>86.5</v>
      </c>
      <c r="DH7" s="113">
        <v>86.5</v>
      </c>
      <c r="DI7" s="113">
        <v>86.5</v>
      </c>
      <c r="DJ7" s="113">
        <v>86.5</v>
      </c>
      <c r="DK7" s="113">
        <v>86.5</v>
      </c>
      <c r="DL7" s="113">
        <v>86.5</v>
      </c>
      <c r="DM7" s="113">
        <v>86.5</v>
      </c>
      <c r="DN7" s="113">
        <v>86.5</v>
      </c>
      <c r="DO7" s="113">
        <v>86.5</v>
      </c>
      <c r="DP7" s="113">
        <v>86.5</v>
      </c>
      <c r="DQ7" s="113">
        <v>86.5</v>
      </c>
      <c r="DR7" s="113">
        <v>86.5</v>
      </c>
      <c r="DS7" s="113">
        <v>86.5</v>
      </c>
      <c r="DT7" s="113">
        <v>86.5</v>
      </c>
      <c r="DU7" s="113">
        <v>86.5</v>
      </c>
      <c r="DV7" s="113">
        <v>86.5</v>
      </c>
      <c r="DW7" s="113">
        <v>86.5</v>
      </c>
      <c r="DX7" s="113">
        <v>86.5</v>
      </c>
      <c r="DY7" s="113">
        <v>86.5</v>
      </c>
      <c r="DZ7" s="113">
        <v>86.5</v>
      </c>
      <c r="EA7" s="113">
        <v>86.5</v>
      </c>
      <c r="EB7" s="113">
        <v>86.5</v>
      </c>
      <c r="EC7" s="113">
        <v>86.5</v>
      </c>
      <c r="ED7" s="113">
        <v>86.5</v>
      </c>
      <c r="EE7" s="113">
        <v>86.5</v>
      </c>
      <c r="EF7" s="113">
        <v>86.5</v>
      </c>
      <c r="EG7" s="113">
        <v>86.5</v>
      </c>
      <c r="EH7" s="113">
        <v>86.5</v>
      </c>
      <c r="EI7" s="113">
        <v>86.5</v>
      </c>
      <c r="FE7" s="113">
        <v>86.5</v>
      </c>
      <c r="FF7" s="113">
        <v>86.5</v>
      </c>
      <c r="FG7" s="113">
        <v>86.5</v>
      </c>
      <c r="FH7" s="113">
        <v>86.5</v>
      </c>
      <c r="FI7" s="113">
        <v>86.5</v>
      </c>
      <c r="FJ7" s="113">
        <v>86.5</v>
      </c>
      <c r="FK7" s="113">
        <v>100</v>
      </c>
      <c r="FL7" s="113">
        <v>86.5</v>
      </c>
      <c r="FM7" s="113">
        <v>100</v>
      </c>
      <c r="FN7" s="113">
        <v>100</v>
      </c>
      <c r="FO7" s="113">
        <v>100</v>
      </c>
      <c r="FP7" s="113">
        <v>100</v>
      </c>
      <c r="FQ7" s="113">
        <v>100</v>
      </c>
      <c r="FR7" s="113">
        <v>86.5</v>
      </c>
      <c r="FS7" s="113">
        <v>86.5</v>
      </c>
      <c r="FT7" s="113">
        <v>86.5</v>
      </c>
      <c r="FU7" s="113">
        <v>86.5</v>
      </c>
      <c r="FV7" s="113">
        <v>86.5</v>
      </c>
      <c r="FW7" s="113">
        <v>86.5</v>
      </c>
      <c r="FX7" s="113">
        <v>86.5</v>
      </c>
      <c r="FY7" s="113">
        <v>86.5</v>
      </c>
      <c r="FZ7" s="113">
        <v>86.5</v>
      </c>
      <c r="GA7" s="113">
        <v>86.5</v>
      </c>
      <c r="GB7" s="113">
        <v>86.5</v>
      </c>
      <c r="GC7" s="113">
        <v>86.5</v>
      </c>
      <c r="GD7" s="113">
        <v>86.5</v>
      </c>
      <c r="GE7" s="113">
        <v>86.5</v>
      </c>
      <c r="GF7" s="113">
        <v>86.5</v>
      </c>
      <c r="GG7" s="113">
        <v>86.5</v>
      </c>
      <c r="GH7" s="113">
        <v>86.5</v>
      </c>
      <c r="GI7" s="113">
        <v>86.5</v>
      </c>
      <c r="GJ7" s="113">
        <v>86.5</v>
      </c>
      <c r="GK7" s="113">
        <v>86.5</v>
      </c>
      <c r="GL7" s="113">
        <v>86.5</v>
      </c>
      <c r="GM7" s="113">
        <v>86.5</v>
      </c>
      <c r="GN7" s="113">
        <v>86.5</v>
      </c>
      <c r="GO7" s="113">
        <v>86.5</v>
      </c>
      <c r="GP7" s="113">
        <v>86.5</v>
      </c>
      <c r="GQ7" s="113">
        <v>86.5</v>
      </c>
      <c r="GR7" s="113">
        <v>86.5</v>
      </c>
      <c r="GS7" s="113">
        <v>86.5</v>
      </c>
      <c r="GT7" s="113">
        <v>86.5</v>
      </c>
      <c r="GU7" s="113">
        <v>86.5</v>
      </c>
      <c r="GV7" s="113">
        <v>86.5</v>
      </c>
      <c r="GW7" s="113">
        <v>86.5</v>
      </c>
      <c r="GX7" s="113">
        <v>86.5</v>
      </c>
      <c r="GY7" s="113">
        <v>86.5</v>
      </c>
      <c r="GZ7" s="113">
        <v>86.5</v>
      </c>
      <c r="HA7" s="113">
        <v>86.5</v>
      </c>
      <c r="HB7" s="113">
        <v>86.5</v>
      </c>
      <c r="HC7" s="113">
        <v>86.5</v>
      </c>
      <c r="HD7" s="113">
        <v>86.5</v>
      </c>
      <c r="HE7" s="113">
        <v>86.5</v>
      </c>
      <c r="HF7" s="113">
        <v>86.5</v>
      </c>
      <c r="HG7" s="113">
        <v>86.5</v>
      </c>
      <c r="HH7" s="113">
        <v>86.5</v>
      </c>
      <c r="HI7" s="113">
        <v>100</v>
      </c>
      <c r="HJ7" s="113">
        <v>86.5</v>
      </c>
      <c r="HK7" s="113">
        <v>86.5</v>
      </c>
      <c r="HL7" s="113">
        <v>86.5</v>
      </c>
      <c r="IG7" s="113">
        <v>86.5</v>
      </c>
      <c r="IH7" s="113">
        <v>86.5</v>
      </c>
      <c r="II7" s="113">
        <v>86.5</v>
      </c>
      <c r="IJ7" s="113">
        <v>86.5</v>
      </c>
      <c r="IK7" s="113">
        <v>86.5</v>
      </c>
      <c r="IL7" s="113">
        <v>86.5</v>
      </c>
      <c r="IM7" s="113">
        <v>100</v>
      </c>
      <c r="IN7" s="113">
        <v>86.5</v>
      </c>
      <c r="IO7" s="113">
        <v>100</v>
      </c>
      <c r="IP7" s="113">
        <v>100</v>
      </c>
      <c r="IQ7" s="113">
        <v>100</v>
      </c>
      <c r="IR7" s="113">
        <v>100</v>
      </c>
      <c r="IS7" s="113">
        <v>100</v>
      </c>
      <c r="IT7" s="113">
        <v>86.5</v>
      </c>
      <c r="IU7" s="113">
        <v>86.5</v>
      </c>
      <c r="IV7" s="113">
        <v>86.5</v>
      </c>
      <c r="IW7" s="113">
        <v>86.5</v>
      </c>
      <c r="IX7" s="113">
        <v>86.5</v>
      </c>
      <c r="IY7" s="113">
        <v>86.5</v>
      </c>
      <c r="IZ7" s="113">
        <v>86.5</v>
      </c>
      <c r="JA7" s="113">
        <v>86.5</v>
      </c>
      <c r="JB7" s="113">
        <v>86.5</v>
      </c>
      <c r="JC7" s="113">
        <v>86.5</v>
      </c>
      <c r="JD7" s="113">
        <v>86.5</v>
      </c>
      <c r="JE7" s="113">
        <v>86.5</v>
      </c>
      <c r="JF7" s="113">
        <v>86.5</v>
      </c>
      <c r="JG7" s="113">
        <v>86.5</v>
      </c>
      <c r="JH7" s="113">
        <v>86.5</v>
      </c>
      <c r="JI7" s="113">
        <v>86.5</v>
      </c>
      <c r="JJ7" s="113">
        <v>86.5</v>
      </c>
      <c r="JK7" s="113">
        <v>86.5</v>
      </c>
      <c r="JL7" s="113">
        <v>86.5</v>
      </c>
      <c r="JM7" s="113">
        <v>86.5</v>
      </c>
      <c r="JN7" s="113">
        <v>86.5</v>
      </c>
      <c r="JO7" s="113">
        <v>86.5</v>
      </c>
      <c r="JP7" s="113">
        <v>86.5</v>
      </c>
      <c r="JQ7" s="113">
        <v>86.5</v>
      </c>
      <c r="JR7" s="113">
        <v>86.5</v>
      </c>
      <c r="JS7" s="113">
        <v>86.5</v>
      </c>
      <c r="JT7" s="113">
        <v>86.5</v>
      </c>
      <c r="JU7" s="113">
        <v>86.5</v>
      </c>
      <c r="JV7" s="113">
        <v>86.5</v>
      </c>
      <c r="JW7" s="113">
        <v>86.5</v>
      </c>
      <c r="JX7" s="113">
        <v>86.5</v>
      </c>
      <c r="JY7" s="113">
        <v>86.5</v>
      </c>
      <c r="JZ7" s="113">
        <v>86.5</v>
      </c>
      <c r="KA7" s="113">
        <v>86.5</v>
      </c>
      <c r="KB7" s="113">
        <v>86.5</v>
      </c>
      <c r="KC7" s="113">
        <v>86.5</v>
      </c>
      <c r="KD7" s="113">
        <v>86.5</v>
      </c>
      <c r="KE7" s="113">
        <v>86.5</v>
      </c>
      <c r="KF7" s="113">
        <v>86.5</v>
      </c>
      <c r="KG7" s="113">
        <v>86.5</v>
      </c>
      <c r="KH7" s="113">
        <v>86.5</v>
      </c>
      <c r="KI7" s="113">
        <v>86.5</v>
      </c>
      <c r="KJ7" s="113">
        <v>86.5</v>
      </c>
      <c r="KK7" s="113">
        <v>100</v>
      </c>
      <c r="KL7" s="113">
        <v>86.5</v>
      </c>
      <c r="KM7" s="113">
        <v>86.5</v>
      </c>
      <c r="KN7" s="113">
        <v>86.5</v>
      </c>
      <c r="LI7" s="113">
        <v>86.5</v>
      </c>
      <c r="LJ7" s="113">
        <v>86.5</v>
      </c>
      <c r="LK7" s="113">
        <v>86.5</v>
      </c>
      <c r="LL7" s="113">
        <v>86.5</v>
      </c>
      <c r="LM7" s="113">
        <v>86.5</v>
      </c>
      <c r="LN7" s="113">
        <v>86.5</v>
      </c>
      <c r="LO7" s="113">
        <v>100</v>
      </c>
      <c r="LP7" s="113">
        <v>86.5</v>
      </c>
      <c r="LQ7" s="113">
        <v>100</v>
      </c>
      <c r="LR7" s="113">
        <v>100</v>
      </c>
      <c r="LS7" s="113">
        <v>100</v>
      </c>
      <c r="LT7" s="113">
        <v>100</v>
      </c>
      <c r="LU7" s="113">
        <v>100</v>
      </c>
      <c r="LV7" s="113">
        <v>86.5</v>
      </c>
      <c r="LW7" s="113">
        <v>86.5</v>
      </c>
      <c r="LX7" s="113">
        <v>86.5</v>
      </c>
      <c r="LY7" s="113">
        <v>86.5</v>
      </c>
      <c r="LZ7" s="113">
        <v>86.5</v>
      </c>
      <c r="MA7" s="113">
        <v>86.5</v>
      </c>
      <c r="MB7" s="113">
        <v>86.5</v>
      </c>
      <c r="MC7" s="113">
        <v>86.5</v>
      </c>
      <c r="MD7" s="113">
        <v>86.5</v>
      </c>
      <c r="ME7" s="113">
        <v>86.5</v>
      </c>
      <c r="MF7" s="113">
        <v>86.5</v>
      </c>
      <c r="MG7" s="113">
        <v>86.5</v>
      </c>
      <c r="MH7" s="113">
        <v>86.5</v>
      </c>
      <c r="MI7" s="113">
        <v>86.5</v>
      </c>
      <c r="MJ7" s="113">
        <v>86.5</v>
      </c>
      <c r="MK7" s="113">
        <v>86.5</v>
      </c>
      <c r="ML7" s="113">
        <v>86.5</v>
      </c>
      <c r="MM7" s="113">
        <v>86.5</v>
      </c>
      <c r="MN7" s="113">
        <v>86.5</v>
      </c>
      <c r="MO7" s="113">
        <v>86.5</v>
      </c>
      <c r="MP7" s="113">
        <v>86.5</v>
      </c>
      <c r="MQ7" s="113">
        <v>86.5</v>
      </c>
      <c r="MR7" s="113">
        <v>86.5</v>
      </c>
      <c r="MS7" s="113">
        <v>86.5</v>
      </c>
      <c r="MT7" s="113">
        <v>86.5</v>
      </c>
      <c r="MU7" s="113">
        <v>86.5</v>
      </c>
      <c r="MV7" s="113">
        <v>86.5</v>
      </c>
      <c r="MW7" s="113">
        <v>86.5</v>
      </c>
      <c r="MX7" s="113">
        <v>86.5</v>
      </c>
      <c r="MY7" s="113">
        <v>86.5</v>
      </c>
      <c r="MZ7" s="113">
        <v>86.5</v>
      </c>
      <c r="NA7" s="113">
        <v>86.5</v>
      </c>
      <c r="NB7" s="113">
        <v>86.5</v>
      </c>
      <c r="NC7" s="113">
        <v>86.5</v>
      </c>
      <c r="ND7" s="113">
        <v>86.5</v>
      </c>
      <c r="NE7" s="113">
        <v>86.5</v>
      </c>
      <c r="NF7" s="113">
        <v>86.5</v>
      </c>
      <c r="NG7" s="113">
        <v>86.5</v>
      </c>
      <c r="NH7" s="113">
        <v>86.5</v>
      </c>
      <c r="NI7" s="113">
        <v>86.5</v>
      </c>
      <c r="NJ7" s="113">
        <v>86.5</v>
      </c>
      <c r="NK7" s="113">
        <v>86.5</v>
      </c>
      <c r="NL7" s="113">
        <v>86.5</v>
      </c>
      <c r="NM7" s="113">
        <v>86.5</v>
      </c>
      <c r="NN7" s="113">
        <v>86.5</v>
      </c>
      <c r="NO7" s="113">
        <v>100</v>
      </c>
      <c r="NP7" s="113">
        <v>86.5</v>
      </c>
      <c r="NQ7" s="113">
        <v>86.5</v>
      </c>
      <c r="NR7" s="113">
        <v>86.5</v>
      </c>
      <c r="OK7" s="113">
        <v>86.5</v>
      </c>
      <c r="OL7" s="113">
        <v>86.5</v>
      </c>
      <c r="OM7" s="113">
        <v>86.5</v>
      </c>
      <c r="ON7" s="113">
        <v>86.5</v>
      </c>
      <c r="OO7" s="113">
        <v>86.5</v>
      </c>
      <c r="OP7" s="113">
        <v>86.5</v>
      </c>
      <c r="OQ7" s="113">
        <v>86.5</v>
      </c>
      <c r="OR7" s="113">
        <v>86.5</v>
      </c>
      <c r="OS7" s="113">
        <v>86.5</v>
      </c>
      <c r="OT7" s="113">
        <v>86.5</v>
      </c>
      <c r="OU7" s="113">
        <v>86.5</v>
      </c>
      <c r="OV7" s="113">
        <v>86.5</v>
      </c>
      <c r="OW7" s="113">
        <v>86.5</v>
      </c>
      <c r="OX7" s="113">
        <v>86.5</v>
      </c>
      <c r="OY7" s="113">
        <v>86.5</v>
      </c>
      <c r="OZ7" s="113">
        <v>86.5</v>
      </c>
      <c r="PA7" s="113">
        <v>86.5</v>
      </c>
      <c r="PB7" s="113">
        <v>86.5</v>
      </c>
      <c r="PC7" s="113">
        <v>86.5</v>
      </c>
      <c r="PD7" s="113">
        <v>86.5</v>
      </c>
      <c r="PE7" s="113">
        <v>86.5</v>
      </c>
      <c r="PF7" s="113">
        <v>86.5</v>
      </c>
      <c r="PG7" s="113">
        <v>86.5</v>
      </c>
      <c r="PH7" s="113">
        <v>86.5</v>
      </c>
      <c r="PI7" s="113">
        <v>86.5</v>
      </c>
      <c r="PJ7" s="113">
        <v>86.5</v>
      </c>
      <c r="PK7" s="113">
        <v>86.5</v>
      </c>
      <c r="PL7" s="113">
        <v>86.5</v>
      </c>
      <c r="PM7" s="113">
        <v>86.5</v>
      </c>
      <c r="PN7" s="113">
        <v>86.5</v>
      </c>
      <c r="PO7" s="113">
        <v>86.5</v>
      </c>
      <c r="PP7" s="113">
        <v>86.5</v>
      </c>
      <c r="PQ7" s="113">
        <v>86.5</v>
      </c>
      <c r="PR7" s="113">
        <v>86.5</v>
      </c>
      <c r="PS7" s="113">
        <v>86.5</v>
      </c>
      <c r="PT7" s="113">
        <v>86.5</v>
      </c>
      <c r="PU7" s="113">
        <v>86.5</v>
      </c>
      <c r="PV7" s="113">
        <v>86.5</v>
      </c>
      <c r="PW7" s="113">
        <v>86.5</v>
      </c>
      <c r="PX7" s="113">
        <v>86.5</v>
      </c>
      <c r="PY7" s="113">
        <v>86.5</v>
      </c>
      <c r="PZ7" s="113">
        <v>86.5</v>
      </c>
      <c r="QA7" s="113">
        <v>86.5</v>
      </c>
      <c r="QB7" s="113">
        <v>86.5</v>
      </c>
      <c r="QC7" s="113">
        <v>86.5</v>
      </c>
      <c r="QD7" s="113">
        <v>86.5</v>
      </c>
      <c r="QE7" s="113">
        <v>86.5</v>
      </c>
      <c r="QF7" s="113">
        <v>86.5</v>
      </c>
      <c r="QG7" s="113">
        <v>86.5</v>
      </c>
      <c r="QH7" s="113">
        <v>86.5</v>
      </c>
      <c r="QI7" s="113">
        <v>86.5</v>
      </c>
      <c r="QJ7" s="113">
        <v>86.5</v>
      </c>
      <c r="QK7" s="113">
        <v>86.5</v>
      </c>
      <c r="QL7" s="113">
        <v>86.5</v>
      </c>
      <c r="QM7" s="113">
        <v>86.5</v>
      </c>
      <c r="QN7" s="113">
        <v>86.5</v>
      </c>
      <c r="QO7" s="113">
        <v>86.5</v>
      </c>
      <c r="QP7" s="113">
        <v>86.5</v>
      </c>
      <c r="QQ7" s="113">
        <v>86.5</v>
      </c>
      <c r="QR7" s="113">
        <v>86.5</v>
      </c>
      <c r="QS7" s="113">
        <v>86.5</v>
      </c>
      <c r="RM7" s="113">
        <v>86.5</v>
      </c>
      <c r="RN7" s="113">
        <v>86.5</v>
      </c>
      <c r="RO7" s="113">
        <v>86.5</v>
      </c>
      <c r="RP7" s="113">
        <v>86.5</v>
      </c>
      <c r="RQ7" s="113">
        <v>86.5</v>
      </c>
      <c r="RR7" s="113">
        <v>86.5</v>
      </c>
      <c r="RS7" s="113">
        <v>86.5</v>
      </c>
      <c r="RT7" s="113">
        <v>86.5</v>
      </c>
      <c r="RU7" s="113">
        <v>86.5</v>
      </c>
      <c r="RV7" s="113">
        <v>86.5</v>
      </c>
      <c r="RW7" s="113">
        <v>86.5</v>
      </c>
      <c r="RX7" s="113">
        <v>86.5</v>
      </c>
      <c r="RY7" s="113">
        <v>86.5</v>
      </c>
      <c r="RZ7" s="113">
        <v>86.5</v>
      </c>
      <c r="SA7" s="113">
        <v>86.5</v>
      </c>
      <c r="SB7" s="113">
        <v>86.5</v>
      </c>
      <c r="SC7" s="113">
        <v>86.5</v>
      </c>
      <c r="SD7" s="113">
        <v>86.5</v>
      </c>
      <c r="SE7" s="113">
        <v>86.5</v>
      </c>
      <c r="SF7" s="113">
        <v>86.5</v>
      </c>
      <c r="SG7" s="113">
        <v>86.5</v>
      </c>
      <c r="SH7" s="113">
        <v>86.5</v>
      </c>
      <c r="SI7" s="113">
        <v>86.5</v>
      </c>
      <c r="SJ7" s="113">
        <v>86.5</v>
      </c>
      <c r="SK7" s="113">
        <v>86.5</v>
      </c>
      <c r="SL7" s="113">
        <v>86.5</v>
      </c>
      <c r="SM7" s="113">
        <v>86.5</v>
      </c>
      <c r="SN7" s="113">
        <v>86.5</v>
      </c>
      <c r="SO7" s="113">
        <v>86.5</v>
      </c>
      <c r="SP7" s="113">
        <v>86.5</v>
      </c>
      <c r="SQ7" s="113">
        <v>86.5</v>
      </c>
      <c r="SR7" s="113">
        <v>86.5</v>
      </c>
      <c r="SS7" s="113">
        <v>86.5</v>
      </c>
      <c r="ST7" s="113">
        <v>86.5</v>
      </c>
      <c r="SU7" s="113">
        <v>86.5</v>
      </c>
      <c r="SV7" s="113">
        <v>86.5</v>
      </c>
      <c r="SW7" s="113">
        <v>86.5</v>
      </c>
      <c r="SX7" s="113">
        <v>86.5</v>
      </c>
      <c r="SY7" s="113">
        <v>86.5</v>
      </c>
      <c r="SZ7" s="113">
        <v>86.5</v>
      </c>
      <c r="TA7" s="113">
        <v>86.5</v>
      </c>
      <c r="TB7" s="113">
        <v>86.5</v>
      </c>
      <c r="TC7" s="113">
        <v>86.5</v>
      </c>
      <c r="TD7" s="113">
        <v>86.5</v>
      </c>
      <c r="TE7" s="113">
        <v>86.5</v>
      </c>
      <c r="TF7" s="113">
        <v>86.5</v>
      </c>
      <c r="TG7" s="113">
        <v>86.5</v>
      </c>
      <c r="TH7" s="113">
        <v>86.5</v>
      </c>
      <c r="TI7" s="113">
        <v>86.5</v>
      </c>
      <c r="TJ7" s="113">
        <v>86.5</v>
      </c>
      <c r="TK7" s="113">
        <v>86.5</v>
      </c>
      <c r="TL7" s="113">
        <v>86.5</v>
      </c>
      <c r="TM7" s="113">
        <v>86.5</v>
      </c>
      <c r="TN7" s="113">
        <v>86.5</v>
      </c>
      <c r="TO7" s="113">
        <v>86.5</v>
      </c>
      <c r="TP7" s="113">
        <v>86.5</v>
      </c>
      <c r="TQ7" s="113">
        <v>86.5</v>
      </c>
      <c r="TR7" s="113">
        <v>86.5</v>
      </c>
      <c r="TS7" s="113">
        <v>86.5</v>
      </c>
      <c r="TT7" s="113">
        <v>86.5</v>
      </c>
      <c r="UO7" s="113">
        <v>86.5</v>
      </c>
      <c r="UP7" s="113">
        <v>86.5</v>
      </c>
      <c r="UQ7" s="113">
        <v>86.5</v>
      </c>
      <c r="UR7" s="113">
        <v>86.5</v>
      </c>
      <c r="US7" s="113">
        <v>86.5</v>
      </c>
      <c r="UT7" s="113">
        <v>86.5</v>
      </c>
      <c r="UU7" s="113">
        <v>86.5</v>
      </c>
      <c r="UV7" s="113">
        <v>86.5</v>
      </c>
      <c r="UW7" s="113">
        <v>86.5</v>
      </c>
      <c r="UX7" s="113">
        <v>86.5</v>
      </c>
      <c r="UY7" s="113">
        <v>86.5</v>
      </c>
      <c r="UZ7" s="113">
        <v>86.5</v>
      </c>
      <c r="VA7" s="113">
        <v>86.5</v>
      </c>
      <c r="VB7" s="113">
        <v>86.5</v>
      </c>
      <c r="VC7" s="113">
        <v>86.5</v>
      </c>
      <c r="VD7" s="113">
        <v>86.5</v>
      </c>
      <c r="VE7" s="113">
        <v>86.5</v>
      </c>
      <c r="VF7" s="113">
        <v>86.5</v>
      </c>
      <c r="VG7" s="113">
        <v>86.5</v>
      </c>
      <c r="VH7" s="113">
        <v>86.5</v>
      </c>
      <c r="VI7" s="113">
        <v>86.5</v>
      </c>
      <c r="VJ7" s="113">
        <v>86.5</v>
      </c>
      <c r="VK7" s="113">
        <v>86.5</v>
      </c>
      <c r="VL7" s="113">
        <v>86.5</v>
      </c>
      <c r="VM7" s="113">
        <v>86.5</v>
      </c>
      <c r="VN7" s="113">
        <v>86.5</v>
      </c>
      <c r="VO7" s="113">
        <v>86.5</v>
      </c>
      <c r="VP7" s="113">
        <v>86.5</v>
      </c>
      <c r="VQ7" s="113">
        <v>86.5</v>
      </c>
      <c r="VR7" s="113">
        <v>86.5</v>
      </c>
      <c r="VS7" s="113">
        <v>86.5</v>
      </c>
      <c r="VT7" s="113">
        <v>86.5</v>
      </c>
      <c r="VU7" s="113">
        <v>86.5</v>
      </c>
      <c r="VV7" s="113">
        <v>86.5</v>
      </c>
      <c r="VW7" s="113">
        <v>86.5</v>
      </c>
      <c r="VX7" s="113">
        <v>86.5</v>
      </c>
      <c r="VY7" s="113">
        <v>86.5</v>
      </c>
      <c r="VZ7" s="113">
        <v>86.5</v>
      </c>
      <c r="WA7" s="113">
        <v>86.5</v>
      </c>
      <c r="WB7" s="113">
        <v>86.5</v>
      </c>
      <c r="WC7" s="113">
        <v>86.5</v>
      </c>
      <c r="WD7" s="113">
        <v>86.5</v>
      </c>
      <c r="WE7" s="113">
        <v>86.5</v>
      </c>
      <c r="WF7" s="113">
        <v>86.5</v>
      </c>
      <c r="WG7" s="113">
        <v>86.5</v>
      </c>
      <c r="WH7" s="113">
        <v>86.5</v>
      </c>
      <c r="WI7" s="113">
        <v>86.5</v>
      </c>
      <c r="WJ7" s="113">
        <v>86.5</v>
      </c>
      <c r="WK7" s="113">
        <v>86.5</v>
      </c>
      <c r="WL7" s="113">
        <v>86.5</v>
      </c>
      <c r="WM7" s="113">
        <v>86.5</v>
      </c>
      <c r="WN7" s="113">
        <v>86.5</v>
      </c>
      <c r="WO7" s="113">
        <v>86.5</v>
      </c>
      <c r="WP7" s="113">
        <v>86.5</v>
      </c>
      <c r="WQ7" s="113">
        <v>86.5</v>
      </c>
      <c r="WR7" s="113">
        <v>86.5</v>
      </c>
      <c r="WS7" s="113">
        <v>86.5</v>
      </c>
      <c r="WT7" s="113">
        <v>86.5</v>
      </c>
      <c r="WU7" s="113">
        <v>86.5</v>
      </c>
      <c r="WV7" s="113">
        <v>86.5</v>
      </c>
      <c r="WW7" s="113">
        <v>86.5</v>
      </c>
      <c r="XQ7" s="113">
        <v>86.5</v>
      </c>
      <c r="XR7" s="113">
        <v>86.5</v>
      </c>
      <c r="XS7" s="113">
        <v>86.5</v>
      </c>
      <c r="XT7" s="113">
        <v>86.5</v>
      </c>
      <c r="XU7" s="113">
        <v>86.5</v>
      </c>
      <c r="XV7" s="113">
        <v>86.5</v>
      </c>
      <c r="XW7" s="113">
        <v>86.5</v>
      </c>
      <c r="XX7" s="113">
        <v>86.5</v>
      </c>
      <c r="XY7" s="113">
        <v>86.5</v>
      </c>
      <c r="XZ7" s="113">
        <v>86.5</v>
      </c>
      <c r="YA7" s="113">
        <v>86.5</v>
      </c>
      <c r="YB7" s="113">
        <v>86.5</v>
      </c>
      <c r="YC7" s="113">
        <v>86.5</v>
      </c>
      <c r="YD7" s="113">
        <v>86.5</v>
      </c>
      <c r="YE7" s="113">
        <v>86.5</v>
      </c>
      <c r="YF7" s="113">
        <v>86.5</v>
      </c>
      <c r="YG7" s="113">
        <v>86.5</v>
      </c>
      <c r="YH7" s="113">
        <v>86.5</v>
      </c>
      <c r="YI7" s="113">
        <v>86.5</v>
      </c>
      <c r="YJ7" s="113">
        <v>86.5</v>
      </c>
      <c r="YK7" s="113">
        <v>86.5</v>
      </c>
      <c r="YL7" s="113">
        <v>86.5</v>
      </c>
      <c r="YM7" s="113">
        <v>86.5</v>
      </c>
      <c r="YN7" s="113">
        <v>86.5</v>
      </c>
      <c r="YO7" s="113">
        <v>86.5</v>
      </c>
      <c r="YP7" s="113">
        <v>86.5</v>
      </c>
      <c r="YQ7" s="113">
        <v>86.5</v>
      </c>
      <c r="YR7" s="113">
        <v>86.5</v>
      </c>
      <c r="YS7" s="113">
        <v>86.5</v>
      </c>
      <c r="YT7" s="113">
        <v>86.5</v>
      </c>
      <c r="YU7" s="113">
        <v>86.5</v>
      </c>
      <c r="YV7" s="113">
        <v>86.5</v>
      </c>
      <c r="YW7" s="113">
        <v>86.5</v>
      </c>
      <c r="YX7" s="113">
        <v>86.5</v>
      </c>
      <c r="YY7" s="113">
        <v>86.5</v>
      </c>
      <c r="YZ7" s="113">
        <v>86.5</v>
      </c>
      <c r="ZA7" s="113">
        <v>86.5</v>
      </c>
      <c r="ZB7" s="113">
        <v>86.5</v>
      </c>
      <c r="ZC7" s="113">
        <v>86.5</v>
      </c>
      <c r="ZD7" s="113">
        <v>86.5</v>
      </c>
      <c r="ZE7" s="113">
        <v>86.5</v>
      </c>
      <c r="ZF7" s="113">
        <v>86.5</v>
      </c>
      <c r="ZG7" s="113">
        <v>86.5</v>
      </c>
      <c r="ZH7" s="113">
        <v>86.5</v>
      </c>
      <c r="ZI7" s="113">
        <v>86.5</v>
      </c>
      <c r="ZJ7" s="113">
        <v>86.5</v>
      </c>
      <c r="ZK7" s="113">
        <v>86.5</v>
      </c>
      <c r="ZL7" s="113">
        <v>86.5</v>
      </c>
      <c r="ZM7" s="113">
        <v>86.5</v>
      </c>
      <c r="ZN7" s="113">
        <v>86.5</v>
      </c>
      <c r="ZO7" s="113">
        <v>86.5</v>
      </c>
      <c r="ZP7" s="113">
        <v>86.5</v>
      </c>
      <c r="ZQ7" s="113">
        <v>86.5</v>
      </c>
      <c r="ZR7" s="113">
        <v>86.5</v>
      </c>
      <c r="ZS7" s="113">
        <v>86.5</v>
      </c>
      <c r="ZT7" s="113">
        <v>86.5</v>
      </c>
      <c r="ZU7" s="113">
        <v>86.5</v>
      </c>
      <c r="ZV7" s="113">
        <v>86.5</v>
      </c>
      <c r="ZW7" s="113">
        <v>86.5</v>
      </c>
      <c r="AAS7" s="113">
        <v>86.5</v>
      </c>
      <c r="AAT7" s="113">
        <v>86.5</v>
      </c>
      <c r="AAU7" s="113">
        <v>86.5</v>
      </c>
      <c r="AAV7" s="113">
        <v>86.5</v>
      </c>
      <c r="AAW7" s="113">
        <v>86.5</v>
      </c>
      <c r="AAX7" s="113">
        <v>86.5</v>
      </c>
      <c r="AAY7" s="113">
        <v>86.5</v>
      </c>
      <c r="AAZ7" s="113">
        <v>86.5</v>
      </c>
      <c r="ABA7" s="113">
        <v>86.5</v>
      </c>
      <c r="ABB7" s="113">
        <v>86.5</v>
      </c>
      <c r="ABC7" s="113">
        <v>86.5</v>
      </c>
      <c r="ABD7" s="113">
        <v>86.5</v>
      </c>
      <c r="ABE7" s="113">
        <v>86.5</v>
      </c>
      <c r="ABF7" s="113">
        <v>86.5</v>
      </c>
      <c r="ABG7" s="113">
        <v>86.5</v>
      </c>
      <c r="ABH7" s="113">
        <v>86.5</v>
      </c>
      <c r="ABI7" s="113">
        <v>86.5</v>
      </c>
      <c r="ABJ7" s="113">
        <v>86.5</v>
      </c>
      <c r="ABK7" s="113">
        <v>86.5</v>
      </c>
      <c r="ABL7" s="113">
        <v>86.5</v>
      </c>
      <c r="ABM7" s="113">
        <v>86.5</v>
      </c>
      <c r="ABN7" s="113">
        <v>86.5</v>
      </c>
      <c r="ABO7" s="113">
        <v>86.5</v>
      </c>
      <c r="ABP7" s="113">
        <v>86.5</v>
      </c>
      <c r="ABQ7" s="113">
        <v>86.5</v>
      </c>
      <c r="ABR7" s="113">
        <v>86.5</v>
      </c>
      <c r="ABS7" s="113">
        <v>86.5</v>
      </c>
      <c r="ABT7" s="113">
        <v>86.5</v>
      </c>
      <c r="ABU7" s="113">
        <v>86.5</v>
      </c>
      <c r="ABV7" s="113">
        <v>86.5</v>
      </c>
      <c r="ABW7" s="113">
        <v>86.5</v>
      </c>
      <c r="ABX7" s="113">
        <v>86.5</v>
      </c>
      <c r="ABY7" s="113">
        <v>86.5</v>
      </c>
      <c r="ABZ7" s="113">
        <v>86.5</v>
      </c>
      <c r="ACA7" s="113">
        <v>86.5</v>
      </c>
      <c r="ACB7" s="113">
        <v>86.5</v>
      </c>
      <c r="ACC7" s="113">
        <v>86.5</v>
      </c>
      <c r="ACD7" s="113">
        <v>86.5</v>
      </c>
      <c r="ACE7" s="113">
        <v>86.5</v>
      </c>
      <c r="ACF7" s="113">
        <v>86.5</v>
      </c>
      <c r="ACG7" s="113">
        <v>86.5</v>
      </c>
      <c r="ACH7" s="113">
        <v>86.5</v>
      </c>
      <c r="ACI7" s="113">
        <v>86.5</v>
      </c>
      <c r="ACJ7" s="113">
        <v>86.5</v>
      </c>
      <c r="ACK7" s="113">
        <v>86.5</v>
      </c>
      <c r="ACL7" s="113">
        <v>86.5</v>
      </c>
      <c r="ACM7" s="113">
        <v>86.5</v>
      </c>
      <c r="ACN7" s="113">
        <v>86.5</v>
      </c>
      <c r="ACO7" s="113">
        <v>86.5</v>
      </c>
      <c r="ACP7" s="113">
        <v>86.5</v>
      </c>
      <c r="ACQ7" s="113">
        <v>86.5</v>
      </c>
      <c r="ACR7" s="113">
        <v>86.5</v>
      </c>
      <c r="ACS7" s="113">
        <v>86.5</v>
      </c>
      <c r="ACT7" s="113">
        <v>86.5</v>
      </c>
      <c r="ACU7" s="113">
        <v>86.5</v>
      </c>
      <c r="ACV7" s="113">
        <v>86.5</v>
      </c>
      <c r="ACW7" s="113">
        <v>86.5</v>
      </c>
      <c r="ACX7" s="113">
        <v>86.5</v>
      </c>
      <c r="ACY7" s="113">
        <v>86.5</v>
      </c>
      <c r="ACZ7" s="113">
        <v>86.5</v>
      </c>
      <c r="ADA7" s="113">
        <v>86.5</v>
      </c>
      <c r="ADU7" s="113">
        <v>86.5</v>
      </c>
      <c r="ADV7" s="113">
        <v>86.5</v>
      </c>
      <c r="ADW7" s="113">
        <v>86.5</v>
      </c>
      <c r="ADX7" s="113">
        <v>86.5</v>
      </c>
      <c r="ADY7" s="113">
        <v>86.5</v>
      </c>
      <c r="ADZ7" s="113">
        <v>86.5</v>
      </c>
      <c r="AEA7" s="113">
        <v>86.5</v>
      </c>
      <c r="AEB7" s="113">
        <v>86.5</v>
      </c>
      <c r="AEC7" s="113">
        <v>86.5</v>
      </c>
      <c r="AED7" s="113">
        <v>86.5</v>
      </c>
      <c r="AEE7" s="113">
        <v>86.5</v>
      </c>
      <c r="AEF7" s="113">
        <v>86.5</v>
      </c>
      <c r="AEG7" s="113">
        <v>86.5</v>
      </c>
      <c r="AEH7" s="113">
        <v>86.5</v>
      </c>
      <c r="AEI7" s="113">
        <v>86.5</v>
      </c>
      <c r="AEJ7" s="113">
        <v>86.5</v>
      </c>
      <c r="AEK7" s="113">
        <v>86.5</v>
      </c>
      <c r="AEL7" s="113">
        <v>86.5</v>
      </c>
      <c r="AEM7" s="113">
        <v>86.5</v>
      </c>
      <c r="AEN7" s="113">
        <v>86.5</v>
      </c>
      <c r="AEO7" s="113">
        <v>86.5</v>
      </c>
      <c r="AEP7" s="113">
        <v>86.5</v>
      </c>
      <c r="AEQ7" s="113">
        <v>86.5</v>
      </c>
      <c r="AER7" s="113">
        <v>86.5</v>
      </c>
      <c r="AES7" s="113">
        <v>86.5</v>
      </c>
      <c r="AET7" s="113">
        <v>86.5</v>
      </c>
      <c r="AEU7" s="113">
        <v>86.5</v>
      </c>
      <c r="AEV7" s="113">
        <v>86.5</v>
      </c>
      <c r="AEW7" s="113">
        <v>86.5</v>
      </c>
      <c r="AEX7" s="113">
        <v>86.5</v>
      </c>
      <c r="AEY7" s="113">
        <v>86.5</v>
      </c>
      <c r="AEZ7" s="113">
        <v>86.5</v>
      </c>
      <c r="AFA7" s="113">
        <v>86.5</v>
      </c>
      <c r="AFB7" s="113">
        <v>86.5</v>
      </c>
      <c r="AFC7" s="113">
        <v>86.5</v>
      </c>
      <c r="AFD7" s="113">
        <v>86.5</v>
      </c>
      <c r="AFE7" s="113">
        <v>86.5</v>
      </c>
      <c r="AFF7" s="113">
        <v>86.5</v>
      </c>
      <c r="AFG7" s="113">
        <v>86.5</v>
      </c>
      <c r="AFH7" s="113">
        <v>86.5</v>
      </c>
      <c r="AFI7" s="113">
        <v>86.5</v>
      </c>
      <c r="AFJ7" s="113">
        <v>86.5</v>
      </c>
      <c r="AFK7" s="113">
        <v>86.5</v>
      </c>
      <c r="AFL7" s="113">
        <v>86.5</v>
      </c>
      <c r="AFM7" s="113">
        <v>86.5</v>
      </c>
      <c r="AFN7" s="113">
        <v>86.5</v>
      </c>
      <c r="AFO7" s="113">
        <v>86.5</v>
      </c>
      <c r="AFP7" s="113">
        <v>86.5</v>
      </c>
      <c r="AFQ7" s="113">
        <v>86.5</v>
      </c>
      <c r="AFR7" s="113">
        <v>86.5</v>
      </c>
      <c r="AFS7" s="113">
        <v>86.5</v>
      </c>
      <c r="AFT7" s="113">
        <v>86.5</v>
      </c>
      <c r="AFU7" s="113">
        <v>86.5</v>
      </c>
      <c r="AFV7" s="113">
        <v>86.5</v>
      </c>
      <c r="AFW7" s="113">
        <v>86.5</v>
      </c>
      <c r="AFX7" s="113">
        <v>86.5</v>
      </c>
      <c r="AFY7" s="113">
        <v>86.5</v>
      </c>
      <c r="AFZ7" s="113">
        <v>86.5</v>
      </c>
      <c r="AGA7" s="113">
        <v>86.5</v>
      </c>
      <c r="AGB7" s="113">
        <v>86.5</v>
      </c>
      <c r="AGW7" s="113">
        <v>86.5</v>
      </c>
      <c r="AGX7" s="113">
        <v>86.5</v>
      </c>
      <c r="AGY7" s="113">
        <v>86.5</v>
      </c>
      <c r="AGZ7" s="113">
        <v>86.5</v>
      </c>
      <c r="AHA7" s="113">
        <v>86.5</v>
      </c>
      <c r="AHB7" s="113">
        <v>86.5</v>
      </c>
      <c r="AHC7" s="113">
        <v>86.5</v>
      </c>
      <c r="AHD7" s="113">
        <v>86.5</v>
      </c>
      <c r="AHE7" s="113">
        <v>86.5</v>
      </c>
      <c r="AHF7" s="113">
        <v>86.5</v>
      </c>
      <c r="AHG7" s="113">
        <v>86.5</v>
      </c>
      <c r="AHH7" s="113">
        <v>86.5</v>
      </c>
      <c r="AHI7" s="113">
        <v>86.5</v>
      </c>
      <c r="AHJ7" s="113">
        <v>86.5</v>
      </c>
      <c r="AHK7" s="113">
        <v>86.5</v>
      </c>
      <c r="AHL7" s="113">
        <v>86.5</v>
      </c>
      <c r="AHM7" s="113">
        <v>86.5</v>
      </c>
      <c r="AHN7" s="113">
        <v>86.5</v>
      </c>
      <c r="AHO7" s="113">
        <v>86.5</v>
      </c>
      <c r="AHP7" s="113">
        <v>86.5</v>
      </c>
      <c r="AHQ7" s="113">
        <v>86.5</v>
      </c>
      <c r="AHR7" s="113">
        <v>86.5</v>
      </c>
      <c r="AHS7" s="113">
        <v>86.5</v>
      </c>
      <c r="AHT7" s="113">
        <v>86.5</v>
      </c>
      <c r="AHU7" s="113">
        <v>86.5</v>
      </c>
      <c r="AHV7" s="113">
        <v>86.5</v>
      </c>
      <c r="AHW7" s="113">
        <v>86.5</v>
      </c>
      <c r="AHX7" s="113">
        <v>86.5</v>
      </c>
      <c r="AHY7" s="113">
        <v>86.5</v>
      </c>
      <c r="AHZ7" s="113">
        <v>86.5</v>
      </c>
      <c r="AIA7" s="113">
        <v>86.5</v>
      </c>
      <c r="AIB7" s="113">
        <v>86.5</v>
      </c>
      <c r="AIC7" s="113">
        <v>86.5</v>
      </c>
      <c r="AID7" s="113">
        <v>86.5</v>
      </c>
      <c r="AIE7" s="113">
        <v>86.5</v>
      </c>
      <c r="AIF7" s="113">
        <v>86.5</v>
      </c>
      <c r="AIG7" s="113">
        <v>86.5</v>
      </c>
      <c r="AIH7" s="113">
        <v>86.5</v>
      </c>
      <c r="AII7" s="113">
        <v>86.5</v>
      </c>
      <c r="AIJ7" s="113">
        <v>86.5</v>
      </c>
      <c r="AIK7" s="113">
        <v>86.5</v>
      </c>
      <c r="AIL7" s="113">
        <v>86.5</v>
      </c>
      <c r="AIM7" s="113">
        <v>86.5</v>
      </c>
      <c r="AIN7" s="113">
        <v>86.5</v>
      </c>
      <c r="AIO7" s="113">
        <v>86.5</v>
      </c>
      <c r="AIP7" s="113">
        <v>86.5</v>
      </c>
      <c r="AIQ7" s="113">
        <v>86.5</v>
      </c>
      <c r="AIR7" s="113">
        <v>86.5</v>
      </c>
      <c r="AIS7" s="113">
        <v>86.5</v>
      </c>
      <c r="AIT7" s="113">
        <v>86.5</v>
      </c>
      <c r="AIU7" s="113">
        <v>86.5</v>
      </c>
      <c r="AIV7" s="113">
        <v>86.5</v>
      </c>
      <c r="AIW7" s="113">
        <v>86.5</v>
      </c>
      <c r="AIX7" s="113">
        <v>86.5</v>
      </c>
      <c r="AIY7" s="113">
        <v>86.5</v>
      </c>
      <c r="AIZ7" s="113">
        <v>86.5</v>
      </c>
      <c r="AJA7" s="113">
        <v>86.5</v>
      </c>
      <c r="AJB7" s="113">
        <v>86.5</v>
      </c>
      <c r="AJC7" s="113">
        <v>86.5</v>
      </c>
      <c r="AJD7" s="113">
        <v>86.5</v>
      </c>
    </row>
    <row r="8" spans="1:940">
      <c r="A8" s="113">
        <v>69.2</v>
      </c>
      <c r="B8" s="113">
        <v>69.2</v>
      </c>
      <c r="C8" s="113">
        <v>69.2</v>
      </c>
      <c r="D8" s="113">
        <v>69.2</v>
      </c>
      <c r="E8" s="113">
        <v>69.2</v>
      </c>
      <c r="F8" s="113">
        <v>69.2</v>
      </c>
      <c r="G8" s="113">
        <v>86.5</v>
      </c>
      <c r="H8" s="113">
        <v>86.5</v>
      </c>
      <c r="I8" s="113">
        <v>86.5</v>
      </c>
      <c r="J8" s="113">
        <v>86.5</v>
      </c>
      <c r="K8" s="113">
        <v>69.2</v>
      </c>
      <c r="L8" s="113">
        <v>69.2</v>
      </c>
      <c r="M8" s="113">
        <v>69.2</v>
      </c>
      <c r="N8" s="113">
        <v>69.2</v>
      </c>
      <c r="O8" s="113">
        <v>69.2</v>
      </c>
      <c r="P8" s="113">
        <v>69.2</v>
      </c>
      <c r="Q8" s="113">
        <v>69.2</v>
      </c>
      <c r="R8" s="113">
        <v>69.2</v>
      </c>
      <c r="S8" s="113">
        <v>86.5</v>
      </c>
      <c r="T8" s="113">
        <v>69.2</v>
      </c>
      <c r="U8" s="113">
        <v>69.2</v>
      </c>
      <c r="V8" s="113">
        <v>69.2</v>
      </c>
      <c r="W8" s="113">
        <v>69.2</v>
      </c>
      <c r="X8" s="113">
        <v>69.2</v>
      </c>
      <c r="Y8" s="113">
        <v>69.2</v>
      </c>
      <c r="Z8" s="113">
        <v>69.2</v>
      </c>
      <c r="AA8" s="113">
        <v>69.2</v>
      </c>
      <c r="AB8" s="113">
        <v>69.2</v>
      </c>
      <c r="AC8" s="113">
        <v>69.2</v>
      </c>
      <c r="AD8" s="113">
        <v>69.2</v>
      </c>
      <c r="AE8" s="113">
        <v>69.2</v>
      </c>
      <c r="AF8" s="113">
        <v>69.2</v>
      </c>
      <c r="AG8" s="113">
        <v>86.5</v>
      </c>
      <c r="AH8" s="113">
        <v>69.2</v>
      </c>
      <c r="AI8" s="113">
        <v>69.2</v>
      </c>
      <c r="AJ8" s="113">
        <v>69.2</v>
      </c>
      <c r="AK8" s="113">
        <v>69.2</v>
      </c>
      <c r="AL8" s="113">
        <v>69.2</v>
      </c>
      <c r="AM8" s="113">
        <v>69.2</v>
      </c>
      <c r="AN8" s="113">
        <v>69.2</v>
      </c>
      <c r="AO8" s="113">
        <v>69.2</v>
      </c>
      <c r="AP8" s="113">
        <v>69.2</v>
      </c>
      <c r="AQ8" s="113">
        <v>69.2</v>
      </c>
      <c r="AR8" s="113">
        <v>69.2</v>
      </c>
      <c r="AS8" s="113">
        <v>69.2</v>
      </c>
      <c r="AT8" s="113">
        <v>69.2</v>
      </c>
      <c r="AU8" s="113">
        <v>69.2</v>
      </c>
      <c r="AV8" s="113">
        <v>69.2</v>
      </c>
      <c r="AW8" s="113">
        <v>69.2</v>
      </c>
      <c r="AX8" s="113">
        <v>69.2</v>
      </c>
      <c r="AY8" s="113">
        <v>69.2</v>
      </c>
      <c r="AZ8" s="113">
        <v>69.2</v>
      </c>
      <c r="CC8" s="113">
        <v>69.2</v>
      </c>
      <c r="CD8" s="113">
        <v>69.2</v>
      </c>
      <c r="CE8" s="113">
        <v>69.2</v>
      </c>
      <c r="CF8" s="113">
        <v>69.2</v>
      </c>
      <c r="CG8" s="113">
        <v>69.2</v>
      </c>
      <c r="CH8" s="113">
        <v>69.2</v>
      </c>
      <c r="CI8" s="113">
        <v>69.2</v>
      </c>
      <c r="CJ8" s="113">
        <v>69.2</v>
      </c>
      <c r="CK8" s="113">
        <v>69.2</v>
      </c>
      <c r="CL8" s="113">
        <v>69.2</v>
      </c>
      <c r="CM8" s="113">
        <v>69.2</v>
      </c>
      <c r="CN8" s="113">
        <v>69.2</v>
      </c>
      <c r="CO8" s="113">
        <v>69.2</v>
      </c>
      <c r="CP8" s="113">
        <v>69.2</v>
      </c>
      <c r="CQ8" s="113">
        <v>69.2</v>
      </c>
      <c r="CR8" s="113">
        <v>69.2</v>
      </c>
      <c r="CS8" s="113">
        <v>69.2</v>
      </c>
      <c r="CT8" s="113">
        <v>69.2</v>
      </c>
      <c r="CU8" s="113">
        <v>69.2</v>
      </c>
      <c r="CV8" s="113">
        <v>69.2</v>
      </c>
      <c r="CW8" s="113">
        <v>69.2</v>
      </c>
      <c r="CX8" s="113">
        <v>69.2</v>
      </c>
      <c r="CY8" s="113">
        <v>69.2</v>
      </c>
      <c r="CZ8" s="113">
        <v>69.2</v>
      </c>
      <c r="DA8" s="113">
        <v>69.2</v>
      </c>
      <c r="DB8" s="113">
        <v>69.2</v>
      </c>
      <c r="DC8" s="113">
        <v>69.2</v>
      </c>
      <c r="DD8" s="113">
        <v>69.2</v>
      </c>
      <c r="DE8" s="113">
        <v>69.2</v>
      </c>
      <c r="DF8" s="113">
        <v>69.2</v>
      </c>
      <c r="DG8" s="113">
        <v>69.2</v>
      </c>
      <c r="DH8" s="113">
        <v>69.2</v>
      </c>
      <c r="DI8" s="113">
        <v>69.2</v>
      </c>
      <c r="DJ8" s="113">
        <v>69.2</v>
      </c>
      <c r="DK8" s="113">
        <v>69.2</v>
      </c>
      <c r="DL8" s="113">
        <v>69.2</v>
      </c>
      <c r="DM8" s="113">
        <v>69.2</v>
      </c>
      <c r="DN8" s="113">
        <v>69.2</v>
      </c>
      <c r="DO8" s="113">
        <v>69.2</v>
      </c>
      <c r="DP8" s="113">
        <v>69.2</v>
      </c>
      <c r="DQ8" s="113">
        <v>69.2</v>
      </c>
      <c r="DR8" s="113">
        <v>69.2</v>
      </c>
      <c r="DS8" s="113">
        <v>69.2</v>
      </c>
      <c r="DT8" s="113">
        <v>69.2</v>
      </c>
      <c r="DU8" s="113">
        <v>69.2</v>
      </c>
      <c r="DV8" s="113">
        <v>69.2</v>
      </c>
      <c r="DW8" s="113">
        <v>69.2</v>
      </c>
      <c r="DX8" s="113">
        <v>69.2</v>
      </c>
      <c r="DY8" s="113">
        <v>69.2</v>
      </c>
      <c r="DZ8" s="113">
        <v>69.2</v>
      </c>
      <c r="EA8" s="113">
        <v>69.2</v>
      </c>
      <c r="EB8" s="113">
        <v>69.2</v>
      </c>
      <c r="EC8" s="113">
        <v>69.2</v>
      </c>
      <c r="ED8" s="113">
        <v>69.2</v>
      </c>
      <c r="EE8" s="113">
        <v>69.2</v>
      </c>
      <c r="EF8" s="113">
        <v>69.2</v>
      </c>
      <c r="EG8" s="113">
        <v>69.2</v>
      </c>
      <c r="EH8" s="113">
        <v>69.2</v>
      </c>
      <c r="EI8" s="113">
        <v>69.2</v>
      </c>
      <c r="FE8" s="113">
        <v>69.2</v>
      </c>
      <c r="FF8" s="113">
        <v>69.2</v>
      </c>
      <c r="FG8" s="113">
        <v>69.2</v>
      </c>
      <c r="FH8" s="113">
        <v>69.2</v>
      </c>
      <c r="FI8" s="113">
        <v>69.2</v>
      </c>
      <c r="FJ8" s="113">
        <v>69.2</v>
      </c>
      <c r="FK8" s="113">
        <v>86.5</v>
      </c>
      <c r="FL8" s="113">
        <v>69.2</v>
      </c>
      <c r="FM8" s="113">
        <v>86.5</v>
      </c>
      <c r="FN8" s="113">
        <v>86.5</v>
      </c>
      <c r="FO8" s="113">
        <v>86.5</v>
      </c>
      <c r="FP8" s="113">
        <v>86.5</v>
      </c>
      <c r="FQ8" s="113">
        <v>86.5</v>
      </c>
      <c r="FR8" s="113">
        <v>69.2</v>
      </c>
      <c r="FS8" s="113">
        <v>69.2</v>
      </c>
      <c r="FT8" s="113">
        <v>69.2</v>
      </c>
      <c r="FU8" s="113">
        <v>69.2</v>
      </c>
      <c r="FV8" s="113">
        <v>69.2</v>
      </c>
      <c r="FW8" s="113">
        <v>69.2</v>
      </c>
      <c r="FX8" s="113">
        <v>69.2</v>
      </c>
      <c r="FY8" s="113">
        <v>69.2</v>
      </c>
      <c r="FZ8" s="113">
        <v>69.2</v>
      </c>
      <c r="GA8" s="113">
        <v>69.2</v>
      </c>
      <c r="GB8" s="113">
        <v>69.2</v>
      </c>
      <c r="GC8" s="113">
        <v>69.2</v>
      </c>
      <c r="GD8" s="113">
        <v>69.2</v>
      </c>
      <c r="GE8" s="113">
        <v>69.2</v>
      </c>
      <c r="GF8" s="113">
        <v>69.2</v>
      </c>
      <c r="GG8" s="113">
        <v>69.2</v>
      </c>
      <c r="GH8" s="113">
        <v>69.2</v>
      </c>
      <c r="GI8" s="113">
        <v>69.2</v>
      </c>
      <c r="GJ8" s="113">
        <v>69.2</v>
      </c>
      <c r="GK8" s="113">
        <v>69.2</v>
      </c>
      <c r="GL8" s="113">
        <v>69.2</v>
      </c>
      <c r="GM8" s="113">
        <v>69.2</v>
      </c>
      <c r="GN8" s="113">
        <v>69.2</v>
      </c>
      <c r="GO8" s="113">
        <v>69.2</v>
      </c>
      <c r="GP8" s="113">
        <v>69.2</v>
      </c>
      <c r="GQ8" s="113">
        <v>69.2</v>
      </c>
      <c r="GR8" s="113">
        <v>69.2</v>
      </c>
      <c r="GS8" s="113">
        <v>69.2</v>
      </c>
      <c r="GT8" s="113">
        <v>69.2</v>
      </c>
      <c r="GU8" s="113">
        <v>69.2</v>
      </c>
      <c r="GV8" s="113">
        <v>69.2</v>
      </c>
      <c r="GW8" s="113">
        <v>69.2</v>
      </c>
      <c r="GX8" s="113">
        <v>69.2</v>
      </c>
      <c r="GY8" s="113">
        <v>69.2</v>
      </c>
      <c r="GZ8" s="113">
        <v>69.2</v>
      </c>
      <c r="HA8" s="113">
        <v>69.2</v>
      </c>
      <c r="HB8" s="113">
        <v>69.2</v>
      </c>
      <c r="HC8" s="113">
        <v>69.2</v>
      </c>
      <c r="HD8" s="113">
        <v>69.2</v>
      </c>
      <c r="HE8" s="113">
        <v>69.2</v>
      </c>
      <c r="HF8" s="113">
        <v>69.2</v>
      </c>
      <c r="HG8" s="113">
        <v>69.2</v>
      </c>
      <c r="HH8" s="113">
        <v>69.2</v>
      </c>
      <c r="HI8" s="113">
        <v>86.5</v>
      </c>
      <c r="HJ8" s="113">
        <v>69.2</v>
      </c>
      <c r="HK8" s="113">
        <v>69.2</v>
      </c>
      <c r="HL8" s="113">
        <v>69.2</v>
      </c>
      <c r="IG8" s="113">
        <v>69.2</v>
      </c>
      <c r="IH8" s="113">
        <v>69.2</v>
      </c>
      <c r="II8" s="113">
        <v>69.2</v>
      </c>
      <c r="IJ8" s="113">
        <v>69.2</v>
      </c>
      <c r="IK8" s="113">
        <v>69.2</v>
      </c>
      <c r="IL8" s="113">
        <v>69.2</v>
      </c>
      <c r="IM8" s="113">
        <v>86.5</v>
      </c>
      <c r="IN8" s="113">
        <v>69.2</v>
      </c>
      <c r="IO8" s="113">
        <v>86.5</v>
      </c>
      <c r="IP8" s="113">
        <v>86.5</v>
      </c>
      <c r="IQ8" s="113">
        <v>86.5</v>
      </c>
      <c r="IR8" s="113">
        <v>86.5</v>
      </c>
      <c r="IS8" s="113">
        <v>86.5</v>
      </c>
      <c r="IT8" s="113">
        <v>69.2</v>
      </c>
      <c r="IU8" s="113">
        <v>69.2</v>
      </c>
      <c r="IV8" s="113">
        <v>69.2</v>
      </c>
      <c r="IW8" s="113">
        <v>69.2</v>
      </c>
      <c r="IX8" s="113">
        <v>69.2</v>
      </c>
      <c r="IY8" s="113">
        <v>69.2</v>
      </c>
      <c r="IZ8" s="113">
        <v>69.2</v>
      </c>
      <c r="JA8" s="113">
        <v>69.2</v>
      </c>
      <c r="JB8" s="113">
        <v>69.2</v>
      </c>
      <c r="JC8" s="113">
        <v>69.2</v>
      </c>
      <c r="JD8" s="113">
        <v>69.2</v>
      </c>
      <c r="JE8" s="113">
        <v>69.2</v>
      </c>
      <c r="JF8" s="113">
        <v>69.2</v>
      </c>
      <c r="JG8" s="113">
        <v>69.2</v>
      </c>
      <c r="JH8" s="113">
        <v>69.2</v>
      </c>
      <c r="JI8" s="113">
        <v>69.2</v>
      </c>
      <c r="JJ8" s="113">
        <v>69.2</v>
      </c>
      <c r="JK8" s="113">
        <v>69.2</v>
      </c>
      <c r="JL8" s="113">
        <v>69.2</v>
      </c>
      <c r="JM8" s="113">
        <v>69.2</v>
      </c>
      <c r="JN8" s="113">
        <v>69.2</v>
      </c>
      <c r="JO8" s="113">
        <v>69.2</v>
      </c>
      <c r="JP8" s="113">
        <v>69.2</v>
      </c>
      <c r="JQ8" s="113">
        <v>69.2</v>
      </c>
      <c r="JR8" s="113">
        <v>69.2</v>
      </c>
      <c r="JS8" s="113">
        <v>69.2</v>
      </c>
      <c r="JT8" s="113">
        <v>69.2</v>
      </c>
      <c r="JU8" s="113">
        <v>69.2</v>
      </c>
      <c r="JV8" s="113">
        <v>69.2</v>
      </c>
      <c r="JW8" s="113">
        <v>69.2</v>
      </c>
      <c r="JX8" s="113">
        <v>69.2</v>
      </c>
      <c r="JY8" s="113">
        <v>69.2</v>
      </c>
      <c r="JZ8" s="113">
        <v>69.2</v>
      </c>
      <c r="KA8" s="113">
        <v>69.2</v>
      </c>
      <c r="KB8" s="113">
        <v>69.2</v>
      </c>
      <c r="KC8" s="113">
        <v>69.2</v>
      </c>
      <c r="KD8" s="113">
        <v>69.2</v>
      </c>
      <c r="KE8" s="113">
        <v>69.2</v>
      </c>
      <c r="KF8" s="113">
        <v>69.2</v>
      </c>
      <c r="KG8" s="113">
        <v>69.2</v>
      </c>
      <c r="KH8" s="113">
        <v>69.2</v>
      </c>
      <c r="KI8" s="113">
        <v>69.2</v>
      </c>
      <c r="KJ8" s="113">
        <v>69.2</v>
      </c>
      <c r="KK8" s="113">
        <v>86.5</v>
      </c>
      <c r="KL8" s="113">
        <v>69.2</v>
      </c>
      <c r="KM8" s="113">
        <v>69.2</v>
      </c>
      <c r="KN8" s="113">
        <v>69.2</v>
      </c>
      <c r="LI8" s="113">
        <v>69.2</v>
      </c>
      <c r="LJ8" s="113">
        <v>69.2</v>
      </c>
      <c r="LK8" s="113">
        <v>69.2</v>
      </c>
      <c r="LL8" s="113">
        <v>69.2</v>
      </c>
      <c r="LM8" s="113">
        <v>69.2</v>
      </c>
      <c r="LN8" s="113">
        <v>69.2</v>
      </c>
      <c r="LO8" s="113">
        <v>86.5</v>
      </c>
      <c r="LP8" s="113">
        <v>69.2</v>
      </c>
      <c r="LQ8" s="113">
        <v>86.5</v>
      </c>
      <c r="LR8" s="113">
        <v>86.5</v>
      </c>
      <c r="LS8" s="113">
        <v>86.5</v>
      </c>
      <c r="LT8" s="113">
        <v>86.5</v>
      </c>
      <c r="LU8" s="113">
        <v>86.5</v>
      </c>
      <c r="LV8" s="113">
        <v>69.2</v>
      </c>
      <c r="LW8" s="113">
        <v>69.2</v>
      </c>
      <c r="LX8" s="113">
        <v>69.2</v>
      </c>
      <c r="LY8" s="113">
        <v>69.2</v>
      </c>
      <c r="LZ8" s="113">
        <v>69.2</v>
      </c>
      <c r="MA8" s="113">
        <v>69.2</v>
      </c>
      <c r="MB8" s="113">
        <v>69.2</v>
      </c>
      <c r="MC8" s="113">
        <v>69.2</v>
      </c>
      <c r="MD8" s="113">
        <v>69.2</v>
      </c>
      <c r="ME8" s="113">
        <v>69.2</v>
      </c>
      <c r="MF8" s="113">
        <v>69.2</v>
      </c>
      <c r="MG8" s="113">
        <v>69.2</v>
      </c>
      <c r="MH8" s="113">
        <v>69.2</v>
      </c>
      <c r="MI8" s="113">
        <v>69.2</v>
      </c>
      <c r="MJ8" s="113">
        <v>69.2</v>
      </c>
      <c r="MK8" s="113">
        <v>69.2</v>
      </c>
      <c r="ML8" s="113">
        <v>69.2</v>
      </c>
      <c r="MM8" s="113">
        <v>69.2</v>
      </c>
      <c r="MN8" s="113">
        <v>69.2</v>
      </c>
      <c r="MO8" s="113">
        <v>69.2</v>
      </c>
      <c r="MP8" s="113">
        <v>69.2</v>
      </c>
      <c r="MQ8" s="113">
        <v>69.2</v>
      </c>
      <c r="MR8" s="113">
        <v>69.2</v>
      </c>
      <c r="MS8" s="113">
        <v>69.2</v>
      </c>
      <c r="MT8" s="113">
        <v>69.2</v>
      </c>
      <c r="MU8" s="113">
        <v>69.2</v>
      </c>
      <c r="MV8" s="113">
        <v>69.2</v>
      </c>
      <c r="MW8" s="113">
        <v>69.2</v>
      </c>
      <c r="MX8" s="113">
        <v>69.2</v>
      </c>
      <c r="MY8" s="113">
        <v>69.2</v>
      </c>
      <c r="MZ8" s="113">
        <v>69.2</v>
      </c>
      <c r="NA8" s="113">
        <v>69.2</v>
      </c>
      <c r="NB8" s="113">
        <v>69.2</v>
      </c>
      <c r="NC8" s="113">
        <v>69.2</v>
      </c>
      <c r="ND8" s="113">
        <v>69.2</v>
      </c>
      <c r="NE8" s="113">
        <v>69.2</v>
      </c>
      <c r="NF8" s="113">
        <v>69.2</v>
      </c>
      <c r="NG8" s="113">
        <v>69.2</v>
      </c>
      <c r="NH8" s="113">
        <v>69.2</v>
      </c>
      <c r="NI8" s="113">
        <v>69.2</v>
      </c>
      <c r="NJ8" s="113">
        <v>69.2</v>
      </c>
      <c r="NK8" s="113">
        <v>69.2</v>
      </c>
      <c r="NL8" s="113">
        <v>69.2</v>
      </c>
      <c r="NM8" s="113">
        <v>69.2</v>
      </c>
      <c r="NN8" s="113">
        <v>69.2</v>
      </c>
      <c r="NO8" s="113">
        <v>86.5</v>
      </c>
      <c r="NP8" s="113">
        <v>69.2</v>
      </c>
      <c r="NQ8" s="113">
        <v>69.2</v>
      </c>
      <c r="NR8" s="113">
        <v>69.2</v>
      </c>
      <c r="OK8" s="113">
        <v>69.2</v>
      </c>
      <c r="OL8" s="113">
        <v>69.2</v>
      </c>
      <c r="OM8" s="113">
        <v>69.2</v>
      </c>
      <c r="ON8" s="113">
        <v>69.2</v>
      </c>
      <c r="OO8" s="113">
        <v>69.2</v>
      </c>
      <c r="OP8" s="113">
        <v>69.2</v>
      </c>
      <c r="OQ8" s="113">
        <v>69.2</v>
      </c>
      <c r="OR8" s="113">
        <v>69.2</v>
      </c>
      <c r="OS8" s="113">
        <v>69.2</v>
      </c>
      <c r="OT8" s="113">
        <v>69.2</v>
      </c>
      <c r="OU8" s="113">
        <v>69.2</v>
      </c>
      <c r="OV8" s="113">
        <v>69.2</v>
      </c>
      <c r="OW8" s="113">
        <v>69.2</v>
      </c>
      <c r="OX8" s="113">
        <v>69.2</v>
      </c>
      <c r="OY8" s="113">
        <v>69.2</v>
      </c>
      <c r="OZ8" s="113">
        <v>69.2</v>
      </c>
      <c r="PA8" s="113">
        <v>69.2</v>
      </c>
      <c r="PB8" s="113">
        <v>69.2</v>
      </c>
      <c r="PC8" s="113">
        <v>69.2</v>
      </c>
      <c r="PD8" s="113">
        <v>69.2</v>
      </c>
      <c r="PE8" s="113">
        <v>69.2</v>
      </c>
      <c r="PF8" s="113">
        <v>69.2</v>
      </c>
      <c r="PG8" s="113">
        <v>69.2</v>
      </c>
      <c r="PH8" s="113">
        <v>69.2</v>
      </c>
      <c r="PI8" s="113">
        <v>69.2</v>
      </c>
      <c r="PJ8" s="113">
        <v>69.2</v>
      </c>
      <c r="PK8" s="113">
        <v>69.2</v>
      </c>
      <c r="PL8" s="113">
        <v>69.2</v>
      </c>
      <c r="PM8" s="113">
        <v>69.2</v>
      </c>
      <c r="PN8" s="113">
        <v>69.2</v>
      </c>
      <c r="PO8" s="113">
        <v>69.2</v>
      </c>
      <c r="PP8" s="113">
        <v>69.2</v>
      </c>
      <c r="PQ8" s="113">
        <v>69.2</v>
      </c>
      <c r="PR8" s="113">
        <v>69.2</v>
      </c>
      <c r="PS8" s="113">
        <v>69.2</v>
      </c>
      <c r="PT8" s="113">
        <v>69.2</v>
      </c>
      <c r="PU8" s="113">
        <v>69.2</v>
      </c>
      <c r="PV8" s="113">
        <v>69.2</v>
      </c>
      <c r="PW8" s="113">
        <v>69.2</v>
      </c>
      <c r="PX8" s="113">
        <v>69.2</v>
      </c>
      <c r="PY8" s="113">
        <v>69.2</v>
      </c>
      <c r="PZ8" s="113">
        <v>69.2</v>
      </c>
      <c r="QA8" s="113">
        <v>69.2</v>
      </c>
      <c r="QB8" s="113">
        <v>69.2</v>
      </c>
      <c r="QC8" s="113">
        <v>69.2</v>
      </c>
      <c r="QD8" s="113">
        <v>69.2</v>
      </c>
      <c r="QE8" s="113">
        <v>69.2</v>
      </c>
      <c r="QF8" s="113">
        <v>69.2</v>
      </c>
      <c r="QG8" s="113">
        <v>69.2</v>
      </c>
      <c r="QH8" s="113">
        <v>69.2</v>
      </c>
      <c r="QI8" s="113">
        <v>69.2</v>
      </c>
      <c r="QJ8" s="113">
        <v>69.2</v>
      </c>
      <c r="QK8" s="113">
        <v>69.2</v>
      </c>
      <c r="QL8" s="113">
        <v>69.2</v>
      </c>
      <c r="QM8" s="113">
        <v>69.2</v>
      </c>
      <c r="QN8" s="113">
        <v>69.2</v>
      </c>
      <c r="QO8" s="113">
        <v>69.2</v>
      </c>
      <c r="QP8" s="113">
        <v>69.2</v>
      </c>
      <c r="QQ8" s="113">
        <v>69.2</v>
      </c>
      <c r="QR8" s="113">
        <v>69.2</v>
      </c>
      <c r="QS8" s="113">
        <v>69.2</v>
      </c>
      <c r="RM8" s="113">
        <v>69.2</v>
      </c>
      <c r="RN8" s="113">
        <v>69.2</v>
      </c>
      <c r="RO8" s="113">
        <v>69.2</v>
      </c>
      <c r="RP8" s="113">
        <v>69.2</v>
      </c>
      <c r="RQ8" s="113">
        <v>69.2</v>
      </c>
      <c r="RR8" s="113">
        <v>69.2</v>
      </c>
      <c r="RS8" s="113">
        <v>69.2</v>
      </c>
      <c r="RT8" s="113">
        <v>69.2</v>
      </c>
      <c r="RU8" s="113">
        <v>69.2</v>
      </c>
      <c r="RV8" s="113">
        <v>69.2</v>
      </c>
      <c r="RW8" s="113">
        <v>69.2</v>
      </c>
      <c r="RX8" s="113">
        <v>69.2</v>
      </c>
      <c r="RY8" s="113">
        <v>69.2</v>
      </c>
      <c r="RZ8" s="113">
        <v>69.2</v>
      </c>
      <c r="SA8" s="113">
        <v>69.2</v>
      </c>
      <c r="SB8" s="113">
        <v>69.2</v>
      </c>
      <c r="SC8" s="113">
        <v>69.2</v>
      </c>
      <c r="SD8" s="113">
        <v>69.2</v>
      </c>
      <c r="SE8" s="113">
        <v>69.2</v>
      </c>
      <c r="SF8" s="113">
        <v>69.2</v>
      </c>
      <c r="SG8" s="113">
        <v>69.2</v>
      </c>
      <c r="SH8" s="113">
        <v>69.2</v>
      </c>
      <c r="SI8" s="113">
        <v>69.2</v>
      </c>
      <c r="SJ8" s="113">
        <v>69.2</v>
      </c>
      <c r="SK8" s="113">
        <v>69.2</v>
      </c>
      <c r="SL8" s="113">
        <v>69.2</v>
      </c>
      <c r="SM8" s="113">
        <v>69.2</v>
      </c>
      <c r="SN8" s="113">
        <v>69.2</v>
      </c>
      <c r="SO8" s="113">
        <v>69.2</v>
      </c>
      <c r="SP8" s="113">
        <v>69.2</v>
      </c>
      <c r="SQ8" s="113">
        <v>69.2</v>
      </c>
      <c r="SR8" s="113">
        <v>69.2</v>
      </c>
      <c r="SS8" s="113">
        <v>69.2</v>
      </c>
      <c r="ST8" s="113">
        <v>69.2</v>
      </c>
      <c r="SU8" s="113">
        <v>69.2</v>
      </c>
      <c r="SV8" s="113">
        <v>69.2</v>
      </c>
      <c r="SW8" s="113">
        <v>69.2</v>
      </c>
      <c r="SX8" s="113">
        <v>69.2</v>
      </c>
      <c r="SY8" s="113">
        <v>69.2</v>
      </c>
      <c r="SZ8" s="113">
        <v>69.2</v>
      </c>
      <c r="TA8" s="113">
        <v>69.2</v>
      </c>
      <c r="TB8" s="113">
        <v>69.2</v>
      </c>
      <c r="TC8" s="113">
        <v>69.2</v>
      </c>
      <c r="TD8" s="113">
        <v>69.2</v>
      </c>
      <c r="TE8" s="113">
        <v>69.2</v>
      </c>
      <c r="TF8" s="113">
        <v>69.2</v>
      </c>
      <c r="TG8" s="113">
        <v>69.2</v>
      </c>
      <c r="TH8" s="113">
        <v>69.2</v>
      </c>
      <c r="TI8" s="113">
        <v>69.2</v>
      </c>
      <c r="TJ8" s="113">
        <v>69.2</v>
      </c>
      <c r="TK8" s="113">
        <v>69.2</v>
      </c>
      <c r="TL8" s="113">
        <v>69.2</v>
      </c>
      <c r="TM8" s="113">
        <v>69.2</v>
      </c>
      <c r="TN8" s="113">
        <v>69.2</v>
      </c>
      <c r="TO8" s="113">
        <v>69.2</v>
      </c>
      <c r="TP8" s="113">
        <v>69.2</v>
      </c>
      <c r="TQ8" s="113">
        <v>69.2</v>
      </c>
      <c r="TR8" s="113">
        <v>69.2</v>
      </c>
      <c r="TS8" s="113">
        <v>69.2</v>
      </c>
      <c r="TT8" s="113">
        <v>69.2</v>
      </c>
      <c r="UO8" s="113">
        <v>69.2</v>
      </c>
      <c r="UP8" s="113">
        <v>69.2</v>
      </c>
      <c r="UQ8" s="113">
        <v>69.2</v>
      </c>
      <c r="UR8" s="113">
        <v>69.2</v>
      </c>
      <c r="US8" s="113">
        <v>69.2</v>
      </c>
      <c r="UT8" s="113">
        <v>69.2</v>
      </c>
      <c r="UU8" s="113">
        <v>69.2</v>
      </c>
      <c r="UV8" s="113">
        <v>69.2</v>
      </c>
      <c r="UW8" s="113">
        <v>69.2</v>
      </c>
      <c r="UX8" s="113">
        <v>69.2</v>
      </c>
      <c r="UY8" s="113">
        <v>69.2</v>
      </c>
      <c r="UZ8" s="113">
        <v>69.2</v>
      </c>
      <c r="VA8" s="113">
        <v>69.2</v>
      </c>
      <c r="VB8" s="113">
        <v>69.2</v>
      </c>
      <c r="VC8" s="113">
        <v>69.2</v>
      </c>
      <c r="VD8" s="113">
        <v>69.2</v>
      </c>
      <c r="VE8" s="113">
        <v>69.2</v>
      </c>
      <c r="VF8" s="113">
        <v>69.2</v>
      </c>
      <c r="VG8" s="113">
        <v>69.2</v>
      </c>
      <c r="VH8" s="113">
        <v>69.2</v>
      </c>
      <c r="VI8" s="113">
        <v>69.2</v>
      </c>
      <c r="VJ8" s="113">
        <v>69.2</v>
      </c>
      <c r="VK8" s="113">
        <v>69.2</v>
      </c>
      <c r="VL8" s="113">
        <v>69.2</v>
      </c>
      <c r="VM8" s="113">
        <v>69.2</v>
      </c>
      <c r="VN8" s="113">
        <v>69.2</v>
      </c>
      <c r="VO8" s="113">
        <v>69.2</v>
      </c>
      <c r="VP8" s="113">
        <v>69.2</v>
      </c>
      <c r="VQ8" s="113">
        <v>69.2</v>
      </c>
      <c r="VR8" s="113">
        <v>69.2</v>
      </c>
      <c r="VS8" s="113">
        <v>69.2</v>
      </c>
      <c r="VT8" s="113">
        <v>69.2</v>
      </c>
      <c r="VU8" s="113">
        <v>69.2</v>
      </c>
      <c r="VV8" s="113">
        <v>69.2</v>
      </c>
      <c r="VW8" s="113">
        <v>69.2</v>
      </c>
      <c r="VX8" s="113">
        <v>69.2</v>
      </c>
      <c r="VY8" s="113">
        <v>69.2</v>
      </c>
      <c r="VZ8" s="113">
        <v>69.2</v>
      </c>
      <c r="WA8" s="113">
        <v>69.2</v>
      </c>
      <c r="WB8" s="113">
        <v>69.2</v>
      </c>
      <c r="WC8" s="113">
        <v>69.2</v>
      </c>
      <c r="WD8" s="113">
        <v>69.2</v>
      </c>
      <c r="WE8" s="113">
        <v>69.2</v>
      </c>
      <c r="WF8" s="113">
        <v>69.2</v>
      </c>
      <c r="WG8" s="113">
        <v>69.2</v>
      </c>
      <c r="WH8" s="113">
        <v>69.2</v>
      </c>
      <c r="WI8" s="113">
        <v>69.2</v>
      </c>
      <c r="WJ8" s="113">
        <v>69.2</v>
      </c>
      <c r="WK8" s="113">
        <v>69.2</v>
      </c>
      <c r="WL8" s="113">
        <v>69.2</v>
      </c>
      <c r="WM8" s="113">
        <v>69.2</v>
      </c>
      <c r="WN8" s="113">
        <v>69.2</v>
      </c>
      <c r="WO8" s="113">
        <v>69.2</v>
      </c>
      <c r="WP8" s="113">
        <v>69.2</v>
      </c>
      <c r="WQ8" s="113">
        <v>69.2</v>
      </c>
      <c r="WR8" s="113">
        <v>69.2</v>
      </c>
      <c r="WS8" s="113">
        <v>69.2</v>
      </c>
      <c r="WT8" s="113">
        <v>69.2</v>
      </c>
      <c r="WU8" s="113">
        <v>69.2</v>
      </c>
      <c r="WV8" s="113">
        <v>69.2</v>
      </c>
      <c r="WW8" s="113">
        <v>69.2</v>
      </c>
      <c r="XQ8" s="113">
        <v>69.2</v>
      </c>
      <c r="XR8" s="113">
        <v>69.2</v>
      </c>
      <c r="XS8" s="113">
        <v>69.2</v>
      </c>
      <c r="XT8" s="113">
        <v>69.2</v>
      </c>
      <c r="XU8" s="113">
        <v>69.2</v>
      </c>
      <c r="XV8" s="113">
        <v>69.2</v>
      </c>
      <c r="XW8" s="113">
        <v>69.2</v>
      </c>
      <c r="XX8" s="113">
        <v>69.2</v>
      </c>
      <c r="XY8" s="113">
        <v>69.2</v>
      </c>
      <c r="XZ8" s="113">
        <v>69.2</v>
      </c>
      <c r="YA8" s="113">
        <v>69.2</v>
      </c>
      <c r="YB8" s="113">
        <v>69.2</v>
      </c>
      <c r="YC8" s="113">
        <v>69.2</v>
      </c>
      <c r="YD8" s="113">
        <v>69.2</v>
      </c>
      <c r="YE8" s="113">
        <v>69.2</v>
      </c>
      <c r="YF8" s="113">
        <v>69.2</v>
      </c>
      <c r="YG8" s="113">
        <v>69.2</v>
      </c>
      <c r="YH8" s="113">
        <v>69.2</v>
      </c>
      <c r="YI8" s="113">
        <v>69.2</v>
      </c>
      <c r="YJ8" s="113">
        <v>69.2</v>
      </c>
      <c r="YK8" s="113">
        <v>69.2</v>
      </c>
      <c r="YL8" s="113">
        <v>69.2</v>
      </c>
      <c r="YM8" s="113">
        <v>69.2</v>
      </c>
      <c r="YN8" s="113">
        <v>69.2</v>
      </c>
      <c r="YO8" s="113">
        <v>69.2</v>
      </c>
      <c r="YP8" s="113">
        <v>69.2</v>
      </c>
      <c r="YQ8" s="113">
        <v>69.2</v>
      </c>
      <c r="YR8" s="113">
        <v>69.2</v>
      </c>
      <c r="YS8" s="113">
        <v>69.2</v>
      </c>
      <c r="YT8" s="113">
        <v>69.2</v>
      </c>
      <c r="YU8" s="113">
        <v>69.2</v>
      </c>
      <c r="YV8" s="113">
        <v>69.2</v>
      </c>
      <c r="YW8" s="113">
        <v>69.2</v>
      </c>
      <c r="YX8" s="113">
        <v>69.2</v>
      </c>
      <c r="YY8" s="113">
        <v>69.2</v>
      </c>
      <c r="YZ8" s="113">
        <v>69.2</v>
      </c>
      <c r="ZA8" s="113">
        <v>69.2</v>
      </c>
      <c r="ZB8" s="113">
        <v>69.2</v>
      </c>
      <c r="ZC8" s="113">
        <v>69.2</v>
      </c>
      <c r="ZD8" s="113">
        <v>69.2</v>
      </c>
      <c r="ZE8" s="113">
        <v>69.2</v>
      </c>
      <c r="ZF8" s="113">
        <v>69.2</v>
      </c>
      <c r="ZG8" s="113">
        <v>69.2</v>
      </c>
      <c r="ZH8" s="113">
        <v>69.2</v>
      </c>
      <c r="ZI8" s="113">
        <v>69.2</v>
      </c>
      <c r="ZJ8" s="113">
        <v>69.2</v>
      </c>
      <c r="ZK8" s="113">
        <v>69.2</v>
      </c>
      <c r="ZL8" s="113">
        <v>69.2</v>
      </c>
      <c r="ZM8" s="113">
        <v>69.2</v>
      </c>
      <c r="ZN8" s="113">
        <v>69.2</v>
      </c>
      <c r="ZO8" s="113">
        <v>69.2</v>
      </c>
      <c r="ZP8" s="113">
        <v>69.2</v>
      </c>
      <c r="ZQ8" s="113">
        <v>69.2</v>
      </c>
      <c r="ZR8" s="113">
        <v>69.2</v>
      </c>
      <c r="ZS8" s="113">
        <v>69.2</v>
      </c>
      <c r="ZT8" s="113">
        <v>69.2</v>
      </c>
      <c r="ZU8" s="113">
        <v>69.2</v>
      </c>
      <c r="ZV8" s="113">
        <v>69.2</v>
      </c>
      <c r="ZW8" s="113">
        <v>69.2</v>
      </c>
      <c r="AAS8" s="113">
        <v>69.2</v>
      </c>
      <c r="AAT8" s="113">
        <v>69.2</v>
      </c>
      <c r="AAU8" s="113">
        <v>69.2</v>
      </c>
      <c r="AAV8" s="113">
        <v>69.2</v>
      </c>
      <c r="AAW8" s="113">
        <v>69.2</v>
      </c>
      <c r="AAX8" s="113">
        <v>69.2</v>
      </c>
      <c r="AAY8" s="113">
        <v>69.2</v>
      </c>
      <c r="AAZ8" s="113">
        <v>69.2</v>
      </c>
      <c r="ABA8" s="113">
        <v>69.2</v>
      </c>
      <c r="ABB8" s="113">
        <v>69.2</v>
      </c>
      <c r="ABC8" s="113">
        <v>69.2</v>
      </c>
      <c r="ABD8" s="113">
        <v>69.2</v>
      </c>
      <c r="ABE8" s="113">
        <v>69.2</v>
      </c>
      <c r="ABF8" s="113">
        <v>69.2</v>
      </c>
      <c r="ABG8" s="113">
        <v>69.2</v>
      </c>
      <c r="ABH8" s="113">
        <v>69.2</v>
      </c>
      <c r="ABI8" s="113">
        <v>69.2</v>
      </c>
      <c r="ABJ8" s="113">
        <v>69.2</v>
      </c>
      <c r="ABK8" s="113">
        <v>69.2</v>
      </c>
      <c r="ABL8" s="113">
        <v>69.2</v>
      </c>
      <c r="ABM8" s="113">
        <v>69.2</v>
      </c>
      <c r="ABN8" s="113">
        <v>69.2</v>
      </c>
      <c r="ABO8" s="113">
        <v>69.2</v>
      </c>
      <c r="ABP8" s="113">
        <v>69.2</v>
      </c>
      <c r="ABQ8" s="113">
        <v>69.2</v>
      </c>
      <c r="ABR8" s="113">
        <v>69.2</v>
      </c>
      <c r="ABS8" s="113">
        <v>69.2</v>
      </c>
      <c r="ABT8" s="113">
        <v>69.2</v>
      </c>
      <c r="ABU8" s="113">
        <v>69.2</v>
      </c>
      <c r="ABV8" s="113">
        <v>69.2</v>
      </c>
      <c r="ABW8" s="113">
        <v>69.2</v>
      </c>
      <c r="ABX8" s="113">
        <v>69.2</v>
      </c>
      <c r="ABY8" s="113">
        <v>69.2</v>
      </c>
      <c r="ABZ8" s="113">
        <v>69.2</v>
      </c>
      <c r="ACA8" s="113">
        <v>69.2</v>
      </c>
      <c r="ACB8" s="113">
        <v>69.2</v>
      </c>
      <c r="ACC8" s="113">
        <v>69.2</v>
      </c>
      <c r="ACD8" s="113">
        <v>69.2</v>
      </c>
      <c r="ACE8" s="113">
        <v>69.2</v>
      </c>
      <c r="ACF8" s="113">
        <v>69.2</v>
      </c>
      <c r="ACG8" s="113">
        <v>69.2</v>
      </c>
      <c r="ACH8" s="113">
        <v>69.2</v>
      </c>
      <c r="ACI8" s="113">
        <v>69.2</v>
      </c>
      <c r="ACJ8" s="113">
        <v>69.2</v>
      </c>
      <c r="ACK8" s="113">
        <v>69.2</v>
      </c>
      <c r="ACL8" s="113">
        <v>69.2</v>
      </c>
      <c r="ACM8" s="113">
        <v>69.2</v>
      </c>
      <c r="ACN8" s="113">
        <v>69.2</v>
      </c>
      <c r="ACO8" s="113">
        <v>69.2</v>
      </c>
      <c r="ACP8" s="113">
        <v>69.2</v>
      </c>
      <c r="ACQ8" s="113">
        <v>69.2</v>
      </c>
      <c r="ACR8" s="113">
        <v>69.2</v>
      </c>
      <c r="ACS8" s="113">
        <v>69.2</v>
      </c>
      <c r="ACT8" s="113">
        <v>69.2</v>
      </c>
      <c r="ACU8" s="113">
        <v>69.2</v>
      </c>
      <c r="ACV8" s="113">
        <v>69.2</v>
      </c>
      <c r="ACW8" s="113">
        <v>69.2</v>
      </c>
      <c r="ACX8" s="113">
        <v>69.2</v>
      </c>
      <c r="ACY8" s="113">
        <v>69.2</v>
      </c>
      <c r="ACZ8" s="113">
        <v>69.2</v>
      </c>
      <c r="ADA8" s="113">
        <v>69.2</v>
      </c>
      <c r="ADU8" s="113">
        <v>69.2</v>
      </c>
      <c r="ADV8" s="113">
        <v>69.2</v>
      </c>
      <c r="ADW8" s="113">
        <v>69.2</v>
      </c>
      <c r="ADX8" s="113">
        <v>69.2</v>
      </c>
      <c r="ADY8" s="113">
        <v>69.2</v>
      </c>
      <c r="ADZ8" s="113">
        <v>69.2</v>
      </c>
      <c r="AEA8" s="113">
        <v>69.2</v>
      </c>
      <c r="AEB8" s="113">
        <v>69.2</v>
      </c>
      <c r="AEC8" s="113">
        <v>69.2</v>
      </c>
      <c r="AED8" s="113">
        <v>69.2</v>
      </c>
      <c r="AEE8" s="113">
        <v>69.2</v>
      </c>
      <c r="AEF8" s="113">
        <v>69.2</v>
      </c>
      <c r="AEG8" s="113">
        <v>69.2</v>
      </c>
      <c r="AEH8" s="113">
        <v>69.2</v>
      </c>
      <c r="AEI8" s="113">
        <v>69.2</v>
      </c>
      <c r="AEJ8" s="113">
        <v>69.2</v>
      </c>
      <c r="AEK8" s="113">
        <v>69.2</v>
      </c>
      <c r="AEL8" s="113">
        <v>69.2</v>
      </c>
      <c r="AEM8" s="113">
        <v>69.2</v>
      </c>
      <c r="AEN8" s="113">
        <v>69.2</v>
      </c>
      <c r="AEO8" s="113">
        <v>69.2</v>
      </c>
      <c r="AEP8" s="113">
        <v>69.2</v>
      </c>
      <c r="AEQ8" s="113">
        <v>69.2</v>
      </c>
      <c r="AER8" s="113">
        <v>69.2</v>
      </c>
      <c r="AES8" s="113">
        <v>69.2</v>
      </c>
      <c r="AET8" s="113">
        <v>69.2</v>
      </c>
      <c r="AEU8" s="113">
        <v>69.2</v>
      </c>
      <c r="AEV8" s="113">
        <v>69.2</v>
      </c>
      <c r="AEW8" s="113">
        <v>69.2</v>
      </c>
      <c r="AEX8" s="113">
        <v>69.2</v>
      </c>
      <c r="AEY8" s="113">
        <v>69.2</v>
      </c>
      <c r="AEZ8" s="113">
        <v>69.2</v>
      </c>
      <c r="AFA8" s="113">
        <v>69.2</v>
      </c>
      <c r="AFB8" s="113">
        <v>69.2</v>
      </c>
      <c r="AFC8" s="113">
        <v>69.2</v>
      </c>
      <c r="AFD8" s="113">
        <v>69.2</v>
      </c>
      <c r="AFE8" s="113">
        <v>69.2</v>
      </c>
      <c r="AFF8" s="113">
        <v>69.2</v>
      </c>
      <c r="AFG8" s="113">
        <v>69.2</v>
      </c>
      <c r="AFH8" s="113">
        <v>69.2</v>
      </c>
      <c r="AFI8" s="113">
        <v>69.2</v>
      </c>
      <c r="AFJ8" s="113">
        <v>69.2</v>
      </c>
      <c r="AFK8" s="113">
        <v>69.2</v>
      </c>
      <c r="AFL8" s="113">
        <v>69.2</v>
      </c>
      <c r="AFM8" s="113">
        <v>69.2</v>
      </c>
      <c r="AFN8" s="113">
        <v>69.2</v>
      </c>
      <c r="AFO8" s="113">
        <v>69.2</v>
      </c>
      <c r="AFP8" s="113">
        <v>69.2</v>
      </c>
      <c r="AFQ8" s="113">
        <v>69.2</v>
      </c>
      <c r="AFR8" s="113">
        <v>69.2</v>
      </c>
      <c r="AFS8" s="113">
        <v>69.2</v>
      </c>
      <c r="AFT8" s="113">
        <v>69.2</v>
      </c>
      <c r="AFU8" s="113">
        <v>69.2</v>
      </c>
      <c r="AFV8" s="113">
        <v>69.2</v>
      </c>
      <c r="AFW8" s="113">
        <v>69.2</v>
      </c>
      <c r="AFX8" s="113">
        <v>69.2</v>
      </c>
      <c r="AFY8" s="113">
        <v>69.2</v>
      </c>
      <c r="AFZ8" s="113">
        <v>69.2</v>
      </c>
      <c r="AGA8" s="113">
        <v>69.2</v>
      </c>
      <c r="AGB8" s="113">
        <v>69.2</v>
      </c>
      <c r="AGW8" s="113">
        <v>69.2</v>
      </c>
      <c r="AGX8" s="113">
        <v>69.2</v>
      </c>
      <c r="AGY8" s="113">
        <v>69.2</v>
      </c>
      <c r="AGZ8" s="113">
        <v>69.2</v>
      </c>
      <c r="AHA8" s="113">
        <v>69.2</v>
      </c>
      <c r="AHB8" s="113">
        <v>69.2</v>
      </c>
      <c r="AHC8" s="113">
        <v>69.2</v>
      </c>
      <c r="AHD8" s="113">
        <v>69.2</v>
      </c>
      <c r="AHE8" s="113">
        <v>69.2</v>
      </c>
      <c r="AHF8" s="113">
        <v>69.2</v>
      </c>
      <c r="AHG8" s="113">
        <v>69.2</v>
      </c>
      <c r="AHH8" s="113">
        <v>69.2</v>
      </c>
      <c r="AHI8" s="113">
        <v>69.2</v>
      </c>
      <c r="AHJ8" s="113">
        <v>69.2</v>
      </c>
      <c r="AHK8" s="113">
        <v>69.2</v>
      </c>
      <c r="AHL8" s="113">
        <v>69.2</v>
      </c>
      <c r="AHM8" s="113">
        <v>69.2</v>
      </c>
      <c r="AHN8" s="113">
        <v>69.2</v>
      </c>
      <c r="AHO8" s="113">
        <v>69.2</v>
      </c>
      <c r="AHP8" s="113">
        <v>69.2</v>
      </c>
      <c r="AHQ8" s="113">
        <v>69.2</v>
      </c>
      <c r="AHR8" s="113">
        <v>69.2</v>
      </c>
      <c r="AHS8" s="113">
        <v>69.2</v>
      </c>
      <c r="AHT8" s="113">
        <v>69.2</v>
      </c>
      <c r="AHU8" s="113">
        <v>69.2</v>
      </c>
      <c r="AHV8" s="113">
        <v>69.2</v>
      </c>
      <c r="AHW8" s="113">
        <v>69.2</v>
      </c>
      <c r="AHX8" s="113">
        <v>69.2</v>
      </c>
      <c r="AHY8" s="113">
        <v>69.2</v>
      </c>
      <c r="AHZ8" s="113">
        <v>69.2</v>
      </c>
      <c r="AIA8" s="113">
        <v>69.2</v>
      </c>
      <c r="AIB8" s="113">
        <v>69.2</v>
      </c>
      <c r="AIC8" s="113">
        <v>69.2</v>
      </c>
      <c r="AID8" s="113">
        <v>69.2</v>
      </c>
      <c r="AIE8" s="113">
        <v>69.2</v>
      </c>
      <c r="AIF8" s="113">
        <v>69.2</v>
      </c>
      <c r="AIG8" s="113">
        <v>69.2</v>
      </c>
      <c r="AIH8" s="113">
        <v>69.2</v>
      </c>
      <c r="AII8" s="113">
        <v>69.2</v>
      </c>
      <c r="AIJ8" s="113">
        <v>69.2</v>
      </c>
      <c r="AIK8" s="113">
        <v>69.2</v>
      </c>
      <c r="AIL8" s="113">
        <v>69.2</v>
      </c>
      <c r="AIM8" s="113">
        <v>69.2</v>
      </c>
      <c r="AIN8" s="113">
        <v>69.2</v>
      </c>
      <c r="AIO8" s="113">
        <v>69.2</v>
      </c>
      <c r="AIP8" s="113">
        <v>69.2</v>
      </c>
      <c r="AIQ8" s="113">
        <v>69.2</v>
      </c>
      <c r="AIR8" s="113">
        <v>69.2</v>
      </c>
      <c r="AIS8" s="113">
        <v>69.2</v>
      </c>
      <c r="AIT8" s="113">
        <v>69.2</v>
      </c>
      <c r="AIU8" s="113">
        <v>69.2</v>
      </c>
      <c r="AIV8" s="113">
        <v>69.2</v>
      </c>
      <c r="AIW8" s="113">
        <v>69.2</v>
      </c>
      <c r="AIX8" s="113">
        <v>69.2</v>
      </c>
      <c r="AIY8" s="113">
        <v>69.2</v>
      </c>
      <c r="AIZ8" s="113">
        <v>69.2</v>
      </c>
      <c r="AJA8" s="113">
        <v>69.2</v>
      </c>
      <c r="AJB8" s="113">
        <v>69.2</v>
      </c>
      <c r="AJC8" s="113">
        <v>69.2</v>
      </c>
      <c r="AJD8" s="113">
        <v>69.2</v>
      </c>
    </row>
    <row r="9" spans="1:940">
      <c r="A9" s="113">
        <v>51.9</v>
      </c>
      <c r="B9" s="113">
        <v>51.9</v>
      </c>
      <c r="C9" s="113">
        <v>51.9</v>
      </c>
      <c r="D9" s="113">
        <v>51.9</v>
      </c>
      <c r="E9" s="113">
        <v>51.9</v>
      </c>
      <c r="F9" s="113">
        <v>51.9</v>
      </c>
      <c r="G9" s="113">
        <v>69.2</v>
      </c>
      <c r="H9" s="113">
        <v>69.2</v>
      </c>
      <c r="I9" s="113">
        <v>69.2</v>
      </c>
      <c r="J9" s="113">
        <v>69.2</v>
      </c>
      <c r="K9" s="113">
        <v>64</v>
      </c>
      <c r="L9" s="113">
        <v>51.9</v>
      </c>
      <c r="M9" s="113">
        <v>64</v>
      </c>
      <c r="N9" s="113">
        <v>64</v>
      </c>
      <c r="O9" s="113">
        <v>64</v>
      </c>
      <c r="P9" s="113">
        <v>51.9</v>
      </c>
      <c r="Q9" s="113">
        <v>64</v>
      </c>
      <c r="R9" s="113">
        <v>64</v>
      </c>
      <c r="S9" s="113">
        <v>69.2</v>
      </c>
      <c r="T9" s="113">
        <v>51.9</v>
      </c>
      <c r="U9" s="113">
        <v>51.9</v>
      </c>
      <c r="V9" s="113">
        <v>64</v>
      </c>
      <c r="W9" s="113">
        <v>64</v>
      </c>
      <c r="X9" s="113">
        <v>64</v>
      </c>
      <c r="Y9" s="113">
        <v>51.9</v>
      </c>
      <c r="Z9" s="113">
        <v>64</v>
      </c>
      <c r="AA9" s="113">
        <v>64</v>
      </c>
      <c r="AB9" s="113">
        <v>64</v>
      </c>
      <c r="AC9" s="113">
        <v>64</v>
      </c>
      <c r="AD9" s="113">
        <v>64</v>
      </c>
      <c r="AE9" s="113">
        <v>64</v>
      </c>
      <c r="AF9" s="113">
        <v>64</v>
      </c>
      <c r="AG9" s="113">
        <v>69.2</v>
      </c>
      <c r="AH9" s="113">
        <v>64</v>
      </c>
      <c r="AI9" s="113">
        <v>64</v>
      </c>
      <c r="AJ9" s="113">
        <v>64</v>
      </c>
      <c r="AK9" s="113">
        <v>64</v>
      </c>
      <c r="AL9" s="113">
        <v>64</v>
      </c>
      <c r="AM9" s="113">
        <v>64</v>
      </c>
      <c r="AN9" s="113">
        <v>64</v>
      </c>
      <c r="AO9" s="113">
        <v>64</v>
      </c>
      <c r="AP9" s="113">
        <v>64</v>
      </c>
      <c r="AQ9" s="113">
        <v>64</v>
      </c>
      <c r="AR9" s="113">
        <v>64</v>
      </c>
      <c r="AS9" s="113">
        <v>64</v>
      </c>
      <c r="AT9" s="113">
        <v>64</v>
      </c>
      <c r="AU9" s="113">
        <v>64</v>
      </c>
      <c r="AV9" s="113">
        <v>64</v>
      </c>
      <c r="AW9" s="113">
        <v>64</v>
      </c>
      <c r="AX9" s="113">
        <v>64</v>
      </c>
      <c r="AY9" s="113">
        <v>64</v>
      </c>
      <c r="AZ9" s="113">
        <v>64</v>
      </c>
      <c r="CC9" s="113">
        <v>51.9</v>
      </c>
      <c r="CD9" s="113">
        <v>51.9</v>
      </c>
      <c r="CE9" s="113">
        <v>51.9</v>
      </c>
      <c r="CF9" s="113">
        <v>51.9</v>
      </c>
      <c r="CG9" s="113">
        <v>51.9</v>
      </c>
      <c r="CH9" s="113">
        <v>51.9</v>
      </c>
      <c r="CI9" s="113">
        <v>51.9</v>
      </c>
      <c r="CJ9" s="113">
        <v>51.9</v>
      </c>
      <c r="CK9" s="113">
        <v>51.9</v>
      </c>
      <c r="CL9" s="113">
        <v>51.9</v>
      </c>
      <c r="CM9" s="113">
        <v>51.9</v>
      </c>
      <c r="CN9" s="113">
        <v>51.9</v>
      </c>
      <c r="CO9" s="113">
        <v>51.9</v>
      </c>
      <c r="CP9" s="113">
        <v>51.9</v>
      </c>
      <c r="CQ9" s="113">
        <v>51.9</v>
      </c>
      <c r="CR9" s="113">
        <v>51.9</v>
      </c>
      <c r="CS9" s="113">
        <v>51.9</v>
      </c>
      <c r="CT9" s="113">
        <v>51.9</v>
      </c>
      <c r="CU9" s="113">
        <v>51.9</v>
      </c>
      <c r="CV9" s="113">
        <v>51.9</v>
      </c>
      <c r="CW9" s="113">
        <v>51.9</v>
      </c>
      <c r="CX9" s="113">
        <v>51.9</v>
      </c>
      <c r="CY9" s="113">
        <v>51.9</v>
      </c>
      <c r="CZ9" s="113">
        <v>51.9</v>
      </c>
      <c r="DA9" s="113">
        <v>51.9</v>
      </c>
      <c r="DB9" s="113">
        <v>51.9</v>
      </c>
      <c r="DC9" s="113">
        <v>51.9</v>
      </c>
      <c r="DD9" s="113">
        <v>51.9</v>
      </c>
      <c r="DE9" s="113">
        <v>51.9</v>
      </c>
      <c r="DF9" s="113">
        <v>51.9</v>
      </c>
      <c r="DG9" s="113">
        <v>51.9</v>
      </c>
      <c r="DH9" s="113">
        <v>51.9</v>
      </c>
      <c r="DI9" s="113">
        <v>51.9</v>
      </c>
      <c r="DJ9" s="113">
        <v>51.9</v>
      </c>
      <c r="DK9" s="113">
        <v>51.9</v>
      </c>
      <c r="DL9" s="113">
        <v>51.9</v>
      </c>
      <c r="DM9" s="113">
        <v>51.9</v>
      </c>
      <c r="DN9" s="113">
        <v>51.9</v>
      </c>
      <c r="DO9" s="113">
        <v>51.9</v>
      </c>
      <c r="DP9" s="113">
        <v>51.9</v>
      </c>
      <c r="DQ9" s="113">
        <v>51.9</v>
      </c>
      <c r="DR9" s="113">
        <v>51.9</v>
      </c>
      <c r="DS9" s="113">
        <v>51.9</v>
      </c>
      <c r="DT9" s="113">
        <v>51.9</v>
      </c>
      <c r="DU9" s="113">
        <v>51.9</v>
      </c>
      <c r="DV9" s="113">
        <v>51.9</v>
      </c>
      <c r="DW9" s="113">
        <v>51.9</v>
      </c>
      <c r="DX9" s="113">
        <v>51.9</v>
      </c>
      <c r="DY9" s="113">
        <v>51.9</v>
      </c>
      <c r="DZ9" s="113">
        <v>51.9</v>
      </c>
      <c r="EA9" s="113">
        <v>51.9</v>
      </c>
      <c r="EB9" s="113">
        <v>51.9</v>
      </c>
      <c r="EC9" s="113">
        <v>51.9</v>
      </c>
      <c r="ED9" s="113">
        <v>51.9</v>
      </c>
      <c r="EE9" s="113">
        <v>51.9</v>
      </c>
      <c r="EF9" s="113">
        <v>51.9</v>
      </c>
      <c r="EG9" s="113">
        <v>51.9</v>
      </c>
      <c r="EH9" s="113">
        <v>51.9</v>
      </c>
      <c r="EI9" s="113">
        <v>51.9</v>
      </c>
      <c r="FE9" s="113">
        <v>64</v>
      </c>
      <c r="FF9" s="113">
        <v>51.9</v>
      </c>
      <c r="FG9" s="113">
        <v>51.9</v>
      </c>
      <c r="FH9" s="113">
        <v>51.9</v>
      </c>
      <c r="FI9" s="113">
        <v>51.9</v>
      </c>
      <c r="FJ9" s="113">
        <v>51.9</v>
      </c>
      <c r="FK9" s="113">
        <v>69.2</v>
      </c>
      <c r="FL9" s="113">
        <v>51.9</v>
      </c>
      <c r="FM9" s="113">
        <v>69.2</v>
      </c>
      <c r="FN9" s="113">
        <v>69.2</v>
      </c>
      <c r="FO9" s="113">
        <v>69.2</v>
      </c>
      <c r="FP9" s="113">
        <v>69.2</v>
      </c>
      <c r="FQ9" s="113">
        <v>69.2</v>
      </c>
      <c r="FR9" s="113">
        <v>51.9</v>
      </c>
      <c r="FS9" s="113">
        <v>64</v>
      </c>
      <c r="FT9" s="113">
        <v>64</v>
      </c>
      <c r="FU9" s="113">
        <v>64</v>
      </c>
      <c r="FV9" s="113">
        <v>51.9</v>
      </c>
      <c r="FW9" s="113">
        <v>64</v>
      </c>
      <c r="FX9" s="113">
        <v>64</v>
      </c>
      <c r="FY9" s="113">
        <v>64</v>
      </c>
      <c r="FZ9" s="113">
        <v>51.9</v>
      </c>
      <c r="GA9" s="113">
        <v>51.9</v>
      </c>
      <c r="GB9" s="113">
        <v>64</v>
      </c>
      <c r="GC9" s="113">
        <v>64</v>
      </c>
      <c r="GD9" s="113">
        <v>64</v>
      </c>
      <c r="GE9" s="113">
        <v>51.9</v>
      </c>
      <c r="GF9" s="113">
        <v>64</v>
      </c>
      <c r="GG9" s="113">
        <v>64</v>
      </c>
      <c r="GH9" s="113">
        <v>64</v>
      </c>
      <c r="GI9" s="113">
        <v>64</v>
      </c>
      <c r="GJ9" s="113">
        <v>64</v>
      </c>
      <c r="GK9" s="113">
        <v>64</v>
      </c>
      <c r="GL9" s="113">
        <v>64</v>
      </c>
      <c r="GM9" s="113">
        <v>64</v>
      </c>
      <c r="GN9" s="113">
        <v>64</v>
      </c>
      <c r="GO9" s="113">
        <v>64</v>
      </c>
      <c r="GP9" s="113">
        <v>64</v>
      </c>
      <c r="GQ9" s="113">
        <v>64</v>
      </c>
      <c r="GR9" s="113">
        <v>64</v>
      </c>
      <c r="GS9" s="113">
        <v>64</v>
      </c>
      <c r="GT9" s="113">
        <v>64</v>
      </c>
      <c r="GU9" s="113">
        <v>64</v>
      </c>
      <c r="GV9" s="113">
        <v>64</v>
      </c>
      <c r="GW9" s="113">
        <v>64</v>
      </c>
      <c r="GX9" s="113">
        <v>64</v>
      </c>
      <c r="GY9" s="113">
        <v>64</v>
      </c>
      <c r="GZ9" s="113">
        <v>64</v>
      </c>
      <c r="HA9" s="113">
        <v>64</v>
      </c>
      <c r="HB9" s="113">
        <v>64</v>
      </c>
      <c r="HC9" s="113">
        <v>64</v>
      </c>
      <c r="HD9" s="113">
        <v>64</v>
      </c>
      <c r="HE9" s="113">
        <v>64</v>
      </c>
      <c r="HF9" s="113">
        <v>64</v>
      </c>
      <c r="HG9" s="113">
        <v>64</v>
      </c>
      <c r="HH9" s="113">
        <v>64</v>
      </c>
      <c r="HI9" s="113">
        <v>69.2</v>
      </c>
      <c r="HJ9" s="113">
        <v>64</v>
      </c>
      <c r="HK9" s="113">
        <v>64</v>
      </c>
      <c r="HL9" s="113">
        <v>64</v>
      </c>
      <c r="IG9" s="113">
        <v>64</v>
      </c>
      <c r="IH9" s="113">
        <v>51.9</v>
      </c>
      <c r="II9" s="113">
        <v>51.9</v>
      </c>
      <c r="IJ9" s="113">
        <v>51.9</v>
      </c>
      <c r="IK9" s="113">
        <v>51.9</v>
      </c>
      <c r="IL9" s="113">
        <v>51.9</v>
      </c>
      <c r="IM9" s="113">
        <v>69.2</v>
      </c>
      <c r="IN9" s="113">
        <v>51.9</v>
      </c>
      <c r="IO9" s="113">
        <v>69.2</v>
      </c>
      <c r="IP9" s="113">
        <v>69.2</v>
      </c>
      <c r="IQ9" s="113">
        <v>69.2</v>
      </c>
      <c r="IR9" s="113">
        <v>69.2</v>
      </c>
      <c r="IS9" s="113">
        <v>69.2</v>
      </c>
      <c r="IT9" s="113">
        <v>51.9</v>
      </c>
      <c r="IU9" s="113">
        <v>64</v>
      </c>
      <c r="IV9" s="113">
        <v>64</v>
      </c>
      <c r="IW9" s="113">
        <v>64</v>
      </c>
      <c r="IX9" s="113">
        <v>51.9</v>
      </c>
      <c r="IY9" s="113">
        <v>64</v>
      </c>
      <c r="IZ9" s="113">
        <v>64</v>
      </c>
      <c r="JA9" s="113">
        <v>64</v>
      </c>
      <c r="JB9" s="113">
        <v>51.9</v>
      </c>
      <c r="JC9" s="113">
        <v>51.9</v>
      </c>
      <c r="JD9" s="113">
        <v>64</v>
      </c>
      <c r="JE9" s="113">
        <v>64</v>
      </c>
      <c r="JF9" s="113">
        <v>64</v>
      </c>
      <c r="JG9" s="113">
        <v>51.9</v>
      </c>
      <c r="JH9" s="113">
        <v>64</v>
      </c>
      <c r="JI9" s="113">
        <v>64</v>
      </c>
      <c r="JJ9" s="113">
        <v>64</v>
      </c>
      <c r="JK9" s="113">
        <v>64</v>
      </c>
      <c r="JL9" s="113">
        <v>64</v>
      </c>
      <c r="JM9" s="113">
        <v>64</v>
      </c>
      <c r="JN9" s="113">
        <v>64</v>
      </c>
      <c r="JO9" s="113">
        <v>64</v>
      </c>
      <c r="JP9" s="113">
        <v>64</v>
      </c>
      <c r="JQ9" s="113">
        <v>64</v>
      </c>
      <c r="JR9" s="113">
        <v>64</v>
      </c>
      <c r="JS9" s="113">
        <v>64</v>
      </c>
      <c r="JT9" s="113">
        <v>64</v>
      </c>
      <c r="JU9" s="113">
        <v>64</v>
      </c>
      <c r="JV9" s="113">
        <v>64</v>
      </c>
      <c r="JW9" s="113">
        <v>64</v>
      </c>
      <c r="JX9" s="113">
        <v>64</v>
      </c>
      <c r="JY9" s="113">
        <v>64</v>
      </c>
      <c r="JZ9" s="113">
        <v>64</v>
      </c>
      <c r="KA9" s="113">
        <v>64</v>
      </c>
      <c r="KB9" s="113">
        <v>64</v>
      </c>
      <c r="KC9" s="113">
        <v>64</v>
      </c>
      <c r="KD9" s="113">
        <v>64</v>
      </c>
      <c r="KE9" s="113">
        <v>64</v>
      </c>
      <c r="KF9" s="113">
        <v>64</v>
      </c>
      <c r="KG9" s="113">
        <v>64</v>
      </c>
      <c r="KH9" s="113">
        <v>64</v>
      </c>
      <c r="KI9" s="113">
        <v>64</v>
      </c>
      <c r="KJ9" s="113">
        <v>64</v>
      </c>
      <c r="KK9" s="113">
        <v>69.2</v>
      </c>
      <c r="KL9" s="113">
        <v>64</v>
      </c>
      <c r="KM9" s="113">
        <v>64</v>
      </c>
      <c r="KN9" s="113">
        <v>64</v>
      </c>
      <c r="LI9" s="113">
        <v>64</v>
      </c>
      <c r="LJ9" s="113">
        <v>51.9</v>
      </c>
      <c r="LK9" s="113">
        <v>51.9</v>
      </c>
      <c r="LL9" s="113">
        <v>51.9</v>
      </c>
      <c r="LM9" s="113">
        <v>51.9</v>
      </c>
      <c r="LN9" s="113">
        <v>51.9</v>
      </c>
      <c r="LO9" s="113">
        <v>69.2</v>
      </c>
      <c r="LP9" s="113">
        <v>51.9</v>
      </c>
      <c r="LQ9" s="113">
        <v>69.2</v>
      </c>
      <c r="LR9" s="113">
        <v>69.2</v>
      </c>
      <c r="LS9" s="113">
        <v>69.2</v>
      </c>
      <c r="LT9" s="113">
        <v>69.2</v>
      </c>
      <c r="LU9" s="113">
        <v>69.2</v>
      </c>
      <c r="LV9" s="113">
        <v>51.9</v>
      </c>
      <c r="LW9" s="113">
        <v>64</v>
      </c>
      <c r="LX9" s="113">
        <v>64</v>
      </c>
      <c r="LY9" s="113">
        <v>64</v>
      </c>
      <c r="LZ9" s="113">
        <v>51.9</v>
      </c>
      <c r="MA9" s="113">
        <v>64</v>
      </c>
      <c r="MB9" s="113">
        <v>64</v>
      </c>
      <c r="MC9" s="113">
        <v>64</v>
      </c>
      <c r="MD9" s="113">
        <v>51.9</v>
      </c>
      <c r="ME9" s="113">
        <v>51.9</v>
      </c>
      <c r="MF9" s="113">
        <v>64</v>
      </c>
      <c r="MG9" s="113">
        <v>64</v>
      </c>
      <c r="MH9" s="113">
        <v>64</v>
      </c>
      <c r="MI9" s="113">
        <v>51.9</v>
      </c>
      <c r="MJ9" s="113">
        <v>64</v>
      </c>
      <c r="MK9" s="113">
        <v>64</v>
      </c>
      <c r="ML9" s="113">
        <v>64</v>
      </c>
      <c r="MM9" s="113">
        <v>64</v>
      </c>
      <c r="MN9" s="113">
        <v>64</v>
      </c>
      <c r="MO9" s="113">
        <v>64</v>
      </c>
      <c r="MP9" s="113">
        <v>64</v>
      </c>
      <c r="MQ9" s="113">
        <v>64</v>
      </c>
      <c r="MR9" s="113">
        <v>64</v>
      </c>
      <c r="MS9" s="113">
        <v>64</v>
      </c>
      <c r="MT9" s="113">
        <v>64</v>
      </c>
      <c r="MU9" s="113">
        <v>64</v>
      </c>
      <c r="MV9" s="113">
        <v>64</v>
      </c>
      <c r="MW9" s="113">
        <v>64</v>
      </c>
      <c r="MX9" s="113">
        <v>64</v>
      </c>
      <c r="MY9" s="113">
        <v>64</v>
      </c>
      <c r="MZ9" s="113">
        <v>64</v>
      </c>
      <c r="NA9" s="113">
        <v>64</v>
      </c>
      <c r="NB9" s="113">
        <v>64</v>
      </c>
      <c r="NC9" s="113">
        <v>64</v>
      </c>
      <c r="ND9" s="113">
        <v>64</v>
      </c>
      <c r="NE9" s="113">
        <v>64</v>
      </c>
      <c r="NF9" s="113">
        <v>64</v>
      </c>
      <c r="NG9" s="113">
        <v>64</v>
      </c>
      <c r="NH9" s="113">
        <v>64</v>
      </c>
      <c r="NI9" s="113">
        <v>64</v>
      </c>
      <c r="NJ9" s="113">
        <v>64</v>
      </c>
      <c r="NK9" s="113">
        <v>64</v>
      </c>
      <c r="NL9" s="113">
        <v>64</v>
      </c>
      <c r="NM9" s="113">
        <v>64</v>
      </c>
      <c r="NN9" s="113">
        <v>64</v>
      </c>
      <c r="NO9" s="113">
        <v>69.2</v>
      </c>
      <c r="NP9" s="113">
        <v>64</v>
      </c>
      <c r="NQ9" s="113">
        <v>64</v>
      </c>
      <c r="NR9" s="113">
        <v>64</v>
      </c>
      <c r="OK9" s="113">
        <v>51.9</v>
      </c>
      <c r="OL9" s="113">
        <v>51.9</v>
      </c>
      <c r="OM9" s="113">
        <v>51.9</v>
      </c>
      <c r="ON9" s="113">
        <v>51.9</v>
      </c>
      <c r="OO9" s="113">
        <v>51.9</v>
      </c>
      <c r="OP9" s="113">
        <v>51.9</v>
      </c>
      <c r="OQ9" s="113">
        <v>51.9</v>
      </c>
      <c r="OR9" s="113">
        <v>51.9</v>
      </c>
      <c r="OS9" s="113">
        <v>51.9</v>
      </c>
      <c r="OT9" s="113">
        <v>51.9</v>
      </c>
      <c r="OU9" s="113">
        <v>51.9</v>
      </c>
      <c r="OV9" s="113">
        <v>51.9</v>
      </c>
      <c r="OW9" s="113">
        <v>51.9</v>
      </c>
      <c r="OX9" s="113">
        <v>51.9</v>
      </c>
      <c r="OY9" s="113">
        <v>51.9</v>
      </c>
      <c r="OZ9" s="113">
        <v>51.9</v>
      </c>
      <c r="PA9" s="113">
        <v>51.9</v>
      </c>
      <c r="PB9" s="113">
        <v>51.9</v>
      </c>
      <c r="PC9" s="113">
        <v>51.9</v>
      </c>
      <c r="PD9" s="113">
        <v>51.9</v>
      </c>
      <c r="PE9" s="113">
        <v>51.9</v>
      </c>
      <c r="PF9" s="113">
        <v>51.9</v>
      </c>
      <c r="PG9" s="113">
        <v>51.9</v>
      </c>
      <c r="PH9" s="113">
        <v>51.9</v>
      </c>
      <c r="PI9" s="113">
        <v>51.9</v>
      </c>
      <c r="PJ9" s="113">
        <v>51.9</v>
      </c>
      <c r="PK9" s="113">
        <v>51.9</v>
      </c>
      <c r="PL9" s="113">
        <v>51.9</v>
      </c>
      <c r="PM9" s="113">
        <v>51.9</v>
      </c>
      <c r="PN9" s="113">
        <v>51.9</v>
      </c>
      <c r="PO9" s="113">
        <v>51.9</v>
      </c>
      <c r="PP9" s="113">
        <v>51.9</v>
      </c>
      <c r="PQ9" s="113">
        <v>51.9</v>
      </c>
      <c r="PR9" s="113">
        <v>51.9</v>
      </c>
      <c r="PS9" s="113">
        <v>51.9</v>
      </c>
      <c r="PT9" s="113">
        <v>51.9</v>
      </c>
      <c r="PU9" s="113">
        <v>51.9</v>
      </c>
      <c r="PV9" s="113">
        <v>51.9</v>
      </c>
      <c r="PW9" s="113">
        <v>51.9</v>
      </c>
      <c r="PX9" s="113">
        <v>51.9</v>
      </c>
      <c r="PY9" s="113">
        <v>51.9</v>
      </c>
      <c r="PZ9" s="113">
        <v>51.9</v>
      </c>
      <c r="QA9" s="113">
        <v>51.9</v>
      </c>
      <c r="QB9" s="113">
        <v>51.9</v>
      </c>
      <c r="QC9" s="113">
        <v>51.9</v>
      </c>
      <c r="QD9" s="113">
        <v>51.9</v>
      </c>
      <c r="QE9" s="113">
        <v>51.9</v>
      </c>
      <c r="QF9" s="113">
        <v>51.9</v>
      </c>
      <c r="QG9" s="113">
        <v>51.9</v>
      </c>
      <c r="QH9" s="113">
        <v>51.9</v>
      </c>
      <c r="QI9" s="113">
        <v>51.9</v>
      </c>
      <c r="QJ9" s="113">
        <v>51.9</v>
      </c>
      <c r="QK9" s="113">
        <v>51.9</v>
      </c>
      <c r="QL9" s="113">
        <v>51.9</v>
      </c>
      <c r="QM9" s="113">
        <v>51.9</v>
      </c>
      <c r="QN9" s="113">
        <v>51.9</v>
      </c>
      <c r="QO9" s="113">
        <v>51.9</v>
      </c>
      <c r="QP9" s="113">
        <v>51.9</v>
      </c>
      <c r="QQ9" s="113">
        <v>51.9</v>
      </c>
      <c r="QR9" s="113">
        <v>51.9</v>
      </c>
      <c r="QS9" s="113">
        <v>51.9</v>
      </c>
      <c r="RM9" s="113">
        <v>51.9</v>
      </c>
      <c r="RN9" s="113">
        <v>51.9</v>
      </c>
      <c r="RO9" s="113">
        <v>51.9</v>
      </c>
      <c r="RP9" s="113">
        <v>51.9</v>
      </c>
      <c r="RQ9" s="113">
        <v>51.9</v>
      </c>
      <c r="RR9" s="113">
        <v>51.9</v>
      </c>
      <c r="RS9" s="113">
        <v>51.9</v>
      </c>
      <c r="RT9" s="113">
        <v>51.9</v>
      </c>
      <c r="RU9" s="113">
        <v>51.9</v>
      </c>
      <c r="RV9" s="113">
        <v>51.9</v>
      </c>
      <c r="RW9" s="113">
        <v>51.9</v>
      </c>
      <c r="RX9" s="113">
        <v>51.9</v>
      </c>
      <c r="RY9" s="113">
        <v>51.9</v>
      </c>
      <c r="RZ9" s="113">
        <v>51.9</v>
      </c>
      <c r="SA9" s="113">
        <v>51.9</v>
      </c>
      <c r="SB9" s="113">
        <v>51.9</v>
      </c>
      <c r="SC9" s="113">
        <v>51.9</v>
      </c>
      <c r="SD9" s="113">
        <v>51.9</v>
      </c>
      <c r="SE9" s="113">
        <v>51.9</v>
      </c>
      <c r="SF9" s="113">
        <v>51.9</v>
      </c>
      <c r="SG9" s="113">
        <v>51.9</v>
      </c>
      <c r="SH9" s="113">
        <v>51.9</v>
      </c>
      <c r="SI9" s="113">
        <v>51.9</v>
      </c>
      <c r="SJ9" s="113">
        <v>51.9</v>
      </c>
      <c r="SK9" s="113">
        <v>51.9</v>
      </c>
      <c r="SL9" s="113">
        <v>51.9</v>
      </c>
      <c r="SM9" s="113">
        <v>51.9</v>
      </c>
      <c r="SN9" s="113">
        <v>51.9</v>
      </c>
      <c r="SO9" s="113">
        <v>51.9</v>
      </c>
      <c r="SP9" s="113">
        <v>51.9</v>
      </c>
      <c r="SQ9" s="113">
        <v>51.9</v>
      </c>
      <c r="SR9" s="113">
        <v>51.9</v>
      </c>
      <c r="SS9" s="113">
        <v>51.9</v>
      </c>
      <c r="ST9" s="113">
        <v>51.9</v>
      </c>
      <c r="SU9" s="113">
        <v>51.9</v>
      </c>
      <c r="SV9" s="113">
        <v>51.9</v>
      </c>
      <c r="SW9" s="113">
        <v>51.9</v>
      </c>
      <c r="SX9" s="113">
        <v>51.9</v>
      </c>
      <c r="SY9" s="113">
        <v>51.9</v>
      </c>
      <c r="SZ9" s="113">
        <v>51.9</v>
      </c>
      <c r="TA9" s="113">
        <v>51.9</v>
      </c>
      <c r="TB9" s="113">
        <v>51.9</v>
      </c>
      <c r="TC9" s="113">
        <v>51.9</v>
      </c>
      <c r="TD9" s="113">
        <v>51.9</v>
      </c>
      <c r="TE9" s="113">
        <v>51.9</v>
      </c>
      <c r="TF9" s="113">
        <v>51.9</v>
      </c>
      <c r="TG9" s="113">
        <v>51.9</v>
      </c>
      <c r="TH9" s="113">
        <v>51.9</v>
      </c>
      <c r="TI9" s="113">
        <v>51.9</v>
      </c>
      <c r="TJ9" s="113">
        <v>51.9</v>
      </c>
      <c r="TK9" s="113">
        <v>51.9</v>
      </c>
      <c r="TL9" s="113">
        <v>51.9</v>
      </c>
      <c r="TM9" s="113">
        <v>51.9</v>
      </c>
      <c r="TN9" s="113">
        <v>51.9</v>
      </c>
      <c r="TO9" s="113">
        <v>51.9</v>
      </c>
      <c r="TP9" s="113">
        <v>51.9</v>
      </c>
      <c r="TQ9" s="113">
        <v>51.9</v>
      </c>
      <c r="TR9" s="113">
        <v>51.9</v>
      </c>
      <c r="TS9" s="113">
        <v>51.9</v>
      </c>
      <c r="TT9" s="113">
        <v>51.9</v>
      </c>
      <c r="UO9" s="113">
        <v>51.9</v>
      </c>
      <c r="UP9" s="113">
        <v>51.9</v>
      </c>
      <c r="UQ9" s="113">
        <v>51.9</v>
      </c>
      <c r="UR9" s="113">
        <v>51.9</v>
      </c>
      <c r="US9" s="113">
        <v>51.9</v>
      </c>
      <c r="UT9" s="113">
        <v>51.9</v>
      </c>
      <c r="UU9" s="113">
        <v>51.9</v>
      </c>
      <c r="UV9" s="113">
        <v>51.9</v>
      </c>
      <c r="UW9" s="113">
        <v>51.9</v>
      </c>
      <c r="UX9" s="113">
        <v>51.9</v>
      </c>
      <c r="UY9" s="113">
        <v>51.9</v>
      </c>
      <c r="UZ9" s="113">
        <v>51.9</v>
      </c>
      <c r="VA9" s="113">
        <v>51.9</v>
      </c>
      <c r="VB9" s="113">
        <v>51.9</v>
      </c>
      <c r="VC9" s="113">
        <v>51.9</v>
      </c>
      <c r="VD9" s="113">
        <v>51.9</v>
      </c>
      <c r="VE9" s="113">
        <v>51.9</v>
      </c>
      <c r="VF9" s="113">
        <v>51.9</v>
      </c>
      <c r="VG9" s="113">
        <v>51.9</v>
      </c>
      <c r="VH9" s="113">
        <v>51.9</v>
      </c>
      <c r="VI9" s="113">
        <v>51.9</v>
      </c>
      <c r="VJ9" s="113">
        <v>51.9</v>
      </c>
      <c r="VK9" s="113">
        <v>51.9</v>
      </c>
      <c r="VL9" s="113">
        <v>51.9</v>
      </c>
      <c r="VM9" s="113">
        <v>51.9</v>
      </c>
      <c r="VN9" s="113">
        <v>51.9</v>
      </c>
      <c r="VO9" s="113">
        <v>51.9</v>
      </c>
      <c r="VP9" s="113">
        <v>51.9</v>
      </c>
      <c r="VQ9" s="113">
        <v>51.9</v>
      </c>
      <c r="VR9" s="113">
        <v>51.9</v>
      </c>
      <c r="VS9" s="113">
        <v>51.9</v>
      </c>
      <c r="VT9" s="113">
        <v>51.9</v>
      </c>
      <c r="VU9" s="113">
        <v>51.9</v>
      </c>
      <c r="VV9" s="113">
        <v>51.9</v>
      </c>
      <c r="VW9" s="113">
        <v>51.9</v>
      </c>
      <c r="VX9" s="113">
        <v>51.9</v>
      </c>
      <c r="VY9" s="113">
        <v>51.9</v>
      </c>
      <c r="VZ9" s="113">
        <v>51.9</v>
      </c>
      <c r="WA9" s="113">
        <v>51.9</v>
      </c>
      <c r="WB9" s="113">
        <v>51.9</v>
      </c>
      <c r="WC9" s="113">
        <v>51.9</v>
      </c>
      <c r="WD9" s="113">
        <v>51.9</v>
      </c>
      <c r="WE9" s="113">
        <v>51.9</v>
      </c>
      <c r="WF9" s="113">
        <v>51.9</v>
      </c>
      <c r="WG9" s="113">
        <v>51.9</v>
      </c>
      <c r="WH9" s="113">
        <v>51.9</v>
      </c>
      <c r="WI9" s="113">
        <v>51.9</v>
      </c>
      <c r="WJ9" s="113">
        <v>51.9</v>
      </c>
      <c r="WK9" s="113">
        <v>51.9</v>
      </c>
      <c r="WL9" s="113">
        <v>51.9</v>
      </c>
      <c r="WM9" s="113">
        <v>51.9</v>
      </c>
      <c r="WN9" s="113">
        <v>51.9</v>
      </c>
      <c r="WO9" s="113">
        <v>51.9</v>
      </c>
      <c r="WP9" s="113">
        <v>51.9</v>
      </c>
      <c r="WQ9" s="113">
        <v>51.9</v>
      </c>
      <c r="WR9" s="113">
        <v>51.9</v>
      </c>
      <c r="WS9" s="113">
        <v>51.9</v>
      </c>
      <c r="WT9" s="113">
        <v>51.9</v>
      </c>
      <c r="WU9" s="113">
        <v>51.9</v>
      </c>
      <c r="WV9" s="113">
        <v>51.9</v>
      </c>
      <c r="WW9" s="113">
        <v>51.9</v>
      </c>
      <c r="XQ9" s="113">
        <v>51.9</v>
      </c>
      <c r="XR9" s="113">
        <v>51.9</v>
      </c>
      <c r="XS9" s="113">
        <v>51.9</v>
      </c>
      <c r="XT9" s="113">
        <v>51.9</v>
      </c>
      <c r="XU9" s="113">
        <v>51.9</v>
      </c>
      <c r="XV9" s="113">
        <v>51.9</v>
      </c>
      <c r="XW9" s="113">
        <v>51.9</v>
      </c>
      <c r="XX9" s="113">
        <v>51.9</v>
      </c>
      <c r="XY9" s="113">
        <v>51.9</v>
      </c>
      <c r="XZ9" s="113">
        <v>51.9</v>
      </c>
      <c r="YA9" s="113">
        <v>51.9</v>
      </c>
      <c r="YB9" s="113">
        <v>51.9</v>
      </c>
      <c r="YC9" s="113">
        <v>51.9</v>
      </c>
      <c r="YD9" s="113">
        <v>51.9</v>
      </c>
      <c r="YE9" s="113">
        <v>51.9</v>
      </c>
      <c r="YF9" s="113">
        <v>51.9</v>
      </c>
      <c r="YG9" s="113">
        <v>51.9</v>
      </c>
      <c r="YH9" s="113">
        <v>51.9</v>
      </c>
      <c r="YI9" s="113">
        <v>51.9</v>
      </c>
      <c r="YJ9" s="113">
        <v>51.9</v>
      </c>
      <c r="YK9" s="113">
        <v>51.9</v>
      </c>
      <c r="YL9" s="113">
        <v>51.9</v>
      </c>
      <c r="YM9" s="113">
        <v>51.9</v>
      </c>
      <c r="YN9" s="113">
        <v>51.9</v>
      </c>
      <c r="YO9" s="113">
        <v>51.9</v>
      </c>
      <c r="YP9" s="113">
        <v>51.9</v>
      </c>
      <c r="YQ9" s="113">
        <v>51.9</v>
      </c>
      <c r="YR9" s="113">
        <v>51.9</v>
      </c>
      <c r="YS9" s="113">
        <v>51.9</v>
      </c>
      <c r="YT9" s="113">
        <v>51.9</v>
      </c>
      <c r="YU9" s="113">
        <v>51.9</v>
      </c>
      <c r="YV9" s="113">
        <v>51.9</v>
      </c>
      <c r="YW9" s="113">
        <v>51.9</v>
      </c>
      <c r="YX9" s="113">
        <v>51.9</v>
      </c>
      <c r="YY9" s="113">
        <v>51.9</v>
      </c>
      <c r="YZ9" s="113">
        <v>51.9</v>
      </c>
      <c r="ZA9" s="113">
        <v>51.9</v>
      </c>
      <c r="ZB9" s="113">
        <v>51.9</v>
      </c>
      <c r="ZC9" s="113">
        <v>51.9</v>
      </c>
      <c r="ZD9" s="113">
        <v>51.9</v>
      </c>
      <c r="ZE9" s="113">
        <v>51.9</v>
      </c>
      <c r="ZF9" s="113">
        <v>51.9</v>
      </c>
      <c r="ZG9" s="113">
        <v>51.9</v>
      </c>
      <c r="ZH9" s="113">
        <v>51.9</v>
      </c>
      <c r="ZI9" s="113">
        <v>51.9</v>
      </c>
      <c r="ZJ9" s="113">
        <v>51.9</v>
      </c>
      <c r="ZK9" s="113">
        <v>51.9</v>
      </c>
      <c r="ZL9" s="113">
        <v>51.9</v>
      </c>
      <c r="ZM9" s="113">
        <v>51.9</v>
      </c>
      <c r="ZN9" s="113">
        <v>51.9</v>
      </c>
      <c r="ZO9" s="113">
        <v>51.9</v>
      </c>
      <c r="ZP9" s="113">
        <v>51.9</v>
      </c>
      <c r="ZQ9" s="113">
        <v>51.9</v>
      </c>
      <c r="ZR9" s="113">
        <v>51.9</v>
      </c>
      <c r="ZS9" s="113">
        <v>51.9</v>
      </c>
      <c r="ZT9" s="113">
        <v>51.9</v>
      </c>
      <c r="ZU9" s="113">
        <v>51.9</v>
      </c>
      <c r="ZV9" s="113">
        <v>51.9</v>
      </c>
      <c r="ZW9" s="113">
        <v>51.9</v>
      </c>
      <c r="AAS9" s="113">
        <v>64</v>
      </c>
      <c r="AAT9" s="113">
        <v>51.9</v>
      </c>
      <c r="AAU9" s="113">
        <v>51.9</v>
      </c>
      <c r="AAV9" s="113">
        <v>51.9</v>
      </c>
      <c r="AAW9" s="113">
        <v>51.9</v>
      </c>
      <c r="AAX9" s="113">
        <v>51.9</v>
      </c>
      <c r="AAY9" s="113">
        <v>51.9</v>
      </c>
      <c r="AAZ9" s="113">
        <v>51.9</v>
      </c>
      <c r="ABA9" s="113">
        <v>51.9</v>
      </c>
      <c r="ABB9" s="113">
        <v>51.9</v>
      </c>
      <c r="ABC9" s="113">
        <v>51.9</v>
      </c>
      <c r="ABD9" s="113">
        <v>51.9</v>
      </c>
      <c r="ABE9" s="113">
        <v>51.9</v>
      </c>
      <c r="ABF9" s="113">
        <v>51.9</v>
      </c>
      <c r="ABG9" s="113">
        <v>64</v>
      </c>
      <c r="ABH9" s="113">
        <v>64</v>
      </c>
      <c r="ABI9" s="113">
        <v>64</v>
      </c>
      <c r="ABJ9" s="113">
        <v>51.9</v>
      </c>
      <c r="ABK9" s="113">
        <v>64</v>
      </c>
      <c r="ABL9" s="113">
        <v>64</v>
      </c>
      <c r="ABM9" s="113">
        <v>64</v>
      </c>
      <c r="ABN9" s="113">
        <v>51.9</v>
      </c>
      <c r="ABO9" s="113">
        <v>51.9</v>
      </c>
      <c r="ABP9" s="113">
        <v>64</v>
      </c>
      <c r="ABQ9" s="113">
        <v>64</v>
      </c>
      <c r="ABR9" s="113">
        <v>64</v>
      </c>
      <c r="ABS9" s="113">
        <v>51.9</v>
      </c>
      <c r="ABT9" s="113">
        <v>64</v>
      </c>
      <c r="ABU9" s="113">
        <v>64</v>
      </c>
      <c r="ABV9" s="113">
        <v>64</v>
      </c>
      <c r="ABW9" s="113">
        <v>64</v>
      </c>
      <c r="ABX9" s="113">
        <v>64</v>
      </c>
      <c r="ABY9" s="113">
        <v>64</v>
      </c>
      <c r="ABZ9" s="113">
        <v>64</v>
      </c>
      <c r="ACA9" s="113">
        <v>64</v>
      </c>
      <c r="ACB9" s="113">
        <v>64</v>
      </c>
      <c r="ACC9" s="113">
        <v>64</v>
      </c>
      <c r="ACD9" s="113">
        <v>64</v>
      </c>
      <c r="ACE9" s="113">
        <v>64</v>
      </c>
      <c r="ACF9" s="113">
        <v>64</v>
      </c>
      <c r="ACG9" s="113">
        <v>64</v>
      </c>
      <c r="ACH9" s="113">
        <v>64</v>
      </c>
      <c r="ACI9" s="113">
        <v>64</v>
      </c>
      <c r="ACJ9" s="113">
        <v>64</v>
      </c>
      <c r="ACK9" s="113">
        <v>64</v>
      </c>
      <c r="ACL9" s="113">
        <v>64</v>
      </c>
      <c r="ACM9" s="113">
        <v>64</v>
      </c>
      <c r="ACN9" s="113">
        <v>64</v>
      </c>
      <c r="ACO9" s="113">
        <v>64</v>
      </c>
      <c r="ACP9" s="113">
        <v>64</v>
      </c>
      <c r="ACQ9" s="113">
        <v>64</v>
      </c>
      <c r="ACR9" s="113">
        <v>64</v>
      </c>
      <c r="ACS9" s="113">
        <v>64</v>
      </c>
      <c r="ACT9" s="113">
        <v>64</v>
      </c>
      <c r="ACU9" s="113">
        <v>64</v>
      </c>
      <c r="ACV9" s="113">
        <v>64</v>
      </c>
      <c r="ACW9" s="113">
        <v>64</v>
      </c>
      <c r="ACX9" s="113">
        <v>51.9</v>
      </c>
      <c r="ACY9" s="113">
        <v>64</v>
      </c>
      <c r="ACZ9" s="113">
        <v>64</v>
      </c>
      <c r="ADA9" s="113">
        <v>64</v>
      </c>
      <c r="ADU9" s="113">
        <v>51.9</v>
      </c>
      <c r="ADV9" s="113">
        <v>51.9</v>
      </c>
      <c r="ADW9" s="113">
        <v>51.9</v>
      </c>
      <c r="ADX9" s="113">
        <v>51.9</v>
      </c>
      <c r="ADY9" s="113">
        <v>51.9</v>
      </c>
      <c r="ADZ9" s="113">
        <v>51.9</v>
      </c>
      <c r="AEA9" s="113">
        <v>51.9</v>
      </c>
      <c r="AEB9" s="113">
        <v>51.9</v>
      </c>
      <c r="AEC9" s="113">
        <v>51.9</v>
      </c>
      <c r="AED9" s="113">
        <v>51.9</v>
      </c>
      <c r="AEE9" s="113">
        <v>51.9</v>
      </c>
      <c r="AEF9" s="113">
        <v>51.9</v>
      </c>
      <c r="AEG9" s="113">
        <v>51.9</v>
      </c>
      <c r="AEH9" s="113">
        <v>51.9</v>
      </c>
      <c r="AEI9" s="113">
        <v>51.9</v>
      </c>
      <c r="AEJ9" s="113">
        <v>51.9</v>
      </c>
      <c r="AEK9" s="113">
        <v>51.9</v>
      </c>
      <c r="AEL9" s="113">
        <v>51.9</v>
      </c>
      <c r="AEM9" s="113">
        <v>51.9</v>
      </c>
      <c r="AEN9" s="113">
        <v>51.9</v>
      </c>
      <c r="AEO9" s="113">
        <v>51.9</v>
      </c>
      <c r="AEP9" s="113">
        <v>51.9</v>
      </c>
      <c r="AEQ9" s="113">
        <v>51.9</v>
      </c>
      <c r="AER9" s="113">
        <v>51.9</v>
      </c>
      <c r="AES9" s="113">
        <v>51.9</v>
      </c>
      <c r="AET9" s="113">
        <v>51.9</v>
      </c>
      <c r="AEU9" s="113">
        <v>51.9</v>
      </c>
      <c r="AEV9" s="113">
        <v>51.9</v>
      </c>
      <c r="AEW9" s="113">
        <v>51.9</v>
      </c>
      <c r="AEX9" s="113">
        <v>51.9</v>
      </c>
      <c r="AEY9" s="113">
        <v>51.9</v>
      </c>
      <c r="AEZ9" s="113">
        <v>51.9</v>
      </c>
      <c r="AFA9" s="113">
        <v>51.9</v>
      </c>
      <c r="AFB9" s="113">
        <v>51.9</v>
      </c>
      <c r="AFC9" s="113">
        <v>51.9</v>
      </c>
      <c r="AFD9" s="113">
        <v>51.9</v>
      </c>
      <c r="AFE9" s="113">
        <v>51.9</v>
      </c>
      <c r="AFF9" s="113">
        <v>51.9</v>
      </c>
      <c r="AFG9" s="113">
        <v>51.9</v>
      </c>
      <c r="AFH9" s="113">
        <v>51.9</v>
      </c>
      <c r="AFI9" s="113">
        <v>51.9</v>
      </c>
      <c r="AFJ9" s="113">
        <v>51.9</v>
      </c>
      <c r="AFK9" s="113">
        <v>51.9</v>
      </c>
      <c r="AFL9" s="113">
        <v>51.9</v>
      </c>
      <c r="AFM9" s="113">
        <v>51.9</v>
      </c>
      <c r="AFN9" s="113">
        <v>51.9</v>
      </c>
      <c r="AFO9" s="113">
        <v>51.9</v>
      </c>
      <c r="AFP9" s="113">
        <v>51.9</v>
      </c>
      <c r="AFQ9" s="113">
        <v>51.9</v>
      </c>
      <c r="AFR9" s="113">
        <v>51.9</v>
      </c>
      <c r="AFS9" s="113">
        <v>51.9</v>
      </c>
      <c r="AFT9" s="113">
        <v>51.9</v>
      </c>
      <c r="AFU9" s="113">
        <v>51.9</v>
      </c>
      <c r="AFV9" s="113">
        <v>51.9</v>
      </c>
      <c r="AFW9" s="113">
        <v>51.9</v>
      </c>
      <c r="AFX9" s="113">
        <v>51.9</v>
      </c>
      <c r="AFY9" s="113">
        <v>51.9</v>
      </c>
      <c r="AFZ9" s="113">
        <v>51.9</v>
      </c>
      <c r="AGA9" s="113">
        <v>51.9</v>
      </c>
      <c r="AGB9" s="113">
        <v>51.9</v>
      </c>
      <c r="AGW9" s="113">
        <v>51.9</v>
      </c>
      <c r="AGX9" s="113">
        <v>51.9</v>
      </c>
      <c r="AGY9" s="113">
        <v>51.9</v>
      </c>
      <c r="AGZ9" s="113">
        <v>51.9</v>
      </c>
      <c r="AHA9" s="113">
        <v>51.9</v>
      </c>
      <c r="AHB9" s="113">
        <v>51.9</v>
      </c>
      <c r="AHC9" s="113">
        <v>51.9</v>
      </c>
      <c r="AHD9" s="113">
        <v>51.9</v>
      </c>
      <c r="AHE9" s="113">
        <v>51.9</v>
      </c>
      <c r="AHF9" s="113">
        <v>51.9</v>
      </c>
      <c r="AHG9" s="113">
        <v>51.9</v>
      </c>
      <c r="AHH9" s="113">
        <v>51.9</v>
      </c>
      <c r="AHI9" s="113">
        <v>51.9</v>
      </c>
      <c r="AHJ9" s="113">
        <v>51.9</v>
      </c>
      <c r="AHK9" s="113">
        <v>51.9</v>
      </c>
      <c r="AHL9" s="113">
        <v>51.9</v>
      </c>
      <c r="AHM9" s="113">
        <v>51.9</v>
      </c>
      <c r="AHN9" s="113">
        <v>51.9</v>
      </c>
      <c r="AHO9" s="113">
        <v>51.9</v>
      </c>
      <c r="AHP9" s="113">
        <v>51.9</v>
      </c>
      <c r="AHQ9" s="113">
        <v>51.9</v>
      </c>
      <c r="AHR9" s="113">
        <v>51.9</v>
      </c>
      <c r="AHS9" s="113">
        <v>51.9</v>
      </c>
      <c r="AHT9" s="113">
        <v>51.9</v>
      </c>
      <c r="AHU9" s="113">
        <v>51.9</v>
      </c>
      <c r="AHV9" s="113">
        <v>51.9</v>
      </c>
      <c r="AHW9" s="113">
        <v>51.9</v>
      </c>
      <c r="AHX9" s="113">
        <v>51.9</v>
      </c>
      <c r="AHY9" s="113">
        <v>51.9</v>
      </c>
      <c r="AHZ9" s="113">
        <v>51.9</v>
      </c>
      <c r="AIA9" s="113">
        <v>51.9</v>
      </c>
      <c r="AIB9" s="113">
        <v>51.9</v>
      </c>
      <c r="AIC9" s="113">
        <v>51.9</v>
      </c>
      <c r="AID9" s="113">
        <v>51.9</v>
      </c>
      <c r="AIE9" s="113">
        <v>51.9</v>
      </c>
      <c r="AIF9" s="113">
        <v>51.9</v>
      </c>
      <c r="AIG9" s="113">
        <v>51.9</v>
      </c>
      <c r="AIH9" s="113">
        <v>51.9</v>
      </c>
      <c r="AII9" s="113">
        <v>51.9</v>
      </c>
      <c r="AIJ9" s="113">
        <v>51.9</v>
      </c>
      <c r="AIK9" s="113">
        <v>51.9</v>
      </c>
      <c r="AIL9" s="113">
        <v>51.9</v>
      </c>
      <c r="AIM9" s="113">
        <v>51.9</v>
      </c>
      <c r="AIN9" s="113">
        <v>51.9</v>
      </c>
      <c r="AIO9" s="113">
        <v>51.9</v>
      </c>
      <c r="AIP9" s="113">
        <v>51.9</v>
      </c>
      <c r="AIQ9" s="113">
        <v>51.9</v>
      </c>
      <c r="AIR9" s="113">
        <v>51.9</v>
      </c>
      <c r="AIS9" s="113">
        <v>51.9</v>
      </c>
      <c r="AIT9" s="113">
        <v>51.9</v>
      </c>
      <c r="AIU9" s="113">
        <v>51.9</v>
      </c>
      <c r="AIV9" s="113">
        <v>51.9</v>
      </c>
      <c r="AIW9" s="113">
        <v>51.9</v>
      </c>
      <c r="AIX9" s="113">
        <v>51.9</v>
      </c>
      <c r="AIY9" s="113">
        <v>51.9</v>
      </c>
      <c r="AIZ9" s="113">
        <v>51.9</v>
      </c>
      <c r="AJA9" s="113">
        <v>51.9</v>
      </c>
      <c r="AJB9" s="113">
        <v>51.9</v>
      </c>
      <c r="AJC9" s="113">
        <v>51.9</v>
      </c>
      <c r="AJD9" s="113">
        <v>51.9</v>
      </c>
    </row>
    <row r="10" spans="1:940">
      <c r="A10" s="113">
        <v>47.58</v>
      </c>
      <c r="B10" s="113">
        <v>47.58</v>
      </c>
      <c r="C10" s="113">
        <v>47.58</v>
      </c>
      <c r="D10" s="113">
        <v>47.58</v>
      </c>
      <c r="E10" s="113">
        <v>47.58</v>
      </c>
      <c r="F10" s="113">
        <v>47.58</v>
      </c>
      <c r="G10" s="113">
        <v>51.9</v>
      </c>
      <c r="H10" s="113">
        <v>51.9</v>
      </c>
      <c r="I10" s="113">
        <v>51.9</v>
      </c>
      <c r="J10" s="113">
        <v>51.9</v>
      </c>
      <c r="K10" s="113">
        <v>51.9</v>
      </c>
      <c r="L10" s="113">
        <v>47.58</v>
      </c>
      <c r="M10" s="113">
        <v>51.9</v>
      </c>
      <c r="N10" s="113">
        <v>51.9</v>
      </c>
      <c r="O10" s="113">
        <v>51.9</v>
      </c>
      <c r="P10" s="113">
        <v>47.58</v>
      </c>
      <c r="Q10" s="113">
        <v>51.9</v>
      </c>
      <c r="R10" s="113">
        <v>51.9</v>
      </c>
      <c r="S10" s="113">
        <v>51.9</v>
      </c>
      <c r="T10" s="113">
        <v>47.58</v>
      </c>
      <c r="U10" s="113">
        <v>47.58</v>
      </c>
      <c r="V10" s="113">
        <v>51.9</v>
      </c>
      <c r="W10" s="113">
        <v>51.9</v>
      </c>
      <c r="X10" s="113">
        <v>51.9</v>
      </c>
      <c r="Y10" s="113">
        <v>47.58</v>
      </c>
      <c r="Z10" s="113">
        <v>51.9</v>
      </c>
      <c r="AA10" s="113">
        <v>51.9</v>
      </c>
      <c r="AB10" s="113">
        <v>51.9</v>
      </c>
      <c r="AC10" s="113">
        <v>51.9</v>
      </c>
      <c r="AD10" s="113">
        <v>51.9</v>
      </c>
      <c r="AE10" s="113">
        <v>51.9</v>
      </c>
      <c r="AF10" s="113">
        <v>51.9</v>
      </c>
      <c r="AG10" s="113">
        <v>51.9</v>
      </c>
      <c r="AH10" s="113">
        <v>51.9</v>
      </c>
      <c r="AI10" s="113">
        <v>51.9</v>
      </c>
      <c r="AJ10" s="113">
        <v>51.9</v>
      </c>
      <c r="AK10" s="113">
        <v>51.9</v>
      </c>
      <c r="AL10" s="113">
        <v>51.9</v>
      </c>
      <c r="AM10" s="113">
        <v>51.9</v>
      </c>
      <c r="AN10" s="113">
        <v>51.9</v>
      </c>
      <c r="AO10" s="113">
        <v>51.9</v>
      </c>
      <c r="AP10" s="113">
        <v>51.9</v>
      </c>
      <c r="AQ10" s="113">
        <v>51.9</v>
      </c>
      <c r="AR10" s="113">
        <v>51.9</v>
      </c>
      <c r="AS10" s="113">
        <v>51.9</v>
      </c>
      <c r="AT10" s="113">
        <v>51.9</v>
      </c>
      <c r="AU10" s="113">
        <v>51.9</v>
      </c>
      <c r="AV10" s="113">
        <v>51.9</v>
      </c>
      <c r="AW10" s="113">
        <v>51.9</v>
      </c>
      <c r="AX10" s="113">
        <v>51.9</v>
      </c>
      <c r="AY10" s="113">
        <v>51.9</v>
      </c>
      <c r="AZ10" s="113">
        <v>51.9</v>
      </c>
      <c r="CC10" s="113">
        <v>47.58</v>
      </c>
      <c r="CD10" s="113">
        <v>47.58</v>
      </c>
      <c r="CE10" s="113">
        <v>47.58</v>
      </c>
      <c r="CF10" s="113">
        <v>47.58</v>
      </c>
      <c r="CG10" s="113">
        <v>47.58</v>
      </c>
      <c r="CH10" s="113">
        <v>47.58</v>
      </c>
      <c r="CI10" s="113">
        <v>47.58</v>
      </c>
      <c r="CJ10" s="113">
        <v>47.58</v>
      </c>
      <c r="CK10" s="113">
        <v>47.58</v>
      </c>
      <c r="CL10" s="113">
        <v>47.58</v>
      </c>
      <c r="CM10" s="113">
        <v>47.58</v>
      </c>
      <c r="CN10" s="113">
        <v>47.58</v>
      </c>
      <c r="CO10" s="113">
        <v>47.58</v>
      </c>
      <c r="CP10" s="113">
        <v>47.58</v>
      </c>
      <c r="CQ10" s="113">
        <v>47.58</v>
      </c>
      <c r="CR10" s="113">
        <v>47.58</v>
      </c>
      <c r="CS10" s="113">
        <v>47.58</v>
      </c>
      <c r="CT10" s="113">
        <v>47.58</v>
      </c>
      <c r="CU10" s="113">
        <v>47.58</v>
      </c>
      <c r="CV10" s="113">
        <v>47.58</v>
      </c>
      <c r="CW10" s="113">
        <v>47.58</v>
      </c>
      <c r="CX10" s="113">
        <v>47.58</v>
      </c>
      <c r="CY10" s="113">
        <v>47.58</v>
      </c>
      <c r="CZ10" s="113">
        <v>47.58</v>
      </c>
      <c r="DA10" s="113">
        <v>47.58</v>
      </c>
      <c r="DB10" s="113">
        <v>47.58</v>
      </c>
      <c r="DC10" s="113">
        <v>47.58</v>
      </c>
      <c r="DD10" s="113">
        <v>47.58</v>
      </c>
      <c r="DE10" s="113">
        <v>47.58</v>
      </c>
      <c r="DF10" s="113">
        <v>47.58</v>
      </c>
      <c r="DG10" s="113">
        <v>47.58</v>
      </c>
      <c r="DH10" s="113">
        <v>47.58</v>
      </c>
      <c r="DI10" s="113">
        <v>47.58</v>
      </c>
      <c r="DJ10" s="113">
        <v>47.58</v>
      </c>
      <c r="DK10" s="113">
        <v>47.58</v>
      </c>
      <c r="DL10" s="113">
        <v>47.58</v>
      </c>
      <c r="DM10" s="113">
        <v>47.58</v>
      </c>
      <c r="DN10" s="113">
        <v>47.58</v>
      </c>
      <c r="DO10" s="113">
        <v>47.58</v>
      </c>
      <c r="DP10" s="113">
        <v>47.58</v>
      </c>
      <c r="DQ10" s="113">
        <v>47.58</v>
      </c>
      <c r="DR10" s="113">
        <v>47.58</v>
      </c>
      <c r="DS10" s="113">
        <v>47.58</v>
      </c>
      <c r="DT10" s="113">
        <v>47.58</v>
      </c>
      <c r="DU10" s="113">
        <v>47.58</v>
      </c>
      <c r="DV10" s="113">
        <v>47.58</v>
      </c>
      <c r="DW10" s="113">
        <v>47.58</v>
      </c>
      <c r="DX10" s="113">
        <v>47.58</v>
      </c>
      <c r="DY10" s="113">
        <v>47.58</v>
      </c>
      <c r="DZ10" s="113">
        <v>47.58</v>
      </c>
      <c r="EA10" s="113">
        <v>47.58</v>
      </c>
      <c r="EB10" s="113">
        <v>47.58</v>
      </c>
      <c r="EC10" s="113">
        <v>47.58</v>
      </c>
      <c r="ED10" s="113">
        <v>47.58</v>
      </c>
      <c r="EE10" s="113">
        <v>47.58</v>
      </c>
      <c r="EF10" s="113">
        <v>47.58</v>
      </c>
      <c r="EG10" s="113">
        <v>47.58</v>
      </c>
      <c r="EH10" s="113">
        <v>47.58</v>
      </c>
      <c r="EI10" s="113">
        <v>47.58</v>
      </c>
      <c r="FE10" s="113">
        <v>51.9</v>
      </c>
      <c r="FF10" s="113">
        <v>47.58</v>
      </c>
      <c r="FG10" s="113">
        <v>47.58</v>
      </c>
      <c r="FH10" s="113">
        <v>47.58</v>
      </c>
      <c r="FI10" s="113">
        <v>47.58</v>
      </c>
      <c r="FJ10" s="113">
        <v>47.58</v>
      </c>
      <c r="FK10" s="113">
        <v>51.9</v>
      </c>
      <c r="FL10" s="113">
        <v>47.58</v>
      </c>
      <c r="FM10" s="113">
        <v>51.9</v>
      </c>
      <c r="FN10" s="113">
        <v>51.9</v>
      </c>
      <c r="FO10" s="113">
        <v>51.9</v>
      </c>
      <c r="FP10" s="113">
        <v>51.9</v>
      </c>
      <c r="FQ10" s="113">
        <v>51.9</v>
      </c>
      <c r="FR10" s="113">
        <v>47.58</v>
      </c>
      <c r="FS10" s="113">
        <v>51.9</v>
      </c>
      <c r="FT10" s="113">
        <v>51.9</v>
      </c>
      <c r="FU10" s="113">
        <v>51.9</v>
      </c>
      <c r="FV10" s="113">
        <v>47.58</v>
      </c>
      <c r="FW10" s="113">
        <v>51.9</v>
      </c>
      <c r="FX10" s="113">
        <v>51.9</v>
      </c>
      <c r="FY10" s="113">
        <v>51.9</v>
      </c>
      <c r="FZ10" s="113">
        <v>47.58</v>
      </c>
      <c r="GA10" s="113">
        <v>47.58</v>
      </c>
      <c r="GB10" s="113">
        <v>51.9</v>
      </c>
      <c r="GC10" s="113">
        <v>51.9</v>
      </c>
      <c r="GD10" s="113">
        <v>51.9</v>
      </c>
      <c r="GE10" s="113">
        <v>47.58</v>
      </c>
      <c r="GF10" s="113">
        <v>51.9</v>
      </c>
      <c r="GG10" s="113">
        <v>51.9</v>
      </c>
      <c r="GH10" s="113">
        <v>51.9</v>
      </c>
      <c r="GI10" s="113">
        <v>51.9</v>
      </c>
      <c r="GJ10" s="113">
        <v>51.9</v>
      </c>
      <c r="GK10" s="113">
        <v>51.9</v>
      </c>
      <c r="GL10" s="113">
        <v>51.9</v>
      </c>
      <c r="GM10" s="113">
        <v>51.9</v>
      </c>
      <c r="GN10" s="113">
        <v>51.9</v>
      </c>
      <c r="GO10" s="113">
        <v>51.9</v>
      </c>
      <c r="GP10" s="113">
        <v>51.9</v>
      </c>
      <c r="GQ10" s="113">
        <v>51.9</v>
      </c>
      <c r="GR10" s="113">
        <v>51.9</v>
      </c>
      <c r="GS10" s="113">
        <v>51.9</v>
      </c>
      <c r="GT10" s="113">
        <v>51.9</v>
      </c>
      <c r="GU10" s="113">
        <v>51.9</v>
      </c>
      <c r="GV10" s="113">
        <v>51.9</v>
      </c>
      <c r="GW10" s="113">
        <v>51.9</v>
      </c>
      <c r="GX10" s="113">
        <v>51.9</v>
      </c>
      <c r="GY10" s="113">
        <v>51.9</v>
      </c>
      <c r="GZ10" s="113">
        <v>51.9</v>
      </c>
      <c r="HA10" s="113">
        <v>51.9</v>
      </c>
      <c r="HB10" s="113">
        <v>51.9</v>
      </c>
      <c r="HC10" s="113">
        <v>51.9</v>
      </c>
      <c r="HD10" s="113">
        <v>51.9</v>
      </c>
      <c r="HE10" s="113">
        <v>51.9</v>
      </c>
      <c r="HF10" s="113">
        <v>51.9</v>
      </c>
      <c r="HG10" s="113">
        <v>51.9</v>
      </c>
      <c r="HH10" s="113">
        <v>51.9</v>
      </c>
      <c r="HI10" s="113">
        <v>51.9</v>
      </c>
      <c r="HJ10" s="113">
        <v>51.9</v>
      </c>
      <c r="HK10" s="113">
        <v>51.9</v>
      </c>
      <c r="HL10" s="113">
        <v>51.9</v>
      </c>
      <c r="IG10" s="113">
        <v>51.9</v>
      </c>
      <c r="IH10" s="113">
        <v>47.58</v>
      </c>
      <c r="II10" s="113">
        <v>47.58</v>
      </c>
      <c r="IJ10" s="113">
        <v>47.58</v>
      </c>
      <c r="IK10" s="113">
        <v>47.58</v>
      </c>
      <c r="IL10" s="113">
        <v>47.58</v>
      </c>
      <c r="IM10" s="113">
        <v>51.9</v>
      </c>
      <c r="IN10" s="113">
        <v>47.58</v>
      </c>
      <c r="IO10" s="113">
        <v>51.9</v>
      </c>
      <c r="IP10" s="113">
        <v>51.9</v>
      </c>
      <c r="IQ10" s="113">
        <v>51.9</v>
      </c>
      <c r="IR10" s="113">
        <v>51.9</v>
      </c>
      <c r="IS10" s="113">
        <v>51.9</v>
      </c>
      <c r="IT10" s="113">
        <v>47.58</v>
      </c>
      <c r="IU10" s="113">
        <v>51.9</v>
      </c>
      <c r="IV10" s="113">
        <v>51.9</v>
      </c>
      <c r="IW10" s="113">
        <v>51.9</v>
      </c>
      <c r="IX10" s="113">
        <v>47.58</v>
      </c>
      <c r="IY10" s="113">
        <v>51.9</v>
      </c>
      <c r="IZ10" s="113">
        <v>51.9</v>
      </c>
      <c r="JA10" s="113">
        <v>51.9</v>
      </c>
      <c r="JB10" s="113">
        <v>47.58</v>
      </c>
      <c r="JC10" s="113">
        <v>47.58</v>
      </c>
      <c r="JD10" s="113">
        <v>51.9</v>
      </c>
      <c r="JE10" s="113">
        <v>51.9</v>
      </c>
      <c r="JF10" s="113">
        <v>51.9</v>
      </c>
      <c r="JG10" s="113">
        <v>47.58</v>
      </c>
      <c r="JH10" s="113">
        <v>51.9</v>
      </c>
      <c r="JI10" s="113">
        <v>51.9</v>
      </c>
      <c r="JJ10" s="113">
        <v>51.9</v>
      </c>
      <c r="JK10" s="113">
        <v>51.9</v>
      </c>
      <c r="JL10" s="113">
        <v>51.9</v>
      </c>
      <c r="JM10" s="113">
        <v>51.9</v>
      </c>
      <c r="JN10" s="113">
        <v>51.9</v>
      </c>
      <c r="JO10" s="113">
        <v>51.9</v>
      </c>
      <c r="JP10" s="113">
        <v>51.9</v>
      </c>
      <c r="JQ10" s="113">
        <v>51.9</v>
      </c>
      <c r="JR10" s="113">
        <v>51.9</v>
      </c>
      <c r="JS10" s="113">
        <v>51.9</v>
      </c>
      <c r="JT10" s="113">
        <v>51.9</v>
      </c>
      <c r="JU10" s="113">
        <v>51.9</v>
      </c>
      <c r="JV10" s="113">
        <v>51.9</v>
      </c>
      <c r="JW10" s="113">
        <v>51.9</v>
      </c>
      <c r="JX10" s="113">
        <v>51.9</v>
      </c>
      <c r="JY10" s="113">
        <v>51.9</v>
      </c>
      <c r="JZ10" s="113">
        <v>51.9</v>
      </c>
      <c r="KA10" s="113">
        <v>51.9</v>
      </c>
      <c r="KB10" s="113">
        <v>51.9</v>
      </c>
      <c r="KC10" s="113">
        <v>51.9</v>
      </c>
      <c r="KD10" s="113">
        <v>51.9</v>
      </c>
      <c r="KE10" s="113">
        <v>51.9</v>
      </c>
      <c r="KF10" s="113">
        <v>51.9</v>
      </c>
      <c r="KG10" s="113">
        <v>51.9</v>
      </c>
      <c r="KH10" s="113">
        <v>51.9</v>
      </c>
      <c r="KI10" s="113">
        <v>51.9</v>
      </c>
      <c r="KJ10" s="113">
        <v>51.9</v>
      </c>
      <c r="KK10" s="113">
        <v>51.9</v>
      </c>
      <c r="KL10" s="113">
        <v>51.9</v>
      </c>
      <c r="KM10" s="113">
        <v>51.9</v>
      </c>
      <c r="KN10" s="113">
        <v>51.9</v>
      </c>
      <c r="LI10" s="113">
        <v>51.9</v>
      </c>
      <c r="LJ10" s="113">
        <v>47.58</v>
      </c>
      <c r="LK10" s="113">
        <v>47.58</v>
      </c>
      <c r="LL10" s="113">
        <v>47.58</v>
      </c>
      <c r="LM10" s="113">
        <v>47.58</v>
      </c>
      <c r="LN10" s="113">
        <v>47.58</v>
      </c>
      <c r="LO10" s="113">
        <v>51.9</v>
      </c>
      <c r="LP10" s="113">
        <v>47.58</v>
      </c>
      <c r="LQ10" s="113">
        <v>51.9</v>
      </c>
      <c r="LR10" s="113">
        <v>51.9</v>
      </c>
      <c r="LS10" s="113">
        <v>51.9</v>
      </c>
      <c r="LT10" s="113">
        <v>51.9</v>
      </c>
      <c r="LU10" s="113">
        <v>51.9</v>
      </c>
      <c r="LV10" s="113">
        <v>47.58</v>
      </c>
      <c r="LW10" s="113">
        <v>51.9</v>
      </c>
      <c r="LX10" s="113">
        <v>51.9</v>
      </c>
      <c r="LY10" s="113">
        <v>51.9</v>
      </c>
      <c r="LZ10" s="113">
        <v>47.58</v>
      </c>
      <c r="MA10" s="113">
        <v>51.9</v>
      </c>
      <c r="MB10" s="113">
        <v>51.9</v>
      </c>
      <c r="MC10" s="113">
        <v>51.9</v>
      </c>
      <c r="MD10" s="113">
        <v>47.58</v>
      </c>
      <c r="ME10" s="113">
        <v>47.58</v>
      </c>
      <c r="MF10" s="113">
        <v>51.9</v>
      </c>
      <c r="MG10" s="113">
        <v>51.9</v>
      </c>
      <c r="MH10" s="113">
        <v>51.9</v>
      </c>
      <c r="MI10" s="113">
        <v>47.58</v>
      </c>
      <c r="MJ10" s="113">
        <v>51.9</v>
      </c>
      <c r="MK10" s="113">
        <v>51.9</v>
      </c>
      <c r="ML10" s="113">
        <v>51.9</v>
      </c>
      <c r="MM10" s="113">
        <v>51.9</v>
      </c>
      <c r="MN10" s="113">
        <v>51.9</v>
      </c>
      <c r="MO10" s="113">
        <v>51.9</v>
      </c>
      <c r="MP10" s="113">
        <v>51.9</v>
      </c>
      <c r="MQ10" s="113">
        <v>51.9</v>
      </c>
      <c r="MR10" s="113">
        <v>51.9</v>
      </c>
      <c r="MS10" s="113">
        <v>51.9</v>
      </c>
      <c r="MT10" s="113">
        <v>51.9</v>
      </c>
      <c r="MU10" s="113">
        <v>51.9</v>
      </c>
      <c r="MV10" s="113">
        <v>51.9</v>
      </c>
      <c r="MW10" s="113">
        <v>51.9</v>
      </c>
      <c r="MX10" s="113">
        <v>51.9</v>
      </c>
      <c r="MY10" s="113">
        <v>51.9</v>
      </c>
      <c r="MZ10" s="113">
        <v>51.9</v>
      </c>
      <c r="NA10" s="113">
        <v>51.9</v>
      </c>
      <c r="NB10" s="113">
        <v>51.9</v>
      </c>
      <c r="NC10" s="113">
        <v>51.9</v>
      </c>
      <c r="ND10" s="113">
        <v>51.9</v>
      </c>
      <c r="NE10" s="113">
        <v>51.9</v>
      </c>
      <c r="NF10" s="113">
        <v>51.9</v>
      </c>
      <c r="NG10" s="113">
        <v>51.9</v>
      </c>
      <c r="NH10" s="113">
        <v>51.9</v>
      </c>
      <c r="NI10" s="113">
        <v>51.9</v>
      </c>
      <c r="NJ10" s="113">
        <v>51.9</v>
      </c>
      <c r="NK10" s="113">
        <v>51.9</v>
      </c>
      <c r="NL10" s="113">
        <v>51.9</v>
      </c>
      <c r="NM10" s="113">
        <v>51.9</v>
      </c>
      <c r="NN10" s="113">
        <v>51.9</v>
      </c>
      <c r="NO10" s="113">
        <v>51.9</v>
      </c>
      <c r="NP10" s="113">
        <v>51.9</v>
      </c>
      <c r="NQ10" s="113">
        <v>51.9</v>
      </c>
      <c r="NR10" s="113">
        <v>51.9</v>
      </c>
      <c r="OK10" s="113">
        <v>47.58</v>
      </c>
      <c r="OL10" s="113">
        <v>47.58</v>
      </c>
      <c r="OM10" s="113">
        <v>47.58</v>
      </c>
      <c r="ON10" s="113">
        <v>47.58</v>
      </c>
      <c r="OO10" s="113">
        <v>47.58</v>
      </c>
      <c r="OP10" s="113">
        <v>47.58</v>
      </c>
      <c r="OQ10" s="113">
        <v>47.58</v>
      </c>
      <c r="OR10" s="113">
        <v>47.58</v>
      </c>
      <c r="OS10" s="113">
        <v>47.58</v>
      </c>
      <c r="OT10" s="113">
        <v>47.58</v>
      </c>
      <c r="OU10" s="113">
        <v>47.58</v>
      </c>
      <c r="OV10" s="113">
        <v>47.58</v>
      </c>
      <c r="OW10" s="113">
        <v>47.58</v>
      </c>
      <c r="OX10" s="113">
        <v>47.58</v>
      </c>
      <c r="OY10" s="113">
        <v>47.58</v>
      </c>
      <c r="OZ10" s="113">
        <v>47.58</v>
      </c>
      <c r="PA10" s="113">
        <v>47.58</v>
      </c>
      <c r="PB10" s="113">
        <v>47.58</v>
      </c>
      <c r="PC10" s="113">
        <v>47.58</v>
      </c>
      <c r="PD10" s="113">
        <v>47.58</v>
      </c>
      <c r="PE10" s="113">
        <v>47.58</v>
      </c>
      <c r="PF10" s="113">
        <v>47.58</v>
      </c>
      <c r="PG10" s="113">
        <v>47.58</v>
      </c>
      <c r="PH10" s="113">
        <v>47.58</v>
      </c>
      <c r="PI10" s="113">
        <v>47.58</v>
      </c>
      <c r="PJ10" s="113">
        <v>47.58</v>
      </c>
      <c r="PK10" s="113">
        <v>47.58</v>
      </c>
      <c r="PL10" s="113">
        <v>47.58</v>
      </c>
      <c r="PM10" s="113">
        <v>47.58</v>
      </c>
      <c r="PN10" s="113">
        <v>47.58</v>
      </c>
      <c r="PO10" s="113">
        <v>47.58</v>
      </c>
      <c r="PP10" s="113">
        <v>47.58</v>
      </c>
      <c r="PQ10" s="113">
        <v>47.58</v>
      </c>
      <c r="PR10" s="113">
        <v>47.58</v>
      </c>
      <c r="PS10" s="113">
        <v>47.58</v>
      </c>
      <c r="PT10" s="113">
        <v>47.58</v>
      </c>
      <c r="PU10" s="113">
        <v>47.58</v>
      </c>
      <c r="PV10" s="113">
        <v>47.58</v>
      </c>
      <c r="PW10" s="113">
        <v>47.58</v>
      </c>
      <c r="PX10" s="113">
        <v>47.58</v>
      </c>
      <c r="PY10" s="113">
        <v>47.58</v>
      </c>
      <c r="PZ10" s="113">
        <v>47.58</v>
      </c>
      <c r="QA10" s="113">
        <v>47.58</v>
      </c>
      <c r="QB10" s="113">
        <v>47.58</v>
      </c>
      <c r="QC10" s="113">
        <v>47.58</v>
      </c>
      <c r="QD10" s="113">
        <v>47.58</v>
      </c>
      <c r="QE10" s="113">
        <v>47.58</v>
      </c>
      <c r="QF10" s="113">
        <v>47.58</v>
      </c>
      <c r="QG10" s="113">
        <v>47.58</v>
      </c>
      <c r="QH10" s="113">
        <v>47.58</v>
      </c>
      <c r="QI10" s="113">
        <v>47.58</v>
      </c>
      <c r="QJ10" s="113">
        <v>47.58</v>
      </c>
      <c r="QK10" s="113">
        <v>47.58</v>
      </c>
      <c r="QL10" s="113">
        <v>47.58</v>
      </c>
      <c r="QM10" s="113">
        <v>47.58</v>
      </c>
      <c r="QN10" s="113">
        <v>47.58</v>
      </c>
      <c r="QO10" s="113">
        <v>47.58</v>
      </c>
      <c r="QP10" s="113">
        <v>47.58</v>
      </c>
      <c r="QQ10" s="113">
        <v>47.58</v>
      </c>
      <c r="QR10" s="113">
        <v>47.58</v>
      </c>
      <c r="QS10" s="113">
        <v>47.58</v>
      </c>
      <c r="RM10" s="113">
        <v>47.58</v>
      </c>
      <c r="RN10" s="113">
        <v>47.58</v>
      </c>
      <c r="RO10" s="113">
        <v>47.58</v>
      </c>
      <c r="RP10" s="113">
        <v>47.58</v>
      </c>
      <c r="RQ10" s="113">
        <v>47.58</v>
      </c>
      <c r="RR10" s="113">
        <v>47.58</v>
      </c>
      <c r="RS10" s="113">
        <v>47.58</v>
      </c>
      <c r="RT10" s="113">
        <v>47.58</v>
      </c>
      <c r="RU10" s="113">
        <v>47.58</v>
      </c>
      <c r="RV10" s="113">
        <v>47.58</v>
      </c>
      <c r="RW10" s="113">
        <v>47.58</v>
      </c>
      <c r="RX10" s="113">
        <v>47.58</v>
      </c>
      <c r="RY10" s="113">
        <v>47.58</v>
      </c>
      <c r="RZ10" s="113">
        <v>47.58</v>
      </c>
      <c r="SA10" s="113">
        <v>47.58</v>
      </c>
      <c r="SB10" s="113">
        <v>47.58</v>
      </c>
      <c r="SC10" s="113">
        <v>47.58</v>
      </c>
      <c r="SD10" s="113">
        <v>47.58</v>
      </c>
      <c r="SE10" s="113">
        <v>47.58</v>
      </c>
      <c r="SF10" s="113">
        <v>47.58</v>
      </c>
      <c r="SG10" s="113">
        <v>47.58</v>
      </c>
      <c r="SH10" s="113">
        <v>47.58</v>
      </c>
      <c r="SI10" s="113">
        <v>47.58</v>
      </c>
      <c r="SJ10" s="113">
        <v>47.58</v>
      </c>
      <c r="SK10" s="113">
        <v>47.58</v>
      </c>
      <c r="SL10" s="113">
        <v>47.58</v>
      </c>
      <c r="SM10" s="113">
        <v>47.58</v>
      </c>
      <c r="SN10" s="113">
        <v>47.58</v>
      </c>
      <c r="SO10" s="113">
        <v>47.58</v>
      </c>
      <c r="SP10" s="113">
        <v>47.58</v>
      </c>
      <c r="SQ10" s="113">
        <v>47.58</v>
      </c>
      <c r="SR10" s="113">
        <v>47.58</v>
      </c>
      <c r="SS10" s="113">
        <v>47.58</v>
      </c>
      <c r="ST10" s="113">
        <v>47.58</v>
      </c>
      <c r="SU10" s="113">
        <v>47.58</v>
      </c>
      <c r="SV10" s="113">
        <v>47.58</v>
      </c>
      <c r="SW10" s="113">
        <v>47.58</v>
      </c>
      <c r="SX10" s="113">
        <v>47.58</v>
      </c>
      <c r="SY10" s="113">
        <v>47.58</v>
      </c>
      <c r="SZ10" s="113">
        <v>47.58</v>
      </c>
      <c r="TA10" s="113">
        <v>47.58</v>
      </c>
      <c r="TB10" s="113">
        <v>47.58</v>
      </c>
      <c r="TC10" s="113">
        <v>47.58</v>
      </c>
      <c r="TD10" s="113">
        <v>47.58</v>
      </c>
      <c r="TE10" s="113">
        <v>47.58</v>
      </c>
      <c r="TF10" s="113">
        <v>47.58</v>
      </c>
      <c r="TG10" s="113">
        <v>47.58</v>
      </c>
      <c r="TH10" s="113">
        <v>47.58</v>
      </c>
      <c r="TI10" s="113">
        <v>47.58</v>
      </c>
      <c r="TJ10" s="113">
        <v>47.58</v>
      </c>
      <c r="TK10" s="113">
        <v>47.58</v>
      </c>
      <c r="TL10" s="113">
        <v>47.58</v>
      </c>
      <c r="TM10" s="113">
        <v>47.58</v>
      </c>
      <c r="TN10" s="113">
        <v>47.58</v>
      </c>
      <c r="TO10" s="113">
        <v>47.58</v>
      </c>
      <c r="TP10" s="113">
        <v>47.58</v>
      </c>
      <c r="TQ10" s="113">
        <v>47.58</v>
      </c>
      <c r="TR10" s="113">
        <v>47.58</v>
      </c>
      <c r="TS10" s="113">
        <v>47.58</v>
      </c>
      <c r="TT10" s="113">
        <v>47.58</v>
      </c>
      <c r="UO10" s="113">
        <v>47.58</v>
      </c>
      <c r="UP10" s="113">
        <v>47.58</v>
      </c>
      <c r="UQ10" s="113">
        <v>47.58</v>
      </c>
      <c r="UR10" s="113">
        <v>47.58</v>
      </c>
      <c r="US10" s="113">
        <v>47.58</v>
      </c>
      <c r="UT10" s="113">
        <v>47.58</v>
      </c>
      <c r="UU10" s="113">
        <v>47.58</v>
      </c>
      <c r="UV10" s="113">
        <v>47.58</v>
      </c>
      <c r="UW10" s="113">
        <v>47.58</v>
      </c>
      <c r="UX10" s="113">
        <v>47.58</v>
      </c>
      <c r="UY10" s="113">
        <v>47.58</v>
      </c>
      <c r="UZ10" s="113">
        <v>47.58</v>
      </c>
      <c r="VA10" s="113">
        <v>47.58</v>
      </c>
      <c r="VB10" s="113">
        <v>47.58</v>
      </c>
      <c r="VC10" s="113">
        <v>47.58</v>
      </c>
      <c r="VD10" s="113">
        <v>47.58</v>
      </c>
      <c r="VE10" s="113">
        <v>47.58</v>
      </c>
      <c r="VF10" s="113">
        <v>47.58</v>
      </c>
      <c r="VG10" s="113">
        <v>47.58</v>
      </c>
      <c r="VH10" s="113">
        <v>47.58</v>
      </c>
      <c r="VI10" s="113">
        <v>47.58</v>
      </c>
      <c r="VJ10" s="113">
        <v>47.58</v>
      </c>
      <c r="VK10" s="113">
        <v>47.58</v>
      </c>
      <c r="VL10" s="113">
        <v>47.58</v>
      </c>
      <c r="VM10" s="113">
        <v>47.58</v>
      </c>
      <c r="VN10" s="113">
        <v>47.58</v>
      </c>
      <c r="VO10" s="113">
        <v>47.58</v>
      </c>
      <c r="VP10" s="113">
        <v>47.58</v>
      </c>
      <c r="VQ10" s="113">
        <v>47.58</v>
      </c>
      <c r="VR10" s="113">
        <v>47.58</v>
      </c>
      <c r="VS10" s="113">
        <v>47.58</v>
      </c>
      <c r="VT10" s="113">
        <v>47.58</v>
      </c>
      <c r="VU10" s="113">
        <v>47.58</v>
      </c>
      <c r="VV10" s="113">
        <v>47.58</v>
      </c>
      <c r="VW10" s="113">
        <v>47.58</v>
      </c>
      <c r="VX10" s="113">
        <v>47.58</v>
      </c>
      <c r="VY10" s="113">
        <v>47.58</v>
      </c>
      <c r="VZ10" s="113">
        <v>47.58</v>
      </c>
      <c r="WA10" s="113">
        <v>47.58</v>
      </c>
      <c r="WB10" s="113">
        <v>47.58</v>
      </c>
      <c r="WC10" s="113">
        <v>47.58</v>
      </c>
      <c r="WD10" s="113">
        <v>47.58</v>
      </c>
      <c r="WE10" s="113">
        <v>47.58</v>
      </c>
      <c r="WF10" s="113">
        <v>47.58</v>
      </c>
      <c r="WG10" s="113">
        <v>47.58</v>
      </c>
      <c r="WH10" s="113">
        <v>47.58</v>
      </c>
      <c r="WI10" s="113">
        <v>47.58</v>
      </c>
      <c r="WJ10" s="113">
        <v>47.58</v>
      </c>
      <c r="WK10" s="113">
        <v>47.58</v>
      </c>
      <c r="WL10" s="113">
        <v>47.58</v>
      </c>
      <c r="WM10" s="113">
        <v>47.58</v>
      </c>
      <c r="WN10" s="113">
        <v>47.58</v>
      </c>
      <c r="WO10" s="113">
        <v>47.58</v>
      </c>
      <c r="WP10" s="113">
        <v>47.58</v>
      </c>
      <c r="WQ10" s="113">
        <v>47.58</v>
      </c>
      <c r="WR10" s="113">
        <v>47.58</v>
      </c>
      <c r="WS10" s="113">
        <v>47.58</v>
      </c>
      <c r="WT10" s="113">
        <v>47.58</v>
      </c>
      <c r="WU10" s="113">
        <v>47.58</v>
      </c>
      <c r="WV10" s="113">
        <v>47.58</v>
      </c>
      <c r="WW10" s="113">
        <v>47.58</v>
      </c>
      <c r="XQ10" s="113">
        <v>47.58</v>
      </c>
      <c r="XR10" s="113">
        <v>47.58</v>
      </c>
      <c r="XS10" s="113">
        <v>47.58</v>
      </c>
      <c r="XT10" s="113">
        <v>47.58</v>
      </c>
      <c r="XU10" s="113">
        <v>47.58</v>
      </c>
      <c r="XV10" s="113">
        <v>47.58</v>
      </c>
      <c r="XW10" s="113">
        <v>47.58</v>
      </c>
      <c r="XX10" s="113">
        <v>47.58</v>
      </c>
      <c r="XY10" s="113">
        <v>47.58</v>
      </c>
      <c r="XZ10" s="113">
        <v>47.58</v>
      </c>
      <c r="YA10" s="113">
        <v>47.58</v>
      </c>
      <c r="YB10" s="113">
        <v>47.58</v>
      </c>
      <c r="YC10" s="113">
        <v>47.58</v>
      </c>
      <c r="YD10" s="113">
        <v>47.58</v>
      </c>
      <c r="YE10" s="113">
        <v>47.58</v>
      </c>
      <c r="YF10" s="113">
        <v>47.58</v>
      </c>
      <c r="YG10" s="113">
        <v>47.58</v>
      </c>
      <c r="YH10" s="113">
        <v>47.58</v>
      </c>
      <c r="YI10" s="113">
        <v>47.58</v>
      </c>
      <c r="YJ10" s="113">
        <v>47.58</v>
      </c>
      <c r="YK10" s="113">
        <v>47.58</v>
      </c>
      <c r="YL10" s="113">
        <v>47.58</v>
      </c>
      <c r="YM10" s="113">
        <v>47.58</v>
      </c>
      <c r="YN10" s="113">
        <v>47.58</v>
      </c>
      <c r="YO10" s="113">
        <v>47.58</v>
      </c>
      <c r="YP10" s="113">
        <v>47.58</v>
      </c>
      <c r="YQ10" s="113">
        <v>47.58</v>
      </c>
      <c r="YR10" s="113">
        <v>47.58</v>
      </c>
      <c r="YS10" s="113">
        <v>47.58</v>
      </c>
      <c r="YT10" s="113">
        <v>47.58</v>
      </c>
      <c r="YU10" s="113">
        <v>47.58</v>
      </c>
      <c r="YV10" s="113">
        <v>47.58</v>
      </c>
      <c r="YW10" s="113">
        <v>47.58</v>
      </c>
      <c r="YX10" s="113">
        <v>47.58</v>
      </c>
      <c r="YY10" s="113">
        <v>47.58</v>
      </c>
      <c r="YZ10" s="113">
        <v>47.58</v>
      </c>
      <c r="ZA10" s="113">
        <v>47.58</v>
      </c>
      <c r="ZB10" s="113">
        <v>47.58</v>
      </c>
      <c r="ZC10" s="113">
        <v>47.58</v>
      </c>
      <c r="ZD10" s="113">
        <v>47.58</v>
      </c>
      <c r="ZE10" s="113">
        <v>47.58</v>
      </c>
      <c r="ZF10" s="113">
        <v>47.58</v>
      </c>
      <c r="ZG10" s="113">
        <v>47.58</v>
      </c>
      <c r="ZH10" s="113">
        <v>47.58</v>
      </c>
      <c r="ZI10" s="113">
        <v>47.58</v>
      </c>
      <c r="ZJ10" s="113">
        <v>47.58</v>
      </c>
      <c r="ZK10" s="113">
        <v>47.58</v>
      </c>
      <c r="ZL10" s="113">
        <v>47.58</v>
      </c>
      <c r="ZM10" s="113">
        <v>47.58</v>
      </c>
      <c r="ZN10" s="113">
        <v>47.58</v>
      </c>
      <c r="ZO10" s="113">
        <v>47.58</v>
      </c>
      <c r="ZP10" s="113">
        <v>47.58</v>
      </c>
      <c r="ZQ10" s="113">
        <v>47.58</v>
      </c>
      <c r="ZR10" s="113">
        <v>47.58</v>
      </c>
      <c r="ZS10" s="113">
        <v>47.58</v>
      </c>
      <c r="ZT10" s="113">
        <v>47.58</v>
      </c>
      <c r="ZU10" s="113">
        <v>47.58</v>
      </c>
      <c r="ZV10" s="113">
        <v>47.58</v>
      </c>
      <c r="ZW10" s="113">
        <v>47.58</v>
      </c>
      <c r="AAS10" s="113">
        <v>51.9</v>
      </c>
      <c r="AAT10" s="113">
        <v>47.58</v>
      </c>
      <c r="AAU10" s="113">
        <v>47.58</v>
      </c>
      <c r="AAV10" s="113">
        <v>47.58</v>
      </c>
      <c r="AAW10" s="113">
        <v>47.58</v>
      </c>
      <c r="AAX10" s="113">
        <v>47.58</v>
      </c>
      <c r="AAY10" s="113">
        <v>47.58</v>
      </c>
      <c r="AAZ10" s="113">
        <v>47.58</v>
      </c>
      <c r="ABA10" s="113">
        <v>47.58</v>
      </c>
      <c r="ABB10" s="113">
        <v>47.58</v>
      </c>
      <c r="ABC10" s="113">
        <v>47.58</v>
      </c>
      <c r="ABD10" s="113">
        <v>47.58</v>
      </c>
      <c r="ABE10" s="113">
        <v>47.58</v>
      </c>
      <c r="ABF10" s="113">
        <v>47.58</v>
      </c>
      <c r="ABG10" s="113">
        <v>51.9</v>
      </c>
      <c r="ABH10" s="113">
        <v>51.9</v>
      </c>
      <c r="ABI10" s="113">
        <v>51.9</v>
      </c>
      <c r="ABJ10" s="113">
        <v>47.58</v>
      </c>
      <c r="ABK10" s="113">
        <v>51.9</v>
      </c>
      <c r="ABL10" s="113">
        <v>51.9</v>
      </c>
      <c r="ABM10" s="113">
        <v>51.9</v>
      </c>
      <c r="ABN10" s="113">
        <v>47.58</v>
      </c>
      <c r="ABO10" s="113">
        <v>47.58</v>
      </c>
      <c r="ABP10" s="113">
        <v>51.9</v>
      </c>
      <c r="ABQ10" s="113">
        <v>51.9</v>
      </c>
      <c r="ABR10" s="113">
        <v>51.9</v>
      </c>
      <c r="ABS10" s="113">
        <v>47.58</v>
      </c>
      <c r="ABT10" s="113">
        <v>51.9</v>
      </c>
      <c r="ABU10" s="113">
        <v>51.9</v>
      </c>
      <c r="ABV10" s="113">
        <v>51.9</v>
      </c>
      <c r="ABW10" s="113">
        <v>51.9</v>
      </c>
      <c r="ABX10" s="113">
        <v>51.9</v>
      </c>
      <c r="ABY10" s="113">
        <v>51.9</v>
      </c>
      <c r="ABZ10" s="113">
        <v>51.9</v>
      </c>
      <c r="ACA10" s="113">
        <v>51.9</v>
      </c>
      <c r="ACB10" s="113">
        <v>51.9</v>
      </c>
      <c r="ACC10" s="113">
        <v>51.9</v>
      </c>
      <c r="ACD10" s="113">
        <v>51.9</v>
      </c>
      <c r="ACE10" s="113">
        <v>51.9</v>
      </c>
      <c r="ACF10" s="113">
        <v>51.9</v>
      </c>
      <c r="ACG10" s="113">
        <v>51.9</v>
      </c>
      <c r="ACH10" s="113">
        <v>51.9</v>
      </c>
      <c r="ACI10" s="113">
        <v>51.9</v>
      </c>
      <c r="ACJ10" s="113">
        <v>51.9</v>
      </c>
      <c r="ACK10" s="113">
        <v>51.9</v>
      </c>
      <c r="ACL10" s="113">
        <v>51.9</v>
      </c>
      <c r="ACM10" s="113">
        <v>51.9</v>
      </c>
      <c r="ACN10" s="113">
        <v>51.9</v>
      </c>
      <c r="ACO10" s="113">
        <v>51.9</v>
      </c>
      <c r="ACP10" s="113">
        <v>51.9</v>
      </c>
      <c r="ACQ10" s="113">
        <v>51.9</v>
      </c>
      <c r="ACR10" s="113">
        <v>51.9</v>
      </c>
      <c r="ACS10" s="113">
        <v>51.9</v>
      </c>
      <c r="ACT10" s="113">
        <v>51.9</v>
      </c>
      <c r="ACU10" s="113">
        <v>51.9</v>
      </c>
      <c r="ACV10" s="113">
        <v>51.9</v>
      </c>
      <c r="ACW10" s="113">
        <v>51.9</v>
      </c>
      <c r="ACX10" s="113">
        <v>47.58</v>
      </c>
      <c r="ACY10" s="113">
        <v>51.9</v>
      </c>
      <c r="ACZ10" s="113">
        <v>51.9</v>
      </c>
      <c r="ADA10" s="113">
        <v>51.9</v>
      </c>
      <c r="ADU10" s="113">
        <v>47.58</v>
      </c>
      <c r="ADV10" s="113">
        <v>47.58</v>
      </c>
      <c r="ADW10" s="113">
        <v>47.58</v>
      </c>
      <c r="ADX10" s="113">
        <v>47.58</v>
      </c>
      <c r="ADY10" s="113">
        <v>47.58</v>
      </c>
      <c r="ADZ10" s="113">
        <v>47.58</v>
      </c>
      <c r="AEA10" s="113">
        <v>47.58</v>
      </c>
      <c r="AEB10" s="113">
        <v>47.58</v>
      </c>
      <c r="AEC10" s="113">
        <v>47.58</v>
      </c>
      <c r="AED10" s="113">
        <v>47.58</v>
      </c>
      <c r="AEE10" s="113">
        <v>47.58</v>
      </c>
      <c r="AEF10" s="113">
        <v>47.58</v>
      </c>
      <c r="AEG10" s="113">
        <v>47.58</v>
      </c>
      <c r="AEH10" s="113">
        <v>47.58</v>
      </c>
      <c r="AEI10" s="113">
        <v>47.58</v>
      </c>
      <c r="AEJ10" s="113">
        <v>47.58</v>
      </c>
      <c r="AEK10" s="113">
        <v>47.58</v>
      </c>
      <c r="AEL10" s="113">
        <v>47.58</v>
      </c>
      <c r="AEM10" s="113">
        <v>47.58</v>
      </c>
      <c r="AEN10" s="113">
        <v>47.58</v>
      </c>
      <c r="AEO10" s="113">
        <v>47.58</v>
      </c>
      <c r="AEP10" s="113">
        <v>47.58</v>
      </c>
      <c r="AEQ10" s="113">
        <v>47.58</v>
      </c>
      <c r="AER10" s="113">
        <v>47.58</v>
      </c>
      <c r="AES10" s="113">
        <v>47.58</v>
      </c>
      <c r="AET10" s="113">
        <v>47.58</v>
      </c>
      <c r="AEU10" s="113">
        <v>47.58</v>
      </c>
      <c r="AEV10" s="113">
        <v>47.58</v>
      </c>
      <c r="AEW10" s="113">
        <v>47.58</v>
      </c>
      <c r="AEX10" s="113">
        <v>47.58</v>
      </c>
      <c r="AEY10" s="113">
        <v>47.58</v>
      </c>
      <c r="AEZ10" s="113">
        <v>47.58</v>
      </c>
      <c r="AFA10" s="113">
        <v>47.58</v>
      </c>
      <c r="AFB10" s="113">
        <v>47.58</v>
      </c>
      <c r="AFC10" s="113">
        <v>47.58</v>
      </c>
      <c r="AFD10" s="113">
        <v>47.58</v>
      </c>
      <c r="AFE10" s="113">
        <v>47.58</v>
      </c>
      <c r="AFF10" s="113">
        <v>47.58</v>
      </c>
      <c r="AFG10" s="113">
        <v>47.58</v>
      </c>
      <c r="AFH10" s="113">
        <v>47.58</v>
      </c>
      <c r="AFI10" s="113">
        <v>47.58</v>
      </c>
      <c r="AFJ10" s="113">
        <v>47.58</v>
      </c>
      <c r="AFK10" s="113">
        <v>47.58</v>
      </c>
      <c r="AFL10" s="113">
        <v>47.58</v>
      </c>
      <c r="AFM10" s="113">
        <v>47.58</v>
      </c>
      <c r="AFN10" s="113">
        <v>47.58</v>
      </c>
      <c r="AFO10" s="113">
        <v>47.58</v>
      </c>
      <c r="AFP10" s="113">
        <v>47.58</v>
      </c>
      <c r="AFQ10" s="113">
        <v>47.58</v>
      </c>
      <c r="AFR10" s="113">
        <v>47.58</v>
      </c>
      <c r="AFS10" s="113">
        <v>47.58</v>
      </c>
      <c r="AFT10" s="113">
        <v>47.58</v>
      </c>
      <c r="AFU10" s="113">
        <v>47.58</v>
      </c>
      <c r="AFV10" s="113">
        <v>47.58</v>
      </c>
      <c r="AFW10" s="113">
        <v>47.58</v>
      </c>
      <c r="AFX10" s="113">
        <v>47.58</v>
      </c>
      <c r="AFY10" s="113">
        <v>47.58</v>
      </c>
      <c r="AFZ10" s="113">
        <v>47.58</v>
      </c>
      <c r="AGA10" s="113">
        <v>47.58</v>
      </c>
      <c r="AGB10" s="113">
        <v>47.58</v>
      </c>
      <c r="AGW10" s="113">
        <v>47.58</v>
      </c>
      <c r="AGX10" s="113">
        <v>47.58</v>
      </c>
      <c r="AGY10" s="113">
        <v>47.58</v>
      </c>
      <c r="AGZ10" s="113">
        <v>47.58</v>
      </c>
      <c r="AHA10" s="113">
        <v>47.58</v>
      </c>
      <c r="AHB10" s="113">
        <v>47.58</v>
      </c>
      <c r="AHC10" s="113">
        <v>47.58</v>
      </c>
      <c r="AHD10" s="113">
        <v>47.58</v>
      </c>
      <c r="AHE10" s="113">
        <v>47.58</v>
      </c>
      <c r="AHF10" s="113">
        <v>47.58</v>
      </c>
      <c r="AHG10" s="113">
        <v>47.58</v>
      </c>
      <c r="AHH10" s="113">
        <v>47.58</v>
      </c>
      <c r="AHI10" s="113">
        <v>47.58</v>
      </c>
      <c r="AHJ10" s="113">
        <v>47.58</v>
      </c>
      <c r="AHK10" s="113">
        <v>47.58</v>
      </c>
      <c r="AHL10" s="113">
        <v>47.58</v>
      </c>
      <c r="AHM10" s="113">
        <v>47.58</v>
      </c>
      <c r="AHN10" s="113">
        <v>47.58</v>
      </c>
      <c r="AHO10" s="113">
        <v>47.58</v>
      </c>
      <c r="AHP10" s="113">
        <v>47.58</v>
      </c>
      <c r="AHQ10" s="113">
        <v>47.58</v>
      </c>
      <c r="AHR10" s="113">
        <v>47.58</v>
      </c>
      <c r="AHS10" s="113">
        <v>47.58</v>
      </c>
      <c r="AHT10" s="113">
        <v>47.58</v>
      </c>
      <c r="AHU10" s="113">
        <v>47.58</v>
      </c>
      <c r="AHV10" s="113">
        <v>47.58</v>
      </c>
      <c r="AHW10" s="113">
        <v>47.58</v>
      </c>
      <c r="AHX10" s="113">
        <v>47.58</v>
      </c>
      <c r="AHY10" s="113">
        <v>47.58</v>
      </c>
      <c r="AHZ10" s="113">
        <v>47.58</v>
      </c>
      <c r="AIA10" s="113">
        <v>47.58</v>
      </c>
      <c r="AIB10" s="113">
        <v>47.58</v>
      </c>
      <c r="AIC10" s="113">
        <v>47.58</v>
      </c>
      <c r="AID10" s="113">
        <v>47.58</v>
      </c>
      <c r="AIE10" s="113">
        <v>47.58</v>
      </c>
      <c r="AIF10" s="113">
        <v>47.58</v>
      </c>
      <c r="AIG10" s="113">
        <v>47.58</v>
      </c>
      <c r="AIH10" s="113">
        <v>47.58</v>
      </c>
      <c r="AII10" s="113">
        <v>47.58</v>
      </c>
      <c r="AIJ10" s="113">
        <v>47.58</v>
      </c>
      <c r="AIK10" s="113">
        <v>47.58</v>
      </c>
      <c r="AIL10" s="113">
        <v>47.58</v>
      </c>
      <c r="AIM10" s="113">
        <v>47.58</v>
      </c>
      <c r="AIN10" s="113">
        <v>47.58</v>
      </c>
      <c r="AIO10" s="113">
        <v>47.58</v>
      </c>
      <c r="AIP10" s="113">
        <v>47.58</v>
      </c>
      <c r="AIQ10" s="113">
        <v>47.58</v>
      </c>
      <c r="AIR10" s="113">
        <v>47.58</v>
      </c>
      <c r="AIS10" s="113">
        <v>47.58</v>
      </c>
      <c r="AIT10" s="113">
        <v>47.58</v>
      </c>
      <c r="AIU10" s="113">
        <v>47.58</v>
      </c>
      <c r="AIV10" s="113">
        <v>47.58</v>
      </c>
      <c r="AIW10" s="113">
        <v>47.58</v>
      </c>
      <c r="AIX10" s="113">
        <v>47.58</v>
      </c>
      <c r="AIY10" s="113">
        <v>47.58</v>
      </c>
      <c r="AIZ10" s="113">
        <v>47.58</v>
      </c>
      <c r="AJA10" s="113">
        <v>47.58</v>
      </c>
      <c r="AJB10" s="113">
        <v>47.58</v>
      </c>
      <c r="AJC10" s="113">
        <v>47.58</v>
      </c>
      <c r="AJD10" s="113">
        <v>47.58</v>
      </c>
    </row>
    <row r="11" spans="1:940">
      <c r="A11" s="113">
        <v>43.25</v>
      </c>
      <c r="B11" s="113">
        <v>43.25</v>
      </c>
      <c r="C11" s="113">
        <v>43.25</v>
      </c>
      <c r="D11" s="113">
        <v>43.25</v>
      </c>
      <c r="E11" s="113">
        <v>43.25</v>
      </c>
      <c r="F11" s="113">
        <v>43.25</v>
      </c>
      <c r="G11" s="113">
        <v>47.58</v>
      </c>
      <c r="H11" s="113">
        <v>47.58</v>
      </c>
      <c r="I11" s="113">
        <v>47.58</v>
      </c>
      <c r="J11" s="113">
        <v>47.58</v>
      </c>
      <c r="K11" s="113">
        <v>47.58</v>
      </c>
      <c r="L11" s="113">
        <v>43.25</v>
      </c>
      <c r="M11" s="113">
        <v>47.58</v>
      </c>
      <c r="N11" s="113">
        <v>47.58</v>
      </c>
      <c r="O11" s="113">
        <v>47.58</v>
      </c>
      <c r="P11" s="113">
        <v>43.25</v>
      </c>
      <c r="Q11" s="113">
        <v>47.58</v>
      </c>
      <c r="R11" s="113">
        <v>47.58</v>
      </c>
      <c r="S11" s="113">
        <v>47.58</v>
      </c>
      <c r="T11" s="113">
        <v>43.25</v>
      </c>
      <c r="U11" s="113">
        <v>43.25</v>
      </c>
      <c r="V11" s="113">
        <v>47.58</v>
      </c>
      <c r="W11" s="113">
        <v>47.58</v>
      </c>
      <c r="X11" s="113">
        <v>47.58</v>
      </c>
      <c r="Y11" s="113">
        <v>43.25</v>
      </c>
      <c r="Z11" s="113">
        <v>47.58</v>
      </c>
      <c r="AA11" s="113">
        <v>47.58</v>
      </c>
      <c r="AB11" s="113">
        <v>47.58</v>
      </c>
      <c r="AC11" s="113">
        <v>47.58</v>
      </c>
      <c r="AD11" s="113">
        <v>47.58</v>
      </c>
      <c r="AE11" s="113">
        <v>47.58</v>
      </c>
      <c r="AF11" s="113">
        <v>47.58</v>
      </c>
      <c r="AG11" s="113">
        <v>47.58</v>
      </c>
      <c r="AH11" s="113">
        <v>47.58</v>
      </c>
      <c r="AI11" s="113">
        <v>47.58</v>
      </c>
      <c r="AJ11" s="113">
        <v>47.58</v>
      </c>
      <c r="AK11" s="113">
        <v>47.58</v>
      </c>
      <c r="AL11" s="113">
        <v>47.58</v>
      </c>
      <c r="AM11" s="113">
        <v>47.58</v>
      </c>
      <c r="AN11" s="113">
        <v>47.58</v>
      </c>
      <c r="AO11" s="113">
        <v>47.58</v>
      </c>
      <c r="AP11" s="113">
        <v>47.58</v>
      </c>
      <c r="AQ11" s="113">
        <v>47.58</v>
      </c>
      <c r="AR11" s="113">
        <v>47.58</v>
      </c>
      <c r="AS11" s="113">
        <v>47.58</v>
      </c>
      <c r="AT11" s="113">
        <v>47.58</v>
      </c>
      <c r="AU11" s="113">
        <v>47.58</v>
      </c>
      <c r="AV11" s="113">
        <v>47.58</v>
      </c>
      <c r="AW11" s="113">
        <v>47.58</v>
      </c>
      <c r="AX11" s="113">
        <v>47.58</v>
      </c>
      <c r="AY11" s="113">
        <v>47.58</v>
      </c>
      <c r="AZ11" s="113">
        <v>47.58</v>
      </c>
      <c r="CC11" s="113">
        <v>43.25</v>
      </c>
      <c r="CD11" s="113">
        <v>43.25</v>
      </c>
      <c r="CE11" s="113">
        <v>43.25</v>
      </c>
      <c r="CF11" s="113">
        <v>43.25</v>
      </c>
      <c r="CG11" s="113">
        <v>43.25</v>
      </c>
      <c r="CH11" s="113">
        <v>43.25</v>
      </c>
      <c r="CI11" s="113">
        <v>43.25</v>
      </c>
      <c r="CJ11" s="113">
        <v>43.25</v>
      </c>
      <c r="CK11" s="113">
        <v>43.25</v>
      </c>
      <c r="CL11" s="113">
        <v>43.25</v>
      </c>
      <c r="CM11" s="113">
        <v>43.25</v>
      </c>
      <c r="CN11" s="113">
        <v>43.25</v>
      </c>
      <c r="CO11" s="113">
        <v>43.25</v>
      </c>
      <c r="CP11" s="113">
        <v>43.25</v>
      </c>
      <c r="CQ11" s="113">
        <v>43.25</v>
      </c>
      <c r="CR11" s="113">
        <v>43.25</v>
      </c>
      <c r="CS11" s="113">
        <v>43.25</v>
      </c>
      <c r="CT11" s="113">
        <v>43.25</v>
      </c>
      <c r="CU11" s="113">
        <v>43.25</v>
      </c>
      <c r="CV11" s="113">
        <v>43.25</v>
      </c>
      <c r="CW11" s="113">
        <v>43.25</v>
      </c>
      <c r="CX11" s="113">
        <v>43.25</v>
      </c>
      <c r="CY11" s="113">
        <v>43.25</v>
      </c>
      <c r="CZ11" s="113">
        <v>43.25</v>
      </c>
      <c r="DA11" s="113">
        <v>43.25</v>
      </c>
      <c r="DB11" s="113">
        <v>43.25</v>
      </c>
      <c r="DC11" s="113">
        <v>43.25</v>
      </c>
      <c r="DD11" s="113">
        <v>43.25</v>
      </c>
      <c r="DE11" s="113">
        <v>43.25</v>
      </c>
      <c r="DF11" s="113">
        <v>43.25</v>
      </c>
      <c r="DG11" s="113">
        <v>43.25</v>
      </c>
      <c r="DH11" s="113">
        <v>43.25</v>
      </c>
      <c r="DI11" s="113">
        <v>43.25</v>
      </c>
      <c r="DJ11" s="113">
        <v>43.25</v>
      </c>
      <c r="DK11" s="113">
        <v>43.25</v>
      </c>
      <c r="DL11" s="113">
        <v>43.25</v>
      </c>
      <c r="DM11" s="113">
        <v>43.25</v>
      </c>
      <c r="DN11" s="113">
        <v>43.25</v>
      </c>
      <c r="DO11" s="113">
        <v>43.25</v>
      </c>
      <c r="DP11" s="113">
        <v>43.25</v>
      </c>
      <c r="DQ11" s="113">
        <v>43.25</v>
      </c>
      <c r="DR11" s="113">
        <v>43.25</v>
      </c>
      <c r="DS11" s="113">
        <v>43.25</v>
      </c>
      <c r="DT11" s="113">
        <v>43.25</v>
      </c>
      <c r="DU11" s="113">
        <v>43.25</v>
      </c>
      <c r="DV11" s="113">
        <v>43.25</v>
      </c>
      <c r="DW11" s="113">
        <v>43.25</v>
      </c>
      <c r="DX11" s="113">
        <v>43.25</v>
      </c>
      <c r="DY11" s="113">
        <v>43.25</v>
      </c>
      <c r="DZ11" s="113">
        <v>43.25</v>
      </c>
      <c r="EA11" s="113">
        <v>43.25</v>
      </c>
      <c r="EB11" s="113">
        <v>43.25</v>
      </c>
      <c r="EC11" s="113">
        <v>43.25</v>
      </c>
      <c r="ED11" s="113">
        <v>43.25</v>
      </c>
      <c r="EE11" s="113">
        <v>43.25</v>
      </c>
      <c r="EF11" s="113">
        <v>43.25</v>
      </c>
      <c r="EG11" s="113">
        <v>43.25</v>
      </c>
      <c r="EH11" s="113">
        <v>43.25</v>
      </c>
      <c r="EI11" s="113">
        <v>43.25</v>
      </c>
      <c r="FE11" s="113">
        <v>47.58</v>
      </c>
      <c r="FF11" s="113">
        <v>43.25</v>
      </c>
      <c r="FG11" s="113">
        <v>43.25</v>
      </c>
      <c r="FH11" s="113">
        <v>43.25</v>
      </c>
      <c r="FI11" s="113">
        <v>43.25</v>
      </c>
      <c r="FJ11" s="113">
        <v>43.25</v>
      </c>
      <c r="FK11" s="113">
        <v>47.58</v>
      </c>
      <c r="FL11" s="113">
        <v>43.25</v>
      </c>
      <c r="FM11" s="113">
        <v>47.58</v>
      </c>
      <c r="FN11" s="113">
        <v>47.58</v>
      </c>
      <c r="FO11" s="113">
        <v>47.58</v>
      </c>
      <c r="FP11" s="113">
        <v>47.58</v>
      </c>
      <c r="FQ11" s="113">
        <v>47.58</v>
      </c>
      <c r="FR11" s="113">
        <v>43.25</v>
      </c>
      <c r="FS11" s="113">
        <v>47.58</v>
      </c>
      <c r="FT11" s="113">
        <v>47.58</v>
      </c>
      <c r="FU11" s="113">
        <v>47.58</v>
      </c>
      <c r="FV11" s="113">
        <v>43.25</v>
      </c>
      <c r="FW11" s="113">
        <v>47.58</v>
      </c>
      <c r="FX11" s="113">
        <v>47.58</v>
      </c>
      <c r="FY11" s="113">
        <v>47.58</v>
      </c>
      <c r="FZ11" s="113">
        <v>43.25</v>
      </c>
      <c r="GA11" s="113">
        <v>43.25</v>
      </c>
      <c r="GB11" s="113">
        <v>47.58</v>
      </c>
      <c r="GC11" s="113">
        <v>47.58</v>
      </c>
      <c r="GD11" s="113">
        <v>47.58</v>
      </c>
      <c r="GE11" s="113">
        <v>43.25</v>
      </c>
      <c r="GF11" s="113">
        <v>47.58</v>
      </c>
      <c r="GG11" s="113">
        <v>47.58</v>
      </c>
      <c r="GH11" s="113">
        <v>47.58</v>
      </c>
      <c r="GI11" s="113">
        <v>47.58</v>
      </c>
      <c r="GJ11" s="113">
        <v>47.58</v>
      </c>
      <c r="GK11" s="113">
        <v>47.58</v>
      </c>
      <c r="GL11" s="113">
        <v>47.58</v>
      </c>
      <c r="GM11" s="113">
        <v>47.58</v>
      </c>
      <c r="GN11" s="113">
        <v>47.58</v>
      </c>
      <c r="GO11" s="113">
        <v>47.58</v>
      </c>
      <c r="GP11" s="113">
        <v>47.58</v>
      </c>
      <c r="GQ11" s="113">
        <v>47.58</v>
      </c>
      <c r="GR11" s="113">
        <v>47.58</v>
      </c>
      <c r="GS11" s="113">
        <v>47.58</v>
      </c>
      <c r="GT11" s="113">
        <v>47.58</v>
      </c>
      <c r="GU11" s="113">
        <v>47.58</v>
      </c>
      <c r="GV11" s="113">
        <v>47.58</v>
      </c>
      <c r="GW11" s="113">
        <v>47.58</v>
      </c>
      <c r="GX11" s="113">
        <v>47.58</v>
      </c>
      <c r="GY11" s="113">
        <v>47.58</v>
      </c>
      <c r="GZ11" s="113">
        <v>47.58</v>
      </c>
      <c r="HA11" s="113">
        <v>47.58</v>
      </c>
      <c r="HB11" s="113">
        <v>47.58</v>
      </c>
      <c r="HC11" s="113">
        <v>47.58</v>
      </c>
      <c r="HD11" s="113">
        <v>47.58</v>
      </c>
      <c r="HE11" s="113">
        <v>47.58</v>
      </c>
      <c r="HF11" s="113">
        <v>47.58</v>
      </c>
      <c r="HG11" s="113">
        <v>47.58</v>
      </c>
      <c r="HH11" s="113">
        <v>47.58</v>
      </c>
      <c r="HI11" s="113">
        <v>47.58</v>
      </c>
      <c r="HJ11" s="113">
        <v>47.58</v>
      </c>
      <c r="HK11" s="113">
        <v>47.58</v>
      </c>
      <c r="HL11" s="113">
        <v>47.58</v>
      </c>
      <c r="IG11" s="113">
        <v>47.58</v>
      </c>
      <c r="IH11" s="113">
        <v>43.25</v>
      </c>
      <c r="II11" s="113">
        <v>43.25</v>
      </c>
      <c r="IJ11" s="113">
        <v>43.25</v>
      </c>
      <c r="IK11" s="113">
        <v>43.25</v>
      </c>
      <c r="IL11" s="113">
        <v>43.25</v>
      </c>
      <c r="IM11" s="113">
        <v>47.58</v>
      </c>
      <c r="IN11" s="113">
        <v>43.25</v>
      </c>
      <c r="IO11" s="113">
        <v>47.58</v>
      </c>
      <c r="IP11" s="113">
        <v>47.58</v>
      </c>
      <c r="IQ11" s="113">
        <v>47.58</v>
      </c>
      <c r="IR11" s="113">
        <v>47.58</v>
      </c>
      <c r="IS11" s="113">
        <v>47.58</v>
      </c>
      <c r="IT11" s="113">
        <v>43.25</v>
      </c>
      <c r="IU11" s="113">
        <v>47.58</v>
      </c>
      <c r="IV11" s="113">
        <v>47.58</v>
      </c>
      <c r="IW11" s="113">
        <v>47.58</v>
      </c>
      <c r="IX11" s="113">
        <v>43.25</v>
      </c>
      <c r="IY11" s="113">
        <v>47.58</v>
      </c>
      <c r="IZ11" s="113">
        <v>47.58</v>
      </c>
      <c r="JA11" s="113">
        <v>47.58</v>
      </c>
      <c r="JB11" s="113">
        <v>43.25</v>
      </c>
      <c r="JC11" s="113">
        <v>43.25</v>
      </c>
      <c r="JD11" s="113">
        <v>47.58</v>
      </c>
      <c r="JE11" s="113">
        <v>47.58</v>
      </c>
      <c r="JF11" s="113">
        <v>47.58</v>
      </c>
      <c r="JG11" s="113">
        <v>43.25</v>
      </c>
      <c r="JH11" s="113">
        <v>47.58</v>
      </c>
      <c r="JI11" s="113">
        <v>47.58</v>
      </c>
      <c r="JJ11" s="113">
        <v>47.58</v>
      </c>
      <c r="JK11" s="113">
        <v>47.58</v>
      </c>
      <c r="JL11" s="113">
        <v>47.58</v>
      </c>
      <c r="JM11" s="113">
        <v>47.58</v>
      </c>
      <c r="JN11" s="113">
        <v>47.58</v>
      </c>
      <c r="JO11" s="113">
        <v>47.58</v>
      </c>
      <c r="JP11" s="113">
        <v>47.58</v>
      </c>
      <c r="JQ11" s="113">
        <v>47.58</v>
      </c>
      <c r="JR11" s="113">
        <v>47.58</v>
      </c>
      <c r="JS11" s="113">
        <v>47.58</v>
      </c>
      <c r="JT11" s="113">
        <v>47.58</v>
      </c>
      <c r="JU11" s="113">
        <v>47.58</v>
      </c>
      <c r="JV11" s="113">
        <v>47.58</v>
      </c>
      <c r="JW11" s="113">
        <v>47.58</v>
      </c>
      <c r="JX11" s="113">
        <v>47.58</v>
      </c>
      <c r="JY11" s="113">
        <v>47.58</v>
      </c>
      <c r="JZ11" s="113">
        <v>47.58</v>
      </c>
      <c r="KA11" s="113">
        <v>47.58</v>
      </c>
      <c r="KB11" s="113">
        <v>47.58</v>
      </c>
      <c r="KC11" s="113">
        <v>47.58</v>
      </c>
      <c r="KD11" s="113">
        <v>47.58</v>
      </c>
      <c r="KE11" s="113">
        <v>47.58</v>
      </c>
      <c r="KF11" s="113">
        <v>47.58</v>
      </c>
      <c r="KG11" s="113">
        <v>47.58</v>
      </c>
      <c r="KH11" s="113">
        <v>47.58</v>
      </c>
      <c r="KI11" s="113">
        <v>47.58</v>
      </c>
      <c r="KJ11" s="113">
        <v>47.58</v>
      </c>
      <c r="KK11" s="113">
        <v>47.58</v>
      </c>
      <c r="KL11" s="113">
        <v>47.58</v>
      </c>
      <c r="KM11" s="113">
        <v>47.58</v>
      </c>
      <c r="KN11" s="113">
        <v>47.58</v>
      </c>
      <c r="LI11" s="113">
        <v>47.58</v>
      </c>
      <c r="LJ11" s="113">
        <v>43.25</v>
      </c>
      <c r="LK11" s="113">
        <v>43.25</v>
      </c>
      <c r="LL11" s="113">
        <v>43.25</v>
      </c>
      <c r="LM11" s="113">
        <v>43.25</v>
      </c>
      <c r="LN11" s="113">
        <v>43.25</v>
      </c>
      <c r="LO11" s="113">
        <v>47.58</v>
      </c>
      <c r="LP11" s="113">
        <v>43.25</v>
      </c>
      <c r="LQ11" s="113">
        <v>47.58</v>
      </c>
      <c r="LR11" s="113">
        <v>47.58</v>
      </c>
      <c r="LS11" s="113">
        <v>47.58</v>
      </c>
      <c r="LT11" s="113">
        <v>47.58</v>
      </c>
      <c r="LU11" s="113">
        <v>47.58</v>
      </c>
      <c r="LV11" s="113">
        <v>43.25</v>
      </c>
      <c r="LW11" s="113">
        <v>47.58</v>
      </c>
      <c r="LX11" s="113">
        <v>47.58</v>
      </c>
      <c r="LY11" s="113">
        <v>47.58</v>
      </c>
      <c r="LZ11" s="113">
        <v>43.25</v>
      </c>
      <c r="MA11" s="113">
        <v>47.58</v>
      </c>
      <c r="MB11" s="113">
        <v>47.58</v>
      </c>
      <c r="MC11" s="113">
        <v>47.58</v>
      </c>
      <c r="MD11" s="113">
        <v>43.25</v>
      </c>
      <c r="ME11" s="113">
        <v>43.25</v>
      </c>
      <c r="MF11" s="113">
        <v>47.58</v>
      </c>
      <c r="MG11" s="113">
        <v>47.58</v>
      </c>
      <c r="MH11" s="113">
        <v>47.58</v>
      </c>
      <c r="MI11" s="113">
        <v>43.25</v>
      </c>
      <c r="MJ11" s="113">
        <v>47.58</v>
      </c>
      <c r="MK11" s="113">
        <v>47.58</v>
      </c>
      <c r="ML11" s="113">
        <v>47.58</v>
      </c>
      <c r="MM11" s="113">
        <v>47.58</v>
      </c>
      <c r="MN11" s="113">
        <v>47.58</v>
      </c>
      <c r="MO11" s="113">
        <v>47.58</v>
      </c>
      <c r="MP11" s="113">
        <v>47.58</v>
      </c>
      <c r="MQ11" s="113">
        <v>47.58</v>
      </c>
      <c r="MR11" s="113">
        <v>47.58</v>
      </c>
      <c r="MS11" s="113">
        <v>47.58</v>
      </c>
      <c r="MT11" s="113">
        <v>47.58</v>
      </c>
      <c r="MU11" s="113">
        <v>47.58</v>
      </c>
      <c r="MV11" s="113">
        <v>47.58</v>
      </c>
      <c r="MW11" s="113">
        <v>47.58</v>
      </c>
      <c r="MX11" s="113">
        <v>47.58</v>
      </c>
      <c r="MY11" s="113">
        <v>47.58</v>
      </c>
      <c r="MZ11" s="113">
        <v>47.58</v>
      </c>
      <c r="NA11" s="113">
        <v>47.58</v>
      </c>
      <c r="NB11" s="113">
        <v>47.58</v>
      </c>
      <c r="NC11" s="113">
        <v>47.58</v>
      </c>
      <c r="ND11" s="113">
        <v>47.58</v>
      </c>
      <c r="NE11" s="113">
        <v>47.58</v>
      </c>
      <c r="NF11" s="113">
        <v>47.58</v>
      </c>
      <c r="NG11" s="113">
        <v>47.58</v>
      </c>
      <c r="NH11" s="113">
        <v>47.58</v>
      </c>
      <c r="NI11" s="113">
        <v>47.58</v>
      </c>
      <c r="NJ11" s="113">
        <v>47.58</v>
      </c>
      <c r="NK11" s="113">
        <v>47.58</v>
      </c>
      <c r="NL11" s="113">
        <v>47.58</v>
      </c>
      <c r="NM11" s="113">
        <v>47.58</v>
      </c>
      <c r="NN11" s="113">
        <v>47.58</v>
      </c>
      <c r="NO11" s="113">
        <v>47.58</v>
      </c>
      <c r="NP11" s="113">
        <v>47.58</v>
      </c>
      <c r="NQ11" s="113">
        <v>47.58</v>
      </c>
      <c r="NR11" s="113">
        <v>47.58</v>
      </c>
      <c r="OK11" s="113">
        <v>43.25</v>
      </c>
      <c r="OL11" s="113">
        <v>43.25</v>
      </c>
      <c r="OM11" s="113">
        <v>43.25</v>
      </c>
      <c r="ON11" s="113">
        <v>43.25</v>
      </c>
      <c r="OO11" s="113">
        <v>43.25</v>
      </c>
      <c r="OP11" s="113">
        <v>43.25</v>
      </c>
      <c r="OQ11" s="113">
        <v>43.25</v>
      </c>
      <c r="OR11" s="113">
        <v>43.25</v>
      </c>
      <c r="OS11" s="113">
        <v>43.25</v>
      </c>
      <c r="OT11" s="113">
        <v>43.25</v>
      </c>
      <c r="OU11" s="113">
        <v>43.25</v>
      </c>
      <c r="OV11" s="113">
        <v>43.25</v>
      </c>
      <c r="OW11" s="113">
        <v>43.25</v>
      </c>
      <c r="OX11" s="113">
        <v>43.25</v>
      </c>
      <c r="OY11" s="113">
        <v>43.25</v>
      </c>
      <c r="OZ11" s="113">
        <v>43.25</v>
      </c>
      <c r="PA11" s="113">
        <v>43.25</v>
      </c>
      <c r="PB11" s="113">
        <v>43.25</v>
      </c>
      <c r="PC11" s="113">
        <v>43.25</v>
      </c>
      <c r="PD11" s="113">
        <v>43.25</v>
      </c>
      <c r="PE11" s="113">
        <v>43.25</v>
      </c>
      <c r="PF11" s="113">
        <v>43.25</v>
      </c>
      <c r="PG11" s="113">
        <v>43.25</v>
      </c>
      <c r="PH11" s="113">
        <v>43.25</v>
      </c>
      <c r="PI11" s="113">
        <v>43.25</v>
      </c>
      <c r="PJ11" s="113">
        <v>43.25</v>
      </c>
      <c r="PK11" s="113">
        <v>43.25</v>
      </c>
      <c r="PL11" s="113">
        <v>43.25</v>
      </c>
      <c r="PM11" s="113">
        <v>43.25</v>
      </c>
      <c r="PN11" s="113">
        <v>43.25</v>
      </c>
      <c r="PO11" s="113">
        <v>43.25</v>
      </c>
      <c r="PP11" s="113">
        <v>43.25</v>
      </c>
      <c r="PQ11" s="113">
        <v>43.25</v>
      </c>
      <c r="PR11" s="113">
        <v>43.25</v>
      </c>
      <c r="PS11" s="113">
        <v>43.25</v>
      </c>
      <c r="PT11" s="113">
        <v>43.25</v>
      </c>
      <c r="PU11" s="113">
        <v>43.25</v>
      </c>
      <c r="PV11" s="113">
        <v>43.25</v>
      </c>
      <c r="PW11" s="113">
        <v>43.25</v>
      </c>
      <c r="PX11" s="113">
        <v>43.25</v>
      </c>
      <c r="PY11" s="113">
        <v>43.25</v>
      </c>
      <c r="PZ11" s="113">
        <v>43.25</v>
      </c>
      <c r="QA11" s="113">
        <v>43.25</v>
      </c>
      <c r="QB11" s="113">
        <v>43.25</v>
      </c>
      <c r="QC11" s="113">
        <v>43.25</v>
      </c>
      <c r="QD11" s="113">
        <v>43.25</v>
      </c>
      <c r="QE11" s="113">
        <v>43.25</v>
      </c>
      <c r="QF11" s="113">
        <v>43.25</v>
      </c>
      <c r="QG11" s="113">
        <v>43.25</v>
      </c>
      <c r="QH11" s="113">
        <v>43.25</v>
      </c>
      <c r="QI11" s="113">
        <v>43.25</v>
      </c>
      <c r="QJ11" s="113">
        <v>43.25</v>
      </c>
      <c r="QK11" s="113">
        <v>43.25</v>
      </c>
      <c r="QL11" s="113">
        <v>43.25</v>
      </c>
      <c r="QM11" s="113">
        <v>43.25</v>
      </c>
      <c r="QN11" s="113">
        <v>43.25</v>
      </c>
      <c r="QO11" s="113">
        <v>43.25</v>
      </c>
      <c r="QP11" s="113">
        <v>43.25</v>
      </c>
      <c r="QQ11" s="113">
        <v>43.25</v>
      </c>
      <c r="QR11" s="113">
        <v>43.25</v>
      </c>
      <c r="QS11" s="113">
        <v>43.25</v>
      </c>
      <c r="RM11" s="113">
        <v>43.25</v>
      </c>
      <c r="RN11" s="113">
        <v>43.25</v>
      </c>
      <c r="RO11" s="113">
        <v>43.25</v>
      </c>
      <c r="RP11" s="113">
        <v>43.25</v>
      </c>
      <c r="RQ11" s="113">
        <v>43.25</v>
      </c>
      <c r="RR11" s="113">
        <v>43.25</v>
      </c>
      <c r="RS11" s="113">
        <v>43.25</v>
      </c>
      <c r="RT11" s="113">
        <v>43.25</v>
      </c>
      <c r="RU11" s="113">
        <v>43.25</v>
      </c>
      <c r="RV11" s="113">
        <v>43.25</v>
      </c>
      <c r="RW11" s="113">
        <v>43.25</v>
      </c>
      <c r="RX11" s="113">
        <v>43.25</v>
      </c>
      <c r="RY11" s="113">
        <v>43.25</v>
      </c>
      <c r="RZ11" s="113">
        <v>43.25</v>
      </c>
      <c r="SA11" s="113">
        <v>43.25</v>
      </c>
      <c r="SB11" s="113">
        <v>43.25</v>
      </c>
      <c r="SC11" s="113">
        <v>43.25</v>
      </c>
      <c r="SD11" s="113">
        <v>43.25</v>
      </c>
      <c r="SE11" s="113">
        <v>43.25</v>
      </c>
      <c r="SF11" s="113">
        <v>43.25</v>
      </c>
      <c r="SG11" s="113">
        <v>43.25</v>
      </c>
      <c r="SH11" s="113">
        <v>43.25</v>
      </c>
      <c r="SI11" s="113">
        <v>43.25</v>
      </c>
      <c r="SJ11" s="113">
        <v>43.25</v>
      </c>
      <c r="SK11" s="113">
        <v>43.25</v>
      </c>
      <c r="SL11" s="113">
        <v>43.25</v>
      </c>
      <c r="SM11" s="113">
        <v>43.25</v>
      </c>
      <c r="SN11" s="113">
        <v>43.25</v>
      </c>
      <c r="SO11" s="113">
        <v>43.25</v>
      </c>
      <c r="SP11" s="113">
        <v>43.25</v>
      </c>
      <c r="SQ11" s="113">
        <v>43.25</v>
      </c>
      <c r="SR11" s="113">
        <v>43.25</v>
      </c>
      <c r="SS11" s="113">
        <v>43.25</v>
      </c>
      <c r="ST11" s="113">
        <v>43.25</v>
      </c>
      <c r="SU11" s="113">
        <v>43.25</v>
      </c>
      <c r="SV11" s="113">
        <v>43.25</v>
      </c>
      <c r="SW11" s="113">
        <v>43.25</v>
      </c>
      <c r="SX11" s="113">
        <v>43.25</v>
      </c>
      <c r="SY11" s="113">
        <v>43.25</v>
      </c>
      <c r="SZ11" s="113">
        <v>43.25</v>
      </c>
      <c r="TA11" s="113">
        <v>43.25</v>
      </c>
      <c r="TB11" s="113">
        <v>43.25</v>
      </c>
      <c r="TC11" s="113">
        <v>43.25</v>
      </c>
      <c r="TD11" s="113">
        <v>43.25</v>
      </c>
      <c r="TE11" s="113">
        <v>43.25</v>
      </c>
      <c r="TF11" s="113">
        <v>43.25</v>
      </c>
      <c r="TG11" s="113">
        <v>43.25</v>
      </c>
      <c r="TH11" s="113">
        <v>43.25</v>
      </c>
      <c r="TI11" s="113">
        <v>43.25</v>
      </c>
      <c r="TJ11" s="113">
        <v>43.25</v>
      </c>
      <c r="TK11" s="113">
        <v>43.25</v>
      </c>
      <c r="TL11" s="113">
        <v>43.25</v>
      </c>
      <c r="TM11" s="113">
        <v>43.25</v>
      </c>
      <c r="TN11" s="113">
        <v>43.25</v>
      </c>
      <c r="TO11" s="113">
        <v>43.25</v>
      </c>
      <c r="TP11" s="113">
        <v>43.25</v>
      </c>
      <c r="TQ11" s="113">
        <v>43.25</v>
      </c>
      <c r="TR11" s="113">
        <v>43.25</v>
      </c>
      <c r="TS11" s="113">
        <v>43.25</v>
      </c>
      <c r="TT11" s="113">
        <v>43.25</v>
      </c>
      <c r="UO11" s="113">
        <v>43.25</v>
      </c>
      <c r="UP11" s="113">
        <v>43.25</v>
      </c>
      <c r="UQ11" s="113">
        <v>43.25</v>
      </c>
      <c r="UR11" s="113">
        <v>43.25</v>
      </c>
      <c r="US11" s="113">
        <v>43.25</v>
      </c>
      <c r="UT11" s="113">
        <v>43.25</v>
      </c>
      <c r="UU11" s="113">
        <v>43.25</v>
      </c>
      <c r="UV11" s="113">
        <v>43.25</v>
      </c>
      <c r="UW11" s="113">
        <v>43.25</v>
      </c>
      <c r="UX11" s="113">
        <v>43.25</v>
      </c>
      <c r="UY11" s="113">
        <v>43.25</v>
      </c>
      <c r="UZ11" s="113">
        <v>43.25</v>
      </c>
      <c r="VA11" s="113">
        <v>43.25</v>
      </c>
      <c r="VB11" s="113">
        <v>43.25</v>
      </c>
      <c r="VC11" s="113">
        <v>43.25</v>
      </c>
      <c r="VD11" s="113">
        <v>43.25</v>
      </c>
      <c r="VE11" s="113">
        <v>43.25</v>
      </c>
      <c r="VF11" s="113">
        <v>43.25</v>
      </c>
      <c r="VG11" s="113">
        <v>43.25</v>
      </c>
      <c r="VH11" s="113">
        <v>43.25</v>
      </c>
      <c r="VI11" s="113">
        <v>43.25</v>
      </c>
      <c r="VJ11" s="113">
        <v>43.25</v>
      </c>
      <c r="VK11" s="113">
        <v>43.25</v>
      </c>
      <c r="VL11" s="113">
        <v>43.25</v>
      </c>
      <c r="VM11" s="113">
        <v>43.25</v>
      </c>
      <c r="VN11" s="113">
        <v>43.25</v>
      </c>
      <c r="VO11" s="113">
        <v>43.25</v>
      </c>
      <c r="VP11" s="113">
        <v>43.25</v>
      </c>
      <c r="VQ11" s="113">
        <v>43.25</v>
      </c>
      <c r="VR11" s="113">
        <v>43.25</v>
      </c>
      <c r="VS11" s="113">
        <v>43.25</v>
      </c>
      <c r="VT11" s="113">
        <v>43.25</v>
      </c>
      <c r="VU11" s="113">
        <v>43.25</v>
      </c>
      <c r="VV11" s="113">
        <v>43.25</v>
      </c>
      <c r="VW11" s="113">
        <v>43.25</v>
      </c>
      <c r="VX11" s="113">
        <v>43.25</v>
      </c>
      <c r="VY11" s="113">
        <v>43.25</v>
      </c>
      <c r="VZ11" s="113">
        <v>43.25</v>
      </c>
      <c r="WA11" s="113">
        <v>43.25</v>
      </c>
      <c r="WB11" s="113">
        <v>43.25</v>
      </c>
      <c r="WC11" s="113">
        <v>43.25</v>
      </c>
      <c r="WD11" s="113">
        <v>43.25</v>
      </c>
      <c r="WE11" s="113">
        <v>43.25</v>
      </c>
      <c r="WF11" s="113">
        <v>43.25</v>
      </c>
      <c r="WG11" s="113">
        <v>43.25</v>
      </c>
      <c r="WH11" s="113">
        <v>43.25</v>
      </c>
      <c r="WI11" s="113">
        <v>43.25</v>
      </c>
      <c r="WJ11" s="113">
        <v>43.25</v>
      </c>
      <c r="WK11" s="113">
        <v>43.25</v>
      </c>
      <c r="WL11" s="113">
        <v>43.25</v>
      </c>
      <c r="WM11" s="113">
        <v>43.25</v>
      </c>
      <c r="WN11" s="113">
        <v>43.25</v>
      </c>
      <c r="WO11" s="113">
        <v>43.25</v>
      </c>
      <c r="WP11" s="113">
        <v>43.25</v>
      </c>
      <c r="WQ11" s="113">
        <v>43.25</v>
      </c>
      <c r="WR11" s="113">
        <v>43.25</v>
      </c>
      <c r="WS11" s="113">
        <v>43.25</v>
      </c>
      <c r="WT11" s="113">
        <v>43.25</v>
      </c>
      <c r="WU11" s="113">
        <v>43.25</v>
      </c>
      <c r="WV11" s="113">
        <v>43.25</v>
      </c>
      <c r="WW11" s="113">
        <v>43.25</v>
      </c>
      <c r="XQ11" s="113">
        <v>43.25</v>
      </c>
      <c r="XR11" s="113">
        <v>43.25</v>
      </c>
      <c r="XS11" s="113">
        <v>43.25</v>
      </c>
      <c r="XT11" s="113">
        <v>43.25</v>
      </c>
      <c r="XU11" s="113">
        <v>43.25</v>
      </c>
      <c r="XV11" s="113">
        <v>43.25</v>
      </c>
      <c r="XW11" s="113">
        <v>43.25</v>
      </c>
      <c r="XX11" s="113">
        <v>43.25</v>
      </c>
      <c r="XY11" s="113">
        <v>43.25</v>
      </c>
      <c r="XZ11" s="113">
        <v>43.25</v>
      </c>
      <c r="YA11" s="113">
        <v>43.25</v>
      </c>
      <c r="YB11" s="113">
        <v>43.25</v>
      </c>
      <c r="YC11" s="113">
        <v>43.25</v>
      </c>
      <c r="YD11" s="113">
        <v>43.25</v>
      </c>
      <c r="YE11" s="113">
        <v>43.25</v>
      </c>
      <c r="YF11" s="113">
        <v>43.25</v>
      </c>
      <c r="YG11" s="113">
        <v>43.25</v>
      </c>
      <c r="YH11" s="113">
        <v>43.25</v>
      </c>
      <c r="YI11" s="113">
        <v>43.25</v>
      </c>
      <c r="YJ11" s="113">
        <v>43.25</v>
      </c>
      <c r="YK11" s="113">
        <v>43.25</v>
      </c>
      <c r="YL11" s="113">
        <v>43.25</v>
      </c>
      <c r="YM11" s="113">
        <v>43.25</v>
      </c>
      <c r="YN11" s="113">
        <v>43.25</v>
      </c>
      <c r="YO11" s="113">
        <v>43.25</v>
      </c>
      <c r="YP11" s="113">
        <v>43.25</v>
      </c>
      <c r="YQ11" s="113">
        <v>43.25</v>
      </c>
      <c r="YR11" s="113">
        <v>43.25</v>
      </c>
      <c r="YS11" s="113">
        <v>43.25</v>
      </c>
      <c r="YT11" s="113">
        <v>43.25</v>
      </c>
      <c r="YU11" s="113">
        <v>43.25</v>
      </c>
      <c r="YV11" s="113">
        <v>43.25</v>
      </c>
      <c r="YW11" s="113">
        <v>43.25</v>
      </c>
      <c r="YX11" s="113">
        <v>43.25</v>
      </c>
      <c r="YY11" s="113">
        <v>43.25</v>
      </c>
      <c r="YZ11" s="113">
        <v>43.25</v>
      </c>
      <c r="ZA11" s="113">
        <v>43.25</v>
      </c>
      <c r="ZB11" s="113">
        <v>43.25</v>
      </c>
      <c r="ZC11" s="113">
        <v>43.25</v>
      </c>
      <c r="ZD11" s="113">
        <v>43.25</v>
      </c>
      <c r="ZE11" s="113">
        <v>43.25</v>
      </c>
      <c r="ZF11" s="113">
        <v>43.25</v>
      </c>
      <c r="ZG11" s="113">
        <v>43.25</v>
      </c>
      <c r="ZH11" s="113">
        <v>43.25</v>
      </c>
      <c r="ZI11" s="113">
        <v>43.25</v>
      </c>
      <c r="ZJ11" s="113">
        <v>43.25</v>
      </c>
      <c r="ZK11" s="113">
        <v>43.25</v>
      </c>
      <c r="ZL11" s="113">
        <v>43.25</v>
      </c>
      <c r="ZM11" s="113">
        <v>43.25</v>
      </c>
      <c r="ZN11" s="113">
        <v>43.25</v>
      </c>
      <c r="ZO11" s="113">
        <v>43.25</v>
      </c>
      <c r="ZP11" s="113">
        <v>43.25</v>
      </c>
      <c r="ZQ11" s="113">
        <v>43.25</v>
      </c>
      <c r="ZR11" s="113">
        <v>43.25</v>
      </c>
      <c r="ZS11" s="113">
        <v>43.25</v>
      </c>
      <c r="ZT11" s="113">
        <v>43.25</v>
      </c>
      <c r="ZU11" s="113">
        <v>43.25</v>
      </c>
      <c r="ZV11" s="113">
        <v>43.25</v>
      </c>
      <c r="ZW11" s="113">
        <v>43.25</v>
      </c>
      <c r="AAS11" s="113">
        <v>47.58</v>
      </c>
      <c r="AAT11" s="113">
        <v>43.25</v>
      </c>
      <c r="AAU11" s="113">
        <v>43.25</v>
      </c>
      <c r="AAV11" s="113">
        <v>43.25</v>
      </c>
      <c r="AAW11" s="113">
        <v>43.25</v>
      </c>
      <c r="AAX11" s="113">
        <v>43.25</v>
      </c>
      <c r="AAY11" s="113">
        <v>43.25</v>
      </c>
      <c r="AAZ11" s="113">
        <v>43.25</v>
      </c>
      <c r="ABA11" s="113">
        <v>43.25</v>
      </c>
      <c r="ABB11" s="113">
        <v>43.25</v>
      </c>
      <c r="ABC11" s="113">
        <v>43.25</v>
      </c>
      <c r="ABD11" s="113">
        <v>43.25</v>
      </c>
      <c r="ABE11" s="113">
        <v>43.25</v>
      </c>
      <c r="ABF11" s="113">
        <v>43.25</v>
      </c>
      <c r="ABG11" s="113">
        <v>47.58</v>
      </c>
      <c r="ABH11" s="113">
        <v>47.58</v>
      </c>
      <c r="ABI11" s="113">
        <v>47.58</v>
      </c>
      <c r="ABJ11" s="113">
        <v>43.25</v>
      </c>
      <c r="ABK11" s="113">
        <v>47.58</v>
      </c>
      <c r="ABL11" s="113">
        <v>47.58</v>
      </c>
      <c r="ABM11" s="113">
        <v>47.58</v>
      </c>
      <c r="ABN11" s="113">
        <v>43.25</v>
      </c>
      <c r="ABO11" s="113">
        <v>43.25</v>
      </c>
      <c r="ABP11" s="113">
        <v>47.58</v>
      </c>
      <c r="ABQ11" s="113">
        <v>47.58</v>
      </c>
      <c r="ABR11" s="113">
        <v>47.58</v>
      </c>
      <c r="ABS11" s="113">
        <v>43.25</v>
      </c>
      <c r="ABT11" s="113">
        <v>47.58</v>
      </c>
      <c r="ABU11" s="113">
        <v>47.58</v>
      </c>
      <c r="ABV11" s="113">
        <v>47.58</v>
      </c>
      <c r="ABW11" s="113">
        <v>47.58</v>
      </c>
      <c r="ABX11" s="113">
        <v>47.58</v>
      </c>
      <c r="ABY11" s="113">
        <v>47.58</v>
      </c>
      <c r="ABZ11" s="113">
        <v>47.58</v>
      </c>
      <c r="ACA11" s="113">
        <v>47.58</v>
      </c>
      <c r="ACB11" s="113">
        <v>47.58</v>
      </c>
      <c r="ACC11" s="113">
        <v>47.58</v>
      </c>
      <c r="ACD11" s="113">
        <v>47.58</v>
      </c>
      <c r="ACE11" s="113">
        <v>47.58</v>
      </c>
      <c r="ACF11" s="113">
        <v>47.58</v>
      </c>
      <c r="ACG11" s="113">
        <v>47.58</v>
      </c>
      <c r="ACH11" s="113">
        <v>47.58</v>
      </c>
      <c r="ACI11" s="113">
        <v>47.58</v>
      </c>
      <c r="ACJ11" s="113">
        <v>47.58</v>
      </c>
      <c r="ACK11" s="113">
        <v>47.58</v>
      </c>
      <c r="ACL11" s="113">
        <v>47.58</v>
      </c>
      <c r="ACM11" s="113">
        <v>47.58</v>
      </c>
      <c r="ACN11" s="113">
        <v>47.58</v>
      </c>
      <c r="ACO11" s="113">
        <v>47.58</v>
      </c>
      <c r="ACP11" s="113">
        <v>47.58</v>
      </c>
      <c r="ACQ11" s="113">
        <v>47.58</v>
      </c>
      <c r="ACR11" s="113">
        <v>47.58</v>
      </c>
      <c r="ACS11" s="113">
        <v>47.58</v>
      </c>
      <c r="ACT11" s="113">
        <v>47.58</v>
      </c>
      <c r="ACU11" s="113">
        <v>47.58</v>
      </c>
      <c r="ACV11" s="113">
        <v>47.58</v>
      </c>
      <c r="ACW11" s="113">
        <v>47.58</v>
      </c>
      <c r="ACX11" s="113">
        <v>43.25</v>
      </c>
      <c r="ACY11" s="113">
        <v>47.58</v>
      </c>
      <c r="ACZ11" s="113">
        <v>47.58</v>
      </c>
      <c r="ADA11" s="113">
        <v>47.58</v>
      </c>
      <c r="ADU11" s="113">
        <v>43.25</v>
      </c>
      <c r="ADV11" s="113">
        <v>43.25</v>
      </c>
      <c r="ADW11" s="113">
        <v>43.25</v>
      </c>
      <c r="ADX11" s="113">
        <v>43.25</v>
      </c>
      <c r="ADY11" s="113">
        <v>43.25</v>
      </c>
      <c r="ADZ11" s="113">
        <v>43.25</v>
      </c>
      <c r="AEA11" s="113">
        <v>43.25</v>
      </c>
      <c r="AEB11" s="113">
        <v>43.25</v>
      </c>
      <c r="AEC11" s="113">
        <v>43.25</v>
      </c>
      <c r="AED11" s="113">
        <v>43.25</v>
      </c>
      <c r="AEE11" s="113">
        <v>43.25</v>
      </c>
      <c r="AEF11" s="113">
        <v>43.25</v>
      </c>
      <c r="AEG11" s="113">
        <v>43.25</v>
      </c>
      <c r="AEH11" s="113">
        <v>43.25</v>
      </c>
      <c r="AEI11" s="113">
        <v>43.25</v>
      </c>
      <c r="AEJ11" s="113">
        <v>43.25</v>
      </c>
      <c r="AEK11" s="113">
        <v>43.25</v>
      </c>
      <c r="AEL11" s="113">
        <v>43.25</v>
      </c>
      <c r="AEM11" s="113">
        <v>43.25</v>
      </c>
      <c r="AEN11" s="113">
        <v>43.25</v>
      </c>
      <c r="AEO11" s="113">
        <v>43.25</v>
      </c>
      <c r="AEP11" s="113">
        <v>43.25</v>
      </c>
      <c r="AEQ11" s="113">
        <v>43.25</v>
      </c>
      <c r="AER11" s="113">
        <v>43.25</v>
      </c>
      <c r="AES11" s="113">
        <v>43.25</v>
      </c>
      <c r="AET11" s="113">
        <v>43.25</v>
      </c>
      <c r="AEU11" s="113">
        <v>43.25</v>
      </c>
      <c r="AEV11" s="113">
        <v>43.25</v>
      </c>
      <c r="AEW11" s="113">
        <v>43.25</v>
      </c>
      <c r="AEX11" s="113">
        <v>43.25</v>
      </c>
      <c r="AEY11" s="113">
        <v>43.25</v>
      </c>
      <c r="AEZ11" s="113">
        <v>43.25</v>
      </c>
      <c r="AFA11" s="113">
        <v>43.25</v>
      </c>
      <c r="AFB11" s="113">
        <v>43.25</v>
      </c>
      <c r="AFC11" s="113">
        <v>43.25</v>
      </c>
      <c r="AFD11" s="113">
        <v>43.25</v>
      </c>
      <c r="AFE11" s="113">
        <v>43.25</v>
      </c>
      <c r="AFF11" s="113">
        <v>43.25</v>
      </c>
      <c r="AFG11" s="113">
        <v>43.25</v>
      </c>
      <c r="AFH11" s="113">
        <v>43.25</v>
      </c>
      <c r="AFI11" s="113">
        <v>43.25</v>
      </c>
      <c r="AFJ11" s="113">
        <v>43.25</v>
      </c>
      <c r="AFK11" s="113">
        <v>43.25</v>
      </c>
      <c r="AFL11" s="113">
        <v>43.25</v>
      </c>
      <c r="AFM11" s="113">
        <v>43.25</v>
      </c>
      <c r="AFN11" s="113">
        <v>43.25</v>
      </c>
      <c r="AFO11" s="113">
        <v>43.25</v>
      </c>
      <c r="AFP11" s="113">
        <v>43.25</v>
      </c>
      <c r="AFQ11" s="113">
        <v>43.25</v>
      </c>
      <c r="AFR11" s="113">
        <v>43.25</v>
      </c>
      <c r="AFS11" s="113">
        <v>43.25</v>
      </c>
      <c r="AFT11" s="113">
        <v>43.25</v>
      </c>
      <c r="AFU11" s="113">
        <v>43.25</v>
      </c>
      <c r="AFV11" s="113">
        <v>43.25</v>
      </c>
      <c r="AFW11" s="113">
        <v>43.25</v>
      </c>
      <c r="AFX11" s="113">
        <v>43.25</v>
      </c>
      <c r="AFY11" s="113">
        <v>43.25</v>
      </c>
      <c r="AFZ11" s="113">
        <v>43.25</v>
      </c>
      <c r="AGA11" s="113">
        <v>43.25</v>
      </c>
      <c r="AGB11" s="113">
        <v>43.25</v>
      </c>
      <c r="AGW11" s="113">
        <v>43.25</v>
      </c>
      <c r="AGX11" s="113">
        <v>43.25</v>
      </c>
      <c r="AGY11" s="113">
        <v>43.25</v>
      </c>
      <c r="AGZ11" s="113">
        <v>43.25</v>
      </c>
      <c r="AHA11" s="113">
        <v>43.25</v>
      </c>
      <c r="AHB11" s="113">
        <v>43.25</v>
      </c>
      <c r="AHC11" s="113">
        <v>43.25</v>
      </c>
      <c r="AHD11" s="113">
        <v>43.25</v>
      </c>
      <c r="AHE11" s="113">
        <v>43.25</v>
      </c>
      <c r="AHF11" s="113">
        <v>43.25</v>
      </c>
      <c r="AHG11" s="113">
        <v>43.25</v>
      </c>
      <c r="AHH11" s="113">
        <v>43.25</v>
      </c>
      <c r="AHI11" s="113">
        <v>43.25</v>
      </c>
      <c r="AHJ11" s="113">
        <v>43.25</v>
      </c>
      <c r="AHK11" s="113">
        <v>43.25</v>
      </c>
      <c r="AHL11" s="113">
        <v>43.25</v>
      </c>
      <c r="AHM11" s="113">
        <v>43.25</v>
      </c>
      <c r="AHN11" s="113">
        <v>43.25</v>
      </c>
      <c r="AHO11" s="113">
        <v>43.25</v>
      </c>
      <c r="AHP11" s="113">
        <v>43.25</v>
      </c>
      <c r="AHQ11" s="113">
        <v>43.25</v>
      </c>
      <c r="AHR11" s="113">
        <v>43.25</v>
      </c>
      <c r="AHS11" s="113">
        <v>43.25</v>
      </c>
      <c r="AHT11" s="113">
        <v>43.25</v>
      </c>
      <c r="AHU11" s="113">
        <v>43.25</v>
      </c>
      <c r="AHV11" s="113">
        <v>43.25</v>
      </c>
      <c r="AHW11" s="113">
        <v>43.25</v>
      </c>
      <c r="AHX11" s="113">
        <v>43.25</v>
      </c>
      <c r="AHY11" s="113">
        <v>43.25</v>
      </c>
      <c r="AHZ11" s="113">
        <v>43.25</v>
      </c>
      <c r="AIA11" s="113">
        <v>43.25</v>
      </c>
      <c r="AIB11" s="113">
        <v>43.25</v>
      </c>
      <c r="AIC11" s="113">
        <v>43.25</v>
      </c>
      <c r="AID11" s="113">
        <v>43.25</v>
      </c>
      <c r="AIE11" s="113">
        <v>43.25</v>
      </c>
      <c r="AIF11" s="113">
        <v>43.25</v>
      </c>
      <c r="AIG11" s="113">
        <v>43.25</v>
      </c>
      <c r="AIH11" s="113">
        <v>43.25</v>
      </c>
      <c r="AII11" s="113">
        <v>43.25</v>
      </c>
      <c r="AIJ11" s="113">
        <v>43.25</v>
      </c>
      <c r="AIK11" s="113">
        <v>43.25</v>
      </c>
      <c r="AIL11" s="113">
        <v>43.25</v>
      </c>
      <c r="AIM11" s="113">
        <v>43.25</v>
      </c>
      <c r="AIN11" s="113">
        <v>43.25</v>
      </c>
      <c r="AIO11" s="113">
        <v>43.25</v>
      </c>
      <c r="AIP11" s="113">
        <v>43.25</v>
      </c>
      <c r="AIQ11" s="113">
        <v>43.25</v>
      </c>
      <c r="AIR11" s="113">
        <v>43.25</v>
      </c>
      <c r="AIS11" s="113">
        <v>43.25</v>
      </c>
      <c r="AIT11" s="113">
        <v>43.25</v>
      </c>
      <c r="AIU11" s="113">
        <v>43.25</v>
      </c>
      <c r="AIV11" s="113">
        <v>43.25</v>
      </c>
      <c r="AIW11" s="113">
        <v>43.25</v>
      </c>
      <c r="AIX11" s="113">
        <v>43.25</v>
      </c>
      <c r="AIY11" s="113">
        <v>43.25</v>
      </c>
      <c r="AIZ11" s="113">
        <v>43.25</v>
      </c>
      <c r="AJA11" s="113">
        <v>43.25</v>
      </c>
      <c r="AJB11" s="113">
        <v>43.25</v>
      </c>
      <c r="AJC11" s="113">
        <v>43.25</v>
      </c>
      <c r="AJD11" s="113">
        <v>43.25</v>
      </c>
    </row>
    <row r="12" spans="1:940">
      <c r="A12" s="113">
        <v>34.6</v>
      </c>
      <c r="B12" s="113">
        <v>34.6</v>
      </c>
      <c r="C12" s="113">
        <v>34.6</v>
      </c>
      <c r="D12" s="113">
        <v>34.6</v>
      </c>
      <c r="E12" s="113">
        <v>34.6</v>
      </c>
      <c r="F12" s="113">
        <v>34.6</v>
      </c>
      <c r="G12" s="113">
        <v>43.25</v>
      </c>
      <c r="H12" s="113">
        <v>43.25</v>
      </c>
      <c r="I12" s="113">
        <v>43.25</v>
      </c>
      <c r="J12" s="113">
        <v>43.25</v>
      </c>
      <c r="K12" s="113">
        <v>43.25</v>
      </c>
      <c r="L12" s="113">
        <v>34.6</v>
      </c>
      <c r="M12" s="113">
        <v>43.25</v>
      </c>
      <c r="N12" s="113">
        <v>43.25</v>
      </c>
      <c r="O12" s="113">
        <v>43.25</v>
      </c>
      <c r="P12" s="113">
        <v>34.6</v>
      </c>
      <c r="Q12" s="113">
        <v>43.25</v>
      </c>
      <c r="R12" s="113">
        <v>43.25</v>
      </c>
      <c r="S12" s="113">
        <v>43.25</v>
      </c>
      <c r="T12" s="113">
        <v>34.6</v>
      </c>
      <c r="U12" s="113">
        <v>34.6</v>
      </c>
      <c r="V12" s="113">
        <v>43.25</v>
      </c>
      <c r="W12" s="113">
        <v>43.25</v>
      </c>
      <c r="X12" s="113">
        <v>43.25</v>
      </c>
      <c r="Y12" s="113">
        <v>34.6</v>
      </c>
      <c r="Z12" s="113">
        <v>43.25</v>
      </c>
      <c r="AA12" s="113">
        <v>43.25</v>
      </c>
      <c r="AB12" s="113">
        <v>43.25</v>
      </c>
      <c r="AC12" s="113">
        <v>43.25</v>
      </c>
      <c r="AD12" s="113">
        <v>43.25</v>
      </c>
      <c r="AE12" s="113">
        <v>43.25</v>
      </c>
      <c r="AF12" s="113">
        <v>43.25</v>
      </c>
      <c r="AG12" s="113">
        <v>43.25</v>
      </c>
      <c r="AH12" s="113">
        <v>43.25</v>
      </c>
      <c r="AI12" s="113">
        <v>43.25</v>
      </c>
      <c r="AJ12" s="113">
        <v>43.25</v>
      </c>
      <c r="AK12" s="113">
        <v>43.25</v>
      </c>
      <c r="AL12" s="113">
        <v>43.25</v>
      </c>
      <c r="AM12" s="113">
        <v>43.25</v>
      </c>
      <c r="AN12" s="113">
        <v>43.25</v>
      </c>
      <c r="AO12" s="113">
        <v>43.25</v>
      </c>
      <c r="AP12" s="113">
        <v>43.25</v>
      </c>
      <c r="AQ12" s="113">
        <v>43.25</v>
      </c>
      <c r="AR12" s="113">
        <v>43.25</v>
      </c>
      <c r="AS12" s="113">
        <v>43.25</v>
      </c>
      <c r="AT12" s="113">
        <v>43.25</v>
      </c>
      <c r="AU12" s="113">
        <v>43.25</v>
      </c>
      <c r="AV12" s="113">
        <v>43.25</v>
      </c>
      <c r="AW12" s="113">
        <v>43.25</v>
      </c>
      <c r="AX12" s="113">
        <v>43.25</v>
      </c>
      <c r="AY12" s="113">
        <v>43.25</v>
      </c>
      <c r="AZ12" s="113">
        <v>43.25</v>
      </c>
      <c r="CC12" s="113">
        <v>34.6</v>
      </c>
      <c r="CD12" s="113">
        <v>34.6</v>
      </c>
      <c r="CE12" s="113">
        <v>34.6</v>
      </c>
      <c r="CF12" s="113">
        <v>34.6</v>
      </c>
      <c r="CG12" s="113">
        <v>34.6</v>
      </c>
      <c r="CH12" s="113">
        <v>34.6</v>
      </c>
      <c r="CI12" s="113">
        <v>34.6</v>
      </c>
      <c r="CJ12" s="113">
        <v>34.6</v>
      </c>
      <c r="CK12" s="113">
        <v>34.6</v>
      </c>
      <c r="CL12" s="113">
        <v>34.6</v>
      </c>
      <c r="CM12" s="113">
        <v>34.6</v>
      </c>
      <c r="CN12" s="113">
        <v>34.6</v>
      </c>
      <c r="CO12" s="113">
        <v>34.6</v>
      </c>
      <c r="CP12" s="113">
        <v>34.6</v>
      </c>
      <c r="CQ12" s="113">
        <v>34.6</v>
      </c>
      <c r="CR12" s="113">
        <v>34.6</v>
      </c>
      <c r="CS12" s="113">
        <v>34.6</v>
      </c>
      <c r="CT12" s="113">
        <v>34.6</v>
      </c>
      <c r="CU12" s="113">
        <v>34.6</v>
      </c>
      <c r="CV12" s="113">
        <v>34.6</v>
      </c>
      <c r="CW12" s="113">
        <v>34.6</v>
      </c>
      <c r="CX12" s="113">
        <v>34.6</v>
      </c>
      <c r="CY12" s="113">
        <v>34.6</v>
      </c>
      <c r="CZ12" s="113">
        <v>34.6</v>
      </c>
      <c r="DA12" s="113">
        <v>34.6</v>
      </c>
      <c r="DB12" s="113">
        <v>34.6</v>
      </c>
      <c r="DC12" s="113">
        <v>34.6</v>
      </c>
      <c r="DD12" s="113">
        <v>34.6</v>
      </c>
      <c r="DE12" s="113">
        <v>34.6</v>
      </c>
      <c r="DF12" s="113">
        <v>34.6</v>
      </c>
      <c r="DG12" s="113">
        <v>34.6</v>
      </c>
      <c r="DH12" s="113">
        <v>34.6</v>
      </c>
      <c r="DI12" s="113">
        <v>34.6</v>
      </c>
      <c r="DJ12" s="113">
        <v>34.6</v>
      </c>
      <c r="DK12" s="113">
        <v>34.6</v>
      </c>
      <c r="DL12" s="113">
        <v>34.6</v>
      </c>
      <c r="DM12" s="113">
        <v>34.6</v>
      </c>
      <c r="DN12" s="113">
        <v>34.6</v>
      </c>
      <c r="DO12" s="113">
        <v>34.6</v>
      </c>
      <c r="DP12" s="113">
        <v>34.6</v>
      </c>
      <c r="DQ12" s="113">
        <v>34.6</v>
      </c>
      <c r="DR12" s="113">
        <v>34.6</v>
      </c>
      <c r="DS12" s="113">
        <v>34.6</v>
      </c>
      <c r="DT12" s="113">
        <v>34.6</v>
      </c>
      <c r="DU12" s="113">
        <v>34.6</v>
      </c>
      <c r="DV12" s="113">
        <v>34.6</v>
      </c>
      <c r="DW12" s="113">
        <v>34.6</v>
      </c>
      <c r="DX12" s="113">
        <v>34.6</v>
      </c>
      <c r="DY12" s="113">
        <v>34.6</v>
      </c>
      <c r="DZ12" s="113">
        <v>34.6</v>
      </c>
      <c r="EA12" s="113">
        <v>34.6</v>
      </c>
      <c r="EB12" s="113">
        <v>34.6</v>
      </c>
      <c r="EC12" s="113">
        <v>34.6</v>
      </c>
      <c r="ED12" s="113">
        <v>34.6</v>
      </c>
      <c r="EE12" s="113">
        <v>34.6</v>
      </c>
      <c r="EF12" s="113">
        <v>34.6</v>
      </c>
      <c r="EG12" s="113">
        <v>34.6</v>
      </c>
      <c r="EH12" s="113">
        <v>34.6</v>
      </c>
      <c r="EI12" s="113">
        <v>34.6</v>
      </c>
      <c r="FE12" s="113">
        <v>43.25</v>
      </c>
      <c r="FF12" s="113">
        <v>34.6</v>
      </c>
      <c r="FG12" s="113">
        <v>34.6</v>
      </c>
      <c r="FH12" s="113">
        <v>34.6</v>
      </c>
      <c r="FI12" s="113">
        <v>34.6</v>
      </c>
      <c r="FJ12" s="113">
        <v>34.6</v>
      </c>
      <c r="FK12" s="113">
        <v>43.25</v>
      </c>
      <c r="FL12" s="113">
        <v>34.6</v>
      </c>
      <c r="FM12" s="113">
        <v>43.25</v>
      </c>
      <c r="FN12" s="113">
        <v>43.25</v>
      </c>
      <c r="FO12" s="113">
        <v>43.25</v>
      </c>
      <c r="FP12" s="113">
        <v>43.25</v>
      </c>
      <c r="FQ12" s="113">
        <v>43.25</v>
      </c>
      <c r="FR12" s="113">
        <v>34.6</v>
      </c>
      <c r="FS12" s="113">
        <v>43.25</v>
      </c>
      <c r="FT12" s="113">
        <v>43.25</v>
      </c>
      <c r="FU12" s="113">
        <v>43.25</v>
      </c>
      <c r="FV12" s="113">
        <v>34.6</v>
      </c>
      <c r="FW12" s="113">
        <v>43.25</v>
      </c>
      <c r="FX12" s="113">
        <v>43.25</v>
      </c>
      <c r="FY12" s="113">
        <v>43.25</v>
      </c>
      <c r="FZ12" s="113">
        <v>34.6</v>
      </c>
      <c r="GA12" s="113">
        <v>34.6</v>
      </c>
      <c r="GB12" s="113">
        <v>43.25</v>
      </c>
      <c r="GC12" s="113">
        <v>43.25</v>
      </c>
      <c r="GD12" s="113">
        <v>43.25</v>
      </c>
      <c r="GE12" s="113">
        <v>34.6</v>
      </c>
      <c r="GF12" s="113">
        <v>43.25</v>
      </c>
      <c r="GG12" s="113">
        <v>43.25</v>
      </c>
      <c r="GH12" s="113">
        <v>43.25</v>
      </c>
      <c r="GI12" s="113">
        <v>43.25</v>
      </c>
      <c r="GJ12" s="113">
        <v>43.25</v>
      </c>
      <c r="GK12" s="113">
        <v>43.25</v>
      </c>
      <c r="GL12" s="113">
        <v>43.25</v>
      </c>
      <c r="GM12" s="113">
        <v>43.25</v>
      </c>
      <c r="GN12" s="113">
        <v>43.25</v>
      </c>
      <c r="GO12" s="113">
        <v>43.25</v>
      </c>
      <c r="GP12" s="113">
        <v>43.25</v>
      </c>
      <c r="GQ12" s="113">
        <v>43.25</v>
      </c>
      <c r="GR12" s="113">
        <v>43.25</v>
      </c>
      <c r="GS12" s="113">
        <v>43.25</v>
      </c>
      <c r="GT12" s="113">
        <v>43.25</v>
      </c>
      <c r="GU12" s="113">
        <v>43.25</v>
      </c>
      <c r="GV12" s="113">
        <v>43.25</v>
      </c>
      <c r="GW12" s="113">
        <v>43.25</v>
      </c>
      <c r="GX12" s="113">
        <v>43.25</v>
      </c>
      <c r="GY12" s="113">
        <v>43.25</v>
      </c>
      <c r="GZ12" s="113">
        <v>43.25</v>
      </c>
      <c r="HA12" s="113">
        <v>43.25</v>
      </c>
      <c r="HB12" s="113">
        <v>43.25</v>
      </c>
      <c r="HC12" s="113">
        <v>43.25</v>
      </c>
      <c r="HD12" s="113">
        <v>43.25</v>
      </c>
      <c r="HE12" s="113">
        <v>43.25</v>
      </c>
      <c r="HF12" s="113">
        <v>43.25</v>
      </c>
      <c r="HG12" s="113">
        <v>43.25</v>
      </c>
      <c r="HH12" s="113">
        <v>43.25</v>
      </c>
      <c r="HI12" s="113">
        <v>43.25</v>
      </c>
      <c r="HJ12" s="113">
        <v>43.25</v>
      </c>
      <c r="HK12" s="113">
        <v>43.25</v>
      </c>
      <c r="HL12" s="113">
        <v>43.25</v>
      </c>
      <c r="IG12" s="113">
        <v>43.25</v>
      </c>
      <c r="IH12" s="113">
        <v>34.6</v>
      </c>
      <c r="II12" s="113">
        <v>34.6</v>
      </c>
      <c r="IJ12" s="113">
        <v>34.6</v>
      </c>
      <c r="IK12" s="113">
        <v>34.6</v>
      </c>
      <c r="IL12" s="113">
        <v>34.6</v>
      </c>
      <c r="IM12" s="113">
        <v>43.25</v>
      </c>
      <c r="IN12" s="113">
        <v>34.6</v>
      </c>
      <c r="IO12" s="113">
        <v>43.25</v>
      </c>
      <c r="IP12" s="113">
        <v>43.25</v>
      </c>
      <c r="IQ12" s="113">
        <v>43.25</v>
      </c>
      <c r="IR12" s="113">
        <v>43.25</v>
      </c>
      <c r="IS12" s="113">
        <v>43.25</v>
      </c>
      <c r="IT12" s="113">
        <v>34.6</v>
      </c>
      <c r="IU12" s="113">
        <v>43.25</v>
      </c>
      <c r="IV12" s="113">
        <v>43.25</v>
      </c>
      <c r="IW12" s="113">
        <v>43.25</v>
      </c>
      <c r="IX12" s="113">
        <v>34.6</v>
      </c>
      <c r="IY12" s="113">
        <v>43.25</v>
      </c>
      <c r="IZ12" s="113">
        <v>43.25</v>
      </c>
      <c r="JA12" s="113">
        <v>43.25</v>
      </c>
      <c r="JB12" s="113">
        <v>34.6</v>
      </c>
      <c r="JC12" s="113">
        <v>34.6</v>
      </c>
      <c r="JD12" s="113">
        <v>43.25</v>
      </c>
      <c r="JE12" s="113">
        <v>43.25</v>
      </c>
      <c r="JF12" s="113">
        <v>43.25</v>
      </c>
      <c r="JG12" s="113">
        <v>34.6</v>
      </c>
      <c r="JH12" s="113">
        <v>43.25</v>
      </c>
      <c r="JI12" s="113">
        <v>43.25</v>
      </c>
      <c r="JJ12" s="113">
        <v>43.25</v>
      </c>
      <c r="JK12" s="113">
        <v>43.25</v>
      </c>
      <c r="JL12" s="113">
        <v>43.25</v>
      </c>
      <c r="JM12" s="113">
        <v>43.25</v>
      </c>
      <c r="JN12" s="113">
        <v>43.25</v>
      </c>
      <c r="JO12" s="113">
        <v>43.25</v>
      </c>
      <c r="JP12" s="113">
        <v>43.25</v>
      </c>
      <c r="JQ12" s="113">
        <v>43.25</v>
      </c>
      <c r="JR12" s="113">
        <v>43.25</v>
      </c>
      <c r="JS12" s="113">
        <v>43.25</v>
      </c>
      <c r="JT12" s="113">
        <v>43.25</v>
      </c>
      <c r="JU12" s="113">
        <v>43.25</v>
      </c>
      <c r="JV12" s="113">
        <v>43.25</v>
      </c>
      <c r="JW12" s="113">
        <v>43.25</v>
      </c>
      <c r="JX12" s="113">
        <v>43.25</v>
      </c>
      <c r="JY12" s="113">
        <v>43.25</v>
      </c>
      <c r="JZ12" s="113">
        <v>43.25</v>
      </c>
      <c r="KA12" s="113">
        <v>43.25</v>
      </c>
      <c r="KB12" s="113">
        <v>43.25</v>
      </c>
      <c r="KC12" s="113">
        <v>43.25</v>
      </c>
      <c r="KD12" s="113">
        <v>43.25</v>
      </c>
      <c r="KE12" s="113">
        <v>43.25</v>
      </c>
      <c r="KF12" s="113">
        <v>43.25</v>
      </c>
      <c r="KG12" s="113">
        <v>43.25</v>
      </c>
      <c r="KH12" s="113">
        <v>43.25</v>
      </c>
      <c r="KI12" s="113">
        <v>43.25</v>
      </c>
      <c r="KJ12" s="113">
        <v>43.25</v>
      </c>
      <c r="KK12" s="113">
        <v>43.25</v>
      </c>
      <c r="KL12" s="113">
        <v>43.25</v>
      </c>
      <c r="KM12" s="113">
        <v>43.25</v>
      </c>
      <c r="KN12" s="113">
        <v>43.25</v>
      </c>
      <c r="LI12" s="113">
        <v>43.25</v>
      </c>
      <c r="LJ12" s="113">
        <v>34.6</v>
      </c>
      <c r="LK12" s="113">
        <v>34.6</v>
      </c>
      <c r="LL12" s="113">
        <v>34.6</v>
      </c>
      <c r="LM12" s="113">
        <v>34.6</v>
      </c>
      <c r="LN12" s="113">
        <v>34.6</v>
      </c>
      <c r="LO12" s="113">
        <v>43.25</v>
      </c>
      <c r="LP12" s="113">
        <v>34.6</v>
      </c>
      <c r="LQ12" s="113">
        <v>43.25</v>
      </c>
      <c r="LR12" s="113">
        <v>43.25</v>
      </c>
      <c r="LS12" s="113">
        <v>43.25</v>
      </c>
      <c r="LT12" s="113">
        <v>43.25</v>
      </c>
      <c r="LU12" s="113">
        <v>43.25</v>
      </c>
      <c r="LV12" s="113">
        <v>34.6</v>
      </c>
      <c r="LW12" s="113">
        <v>43.25</v>
      </c>
      <c r="LX12" s="113">
        <v>43.25</v>
      </c>
      <c r="LY12" s="113">
        <v>43.25</v>
      </c>
      <c r="LZ12" s="113">
        <v>34.6</v>
      </c>
      <c r="MA12" s="113">
        <v>43.25</v>
      </c>
      <c r="MB12" s="113">
        <v>43.25</v>
      </c>
      <c r="MC12" s="113">
        <v>43.25</v>
      </c>
      <c r="MD12" s="113">
        <v>34.6</v>
      </c>
      <c r="ME12" s="113">
        <v>34.6</v>
      </c>
      <c r="MF12" s="113">
        <v>43.25</v>
      </c>
      <c r="MG12" s="113">
        <v>43.25</v>
      </c>
      <c r="MH12" s="113">
        <v>43.25</v>
      </c>
      <c r="MI12" s="113">
        <v>34.6</v>
      </c>
      <c r="MJ12" s="113">
        <v>43.25</v>
      </c>
      <c r="MK12" s="113">
        <v>43.25</v>
      </c>
      <c r="ML12" s="113">
        <v>43.25</v>
      </c>
      <c r="MM12" s="113">
        <v>43.25</v>
      </c>
      <c r="MN12" s="113">
        <v>43.25</v>
      </c>
      <c r="MO12" s="113">
        <v>43.25</v>
      </c>
      <c r="MP12" s="113">
        <v>43.25</v>
      </c>
      <c r="MQ12" s="113">
        <v>43.25</v>
      </c>
      <c r="MR12" s="113">
        <v>43.25</v>
      </c>
      <c r="MS12" s="113">
        <v>43.25</v>
      </c>
      <c r="MT12" s="113">
        <v>43.25</v>
      </c>
      <c r="MU12" s="113">
        <v>43.25</v>
      </c>
      <c r="MV12" s="113">
        <v>43.25</v>
      </c>
      <c r="MW12" s="113">
        <v>43.25</v>
      </c>
      <c r="MX12" s="113">
        <v>43.25</v>
      </c>
      <c r="MY12" s="113">
        <v>43.25</v>
      </c>
      <c r="MZ12" s="113">
        <v>43.25</v>
      </c>
      <c r="NA12" s="113">
        <v>43.25</v>
      </c>
      <c r="NB12" s="113">
        <v>43.25</v>
      </c>
      <c r="NC12" s="113">
        <v>43.25</v>
      </c>
      <c r="ND12" s="113">
        <v>43.25</v>
      </c>
      <c r="NE12" s="113">
        <v>43.25</v>
      </c>
      <c r="NF12" s="113">
        <v>43.25</v>
      </c>
      <c r="NG12" s="113">
        <v>43.25</v>
      </c>
      <c r="NH12" s="113">
        <v>43.25</v>
      </c>
      <c r="NI12" s="113">
        <v>43.25</v>
      </c>
      <c r="NJ12" s="113">
        <v>43.25</v>
      </c>
      <c r="NK12" s="113">
        <v>43.25</v>
      </c>
      <c r="NL12" s="113">
        <v>43.25</v>
      </c>
      <c r="NM12" s="113">
        <v>43.25</v>
      </c>
      <c r="NN12" s="113">
        <v>43.25</v>
      </c>
      <c r="NO12" s="113">
        <v>43.25</v>
      </c>
      <c r="NP12" s="113">
        <v>43.25</v>
      </c>
      <c r="NQ12" s="113">
        <v>43.25</v>
      </c>
      <c r="NR12" s="113">
        <v>43.25</v>
      </c>
      <c r="OK12" s="113">
        <v>34.6</v>
      </c>
      <c r="OL12" s="113">
        <v>34.6</v>
      </c>
      <c r="OM12" s="113">
        <v>34.6</v>
      </c>
      <c r="ON12" s="113">
        <v>34.6</v>
      </c>
      <c r="OO12" s="113">
        <v>34.6</v>
      </c>
      <c r="OP12" s="113">
        <v>34.6</v>
      </c>
      <c r="OQ12" s="113">
        <v>34.6</v>
      </c>
      <c r="OR12" s="113">
        <v>34.6</v>
      </c>
      <c r="OS12" s="113">
        <v>34.6</v>
      </c>
      <c r="OT12" s="113">
        <v>34.6</v>
      </c>
      <c r="OU12" s="113">
        <v>34.6</v>
      </c>
      <c r="OV12" s="113">
        <v>34.6</v>
      </c>
      <c r="OW12" s="113">
        <v>34.6</v>
      </c>
      <c r="OX12" s="113">
        <v>34.6</v>
      </c>
      <c r="OY12" s="113">
        <v>34.6</v>
      </c>
      <c r="OZ12" s="113">
        <v>34.6</v>
      </c>
      <c r="PA12" s="113">
        <v>34.6</v>
      </c>
      <c r="PB12" s="113">
        <v>34.6</v>
      </c>
      <c r="PC12" s="113">
        <v>34.6</v>
      </c>
      <c r="PD12" s="113">
        <v>34.6</v>
      </c>
      <c r="PE12" s="113">
        <v>34.6</v>
      </c>
      <c r="PF12" s="113">
        <v>34.6</v>
      </c>
      <c r="PG12" s="113">
        <v>34.6</v>
      </c>
      <c r="PH12" s="113">
        <v>34.6</v>
      </c>
      <c r="PI12" s="113">
        <v>34.6</v>
      </c>
      <c r="PJ12" s="113">
        <v>34.6</v>
      </c>
      <c r="PK12" s="113">
        <v>34.6</v>
      </c>
      <c r="PL12" s="113">
        <v>34.6</v>
      </c>
      <c r="PM12" s="113">
        <v>34.6</v>
      </c>
      <c r="PN12" s="113">
        <v>34.6</v>
      </c>
      <c r="PO12" s="113">
        <v>34.6</v>
      </c>
      <c r="PP12" s="113">
        <v>34.6</v>
      </c>
      <c r="PQ12" s="113">
        <v>34.6</v>
      </c>
      <c r="PR12" s="113">
        <v>34.6</v>
      </c>
      <c r="PS12" s="113">
        <v>34.6</v>
      </c>
      <c r="PT12" s="113">
        <v>34.6</v>
      </c>
      <c r="PU12" s="113">
        <v>34.6</v>
      </c>
      <c r="PV12" s="113">
        <v>34.6</v>
      </c>
      <c r="PW12" s="113">
        <v>34.6</v>
      </c>
      <c r="PX12" s="113">
        <v>34.6</v>
      </c>
      <c r="PY12" s="113">
        <v>34.6</v>
      </c>
      <c r="PZ12" s="113">
        <v>34.6</v>
      </c>
      <c r="QA12" s="113">
        <v>34.6</v>
      </c>
      <c r="QB12" s="113">
        <v>34.6</v>
      </c>
      <c r="QC12" s="113">
        <v>34.6</v>
      </c>
      <c r="QD12" s="113">
        <v>34.6</v>
      </c>
      <c r="QE12" s="113">
        <v>34.6</v>
      </c>
      <c r="QF12" s="113">
        <v>34.6</v>
      </c>
      <c r="QG12" s="113">
        <v>34.6</v>
      </c>
      <c r="QH12" s="113">
        <v>34.6</v>
      </c>
      <c r="QI12" s="113">
        <v>34.6</v>
      </c>
      <c r="QJ12" s="113">
        <v>34.6</v>
      </c>
      <c r="QK12" s="113">
        <v>34.6</v>
      </c>
      <c r="QL12" s="113">
        <v>34.6</v>
      </c>
      <c r="QM12" s="113">
        <v>34.6</v>
      </c>
      <c r="QN12" s="113">
        <v>34.6</v>
      </c>
      <c r="QO12" s="113">
        <v>34.6</v>
      </c>
      <c r="QP12" s="113">
        <v>34.6</v>
      </c>
      <c r="QQ12" s="113">
        <v>34.6</v>
      </c>
      <c r="QR12" s="113">
        <v>34.6</v>
      </c>
      <c r="QS12" s="113">
        <v>34.6</v>
      </c>
      <c r="RM12" s="113">
        <v>34.6</v>
      </c>
      <c r="RN12" s="113">
        <v>34.6</v>
      </c>
      <c r="RO12" s="113">
        <v>34.6</v>
      </c>
      <c r="RP12" s="113">
        <v>34.6</v>
      </c>
      <c r="RQ12" s="113">
        <v>34.6</v>
      </c>
      <c r="RR12" s="113">
        <v>34.6</v>
      </c>
      <c r="RS12" s="113">
        <v>34.6</v>
      </c>
      <c r="RT12" s="113">
        <v>34.6</v>
      </c>
      <c r="RU12" s="113">
        <v>34.6</v>
      </c>
      <c r="RV12" s="113">
        <v>34.6</v>
      </c>
      <c r="RW12" s="113">
        <v>34.6</v>
      </c>
      <c r="RX12" s="113">
        <v>34.6</v>
      </c>
      <c r="RY12" s="113">
        <v>34.6</v>
      </c>
      <c r="RZ12" s="113">
        <v>34.6</v>
      </c>
      <c r="SA12" s="113">
        <v>34.6</v>
      </c>
      <c r="SB12" s="113">
        <v>34.6</v>
      </c>
      <c r="SC12" s="113">
        <v>34.6</v>
      </c>
      <c r="SD12" s="113">
        <v>34.6</v>
      </c>
      <c r="SE12" s="113">
        <v>34.6</v>
      </c>
      <c r="SF12" s="113">
        <v>34.6</v>
      </c>
      <c r="SG12" s="113">
        <v>34.6</v>
      </c>
      <c r="SH12" s="113">
        <v>34.6</v>
      </c>
      <c r="SI12" s="113">
        <v>34.6</v>
      </c>
      <c r="SJ12" s="113">
        <v>34.6</v>
      </c>
      <c r="SK12" s="113">
        <v>34.6</v>
      </c>
      <c r="SL12" s="113">
        <v>34.6</v>
      </c>
      <c r="SM12" s="113">
        <v>34.6</v>
      </c>
      <c r="SN12" s="113">
        <v>34.6</v>
      </c>
      <c r="SO12" s="113">
        <v>34.6</v>
      </c>
      <c r="SP12" s="113">
        <v>34.6</v>
      </c>
      <c r="SQ12" s="113">
        <v>34.6</v>
      </c>
      <c r="SR12" s="113">
        <v>34.6</v>
      </c>
      <c r="SS12" s="113">
        <v>34.6</v>
      </c>
      <c r="ST12" s="113">
        <v>34.6</v>
      </c>
      <c r="SU12" s="113">
        <v>34.6</v>
      </c>
      <c r="SV12" s="113">
        <v>34.6</v>
      </c>
      <c r="SW12" s="113">
        <v>34.6</v>
      </c>
      <c r="SX12" s="113">
        <v>34.6</v>
      </c>
      <c r="SY12" s="113">
        <v>34.6</v>
      </c>
      <c r="SZ12" s="113">
        <v>34.6</v>
      </c>
      <c r="TA12" s="113">
        <v>34.6</v>
      </c>
      <c r="TB12" s="113">
        <v>34.6</v>
      </c>
      <c r="TC12" s="113">
        <v>34.6</v>
      </c>
      <c r="TD12" s="113">
        <v>34.6</v>
      </c>
      <c r="TE12" s="113">
        <v>34.6</v>
      </c>
      <c r="TF12" s="113">
        <v>34.6</v>
      </c>
      <c r="TG12" s="113">
        <v>34.6</v>
      </c>
      <c r="TH12" s="113">
        <v>34.6</v>
      </c>
      <c r="TI12" s="113">
        <v>34.6</v>
      </c>
      <c r="TJ12" s="113">
        <v>34.6</v>
      </c>
      <c r="TK12" s="113">
        <v>34.6</v>
      </c>
      <c r="TL12" s="113">
        <v>34.6</v>
      </c>
      <c r="TM12" s="113">
        <v>34.6</v>
      </c>
      <c r="TN12" s="113">
        <v>34.6</v>
      </c>
      <c r="TO12" s="113">
        <v>34.6</v>
      </c>
      <c r="TP12" s="113">
        <v>34.6</v>
      </c>
      <c r="TQ12" s="113">
        <v>34.6</v>
      </c>
      <c r="TR12" s="113">
        <v>34.6</v>
      </c>
      <c r="TS12" s="113">
        <v>34.6</v>
      </c>
      <c r="TT12" s="113">
        <v>34.6</v>
      </c>
      <c r="UO12" s="113">
        <v>34.6</v>
      </c>
      <c r="UP12" s="113">
        <v>34.6</v>
      </c>
      <c r="UQ12" s="113">
        <v>34.6</v>
      </c>
      <c r="UR12" s="113">
        <v>34.6</v>
      </c>
      <c r="US12" s="113">
        <v>34.6</v>
      </c>
      <c r="UT12" s="113">
        <v>34.6</v>
      </c>
      <c r="UU12" s="113">
        <v>34.6</v>
      </c>
      <c r="UV12" s="113">
        <v>34.6</v>
      </c>
      <c r="UW12" s="113">
        <v>34.6</v>
      </c>
      <c r="UX12" s="113">
        <v>34.6</v>
      </c>
      <c r="UY12" s="113">
        <v>34.6</v>
      </c>
      <c r="UZ12" s="113">
        <v>34.6</v>
      </c>
      <c r="VA12" s="113">
        <v>34.6</v>
      </c>
      <c r="VB12" s="113">
        <v>34.6</v>
      </c>
      <c r="VC12" s="113">
        <v>34.6</v>
      </c>
      <c r="VD12" s="113">
        <v>34.6</v>
      </c>
      <c r="VE12" s="113">
        <v>34.6</v>
      </c>
      <c r="VF12" s="113">
        <v>34.6</v>
      </c>
      <c r="VG12" s="113">
        <v>34.6</v>
      </c>
      <c r="VH12" s="113">
        <v>34.6</v>
      </c>
      <c r="VI12" s="113">
        <v>34.6</v>
      </c>
      <c r="VJ12" s="113">
        <v>34.6</v>
      </c>
      <c r="VK12" s="113">
        <v>34.6</v>
      </c>
      <c r="VL12" s="113">
        <v>34.6</v>
      </c>
      <c r="VM12" s="113">
        <v>34.6</v>
      </c>
      <c r="VN12" s="113">
        <v>34.6</v>
      </c>
      <c r="VO12" s="113">
        <v>34.6</v>
      </c>
      <c r="VP12" s="113">
        <v>34.6</v>
      </c>
      <c r="VQ12" s="113">
        <v>34.6</v>
      </c>
      <c r="VR12" s="113">
        <v>34.6</v>
      </c>
      <c r="VS12" s="113">
        <v>34.6</v>
      </c>
      <c r="VT12" s="113">
        <v>34.6</v>
      </c>
      <c r="VU12" s="113">
        <v>34.6</v>
      </c>
      <c r="VV12" s="113">
        <v>34.6</v>
      </c>
      <c r="VW12" s="113">
        <v>34.6</v>
      </c>
      <c r="VX12" s="113">
        <v>34.6</v>
      </c>
      <c r="VY12" s="113">
        <v>34.6</v>
      </c>
      <c r="VZ12" s="113">
        <v>34.6</v>
      </c>
      <c r="WA12" s="113">
        <v>34.6</v>
      </c>
      <c r="WB12" s="113">
        <v>34.6</v>
      </c>
      <c r="WC12" s="113">
        <v>34.6</v>
      </c>
      <c r="WD12" s="113">
        <v>34.6</v>
      </c>
      <c r="WE12" s="113">
        <v>34.6</v>
      </c>
      <c r="WF12" s="113">
        <v>34.6</v>
      </c>
      <c r="WG12" s="113">
        <v>34.6</v>
      </c>
      <c r="WH12" s="113">
        <v>34.6</v>
      </c>
      <c r="WI12" s="113">
        <v>34.6</v>
      </c>
      <c r="WJ12" s="113">
        <v>34.6</v>
      </c>
      <c r="WK12" s="113">
        <v>34.6</v>
      </c>
      <c r="WL12" s="113">
        <v>34.6</v>
      </c>
      <c r="WM12" s="113">
        <v>34.6</v>
      </c>
      <c r="WN12" s="113">
        <v>34.6</v>
      </c>
      <c r="WO12" s="113">
        <v>34.6</v>
      </c>
      <c r="WP12" s="113">
        <v>34.6</v>
      </c>
      <c r="WQ12" s="113">
        <v>34.6</v>
      </c>
      <c r="WR12" s="113">
        <v>34.6</v>
      </c>
      <c r="WS12" s="113">
        <v>34.6</v>
      </c>
      <c r="WT12" s="113">
        <v>34.6</v>
      </c>
      <c r="WU12" s="113">
        <v>34.6</v>
      </c>
      <c r="WV12" s="113">
        <v>34.6</v>
      </c>
      <c r="WW12" s="113">
        <v>34.6</v>
      </c>
      <c r="XQ12" s="113">
        <v>34.6</v>
      </c>
      <c r="XR12" s="113">
        <v>34.6</v>
      </c>
      <c r="XS12" s="113">
        <v>34.6</v>
      </c>
      <c r="XT12" s="113">
        <v>34.6</v>
      </c>
      <c r="XU12" s="113">
        <v>34.6</v>
      </c>
      <c r="XV12" s="113">
        <v>34.6</v>
      </c>
      <c r="XW12" s="113">
        <v>34.6</v>
      </c>
      <c r="XX12" s="113">
        <v>34.6</v>
      </c>
      <c r="XY12" s="113">
        <v>34.6</v>
      </c>
      <c r="XZ12" s="113">
        <v>34.6</v>
      </c>
      <c r="YA12" s="113">
        <v>34.6</v>
      </c>
      <c r="YB12" s="113">
        <v>34.6</v>
      </c>
      <c r="YC12" s="113">
        <v>34.6</v>
      </c>
      <c r="YD12" s="113">
        <v>34.6</v>
      </c>
      <c r="YE12" s="113">
        <v>34.6</v>
      </c>
      <c r="YF12" s="113">
        <v>34.6</v>
      </c>
      <c r="YG12" s="113">
        <v>34.6</v>
      </c>
      <c r="YH12" s="113">
        <v>34.6</v>
      </c>
      <c r="YI12" s="113">
        <v>34.6</v>
      </c>
      <c r="YJ12" s="113">
        <v>34.6</v>
      </c>
      <c r="YK12" s="113">
        <v>34.6</v>
      </c>
      <c r="YL12" s="113">
        <v>34.6</v>
      </c>
      <c r="YM12" s="113">
        <v>34.6</v>
      </c>
      <c r="YN12" s="113">
        <v>34.6</v>
      </c>
      <c r="YO12" s="113">
        <v>34.6</v>
      </c>
      <c r="YP12" s="113">
        <v>34.6</v>
      </c>
      <c r="YQ12" s="113">
        <v>34.6</v>
      </c>
      <c r="YR12" s="113">
        <v>34.6</v>
      </c>
      <c r="YS12" s="113">
        <v>34.6</v>
      </c>
      <c r="YT12" s="113">
        <v>34.6</v>
      </c>
      <c r="YU12" s="113">
        <v>34.6</v>
      </c>
      <c r="YV12" s="113">
        <v>34.6</v>
      </c>
      <c r="YW12" s="113">
        <v>34.6</v>
      </c>
      <c r="YX12" s="113">
        <v>34.6</v>
      </c>
      <c r="YY12" s="113">
        <v>34.6</v>
      </c>
      <c r="YZ12" s="113">
        <v>34.6</v>
      </c>
      <c r="ZA12" s="113">
        <v>34.6</v>
      </c>
      <c r="ZB12" s="113">
        <v>34.6</v>
      </c>
      <c r="ZC12" s="113">
        <v>34.6</v>
      </c>
      <c r="ZD12" s="113">
        <v>34.6</v>
      </c>
      <c r="ZE12" s="113">
        <v>34.6</v>
      </c>
      <c r="ZF12" s="113">
        <v>34.6</v>
      </c>
      <c r="ZG12" s="113">
        <v>34.6</v>
      </c>
      <c r="ZH12" s="113">
        <v>34.6</v>
      </c>
      <c r="ZI12" s="113">
        <v>34.6</v>
      </c>
      <c r="ZJ12" s="113">
        <v>34.6</v>
      </c>
      <c r="ZK12" s="113">
        <v>34.6</v>
      </c>
      <c r="ZL12" s="113">
        <v>34.6</v>
      </c>
      <c r="ZM12" s="113">
        <v>34.6</v>
      </c>
      <c r="ZN12" s="113">
        <v>34.6</v>
      </c>
      <c r="ZO12" s="113">
        <v>34.6</v>
      </c>
      <c r="ZP12" s="113">
        <v>34.6</v>
      </c>
      <c r="ZQ12" s="113">
        <v>34.6</v>
      </c>
      <c r="ZR12" s="113">
        <v>34.6</v>
      </c>
      <c r="ZS12" s="113">
        <v>34.6</v>
      </c>
      <c r="ZT12" s="113">
        <v>34.6</v>
      </c>
      <c r="ZU12" s="113">
        <v>34.6</v>
      </c>
      <c r="ZV12" s="113">
        <v>34.6</v>
      </c>
      <c r="ZW12" s="113">
        <v>34.6</v>
      </c>
      <c r="AAS12" s="113">
        <v>43.25</v>
      </c>
      <c r="AAT12" s="113">
        <v>34.6</v>
      </c>
      <c r="AAU12" s="113">
        <v>34.6</v>
      </c>
      <c r="AAV12" s="113">
        <v>34.6</v>
      </c>
      <c r="AAW12" s="113">
        <v>34.6</v>
      </c>
      <c r="AAX12" s="113">
        <v>34.6</v>
      </c>
      <c r="AAY12" s="113">
        <v>34.6</v>
      </c>
      <c r="AAZ12" s="113">
        <v>34.6</v>
      </c>
      <c r="ABA12" s="113">
        <v>34.6</v>
      </c>
      <c r="ABB12" s="113">
        <v>34.6</v>
      </c>
      <c r="ABC12" s="113">
        <v>34.6</v>
      </c>
      <c r="ABD12" s="113">
        <v>34.6</v>
      </c>
      <c r="ABE12" s="113">
        <v>34.6</v>
      </c>
      <c r="ABF12" s="113">
        <v>34.6</v>
      </c>
      <c r="ABG12" s="113">
        <v>43.25</v>
      </c>
      <c r="ABH12" s="113">
        <v>43.25</v>
      </c>
      <c r="ABI12" s="113">
        <v>43.25</v>
      </c>
      <c r="ABJ12" s="113">
        <v>34.6</v>
      </c>
      <c r="ABK12" s="113">
        <v>43.25</v>
      </c>
      <c r="ABL12" s="113">
        <v>43.25</v>
      </c>
      <c r="ABM12" s="113">
        <v>43.25</v>
      </c>
      <c r="ABN12" s="113">
        <v>34.6</v>
      </c>
      <c r="ABO12" s="113">
        <v>34.6</v>
      </c>
      <c r="ABP12" s="113">
        <v>43.25</v>
      </c>
      <c r="ABQ12" s="113">
        <v>43.25</v>
      </c>
      <c r="ABR12" s="113">
        <v>43.25</v>
      </c>
      <c r="ABS12" s="113">
        <v>34.6</v>
      </c>
      <c r="ABT12" s="113">
        <v>43.25</v>
      </c>
      <c r="ABU12" s="113">
        <v>43.25</v>
      </c>
      <c r="ABV12" s="113">
        <v>43.25</v>
      </c>
      <c r="ABW12" s="113">
        <v>43.25</v>
      </c>
      <c r="ABX12" s="113">
        <v>43.25</v>
      </c>
      <c r="ABY12" s="113">
        <v>43.25</v>
      </c>
      <c r="ABZ12" s="113">
        <v>43.25</v>
      </c>
      <c r="ACA12" s="113">
        <v>43.25</v>
      </c>
      <c r="ACB12" s="113">
        <v>43.25</v>
      </c>
      <c r="ACC12" s="113">
        <v>43.25</v>
      </c>
      <c r="ACD12" s="113">
        <v>43.25</v>
      </c>
      <c r="ACE12" s="113">
        <v>43.25</v>
      </c>
      <c r="ACF12" s="113">
        <v>43.25</v>
      </c>
      <c r="ACG12" s="113">
        <v>43.25</v>
      </c>
      <c r="ACH12" s="113">
        <v>43.25</v>
      </c>
      <c r="ACI12" s="113">
        <v>43.25</v>
      </c>
      <c r="ACJ12" s="113">
        <v>43.25</v>
      </c>
      <c r="ACK12" s="113">
        <v>43.25</v>
      </c>
      <c r="ACL12" s="113">
        <v>43.25</v>
      </c>
      <c r="ACM12" s="113">
        <v>43.25</v>
      </c>
      <c r="ACN12" s="113">
        <v>43.25</v>
      </c>
      <c r="ACO12" s="113">
        <v>43.25</v>
      </c>
      <c r="ACP12" s="113">
        <v>43.25</v>
      </c>
      <c r="ACQ12" s="113">
        <v>43.25</v>
      </c>
      <c r="ACR12" s="113">
        <v>43.25</v>
      </c>
      <c r="ACS12" s="113">
        <v>43.25</v>
      </c>
      <c r="ACT12" s="113">
        <v>43.25</v>
      </c>
      <c r="ACU12" s="113">
        <v>43.25</v>
      </c>
      <c r="ACV12" s="113">
        <v>43.25</v>
      </c>
      <c r="ACW12" s="113">
        <v>43.25</v>
      </c>
      <c r="ACX12" s="113">
        <v>34.6</v>
      </c>
      <c r="ACY12" s="113">
        <v>43.25</v>
      </c>
      <c r="ACZ12" s="113">
        <v>43.25</v>
      </c>
      <c r="ADA12" s="113">
        <v>43.25</v>
      </c>
      <c r="ADU12" s="113">
        <v>34.6</v>
      </c>
      <c r="ADV12" s="113">
        <v>34.6</v>
      </c>
      <c r="ADW12" s="113">
        <v>34.6</v>
      </c>
      <c r="ADX12" s="113">
        <v>34.6</v>
      </c>
      <c r="ADY12" s="113">
        <v>34.6</v>
      </c>
      <c r="ADZ12" s="113">
        <v>34.6</v>
      </c>
      <c r="AEA12" s="113">
        <v>34.6</v>
      </c>
      <c r="AEB12" s="113">
        <v>34.6</v>
      </c>
      <c r="AEC12" s="113">
        <v>34.6</v>
      </c>
      <c r="AED12" s="113">
        <v>34.6</v>
      </c>
      <c r="AEE12" s="113">
        <v>34.6</v>
      </c>
      <c r="AEF12" s="113">
        <v>34.6</v>
      </c>
      <c r="AEG12" s="113">
        <v>34.6</v>
      </c>
      <c r="AEH12" s="113">
        <v>34.6</v>
      </c>
      <c r="AEI12" s="113">
        <v>34.6</v>
      </c>
      <c r="AEJ12" s="113">
        <v>34.6</v>
      </c>
      <c r="AEK12" s="113">
        <v>34.6</v>
      </c>
      <c r="AEL12" s="113">
        <v>34.6</v>
      </c>
      <c r="AEM12" s="113">
        <v>34.6</v>
      </c>
      <c r="AEN12" s="113">
        <v>34.6</v>
      </c>
      <c r="AEO12" s="113">
        <v>34.6</v>
      </c>
      <c r="AEP12" s="113">
        <v>34.6</v>
      </c>
      <c r="AEQ12" s="113">
        <v>34.6</v>
      </c>
      <c r="AER12" s="113">
        <v>34.6</v>
      </c>
      <c r="AES12" s="113">
        <v>34.6</v>
      </c>
      <c r="AET12" s="113">
        <v>34.6</v>
      </c>
      <c r="AEU12" s="113">
        <v>34.6</v>
      </c>
      <c r="AEV12" s="113">
        <v>34.6</v>
      </c>
      <c r="AEW12" s="113">
        <v>34.6</v>
      </c>
      <c r="AEX12" s="113">
        <v>34.6</v>
      </c>
      <c r="AEY12" s="113">
        <v>34.6</v>
      </c>
      <c r="AEZ12" s="113">
        <v>34.6</v>
      </c>
      <c r="AFA12" s="113">
        <v>34.6</v>
      </c>
      <c r="AFB12" s="113">
        <v>34.6</v>
      </c>
      <c r="AFC12" s="113">
        <v>34.6</v>
      </c>
      <c r="AFD12" s="113">
        <v>34.6</v>
      </c>
      <c r="AFE12" s="113">
        <v>34.6</v>
      </c>
      <c r="AFF12" s="113">
        <v>34.6</v>
      </c>
      <c r="AFG12" s="113">
        <v>34.6</v>
      </c>
      <c r="AFH12" s="113">
        <v>34.6</v>
      </c>
      <c r="AFI12" s="113">
        <v>34.6</v>
      </c>
      <c r="AFJ12" s="113">
        <v>34.6</v>
      </c>
      <c r="AFK12" s="113">
        <v>34.6</v>
      </c>
      <c r="AFL12" s="113">
        <v>34.6</v>
      </c>
      <c r="AFM12" s="113">
        <v>34.6</v>
      </c>
      <c r="AFN12" s="113">
        <v>34.6</v>
      </c>
      <c r="AFO12" s="113">
        <v>34.6</v>
      </c>
      <c r="AFP12" s="113">
        <v>34.6</v>
      </c>
      <c r="AFQ12" s="113">
        <v>34.6</v>
      </c>
      <c r="AFR12" s="113">
        <v>34.6</v>
      </c>
      <c r="AFS12" s="113">
        <v>34.6</v>
      </c>
      <c r="AFT12" s="113">
        <v>34.6</v>
      </c>
      <c r="AFU12" s="113">
        <v>34.6</v>
      </c>
      <c r="AFV12" s="113">
        <v>34.6</v>
      </c>
      <c r="AFW12" s="113">
        <v>34.6</v>
      </c>
      <c r="AFX12" s="113">
        <v>34.6</v>
      </c>
      <c r="AFY12" s="113">
        <v>34.6</v>
      </c>
      <c r="AFZ12" s="113">
        <v>34.6</v>
      </c>
      <c r="AGA12" s="113">
        <v>34.6</v>
      </c>
      <c r="AGB12" s="113">
        <v>34.6</v>
      </c>
      <c r="AGW12" s="113">
        <v>34.6</v>
      </c>
      <c r="AGX12" s="113">
        <v>34.6</v>
      </c>
      <c r="AGY12" s="113">
        <v>34.6</v>
      </c>
      <c r="AGZ12" s="113">
        <v>34.6</v>
      </c>
      <c r="AHA12" s="113">
        <v>34.6</v>
      </c>
      <c r="AHB12" s="113">
        <v>34.6</v>
      </c>
      <c r="AHC12" s="113">
        <v>34.6</v>
      </c>
      <c r="AHD12" s="113">
        <v>34.6</v>
      </c>
      <c r="AHE12" s="113">
        <v>34.6</v>
      </c>
      <c r="AHF12" s="113">
        <v>34.6</v>
      </c>
      <c r="AHG12" s="113">
        <v>34.6</v>
      </c>
      <c r="AHH12" s="113">
        <v>34.6</v>
      </c>
      <c r="AHI12" s="113">
        <v>34.6</v>
      </c>
      <c r="AHJ12" s="113">
        <v>34.6</v>
      </c>
      <c r="AHK12" s="113">
        <v>34.6</v>
      </c>
      <c r="AHL12" s="113">
        <v>34.6</v>
      </c>
      <c r="AHM12" s="113">
        <v>34.6</v>
      </c>
      <c r="AHN12" s="113">
        <v>34.6</v>
      </c>
      <c r="AHO12" s="113">
        <v>34.6</v>
      </c>
      <c r="AHP12" s="113">
        <v>34.6</v>
      </c>
      <c r="AHQ12" s="113">
        <v>34.6</v>
      </c>
      <c r="AHR12" s="113">
        <v>34.6</v>
      </c>
      <c r="AHS12" s="113">
        <v>34.6</v>
      </c>
      <c r="AHT12" s="113">
        <v>34.6</v>
      </c>
      <c r="AHU12" s="113">
        <v>34.6</v>
      </c>
      <c r="AHV12" s="113">
        <v>34.6</v>
      </c>
      <c r="AHW12" s="113">
        <v>34.6</v>
      </c>
      <c r="AHX12" s="113">
        <v>34.6</v>
      </c>
      <c r="AHY12" s="113">
        <v>34.6</v>
      </c>
      <c r="AHZ12" s="113">
        <v>34.6</v>
      </c>
      <c r="AIA12" s="113">
        <v>34.6</v>
      </c>
      <c r="AIB12" s="113">
        <v>34.6</v>
      </c>
      <c r="AIC12" s="113">
        <v>34.6</v>
      </c>
      <c r="AID12" s="113">
        <v>34.6</v>
      </c>
      <c r="AIE12" s="113">
        <v>34.6</v>
      </c>
      <c r="AIF12" s="113">
        <v>34.6</v>
      </c>
      <c r="AIG12" s="113">
        <v>34.6</v>
      </c>
      <c r="AIH12" s="113">
        <v>34.6</v>
      </c>
      <c r="AII12" s="113">
        <v>34.6</v>
      </c>
      <c r="AIJ12" s="113">
        <v>34.6</v>
      </c>
      <c r="AIK12" s="113">
        <v>34.6</v>
      </c>
      <c r="AIL12" s="113">
        <v>34.6</v>
      </c>
      <c r="AIM12" s="113">
        <v>34.6</v>
      </c>
      <c r="AIN12" s="113">
        <v>34.6</v>
      </c>
      <c r="AIO12" s="113">
        <v>34.6</v>
      </c>
      <c r="AIP12" s="113">
        <v>34.6</v>
      </c>
      <c r="AIQ12" s="113">
        <v>34.6</v>
      </c>
      <c r="AIR12" s="113">
        <v>34.6</v>
      </c>
      <c r="AIS12" s="113">
        <v>34.6</v>
      </c>
      <c r="AIT12" s="113">
        <v>34.6</v>
      </c>
      <c r="AIU12" s="113">
        <v>34.6</v>
      </c>
      <c r="AIV12" s="113">
        <v>34.6</v>
      </c>
      <c r="AIW12" s="113">
        <v>34.6</v>
      </c>
      <c r="AIX12" s="113">
        <v>34.6</v>
      </c>
      <c r="AIY12" s="113">
        <v>34.6</v>
      </c>
      <c r="AIZ12" s="113">
        <v>34.6</v>
      </c>
      <c r="AJA12" s="113">
        <v>34.6</v>
      </c>
      <c r="AJB12" s="113">
        <v>34.6</v>
      </c>
      <c r="AJC12" s="113">
        <v>34.6</v>
      </c>
      <c r="AJD12" s="113">
        <v>34.6</v>
      </c>
    </row>
    <row r="13" spans="1:940">
      <c r="A13" s="113">
        <v>32.01</v>
      </c>
      <c r="B13" s="113">
        <v>32.01</v>
      </c>
      <c r="C13" s="113">
        <v>32.01</v>
      </c>
      <c r="D13" s="113">
        <v>32.01</v>
      </c>
      <c r="E13" s="113">
        <v>32.01</v>
      </c>
      <c r="F13" s="113">
        <v>32.01</v>
      </c>
      <c r="G13" s="113">
        <v>34.6</v>
      </c>
      <c r="H13" s="113">
        <v>34.6</v>
      </c>
      <c r="I13" s="113">
        <v>34.6</v>
      </c>
      <c r="J13" s="113">
        <v>34.6</v>
      </c>
      <c r="K13" s="113">
        <v>34.6</v>
      </c>
      <c r="L13" s="113">
        <v>32.01</v>
      </c>
      <c r="M13" s="113">
        <v>34.6</v>
      </c>
      <c r="N13" s="113">
        <v>34.6</v>
      </c>
      <c r="O13" s="113">
        <v>34.6</v>
      </c>
      <c r="P13" s="113">
        <v>32.01</v>
      </c>
      <c r="Q13" s="113">
        <v>34.6</v>
      </c>
      <c r="R13" s="113">
        <v>34.6</v>
      </c>
      <c r="S13" s="113">
        <v>34.6</v>
      </c>
      <c r="T13" s="113">
        <v>32.01</v>
      </c>
      <c r="U13" s="113">
        <v>32.01</v>
      </c>
      <c r="V13" s="113">
        <v>34.6</v>
      </c>
      <c r="W13" s="113">
        <v>34.6</v>
      </c>
      <c r="X13" s="113">
        <v>34.6</v>
      </c>
      <c r="Y13" s="113">
        <v>32.01</v>
      </c>
      <c r="Z13" s="113">
        <v>34.6</v>
      </c>
      <c r="AA13" s="113">
        <v>34.6</v>
      </c>
      <c r="AB13" s="113">
        <v>34.6</v>
      </c>
      <c r="AC13" s="113">
        <v>34.6</v>
      </c>
      <c r="AD13" s="113">
        <v>34.6</v>
      </c>
      <c r="AE13" s="113">
        <v>34.6</v>
      </c>
      <c r="AF13" s="113">
        <v>34.6</v>
      </c>
      <c r="AG13" s="113">
        <v>34.6</v>
      </c>
      <c r="AH13" s="113">
        <v>34.6</v>
      </c>
      <c r="AI13" s="113">
        <v>34.6</v>
      </c>
      <c r="AJ13" s="113">
        <v>34.6</v>
      </c>
      <c r="AK13" s="113">
        <v>34.6</v>
      </c>
      <c r="AL13" s="113">
        <v>34.6</v>
      </c>
      <c r="AM13" s="113">
        <v>34.6</v>
      </c>
      <c r="AN13" s="113">
        <v>34.6</v>
      </c>
      <c r="AO13" s="113">
        <v>34.6</v>
      </c>
      <c r="AP13" s="113">
        <v>34.6</v>
      </c>
      <c r="AQ13" s="113">
        <v>34.6</v>
      </c>
      <c r="AR13" s="113">
        <v>34.6</v>
      </c>
      <c r="AS13" s="113">
        <v>34.6</v>
      </c>
      <c r="AT13" s="113">
        <v>34.6</v>
      </c>
      <c r="AU13" s="113">
        <v>34.6</v>
      </c>
      <c r="AV13" s="113">
        <v>34.6</v>
      </c>
      <c r="AW13" s="113">
        <v>34.6</v>
      </c>
      <c r="AX13" s="113">
        <v>34.6</v>
      </c>
      <c r="AY13" s="113">
        <v>34.6</v>
      </c>
      <c r="AZ13" s="113">
        <v>34.6</v>
      </c>
      <c r="CC13" s="113">
        <v>32.01</v>
      </c>
      <c r="CD13" s="113">
        <v>32.01</v>
      </c>
      <c r="CE13" s="113">
        <v>32.01</v>
      </c>
      <c r="CF13" s="113">
        <v>32.01</v>
      </c>
      <c r="CG13" s="113">
        <v>32.01</v>
      </c>
      <c r="CH13" s="113">
        <v>32.01</v>
      </c>
      <c r="CI13" s="113">
        <v>32.01</v>
      </c>
      <c r="CJ13" s="113">
        <v>32.01</v>
      </c>
      <c r="CK13" s="113">
        <v>32.01</v>
      </c>
      <c r="CL13" s="113">
        <v>32.01</v>
      </c>
      <c r="CM13" s="113">
        <v>32.01</v>
      </c>
      <c r="CN13" s="113">
        <v>32.01</v>
      </c>
      <c r="CO13" s="113">
        <v>32.01</v>
      </c>
      <c r="CP13" s="113">
        <v>32.01</v>
      </c>
      <c r="CQ13" s="113">
        <v>32.01</v>
      </c>
      <c r="CR13" s="113">
        <v>32.01</v>
      </c>
      <c r="CS13" s="113">
        <v>32.01</v>
      </c>
      <c r="CT13" s="113">
        <v>32.01</v>
      </c>
      <c r="CU13" s="113">
        <v>32.01</v>
      </c>
      <c r="CV13" s="113">
        <v>32.01</v>
      </c>
      <c r="CW13" s="113">
        <v>32.01</v>
      </c>
      <c r="CX13" s="113">
        <v>32.01</v>
      </c>
      <c r="CY13" s="113">
        <v>32.01</v>
      </c>
      <c r="CZ13" s="113">
        <v>32.01</v>
      </c>
      <c r="DA13" s="113">
        <v>32.01</v>
      </c>
      <c r="DB13" s="113">
        <v>32.01</v>
      </c>
      <c r="DC13" s="113">
        <v>32.01</v>
      </c>
      <c r="DD13" s="113">
        <v>32.01</v>
      </c>
      <c r="DE13" s="113">
        <v>32.01</v>
      </c>
      <c r="DF13" s="113">
        <v>32.01</v>
      </c>
      <c r="DG13" s="113">
        <v>32.01</v>
      </c>
      <c r="DH13" s="113">
        <v>32.01</v>
      </c>
      <c r="DI13" s="113">
        <v>32.01</v>
      </c>
      <c r="DJ13" s="113">
        <v>32.01</v>
      </c>
      <c r="DK13" s="113">
        <v>32.01</v>
      </c>
      <c r="DL13" s="113">
        <v>32.01</v>
      </c>
      <c r="DM13" s="113">
        <v>32.01</v>
      </c>
      <c r="DN13" s="113">
        <v>32.01</v>
      </c>
      <c r="DO13" s="113">
        <v>32.01</v>
      </c>
      <c r="DP13" s="113">
        <v>32.01</v>
      </c>
      <c r="DQ13" s="113">
        <v>32.01</v>
      </c>
      <c r="DR13" s="113">
        <v>32.01</v>
      </c>
      <c r="DS13" s="113">
        <v>32.01</v>
      </c>
      <c r="DT13" s="113">
        <v>32.01</v>
      </c>
      <c r="DU13" s="113">
        <v>32.01</v>
      </c>
      <c r="DV13" s="113">
        <v>32.01</v>
      </c>
      <c r="DW13" s="113">
        <v>32.01</v>
      </c>
      <c r="DX13" s="113">
        <v>32.01</v>
      </c>
      <c r="DY13" s="113">
        <v>32.01</v>
      </c>
      <c r="DZ13" s="113">
        <v>32.01</v>
      </c>
      <c r="EA13" s="113">
        <v>32.01</v>
      </c>
      <c r="EB13" s="113">
        <v>32.01</v>
      </c>
      <c r="EC13" s="113">
        <v>32.01</v>
      </c>
      <c r="ED13" s="113">
        <v>32.01</v>
      </c>
      <c r="EE13" s="113">
        <v>32.01</v>
      </c>
      <c r="EF13" s="113">
        <v>32.01</v>
      </c>
      <c r="EG13" s="113">
        <v>32.01</v>
      </c>
      <c r="EH13" s="113">
        <v>32.01</v>
      </c>
      <c r="EI13" s="113">
        <v>32.01</v>
      </c>
      <c r="FE13" s="113">
        <v>34.6</v>
      </c>
      <c r="FF13" s="113">
        <v>32.01</v>
      </c>
      <c r="FG13" s="113">
        <v>32.01</v>
      </c>
      <c r="FH13" s="113">
        <v>32.01</v>
      </c>
      <c r="FI13" s="113">
        <v>32.01</v>
      </c>
      <c r="FJ13" s="113">
        <v>32.01</v>
      </c>
      <c r="FK13" s="113">
        <v>34.6</v>
      </c>
      <c r="FL13" s="113">
        <v>32.01</v>
      </c>
      <c r="FM13" s="113">
        <v>34.6</v>
      </c>
      <c r="FN13" s="113">
        <v>34.6</v>
      </c>
      <c r="FO13" s="113">
        <v>34.6</v>
      </c>
      <c r="FP13" s="113">
        <v>34.6</v>
      </c>
      <c r="FQ13" s="113">
        <v>34.6</v>
      </c>
      <c r="FR13" s="113">
        <v>32.01</v>
      </c>
      <c r="FS13" s="113">
        <v>34.6</v>
      </c>
      <c r="FT13" s="113">
        <v>34.6</v>
      </c>
      <c r="FU13" s="113">
        <v>34.6</v>
      </c>
      <c r="FV13" s="113">
        <v>32.01</v>
      </c>
      <c r="FW13" s="113">
        <v>34.6</v>
      </c>
      <c r="FX13" s="113">
        <v>34.6</v>
      </c>
      <c r="FY13" s="113">
        <v>34.6</v>
      </c>
      <c r="FZ13" s="113">
        <v>32.01</v>
      </c>
      <c r="GA13" s="113">
        <v>32.01</v>
      </c>
      <c r="GB13" s="113">
        <v>34.6</v>
      </c>
      <c r="GC13" s="113">
        <v>34.6</v>
      </c>
      <c r="GD13" s="113">
        <v>34.6</v>
      </c>
      <c r="GE13" s="113">
        <v>32.01</v>
      </c>
      <c r="GF13" s="113">
        <v>34.6</v>
      </c>
      <c r="GG13" s="113">
        <v>34.6</v>
      </c>
      <c r="GH13" s="113">
        <v>34.6</v>
      </c>
      <c r="GI13" s="113">
        <v>34.6</v>
      </c>
      <c r="GJ13" s="113">
        <v>34.6</v>
      </c>
      <c r="GK13" s="113">
        <v>34.6</v>
      </c>
      <c r="GL13" s="113">
        <v>34.6</v>
      </c>
      <c r="GM13" s="113">
        <v>34.6</v>
      </c>
      <c r="GN13" s="113">
        <v>34.6</v>
      </c>
      <c r="GO13" s="113">
        <v>34.6</v>
      </c>
      <c r="GP13" s="113">
        <v>34.6</v>
      </c>
      <c r="GQ13" s="113">
        <v>34.6</v>
      </c>
      <c r="GR13" s="113">
        <v>34.6</v>
      </c>
      <c r="GS13" s="113">
        <v>34.6</v>
      </c>
      <c r="GT13" s="113">
        <v>34.6</v>
      </c>
      <c r="GU13" s="113">
        <v>34.6</v>
      </c>
      <c r="GV13" s="113">
        <v>34.6</v>
      </c>
      <c r="GW13" s="113">
        <v>34.6</v>
      </c>
      <c r="GX13" s="113">
        <v>34.6</v>
      </c>
      <c r="GY13" s="113">
        <v>34.6</v>
      </c>
      <c r="GZ13" s="113">
        <v>34.6</v>
      </c>
      <c r="HA13" s="113">
        <v>34.6</v>
      </c>
      <c r="HB13" s="113">
        <v>34.6</v>
      </c>
      <c r="HC13" s="113">
        <v>34.6</v>
      </c>
      <c r="HD13" s="113">
        <v>34.6</v>
      </c>
      <c r="HE13" s="113">
        <v>34.6</v>
      </c>
      <c r="HF13" s="113">
        <v>34.6</v>
      </c>
      <c r="HG13" s="113">
        <v>34.6</v>
      </c>
      <c r="HH13" s="113">
        <v>34.6</v>
      </c>
      <c r="HI13" s="113">
        <v>34.6</v>
      </c>
      <c r="HJ13" s="113">
        <v>34.6</v>
      </c>
      <c r="HK13" s="113">
        <v>34.6</v>
      </c>
      <c r="HL13" s="113">
        <v>34.6</v>
      </c>
      <c r="IG13" s="113">
        <v>34.6</v>
      </c>
      <c r="IH13" s="113">
        <v>32.01</v>
      </c>
      <c r="II13" s="113">
        <v>32.01</v>
      </c>
      <c r="IJ13" s="113">
        <v>32.01</v>
      </c>
      <c r="IK13" s="113">
        <v>32.01</v>
      </c>
      <c r="IL13" s="113">
        <v>32.01</v>
      </c>
      <c r="IM13" s="113">
        <v>34.6</v>
      </c>
      <c r="IN13" s="113">
        <v>32.01</v>
      </c>
      <c r="IO13" s="113">
        <v>34.6</v>
      </c>
      <c r="IP13" s="113">
        <v>34.6</v>
      </c>
      <c r="IQ13" s="113">
        <v>34.6</v>
      </c>
      <c r="IR13" s="113">
        <v>34.6</v>
      </c>
      <c r="IS13" s="113">
        <v>34.6</v>
      </c>
      <c r="IT13" s="113">
        <v>32.01</v>
      </c>
      <c r="IU13" s="113">
        <v>34.6</v>
      </c>
      <c r="IV13" s="113">
        <v>34.6</v>
      </c>
      <c r="IW13" s="113">
        <v>34.6</v>
      </c>
      <c r="IX13" s="113">
        <v>32.01</v>
      </c>
      <c r="IY13" s="113">
        <v>34.6</v>
      </c>
      <c r="IZ13" s="113">
        <v>34.6</v>
      </c>
      <c r="JA13" s="113">
        <v>34.6</v>
      </c>
      <c r="JB13" s="113">
        <v>32.01</v>
      </c>
      <c r="JC13" s="113">
        <v>32.01</v>
      </c>
      <c r="JD13" s="113">
        <v>34.6</v>
      </c>
      <c r="JE13" s="113">
        <v>34.6</v>
      </c>
      <c r="JF13" s="113">
        <v>34.6</v>
      </c>
      <c r="JG13" s="113">
        <v>32.01</v>
      </c>
      <c r="JH13" s="113">
        <v>34.6</v>
      </c>
      <c r="JI13" s="113">
        <v>34.6</v>
      </c>
      <c r="JJ13" s="113">
        <v>34.6</v>
      </c>
      <c r="JK13" s="113">
        <v>34.6</v>
      </c>
      <c r="JL13" s="113">
        <v>34.6</v>
      </c>
      <c r="JM13" s="113">
        <v>34.6</v>
      </c>
      <c r="JN13" s="113">
        <v>34.6</v>
      </c>
      <c r="JO13" s="113">
        <v>34.6</v>
      </c>
      <c r="JP13" s="113">
        <v>34.6</v>
      </c>
      <c r="JQ13" s="113">
        <v>34.6</v>
      </c>
      <c r="JR13" s="113">
        <v>34.6</v>
      </c>
      <c r="JS13" s="113">
        <v>34.6</v>
      </c>
      <c r="JT13" s="113">
        <v>34.6</v>
      </c>
      <c r="JU13" s="113">
        <v>34.6</v>
      </c>
      <c r="JV13" s="113">
        <v>34.6</v>
      </c>
      <c r="JW13" s="113">
        <v>34.6</v>
      </c>
      <c r="JX13" s="113">
        <v>34.6</v>
      </c>
      <c r="JY13" s="113">
        <v>34.6</v>
      </c>
      <c r="JZ13" s="113">
        <v>34.6</v>
      </c>
      <c r="KA13" s="113">
        <v>34.6</v>
      </c>
      <c r="KB13" s="113">
        <v>34.6</v>
      </c>
      <c r="KC13" s="113">
        <v>34.6</v>
      </c>
      <c r="KD13" s="113">
        <v>34.6</v>
      </c>
      <c r="KE13" s="113">
        <v>34.6</v>
      </c>
      <c r="KF13" s="113">
        <v>34.6</v>
      </c>
      <c r="KG13" s="113">
        <v>34.6</v>
      </c>
      <c r="KH13" s="113">
        <v>34.6</v>
      </c>
      <c r="KI13" s="113">
        <v>34.6</v>
      </c>
      <c r="KJ13" s="113">
        <v>34.6</v>
      </c>
      <c r="KK13" s="113">
        <v>34.6</v>
      </c>
      <c r="KL13" s="113">
        <v>34.6</v>
      </c>
      <c r="KM13" s="113">
        <v>34.6</v>
      </c>
      <c r="KN13" s="113">
        <v>34.6</v>
      </c>
      <c r="LI13" s="113">
        <v>34.6</v>
      </c>
      <c r="LJ13" s="113">
        <v>32.01</v>
      </c>
      <c r="LK13" s="113">
        <v>32.01</v>
      </c>
      <c r="LL13" s="113">
        <v>32.01</v>
      </c>
      <c r="LM13" s="113">
        <v>32.01</v>
      </c>
      <c r="LN13" s="113">
        <v>32.01</v>
      </c>
      <c r="LO13" s="113">
        <v>34.6</v>
      </c>
      <c r="LP13" s="113">
        <v>32.01</v>
      </c>
      <c r="LQ13" s="113">
        <v>34.6</v>
      </c>
      <c r="LR13" s="113">
        <v>34.6</v>
      </c>
      <c r="LS13" s="113">
        <v>34.6</v>
      </c>
      <c r="LT13" s="113">
        <v>34.6</v>
      </c>
      <c r="LU13" s="113">
        <v>34.6</v>
      </c>
      <c r="LV13" s="113">
        <v>32.01</v>
      </c>
      <c r="LW13" s="113">
        <v>34.6</v>
      </c>
      <c r="LX13" s="113">
        <v>34.6</v>
      </c>
      <c r="LY13" s="113">
        <v>34.6</v>
      </c>
      <c r="LZ13" s="113">
        <v>32.01</v>
      </c>
      <c r="MA13" s="113">
        <v>34.6</v>
      </c>
      <c r="MB13" s="113">
        <v>34.6</v>
      </c>
      <c r="MC13" s="113">
        <v>34.6</v>
      </c>
      <c r="MD13" s="113">
        <v>32.01</v>
      </c>
      <c r="ME13" s="113">
        <v>32.01</v>
      </c>
      <c r="MF13" s="113">
        <v>34.6</v>
      </c>
      <c r="MG13" s="113">
        <v>34.6</v>
      </c>
      <c r="MH13" s="113">
        <v>34.6</v>
      </c>
      <c r="MI13" s="113">
        <v>32.01</v>
      </c>
      <c r="MJ13" s="113">
        <v>34.6</v>
      </c>
      <c r="MK13" s="113">
        <v>34.6</v>
      </c>
      <c r="ML13" s="113">
        <v>34.6</v>
      </c>
      <c r="MM13" s="113">
        <v>34.6</v>
      </c>
      <c r="MN13" s="113">
        <v>34.6</v>
      </c>
      <c r="MO13" s="113">
        <v>34.6</v>
      </c>
      <c r="MP13" s="113">
        <v>34.6</v>
      </c>
      <c r="MQ13" s="113">
        <v>34.6</v>
      </c>
      <c r="MR13" s="113">
        <v>34.6</v>
      </c>
      <c r="MS13" s="113">
        <v>34.6</v>
      </c>
      <c r="MT13" s="113">
        <v>34.6</v>
      </c>
      <c r="MU13" s="113">
        <v>34.6</v>
      </c>
      <c r="MV13" s="113">
        <v>34.6</v>
      </c>
      <c r="MW13" s="113">
        <v>34.6</v>
      </c>
      <c r="MX13" s="113">
        <v>34.6</v>
      </c>
      <c r="MY13" s="113">
        <v>34.6</v>
      </c>
      <c r="MZ13" s="113">
        <v>34.6</v>
      </c>
      <c r="NA13" s="113">
        <v>34.6</v>
      </c>
      <c r="NB13" s="113">
        <v>34.6</v>
      </c>
      <c r="NC13" s="113">
        <v>34.6</v>
      </c>
      <c r="ND13" s="113">
        <v>34.6</v>
      </c>
      <c r="NE13" s="113">
        <v>34.6</v>
      </c>
      <c r="NF13" s="113">
        <v>34.6</v>
      </c>
      <c r="NG13" s="113">
        <v>34.6</v>
      </c>
      <c r="NH13" s="113">
        <v>34.6</v>
      </c>
      <c r="NI13" s="113">
        <v>34.6</v>
      </c>
      <c r="NJ13" s="113">
        <v>34.6</v>
      </c>
      <c r="NK13" s="113">
        <v>34.6</v>
      </c>
      <c r="NL13" s="113">
        <v>34.6</v>
      </c>
      <c r="NM13" s="113">
        <v>34.6</v>
      </c>
      <c r="NN13" s="113">
        <v>34.6</v>
      </c>
      <c r="NO13" s="113">
        <v>34.6</v>
      </c>
      <c r="NP13" s="113">
        <v>34.6</v>
      </c>
      <c r="NQ13" s="113">
        <v>34.6</v>
      </c>
      <c r="NR13" s="113">
        <v>34.6</v>
      </c>
      <c r="OK13" s="113">
        <v>32.01</v>
      </c>
      <c r="OL13" s="113">
        <v>32.01</v>
      </c>
      <c r="OM13" s="113">
        <v>32.01</v>
      </c>
      <c r="ON13" s="113">
        <v>32.01</v>
      </c>
      <c r="OO13" s="113">
        <v>32.01</v>
      </c>
      <c r="OP13" s="113">
        <v>32.01</v>
      </c>
      <c r="OQ13" s="113">
        <v>32.01</v>
      </c>
      <c r="OR13" s="113">
        <v>32.01</v>
      </c>
      <c r="OS13" s="113">
        <v>32.01</v>
      </c>
      <c r="OT13" s="113">
        <v>32.01</v>
      </c>
      <c r="OU13" s="113">
        <v>32.01</v>
      </c>
      <c r="OV13" s="113">
        <v>32.01</v>
      </c>
      <c r="OW13" s="113">
        <v>32.01</v>
      </c>
      <c r="OX13" s="113">
        <v>32.01</v>
      </c>
      <c r="OY13" s="113">
        <v>32.01</v>
      </c>
      <c r="OZ13" s="113">
        <v>32.01</v>
      </c>
      <c r="PA13" s="113">
        <v>32.01</v>
      </c>
      <c r="PB13" s="113">
        <v>32.01</v>
      </c>
      <c r="PC13" s="113">
        <v>32.01</v>
      </c>
      <c r="PD13" s="113">
        <v>32.01</v>
      </c>
      <c r="PE13" s="113">
        <v>32.01</v>
      </c>
      <c r="PF13" s="113">
        <v>32.01</v>
      </c>
      <c r="PG13" s="113">
        <v>32.01</v>
      </c>
      <c r="PH13" s="113">
        <v>32.01</v>
      </c>
      <c r="PI13" s="113">
        <v>32.01</v>
      </c>
      <c r="PJ13" s="113">
        <v>32.01</v>
      </c>
      <c r="PK13" s="113">
        <v>32.01</v>
      </c>
      <c r="PL13" s="113">
        <v>32.01</v>
      </c>
      <c r="PM13" s="113">
        <v>32.01</v>
      </c>
      <c r="PN13" s="113">
        <v>32.01</v>
      </c>
      <c r="PO13" s="113">
        <v>32.01</v>
      </c>
      <c r="PP13" s="113">
        <v>32.01</v>
      </c>
      <c r="PQ13" s="113">
        <v>32.01</v>
      </c>
      <c r="PR13" s="113">
        <v>32.01</v>
      </c>
      <c r="PS13" s="113">
        <v>32.01</v>
      </c>
      <c r="PT13" s="113">
        <v>32.01</v>
      </c>
      <c r="PU13" s="113">
        <v>32.01</v>
      </c>
      <c r="PV13" s="113">
        <v>32.01</v>
      </c>
      <c r="PW13" s="113">
        <v>32.01</v>
      </c>
      <c r="PX13" s="113">
        <v>32.01</v>
      </c>
      <c r="PY13" s="113">
        <v>32.01</v>
      </c>
      <c r="PZ13" s="113">
        <v>32.01</v>
      </c>
      <c r="QA13" s="113">
        <v>32.01</v>
      </c>
      <c r="QB13" s="113">
        <v>32.01</v>
      </c>
      <c r="QC13" s="113">
        <v>32.01</v>
      </c>
      <c r="QD13" s="113">
        <v>32.01</v>
      </c>
      <c r="QE13" s="113">
        <v>32.01</v>
      </c>
      <c r="QF13" s="113">
        <v>32.01</v>
      </c>
      <c r="QG13" s="113">
        <v>32.01</v>
      </c>
      <c r="QH13" s="113">
        <v>32.01</v>
      </c>
      <c r="QI13" s="113">
        <v>32.01</v>
      </c>
      <c r="QJ13" s="113">
        <v>32.01</v>
      </c>
      <c r="QK13" s="113">
        <v>32.01</v>
      </c>
      <c r="QL13" s="113">
        <v>32.01</v>
      </c>
      <c r="QM13" s="113">
        <v>32.01</v>
      </c>
      <c r="QN13" s="113">
        <v>32.01</v>
      </c>
      <c r="QO13" s="113">
        <v>32.01</v>
      </c>
      <c r="QP13" s="113">
        <v>32.01</v>
      </c>
      <c r="QQ13" s="113">
        <v>32.01</v>
      </c>
      <c r="QR13" s="113">
        <v>32.01</v>
      </c>
      <c r="QS13" s="113">
        <v>32.01</v>
      </c>
      <c r="RM13" s="113">
        <v>32.01</v>
      </c>
      <c r="RN13" s="113">
        <v>32.01</v>
      </c>
      <c r="RO13" s="113">
        <v>32.01</v>
      </c>
      <c r="RP13" s="113">
        <v>32.01</v>
      </c>
      <c r="RQ13" s="113">
        <v>32.01</v>
      </c>
      <c r="RR13" s="113">
        <v>32.01</v>
      </c>
      <c r="RS13" s="113">
        <v>32.01</v>
      </c>
      <c r="RT13" s="113">
        <v>32.01</v>
      </c>
      <c r="RU13" s="113">
        <v>32.01</v>
      </c>
      <c r="RV13" s="113">
        <v>32.01</v>
      </c>
      <c r="RW13" s="113">
        <v>32.01</v>
      </c>
      <c r="RX13" s="113">
        <v>32.01</v>
      </c>
      <c r="RY13" s="113">
        <v>32.01</v>
      </c>
      <c r="RZ13" s="113">
        <v>32.01</v>
      </c>
      <c r="SA13" s="113">
        <v>32.01</v>
      </c>
      <c r="SB13" s="113">
        <v>32.01</v>
      </c>
      <c r="SC13" s="113">
        <v>32.01</v>
      </c>
      <c r="SD13" s="113">
        <v>32.01</v>
      </c>
      <c r="SE13" s="113">
        <v>32.01</v>
      </c>
      <c r="SF13" s="113">
        <v>32.01</v>
      </c>
      <c r="SG13" s="113">
        <v>32.01</v>
      </c>
      <c r="SH13" s="113">
        <v>32.01</v>
      </c>
      <c r="SI13" s="113">
        <v>32.01</v>
      </c>
      <c r="SJ13" s="113">
        <v>32.01</v>
      </c>
      <c r="SK13" s="113">
        <v>32.01</v>
      </c>
      <c r="SL13" s="113">
        <v>32.01</v>
      </c>
      <c r="SM13" s="113">
        <v>32.01</v>
      </c>
      <c r="SN13" s="113">
        <v>32.01</v>
      </c>
      <c r="SO13" s="113">
        <v>32.01</v>
      </c>
      <c r="SP13" s="113">
        <v>32.01</v>
      </c>
      <c r="SQ13" s="113">
        <v>32.01</v>
      </c>
      <c r="SR13" s="113">
        <v>32.01</v>
      </c>
      <c r="SS13" s="113">
        <v>32.01</v>
      </c>
      <c r="ST13" s="113">
        <v>32.01</v>
      </c>
      <c r="SU13" s="113">
        <v>32.01</v>
      </c>
      <c r="SV13" s="113">
        <v>32.01</v>
      </c>
      <c r="SW13" s="113">
        <v>32.01</v>
      </c>
      <c r="SX13" s="113">
        <v>32.01</v>
      </c>
      <c r="SY13" s="113">
        <v>32.01</v>
      </c>
      <c r="SZ13" s="113">
        <v>32.01</v>
      </c>
      <c r="TA13" s="113">
        <v>32.01</v>
      </c>
      <c r="TB13" s="113">
        <v>32.01</v>
      </c>
      <c r="TC13" s="113">
        <v>32.01</v>
      </c>
      <c r="TD13" s="113">
        <v>32.01</v>
      </c>
      <c r="TE13" s="113">
        <v>32.01</v>
      </c>
      <c r="TF13" s="113">
        <v>32.01</v>
      </c>
      <c r="TG13" s="113">
        <v>32.01</v>
      </c>
      <c r="TH13" s="113">
        <v>32.01</v>
      </c>
      <c r="TI13" s="113">
        <v>32.01</v>
      </c>
      <c r="TJ13" s="113">
        <v>32.01</v>
      </c>
      <c r="TK13" s="113">
        <v>32.01</v>
      </c>
      <c r="TL13" s="113">
        <v>32.01</v>
      </c>
      <c r="TM13" s="113">
        <v>32.01</v>
      </c>
      <c r="TN13" s="113">
        <v>32.01</v>
      </c>
      <c r="TO13" s="113">
        <v>32.01</v>
      </c>
      <c r="TP13" s="113">
        <v>32.01</v>
      </c>
      <c r="TQ13" s="113">
        <v>32.01</v>
      </c>
      <c r="TR13" s="113">
        <v>32.01</v>
      </c>
      <c r="TS13" s="113">
        <v>32.01</v>
      </c>
      <c r="TT13" s="113">
        <v>32.01</v>
      </c>
      <c r="UO13" s="113">
        <v>32.01</v>
      </c>
      <c r="UP13" s="113">
        <v>32.01</v>
      </c>
      <c r="UQ13" s="113">
        <v>32.01</v>
      </c>
      <c r="UR13" s="113">
        <v>32.01</v>
      </c>
      <c r="US13" s="113">
        <v>32.01</v>
      </c>
      <c r="UT13" s="113">
        <v>32.01</v>
      </c>
      <c r="UU13" s="113">
        <v>32.01</v>
      </c>
      <c r="UV13" s="113">
        <v>32.01</v>
      </c>
      <c r="UW13" s="113">
        <v>32.01</v>
      </c>
      <c r="UX13" s="113">
        <v>32.01</v>
      </c>
      <c r="UY13" s="113">
        <v>32.01</v>
      </c>
      <c r="UZ13" s="113">
        <v>32.01</v>
      </c>
      <c r="VA13" s="113">
        <v>32.01</v>
      </c>
      <c r="VB13" s="113">
        <v>32.01</v>
      </c>
      <c r="VC13" s="113">
        <v>32.01</v>
      </c>
      <c r="VD13" s="113">
        <v>32.01</v>
      </c>
      <c r="VE13" s="113">
        <v>32.01</v>
      </c>
      <c r="VF13" s="113">
        <v>32.01</v>
      </c>
      <c r="VG13" s="113">
        <v>32.01</v>
      </c>
      <c r="VH13" s="113">
        <v>32.01</v>
      </c>
      <c r="VI13" s="113">
        <v>32.01</v>
      </c>
      <c r="VJ13" s="113">
        <v>32.01</v>
      </c>
      <c r="VK13" s="113">
        <v>32.01</v>
      </c>
      <c r="VL13" s="113">
        <v>32.01</v>
      </c>
      <c r="VM13" s="113">
        <v>32.01</v>
      </c>
      <c r="VN13" s="113">
        <v>32.01</v>
      </c>
      <c r="VO13" s="113">
        <v>32.01</v>
      </c>
      <c r="VP13" s="113">
        <v>32.01</v>
      </c>
      <c r="VQ13" s="113">
        <v>32.01</v>
      </c>
      <c r="VR13" s="113">
        <v>32.01</v>
      </c>
      <c r="VS13" s="113">
        <v>32.01</v>
      </c>
      <c r="VT13" s="113">
        <v>32.01</v>
      </c>
      <c r="VU13" s="113">
        <v>32.01</v>
      </c>
      <c r="VV13" s="113">
        <v>32.01</v>
      </c>
      <c r="VW13" s="113">
        <v>32.01</v>
      </c>
      <c r="VX13" s="113">
        <v>32.01</v>
      </c>
      <c r="VY13" s="113">
        <v>32.01</v>
      </c>
      <c r="VZ13" s="113">
        <v>32.01</v>
      </c>
      <c r="WA13" s="113">
        <v>32.01</v>
      </c>
      <c r="WB13" s="113">
        <v>32.01</v>
      </c>
      <c r="WC13" s="113">
        <v>32.01</v>
      </c>
      <c r="WD13" s="113">
        <v>32.01</v>
      </c>
      <c r="WE13" s="113">
        <v>32.01</v>
      </c>
      <c r="WF13" s="113">
        <v>32.01</v>
      </c>
      <c r="WG13" s="113">
        <v>32.01</v>
      </c>
      <c r="WH13" s="113">
        <v>32.01</v>
      </c>
      <c r="WI13" s="113">
        <v>32.01</v>
      </c>
      <c r="WJ13" s="113">
        <v>32.01</v>
      </c>
      <c r="WK13" s="113">
        <v>32.01</v>
      </c>
      <c r="WL13" s="113">
        <v>32.01</v>
      </c>
      <c r="WM13" s="113">
        <v>32.01</v>
      </c>
      <c r="WN13" s="113">
        <v>32.01</v>
      </c>
      <c r="WO13" s="113">
        <v>32.01</v>
      </c>
      <c r="WP13" s="113">
        <v>32.01</v>
      </c>
      <c r="WQ13" s="113">
        <v>32.01</v>
      </c>
      <c r="WR13" s="113">
        <v>32.01</v>
      </c>
      <c r="WS13" s="113">
        <v>32.01</v>
      </c>
      <c r="WT13" s="113">
        <v>32.01</v>
      </c>
      <c r="WU13" s="113">
        <v>32.01</v>
      </c>
      <c r="WV13" s="113">
        <v>32.01</v>
      </c>
      <c r="WW13" s="113">
        <v>32.01</v>
      </c>
      <c r="XQ13" s="113">
        <v>32.01</v>
      </c>
      <c r="XR13" s="113">
        <v>32.01</v>
      </c>
      <c r="XS13" s="113">
        <v>32.01</v>
      </c>
      <c r="XT13" s="113">
        <v>32.01</v>
      </c>
      <c r="XU13" s="113">
        <v>32.01</v>
      </c>
      <c r="XV13" s="113">
        <v>32.01</v>
      </c>
      <c r="XW13" s="113">
        <v>32.01</v>
      </c>
      <c r="XX13" s="113">
        <v>32.01</v>
      </c>
      <c r="XY13" s="113">
        <v>32.01</v>
      </c>
      <c r="XZ13" s="113">
        <v>32.01</v>
      </c>
      <c r="YA13" s="113">
        <v>32.01</v>
      </c>
      <c r="YB13" s="113">
        <v>32.01</v>
      </c>
      <c r="YC13" s="113">
        <v>32.01</v>
      </c>
      <c r="YD13" s="113">
        <v>32.01</v>
      </c>
      <c r="YE13" s="113">
        <v>32.01</v>
      </c>
      <c r="YF13" s="113">
        <v>32.01</v>
      </c>
      <c r="YG13" s="113">
        <v>32.01</v>
      </c>
      <c r="YH13" s="113">
        <v>32.01</v>
      </c>
      <c r="YI13" s="113">
        <v>32.01</v>
      </c>
      <c r="YJ13" s="113">
        <v>32.01</v>
      </c>
      <c r="YK13" s="113">
        <v>32.01</v>
      </c>
      <c r="YL13" s="113">
        <v>32.01</v>
      </c>
      <c r="YM13" s="113">
        <v>32.01</v>
      </c>
      <c r="YN13" s="113">
        <v>32.01</v>
      </c>
      <c r="YO13" s="113">
        <v>32.01</v>
      </c>
      <c r="YP13" s="113">
        <v>32.01</v>
      </c>
      <c r="YQ13" s="113">
        <v>32.01</v>
      </c>
      <c r="YR13" s="113">
        <v>32.01</v>
      </c>
      <c r="YS13" s="113">
        <v>32.01</v>
      </c>
      <c r="YT13" s="113">
        <v>32.01</v>
      </c>
      <c r="YU13" s="113">
        <v>32.01</v>
      </c>
      <c r="YV13" s="113">
        <v>32.01</v>
      </c>
      <c r="YW13" s="113">
        <v>32.01</v>
      </c>
      <c r="YX13" s="113">
        <v>32.01</v>
      </c>
      <c r="YY13" s="113">
        <v>32.01</v>
      </c>
      <c r="YZ13" s="113">
        <v>32.01</v>
      </c>
      <c r="ZA13" s="113">
        <v>32.01</v>
      </c>
      <c r="ZB13" s="113">
        <v>32.01</v>
      </c>
      <c r="ZC13" s="113">
        <v>32.01</v>
      </c>
      <c r="ZD13" s="113">
        <v>32.01</v>
      </c>
      <c r="ZE13" s="113">
        <v>32.01</v>
      </c>
      <c r="ZF13" s="113">
        <v>32.01</v>
      </c>
      <c r="ZG13" s="113">
        <v>32.01</v>
      </c>
      <c r="ZH13" s="113">
        <v>32.01</v>
      </c>
      <c r="ZI13" s="113">
        <v>32.01</v>
      </c>
      <c r="ZJ13" s="113">
        <v>32.01</v>
      </c>
      <c r="ZK13" s="113">
        <v>32.01</v>
      </c>
      <c r="ZL13" s="113">
        <v>32.01</v>
      </c>
      <c r="ZM13" s="113">
        <v>32.01</v>
      </c>
      <c r="ZN13" s="113">
        <v>32.01</v>
      </c>
      <c r="ZO13" s="113">
        <v>32.01</v>
      </c>
      <c r="ZP13" s="113">
        <v>32.01</v>
      </c>
      <c r="ZQ13" s="113">
        <v>32.01</v>
      </c>
      <c r="ZR13" s="113">
        <v>32.01</v>
      </c>
      <c r="ZS13" s="113">
        <v>32.01</v>
      </c>
      <c r="ZT13" s="113">
        <v>32.01</v>
      </c>
      <c r="ZU13" s="113">
        <v>32.01</v>
      </c>
      <c r="ZV13" s="113">
        <v>32.01</v>
      </c>
      <c r="ZW13" s="113">
        <v>32.01</v>
      </c>
      <c r="AAS13" s="113">
        <v>34.6</v>
      </c>
      <c r="AAT13" s="113">
        <v>32.01</v>
      </c>
      <c r="AAU13" s="113">
        <v>32.01</v>
      </c>
      <c r="AAV13" s="113">
        <v>32.01</v>
      </c>
      <c r="AAW13" s="113">
        <v>32.01</v>
      </c>
      <c r="AAX13" s="113">
        <v>32.01</v>
      </c>
      <c r="AAY13" s="113">
        <v>32.01</v>
      </c>
      <c r="AAZ13" s="113">
        <v>32.01</v>
      </c>
      <c r="ABA13" s="113">
        <v>32.01</v>
      </c>
      <c r="ABB13" s="113">
        <v>32.01</v>
      </c>
      <c r="ABC13" s="113">
        <v>32.01</v>
      </c>
      <c r="ABD13" s="113">
        <v>32.01</v>
      </c>
      <c r="ABE13" s="113">
        <v>32.01</v>
      </c>
      <c r="ABF13" s="113">
        <v>32.01</v>
      </c>
      <c r="ABG13" s="113">
        <v>34.6</v>
      </c>
      <c r="ABH13" s="113">
        <v>34.6</v>
      </c>
      <c r="ABI13" s="113">
        <v>34.6</v>
      </c>
      <c r="ABJ13" s="113">
        <v>32.01</v>
      </c>
      <c r="ABK13" s="113">
        <v>34.6</v>
      </c>
      <c r="ABL13" s="113">
        <v>34.6</v>
      </c>
      <c r="ABM13" s="113">
        <v>34.6</v>
      </c>
      <c r="ABN13" s="113">
        <v>32.01</v>
      </c>
      <c r="ABO13" s="113">
        <v>32.01</v>
      </c>
      <c r="ABP13" s="113">
        <v>34.6</v>
      </c>
      <c r="ABQ13" s="113">
        <v>34.6</v>
      </c>
      <c r="ABR13" s="113">
        <v>34.6</v>
      </c>
      <c r="ABS13" s="113">
        <v>32.01</v>
      </c>
      <c r="ABT13" s="113">
        <v>34.6</v>
      </c>
      <c r="ABU13" s="113">
        <v>34.6</v>
      </c>
      <c r="ABV13" s="113">
        <v>34.6</v>
      </c>
      <c r="ABW13" s="113">
        <v>34.6</v>
      </c>
      <c r="ABX13" s="113">
        <v>34.6</v>
      </c>
      <c r="ABY13" s="113">
        <v>34.6</v>
      </c>
      <c r="ABZ13" s="113">
        <v>34.6</v>
      </c>
      <c r="ACA13" s="113">
        <v>34.6</v>
      </c>
      <c r="ACB13" s="113">
        <v>34.6</v>
      </c>
      <c r="ACC13" s="113">
        <v>34.6</v>
      </c>
      <c r="ACD13" s="113">
        <v>34.6</v>
      </c>
      <c r="ACE13" s="113">
        <v>34.6</v>
      </c>
      <c r="ACF13" s="113">
        <v>34.6</v>
      </c>
      <c r="ACG13" s="113">
        <v>34.6</v>
      </c>
      <c r="ACH13" s="113">
        <v>34.6</v>
      </c>
      <c r="ACI13" s="113">
        <v>34.6</v>
      </c>
      <c r="ACJ13" s="113">
        <v>34.6</v>
      </c>
      <c r="ACK13" s="113">
        <v>34.6</v>
      </c>
      <c r="ACL13" s="113">
        <v>34.6</v>
      </c>
      <c r="ACM13" s="113">
        <v>34.6</v>
      </c>
      <c r="ACN13" s="113">
        <v>34.6</v>
      </c>
      <c r="ACO13" s="113">
        <v>34.6</v>
      </c>
      <c r="ACP13" s="113">
        <v>34.6</v>
      </c>
      <c r="ACQ13" s="113">
        <v>34.6</v>
      </c>
      <c r="ACR13" s="113">
        <v>34.6</v>
      </c>
      <c r="ACS13" s="113">
        <v>34.6</v>
      </c>
      <c r="ACT13" s="113">
        <v>34.6</v>
      </c>
      <c r="ACU13" s="113">
        <v>34.6</v>
      </c>
      <c r="ACV13" s="113">
        <v>34.6</v>
      </c>
      <c r="ACW13" s="113">
        <v>34.6</v>
      </c>
      <c r="ACX13" s="113">
        <v>32.01</v>
      </c>
      <c r="ACY13" s="113">
        <v>34.6</v>
      </c>
      <c r="ACZ13" s="113">
        <v>34.6</v>
      </c>
      <c r="ADA13" s="113">
        <v>34.6</v>
      </c>
      <c r="ADU13" s="113">
        <v>32.01</v>
      </c>
      <c r="ADV13" s="113">
        <v>32.01</v>
      </c>
      <c r="ADW13" s="113">
        <v>32.01</v>
      </c>
      <c r="ADX13" s="113">
        <v>32.01</v>
      </c>
      <c r="ADY13" s="113">
        <v>32.01</v>
      </c>
      <c r="ADZ13" s="113">
        <v>32.01</v>
      </c>
      <c r="AEA13" s="113">
        <v>32.01</v>
      </c>
      <c r="AEB13" s="113">
        <v>32.01</v>
      </c>
      <c r="AEC13" s="113">
        <v>32.01</v>
      </c>
      <c r="AED13" s="113">
        <v>32.01</v>
      </c>
      <c r="AEE13" s="113">
        <v>32.01</v>
      </c>
      <c r="AEF13" s="113">
        <v>32.01</v>
      </c>
      <c r="AEG13" s="113">
        <v>32.01</v>
      </c>
      <c r="AEH13" s="113">
        <v>32.01</v>
      </c>
      <c r="AEI13" s="113">
        <v>32.01</v>
      </c>
      <c r="AEJ13" s="113">
        <v>32.01</v>
      </c>
      <c r="AEK13" s="113">
        <v>32.01</v>
      </c>
      <c r="AEL13" s="113">
        <v>32.01</v>
      </c>
      <c r="AEM13" s="113">
        <v>32.01</v>
      </c>
      <c r="AEN13" s="113">
        <v>32.01</v>
      </c>
      <c r="AEO13" s="113">
        <v>32.01</v>
      </c>
      <c r="AEP13" s="113">
        <v>32.01</v>
      </c>
      <c r="AEQ13" s="113">
        <v>32.01</v>
      </c>
      <c r="AER13" s="113">
        <v>32.01</v>
      </c>
      <c r="AES13" s="113">
        <v>32.01</v>
      </c>
      <c r="AET13" s="113">
        <v>32.01</v>
      </c>
      <c r="AEU13" s="113">
        <v>32.01</v>
      </c>
      <c r="AEV13" s="113">
        <v>32.01</v>
      </c>
      <c r="AEW13" s="113">
        <v>32.01</v>
      </c>
      <c r="AEX13" s="113">
        <v>32.01</v>
      </c>
      <c r="AEY13" s="113">
        <v>32.01</v>
      </c>
      <c r="AEZ13" s="113">
        <v>32.01</v>
      </c>
      <c r="AFA13" s="113">
        <v>32.01</v>
      </c>
      <c r="AFB13" s="113">
        <v>32.01</v>
      </c>
      <c r="AFC13" s="113">
        <v>32.01</v>
      </c>
      <c r="AFD13" s="113">
        <v>32.01</v>
      </c>
      <c r="AFE13" s="113">
        <v>32.01</v>
      </c>
      <c r="AFF13" s="113">
        <v>32.01</v>
      </c>
      <c r="AFG13" s="113">
        <v>32.01</v>
      </c>
      <c r="AFH13" s="113">
        <v>32.01</v>
      </c>
      <c r="AFI13" s="113">
        <v>32.01</v>
      </c>
      <c r="AFJ13" s="113">
        <v>32.01</v>
      </c>
      <c r="AFK13" s="113">
        <v>32.01</v>
      </c>
      <c r="AFL13" s="113">
        <v>32.01</v>
      </c>
      <c r="AFM13" s="113">
        <v>32.01</v>
      </c>
      <c r="AFN13" s="113">
        <v>32.01</v>
      </c>
      <c r="AFO13" s="113">
        <v>32.01</v>
      </c>
      <c r="AFP13" s="113">
        <v>32.01</v>
      </c>
      <c r="AFQ13" s="113">
        <v>32.01</v>
      </c>
      <c r="AFR13" s="113">
        <v>32.01</v>
      </c>
      <c r="AFS13" s="113">
        <v>32.01</v>
      </c>
      <c r="AFT13" s="113">
        <v>32.01</v>
      </c>
      <c r="AFU13" s="113">
        <v>32.01</v>
      </c>
      <c r="AFV13" s="113">
        <v>32.01</v>
      </c>
      <c r="AFW13" s="113">
        <v>32.01</v>
      </c>
      <c r="AFX13" s="113">
        <v>32.01</v>
      </c>
      <c r="AFY13" s="113">
        <v>32.01</v>
      </c>
      <c r="AFZ13" s="113">
        <v>32.01</v>
      </c>
      <c r="AGA13" s="113">
        <v>32.01</v>
      </c>
      <c r="AGB13" s="113">
        <v>32.01</v>
      </c>
      <c r="AGW13" s="113">
        <v>32.01</v>
      </c>
      <c r="AGX13" s="113">
        <v>32.01</v>
      </c>
      <c r="AGY13" s="113">
        <v>32.01</v>
      </c>
      <c r="AGZ13" s="113">
        <v>32.01</v>
      </c>
      <c r="AHA13" s="113">
        <v>32.01</v>
      </c>
      <c r="AHB13" s="113">
        <v>32.01</v>
      </c>
      <c r="AHC13" s="113">
        <v>32.01</v>
      </c>
      <c r="AHD13" s="113">
        <v>32.01</v>
      </c>
      <c r="AHE13" s="113">
        <v>32.01</v>
      </c>
      <c r="AHF13" s="113">
        <v>32.01</v>
      </c>
      <c r="AHG13" s="113">
        <v>32.01</v>
      </c>
      <c r="AHH13" s="113">
        <v>32.01</v>
      </c>
      <c r="AHI13" s="113">
        <v>32.01</v>
      </c>
      <c r="AHJ13" s="113">
        <v>32.01</v>
      </c>
      <c r="AHK13" s="113">
        <v>32.01</v>
      </c>
      <c r="AHL13" s="113">
        <v>32.01</v>
      </c>
      <c r="AHM13" s="113">
        <v>32.01</v>
      </c>
      <c r="AHN13" s="113">
        <v>32.01</v>
      </c>
      <c r="AHO13" s="113">
        <v>32.01</v>
      </c>
      <c r="AHP13" s="113">
        <v>32.01</v>
      </c>
      <c r="AHQ13" s="113">
        <v>32.01</v>
      </c>
      <c r="AHR13" s="113">
        <v>32.01</v>
      </c>
      <c r="AHS13" s="113">
        <v>32.01</v>
      </c>
      <c r="AHT13" s="113">
        <v>32.01</v>
      </c>
      <c r="AHU13" s="113">
        <v>32.01</v>
      </c>
      <c r="AHV13" s="113">
        <v>32.01</v>
      </c>
      <c r="AHW13" s="113">
        <v>32.01</v>
      </c>
      <c r="AHX13" s="113">
        <v>32.01</v>
      </c>
      <c r="AHY13" s="113">
        <v>32.01</v>
      </c>
      <c r="AHZ13" s="113">
        <v>32.01</v>
      </c>
      <c r="AIA13" s="113">
        <v>32.01</v>
      </c>
      <c r="AIB13" s="113">
        <v>32.01</v>
      </c>
      <c r="AIC13" s="113">
        <v>32.01</v>
      </c>
      <c r="AID13" s="113">
        <v>32.01</v>
      </c>
      <c r="AIE13" s="113">
        <v>32.01</v>
      </c>
      <c r="AIF13" s="113">
        <v>32.01</v>
      </c>
      <c r="AIG13" s="113">
        <v>32.01</v>
      </c>
      <c r="AIH13" s="113">
        <v>32.01</v>
      </c>
      <c r="AII13" s="113">
        <v>32.01</v>
      </c>
      <c r="AIJ13" s="113">
        <v>32.01</v>
      </c>
      <c r="AIK13" s="113">
        <v>32.01</v>
      </c>
      <c r="AIL13" s="113">
        <v>32.01</v>
      </c>
      <c r="AIM13" s="113">
        <v>32.01</v>
      </c>
      <c r="AIN13" s="113">
        <v>32.01</v>
      </c>
      <c r="AIO13" s="113">
        <v>32.01</v>
      </c>
      <c r="AIP13" s="113">
        <v>32.01</v>
      </c>
      <c r="AIQ13" s="113">
        <v>32.01</v>
      </c>
      <c r="AIR13" s="113">
        <v>32.01</v>
      </c>
      <c r="AIS13" s="113">
        <v>32.01</v>
      </c>
      <c r="AIT13" s="113">
        <v>32.01</v>
      </c>
      <c r="AIU13" s="113">
        <v>32.01</v>
      </c>
      <c r="AIV13" s="113">
        <v>32.01</v>
      </c>
      <c r="AIW13" s="113">
        <v>32.01</v>
      </c>
      <c r="AIX13" s="113">
        <v>32.01</v>
      </c>
      <c r="AIY13" s="113">
        <v>32.01</v>
      </c>
      <c r="AIZ13" s="113">
        <v>32.01</v>
      </c>
      <c r="AJA13" s="113">
        <v>32.01</v>
      </c>
      <c r="AJB13" s="113">
        <v>32.01</v>
      </c>
      <c r="AJC13" s="113">
        <v>32.01</v>
      </c>
      <c r="AJD13" s="113">
        <v>32.01</v>
      </c>
    </row>
    <row r="14" spans="1:940">
      <c r="G14" s="113">
        <v>32.01</v>
      </c>
      <c r="H14" s="113">
        <v>32.01</v>
      </c>
      <c r="I14" s="113">
        <v>32.01</v>
      </c>
      <c r="J14" s="113">
        <v>32.01</v>
      </c>
      <c r="K14" s="113">
        <v>32.01</v>
      </c>
      <c r="M14" s="113">
        <v>32.01</v>
      </c>
      <c r="N14" s="113">
        <v>32.01</v>
      </c>
      <c r="O14" s="113">
        <v>32.01</v>
      </c>
      <c r="Q14" s="113">
        <v>32.01</v>
      </c>
      <c r="R14" s="113">
        <v>32.01</v>
      </c>
      <c r="S14" s="113">
        <v>32.01</v>
      </c>
      <c r="V14" s="113">
        <v>32.01</v>
      </c>
      <c r="W14" s="113">
        <v>32.01</v>
      </c>
      <c r="X14" s="113">
        <v>32.01</v>
      </c>
      <c r="Z14" s="113">
        <v>32.01</v>
      </c>
      <c r="AA14" s="113">
        <v>32.01</v>
      </c>
      <c r="AB14" s="113">
        <v>32.01</v>
      </c>
      <c r="AC14" s="113">
        <v>32.01</v>
      </c>
      <c r="AD14" s="113">
        <v>32.01</v>
      </c>
      <c r="AE14" s="113">
        <v>32.01</v>
      </c>
      <c r="AF14" s="113">
        <v>32.01</v>
      </c>
      <c r="AG14" s="113">
        <v>32.01</v>
      </c>
      <c r="AH14" s="113">
        <v>32.01</v>
      </c>
      <c r="AI14" s="113">
        <v>32.01</v>
      </c>
      <c r="AJ14" s="113">
        <v>32.01</v>
      </c>
      <c r="AK14" s="113">
        <v>32.01</v>
      </c>
      <c r="AL14" s="113">
        <v>32.01</v>
      </c>
      <c r="AM14" s="113">
        <v>32.01</v>
      </c>
      <c r="AN14" s="113">
        <v>32.01</v>
      </c>
      <c r="AO14" s="113">
        <v>32.01</v>
      </c>
      <c r="AP14" s="113">
        <v>32.01</v>
      </c>
      <c r="AQ14" s="113">
        <v>32.01</v>
      </c>
      <c r="AR14" s="113">
        <v>32.01</v>
      </c>
      <c r="AS14" s="113">
        <v>32.01</v>
      </c>
      <c r="AT14" s="113">
        <v>32.01</v>
      </c>
      <c r="AU14" s="113">
        <v>32.01</v>
      </c>
      <c r="AV14" s="113">
        <v>32.01</v>
      </c>
      <c r="AW14" s="113">
        <v>32.01</v>
      </c>
      <c r="AX14" s="113">
        <v>32.01</v>
      </c>
      <c r="AY14" s="113">
        <v>32.01</v>
      </c>
      <c r="AZ14" s="113">
        <v>32.01</v>
      </c>
      <c r="FE14" s="113">
        <v>32.01</v>
      </c>
      <c r="FK14" s="113">
        <v>32.01</v>
      </c>
      <c r="FM14" s="113">
        <v>32.01</v>
      </c>
      <c r="FN14" s="113">
        <v>32.01</v>
      </c>
      <c r="FO14" s="113">
        <v>32.01</v>
      </c>
      <c r="FP14" s="113">
        <v>32.01</v>
      </c>
      <c r="FQ14" s="113">
        <v>32.01</v>
      </c>
      <c r="FS14" s="113">
        <v>32.01</v>
      </c>
      <c r="FT14" s="113">
        <v>32.01</v>
      </c>
      <c r="FU14" s="113">
        <v>32.01</v>
      </c>
      <c r="FW14" s="113">
        <v>32.01</v>
      </c>
      <c r="FX14" s="113">
        <v>32.01</v>
      </c>
      <c r="FY14" s="113">
        <v>32.01</v>
      </c>
      <c r="GB14" s="113">
        <v>32.01</v>
      </c>
      <c r="GC14" s="113">
        <v>32.01</v>
      </c>
      <c r="GD14" s="113">
        <v>32.01</v>
      </c>
      <c r="GF14" s="113">
        <v>32.01</v>
      </c>
      <c r="GG14" s="113">
        <v>32.01</v>
      </c>
      <c r="GH14" s="113">
        <v>32.01</v>
      </c>
      <c r="GI14" s="113">
        <v>32.01</v>
      </c>
      <c r="GJ14" s="113">
        <v>32.01</v>
      </c>
      <c r="GK14" s="113">
        <v>32.01</v>
      </c>
      <c r="GL14" s="113">
        <v>32.01</v>
      </c>
      <c r="GM14" s="113">
        <v>32.01</v>
      </c>
      <c r="GN14" s="113">
        <v>32.01</v>
      </c>
      <c r="GO14" s="113">
        <v>32.01</v>
      </c>
      <c r="GP14" s="113">
        <v>32.01</v>
      </c>
      <c r="GQ14" s="113">
        <v>32.01</v>
      </c>
      <c r="GR14" s="113">
        <v>32.01</v>
      </c>
      <c r="GS14" s="113">
        <v>32.01</v>
      </c>
      <c r="GT14" s="113">
        <v>32.01</v>
      </c>
      <c r="GU14" s="113">
        <v>32.01</v>
      </c>
      <c r="GV14" s="113">
        <v>32.01</v>
      </c>
      <c r="GW14" s="113">
        <v>32.01</v>
      </c>
      <c r="GX14" s="113">
        <v>32.01</v>
      </c>
      <c r="GY14" s="113">
        <v>32.01</v>
      </c>
      <c r="GZ14" s="113">
        <v>32.01</v>
      </c>
      <c r="HA14" s="113">
        <v>32.01</v>
      </c>
      <c r="HB14" s="113">
        <v>32.01</v>
      </c>
      <c r="HC14" s="113">
        <v>32.01</v>
      </c>
      <c r="HD14" s="113">
        <v>32.01</v>
      </c>
      <c r="HE14" s="113">
        <v>32.01</v>
      </c>
      <c r="HF14" s="113">
        <v>32.01</v>
      </c>
      <c r="HG14" s="113">
        <v>32.01</v>
      </c>
      <c r="HH14" s="113">
        <v>32.01</v>
      </c>
      <c r="HI14" s="113">
        <v>32.01</v>
      </c>
      <c r="HJ14" s="113">
        <v>32.01</v>
      </c>
      <c r="HK14" s="113">
        <v>32.01</v>
      </c>
      <c r="HL14" s="113">
        <v>32.01</v>
      </c>
      <c r="IG14" s="113">
        <v>32.01</v>
      </c>
      <c r="IM14" s="113">
        <v>32.01</v>
      </c>
      <c r="IO14" s="113">
        <v>32.01</v>
      </c>
      <c r="IP14" s="113">
        <v>32.01</v>
      </c>
      <c r="IQ14" s="113">
        <v>32.01</v>
      </c>
      <c r="IR14" s="113">
        <v>32.01</v>
      </c>
      <c r="IS14" s="113">
        <v>32.01</v>
      </c>
      <c r="IU14" s="113">
        <v>32.01</v>
      </c>
      <c r="IV14" s="113">
        <v>32.01</v>
      </c>
      <c r="IW14" s="113">
        <v>32.01</v>
      </c>
      <c r="IY14" s="113">
        <v>32.01</v>
      </c>
      <c r="IZ14" s="113">
        <v>32.01</v>
      </c>
      <c r="JA14" s="113">
        <v>32.01</v>
      </c>
      <c r="JD14" s="113">
        <v>32.01</v>
      </c>
      <c r="JE14" s="113">
        <v>32.01</v>
      </c>
      <c r="JF14" s="113">
        <v>32.01</v>
      </c>
      <c r="JH14" s="113">
        <v>32.01</v>
      </c>
      <c r="JI14" s="113">
        <v>32.01</v>
      </c>
      <c r="JJ14" s="113">
        <v>32.01</v>
      </c>
      <c r="JK14" s="113">
        <v>32.01</v>
      </c>
      <c r="JL14" s="113">
        <v>32.01</v>
      </c>
      <c r="JM14" s="113">
        <v>32.01</v>
      </c>
      <c r="JN14" s="113">
        <v>32.01</v>
      </c>
      <c r="JO14" s="113">
        <v>32.01</v>
      </c>
      <c r="JP14" s="113">
        <v>32.01</v>
      </c>
      <c r="JQ14" s="113">
        <v>32.01</v>
      </c>
      <c r="JR14" s="113">
        <v>32.01</v>
      </c>
      <c r="JS14" s="113">
        <v>32.01</v>
      </c>
      <c r="JT14" s="113">
        <v>32.01</v>
      </c>
      <c r="JU14" s="113">
        <v>32.01</v>
      </c>
      <c r="JV14" s="113">
        <v>32.01</v>
      </c>
      <c r="JW14" s="113">
        <v>32.01</v>
      </c>
      <c r="JX14" s="113">
        <v>32.01</v>
      </c>
      <c r="JY14" s="113">
        <v>32.01</v>
      </c>
      <c r="JZ14" s="113">
        <v>32.01</v>
      </c>
      <c r="KA14" s="113">
        <v>32.01</v>
      </c>
      <c r="KB14" s="113">
        <v>32.01</v>
      </c>
      <c r="KC14" s="113">
        <v>32.01</v>
      </c>
      <c r="KD14" s="113">
        <v>32.01</v>
      </c>
      <c r="KE14" s="113">
        <v>32.01</v>
      </c>
      <c r="KF14" s="113">
        <v>32.01</v>
      </c>
      <c r="KG14" s="113">
        <v>32.01</v>
      </c>
      <c r="KH14" s="113">
        <v>32.01</v>
      </c>
      <c r="KI14" s="113">
        <v>32.01</v>
      </c>
      <c r="KJ14" s="113">
        <v>32.01</v>
      </c>
      <c r="KK14" s="113">
        <v>32.01</v>
      </c>
      <c r="KL14" s="113">
        <v>32.01</v>
      </c>
      <c r="KM14" s="113">
        <v>32.01</v>
      </c>
      <c r="KN14" s="113">
        <v>32.01</v>
      </c>
      <c r="LI14" s="113">
        <v>32.01</v>
      </c>
      <c r="LO14" s="113">
        <v>32.01</v>
      </c>
      <c r="LQ14" s="113">
        <v>32.01</v>
      </c>
      <c r="LR14" s="113">
        <v>32.01</v>
      </c>
      <c r="LS14" s="113">
        <v>32.01</v>
      </c>
      <c r="LT14" s="113">
        <v>32.01</v>
      </c>
      <c r="LU14" s="113">
        <v>32.01</v>
      </c>
      <c r="LW14" s="113">
        <v>32.01</v>
      </c>
      <c r="LX14" s="113">
        <v>32.01</v>
      </c>
      <c r="LY14" s="113">
        <v>32.01</v>
      </c>
      <c r="MA14" s="113">
        <v>32.01</v>
      </c>
      <c r="MB14" s="113">
        <v>32.01</v>
      </c>
      <c r="MC14" s="113">
        <v>32.01</v>
      </c>
      <c r="MF14" s="113">
        <v>32.01</v>
      </c>
      <c r="MG14" s="113">
        <v>32.01</v>
      </c>
      <c r="MH14" s="113">
        <v>32.01</v>
      </c>
      <c r="MJ14" s="113">
        <v>32.01</v>
      </c>
      <c r="MK14" s="113">
        <v>32.01</v>
      </c>
      <c r="ML14" s="113">
        <v>32.01</v>
      </c>
      <c r="MM14" s="113">
        <v>32.01</v>
      </c>
      <c r="MN14" s="113">
        <v>32.01</v>
      </c>
      <c r="MO14" s="113">
        <v>32.01</v>
      </c>
      <c r="MP14" s="113">
        <v>32.01</v>
      </c>
      <c r="MQ14" s="113">
        <v>32.01</v>
      </c>
      <c r="MR14" s="113">
        <v>32.01</v>
      </c>
      <c r="MS14" s="113">
        <v>32.01</v>
      </c>
      <c r="MT14" s="113">
        <v>32.01</v>
      </c>
      <c r="MU14" s="113">
        <v>32.01</v>
      </c>
      <c r="MV14" s="113">
        <v>32.01</v>
      </c>
      <c r="MW14" s="113">
        <v>32.01</v>
      </c>
      <c r="MX14" s="113">
        <v>32.01</v>
      </c>
      <c r="MY14" s="113">
        <v>32.01</v>
      </c>
      <c r="MZ14" s="113">
        <v>32.01</v>
      </c>
      <c r="NA14" s="113">
        <v>32.01</v>
      </c>
      <c r="NB14" s="113">
        <v>32.01</v>
      </c>
      <c r="NC14" s="113">
        <v>32.01</v>
      </c>
      <c r="ND14" s="113">
        <v>32.01</v>
      </c>
      <c r="NE14" s="113">
        <v>32.01</v>
      </c>
      <c r="NF14" s="113">
        <v>32.01</v>
      </c>
      <c r="NG14" s="113">
        <v>32.01</v>
      </c>
      <c r="NH14" s="113">
        <v>32.01</v>
      </c>
      <c r="NI14" s="113">
        <v>32.01</v>
      </c>
      <c r="NJ14" s="113">
        <v>32.01</v>
      </c>
      <c r="NK14" s="113">
        <v>32.01</v>
      </c>
      <c r="NL14" s="113">
        <v>32.01</v>
      </c>
      <c r="NM14" s="113">
        <v>32.01</v>
      </c>
      <c r="NN14" s="113">
        <v>32.01</v>
      </c>
      <c r="NO14" s="113">
        <v>32.01</v>
      </c>
      <c r="NP14" s="113">
        <v>32.01</v>
      </c>
      <c r="NQ14" s="113">
        <v>32.01</v>
      </c>
      <c r="NR14" s="113">
        <v>32.01</v>
      </c>
      <c r="OK14" s="113">
        <v>20</v>
      </c>
      <c r="OY14" s="113">
        <v>20</v>
      </c>
      <c r="OZ14" s="113">
        <v>20</v>
      </c>
      <c r="PA14" s="113">
        <v>20</v>
      </c>
      <c r="PC14" s="113">
        <v>20</v>
      </c>
      <c r="PD14" s="113">
        <v>20</v>
      </c>
      <c r="PE14" s="113">
        <v>20</v>
      </c>
      <c r="PH14" s="113">
        <v>20</v>
      </c>
      <c r="PI14" s="113">
        <v>20</v>
      </c>
      <c r="PJ14" s="113">
        <v>20</v>
      </c>
      <c r="PL14" s="113">
        <v>20</v>
      </c>
      <c r="PM14" s="113">
        <v>20</v>
      </c>
      <c r="PN14" s="113">
        <v>20</v>
      </c>
      <c r="PO14" s="113">
        <v>20</v>
      </c>
      <c r="PP14" s="113">
        <v>20</v>
      </c>
      <c r="PQ14" s="113">
        <v>20</v>
      </c>
      <c r="PR14" s="113">
        <v>20</v>
      </c>
      <c r="PS14" s="113">
        <v>20</v>
      </c>
      <c r="PT14" s="113">
        <v>20</v>
      </c>
      <c r="PU14" s="113">
        <v>20</v>
      </c>
      <c r="PV14" s="113">
        <v>20</v>
      </c>
      <c r="PW14" s="113">
        <v>20</v>
      </c>
      <c r="PX14" s="113">
        <v>20</v>
      </c>
      <c r="PY14" s="113">
        <v>20</v>
      </c>
      <c r="PZ14" s="113">
        <v>20</v>
      </c>
      <c r="QA14" s="113">
        <v>20</v>
      </c>
      <c r="QB14" s="113">
        <v>20</v>
      </c>
      <c r="QC14" s="113">
        <v>20</v>
      </c>
      <c r="QD14" s="113">
        <v>20</v>
      </c>
      <c r="QE14" s="113">
        <v>20</v>
      </c>
      <c r="QF14" s="113">
        <v>20</v>
      </c>
      <c r="QG14" s="113">
        <v>20</v>
      </c>
      <c r="QH14" s="113">
        <v>20</v>
      </c>
      <c r="QI14" s="113">
        <v>20</v>
      </c>
      <c r="QJ14" s="113">
        <v>20</v>
      </c>
      <c r="QK14" s="113">
        <v>20</v>
      </c>
      <c r="QL14" s="113">
        <v>20</v>
      </c>
      <c r="QM14" s="113">
        <v>20</v>
      </c>
      <c r="QN14" s="113">
        <v>20</v>
      </c>
      <c r="QO14" s="113">
        <v>20</v>
      </c>
      <c r="QP14" s="113">
        <v>20</v>
      </c>
      <c r="QR14" s="113">
        <v>20</v>
      </c>
      <c r="QS14" s="113">
        <v>20</v>
      </c>
      <c r="RM14" s="113">
        <v>20</v>
      </c>
      <c r="SA14" s="113">
        <v>20</v>
      </c>
      <c r="SB14" s="113">
        <v>20</v>
      </c>
      <c r="SC14" s="113">
        <v>20</v>
      </c>
      <c r="SE14" s="113">
        <v>20</v>
      </c>
      <c r="SF14" s="113">
        <v>20</v>
      </c>
      <c r="SG14" s="113">
        <v>20</v>
      </c>
      <c r="SJ14" s="113">
        <v>20</v>
      </c>
      <c r="SK14" s="113">
        <v>20</v>
      </c>
      <c r="SL14" s="113">
        <v>20</v>
      </c>
      <c r="SN14" s="113">
        <v>20</v>
      </c>
      <c r="SO14" s="113">
        <v>20</v>
      </c>
      <c r="SP14" s="113">
        <v>20</v>
      </c>
      <c r="SQ14" s="113">
        <v>20</v>
      </c>
      <c r="SR14" s="113">
        <v>20</v>
      </c>
      <c r="SS14" s="113">
        <v>20</v>
      </c>
      <c r="ST14" s="113">
        <v>20</v>
      </c>
      <c r="SU14" s="113">
        <v>20</v>
      </c>
      <c r="SV14" s="113">
        <v>20</v>
      </c>
      <c r="SW14" s="113">
        <v>20</v>
      </c>
      <c r="SX14" s="113">
        <v>20</v>
      </c>
      <c r="SY14" s="113">
        <v>20</v>
      </c>
      <c r="SZ14" s="113">
        <v>20</v>
      </c>
      <c r="TA14" s="113">
        <v>20</v>
      </c>
      <c r="TB14" s="113">
        <v>20</v>
      </c>
      <c r="TC14" s="113">
        <v>20</v>
      </c>
      <c r="TD14" s="113">
        <v>20</v>
      </c>
      <c r="TE14" s="113">
        <v>20</v>
      </c>
      <c r="TF14" s="113">
        <v>20</v>
      </c>
      <c r="TG14" s="113">
        <v>20</v>
      </c>
      <c r="TH14" s="113">
        <v>20</v>
      </c>
      <c r="TI14" s="113">
        <v>20</v>
      </c>
      <c r="TJ14" s="113">
        <v>20</v>
      </c>
      <c r="TK14" s="113">
        <v>20</v>
      </c>
      <c r="TL14" s="113">
        <v>20</v>
      </c>
      <c r="TM14" s="113">
        <v>20</v>
      </c>
      <c r="TN14" s="113">
        <v>20</v>
      </c>
      <c r="TO14" s="113">
        <v>20</v>
      </c>
      <c r="TP14" s="113">
        <v>20</v>
      </c>
      <c r="TQ14" s="113">
        <v>20</v>
      </c>
      <c r="TR14" s="113">
        <v>20</v>
      </c>
      <c r="TT14" s="113">
        <v>20</v>
      </c>
      <c r="UO14" s="113">
        <v>20</v>
      </c>
      <c r="VC14" s="113">
        <v>20</v>
      </c>
      <c r="VD14" s="113">
        <v>20</v>
      </c>
      <c r="VE14" s="113">
        <v>20</v>
      </c>
      <c r="VG14" s="113">
        <v>20</v>
      </c>
      <c r="VH14" s="113">
        <v>20</v>
      </c>
      <c r="VI14" s="113">
        <v>20</v>
      </c>
      <c r="VL14" s="113">
        <v>20</v>
      </c>
      <c r="VM14" s="113">
        <v>20</v>
      </c>
      <c r="VN14" s="113">
        <v>20</v>
      </c>
      <c r="VP14" s="113">
        <v>20</v>
      </c>
      <c r="VQ14" s="113">
        <v>20</v>
      </c>
      <c r="VR14" s="113">
        <v>20</v>
      </c>
      <c r="VS14" s="113">
        <v>20</v>
      </c>
      <c r="VT14" s="113">
        <v>20</v>
      </c>
      <c r="VU14" s="113">
        <v>20</v>
      </c>
      <c r="VV14" s="113">
        <v>20</v>
      </c>
      <c r="VW14" s="113">
        <v>20</v>
      </c>
      <c r="VX14" s="113">
        <v>20</v>
      </c>
      <c r="VY14" s="113">
        <v>20</v>
      </c>
      <c r="VZ14" s="113">
        <v>20</v>
      </c>
      <c r="WA14" s="113">
        <v>20</v>
      </c>
      <c r="WB14" s="113">
        <v>20</v>
      </c>
      <c r="WC14" s="113">
        <v>20</v>
      </c>
      <c r="WD14" s="113">
        <v>20</v>
      </c>
      <c r="WE14" s="113">
        <v>20</v>
      </c>
      <c r="WF14" s="113">
        <v>20</v>
      </c>
      <c r="WG14" s="113">
        <v>20</v>
      </c>
      <c r="WH14" s="113">
        <v>20</v>
      </c>
      <c r="WI14" s="113">
        <v>20</v>
      </c>
      <c r="WJ14" s="113">
        <v>20</v>
      </c>
      <c r="WK14" s="113">
        <v>20</v>
      </c>
      <c r="WL14" s="113">
        <v>20</v>
      </c>
      <c r="WM14" s="113">
        <v>20</v>
      </c>
      <c r="WN14" s="113">
        <v>20</v>
      </c>
      <c r="WO14" s="113">
        <v>20</v>
      </c>
      <c r="WP14" s="113">
        <v>20</v>
      </c>
      <c r="WQ14" s="113">
        <v>20</v>
      </c>
      <c r="WR14" s="113">
        <v>20</v>
      </c>
      <c r="WS14" s="113">
        <v>20</v>
      </c>
      <c r="WT14" s="113">
        <v>20</v>
      </c>
      <c r="WV14" s="113">
        <v>20</v>
      </c>
      <c r="WW14" s="113">
        <v>20</v>
      </c>
      <c r="XQ14" s="113">
        <v>20</v>
      </c>
      <c r="YE14" s="113">
        <v>20</v>
      </c>
      <c r="YF14" s="113">
        <v>20</v>
      </c>
      <c r="YG14" s="113">
        <v>20</v>
      </c>
      <c r="YI14" s="113">
        <v>20</v>
      </c>
      <c r="YJ14" s="113">
        <v>20</v>
      </c>
      <c r="YK14" s="113">
        <v>20</v>
      </c>
      <c r="YN14" s="113">
        <v>20</v>
      </c>
      <c r="YO14" s="113">
        <v>20</v>
      </c>
      <c r="YP14" s="113">
        <v>20</v>
      </c>
      <c r="YR14" s="113">
        <v>20</v>
      </c>
      <c r="YS14" s="113">
        <v>20</v>
      </c>
      <c r="YT14" s="113">
        <v>20</v>
      </c>
      <c r="YU14" s="113">
        <v>20</v>
      </c>
      <c r="YV14" s="113">
        <v>20</v>
      </c>
      <c r="YW14" s="113">
        <v>20</v>
      </c>
      <c r="YX14" s="113">
        <v>20</v>
      </c>
      <c r="YY14" s="113">
        <v>20</v>
      </c>
      <c r="YZ14" s="113">
        <v>20</v>
      </c>
      <c r="ZA14" s="113">
        <v>20</v>
      </c>
      <c r="ZB14" s="113">
        <v>20</v>
      </c>
      <c r="ZC14" s="113">
        <v>20</v>
      </c>
      <c r="ZD14" s="113">
        <v>20</v>
      </c>
      <c r="ZE14" s="113">
        <v>20</v>
      </c>
      <c r="ZF14" s="113">
        <v>20</v>
      </c>
      <c r="ZG14" s="113">
        <v>20</v>
      </c>
      <c r="ZH14" s="113">
        <v>20</v>
      </c>
      <c r="ZI14" s="113">
        <v>20</v>
      </c>
      <c r="ZJ14" s="113">
        <v>20</v>
      </c>
      <c r="ZK14" s="113">
        <v>20</v>
      </c>
      <c r="ZL14" s="113">
        <v>20</v>
      </c>
      <c r="ZM14" s="113">
        <v>20</v>
      </c>
      <c r="ZN14" s="113">
        <v>20</v>
      </c>
      <c r="ZO14" s="113">
        <v>20</v>
      </c>
      <c r="ZP14" s="113">
        <v>20</v>
      </c>
      <c r="ZQ14" s="113">
        <v>20</v>
      </c>
      <c r="ZR14" s="113">
        <v>20</v>
      </c>
      <c r="ZS14" s="113">
        <v>20</v>
      </c>
      <c r="ZT14" s="113">
        <v>20</v>
      </c>
      <c r="ZU14" s="113">
        <v>20</v>
      </c>
      <c r="ZW14" s="113">
        <v>20</v>
      </c>
      <c r="AAS14" s="113">
        <v>32.01</v>
      </c>
      <c r="ABG14" s="113">
        <v>32.01</v>
      </c>
      <c r="ABH14" s="113">
        <v>32.01</v>
      </c>
      <c r="ABI14" s="113">
        <v>32.01</v>
      </c>
      <c r="ABK14" s="113">
        <v>32.01</v>
      </c>
      <c r="ABL14" s="113">
        <v>32.01</v>
      </c>
      <c r="ABM14" s="113">
        <v>32.01</v>
      </c>
      <c r="ABP14" s="113">
        <v>32.01</v>
      </c>
      <c r="ABQ14" s="113">
        <v>32.01</v>
      </c>
      <c r="ABR14" s="113">
        <v>32.01</v>
      </c>
      <c r="ABT14" s="113">
        <v>32.01</v>
      </c>
      <c r="ABU14" s="113">
        <v>32.01</v>
      </c>
      <c r="ABV14" s="113">
        <v>32.01</v>
      </c>
      <c r="ABW14" s="113">
        <v>32.01</v>
      </c>
      <c r="ABX14" s="113">
        <v>32.01</v>
      </c>
      <c r="ABY14" s="113">
        <v>32.01</v>
      </c>
      <c r="ABZ14" s="113">
        <v>32.01</v>
      </c>
      <c r="ACA14" s="113">
        <v>32.01</v>
      </c>
      <c r="ACB14" s="113">
        <v>32.01</v>
      </c>
      <c r="ACC14" s="113">
        <v>32.01</v>
      </c>
      <c r="ACD14" s="113">
        <v>32.01</v>
      </c>
      <c r="ACE14" s="113">
        <v>32.01</v>
      </c>
      <c r="ACF14" s="113">
        <v>32.01</v>
      </c>
      <c r="ACG14" s="113">
        <v>32.01</v>
      </c>
      <c r="ACH14" s="113">
        <v>32.01</v>
      </c>
      <c r="ACI14" s="113">
        <v>32.01</v>
      </c>
      <c r="ACJ14" s="113">
        <v>32.01</v>
      </c>
      <c r="ACK14" s="113">
        <v>32.01</v>
      </c>
      <c r="ACL14" s="113">
        <v>32.01</v>
      </c>
      <c r="ACM14" s="113">
        <v>32.01</v>
      </c>
      <c r="ACN14" s="113">
        <v>32.01</v>
      </c>
      <c r="ACO14" s="113">
        <v>32.01</v>
      </c>
      <c r="ACP14" s="113">
        <v>32.01</v>
      </c>
      <c r="ACQ14" s="113">
        <v>32.01</v>
      </c>
      <c r="ACR14" s="113">
        <v>32.01</v>
      </c>
      <c r="ACS14" s="113">
        <v>32.01</v>
      </c>
      <c r="ACT14" s="113">
        <v>32.01</v>
      </c>
      <c r="ACU14" s="113">
        <v>32.01</v>
      </c>
      <c r="ACV14" s="113">
        <v>32.01</v>
      </c>
      <c r="ACW14" s="113">
        <v>32.01</v>
      </c>
      <c r="ACY14" s="113">
        <v>32.01</v>
      </c>
      <c r="ACZ14" s="113">
        <v>32.01</v>
      </c>
      <c r="ADA14" s="113">
        <v>32.01</v>
      </c>
      <c r="ADU14" s="113">
        <v>20</v>
      </c>
      <c r="AEI14" s="113">
        <v>20</v>
      </c>
      <c r="AEJ14" s="113">
        <v>20</v>
      </c>
      <c r="AEK14" s="113">
        <v>20</v>
      </c>
      <c r="AEM14" s="113">
        <v>20</v>
      </c>
      <c r="AEN14" s="113">
        <v>20</v>
      </c>
      <c r="AEO14" s="113">
        <v>20</v>
      </c>
      <c r="AER14" s="113">
        <v>20</v>
      </c>
      <c r="AES14" s="113">
        <v>20</v>
      </c>
      <c r="AET14" s="113">
        <v>20</v>
      </c>
      <c r="AEV14" s="113">
        <v>20</v>
      </c>
      <c r="AEW14" s="113">
        <v>20</v>
      </c>
      <c r="AEX14" s="113">
        <v>20</v>
      </c>
      <c r="AEY14" s="113">
        <v>20</v>
      </c>
      <c r="AEZ14" s="113">
        <v>20</v>
      </c>
      <c r="AFA14" s="113">
        <v>20</v>
      </c>
      <c r="AFB14" s="113">
        <v>20</v>
      </c>
      <c r="AFC14" s="113">
        <v>20</v>
      </c>
      <c r="AFD14" s="113">
        <v>20</v>
      </c>
      <c r="AFE14" s="113">
        <v>20</v>
      </c>
      <c r="AFF14" s="113">
        <v>20</v>
      </c>
      <c r="AFG14" s="113">
        <v>20</v>
      </c>
      <c r="AFH14" s="113">
        <v>20</v>
      </c>
      <c r="AFI14" s="113">
        <v>20</v>
      </c>
      <c r="AFJ14" s="113">
        <v>20</v>
      </c>
      <c r="AFK14" s="113">
        <v>20</v>
      </c>
      <c r="AFL14" s="113">
        <v>20</v>
      </c>
      <c r="AFM14" s="113">
        <v>20</v>
      </c>
      <c r="AFN14" s="113">
        <v>20</v>
      </c>
      <c r="AFO14" s="113">
        <v>20</v>
      </c>
      <c r="AFP14" s="113">
        <v>20</v>
      </c>
      <c r="AFQ14" s="113">
        <v>20</v>
      </c>
      <c r="AFR14" s="113">
        <v>20</v>
      </c>
      <c r="AFS14" s="113">
        <v>20</v>
      </c>
      <c r="AFT14" s="113">
        <v>20</v>
      </c>
      <c r="AFU14" s="113">
        <v>20</v>
      </c>
      <c r="AFV14" s="113">
        <v>20</v>
      </c>
      <c r="AFW14" s="113">
        <v>20</v>
      </c>
      <c r="AFX14" s="113">
        <v>20</v>
      </c>
      <c r="AFY14" s="113">
        <v>20</v>
      </c>
      <c r="AGA14" s="113">
        <v>20</v>
      </c>
      <c r="AGB14" s="113">
        <v>20</v>
      </c>
      <c r="AGW14" s="113">
        <v>20</v>
      </c>
      <c r="AHK14" s="113">
        <v>20</v>
      </c>
      <c r="AHL14" s="113">
        <v>20</v>
      </c>
      <c r="AHM14" s="113">
        <v>20</v>
      </c>
      <c r="AHO14" s="113">
        <v>20</v>
      </c>
      <c r="AHP14" s="113">
        <v>20</v>
      </c>
      <c r="AHQ14" s="113">
        <v>20</v>
      </c>
      <c r="AHT14" s="113">
        <v>20</v>
      </c>
      <c r="AHU14" s="113">
        <v>20</v>
      </c>
      <c r="AHV14" s="113">
        <v>20</v>
      </c>
      <c r="AHX14" s="113">
        <v>20</v>
      </c>
      <c r="AHY14" s="113">
        <v>20</v>
      </c>
      <c r="AHZ14" s="113">
        <v>20</v>
      </c>
      <c r="AIA14" s="113">
        <v>20</v>
      </c>
      <c r="AIB14" s="113">
        <v>20</v>
      </c>
      <c r="AIC14" s="113">
        <v>20</v>
      </c>
      <c r="AID14" s="113">
        <v>20</v>
      </c>
      <c r="AIE14" s="113">
        <v>20</v>
      </c>
      <c r="AIF14" s="113">
        <v>20</v>
      </c>
      <c r="AIG14" s="113">
        <v>20</v>
      </c>
      <c r="AIH14" s="113">
        <v>20</v>
      </c>
      <c r="AII14" s="113">
        <v>20</v>
      </c>
      <c r="AIJ14" s="113">
        <v>20</v>
      </c>
      <c r="AIK14" s="113">
        <v>20</v>
      </c>
      <c r="AIL14" s="113">
        <v>20</v>
      </c>
      <c r="AIM14" s="113">
        <v>20</v>
      </c>
      <c r="AIN14" s="113">
        <v>20</v>
      </c>
      <c r="AIO14" s="113">
        <v>20</v>
      </c>
      <c r="AIP14" s="113">
        <v>20</v>
      </c>
      <c r="AIQ14" s="113">
        <v>20</v>
      </c>
      <c r="AIR14" s="113">
        <v>20</v>
      </c>
      <c r="AIS14" s="113">
        <v>20</v>
      </c>
      <c r="AIT14" s="113">
        <v>20</v>
      </c>
      <c r="AIU14" s="113">
        <v>20</v>
      </c>
      <c r="AIV14" s="113">
        <v>20</v>
      </c>
      <c r="AIW14" s="113">
        <v>20</v>
      </c>
      <c r="AIX14" s="113">
        <v>20</v>
      </c>
      <c r="AIY14" s="113">
        <v>20</v>
      </c>
      <c r="AIZ14" s="113">
        <v>20</v>
      </c>
      <c r="AJA14" s="113">
        <v>20</v>
      </c>
      <c r="AJC14" s="113">
        <v>20</v>
      </c>
      <c r="AJD14" s="113">
        <v>20</v>
      </c>
    </row>
    <row r="15" spans="1:940">
      <c r="K15" s="113">
        <v>10</v>
      </c>
      <c r="M15" s="113">
        <v>10</v>
      </c>
      <c r="N15" s="113">
        <v>10</v>
      </c>
      <c r="O15" s="113">
        <v>10</v>
      </c>
      <c r="Q15" s="113">
        <v>10</v>
      </c>
      <c r="R15" s="113">
        <v>10</v>
      </c>
      <c r="V15" s="113">
        <v>10</v>
      </c>
      <c r="W15" s="113">
        <v>10</v>
      </c>
      <c r="X15" s="113">
        <v>10</v>
      </c>
      <c r="Z15" s="113">
        <v>10</v>
      </c>
      <c r="AA15" s="113">
        <v>10</v>
      </c>
      <c r="AB15" s="113">
        <v>10</v>
      </c>
      <c r="AC15" s="113">
        <v>10</v>
      </c>
      <c r="AD15" s="113">
        <v>10</v>
      </c>
      <c r="AE15" s="113">
        <v>10</v>
      </c>
      <c r="AF15" s="113">
        <v>10</v>
      </c>
      <c r="AH15" s="113">
        <v>10</v>
      </c>
      <c r="AI15" s="113">
        <v>10</v>
      </c>
      <c r="AJ15" s="113">
        <v>10</v>
      </c>
      <c r="AK15" s="113">
        <v>10</v>
      </c>
      <c r="AL15" s="113">
        <v>10</v>
      </c>
      <c r="AM15" s="113">
        <v>10</v>
      </c>
      <c r="AN15" s="113">
        <v>10</v>
      </c>
      <c r="AO15" s="113">
        <v>10</v>
      </c>
      <c r="AP15" s="113">
        <v>10</v>
      </c>
      <c r="AQ15" s="113">
        <v>10</v>
      </c>
      <c r="AR15" s="113">
        <v>10</v>
      </c>
      <c r="AS15" s="113">
        <v>10</v>
      </c>
      <c r="AT15" s="113">
        <v>10</v>
      </c>
      <c r="AU15" s="113">
        <v>10</v>
      </c>
      <c r="AV15" s="113">
        <v>10</v>
      </c>
      <c r="AW15" s="113">
        <v>10</v>
      </c>
      <c r="AX15" s="113">
        <v>10</v>
      </c>
      <c r="AY15" s="113">
        <v>10</v>
      </c>
      <c r="AZ15" s="113">
        <v>10</v>
      </c>
      <c r="FE15" s="113">
        <v>10</v>
      </c>
      <c r="FS15" s="113">
        <v>10</v>
      </c>
      <c r="FT15" s="113">
        <v>10</v>
      </c>
      <c r="FU15" s="113">
        <v>10</v>
      </c>
      <c r="FW15" s="113">
        <v>10</v>
      </c>
      <c r="FX15" s="113">
        <v>10</v>
      </c>
      <c r="FY15" s="113">
        <v>10</v>
      </c>
      <c r="GB15" s="113">
        <v>10</v>
      </c>
      <c r="GC15" s="113">
        <v>10</v>
      </c>
      <c r="GD15" s="113">
        <v>10</v>
      </c>
      <c r="GF15" s="113">
        <v>10</v>
      </c>
      <c r="GG15" s="113">
        <v>10</v>
      </c>
      <c r="GH15" s="113">
        <v>10</v>
      </c>
      <c r="GI15" s="113">
        <v>10</v>
      </c>
      <c r="GJ15" s="113">
        <v>10</v>
      </c>
      <c r="GK15" s="113">
        <v>10</v>
      </c>
      <c r="GL15" s="113">
        <v>10</v>
      </c>
      <c r="GM15" s="113">
        <v>10</v>
      </c>
      <c r="GN15" s="113">
        <v>10</v>
      </c>
      <c r="GO15" s="113">
        <v>10</v>
      </c>
      <c r="GP15" s="113">
        <v>10</v>
      </c>
      <c r="GQ15" s="113">
        <v>10</v>
      </c>
      <c r="GR15" s="113">
        <v>10</v>
      </c>
      <c r="GS15" s="113">
        <v>10</v>
      </c>
      <c r="GT15" s="113">
        <v>10</v>
      </c>
      <c r="GU15" s="113">
        <v>10</v>
      </c>
      <c r="GV15" s="113">
        <v>10</v>
      </c>
      <c r="GW15" s="113">
        <v>10</v>
      </c>
      <c r="GX15" s="113">
        <v>10</v>
      </c>
      <c r="GY15" s="113">
        <v>10</v>
      </c>
      <c r="GZ15" s="113">
        <v>10</v>
      </c>
      <c r="HA15" s="113">
        <v>10</v>
      </c>
      <c r="HB15" s="113">
        <v>10</v>
      </c>
      <c r="HC15" s="113">
        <v>10</v>
      </c>
      <c r="HD15" s="113">
        <v>10</v>
      </c>
      <c r="HE15" s="113">
        <v>10</v>
      </c>
      <c r="HF15" s="113">
        <v>10</v>
      </c>
      <c r="HG15" s="113">
        <v>10</v>
      </c>
      <c r="HH15" s="113">
        <v>10</v>
      </c>
      <c r="HJ15" s="113">
        <v>10</v>
      </c>
      <c r="HK15" s="113">
        <v>10</v>
      </c>
      <c r="HL15" s="113">
        <v>10</v>
      </c>
      <c r="IG15" s="113">
        <v>10</v>
      </c>
      <c r="IU15" s="113">
        <v>10</v>
      </c>
      <c r="IV15" s="113">
        <v>10</v>
      </c>
      <c r="IW15" s="113">
        <v>10</v>
      </c>
      <c r="IY15" s="113">
        <v>10</v>
      </c>
      <c r="IZ15" s="113">
        <v>10</v>
      </c>
      <c r="JA15" s="113">
        <v>10</v>
      </c>
      <c r="JD15" s="113">
        <v>10</v>
      </c>
      <c r="JE15" s="113">
        <v>10</v>
      </c>
      <c r="JF15" s="113">
        <v>10</v>
      </c>
      <c r="JH15" s="113">
        <v>10</v>
      </c>
      <c r="JI15" s="113">
        <v>10</v>
      </c>
      <c r="JJ15" s="113">
        <v>10</v>
      </c>
      <c r="JK15" s="113">
        <v>10</v>
      </c>
      <c r="JL15" s="113">
        <v>10</v>
      </c>
      <c r="JM15" s="113">
        <v>10</v>
      </c>
      <c r="JN15" s="113">
        <v>10</v>
      </c>
      <c r="JO15" s="113">
        <v>10</v>
      </c>
      <c r="JP15" s="113">
        <v>10</v>
      </c>
      <c r="JQ15" s="113">
        <v>10</v>
      </c>
      <c r="JR15" s="113">
        <v>10</v>
      </c>
      <c r="JS15" s="113">
        <v>10</v>
      </c>
      <c r="JT15" s="113">
        <v>10</v>
      </c>
      <c r="JU15" s="113">
        <v>10</v>
      </c>
      <c r="JV15" s="113">
        <v>10</v>
      </c>
      <c r="JW15" s="113">
        <v>10</v>
      </c>
      <c r="JX15" s="113">
        <v>10</v>
      </c>
      <c r="JY15" s="113">
        <v>10</v>
      </c>
      <c r="JZ15" s="113">
        <v>10</v>
      </c>
      <c r="KA15" s="113">
        <v>10</v>
      </c>
      <c r="KB15" s="113">
        <v>10</v>
      </c>
      <c r="KC15" s="113">
        <v>10</v>
      </c>
      <c r="KD15" s="113">
        <v>10</v>
      </c>
      <c r="KE15" s="113">
        <v>10</v>
      </c>
      <c r="KF15" s="113">
        <v>10</v>
      </c>
      <c r="KG15" s="113">
        <v>10</v>
      </c>
      <c r="KH15" s="113">
        <v>10</v>
      </c>
      <c r="KI15" s="113">
        <v>10</v>
      </c>
      <c r="KJ15" s="113">
        <v>10</v>
      </c>
      <c r="KL15" s="113">
        <v>10</v>
      </c>
      <c r="KM15" s="113">
        <v>10</v>
      </c>
      <c r="KN15" s="113">
        <v>10</v>
      </c>
      <c r="LI15" s="113">
        <v>10</v>
      </c>
      <c r="LW15" s="113">
        <v>10</v>
      </c>
      <c r="LX15" s="113">
        <v>10</v>
      </c>
      <c r="LY15" s="113">
        <v>10</v>
      </c>
      <c r="MA15" s="113">
        <v>10</v>
      </c>
      <c r="MB15" s="113">
        <v>10</v>
      </c>
      <c r="MC15" s="113">
        <v>10</v>
      </c>
      <c r="MF15" s="113">
        <v>10</v>
      </c>
      <c r="MG15" s="113">
        <v>10</v>
      </c>
      <c r="MH15" s="113">
        <v>10</v>
      </c>
      <c r="MJ15" s="113">
        <v>10</v>
      </c>
      <c r="MK15" s="113">
        <v>10</v>
      </c>
      <c r="ML15" s="113">
        <v>10</v>
      </c>
      <c r="MM15" s="113">
        <v>10</v>
      </c>
      <c r="MN15" s="113">
        <v>10</v>
      </c>
      <c r="MO15" s="113">
        <v>10</v>
      </c>
      <c r="MP15" s="113">
        <v>10</v>
      </c>
      <c r="MQ15" s="113">
        <v>10</v>
      </c>
      <c r="MR15" s="113">
        <v>10</v>
      </c>
      <c r="MS15" s="113">
        <v>10</v>
      </c>
      <c r="MT15" s="113">
        <v>10</v>
      </c>
      <c r="MU15" s="113">
        <v>10</v>
      </c>
      <c r="MV15" s="113">
        <v>10</v>
      </c>
      <c r="MW15" s="113">
        <v>10</v>
      </c>
      <c r="MX15" s="113">
        <v>10</v>
      </c>
      <c r="MY15" s="113">
        <v>10</v>
      </c>
      <c r="MZ15" s="113">
        <v>10</v>
      </c>
      <c r="NA15" s="113">
        <v>10</v>
      </c>
      <c r="NB15" s="113">
        <v>10</v>
      </c>
      <c r="NC15" s="113">
        <v>10</v>
      </c>
      <c r="ND15" s="113">
        <v>10</v>
      </c>
      <c r="NE15" s="113">
        <v>10</v>
      </c>
      <c r="NF15" s="113">
        <v>10</v>
      </c>
      <c r="NG15" s="113">
        <v>10</v>
      </c>
      <c r="NH15" s="113">
        <v>10</v>
      </c>
      <c r="NI15" s="113">
        <v>10</v>
      </c>
      <c r="NJ15" s="113">
        <v>10</v>
      </c>
      <c r="NK15" s="113">
        <v>10</v>
      </c>
      <c r="NL15" s="113">
        <v>10</v>
      </c>
      <c r="NM15" s="113">
        <v>10</v>
      </c>
      <c r="NN15" s="113">
        <v>10</v>
      </c>
      <c r="NP15" s="113">
        <v>10</v>
      </c>
      <c r="NQ15" s="113">
        <v>10</v>
      </c>
      <c r="NR15" s="113">
        <v>10</v>
      </c>
    </row>
  </sheetData>
  <sheetProtection algorithmName="SHA-512" hashValue="zqpufyFzcnzOzoL3spnwAzcrUSnVQWm2L4H49WSYyv4MfeRDBrJ0eP7uSn3G+eF67EsHQvgzU5Esn1j429BkeA==" saltValue="mPkOtL056cvU59UmymCAQA==" spinCount="100000" sheet="1" objects="1" scenarios="1"/>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3"/>
  <sheetViews>
    <sheetView workbookViewId="0"/>
  </sheetViews>
  <sheetFormatPr baseColWidth="10" defaultRowHeight="15"/>
  <sheetData>
    <row r="1" spans="1:5">
      <c r="A1" t="s">
        <v>359</v>
      </c>
      <c r="B1" t="s">
        <v>360</v>
      </c>
      <c r="C1" t="s">
        <v>361</v>
      </c>
      <c r="D1" t="s">
        <v>362</v>
      </c>
      <c r="E1" t="s">
        <v>363</v>
      </c>
    </row>
    <row r="2" spans="1:5">
      <c r="A2">
        <v>2026</v>
      </c>
      <c r="B2">
        <v>4</v>
      </c>
      <c r="C2" t="s">
        <v>384</v>
      </c>
      <c r="D2" t="s">
        <v>385</v>
      </c>
      <c r="E2">
        <v>138.4</v>
      </c>
    </row>
    <row r="3" spans="1:5">
      <c r="A3">
        <v>2026</v>
      </c>
      <c r="B3">
        <v>5</v>
      </c>
      <c r="C3" t="s">
        <v>386</v>
      </c>
      <c r="D3" t="s">
        <v>385</v>
      </c>
      <c r="E3">
        <v>129.75</v>
      </c>
    </row>
  </sheetData>
  <sheetProtection algorithmName="SHA-512" hashValue="d/e3s5EBPf4dI2Ve38xZJemtEPUqyc9wUOvOTJ5/1i9+XMoF2fE+qug1YZW0S8sfcsPAeM5JNJNgS1jo1M91+A==" saltValue="o7mbuuk4nbRgXXPVUB3nnw=="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717</vt:i4>
      </vt:variant>
    </vt:vector>
  </HeadingPairs>
  <TitlesOfParts>
    <vt:vector size="733"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2026-05-21T05:43:21Z</dcterms:modified>
  <cp:category/>
  <cp:contentStatus/>
</cp:coreProperties>
</file>
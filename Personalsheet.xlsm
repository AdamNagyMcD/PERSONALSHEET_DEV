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A80129C4-D22E-F148-A700-BD8DEF332821}" xr6:coauthVersionLast="47" xr6:coauthVersionMax="47" xr10:uidLastSave="{00000000-0000-0000-0000-000000000000}"/>
  <bookViews>
    <workbookView xWindow="0" yWindow="780" windowWidth="34040" windowHeight="19900" tabRatio="677" activeTab="8"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 name="SYSTEM_CHECK" sheetId="51"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63">KV_DROPDOWN_HELPER!$NQ$1:$NQ$13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7" i="46" l="1"/>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2" i="46"/>
  <c r="I162"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3" i="37"/>
  <c r="L3" i="37" s="1"/>
  <c r="K4" i="37"/>
  <c r="L4" i="37" s="1"/>
  <c r="K5" i="37"/>
  <c r="L5" i="37" s="1"/>
  <c r="K6" i="37"/>
  <c r="L6" i="37" s="1"/>
  <c r="K7" i="37"/>
  <c r="L7" i="37" s="1"/>
  <c r="K8" i="37"/>
  <c r="L8" i="37" s="1"/>
  <c r="K9" i="37"/>
  <c r="L9" i="37" s="1"/>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L25" i="37" s="1"/>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L41" i="37" s="1"/>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29" i="28"/>
  <c r="L37" i="28"/>
  <c r="L53" i="28"/>
  <c r="K3" i="28"/>
  <c r="L3" i="28" s="1"/>
  <c r="K4" i="28"/>
  <c r="L4" i="28" s="1"/>
  <c r="K5" i="28"/>
  <c r="L5" i="28" s="1"/>
  <c r="K6" i="28"/>
  <c r="L6" i="28" s="1"/>
  <c r="K7" i="28"/>
  <c r="L7" i="28" s="1"/>
  <c r="K8" i="28"/>
  <c r="L8" i="28" s="1"/>
  <c r="K9" i="28"/>
  <c r="L9" i="28" s="1"/>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L25" i="28" s="1"/>
  <c r="K26" i="28"/>
  <c r="L26" i="28" s="1"/>
  <c r="K27" i="28"/>
  <c r="L27" i="28" s="1"/>
  <c r="K28" i="28"/>
  <c r="L28" i="28" s="1"/>
  <c r="K29" i="28"/>
  <c r="K30" i="28"/>
  <c r="L30" i="28" s="1"/>
  <c r="K31" i="28"/>
  <c r="L31" i="28" s="1"/>
  <c r="K32" i="28"/>
  <c r="L32" i="28" s="1"/>
  <c r="K33" i="28"/>
  <c r="L33" i="28" s="1"/>
  <c r="K34" i="28"/>
  <c r="L34" i="28" s="1"/>
  <c r="K35" i="28"/>
  <c r="L35" i="28" s="1"/>
  <c r="K36" i="28"/>
  <c r="L36" i="28" s="1"/>
  <c r="K37" i="28"/>
  <c r="K38" i="28"/>
  <c r="L38" i="28" s="1"/>
  <c r="K39" i="28"/>
  <c r="L39" i="28" s="1"/>
  <c r="K40" i="28"/>
  <c r="L40" i="28" s="1"/>
  <c r="K41" i="28"/>
  <c r="L41" i="28" s="1"/>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K54" i="28"/>
  <c r="L54" i="28" s="1"/>
  <c r="K55" i="28"/>
  <c r="L55" i="28" s="1"/>
  <c r="K56" i="28"/>
  <c r="L56" i="28" s="1"/>
  <c r="K57" i="28"/>
  <c r="L57" i="28" s="1"/>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3" i="27"/>
  <c r="L7" i="27"/>
  <c r="L8" i="27"/>
  <c r="L14" i="27"/>
  <c r="L15" i="27"/>
  <c r="L18" i="27"/>
  <c r="L19" i="27"/>
  <c r="L23" i="27"/>
  <c r="L27" i="27"/>
  <c r="L29" i="27"/>
  <c r="L30" i="27"/>
  <c r="L31" i="27"/>
  <c r="L34" i="27"/>
  <c r="L35" i="27"/>
  <c r="L39" i="27"/>
  <c r="L40" i="27"/>
  <c r="L48" i="27"/>
  <c r="K3" i="27"/>
  <c r="K4" i="27"/>
  <c r="L4" i="27" s="1"/>
  <c r="K5" i="27"/>
  <c r="L5" i="27" s="1"/>
  <c r="K6" i="27"/>
  <c r="L6" i="27" s="1"/>
  <c r="K7" i="27"/>
  <c r="K8" i="27"/>
  <c r="K9" i="27"/>
  <c r="L9" i="27" s="1"/>
  <c r="K10" i="27"/>
  <c r="L10" i="27" s="1"/>
  <c r="K11" i="27"/>
  <c r="L11" i="27" s="1"/>
  <c r="K12" i="27"/>
  <c r="L12" i="27" s="1"/>
  <c r="K13" i="27"/>
  <c r="L13" i="27" s="1"/>
  <c r="K14" i="27"/>
  <c r="K15" i="27"/>
  <c r="K16" i="27"/>
  <c r="L16" i="27" s="1"/>
  <c r="K17" i="27"/>
  <c r="L17" i="27" s="1"/>
  <c r="K18" i="27"/>
  <c r="K19" i="27"/>
  <c r="K20" i="27"/>
  <c r="L20" i="27" s="1"/>
  <c r="K21" i="27"/>
  <c r="L21" i="27" s="1"/>
  <c r="K22" i="27"/>
  <c r="L22" i="27" s="1"/>
  <c r="K23" i="27"/>
  <c r="K24" i="27"/>
  <c r="L24" i="27" s="1"/>
  <c r="K25" i="27"/>
  <c r="L25" i="27" s="1"/>
  <c r="K26" i="27"/>
  <c r="L26" i="27" s="1"/>
  <c r="K27" i="27"/>
  <c r="K28" i="27"/>
  <c r="L28" i="27" s="1"/>
  <c r="K29" i="27"/>
  <c r="K30" i="27"/>
  <c r="K31" i="27"/>
  <c r="K32" i="27"/>
  <c r="L32" i="27" s="1"/>
  <c r="K33" i="27"/>
  <c r="L33" i="27" s="1"/>
  <c r="K34" i="27"/>
  <c r="K35" i="27"/>
  <c r="K36" i="27"/>
  <c r="L36" i="27" s="1"/>
  <c r="K37" i="27"/>
  <c r="L37" i="27" s="1"/>
  <c r="K38" i="27"/>
  <c r="L38" i="27" s="1"/>
  <c r="K39" i="27"/>
  <c r="K40" i="27"/>
  <c r="K41" i="27"/>
  <c r="L41" i="27" s="1"/>
  <c r="K42" i="27"/>
  <c r="L42" i="27" s="1"/>
  <c r="K43" i="27"/>
  <c r="L43" i="27" s="1"/>
  <c r="K44" i="27"/>
  <c r="L44" i="27" s="1"/>
  <c r="K45" i="27"/>
  <c r="L45" i="27" s="1"/>
  <c r="K46" i="27"/>
  <c r="L46" i="27" s="1"/>
  <c r="K47" i="27"/>
  <c r="L47" i="27" s="1"/>
  <c r="K48" i="27"/>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17" i="26"/>
  <c r="L25" i="26"/>
  <c r="L33" i="26"/>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K18" i="26"/>
  <c r="L18" i="26" s="1"/>
  <c r="K19" i="26"/>
  <c r="L19" i="26" s="1"/>
  <c r="K20" i="26"/>
  <c r="L20" i="26" s="1"/>
  <c r="K21" i="26"/>
  <c r="L21" i="26" s="1"/>
  <c r="K22" i="26"/>
  <c r="L22" i="26" s="1"/>
  <c r="K23" i="26"/>
  <c r="L23" i="26" s="1"/>
  <c r="K24" i="26"/>
  <c r="L24" i="26" s="1"/>
  <c r="K25" i="26"/>
  <c r="K26" i="26"/>
  <c r="L26" i="26" s="1"/>
  <c r="K27" i="26"/>
  <c r="L27" i="26" s="1"/>
  <c r="K28" i="26"/>
  <c r="L28" i="26" s="1"/>
  <c r="K29" i="26"/>
  <c r="L29" i="26" s="1"/>
  <c r="K30" i="26"/>
  <c r="L30" i="26" s="1"/>
  <c r="K31" i="26"/>
  <c r="L31" i="26" s="1"/>
  <c r="K32" i="26"/>
  <c r="L32" i="26" s="1"/>
  <c r="K33" i="26"/>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7" a="1"/>
  <c r="S36" i="25" a="1"/>
  <c r="S36" i="26"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28" a="1"/>
  <c r="S36" i="32" a="1"/>
  <c r="S36" i="36" a="1"/>
  <c r="S36" i="31" a="1"/>
  <c r="S36" i="35" a="1"/>
  <c r="S36" i="33" a="1"/>
  <c r="S36" i="30"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<sst xmlns="http://schemas.openxmlformats.org/spreadsheetml/2006/main" count="4600" uniqueCount="423">
  <si>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</si>
  <si>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</si>
  <si>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</si>
  <si>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</si>
  <si>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</si>
  <si>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</si>
  <si>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</si>
  <si>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</si>
  <si>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</si>
  <si>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</si>
  <si>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</si>
  <si>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</si>
  <si>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</si>
  <si>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</si>
  <si>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</si>
  <si>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</si>
  <si>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</si>
  <si>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</si>
  <si>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</si>
  <si>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</si>
  <si>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</si>
  <si>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</si>
  <si>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</si>
  <si>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</si>
  <si>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</si>
  <si>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</si>
  <si>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</si>
  <si>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</si>
  <si>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</si>
  <si>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</si>
  <si>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</si>
  <si>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</si>
  <si>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</si>
  <si>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</si>
  <si>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</si>
  <si>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</si>
  <si>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</si>
  <si>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</si>
  <si>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</si>
  <si>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</si>
  <si>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</si>
  <si>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</si>
  <si>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</si>
  <si>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</si>
  <si>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</si>
  <si>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</si>
  <si>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</si>
  <si>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</si>
  <si>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</si>
  <si>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</si>
  <si>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</si>
  <si>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</si>
  <si>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</si>
  <si>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</si>
  <si>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</si>
  <si>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</si>
  <si>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</si>
  <si>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</si>
  <si>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</si>
  <si>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</si>
  <si>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</si>
  <si>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</si>
  <si>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</si>
  <si>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</si>
  <si>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</si>
  <si>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</si>
  <si>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</si>
  <si>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</si>
  <si>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</si>
  <si>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</si>
  <si>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</si>
  <si>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</si>
  <si>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</si>
  <si>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</si>
  <si>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</si>
  <si>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</si>
  <si>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</si>
  <si>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</si>
  <si>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</si>
  <si>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</si>
  <si>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</si>
  <si>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</si>
  <si>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</si>
  <si>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</si>
  <si>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</si>
  <si>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</si>
  <si>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</si>
  <si>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</si>
  <si>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</si>
  <si>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</si>
  <si>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</si>
  <si>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</si>
  <si>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</si>
  <si>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</si>
  <si>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</si>
  <si>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</si>
  <si>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</si>
  <si>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</si>
  <si>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</si>
  <si>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</si>
  <si>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</si>
  <si>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</si>
  <si>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</si>
  <si>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</si>
  <si>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</si>
  <si>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</si>
  <si>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</si>
  <si>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</si>
  <si>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</si>
  <si>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</si>
  <si>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</si>
  <si>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</si>
  <si>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</si>
  <si>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</si>
  <si>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</si>
  <si>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</si>
  <si>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</si>
  <si>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</si>
  <si>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</si>
  <si>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</si>
  <si>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</si>
  <si>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</si>
  <si>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</si>
  <si>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</si>
  <si>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</si>
  <si>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</si>
  <si>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</si>
  <si>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</si>
  <si>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</si>
  <si>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</si>
  <si>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</si>
  <si>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</si>
  <si>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</si>
  <si>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</si>
  <si>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</si>
  <si>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</si>
  <si>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</si>
  <si>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</si>
  <si>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</si>
  <si>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</si>
  <si>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</si>
  <si>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</si>
  <si>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</si>
  <si>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</si>
  <si>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</si>
  <si>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</si>
  <si>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</si>
  <si>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</si>
  <si>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</si>
  <si>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</si>
  <si>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</si>
  <si>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</si>
  <si>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</si>
  <si>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</si>
  <si>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</si>
  <si>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</si>
  <si>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</si>
  <si>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</si>
  <si>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</si>
  <si>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</si>
  <si>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</si>
  <si>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</si>
  <si>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</si>
  <si>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</si>
  <si>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</si>
  <si>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</si>
  <si>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</si>
  <si>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</si>
  <si>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</si>
  <si>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</si>
  <si>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</si>
  <si>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</si>
  <si>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</si>
  <si>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</si>
  <si>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</si>
  <si>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</si>
  <si>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</si>
  <si>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</si>
  <si>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</si>
  <si>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</si>
  <si>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</si>
  <si>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</si>
  <si>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</si>
  <si>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</si>
  <si>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</si>
  <si>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</si>
  <si>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</si>
  <si>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</si>
  <si>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</si>
  <si>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</si>
  <si>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</si>
  <si>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</si>
  <si>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</si>
  <si>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</si>
  <si>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</si>
  <si>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</si>
  <si>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</si>
  <si>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</si>
  <si>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</si>
  <si>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</si>
  <si>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</si>
  <si>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</si>
  <si>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</si>
  <si>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</si>
  <si>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</si>
  <si>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</si>
  <si>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</si>
  <si>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</si>
  <si>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</si>
  <si>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</si>
  <si>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</si>
  <si>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</si>
  <si>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</si>
  <si>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</si>
  <si>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</si>
  <si>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</si>
  <si>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</si>
  <si>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</si>
  <si>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</si>
  <si>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</si>
  <si>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</si>
  <si>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</si>
  <si>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</si>
  <si>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</si>
  <si>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</si>
  <si>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</si>
  <si>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</si>
  <si>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</si>
  <si>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</si>
  <si>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</si>
  <si>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</si>
  <si>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</si>
  <si>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</si>
  <si>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</si>
  <si>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</si>
  <si>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</si>
  <si>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</si>
  <si>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</si>
  <si>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</si>
  <si>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</si>
  <si>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</si>
  <si>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</si>
  <si>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</si>
  <si>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</si>
  <si>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</si>
  <si>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</si>
  <si>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</si>
  <si>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</si>
  <si>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</si>
  <si>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</si>
  <si>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</si>
  <si>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</si>
  <si>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</si>
  <si>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</si>
  <si>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</si>
  <si>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</si>
  <si>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</si>
  <si>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</si>
  <si>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</si>
  <si>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</si>
  <si>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</si>
  <si>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</si>
  <si>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</si>
  <si>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</si>
  <si>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</si>
  <si>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</si>
  <si>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</si>
  <si>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</si>
  <si>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</si>
  <si>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</si>
  <si>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</si>
  <si>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</si>
  <si>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</si>
  <si>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</si>
  <si>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</si>
  <si>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</si>
  <si>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</si>
  <si>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</si>
  <si>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</si>
  <si>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</si>
  <si>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</si>
  <si>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</si>
  <si>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</si>
  <si>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</si>
  <si>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</si>
  <si>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</si>
  <si>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</si>
  <si>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</si>
  <si>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</si>
  <si>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</si>
  <si>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</si>
  <si>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</si>
  <si>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</si>
  <si>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</si>
  <si>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</si>
  <si>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</si>
  <si>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</si>
  <si>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</si>
  <si>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</si>
  <si>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</si>
  <si>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</si>
  <si>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</si>
  <si>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</si>
  <si>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</si>
  <si>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</si>
  <si>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</si>
  <si>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</si>
  <si>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</si>
  <si>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</si>
  <si>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</si>
  <si>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</si>
  <si>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</si>
  <si>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</si>
  <si>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</si>
  <si>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</si>
  <si>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</si>
  <si>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</si>
  <si>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</si>
  <si>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</si>
  <si>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</si>
  <si>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</si>
  <si>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</si>
  <si>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</si>
  <si>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</si>
  <si>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</si>
  <si>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</si>
  <si>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</si>
  <si>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</si>
  <si>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</si>
  <si>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</si>
  <si>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</si>
  <si>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</si>
  <si>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</si>
  <si>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</si>
  <si>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</si>
  <si>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</si>
  <si>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</si>
  <si>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</si>
  <si>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</si>
  <si>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</si>
  <si>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</si>
  <si>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</si>
  <si>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</si>
  <si>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</si>
  <si>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</si>
  <si>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</si>
  <si>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</si>
  <si>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</si>
  <si>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</si>
  <si>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</si>
  <si>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</si>
  <si>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</si>
  <si>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</si>
  <si>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</si>
  <si>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</si>
  <si>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</si>
  <si>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</si>
  <si>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</si>
  <si>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</si>
  <si>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</si>
  <si>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</si>
  <si>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</si>
  <si>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</si>
  <si>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</si>
  <si>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</si>
  <si>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</si>
  <si>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</si>
  <si>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</si>
  <si>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</si>
  <si>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</si>
  <si>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</si>
  <si>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</si>
  <si>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</si>
  <si>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</si>
  <si>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</si>
  <si>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</si>
  <si>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</si>
  <si>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</si>
  <si>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</si>
  <si>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F</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</si>
  <si>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</si>
  <si>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</si>
  <si>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</si>
  <si>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</si>
  <si>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</si>
  <si>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</si>
  <si>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</si>
  <si>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</si>
  <si>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</si>
  <si>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</si>
  <si>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</si>
  <si>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</si>
  <si>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</si>
  <si>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</si>
  <si>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</si>
  <si>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</si>
  <si>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</si>
  <si>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</si>
  <si>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</si>
  <si>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</si>
  <si>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</si>
  <si>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</si>
  <si>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</si>
  <si>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</si>
  <si>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</si>
  <si>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</si>
  <si>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</si>
  <si>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</si>
  <si>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</si>
  <si>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</si>
  <si>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</si>
  <si>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</si>
  <si>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</si>
  <si>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</si>
  <si>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</si>
  <si>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Wichtig: Alte KV-Perioden niemals loeschen oder ueberschreiben. Wenn ab Mai neue Werte gueltig sind, immer eine neue KV-Periode hinzufuegen. In den Monatsblaettern wird spaeter nur der KV-Code ausgewaehlt. Nur Zeilen mit Status OK verwenden.</t>
  </si>
  <si>
    <t>Gueltig ab</t>
  </si>
  <si>
    <t>Gueltig bis</t>
  </si>
  <si>
    <t>Beschaeftigungsdauer</t>
  </si>
  <si>
    <t>Pruefung</t>
  </si>
  <si>
    <t>KV 2025/2026   |   gueltig von 01.05.2025 bis 30.04.2026</t>
  </si>
  <si>
    <t>KV 2026/2027   |   gueltig von 01.05.2026 bis 30.04.2027</t>
  </si>
  <si>
    <t>55|VEGSO TESZT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</si>
</sst>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3" formatCode="dd\.mm\.yyyy\ hh:mm:ss"/>
  </numFmts>
  <fonts count="63">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20"/>
      <color rgb="FFC0504D"/>
      <name val="Aptos Narrow"/>
    </font>
    <font>
      <sz val="11"/>
      <color rgb="FF9C6500"/>
      <name val="Calibri"/>
      <family val="2"/>
      <scheme val="minor"/>
    </font>
    <font>
      <sz val="11"/>
      <color rgb="FF006100"/>
      <name val="Calibri"/>
      <family val="2"/>
      <scheme val="minor"/>
    </font>
    <font>
      <b/>
      <sz val="13"/>
      <color rgb="FF1F4E79"/>
      <name val="Calibri"/>
      <family val="2"/>
      <scheme val="minor"/>
    </font>
    <font>
      <sz val="10"/>
      <color theme="1"/>
      <name val="Calibri"/>
      <family val="2"/>
      <scheme val="minor"/>
    </font>
  </fonts>
  <fills count="29">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EB9C"/>
        <bgColor indexed="64"/>
      </patternFill>
    </fill>
    <fill>
      <patternFill patternType="solid">
        <fgColor rgb="FFC6EFCE"/>
        <bgColor indexed="64"/>
      </patternFill>
    </fill>
    <fill>
      <patternFill patternType="solid">
        <fgColor rgb="FFDDEBF7"/>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
      <patternFill patternType="solid">
        <fgColor rgb="FFEBEBEB"/>
        <bgColor indexed="64"/>
      </patternFill>
    </fill>
  </fills>
  <borders count="9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rgb="FF969696"/>
      </left>
      <right style="thin">
        <color rgb="FF969696"/>
      </right>
      <top style="thin">
        <color rgb="FFB4B4B4"/>
      </top>
      <bottom style="thin">
        <color rgb="FF969696"/>
      </bottom>
      <diagonal/>
    </border>
    <border>
      <left style="thin">
        <color rgb="FF969696"/>
      </left>
      <right style="thin">
        <color rgb="FF969696"/>
      </right>
      <top style="medium">
        <color rgb="FF5A5A5A"/>
      </top>
      <bottom/>
      <diagonal/>
    </border>
    <border>
      <left style="thin">
        <color rgb="FF969696"/>
      </left>
      <right style="thin">
        <color rgb="FF969696"/>
      </right>
      <top style="thin">
        <color rgb="FFB4B4B4"/>
      </top>
      <bottom/>
      <diagonal/>
    </border>
    <border>
      <left style="medium">
        <color rgb="FF5A5A5A"/>
      </left>
      <right style="thin">
        <color rgb="FF969696"/>
      </right>
      <top style="medium">
        <color rgb="FF5A5A5A"/>
      </top>
      <bottom/>
      <diagonal/>
    </border>
    <border>
      <left style="medium">
        <color rgb="FF5A5A5A"/>
      </left>
      <right style="thin">
        <color rgb="FF969696"/>
      </right>
      <top style="thin">
        <color rgb="FFB4B4B4"/>
      </top>
      <bottom/>
      <diagonal/>
    </border>
    <border>
      <left style="medium">
        <color rgb="FF5A5A5A"/>
      </left>
      <right style="thin">
        <color rgb="FF969696"/>
      </right>
      <top style="thin">
        <color rgb="FFB4B4B4"/>
      </top>
      <bottom style="thin">
        <color rgb="FF969696"/>
      </bottom>
      <diagonal/>
    </border>
    <border>
      <left style="thin">
        <color rgb="FF969696"/>
      </left>
      <right style="medium">
        <color rgb="FF5A5A5A"/>
      </right>
      <top style="medium">
        <color rgb="FF5A5A5A"/>
      </top>
      <bottom/>
      <diagonal/>
    </border>
    <border>
      <left style="thin">
        <color rgb="FF969696"/>
      </left>
      <right style="medium">
        <color rgb="FF5A5A5A"/>
      </right>
      <top style="thin">
        <color rgb="FFB4B4B4"/>
      </top>
      <bottom/>
      <diagonal/>
    </border>
    <border>
      <left style="thin">
        <color rgb="FF969696"/>
      </left>
      <right style="medium">
        <color rgb="FF5A5A5A"/>
      </right>
      <top style="thin">
        <color rgb="FFB4B4B4"/>
      </top>
      <bottom style="thin">
        <color rgb="FF969696"/>
      </bottom>
      <diagonal/>
    </border>
    <border>
      <left style="medium">
        <color rgb="FF5A5A5A"/>
      </left>
      <right style="thin">
        <color rgb="FF969696"/>
      </right>
      <top style="thin">
        <color rgb="FFB4B4B4"/>
      </top>
      <bottom style="medium">
        <color rgb="FF5A5A5A"/>
      </bottom>
      <diagonal/>
    </border>
    <border>
      <left style="thin">
        <color rgb="FF969696"/>
      </left>
      <right style="thin">
        <color rgb="FF969696"/>
      </right>
      <top style="thin">
        <color rgb="FFB4B4B4"/>
      </top>
      <bottom style="medium">
        <color rgb="FF5A5A5A"/>
      </bottom>
      <diagonal/>
    </border>
    <border>
      <left style="thin">
        <color rgb="FF969696"/>
      </left>
      <right style="medium">
        <color rgb="FF5A5A5A"/>
      </right>
      <top style="thin">
        <color rgb="FFB4B4B4"/>
      </top>
      <bottom style="medium">
        <color rgb="FF5A5A5A"/>
      </bottom>
      <diagonal/>
    </border>
    <border>
      <left style="medium">
        <color rgb="FF5A5A5A"/>
      </left>
      <right style="thin">
        <color rgb="FF969696"/>
      </right>
      <top/>
      <bottom/>
      <diagonal/>
    </border>
    <border>
      <left style="thin">
        <color rgb="FF969696"/>
      </left>
      <right style="thin">
        <color rgb="FF969696"/>
      </right>
      <top/>
      <bottom/>
      <diagonal/>
    </border>
    <border>
      <left style="thin">
        <color rgb="FF969696"/>
      </left>
      <right style="medium">
        <color rgb="FF5A5A5A"/>
      </right>
      <top/>
      <bottom/>
      <diagonal/>
    </border>
    <border>
      <left style="thin">
        <color rgb="FF969696"/>
      </left>
      <right style="thin">
        <color rgb="FF969696"/>
      </right>
      <top style="medium">
        <color rgb="FF787878"/>
      </top>
      <bottom/>
      <diagonal/>
    </border>
    <border>
      <left style="medium">
        <color rgb="FF5A5A5A"/>
      </left>
      <right style="thin">
        <color rgb="FF969696"/>
      </right>
      <top style="medium">
        <color rgb="FF787878"/>
      </top>
      <bottom/>
      <diagonal/>
    </border>
    <border>
      <left style="thin">
        <color rgb="FF969696"/>
      </left>
      <right style="medium">
        <color rgb="FF5A5A5A"/>
      </right>
      <top style="medium">
        <color rgb="FF787878"/>
      </top>
      <bottom/>
      <diagonal/>
    </border>
    <border>
      <left style="thin">
        <color rgb="FF969696"/>
      </left>
      <right style="thin">
        <color rgb="FF969696"/>
      </right>
      <top style="thin">
        <color rgb="FF969696"/>
      </top>
      <bottom/>
      <diagonal/>
    </border>
    <border>
      <left style="medium">
        <color rgb="FF5A5A5A"/>
      </left>
      <right style="thin">
        <color rgb="FF969696"/>
      </right>
      <top style="thin">
        <color rgb="FF969696"/>
      </top>
      <bottom/>
      <diagonal/>
    </border>
    <border>
      <left style="thin">
        <color rgb="FF969696"/>
      </left>
      <right style="medium">
        <color rgb="FF5A5A5A"/>
      </right>
      <top style="thin">
        <color rgb="FF969696"/>
      </top>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6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3" fillId="0" borderId="76" xfId="0" applyFont="1" applyBorder="1" applyAlignment="1">
      <alignment horizontal="center" vertical="center"/>
    </xf>
    <xf numFmtId="0" fontId="0" fillId="0" borderId="76" xfId="0" applyBorder="1" applyAlignment="1">
      <alignment vertical="center"/>
    </xf>
    <xf numFmtId="0" fontId="59" fillId="22" borderId="76" xfId="0" applyFont="1" applyFill="1" applyBorder="1" applyAlignment="1">
      <alignment vertical="center"/>
    </xf>
    <xf numFmtId="0" fontId="60" fillId="23" borderId="76" xfId="0" applyFont="1" applyFill="1" applyBorder="1" applyAlignment="1">
      <alignment vertical="center"/>
    </xf>
    <xf numFmtId="0" fontId="0" fillId="0" borderId="76" xfId="0" applyBorder="1" applyAlignment="1">
      <alignment vertical="top" wrapText="1"/>
    </xf>
    <xf numFmtId="173" fontId="0" fillId="0" borderId="76" xfId="0" applyNumberFormat="1" applyBorder="1" applyAlignment="1">
      <alignment horizont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61" fillId="24" borderId="75" xfId="0" applyFont="1" applyFill="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0" fontId="57" fillId="0" borderId="0" xfId="0" applyFont="1" applyAlignment="1">
      <alignment horizontal="center" vertical="center"/>
    </xf>
    <xf numFmtId="0" fontId="55" fillId="0" borderId="0" xfId="0" applyFont="1" applyAlignment="1">
      <alignment horizontal="center" vertic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166" fontId="5" fillId="0" borderId="1"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36" xfId="0" applyFont="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0" fontId="5" fillId="7" borderId="14" xfId="0" applyFont="1" applyFill="1" applyBorder="1" applyAlignment="1">
      <alignment horizontal="left"/>
    </xf>
    <xf numFmtId="0" fontId="5" fillId="7" borderId="1" xfId="0" applyFont="1" applyFill="1" applyBorder="1" applyAlignment="1">
      <alignment horizontal="left"/>
    </xf>
    <xf numFmtId="0" fontId="5" fillId="4" borderId="14" xfId="0" applyFont="1" applyFill="1" applyBorder="1" applyAlignment="1">
      <alignment horizontal="left"/>
    </xf>
    <xf numFmtId="0" fontId="5" fillId="4" borderId="1" xfId="0" applyFont="1" applyFill="1" applyBorder="1" applyAlignment="1">
      <alignment horizontal="left"/>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66" fontId="5" fillId="0" borderId="0" xfId="0" applyNumberFormat="1" applyFont="1" applyAlignment="1">
      <alignment horizontal="center"/>
    </xf>
    <xf numFmtId="2" fontId="5" fillId="0" borderId="0" xfId="0" applyNumberFormat="1" applyFont="1" applyAlignment="1">
      <alignment horizont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7" fillId="0" borderId="0" xfId="0" applyFont="1" applyAlignment="1">
      <alignment horizontal="center" wrapText="1"/>
    </xf>
    <xf numFmtId="10" fontId="5" fillId="0" borderId="0" xfId="0" applyNumberFormat="1" applyFont="1" applyAlignment="1">
      <alignment horizontal="center"/>
    </xf>
    <xf numFmtId="0" fontId="9" fillId="4" borderId="29" xfId="0" applyFont="1" applyFill="1" applyBorder="1" applyAlignment="1">
      <alignment horizontal="center"/>
    </xf>
    <xf numFmtId="0" fontId="9" fillId="4" borderId="49"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46" fillId="10" borderId="1"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horizontal="left" vertical="center" wrapText="1"/>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21" fillId="0" borderId="76" xfId="0" applyFont="1" applyBorder="1" applyAlignment="1">
      <alignment vertical="center"/>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5" fillId="0" borderId="32" xfId="0" applyFont="1" applyBorder="1" applyAlignment="1">
      <alignment horizontal="left" vertical="center" wrapText="1"/>
    </xf>
    <xf numFmtId="0" fontId="56" fillId="0" borderId="28" xfId="0" applyFont="1" applyBorder="1" applyAlignment="1">
      <alignment horizontal="center" vertical="center"/>
    </xf>
    <xf numFmtId="166" fontId="56" fillId="0" borderId="28" xfId="0" applyNumberFormat="1" applyFont="1" applyBorder="1" applyAlignment="1">
      <alignment horizontal="center" vertical="center"/>
    </xf>
    <xf numFmtId="171" fontId="3" fillId="28" borderId="95" xfId="0" applyNumberFormat="1" applyFont="1" applyFill="1" applyBorder="1" applyAlignment="1" applyProtection="1">
      <alignment horizontal="center" vertical="center"/>
    </xf>
    <xf numFmtId="0" fontId="3" fillId="28" borderId="95" xfId="0" applyFont="1" applyFill="1" applyBorder="1" applyAlignment="1" applyProtection="1">
      <alignment horizontal="center" vertical="center"/>
    </xf>
    <xf numFmtId="2" fontId="3" fillId="28" borderId="95" xfId="0" applyNumberFormat="1" applyFont="1" applyFill="1" applyBorder="1" applyAlignment="1" applyProtection="1">
      <alignment horizontal="center" vertical="center"/>
    </xf>
    <xf numFmtId="166" fontId="3" fillId="28" borderId="95" xfId="0" applyNumberFormat="1" applyFont="1" applyFill="1" applyBorder="1" applyAlignment="1" applyProtection="1">
      <alignment horizontal="center" vertical="center"/>
    </xf>
    <xf numFmtId="49" fontId="3" fillId="28" borderId="96" xfId="0" applyNumberFormat="1" applyFont="1" applyFill="1" applyBorder="1" applyAlignment="1" applyProtection="1">
      <alignment horizontal="center" vertical="center"/>
    </xf>
    <xf numFmtId="0" fontId="3" fillId="28" borderId="97" xfId="0" applyFont="1" applyFill="1" applyBorder="1" applyAlignment="1" applyProtection="1">
      <alignment horizontal="center" vertical="center"/>
    </xf>
    <xf numFmtId="49" fontId="62" fillId="25" borderId="80" xfId="0" applyNumberFormat="1" applyFont="1" applyFill="1" applyBorder="1" applyAlignment="1" applyProtection="1">
      <alignment horizontal="center" vertical="center"/>
    </xf>
    <xf numFmtId="171" fontId="62" fillId="25" borderId="78" xfId="0" applyNumberFormat="1" applyFont="1" applyFill="1" applyBorder="1" applyAlignment="1" applyProtection="1">
      <alignment horizontal="center" vertical="center"/>
    </xf>
    <xf numFmtId="0" fontId="62" fillId="25" borderId="78" xfId="0" applyFont="1" applyFill="1" applyBorder="1" applyAlignment="1" applyProtection="1">
      <alignment horizontal="center" vertical="center"/>
    </xf>
    <xf numFmtId="2" fontId="62" fillId="25" borderId="78" xfId="0" applyNumberFormat="1" applyFont="1" applyFill="1" applyBorder="1" applyAlignment="1" applyProtection="1">
      <alignment horizontal="center" vertical="center"/>
      <protection locked="0"/>
    </xf>
    <xf numFmtId="166" fontId="62" fillId="25" borderId="78" xfId="0" applyNumberFormat="1" applyFont="1" applyFill="1" applyBorder="1" applyAlignment="1" applyProtection="1">
      <alignment horizontal="center" vertical="center"/>
      <protection locked="0"/>
    </xf>
    <xf numFmtId="0" fontId="62" fillId="25" borderId="83" xfId="0" applyFont="1" applyFill="1" applyBorder="1" applyAlignment="1" applyProtection="1">
      <alignment horizontal="center" vertical="center"/>
    </xf>
    <xf numFmtId="49" fontId="62" fillId="25" borderId="81" xfId="0" applyNumberFormat="1" applyFont="1" applyFill="1" applyBorder="1" applyAlignment="1" applyProtection="1">
      <alignment horizontal="center" vertical="center"/>
    </xf>
    <xf numFmtId="171" fontId="62" fillId="25" borderId="79" xfId="0" applyNumberFormat="1" applyFont="1" applyFill="1" applyBorder="1" applyAlignment="1" applyProtection="1">
      <alignment horizontal="center" vertical="center"/>
    </xf>
    <xf numFmtId="0" fontId="62" fillId="25" borderId="79" xfId="0" applyFont="1" applyFill="1" applyBorder="1" applyAlignment="1" applyProtection="1">
      <alignment horizontal="center" vertical="center"/>
    </xf>
    <xf numFmtId="2" fontId="62" fillId="25" borderId="79" xfId="0" applyNumberFormat="1" applyFont="1" applyFill="1" applyBorder="1" applyAlignment="1" applyProtection="1">
      <alignment horizontal="center" vertical="center"/>
      <protection locked="0"/>
    </xf>
    <xf numFmtId="166" fontId="62" fillId="25" borderId="79" xfId="0" applyNumberFormat="1" applyFont="1" applyFill="1" applyBorder="1" applyAlignment="1" applyProtection="1">
      <alignment horizontal="center" vertical="center"/>
      <protection locked="0"/>
    </xf>
    <xf numFmtId="0" fontId="62" fillId="25" borderId="84" xfId="0" applyFont="1" applyFill="1" applyBorder="1" applyAlignment="1" applyProtection="1">
      <alignment horizontal="center" vertical="center"/>
    </xf>
    <xf numFmtId="49" fontId="62" fillId="25" borderId="93" xfId="0" applyNumberFormat="1" applyFont="1" applyFill="1" applyBorder="1" applyAlignment="1" applyProtection="1">
      <alignment horizontal="center" vertical="center"/>
    </xf>
    <xf numFmtId="171" fontId="62" fillId="25" borderId="92" xfId="0" applyNumberFormat="1" applyFont="1" applyFill="1" applyBorder="1" applyAlignment="1" applyProtection="1">
      <alignment horizontal="center" vertical="center"/>
    </xf>
    <xf numFmtId="0" fontId="62" fillId="25" borderId="92" xfId="0" applyFont="1" applyFill="1" applyBorder="1" applyAlignment="1" applyProtection="1">
      <alignment horizontal="center" vertical="center"/>
    </xf>
    <xf numFmtId="2" fontId="62" fillId="25" borderId="92" xfId="0" applyNumberFormat="1" applyFont="1" applyFill="1" applyBorder="1" applyAlignment="1" applyProtection="1">
      <alignment horizontal="center" vertical="center"/>
      <protection locked="0"/>
    </xf>
    <xf numFmtId="166" fontId="62" fillId="25" borderId="92" xfId="0" applyNumberFormat="1" applyFont="1" applyFill="1" applyBorder="1" applyAlignment="1" applyProtection="1">
      <alignment horizontal="center" vertical="center"/>
      <protection locked="0"/>
    </xf>
    <xf numFmtId="0" fontId="62" fillId="25" borderId="94" xfId="0" applyFont="1" applyFill="1" applyBorder="1" applyAlignment="1" applyProtection="1">
      <alignment horizontal="center" vertical="center"/>
    </xf>
    <xf numFmtId="49" fontId="62" fillId="26" borderId="93" xfId="0" applyNumberFormat="1" applyFont="1" applyFill="1" applyBorder="1" applyAlignment="1" applyProtection="1">
      <alignment horizontal="center" vertical="center"/>
    </xf>
    <xf numFmtId="171" fontId="62" fillId="26" borderId="92" xfId="0" applyNumberFormat="1" applyFont="1" applyFill="1" applyBorder="1" applyAlignment="1" applyProtection="1">
      <alignment horizontal="center" vertical="center"/>
    </xf>
    <xf numFmtId="0" fontId="62" fillId="26" borderId="92" xfId="0" applyFont="1" applyFill="1" applyBorder="1" applyAlignment="1" applyProtection="1">
      <alignment horizontal="center" vertical="center"/>
    </xf>
    <xf numFmtId="2" fontId="62" fillId="26" borderId="92" xfId="0" applyNumberFormat="1" applyFont="1" applyFill="1" applyBorder="1" applyAlignment="1" applyProtection="1">
      <alignment horizontal="center" vertical="center"/>
      <protection locked="0"/>
    </xf>
    <xf numFmtId="166" fontId="62" fillId="26" borderId="92" xfId="0" applyNumberFormat="1" applyFont="1" applyFill="1" applyBorder="1" applyAlignment="1" applyProtection="1">
      <alignment horizontal="center" vertical="center"/>
      <protection locked="0"/>
    </xf>
    <xf numFmtId="0" fontId="62" fillId="26" borderId="94" xfId="0" applyFont="1" applyFill="1" applyBorder="1" applyAlignment="1" applyProtection="1">
      <alignment horizontal="center" vertical="center"/>
    </xf>
    <xf numFmtId="49" fontId="62" fillId="26" borderId="81" xfId="0" applyNumberFormat="1" applyFont="1" applyFill="1" applyBorder="1" applyAlignment="1" applyProtection="1">
      <alignment horizontal="center" vertical="center"/>
    </xf>
    <xf numFmtId="171" fontId="62" fillId="26" borderId="79" xfId="0" applyNumberFormat="1" applyFont="1" applyFill="1" applyBorder="1" applyAlignment="1" applyProtection="1">
      <alignment horizontal="center" vertical="center"/>
    </xf>
    <xf numFmtId="0" fontId="62" fillId="26" borderId="79" xfId="0" applyFont="1" applyFill="1" applyBorder="1" applyAlignment="1" applyProtection="1">
      <alignment horizontal="center" vertical="center"/>
    </xf>
    <xf numFmtId="2" fontId="62" fillId="26" borderId="79" xfId="0" applyNumberFormat="1" applyFont="1" applyFill="1" applyBorder="1" applyAlignment="1" applyProtection="1">
      <alignment horizontal="center" vertical="center"/>
      <protection locked="0"/>
    </xf>
    <xf numFmtId="166" fontId="62" fillId="26" borderId="79" xfId="0" applyNumberFormat="1" applyFont="1" applyFill="1" applyBorder="1" applyAlignment="1" applyProtection="1">
      <alignment horizontal="center" vertical="center"/>
      <protection locked="0"/>
    </xf>
    <xf numFmtId="0" fontId="62" fillId="26" borderId="84" xfId="0" applyFont="1" applyFill="1" applyBorder="1" applyAlignment="1" applyProtection="1">
      <alignment horizontal="center" vertical="center"/>
    </xf>
    <xf numFmtId="49" fontId="62" fillId="27" borderId="93" xfId="0" applyNumberFormat="1" applyFont="1" applyFill="1" applyBorder="1" applyAlignment="1" applyProtection="1">
      <alignment horizontal="center" vertical="center"/>
    </xf>
    <xf numFmtId="171" fontId="62" fillId="27" borderId="92" xfId="0" applyNumberFormat="1" applyFont="1" applyFill="1" applyBorder="1" applyAlignment="1" applyProtection="1">
      <alignment horizontal="center" vertical="center"/>
    </xf>
    <xf numFmtId="0" fontId="62" fillId="27" borderId="92" xfId="0" applyFont="1" applyFill="1" applyBorder="1" applyAlignment="1" applyProtection="1">
      <alignment horizontal="center" vertical="center"/>
    </xf>
    <xf numFmtId="2" fontId="62" fillId="27" borderId="92" xfId="0" applyNumberFormat="1" applyFont="1" applyFill="1" applyBorder="1" applyAlignment="1" applyProtection="1">
      <alignment horizontal="center" vertical="center"/>
      <protection locked="0"/>
    </xf>
    <xf numFmtId="166" fontId="62" fillId="27" borderId="92" xfId="0" applyNumberFormat="1" applyFont="1" applyFill="1" applyBorder="1" applyAlignment="1" applyProtection="1">
      <alignment horizontal="center" vertical="center"/>
      <protection locked="0"/>
    </xf>
    <xf numFmtId="0" fontId="62" fillId="27" borderId="94" xfId="0" applyFont="1" applyFill="1" applyBorder="1" applyAlignment="1" applyProtection="1">
      <alignment horizontal="center" vertical="center"/>
    </xf>
    <xf numFmtId="49" fontId="62" fillId="27" borderId="81" xfId="0" applyNumberFormat="1" applyFont="1" applyFill="1" applyBorder="1" applyAlignment="1" applyProtection="1">
      <alignment horizontal="center" vertical="center"/>
    </xf>
    <xf numFmtId="171" fontId="62" fillId="27" borderId="79" xfId="0" applyNumberFormat="1" applyFont="1" applyFill="1" applyBorder="1" applyAlignment="1" applyProtection="1">
      <alignment horizontal="center" vertical="center"/>
    </xf>
    <xf numFmtId="0" fontId="62" fillId="27" borderId="79" xfId="0" applyFont="1" applyFill="1" applyBorder="1" applyAlignment="1" applyProtection="1">
      <alignment horizontal="center" vertical="center"/>
    </xf>
    <xf numFmtId="2" fontId="62" fillId="27" borderId="79" xfId="0" applyNumberFormat="1" applyFont="1" applyFill="1" applyBorder="1" applyAlignment="1" applyProtection="1">
      <alignment horizontal="center" vertical="center"/>
      <protection locked="0"/>
    </xf>
    <xf numFmtId="166" fontId="62" fillId="27" borderId="79" xfId="0" applyNumberFormat="1" applyFont="1" applyFill="1" applyBorder="1" applyAlignment="1" applyProtection="1">
      <alignment horizontal="center" vertical="center"/>
      <protection locked="0"/>
    </xf>
    <xf numFmtId="0" fontId="62" fillId="27" borderId="84" xfId="0" applyFont="1" applyFill="1" applyBorder="1" applyAlignment="1" applyProtection="1">
      <alignment horizontal="center" vertical="center"/>
    </xf>
    <xf numFmtId="49" fontId="62" fillId="27" borderId="82" xfId="0" applyNumberFormat="1" applyFont="1" applyFill="1" applyBorder="1" applyAlignment="1" applyProtection="1">
      <alignment horizontal="center" vertical="center"/>
    </xf>
    <xf numFmtId="171" fontId="62" fillId="27" borderId="77" xfId="0" applyNumberFormat="1" applyFont="1" applyFill="1" applyBorder="1" applyAlignment="1" applyProtection="1">
      <alignment horizontal="center" vertical="center"/>
    </xf>
    <xf numFmtId="0" fontId="62" fillId="27" borderId="77" xfId="0" applyFont="1" applyFill="1" applyBorder="1" applyAlignment="1" applyProtection="1">
      <alignment horizontal="center" vertical="center"/>
    </xf>
    <xf numFmtId="2" fontId="62" fillId="27" borderId="77" xfId="0" applyNumberFormat="1" applyFont="1" applyFill="1" applyBorder="1" applyAlignment="1" applyProtection="1">
      <alignment horizontal="center" vertical="center"/>
      <protection locked="0"/>
    </xf>
    <xf numFmtId="166" fontId="62" fillId="27" borderId="77" xfId="0" applyNumberFormat="1" applyFont="1" applyFill="1" applyBorder="1" applyAlignment="1" applyProtection="1">
      <alignment horizontal="center" vertical="center"/>
      <protection locked="0"/>
    </xf>
    <xf numFmtId="0" fontId="62" fillId="27" borderId="85" xfId="0" applyFont="1" applyFill="1" applyBorder="1" applyAlignment="1" applyProtection="1">
      <alignment horizontal="center" vertical="center"/>
    </xf>
    <xf numFmtId="49" fontId="62" fillId="27" borderId="86" xfId="0" applyNumberFormat="1" applyFont="1" applyFill="1" applyBorder="1" applyAlignment="1" applyProtection="1">
      <alignment horizontal="center" vertical="center"/>
    </xf>
    <xf numFmtId="171" fontId="62" fillId="27" borderId="87" xfId="0" applyNumberFormat="1" applyFont="1" applyFill="1" applyBorder="1" applyAlignment="1" applyProtection="1">
      <alignment horizontal="center" vertical="center"/>
    </xf>
    <xf numFmtId="0" fontId="62" fillId="27" borderId="87" xfId="0" applyFont="1" applyFill="1" applyBorder="1" applyAlignment="1" applyProtection="1">
      <alignment horizontal="center" vertical="center"/>
    </xf>
    <xf numFmtId="2" fontId="62" fillId="27" borderId="87" xfId="0" applyNumberFormat="1" applyFont="1" applyFill="1" applyBorder="1" applyAlignment="1" applyProtection="1">
      <alignment horizontal="center" vertical="center"/>
      <protection locked="0"/>
    </xf>
    <xf numFmtId="166" fontId="62" fillId="27" borderId="87" xfId="0" applyNumberFormat="1" applyFont="1" applyFill="1" applyBorder="1" applyAlignment="1" applyProtection="1">
      <alignment horizontal="center" vertical="center"/>
      <protection locked="0"/>
    </xf>
    <xf numFmtId="0" fontId="62" fillId="27" borderId="88" xfId="0" applyFont="1" applyFill="1" applyBorder="1" applyAlignment="1" applyProtection="1">
      <alignment horizontal="center" vertical="center"/>
    </xf>
    <xf numFmtId="171" fontId="3" fillId="28" borderId="90" xfId="0" applyNumberFormat="1" applyFont="1" applyFill="1" applyBorder="1" applyAlignment="1" applyProtection="1">
      <alignment horizontal="center" vertical="center"/>
    </xf>
    <xf numFmtId="0" fontId="3" fillId="28" borderId="90" xfId="0" applyFont="1" applyFill="1" applyBorder="1" applyAlignment="1" applyProtection="1">
      <alignment horizontal="center" vertical="center"/>
    </xf>
    <xf numFmtId="2" fontId="3" fillId="28" borderId="90" xfId="0" applyNumberFormat="1" applyFont="1" applyFill="1" applyBorder="1" applyAlignment="1" applyProtection="1">
      <alignment horizontal="center" vertical="center"/>
    </xf>
    <xf numFmtId="166" fontId="3" fillId="28" borderId="90" xfId="0" applyNumberFormat="1" applyFont="1" applyFill="1" applyBorder="1" applyAlignment="1" applyProtection="1">
      <alignment horizontal="center" vertical="center"/>
    </xf>
    <xf numFmtId="49" fontId="3" fillId="28" borderId="89" xfId="0" applyNumberFormat="1" applyFont="1" applyFill="1" applyBorder="1" applyAlignment="1" applyProtection="1">
      <alignment horizontal="center" vertical="center"/>
    </xf>
    <xf numFmtId="0" fontId="3" fillId="28" borderId="91" xfId="0"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25400</xdr:rowOff>
    </xdr:from>
    <xdr:to>
      <xdr:col>11</xdr:col>
      <xdr:colOff>622300</xdr:colOff>
      <xdr:row>0</xdr:row>
      <xdr:rowOff>304800</xdr:rowOff>
    </xdr:to>
    <xdr:sp macro="AddNewKVPeriodOnTop" textlink="">
      <xdr:nvSpPr>
        <xdr:cNvPr id="26" name="btn_AddNewKVPeriodOnTop">
          <a:extLst>
            <a:ext uri="{FF2B5EF4-FFF2-40B4-BE49-F238E27FC236}">
              <a16:creationId xmlns:a16="http://schemas.microsoft.com/office/drawing/2014/main" id="{20EDD296-9DD4-B79F-B496-DC5FDDCB16AE}"/>
            </a:ext>
          </a:extLst>
        </xdr:cNvPr>
        <xdr:cNvSpPr/>
      </xdr:nvSpPr>
      <xdr:spPr>
        <a:xfrm>
          <a:off x="11264900" y="25400"/>
          <a:ext cx="2794000" cy="2794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Neuen KV-Zeitraum oben einfuegen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19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221" t="s">
        <v>0</v>
      </c>
      <c r="B1" s="223" t="s">
        <v>1</v>
      </c>
      <c r="C1" s="225" t="s">
        <v>2</v>
      </c>
      <c r="D1" s="225"/>
      <c r="I1" s="18" t="s">
        <v>3</v>
      </c>
      <c r="J1" s="228"/>
      <c r="K1" s="228"/>
      <c r="L1" s="228"/>
      <c r="M1" s="228"/>
      <c r="O1" s="177" t="s">
        <v>208</v>
      </c>
      <c r="P1" s="177" t="s">
        <v>212</v>
      </c>
    </row>
    <row r="2" spans="1:18" ht="22" thickBot="1">
      <c r="A2" s="222"/>
      <c r="B2" s="224"/>
      <c r="C2" s="54" t="str">
        <f>G3-1&amp;"/"&amp;G3</f>
        <v>2025/2026</v>
      </c>
      <c r="D2" s="54" t="str">
        <f>G3 &amp; "/" &amp; G3+1</f>
        <v>2026/2027</v>
      </c>
      <c r="I2" s="14"/>
      <c r="J2" s="229" t="s">
        <v>204</v>
      </c>
      <c r="K2" s="229"/>
      <c r="L2" s="229"/>
      <c r="M2" s="229"/>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26" t="s">
        <v>202</v>
      </c>
      <c r="J17" s="227"/>
      <c r="K17" s="227"/>
      <c r="L17" s="227"/>
      <c r="M17" s="227"/>
      <c r="N17" s="124"/>
      <c r="O17" s="176" t="s">
        <v>224</v>
      </c>
      <c r="P17" s="175">
        <v>0.3</v>
      </c>
      <c r="Q17" s="13" t="s">
        <v>24</v>
      </c>
      <c r="R17" s="13"/>
    </row>
    <row r="18" spans="1:18" ht="17">
      <c r="A18" s="21" t="s">
        <v>8</v>
      </c>
      <c r="B18" s="22">
        <v>138.4</v>
      </c>
      <c r="C18" s="103">
        <v>1665.6</v>
      </c>
      <c r="D18" s="104">
        <v>1665.6</v>
      </c>
      <c r="I18" s="226"/>
      <c r="J18" s="227"/>
      <c r="K18" s="227"/>
      <c r="L18" s="227"/>
      <c r="M18" s="227"/>
      <c r="N18" s="124"/>
      <c r="O18" s="176" t="s">
        <v>225</v>
      </c>
      <c r="P18" s="175">
        <v>0.5</v>
      </c>
      <c r="Q18" s="13"/>
      <c r="R18" s="13"/>
    </row>
    <row r="19" spans="1:18" ht="17">
      <c r="A19" s="21" t="s">
        <v>8</v>
      </c>
      <c r="B19" s="22">
        <v>129.75</v>
      </c>
      <c r="C19" s="103">
        <v>1561.5</v>
      </c>
      <c r="D19" s="104">
        <v>1561.5</v>
      </c>
      <c r="I19" s="226"/>
      <c r="J19" s="227"/>
      <c r="K19" s="227"/>
      <c r="L19" s="227"/>
      <c r="M19" s="227"/>
      <c r="N19" s="124"/>
      <c r="O19" s="176" t="s">
        <v>226</v>
      </c>
      <c r="P19" s="175">
        <v>0.75</v>
      </c>
      <c r="Q19" s="13"/>
      <c r="R19" s="13"/>
    </row>
    <row r="20" spans="1:18" ht="17">
      <c r="A20" s="21" t="s">
        <v>8</v>
      </c>
      <c r="B20" s="22">
        <v>108.13</v>
      </c>
      <c r="C20" s="103">
        <v>1301.25</v>
      </c>
      <c r="D20" s="104">
        <v>1301.25</v>
      </c>
      <c r="I20" s="226"/>
      <c r="J20" s="227"/>
      <c r="K20" s="227"/>
      <c r="L20" s="227"/>
      <c r="M20" s="227"/>
      <c r="N20" s="124"/>
      <c r="O20" s="176" t="s">
        <v>227</v>
      </c>
      <c r="P20" s="175">
        <v>1</v>
      </c>
    </row>
    <row r="21" spans="1:18" ht="17">
      <c r="A21" s="21" t="s">
        <v>8</v>
      </c>
      <c r="B21" s="22">
        <v>103.8</v>
      </c>
      <c r="C21" s="103">
        <v>1249.2</v>
      </c>
      <c r="D21" s="104">
        <v>1249.2</v>
      </c>
      <c r="I21" s="226"/>
      <c r="J21" s="227"/>
      <c r="K21" s="227"/>
      <c r="L21" s="227"/>
      <c r="M21" s="227"/>
      <c r="N21" s="124"/>
      <c r="O21" s="176" t="s">
        <v>228</v>
      </c>
      <c r="P21" s="175">
        <v>1.25</v>
      </c>
    </row>
    <row r="22" spans="1:18" ht="17">
      <c r="A22" s="21" t="s">
        <v>8</v>
      </c>
      <c r="B22" s="22">
        <v>86.5</v>
      </c>
      <c r="C22" s="103">
        <v>1041.2</v>
      </c>
      <c r="D22" s="104">
        <v>1041.2</v>
      </c>
      <c r="I22" s="226"/>
      <c r="J22" s="227"/>
      <c r="K22" s="227"/>
      <c r="L22" s="227"/>
      <c r="M22" s="227"/>
      <c r="N22" s="124"/>
      <c r="O22" s="176" t="s">
        <v>229</v>
      </c>
      <c r="P22" s="175">
        <v>1.5</v>
      </c>
    </row>
    <row r="23" spans="1:18" ht="17">
      <c r="A23" s="21" t="s">
        <v>8</v>
      </c>
      <c r="B23" s="22">
        <v>69.2</v>
      </c>
      <c r="C23" s="103">
        <v>832.8</v>
      </c>
      <c r="D23" s="104">
        <v>832.8</v>
      </c>
      <c r="I23" s="226"/>
      <c r="J23" s="227"/>
      <c r="K23" s="227"/>
      <c r="L23" s="227"/>
      <c r="M23" s="227"/>
      <c r="N23" s="124"/>
      <c r="O23" s="176" t="s">
        <v>230</v>
      </c>
      <c r="P23" s="175">
        <v>2</v>
      </c>
    </row>
    <row r="24" spans="1:18">
      <c r="A24" s="21" t="s">
        <v>8</v>
      </c>
      <c r="B24" s="22">
        <v>51.9</v>
      </c>
      <c r="C24" s="103">
        <v>624.6</v>
      </c>
      <c r="D24" s="104">
        <v>624.6</v>
      </c>
      <c r="I24" s="226"/>
      <c r="J24" s="227"/>
      <c r="K24" s="227"/>
      <c r="L24" s="227"/>
      <c r="M24" s="227"/>
      <c r="N24" s="124"/>
      <c r="O24" s="124"/>
    </row>
    <row r="25" spans="1:18">
      <c r="A25" s="21" t="s">
        <v>8</v>
      </c>
      <c r="B25" s="22">
        <v>47.58</v>
      </c>
      <c r="C25" s="103">
        <v>575.54999999999995</v>
      </c>
      <c r="D25" s="104">
        <v>575.54999999999995</v>
      </c>
      <c r="I25" s="226"/>
      <c r="J25" s="227"/>
      <c r="K25" s="227"/>
      <c r="L25" s="227"/>
      <c r="M25" s="227"/>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ajodUWUR0IGEPg9LWQ4BwXReBXXgGGdro7AtxSjLxsmTUCVMUUr150b10+QL6Jj0lzv6ILtQZd8Bd5WsLCBnw==" saltValue="WhCiYauW18pr37YC/6+jBg=="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317"/>
  <sheetViews>
    <sheetView showGridLines="0" zoomScale="120" zoomScaleNormal="120" workbookViewId="0">
      <pane ySplit="3" topLeftCell="A4" activePane="bottomLeft" state="frozen"/>
      <selection pane="bottomLeft" activeCell="L8" sqref="L8"/>
    </sheetView>
  </sheetViews>
  <sheetFormatPr baseColWidth="10" defaultRowHeight="18" customHeight="1"/>
  <cols>
    <col min="1" max="1" width="16.83203125" style="183" customWidth="1"/>
    <col min="2" max="3" width="13.6640625" style="183" customWidth="1"/>
    <col min="4" max="4" width="14.83203125" style="183" customWidth="1"/>
    <col min="5" max="5" width="12.6640625" style="183" customWidth="1"/>
    <col min="6" max="6" width="24.6640625" style="183" customWidth="1"/>
    <col min="7" max="7" width="13.83203125" style="183" customWidth="1"/>
    <col min="8" max="8" width="14.83203125" style="190" customWidth="1"/>
    <col min="9" max="9" width="22.83203125" style="183" customWidth="1"/>
    <col min="10" max="10" width="24.83203125" style="183" customWidth="1"/>
    <col min="11" max="11" width="3.6640625" customWidth="1"/>
    <col min="12" max="14" width="18.83203125" customWidth="1"/>
    <col min="27" max="29" width="0" hidden="1" customWidth="1"/>
  </cols>
  <sheetData>
    <row r="1" spans="1:10" ht="28" customHeight="1">
      <c r="A1" s="219" t="s">
        <v>320</v>
      </c>
      <c r="B1" s="220"/>
      <c r="C1" s="220"/>
      <c r="D1" s="220"/>
      <c r="E1" s="220"/>
      <c r="F1" s="220"/>
      <c r="G1" s="220"/>
      <c r="H1" s="220"/>
      <c r="I1" s="220"/>
      <c r="J1" s="220"/>
    </row>
    <row r="2" spans="1:10" ht="36" customHeight="1">
      <c r="A2" s="391" t="s">
        <v>415</v>
      </c>
      <c r="B2" s="391"/>
      <c r="C2" s="391"/>
      <c r="D2" s="391"/>
      <c r="E2" s="391"/>
      <c r="F2" s="391"/>
      <c r="G2" s="391"/>
      <c r="H2" s="391"/>
      <c r="I2" s="391"/>
      <c r="J2" s="391"/>
    </row>
    <row r="3" spans="1:10" ht="24" customHeight="1">
      <c r="A3" s="392" t="s">
        <v>325</v>
      </c>
      <c r="B3" s="392" t="s">
        <v>416</v>
      </c>
      <c r="C3" s="392" t="s">
        <v>417</v>
      </c>
      <c r="D3" s="392" t="s">
        <v>330</v>
      </c>
      <c r="E3" s="392" t="s">
        <v>326</v>
      </c>
      <c r="F3" s="392" t="s">
        <v>418</v>
      </c>
      <c r="G3" s="392" t="s">
        <v>327</v>
      </c>
      <c r="H3" s="393" t="s">
        <v>2</v>
      </c>
      <c r="I3" s="392" t="s">
        <v>328</v>
      </c>
      <c r="J3" s="392" t="s">
        <v>419</v>
      </c>
    </row>
    <row r="4" spans="1:10" ht="24" customHeight="1" thickBot="1">
      <c r="A4" s="398" t="s">
        <v>421</v>
      </c>
      <c r="B4" s="394"/>
      <c r="C4" s="394"/>
      <c r="D4" s="395"/>
      <c r="E4" s="395"/>
      <c r="F4" s="395"/>
      <c r="G4" s="396"/>
      <c r="H4" s="397"/>
      <c r="I4" s="395"/>
      <c r="J4" s="399"/>
    </row>
    <row r="5" spans="1:10" ht="24" customHeight="1">
      <c r="A5" s="400" t="s">
        <v>329</v>
      </c>
      <c r="B5" s="401">
        <v>46143</v>
      </c>
      <c r="C5" s="401">
        <v>46507</v>
      </c>
      <c r="D5" s="402" t="s">
        <v>331</v>
      </c>
      <c r="E5" s="402" t="s">
        <v>4</v>
      </c>
      <c r="F5" s="402" t="s">
        <v>321</v>
      </c>
      <c r="G5" s="403">
        <v>173</v>
      </c>
      <c r="H5" s="404"/>
      <c r="I5" s="402" t="str">
        <f>IF($A5="","",IF(OR($B5="",$C5="",$D5="",$E5="",$F5=""),"Stammdaten fehlen",IF(AND($G5="",$H5=""),"Werte fehlen",IF($G5="","Monatsstunden fehlen",IF($H5="","Monatslohn fehlt","OK")))))</f>
        <v>Monatslohn fehlt</v>
      </c>
      <c r="J5" s="405" t="str">
        <f>IF($G5="","",IF(COUNTIFS($A:$A,$A5,$D:$D,$D5,$G:$G,$G5)&gt;1,"Doppelte Monatsstunden",""))</f>
        <v/>
      </c>
    </row>
    <row r="6" spans="1:10" ht="24" customHeight="1">
      <c r="A6" s="406" t="s">
        <v>329</v>
      </c>
      <c r="B6" s="407">
        <v>46143</v>
      </c>
      <c r="C6" s="407">
        <v>46507</v>
      </c>
      <c r="D6" s="408" t="s">
        <v>331</v>
      </c>
      <c r="E6" s="408" t="s">
        <v>4</v>
      </c>
      <c r="F6" s="408" t="s">
        <v>321</v>
      </c>
      <c r="G6" s="409">
        <v>151.38</v>
      </c>
      <c r="H6" s="410"/>
      <c r="I6" s="408" t="str">
        <f>IF($A6="","",IF(OR($B6="",$C6="",$D6="",$E6="",$F6=""),"Stammdaten fehlen",IF(AND($G6="",$H6=""),"Werte fehlen",IF($G6="","Monatsstunden fehlen",IF($H6="","Monatslohn fehlt","OK")))))</f>
        <v>Monatslohn fehlt</v>
      </c>
      <c r="J6" s="411" t="str">
        <f>IF($G6="","",IF(COUNTIFS($A:$A,$A6,$D:$D,$D6,$G:$G,$G6)&gt;1,"Doppelte Monatsstunden",""))</f>
        <v/>
      </c>
    </row>
    <row r="7" spans="1:10" ht="24" customHeight="1">
      <c r="A7" s="406" t="s">
        <v>329</v>
      </c>
      <c r="B7" s="407">
        <v>46143</v>
      </c>
      <c r="C7" s="407">
        <v>46507</v>
      </c>
      <c r="D7" s="408" t="s">
        <v>331</v>
      </c>
      <c r="E7" s="408" t="s">
        <v>4</v>
      </c>
      <c r="F7" s="408" t="s">
        <v>321</v>
      </c>
      <c r="G7" s="409">
        <v>138.4</v>
      </c>
      <c r="H7" s="410"/>
      <c r="I7" s="408" t="str">
        <f>IF($A7="","",IF(OR($B7="",$C7="",$D7="",$E7="",$F7=""),"Stammdaten fehlen",IF(AND($G7="",$H7=""),"Werte fehlen",IF($G7="","Monatsstunden fehlen",IF($H7="","Monatslohn fehlt","OK")))))</f>
        <v>Monatslohn fehlt</v>
      </c>
      <c r="J7" s="411" t="str">
        <f>IF($G7="","",IF(COUNTIFS($A:$A,$A7,$D:$D,$D7,$G:$G,$G7)&gt;1,"Doppelte Monatsstunden",""))</f>
        <v/>
      </c>
    </row>
    <row r="8" spans="1:10" ht="24" customHeight="1">
      <c r="A8" s="406" t="s">
        <v>329</v>
      </c>
      <c r="B8" s="407">
        <v>46143</v>
      </c>
      <c r="C8" s="407">
        <v>46507</v>
      </c>
      <c r="D8" s="408" t="s">
        <v>331</v>
      </c>
      <c r="E8" s="408" t="s">
        <v>4</v>
      </c>
      <c r="F8" s="408" t="s">
        <v>321</v>
      </c>
      <c r="G8" s="409">
        <v>129.75</v>
      </c>
      <c r="H8" s="410"/>
      <c r="I8" s="408" t="str">
        <f>IF($A8="","",IF(OR($B8="",$C8="",$D8="",$E8="",$F8=""),"Stammdaten fehlen",IF(AND($G8="",$H8=""),"Werte fehlen",IF($G8="","Monatsstunden fehlen",IF($H8="","Monatslohn fehlt","OK")))))</f>
        <v>Monatslohn fehlt</v>
      </c>
      <c r="J8" s="411" t="str">
        <f>IF($G8="","",IF(COUNTIFS($A:$A,$A8,$D:$D,$D8,$G:$G,$G8)&gt;1,"Doppelte Monatsstunden",""))</f>
        <v/>
      </c>
    </row>
    <row r="9" spans="1:10" ht="24" customHeight="1">
      <c r="A9" s="406" t="s">
        <v>329</v>
      </c>
      <c r="B9" s="407">
        <v>46143</v>
      </c>
      <c r="C9" s="407">
        <v>46507</v>
      </c>
      <c r="D9" s="408" t="s">
        <v>331</v>
      </c>
      <c r="E9" s="408" t="s">
        <v>4</v>
      </c>
      <c r="F9" s="408" t="s">
        <v>321</v>
      </c>
      <c r="G9" s="409">
        <v>108.13</v>
      </c>
      <c r="H9" s="410"/>
      <c r="I9" s="408" t="str">
        <f>IF($A9="","",IF(OR($B9="",$C9="",$D9="",$E9="",$F9=""),"Stammdaten fehlen",IF(AND($G9="",$H9=""),"Werte fehlen",IF($G9="","Monatsstunden fehlen",IF($H9="","Monatslohn fehlt","OK")))))</f>
        <v>Monatslohn fehlt</v>
      </c>
      <c r="J9" s="411" t="str">
        <f>IF($G9="","",IF(COUNTIFS($A:$A,$A9,$D:$D,$D9,$G:$G,$G9)&gt;1,"Doppelte Monatsstunden",""))</f>
        <v/>
      </c>
    </row>
    <row r="10" spans="1:10" ht="24" customHeight="1">
      <c r="A10" s="406" t="s">
        <v>329</v>
      </c>
      <c r="B10" s="407">
        <v>46143</v>
      </c>
      <c r="C10" s="407">
        <v>46507</v>
      </c>
      <c r="D10" s="408" t="s">
        <v>331</v>
      </c>
      <c r="E10" s="408" t="s">
        <v>4</v>
      </c>
      <c r="F10" s="408" t="s">
        <v>321</v>
      </c>
      <c r="G10" s="409">
        <v>103.8</v>
      </c>
      <c r="H10" s="410"/>
      <c r="I10" s="408" t="str">
        <f>IF($A10="","",IF(OR($B10="",$C10="",$D10="",$E10="",$F10=""),"Stammdaten fehlen",IF(AND($G10="",$H10=""),"Werte fehlen",IF($G10="","Monatsstunden fehlen",IF($H10="","Monatslohn fehlt","OK")))))</f>
        <v>Monatslohn fehlt</v>
      </c>
      <c r="J10" s="411" t="str">
        <f>IF($G10="","",IF(COUNTIFS($A:$A,$A10,$D:$D,$D10,$G:$G,$G10)&gt;1,"Doppelte Monatsstunden",""))</f>
        <v/>
      </c>
    </row>
    <row r="11" spans="1:10" ht="24" customHeight="1">
      <c r="A11" s="406" t="s">
        <v>329</v>
      </c>
      <c r="B11" s="407">
        <v>46143</v>
      </c>
      <c r="C11" s="407">
        <v>46507</v>
      </c>
      <c r="D11" s="408" t="s">
        <v>331</v>
      </c>
      <c r="E11" s="408" t="s">
        <v>4</v>
      </c>
      <c r="F11" s="408" t="s">
        <v>321</v>
      </c>
      <c r="G11" s="409">
        <v>86.5</v>
      </c>
      <c r="H11" s="410"/>
      <c r="I11" s="408" t="str">
        <f>IF($A11="","",IF(OR($B11="",$C11="",$D11="",$E11="",$F11=""),"Stammdaten fehlen",IF(AND($G11="",$H11=""),"Werte fehlen",IF($G11="","Monatsstunden fehlen",IF($H11="","Monatslohn fehlt","OK")))))</f>
        <v>Monatslohn fehlt</v>
      </c>
      <c r="J11" s="411" t="str">
        <f>IF($G11="","",IF(COUNTIFS($A:$A,$A11,$D:$D,$D11,$G:$G,$G11)&gt;1,"Doppelte Monatsstunden",""))</f>
        <v/>
      </c>
    </row>
    <row r="12" spans="1:10" ht="24" customHeight="1">
      <c r="A12" s="406" t="s">
        <v>329</v>
      </c>
      <c r="B12" s="407">
        <v>46143</v>
      </c>
      <c r="C12" s="407">
        <v>46507</v>
      </c>
      <c r="D12" s="408" t="s">
        <v>331</v>
      </c>
      <c r="E12" s="408" t="s">
        <v>4</v>
      </c>
      <c r="F12" s="408" t="s">
        <v>321</v>
      </c>
      <c r="G12" s="409">
        <v>69.2</v>
      </c>
      <c r="H12" s="410"/>
      <c r="I12" s="408" t="str">
        <f>IF($A12="","",IF(OR($B12="",$C12="",$D12="",$E12="",$F12=""),"Stammdaten fehlen",IF(AND($G12="",$H12=""),"Werte fehlen",IF($G12="","Monatsstunden fehlen",IF($H12="","Monatslohn fehlt","OK")))))</f>
        <v>Monatslohn fehlt</v>
      </c>
      <c r="J12" s="411" t="str">
        <f>IF($G12="","",IF(COUNTIFS($A:$A,$A12,$D:$D,$D12,$G:$G,$G12)&gt;1,"Doppelte Monatsstunden",""))</f>
        <v/>
      </c>
    </row>
    <row r="13" spans="1:10" ht="24" customHeight="1">
      <c r="A13" s="406" t="s">
        <v>329</v>
      </c>
      <c r="B13" s="407">
        <v>46143</v>
      </c>
      <c r="C13" s="407">
        <v>46507</v>
      </c>
      <c r="D13" s="408" t="s">
        <v>331</v>
      </c>
      <c r="E13" s="408" t="s">
        <v>4</v>
      </c>
      <c r="F13" s="408" t="s">
        <v>321</v>
      </c>
      <c r="G13" s="409">
        <v>51.9</v>
      </c>
      <c r="H13" s="410"/>
      <c r="I13" s="408" t="str">
        <f>IF($A13="","",IF(OR($B13="",$C13="",$D13="",$E13="",$F13=""),"Stammdaten fehlen",IF(AND($G13="",$H13=""),"Werte fehlen",IF($G13="","Monatsstunden fehlen",IF($H13="","Monatslohn fehlt","OK")))))</f>
        <v>Monatslohn fehlt</v>
      </c>
      <c r="J13" s="411" t="str">
        <f>IF($G13="","",IF(COUNTIFS($A:$A,$A13,$D:$D,$D13,$G:$G,$G13)&gt;1,"Doppelte Monatsstunden",""))</f>
        <v/>
      </c>
    </row>
    <row r="14" spans="1:10" ht="24" customHeight="1">
      <c r="A14" s="406" t="s">
        <v>329</v>
      </c>
      <c r="B14" s="407">
        <v>46143</v>
      </c>
      <c r="C14" s="407">
        <v>46507</v>
      </c>
      <c r="D14" s="408" t="s">
        <v>331</v>
      </c>
      <c r="E14" s="408" t="s">
        <v>4</v>
      </c>
      <c r="F14" s="408" t="s">
        <v>321</v>
      </c>
      <c r="G14" s="409">
        <v>47.58</v>
      </c>
      <c r="H14" s="410"/>
      <c r="I14" s="408" t="str">
        <f>IF($A14="","",IF(OR($B14="",$C14="",$D14="",$E14="",$F14=""),"Stammdaten fehlen",IF(AND($G14="",$H14=""),"Werte fehlen",IF($G14="","Monatsstunden fehlen",IF($H14="","Monatslohn fehlt","OK")))))</f>
        <v>Monatslohn fehlt</v>
      </c>
      <c r="J14" s="411" t="str">
        <f>IF($G14="","",IF(COUNTIFS($A:$A,$A14,$D:$D,$D14,$G:$G,$G14)&gt;1,"Doppelte Monatsstunden",""))</f>
        <v/>
      </c>
    </row>
    <row r="15" spans="1:10" ht="24" customHeight="1">
      <c r="A15" s="406" t="s">
        <v>329</v>
      </c>
      <c r="B15" s="407">
        <v>46143</v>
      </c>
      <c r="C15" s="407">
        <v>46507</v>
      </c>
      <c r="D15" s="408" t="s">
        <v>331</v>
      </c>
      <c r="E15" s="408" t="s">
        <v>4</v>
      </c>
      <c r="F15" s="408" t="s">
        <v>321</v>
      </c>
      <c r="G15" s="409">
        <v>43.25</v>
      </c>
      <c r="H15" s="410"/>
      <c r="I15" s="408" t="str">
        <f>IF($A15="","",IF(OR($B15="",$C15="",$D15="",$E15="",$F15=""),"Stammdaten fehlen",IF(AND($G15="",$H15=""),"Werte fehlen",IF($G15="","Monatsstunden fehlen",IF($H15="","Monatslohn fehlt","OK")))))</f>
        <v>Monatslohn fehlt</v>
      </c>
      <c r="J15" s="411" t="str">
        <f>IF($G15="","",IF(COUNTIFS($A:$A,$A15,$D:$D,$D15,$G:$G,$G15)&gt;1,"Doppelte Monatsstunden",""))</f>
        <v/>
      </c>
    </row>
    <row r="16" spans="1:10" ht="24" customHeight="1">
      <c r="A16" s="406" t="s">
        <v>329</v>
      </c>
      <c r="B16" s="407">
        <v>46143</v>
      </c>
      <c r="C16" s="407">
        <v>46507</v>
      </c>
      <c r="D16" s="408" t="s">
        <v>331</v>
      </c>
      <c r="E16" s="408" t="s">
        <v>4</v>
      </c>
      <c r="F16" s="408" t="s">
        <v>321</v>
      </c>
      <c r="G16" s="409">
        <v>34.6</v>
      </c>
      <c r="H16" s="410"/>
      <c r="I16" s="408" t="str">
        <f>IF($A16="","",IF(OR($B16="",$C16="",$D16="",$E16="",$F16=""),"Stammdaten fehlen",IF(AND($G16="",$H16=""),"Werte fehlen",IF($G16="","Monatsstunden fehlen",IF($H16="","Monatslohn fehlt","OK")))))</f>
        <v>Monatslohn fehlt</v>
      </c>
      <c r="J16" s="411" t="str">
        <f>IF($G16="","",IF(COUNTIFS($A:$A,$A16,$D:$D,$D16,$G:$G,$G16)&gt;1,"Doppelte Monatsstunden",""))</f>
        <v/>
      </c>
    </row>
    <row r="17" spans="1:10" ht="24" customHeight="1" thickBot="1">
      <c r="A17" s="406" t="s">
        <v>329</v>
      </c>
      <c r="B17" s="407">
        <v>46143</v>
      </c>
      <c r="C17" s="407">
        <v>46507</v>
      </c>
      <c r="D17" s="408" t="s">
        <v>331</v>
      </c>
      <c r="E17" s="408" t="s">
        <v>4</v>
      </c>
      <c r="F17" s="408" t="s">
        <v>321</v>
      </c>
      <c r="G17" s="409">
        <v>32.01</v>
      </c>
      <c r="H17" s="410"/>
      <c r="I17" s="408" t="str">
        <f>IF($A17="","",IF(OR($B17="",$C17="",$D17="",$E17="",$F17=""),"Stammdaten fehlen",IF(AND($G17="",$H17=""),"Werte fehlen",IF($G17="","Monatsstunden fehlen",IF($H17="","Monatslohn fehlt","OK")))))</f>
        <v>Monatslohn fehlt</v>
      </c>
      <c r="J17" s="411" t="str">
        <f>IF($G17="","",IF(COUNTIFS($A:$A,$A17,$D:$D,$D17,$G:$G,$G17)&gt;1,"Doppelte Monatsstunden",""))</f>
        <v/>
      </c>
    </row>
    <row r="18" spans="1:10" ht="24" customHeight="1">
      <c r="A18" s="412" t="s">
        <v>329</v>
      </c>
      <c r="B18" s="413">
        <v>46143</v>
      </c>
      <c r="C18" s="413">
        <v>46507</v>
      </c>
      <c r="D18" s="414" t="s">
        <v>8</v>
      </c>
      <c r="E18" s="414" t="s">
        <v>4</v>
      </c>
      <c r="F18" s="414" t="s">
        <v>322</v>
      </c>
      <c r="G18" s="415">
        <v>173</v>
      </c>
      <c r="H18" s="416"/>
      <c r="I18" s="414" t="str">
        <f>IF($A18="","",IF(OR($B18="",$C18="",$D18="",$E18="",$F18=""),"Stammdaten fehlen",IF(AND($G18="",$H18=""),"Werte fehlen",IF($G18="","Monatsstunden fehlen",IF($H18="","Monatslohn fehlt","OK")))))</f>
        <v>Monatslohn fehlt</v>
      </c>
      <c r="J18" s="417" t="str">
        <f>IF($G18="","",IF(COUNTIFS($A:$A,$A18,$D:$D,$D18,$G:$G,$G18)&gt;1,"Doppelte Monatsstunden",""))</f>
        <v/>
      </c>
    </row>
    <row r="19" spans="1:10" ht="24" customHeight="1">
      <c r="A19" s="406" t="s">
        <v>329</v>
      </c>
      <c r="B19" s="407">
        <v>46143</v>
      </c>
      <c r="C19" s="407">
        <v>46507</v>
      </c>
      <c r="D19" s="408" t="s">
        <v>8</v>
      </c>
      <c r="E19" s="408" t="s">
        <v>4</v>
      </c>
      <c r="F19" s="408" t="s">
        <v>322</v>
      </c>
      <c r="G19" s="409">
        <v>151.38</v>
      </c>
      <c r="H19" s="410"/>
      <c r="I19" s="408" t="str">
        <f>IF($A19="","",IF(OR($B19="",$C19="",$D19="",$E19="",$F19=""),"Stammdaten fehlen",IF(AND($G19="",$H19=""),"Werte fehlen",IF($G19="","Monatsstunden fehlen",IF($H19="","Monatslohn fehlt","OK")))))</f>
        <v>Monatslohn fehlt</v>
      </c>
      <c r="J19" s="411" t="str">
        <f>IF($G19="","",IF(COUNTIFS($A:$A,$A19,$D:$D,$D19,$G:$G,$G19)&gt;1,"Doppelte Monatsstunden",""))</f>
        <v/>
      </c>
    </row>
    <row r="20" spans="1:10" ht="24" customHeight="1">
      <c r="A20" s="406" t="s">
        <v>329</v>
      </c>
      <c r="B20" s="407">
        <v>46143</v>
      </c>
      <c r="C20" s="407">
        <v>46507</v>
      </c>
      <c r="D20" s="408" t="s">
        <v>8</v>
      </c>
      <c r="E20" s="408" t="s">
        <v>4</v>
      </c>
      <c r="F20" s="408" t="s">
        <v>322</v>
      </c>
      <c r="G20" s="409">
        <v>138.4</v>
      </c>
      <c r="H20" s="410"/>
      <c r="I20" s="408" t="str">
        <f>IF($A20="","",IF(OR($B20="",$C20="",$D20="",$E20="",$F20=""),"Stammdaten fehlen",IF(AND($G20="",$H20=""),"Werte fehlen",IF($G20="","Monatsstunden fehlen",IF($H20="","Monatslohn fehlt","OK")))))</f>
        <v>Monatslohn fehlt</v>
      </c>
      <c r="J20" s="411" t="str">
        <f>IF($G20="","",IF(COUNTIFS($A:$A,$A20,$D:$D,$D20,$G:$G,$G20)&gt;1,"Doppelte Monatsstunden",""))</f>
        <v/>
      </c>
    </row>
    <row r="21" spans="1:10" ht="24" customHeight="1">
      <c r="A21" s="406" t="s">
        <v>329</v>
      </c>
      <c r="B21" s="407">
        <v>46143</v>
      </c>
      <c r="C21" s="407">
        <v>46507</v>
      </c>
      <c r="D21" s="408" t="s">
        <v>8</v>
      </c>
      <c r="E21" s="408" t="s">
        <v>4</v>
      </c>
      <c r="F21" s="408" t="s">
        <v>322</v>
      </c>
      <c r="G21" s="409">
        <v>129.75</v>
      </c>
      <c r="H21" s="410"/>
      <c r="I21" s="408" t="str">
        <f>IF($A21="","",IF(OR($B21="",$C21="",$D21="",$E21="",$F21=""),"Stammdaten fehlen",IF(AND($G21="",$H21=""),"Werte fehlen",IF($G21="","Monatsstunden fehlen",IF($H21="","Monatslohn fehlt","OK")))))</f>
        <v>Monatslohn fehlt</v>
      </c>
      <c r="J21" s="411" t="str">
        <f>IF($G21="","",IF(COUNTIFS($A:$A,$A21,$D:$D,$D21,$G:$G,$G21)&gt;1,"Doppelte Monatsstunden",""))</f>
        <v/>
      </c>
    </row>
    <row r="22" spans="1:10" ht="24" customHeight="1">
      <c r="A22" s="406" t="s">
        <v>329</v>
      </c>
      <c r="B22" s="407">
        <v>46143</v>
      </c>
      <c r="C22" s="407">
        <v>46507</v>
      </c>
      <c r="D22" s="408" t="s">
        <v>8</v>
      </c>
      <c r="E22" s="408" t="s">
        <v>4</v>
      </c>
      <c r="F22" s="408" t="s">
        <v>322</v>
      </c>
      <c r="G22" s="409">
        <v>108.13</v>
      </c>
      <c r="H22" s="410"/>
      <c r="I22" s="408" t="str">
        <f>IF($A22="","",IF(OR($B22="",$C22="",$D22="",$E22="",$F22=""),"Stammdaten fehlen",IF(AND($G22="",$H22=""),"Werte fehlen",IF($G22="","Monatsstunden fehlen",IF($H22="","Monatslohn fehlt","OK")))))</f>
        <v>Monatslohn fehlt</v>
      </c>
      <c r="J22" s="411" t="str">
        <f>IF($G22="","",IF(COUNTIFS($A:$A,$A22,$D:$D,$D22,$G:$G,$G22)&gt;1,"Doppelte Monatsstunden",""))</f>
        <v/>
      </c>
    </row>
    <row r="23" spans="1:10" ht="24" customHeight="1">
      <c r="A23" s="406" t="s">
        <v>329</v>
      </c>
      <c r="B23" s="407">
        <v>46143</v>
      </c>
      <c r="C23" s="407">
        <v>46507</v>
      </c>
      <c r="D23" s="408" t="s">
        <v>8</v>
      </c>
      <c r="E23" s="408" t="s">
        <v>4</v>
      </c>
      <c r="F23" s="408" t="s">
        <v>322</v>
      </c>
      <c r="G23" s="409">
        <v>103.8</v>
      </c>
      <c r="H23" s="410"/>
      <c r="I23" s="408" t="str">
        <f>IF($A23="","",IF(OR($B23="",$C23="",$D23="",$E23="",$F23=""),"Stammdaten fehlen",IF(AND($G23="",$H23=""),"Werte fehlen",IF($G23="","Monatsstunden fehlen",IF($H23="","Monatslohn fehlt","OK")))))</f>
        <v>Monatslohn fehlt</v>
      </c>
      <c r="J23" s="411" t="str">
        <f>IF($G23="","",IF(COUNTIFS($A:$A,$A23,$D:$D,$D23,$G:$G,$G23)&gt;1,"Doppelte Monatsstunden",""))</f>
        <v/>
      </c>
    </row>
    <row r="24" spans="1:10" ht="24" customHeight="1">
      <c r="A24" s="406" t="s">
        <v>329</v>
      </c>
      <c r="B24" s="407">
        <v>46143</v>
      </c>
      <c r="C24" s="407">
        <v>46507</v>
      </c>
      <c r="D24" s="408" t="s">
        <v>8</v>
      </c>
      <c r="E24" s="408" t="s">
        <v>4</v>
      </c>
      <c r="F24" s="408" t="s">
        <v>322</v>
      </c>
      <c r="G24" s="409">
        <v>86.5</v>
      </c>
      <c r="H24" s="410"/>
      <c r="I24" s="408" t="str">
        <f>IF($A24="","",IF(OR($B24="",$C24="",$D24="",$E24="",$F24=""),"Stammdaten fehlen",IF(AND($G24="",$H24=""),"Werte fehlen",IF($G24="","Monatsstunden fehlen",IF($H24="","Monatslohn fehlt","OK")))))</f>
        <v>Monatslohn fehlt</v>
      </c>
      <c r="J24" s="411" t="str">
        <f>IF($G24="","",IF(COUNTIFS($A:$A,$A24,$D:$D,$D24,$G:$G,$G24)&gt;1,"Doppelte Monatsstunden",""))</f>
        <v/>
      </c>
    </row>
    <row r="25" spans="1:10" ht="24" customHeight="1">
      <c r="A25" s="406" t="s">
        <v>329</v>
      </c>
      <c r="B25" s="407">
        <v>46143</v>
      </c>
      <c r="C25" s="407">
        <v>46507</v>
      </c>
      <c r="D25" s="408" t="s">
        <v>8</v>
      </c>
      <c r="E25" s="408" t="s">
        <v>4</v>
      </c>
      <c r="F25" s="408" t="s">
        <v>322</v>
      </c>
      <c r="G25" s="409">
        <v>69.2</v>
      </c>
      <c r="H25" s="410"/>
      <c r="I25" s="408" t="str">
        <f>IF($A25="","",IF(OR($B25="",$C25="",$D25="",$E25="",$F25=""),"Stammdaten fehlen",IF(AND($G25="",$H25=""),"Werte fehlen",IF($G25="","Monatsstunden fehlen",IF($H25="","Monatslohn fehlt","OK")))))</f>
        <v>Monatslohn fehlt</v>
      </c>
      <c r="J25" s="411" t="str">
        <f>IF($G25="","",IF(COUNTIFS($A:$A,$A25,$D:$D,$D25,$G:$G,$G25)&gt;1,"Doppelte Monatsstunden",""))</f>
        <v/>
      </c>
    </row>
    <row r="26" spans="1:10" ht="24" customHeight="1">
      <c r="A26" s="406" t="s">
        <v>329</v>
      </c>
      <c r="B26" s="407">
        <v>46143</v>
      </c>
      <c r="C26" s="407">
        <v>46507</v>
      </c>
      <c r="D26" s="408" t="s">
        <v>8</v>
      </c>
      <c r="E26" s="408" t="s">
        <v>4</v>
      </c>
      <c r="F26" s="408" t="s">
        <v>322</v>
      </c>
      <c r="G26" s="409">
        <v>51.9</v>
      </c>
      <c r="H26" s="410"/>
      <c r="I26" s="408" t="str">
        <f>IF($A26="","",IF(OR($B26="",$C26="",$D26="",$E26="",$F26=""),"Stammdaten fehlen",IF(AND($G26="",$H26=""),"Werte fehlen",IF($G26="","Monatsstunden fehlen",IF($H26="","Monatslohn fehlt","OK")))))</f>
        <v>Monatslohn fehlt</v>
      </c>
      <c r="J26" s="411" t="str">
        <f>IF($G26="","",IF(COUNTIFS($A:$A,$A26,$D:$D,$D26,$G:$G,$G26)&gt;1,"Doppelte Monatsstunden",""))</f>
        <v/>
      </c>
    </row>
    <row r="27" spans="1:10" ht="24" customHeight="1">
      <c r="A27" s="406" t="s">
        <v>329</v>
      </c>
      <c r="B27" s="407">
        <v>46143</v>
      </c>
      <c r="C27" s="407">
        <v>46507</v>
      </c>
      <c r="D27" s="408" t="s">
        <v>8</v>
      </c>
      <c r="E27" s="408" t="s">
        <v>4</v>
      </c>
      <c r="F27" s="408" t="s">
        <v>322</v>
      </c>
      <c r="G27" s="409">
        <v>47.58</v>
      </c>
      <c r="H27" s="410"/>
      <c r="I27" s="408" t="str">
        <f>IF($A27="","",IF(OR($B27="",$C27="",$D27="",$E27="",$F27=""),"Stammdaten fehlen",IF(AND($G27="",$H27=""),"Werte fehlen",IF($G27="","Monatsstunden fehlen",IF($H27="","Monatslohn fehlt","OK")))))</f>
        <v>Monatslohn fehlt</v>
      </c>
      <c r="J27" s="411" t="str">
        <f>IF($G27="","",IF(COUNTIFS($A:$A,$A27,$D:$D,$D27,$G:$G,$G27)&gt;1,"Doppelte Monatsstunden",""))</f>
        <v/>
      </c>
    </row>
    <row r="28" spans="1:10" ht="24" customHeight="1">
      <c r="A28" s="406" t="s">
        <v>329</v>
      </c>
      <c r="B28" s="407">
        <v>46143</v>
      </c>
      <c r="C28" s="407">
        <v>46507</v>
      </c>
      <c r="D28" s="408" t="s">
        <v>8</v>
      </c>
      <c r="E28" s="408" t="s">
        <v>4</v>
      </c>
      <c r="F28" s="408" t="s">
        <v>322</v>
      </c>
      <c r="G28" s="409">
        <v>43.25</v>
      </c>
      <c r="H28" s="410"/>
      <c r="I28" s="408" t="str">
        <f>IF($A28="","",IF(OR($B28="",$C28="",$D28="",$E28="",$F28=""),"Stammdaten fehlen",IF(AND($G28="",$H28=""),"Werte fehlen",IF($G28="","Monatsstunden fehlen",IF($H28="","Monatslohn fehlt","OK")))))</f>
        <v>Monatslohn fehlt</v>
      </c>
      <c r="J28" s="411" t="str">
        <f>IF($G28="","",IF(COUNTIFS($A:$A,$A28,$D:$D,$D28,$G:$G,$G28)&gt;1,"Doppelte Monatsstunden",""))</f>
        <v/>
      </c>
    </row>
    <row r="29" spans="1:10" ht="24" customHeight="1">
      <c r="A29" s="406" t="s">
        <v>329</v>
      </c>
      <c r="B29" s="407">
        <v>46143</v>
      </c>
      <c r="C29" s="407">
        <v>46507</v>
      </c>
      <c r="D29" s="408" t="s">
        <v>8</v>
      </c>
      <c r="E29" s="408" t="s">
        <v>4</v>
      </c>
      <c r="F29" s="408" t="s">
        <v>322</v>
      </c>
      <c r="G29" s="409">
        <v>34.6</v>
      </c>
      <c r="H29" s="410"/>
      <c r="I29" s="408" t="str">
        <f>IF($A29="","",IF(OR($B29="",$C29="",$D29="",$E29="",$F29=""),"Stammdaten fehlen",IF(AND($G29="",$H29=""),"Werte fehlen",IF($G29="","Monatsstunden fehlen",IF($H29="","Monatslohn fehlt","OK")))))</f>
        <v>Monatslohn fehlt</v>
      </c>
      <c r="J29" s="411" t="str">
        <f>IF($G29="","",IF(COUNTIFS($A:$A,$A29,$D:$D,$D29,$G:$G,$G29)&gt;1,"Doppelte Monatsstunden",""))</f>
        <v/>
      </c>
    </row>
    <row r="30" spans="1:10" ht="24" customHeight="1" thickBot="1">
      <c r="A30" s="406" t="s">
        <v>329</v>
      </c>
      <c r="B30" s="407">
        <v>46143</v>
      </c>
      <c r="C30" s="407">
        <v>46507</v>
      </c>
      <c r="D30" s="408" t="s">
        <v>8</v>
      </c>
      <c r="E30" s="408" t="s">
        <v>4</v>
      </c>
      <c r="F30" s="408" t="s">
        <v>322</v>
      </c>
      <c r="G30" s="409">
        <v>32.01</v>
      </c>
      <c r="H30" s="410"/>
      <c r="I30" s="408" t="str">
        <f>IF($A30="","",IF(OR($B30="",$C30="",$D30="",$E30="",$F30=""),"Stammdaten fehlen",IF(AND($G30="",$H30=""),"Werte fehlen",IF($G30="","Monatsstunden fehlen",IF($H30="","Monatslohn fehlt","OK")))))</f>
        <v>Monatslohn fehlt</v>
      </c>
      <c r="J30" s="411" t="str">
        <f>IF($G30="","",IF(COUNTIFS($A:$A,$A30,$D:$D,$D30,$G:$G,$G30)&gt;1,"Doppelte Monatsstunden",""))</f>
        <v/>
      </c>
    </row>
    <row r="31" spans="1:10" ht="24" customHeight="1">
      <c r="A31" s="412" t="s">
        <v>329</v>
      </c>
      <c r="B31" s="413">
        <v>46143</v>
      </c>
      <c r="C31" s="413">
        <v>46507</v>
      </c>
      <c r="D31" s="414" t="s">
        <v>10</v>
      </c>
      <c r="E31" s="414" t="s">
        <v>4</v>
      </c>
      <c r="F31" s="414" t="s">
        <v>323</v>
      </c>
      <c r="G31" s="415">
        <v>173</v>
      </c>
      <c r="H31" s="416"/>
      <c r="I31" s="414" t="str">
        <f>IF($A31="","",IF(OR($B31="",$C31="",$D31="",$E31="",$F31=""),"Stammdaten fehlen",IF(AND($G31="",$H31=""),"Werte fehlen",IF($G31="","Monatsstunden fehlen",IF($H31="","Monatslohn fehlt","OK")))))</f>
        <v>Monatslohn fehlt</v>
      </c>
      <c r="J31" s="417" t="str">
        <f>IF($G31="","",IF(COUNTIFS($A:$A,$A31,$D:$D,$D31,$G:$G,$G31)&gt;1,"Doppelte Monatsstunden",""))</f>
        <v/>
      </c>
    </row>
    <row r="32" spans="1:10" ht="24" customHeight="1">
      <c r="A32" s="406" t="s">
        <v>329</v>
      </c>
      <c r="B32" s="407">
        <v>46143</v>
      </c>
      <c r="C32" s="407">
        <v>46507</v>
      </c>
      <c r="D32" s="408" t="s">
        <v>10</v>
      </c>
      <c r="E32" s="408" t="s">
        <v>4</v>
      </c>
      <c r="F32" s="408" t="s">
        <v>323</v>
      </c>
      <c r="G32" s="409">
        <v>151.38</v>
      </c>
      <c r="H32" s="410"/>
      <c r="I32" s="408" t="str">
        <f>IF($A32="","",IF(OR($B32="",$C32="",$D32="",$E32="",$F32=""),"Stammdaten fehlen",IF(AND($G32="",$H32=""),"Werte fehlen",IF($G32="","Monatsstunden fehlen",IF($H32="","Monatslohn fehlt","OK")))))</f>
        <v>Monatslohn fehlt</v>
      </c>
      <c r="J32" s="411" t="str">
        <f>IF($G32="","",IF(COUNTIFS($A:$A,$A32,$D:$D,$D32,$G:$G,$G32)&gt;1,"Doppelte Monatsstunden",""))</f>
        <v/>
      </c>
    </row>
    <row r="33" spans="1:10" ht="24" customHeight="1">
      <c r="A33" s="406" t="s">
        <v>329</v>
      </c>
      <c r="B33" s="407">
        <v>46143</v>
      </c>
      <c r="C33" s="407">
        <v>46507</v>
      </c>
      <c r="D33" s="408" t="s">
        <v>10</v>
      </c>
      <c r="E33" s="408" t="s">
        <v>4</v>
      </c>
      <c r="F33" s="408" t="s">
        <v>323</v>
      </c>
      <c r="G33" s="409">
        <v>138.4</v>
      </c>
      <c r="H33" s="410"/>
      <c r="I33" s="408" t="str">
        <f>IF($A33="","",IF(OR($B33="",$C33="",$D33="",$E33="",$F33=""),"Stammdaten fehlen",IF(AND($G33="",$H33=""),"Werte fehlen",IF($G33="","Monatsstunden fehlen",IF($H33="","Monatslohn fehlt","OK")))))</f>
        <v>Monatslohn fehlt</v>
      </c>
      <c r="J33" s="411" t="str">
        <f>IF($G33="","",IF(COUNTIFS($A:$A,$A33,$D:$D,$D33,$G:$G,$G33)&gt;1,"Doppelte Monatsstunden",""))</f>
        <v/>
      </c>
    </row>
    <row r="34" spans="1:10" ht="24" customHeight="1">
      <c r="A34" s="406" t="s">
        <v>329</v>
      </c>
      <c r="B34" s="407">
        <v>46143</v>
      </c>
      <c r="C34" s="407">
        <v>46507</v>
      </c>
      <c r="D34" s="408" t="s">
        <v>10</v>
      </c>
      <c r="E34" s="408" t="s">
        <v>4</v>
      </c>
      <c r="F34" s="408" t="s">
        <v>323</v>
      </c>
      <c r="G34" s="409">
        <v>129.75</v>
      </c>
      <c r="H34" s="410"/>
      <c r="I34" s="408" t="str">
        <f>IF($A34="","",IF(OR($B34="",$C34="",$D34="",$E34="",$F34=""),"Stammdaten fehlen",IF(AND($G34="",$H34=""),"Werte fehlen",IF($G34="","Monatsstunden fehlen",IF($H34="","Monatslohn fehlt","OK")))))</f>
        <v>Monatslohn fehlt</v>
      </c>
      <c r="J34" s="411" t="str">
        <f>IF($G34="","",IF(COUNTIFS($A:$A,$A34,$D:$D,$D34,$G:$G,$G34)&gt;1,"Doppelte Monatsstunden",""))</f>
        <v/>
      </c>
    </row>
    <row r="35" spans="1:10" ht="24" customHeight="1">
      <c r="A35" s="406" t="s">
        <v>329</v>
      </c>
      <c r="B35" s="407">
        <v>46143</v>
      </c>
      <c r="C35" s="407">
        <v>46507</v>
      </c>
      <c r="D35" s="408" t="s">
        <v>10</v>
      </c>
      <c r="E35" s="408" t="s">
        <v>4</v>
      </c>
      <c r="F35" s="408" t="s">
        <v>323</v>
      </c>
      <c r="G35" s="409">
        <v>108.13</v>
      </c>
      <c r="H35" s="410"/>
      <c r="I35" s="408" t="str">
        <f>IF($A35="","",IF(OR($B35="",$C35="",$D35="",$E35="",$F35=""),"Stammdaten fehlen",IF(AND($G35="",$H35=""),"Werte fehlen",IF($G35="","Monatsstunden fehlen",IF($H35="","Monatslohn fehlt","OK")))))</f>
        <v>Monatslohn fehlt</v>
      </c>
      <c r="J35" s="411" t="str">
        <f>IF($G35="","",IF(COUNTIFS($A:$A,$A35,$D:$D,$D35,$G:$G,$G35)&gt;1,"Doppelte Monatsstunden",""))</f>
        <v/>
      </c>
    </row>
    <row r="36" spans="1:10" ht="24" customHeight="1">
      <c r="A36" s="406" t="s">
        <v>329</v>
      </c>
      <c r="B36" s="407">
        <v>46143</v>
      </c>
      <c r="C36" s="407">
        <v>46507</v>
      </c>
      <c r="D36" s="408" t="s">
        <v>10</v>
      </c>
      <c r="E36" s="408" t="s">
        <v>4</v>
      </c>
      <c r="F36" s="408" t="s">
        <v>323</v>
      </c>
      <c r="G36" s="409">
        <v>103.8</v>
      </c>
      <c r="H36" s="410"/>
      <c r="I36" s="408" t="str">
        <f>IF($A36="","",IF(OR($B36="",$C36="",$D36="",$E36="",$F36=""),"Stammdaten fehlen",IF(AND($G36="",$H36=""),"Werte fehlen",IF($G36="","Monatsstunden fehlen",IF($H36="","Monatslohn fehlt","OK")))))</f>
        <v>Monatslohn fehlt</v>
      </c>
      <c r="J36" s="411" t="str">
        <f>IF($G36="","",IF(COUNTIFS($A:$A,$A36,$D:$D,$D36,$G:$G,$G36)&gt;1,"Doppelte Monatsstunden",""))</f>
        <v/>
      </c>
    </row>
    <row r="37" spans="1:10" ht="24" customHeight="1">
      <c r="A37" s="406" t="s">
        <v>329</v>
      </c>
      <c r="B37" s="407">
        <v>46143</v>
      </c>
      <c r="C37" s="407">
        <v>46507</v>
      </c>
      <c r="D37" s="408" t="s">
        <v>10</v>
      </c>
      <c r="E37" s="408" t="s">
        <v>4</v>
      </c>
      <c r="F37" s="408" t="s">
        <v>323</v>
      </c>
      <c r="G37" s="409">
        <v>86.5</v>
      </c>
      <c r="H37" s="410"/>
      <c r="I37" s="408" t="str">
        <f>IF($A37="","",IF(OR($B37="",$C37="",$D37="",$E37="",$F37=""),"Stammdaten fehlen",IF(AND($G37="",$H37=""),"Werte fehlen",IF($G37="","Monatsstunden fehlen",IF($H37="","Monatslohn fehlt","OK")))))</f>
        <v>Monatslohn fehlt</v>
      </c>
      <c r="J37" s="411" t="str">
        <f>IF($G37="","",IF(COUNTIFS($A:$A,$A37,$D:$D,$D37,$G:$G,$G37)&gt;1,"Doppelte Monatsstunden",""))</f>
        <v/>
      </c>
    </row>
    <row r="38" spans="1:10" ht="24" customHeight="1">
      <c r="A38" s="406" t="s">
        <v>329</v>
      </c>
      <c r="B38" s="407">
        <v>46143</v>
      </c>
      <c r="C38" s="407">
        <v>46507</v>
      </c>
      <c r="D38" s="408" t="s">
        <v>10</v>
      </c>
      <c r="E38" s="408" t="s">
        <v>4</v>
      </c>
      <c r="F38" s="408" t="s">
        <v>323</v>
      </c>
      <c r="G38" s="409">
        <v>69.2</v>
      </c>
      <c r="H38" s="410"/>
      <c r="I38" s="408" t="str">
        <f>IF($A38="","",IF(OR($B38="",$C38="",$D38="",$E38="",$F38=""),"Stammdaten fehlen",IF(AND($G38="",$H38=""),"Werte fehlen",IF($G38="","Monatsstunden fehlen",IF($H38="","Monatslohn fehlt","OK")))))</f>
        <v>Monatslohn fehlt</v>
      </c>
      <c r="J38" s="411" t="str">
        <f>IF($G38="","",IF(COUNTIFS($A:$A,$A38,$D:$D,$D38,$G:$G,$G38)&gt;1,"Doppelte Monatsstunden",""))</f>
        <v/>
      </c>
    </row>
    <row r="39" spans="1:10" ht="24" customHeight="1">
      <c r="A39" s="406" t="s">
        <v>329</v>
      </c>
      <c r="B39" s="407">
        <v>46143</v>
      </c>
      <c r="C39" s="407">
        <v>46507</v>
      </c>
      <c r="D39" s="408" t="s">
        <v>10</v>
      </c>
      <c r="E39" s="408" t="s">
        <v>4</v>
      </c>
      <c r="F39" s="408" t="s">
        <v>323</v>
      </c>
      <c r="G39" s="409">
        <v>51.9</v>
      </c>
      <c r="H39" s="410"/>
      <c r="I39" s="408" t="str">
        <f>IF($A39="","",IF(OR($B39="",$C39="",$D39="",$E39="",$F39=""),"Stammdaten fehlen",IF(AND($G39="",$H39=""),"Werte fehlen",IF($G39="","Monatsstunden fehlen",IF($H39="","Monatslohn fehlt","OK")))))</f>
        <v>Monatslohn fehlt</v>
      </c>
      <c r="J39" s="411" t="str">
        <f>IF($G39="","",IF(COUNTIFS($A:$A,$A39,$D:$D,$D39,$G:$G,$G39)&gt;1,"Doppelte Monatsstunden",""))</f>
        <v/>
      </c>
    </row>
    <row r="40" spans="1:10" ht="24" customHeight="1">
      <c r="A40" s="406" t="s">
        <v>329</v>
      </c>
      <c r="B40" s="407">
        <v>46143</v>
      </c>
      <c r="C40" s="407">
        <v>46507</v>
      </c>
      <c r="D40" s="408" t="s">
        <v>10</v>
      </c>
      <c r="E40" s="408" t="s">
        <v>4</v>
      </c>
      <c r="F40" s="408" t="s">
        <v>323</v>
      </c>
      <c r="G40" s="409">
        <v>47.58</v>
      </c>
      <c r="H40" s="410"/>
      <c r="I40" s="408" t="str">
        <f>IF($A40="","",IF(OR($B40="",$C40="",$D40="",$E40="",$F40=""),"Stammdaten fehlen",IF(AND($G40="",$H40=""),"Werte fehlen",IF($G40="","Monatsstunden fehlen",IF($H40="","Monatslohn fehlt","OK")))))</f>
        <v>Monatslohn fehlt</v>
      </c>
      <c r="J40" s="411" t="str">
        <f>IF($G40="","",IF(COUNTIFS($A:$A,$A40,$D:$D,$D40,$G:$G,$G40)&gt;1,"Doppelte Monatsstunden",""))</f>
        <v/>
      </c>
    </row>
    <row r="41" spans="1:10" ht="24" customHeight="1">
      <c r="A41" s="406" t="s">
        <v>329</v>
      </c>
      <c r="B41" s="407">
        <v>46143</v>
      </c>
      <c r="C41" s="407">
        <v>46507</v>
      </c>
      <c r="D41" s="408" t="s">
        <v>10</v>
      </c>
      <c r="E41" s="408" t="s">
        <v>4</v>
      </c>
      <c r="F41" s="408" t="s">
        <v>323</v>
      </c>
      <c r="G41" s="409">
        <v>43.25</v>
      </c>
      <c r="H41" s="410"/>
      <c r="I41" s="408" t="str">
        <f>IF($A41="","",IF(OR($B41="",$C41="",$D41="",$E41="",$F41=""),"Stammdaten fehlen",IF(AND($G41="",$H41=""),"Werte fehlen",IF($G41="","Monatsstunden fehlen",IF($H41="","Monatslohn fehlt","OK")))))</f>
        <v>Monatslohn fehlt</v>
      </c>
      <c r="J41" s="411" t="str">
        <f>IF($G41="","",IF(COUNTIFS($A:$A,$A41,$D:$D,$D41,$G:$G,$G41)&gt;1,"Doppelte Monatsstunden",""))</f>
        <v/>
      </c>
    </row>
    <row r="42" spans="1:10" ht="24" customHeight="1">
      <c r="A42" s="406" t="s">
        <v>329</v>
      </c>
      <c r="B42" s="407">
        <v>46143</v>
      </c>
      <c r="C42" s="407">
        <v>46507</v>
      </c>
      <c r="D42" s="408" t="s">
        <v>10</v>
      </c>
      <c r="E42" s="408" t="s">
        <v>4</v>
      </c>
      <c r="F42" s="408" t="s">
        <v>323</v>
      </c>
      <c r="G42" s="409">
        <v>34.6</v>
      </c>
      <c r="H42" s="410"/>
      <c r="I42" s="408" t="str">
        <f>IF($A42="","",IF(OR($B42="",$C42="",$D42="",$E42="",$F42=""),"Stammdaten fehlen",IF(AND($G42="",$H42=""),"Werte fehlen",IF($G42="","Monatsstunden fehlen",IF($H42="","Monatslohn fehlt","OK")))))</f>
        <v>Monatslohn fehlt</v>
      </c>
      <c r="J42" s="411" t="str">
        <f>IF($G42="","",IF(COUNTIFS($A:$A,$A42,$D:$D,$D42,$G:$G,$G42)&gt;1,"Doppelte Monatsstunden",""))</f>
        <v/>
      </c>
    </row>
    <row r="43" spans="1:10" ht="24" customHeight="1" thickBot="1">
      <c r="A43" s="406" t="s">
        <v>329</v>
      </c>
      <c r="B43" s="407">
        <v>46143</v>
      </c>
      <c r="C43" s="407">
        <v>46507</v>
      </c>
      <c r="D43" s="408" t="s">
        <v>10</v>
      </c>
      <c r="E43" s="408" t="s">
        <v>4</v>
      </c>
      <c r="F43" s="408" t="s">
        <v>323</v>
      </c>
      <c r="G43" s="409">
        <v>32.01</v>
      </c>
      <c r="H43" s="410"/>
      <c r="I43" s="408" t="str">
        <f>IF($A43="","",IF(OR($B43="",$C43="",$D43="",$E43="",$F43=""),"Stammdaten fehlen",IF(AND($G43="",$H43=""),"Werte fehlen",IF($G43="","Monatsstunden fehlen",IF($H43="","Monatslohn fehlt","OK")))))</f>
        <v>Monatslohn fehlt</v>
      </c>
      <c r="J43" s="411" t="str">
        <f>IF($G43="","",IF(COUNTIFS($A:$A,$A43,$D:$D,$D43,$G:$G,$G43)&gt;1,"Doppelte Monatsstunden",""))</f>
        <v/>
      </c>
    </row>
    <row r="44" spans="1:10" ht="24" customHeight="1">
      <c r="A44" s="412" t="s">
        <v>329</v>
      </c>
      <c r="B44" s="413">
        <v>46143</v>
      </c>
      <c r="C44" s="413">
        <v>46507</v>
      </c>
      <c r="D44" s="414" t="s">
        <v>12</v>
      </c>
      <c r="E44" s="414" t="s">
        <v>4</v>
      </c>
      <c r="F44" s="414" t="s">
        <v>324</v>
      </c>
      <c r="G44" s="415">
        <v>173</v>
      </c>
      <c r="H44" s="416"/>
      <c r="I44" s="414" t="str">
        <f>IF($A44="","",IF(OR($B44="",$C44="",$D44="",$E44="",$F44=""),"Stammdaten fehlen",IF(AND($G44="",$H44=""),"Werte fehlen",IF($G44="","Monatsstunden fehlen",IF($H44="","Monatslohn fehlt","OK")))))</f>
        <v>Monatslohn fehlt</v>
      </c>
      <c r="J44" s="417" t="str">
        <f>IF($G44="","",IF(COUNTIFS($A:$A,$A44,$D:$D,$D44,$G:$G,$G44)&gt;1,"Doppelte Monatsstunden",""))</f>
        <v/>
      </c>
    </row>
    <row r="45" spans="1:10" ht="24" customHeight="1">
      <c r="A45" s="406" t="s">
        <v>329</v>
      </c>
      <c r="B45" s="407">
        <v>46143</v>
      </c>
      <c r="C45" s="407">
        <v>46507</v>
      </c>
      <c r="D45" s="408" t="s">
        <v>12</v>
      </c>
      <c r="E45" s="408" t="s">
        <v>4</v>
      </c>
      <c r="F45" s="408" t="s">
        <v>324</v>
      </c>
      <c r="G45" s="409">
        <v>151.38</v>
      </c>
      <c r="H45" s="410"/>
      <c r="I45" s="408" t="str">
        <f>IF($A45="","",IF(OR($B45="",$C45="",$D45="",$E45="",$F45=""),"Stammdaten fehlen",IF(AND($G45="",$H45=""),"Werte fehlen",IF($G45="","Monatsstunden fehlen",IF($H45="","Monatslohn fehlt","OK")))))</f>
        <v>Monatslohn fehlt</v>
      </c>
      <c r="J45" s="411" t="str">
        <f>IF($G45="","",IF(COUNTIFS($A:$A,$A45,$D:$D,$D45,$G:$G,$G45)&gt;1,"Doppelte Monatsstunden",""))</f>
        <v/>
      </c>
    </row>
    <row r="46" spans="1:10" ht="24" customHeight="1">
      <c r="A46" s="406" t="s">
        <v>329</v>
      </c>
      <c r="B46" s="407">
        <v>46143</v>
      </c>
      <c r="C46" s="407">
        <v>46507</v>
      </c>
      <c r="D46" s="408" t="s">
        <v>12</v>
      </c>
      <c r="E46" s="408" t="s">
        <v>4</v>
      </c>
      <c r="F46" s="408" t="s">
        <v>324</v>
      </c>
      <c r="G46" s="409">
        <v>138.4</v>
      </c>
      <c r="H46" s="410"/>
      <c r="I46" s="408" t="str">
        <f>IF($A46="","",IF(OR($B46="",$C46="",$D46="",$E46="",$F46=""),"Stammdaten fehlen",IF(AND($G46="",$H46=""),"Werte fehlen",IF($G46="","Monatsstunden fehlen",IF($H46="","Monatslohn fehlt","OK")))))</f>
        <v>Monatslohn fehlt</v>
      </c>
      <c r="J46" s="411" t="str">
        <f>IF($G46="","",IF(COUNTIFS($A:$A,$A46,$D:$D,$D46,$G:$G,$G46)&gt;1,"Doppelte Monatsstunden",""))</f>
        <v/>
      </c>
    </row>
    <row r="47" spans="1:10" ht="24" customHeight="1">
      <c r="A47" s="406" t="s">
        <v>329</v>
      </c>
      <c r="B47" s="407">
        <v>46143</v>
      </c>
      <c r="C47" s="407">
        <v>46507</v>
      </c>
      <c r="D47" s="408" t="s">
        <v>12</v>
      </c>
      <c r="E47" s="408" t="s">
        <v>4</v>
      </c>
      <c r="F47" s="408" t="s">
        <v>324</v>
      </c>
      <c r="G47" s="409">
        <v>129.75</v>
      </c>
      <c r="H47" s="410"/>
      <c r="I47" s="408" t="str">
        <f>IF($A47="","",IF(OR($B47="",$C47="",$D47="",$E47="",$F47=""),"Stammdaten fehlen",IF(AND($G47="",$H47=""),"Werte fehlen",IF($G47="","Monatsstunden fehlen",IF($H47="","Monatslohn fehlt","OK")))))</f>
        <v>Monatslohn fehlt</v>
      </c>
      <c r="J47" s="411" t="str">
        <f>IF($G47="","",IF(COUNTIFS($A:$A,$A47,$D:$D,$D47,$G:$G,$G47)&gt;1,"Doppelte Monatsstunden",""))</f>
        <v/>
      </c>
    </row>
    <row r="48" spans="1:10" ht="24" customHeight="1">
      <c r="A48" s="406" t="s">
        <v>329</v>
      </c>
      <c r="B48" s="407">
        <v>46143</v>
      </c>
      <c r="C48" s="407">
        <v>46507</v>
      </c>
      <c r="D48" s="408" t="s">
        <v>12</v>
      </c>
      <c r="E48" s="408" t="s">
        <v>4</v>
      </c>
      <c r="F48" s="408" t="s">
        <v>324</v>
      </c>
      <c r="G48" s="409">
        <v>108.13</v>
      </c>
      <c r="H48" s="410"/>
      <c r="I48" s="408" t="str">
        <f>IF($A48="","",IF(OR($B48="",$C48="",$D48="",$E48="",$F48=""),"Stammdaten fehlen",IF(AND($G48="",$H48=""),"Werte fehlen",IF($G48="","Monatsstunden fehlen",IF($H48="","Monatslohn fehlt","OK")))))</f>
        <v>Monatslohn fehlt</v>
      </c>
      <c r="J48" s="411" t="str">
        <f>IF($G48="","",IF(COUNTIFS($A:$A,$A48,$D:$D,$D48,$G:$G,$G48)&gt;1,"Doppelte Monatsstunden",""))</f>
        <v/>
      </c>
    </row>
    <row r="49" spans="1:10" ht="24" customHeight="1">
      <c r="A49" s="406" t="s">
        <v>329</v>
      </c>
      <c r="B49" s="407">
        <v>46143</v>
      </c>
      <c r="C49" s="407">
        <v>46507</v>
      </c>
      <c r="D49" s="408" t="s">
        <v>12</v>
      </c>
      <c r="E49" s="408" t="s">
        <v>4</v>
      </c>
      <c r="F49" s="408" t="s">
        <v>324</v>
      </c>
      <c r="G49" s="409">
        <v>103.8</v>
      </c>
      <c r="H49" s="410"/>
      <c r="I49" s="408" t="str">
        <f>IF($A49="","",IF(OR($B49="",$C49="",$D49="",$E49="",$F49=""),"Stammdaten fehlen",IF(AND($G49="",$H49=""),"Werte fehlen",IF($G49="","Monatsstunden fehlen",IF($H49="","Monatslohn fehlt","OK")))))</f>
        <v>Monatslohn fehlt</v>
      </c>
      <c r="J49" s="411" t="str">
        <f>IF($G49="","",IF(COUNTIFS($A:$A,$A49,$D:$D,$D49,$G:$G,$G49)&gt;1,"Doppelte Monatsstunden",""))</f>
        <v/>
      </c>
    </row>
    <row r="50" spans="1:10" ht="24" customHeight="1">
      <c r="A50" s="406" t="s">
        <v>329</v>
      </c>
      <c r="B50" s="407">
        <v>46143</v>
      </c>
      <c r="C50" s="407">
        <v>46507</v>
      </c>
      <c r="D50" s="408" t="s">
        <v>12</v>
      </c>
      <c r="E50" s="408" t="s">
        <v>4</v>
      </c>
      <c r="F50" s="408" t="s">
        <v>324</v>
      </c>
      <c r="G50" s="409">
        <v>86.5</v>
      </c>
      <c r="H50" s="410"/>
      <c r="I50" s="408" t="str">
        <f>IF($A50="","",IF(OR($B50="",$C50="",$D50="",$E50="",$F50=""),"Stammdaten fehlen",IF(AND($G50="",$H50=""),"Werte fehlen",IF($G50="","Monatsstunden fehlen",IF($H50="","Monatslohn fehlt","OK")))))</f>
        <v>Monatslohn fehlt</v>
      </c>
      <c r="J50" s="411" t="str">
        <f>IF($G50="","",IF(COUNTIFS($A:$A,$A50,$D:$D,$D50,$G:$G,$G50)&gt;1,"Doppelte Monatsstunden",""))</f>
        <v/>
      </c>
    </row>
    <row r="51" spans="1:10" ht="24" customHeight="1">
      <c r="A51" s="406" t="s">
        <v>329</v>
      </c>
      <c r="B51" s="407">
        <v>46143</v>
      </c>
      <c r="C51" s="407">
        <v>46507</v>
      </c>
      <c r="D51" s="408" t="s">
        <v>12</v>
      </c>
      <c r="E51" s="408" t="s">
        <v>4</v>
      </c>
      <c r="F51" s="408" t="s">
        <v>324</v>
      </c>
      <c r="G51" s="409">
        <v>69.2</v>
      </c>
      <c r="H51" s="410"/>
      <c r="I51" s="408" t="str">
        <f>IF($A51="","",IF(OR($B51="",$C51="",$D51="",$E51="",$F51=""),"Stammdaten fehlen",IF(AND($G51="",$H51=""),"Werte fehlen",IF($G51="","Monatsstunden fehlen",IF($H51="","Monatslohn fehlt","OK")))))</f>
        <v>Monatslohn fehlt</v>
      </c>
      <c r="J51" s="411" t="str">
        <f>IF($G51="","",IF(COUNTIFS($A:$A,$A51,$D:$D,$D51,$G:$G,$G51)&gt;1,"Doppelte Monatsstunden",""))</f>
        <v/>
      </c>
    </row>
    <row r="52" spans="1:10" ht="24" customHeight="1">
      <c r="A52" s="406" t="s">
        <v>329</v>
      </c>
      <c r="B52" s="407">
        <v>46143</v>
      </c>
      <c r="C52" s="407">
        <v>46507</v>
      </c>
      <c r="D52" s="408" t="s">
        <v>12</v>
      </c>
      <c r="E52" s="408" t="s">
        <v>4</v>
      </c>
      <c r="F52" s="408" t="s">
        <v>324</v>
      </c>
      <c r="G52" s="409">
        <v>51.9</v>
      </c>
      <c r="H52" s="410"/>
      <c r="I52" s="408" t="str">
        <f>IF($A52="","",IF(OR($B52="",$C52="",$D52="",$E52="",$F52=""),"Stammdaten fehlen",IF(AND($G52="",$H52=""),"Werte fehlen",IF($G52="","Monatsstunden fehlen",IF($H52="","Monatslohn fehlt","OK")))))</f>
        <v>Monatslohn fehlt</v>
      </c>
      <c r="J52" s="411" t="str">
        <f>IF($G52="","",IF(COUNTIFS($A:$A,$A52,$D:$D,$D52,$G:$G,$G52)&gt;1,"Doppelte Monatsstunden",""))</f>
        <v/>
      </c>
    </row>
    <row r="53" spans="1:10" ht="24" customHeight="1">
      <c r="A53" s="406" t="s">
        <v>329</v>
      </c>
      <c r="B53" s="407">
        <v>46143</v>
      </c>
      <c r="C53" s="407">
        <v>46507</v>
      </c>
      <c r="D53" s="408" t="s">
        <v>12</v>
      </c>
      <c r="E53" s="408" t="s">
        <v>4</v>
      </c>
      <c r="F53" s="408" t="s">
        <v>324</v>
      </c>
      <c r="G53" s="409">
        <v>47.58</v>
      </c>
      <c r="H53" s="410"/>
      <c r="I53" s="408" t="str">
        <f>IF($A53="","",IF(OR($B53="",$C53="",$D53="",$E53="",$F53=""),"Stammdaten fehlen",IF(AND($G53="",$H53=""),"Werte fehlen",IF($G53="","Monatsstunden fehlen",IF($H53="","Monatslohn fehlt","OK")))))</f>
        <v>Monatslohn fehlt</v>
      </c>
      <c r="J53" s="411" t="str">
        <f>IF($G53="","",IF(COUNTIFS($A:$A,$A53,$D:$D,$D53,$G:$G,$G53)&gt;1,"Doppelte Monatsstunden",""))</f>
        <v/>
      </c>
    </row>
    <row r="54" spans="1:10" ht="24" customHeight="1">
      <c r="A54" s="406" t="s">
        <v>329</v>
      </c>
      <c r="B54" s="407">
        <v>46143</v>
      </c>
      <c r="C54" s="407">
        <v>46507</v>
      </c>
      <c r="D54" s="408" t="s">
        <v>12</v>
      </c>
      <c r="E54" s="408" t="s">
        <v>4</v>
      </c>
      <c r="F54" s="408" t="s">
        <v>324</v>
      </c>
      <c r="G54" s="409">
        <v>43.25</v>
      </c>
      <c r="H54" s="410"/>
      <c r="I54" s="408" t="str">
        <f>IF($A54="","",IF(OR($B54="",$C54="",$D54="",$E54="",$F54=""),"Stammdaten fehlen",IF(AND($G54="",$H54=""),"Werte fehlen",IF($G54="","Monatsstunden fehlen",IF($H54="","Monatslohn fehlt","OK")))))</f>
        <v>Monatslohn fehlt</v>
      </c>
      <c r="J54" s="411" t="str">
        <f>IF($G54="","",IF(COUNTIFS($A:$A,$A54,$D:$D,$D54,$G:$G,$G54)&gt;1,"Doppelte Monatsstunden",""))</f>
        <v/>
      </c>
    </row>
    <row r="55" spans="1:10" ht="24" customHeight="1">
      <c r="A55" s="406" t="s">
        <v>329</v>
      </c>
      <c r="B55" s="407">
        <v>46143</v>
      </c>
      <c r="C55" s="407">
        <v>46507</v>
      </c>
      <c r="D55" s="408" t="s">
        <v>12</v>
      </c>
      <c r="E55" s="408" t="s">
        <v>4</v>
      </c>
      <c r="F55" s="408" t="s">
        <v>324</v>
      </c>
      <c r="G55" s="409">
        <v>34.6</v>
      </c>
      <c r="H55" s="410"/>
      <c r="I55" s="408" t="str">
        <f>IF($A55="","",IF(OR($B55="",$C55="",$D55="",$E55="",$F55=""),"Stammdaten fehlen",IF(AND($G55="",$H55=""),"Werte fehlen",IF($G55="","Monatsstunden fehlen",IF($H55="","Monatslohn fehlt","OK")))))</f>
        <v>Monatslohn fehlt</v>
      </c>
      <c r="J55" s="411" t="str">
        <f>IF($G55="","",IF(COUNTIFS($A:$A,$A55,$D:$D,$D55,$G:$G,$G55)&gt;1,"Doppelte Monatsstunden",""))</f>
        <v/>
      </c>
    </row>
    <row r="56" spans="1:10" ht="24" customHeight="1" thickBot="1">
      <c r="A56" s="406" t="s">
        <v>329</v>
      </c>
      <c r="B56" s="407">
        <v>46143</v>
      </c>
      <c r="C56" s="407">
        <v>46507</v>
      </c>
      <c r="D56" s="408" t="s">
        <v>12</v>
      </c>
      <c r="E56" s="408" t="s">
        <v>4</v>
      </c>
      <c r="F56" s="408" t="s">
        <v>324</v>
      </c>
      <c r="G56" s="409">
        <v>32.01</v>
      </c>
      <c r="H56" s="410"/>
      <c r="I56" s="408" t="str">
        <f>IF($A56="","",IF(OR($B56="",$C56="",$D56="",$E56="",$F56=""),"Stammdaten fehlen",IF(AND($G56="",$H56=""),"Werte fehlen",IF($G56="","Monatsstunden fehlen",IF($H56="","Monatslohn fehlt","OK")))))</f>
        <v>Monatslohn fehlt</v>
      </c>
      <c r="J56" s="411" t="str">
        <f>IF($G56="","",IF(COUNTIFS($A:$A,$A56,$D:$D,$D56,$G:$G,$G56)&gt;1,"Doppelte Monatsstunden",""))</f>
        <v/>
      </c>
    </row>
    <row r="57" spans="1:10" ht="24" customHeight="1">
      <c r="A57" s="418" t="s">
        <v>329</v>
      </c>
      <c r="B57" s="419">
        <v>46143</v>
      </c>
      <c r="C57" s="419">
        <v>46507</v>
      </c>
      <c r="D57" s="420" t="s">
        <v>332</v>
      </c>
      <c r="E57" s="420" t="s">
        <v>13</v>
      </c>
      <c r="F57" s="420" t="s">
        <v>321</v>
      </c>
      <c r="G57" s="421">
        <v>173</v>
      </c>
      <c r="H57" s="422"/>
      <c r="I57" s="420" t="str">
        <f>IF($A57="","",IF(OR($B57="",$C57="",$D57="",$E57="",$F57=""),"Stammdaten fehlen",IF(AND($G57="",$H57=""),"Werte fehlen",IF($G57="","Monatsstunden fehlen",IF($H57="","Monatslohn fehlt","OK")))))</f>
        <v>Monatslohn fehlt</v>
      </c>
      <c r="J57" s="423" t="str">
        <f>IF($G57="","",IF(COUNTIFS($A:$A,$A57,$D:$D,$D57,$G:$G,$G57)&gt;1,"Doppelte Monatsstunden",""))</f>
        <v/>
      </c>
    </row>
    <row r="58" spans="1:10" ht="24" customHeight="1">
      <c r="A58" s="424" t="s">
        <v>329</v>
      </c>
      <c r="B58" s="425">
        <v>46143</v>
      </c>
      <c r="C58" s="425">
        <v>46507</v>
      </c>
      <c r="D58" s="426" t="s">
        <v>332</v>
      </c>
      <c r="E58" s="426" t="s">
        <v>13</v>
      </c>
      <c r="F58" s="426" t="s">
        <v>321</v>
      </c>
      <c r="G58" s="427">
        <v>151.38</v>
      </c>
      <c r="H58" s="428"/>
      <c r="I58" s="426" t="str">
        <f>IF($A58="","",IF(OR($B58="",$C58="",$D58="",$E58="",$F58=""),"Stammdaten fehlen",IF(AND($G58="",$H58=""),"Werte fehlen",IF($G58="","Monatsstunden fehlen",IF($H58="","Monatslohn fehlt","OK")))))</f>
        <v>Monatslohn fehlt</v>
      </c>
      <c r="J58" s="429" t="str">
        <f>IF($G58="","",IF(COUNTIFS($A:$A,$A58,$D:$D,$D58,$G:$G,$G58)&gt;1,"Doppelte Monatsstunden",""))</f>
        <v/>
      </c>
    </row>
    <row r="59" spans="1:10" ht="24" customHeight="1">
      <c r="A59" s="424" t="s">
        <v>329</v>
      </c>
      <c r="B59" s="425">
        <v>46143</v>
      </c>
      <c r="C59" s="425">
        <v>46507</v>
      </c>
      <c r="D59" s="426" t="s">
        <v>332</v>
      </c>
      <c r="E59" s="426" t="s">
        <v>13</v>
      </c>
      <c r="F59" s="426" t="s">
        <v>321</v>
      </c>
      <c r="G59" s="427">
        <v>138.4</v>
      </c>
      <c r="H59" s="428"/>
      <c r="I59" s="426" t="str">
        <f>IF($A59="","",IF(OR($B59="",$C59="",$D59="",$E59="",$F59=""),"Stammdaten fehlen",IF(AND($G59="",$H59=""),"Werte fehlen",IF($G59="","Monatsstunden fehlen",IF($H59="","Monatslohn fehlt","OK")))))</f>
        <v>Monatslohn fehlt</v>
      </c>
      <c r="J59" s="429" t="str">
        <f>IF($G59="","",IF(COUNTIFS($A:$A,$A59,$D:$D,$D59,$G:$G,$G59)&gt;1,"Doppelte Monatsstunden",""))</f>
        <v/>
      </c>
    </row>
    <row r="60" spans="1:10" ht="24" customHeight="1">
      <c r="A60" s="424" t="s">
        <v>329</v>
      </c>
      <c r="B60" s="425">
        <v>46143</v>
      </c>
      <c r="C60" s="425">
        <v>46507</v>
      </c>
      <c r="D60" s="426" t="s">
        <v>332</v>
      </c>
      <c r="E60" s="426" t="s">
        <v>13</v>
      </c>
      <c r="F60" s="426" t="s">
        <v>321</v>
      </c>
      <c r="G60" s="427">
        <v>129.75</v>
      </c>
      <c r="H60" s="428"/>
      <c r="I60" s="426" t="str">
        <f>IF($A60="","",IF(OR($B60="",$C60="",$D60="",$E60="",$F60=""),"Stammdaten fehlen",IF(AND($G60="",$H60=""),"Werte fehlen",IF($G60="","Monatsstunden fehlen",IF($H60="","Monatslohn fehlt","OK")))))</f>
        <v>Monatslohn fehlt</v>
      </c>
      <c r="J60" s="429" t="str">
        <f>IF($G60="","",IF(COUNTIFS($A:$A,$A60,$D:$D,$D60,$G:$G,$G60)&gt;1,"Doppelte Monatsstunden",""))</f>
        <v/>
      </c>
    </row>
    <row r="61" spans="1:10" ht="24" customHeight="1">
      <c r="A61" s="424" t="s">
        <v>329</v>
      </c>
      <c r="B61" s="425">
        <v>46143</v>
      </c>
      <c r="C61" s="425">
        <v>46507</v>
      </c>
      <c r="D61" s="426" t="s">
        <v>332</v>
      </c>
      <c r="E61" s="426" t="s">
        <v>13</v>
      </c>
      <c r="F61" s="426" t="s">
        <v>321</v>
      </c>
      <c r="G61" s="427">
        <v>108.13</v>
      </c>
      <c r="H61" s="428"/>
      <c r="I61" s="426" t="str">
        <f>IF($A61="","",IF(OR($B61="",$C61="",$D61="",$E61="",$F61=""),"Stammdaten fehlen",IF(AND($G61="",$H61=""),"Werte fehlen",IF($G61="","Monatsstunden fehlen",IF($H61="","Monatslohn fehlt","OK")))))</f>
        <v>Monatslohn fehlt</v>
      </c>
      <c r="J61" s="429" t="str">
        <f>IF($G61="","",IF(COUNTIFS($A:$A,$A61,$D:$D,$D61,$G:$G,$G61)&gt;1,"Doppelte Monatsstunden",""))</f>
        <v/>
      </c>
    </row>
    <row r="62" spans="1:10" ht="24" customHeight="1">
      <c r="A62" s="424" t="s">
        <v>329</v>
      </c>
      <c r="B62" s="425">
        <v>46143</v>
      </c>
      <c r="C62" s="425">
        <v>46507</v>
      </c>
      <c r="D62" s="426" t="s">
        <v>332</v>
      </c>
      <c r="E62" s="426" t="s">
        <v>13</v>
      </c>
      <c r="F62" s="426" t="s">
        <v>321</v>
      </c>
      <c r="G62" s="427">
        <v>103.8</v>
      </c>
      <c r="H62" s="428"/>
      <c r="I62" s="426" t="str">
        <f>IF($A62="","",IF(OR($B62="",$C62="",$D62="",$E62="",$F62=""),"Stammdaten fehlen",IF(AND($G62="",$H62=""),"Werte fehlen",IF($G62="","Monatsstunden fehlen",IF($H62="","Monatslohn fehlt","OK")))))</f>
        <v>Monatslohn fehlt</v>
      </c>
      <c r="J62" s="429" t="str">
        <f>IF($G62="","",IF(COUNTIFS($A:$A,$A62,$D:$D,$D62,$G:$G,$G62)&gt;1,"Doppelte Monatsstunden",""))</f>
        <v/>
      </c>
    </row>
    <row r="63" spans="1:10" ht="24" customHeight="1">
      <c r="A63" s="424" t="s">
        <v>329</v>
      </c>
      <c r="B63" s="425">
        <v>46143</v>
      </c>
      <c r="C63" s="425">
        <v>46507</v>
      </c>
      <c r="D63" s="426" t="s">
        <v>332</v>
      </c>
      <c r="E63" s="426" t="s">
        <v>13</v>
      </c>
      <c r="F63" s="426" t="s">
        <v>321</v>
      </c>
      <c r="G63" s="427">
        <v>86.5</v>
      </c>
      <c r="H63" s="428"/>
      <c r="I63" s="426" t="str">
        <f>IF($A63="","",IF(OR($B63="",$C63="",$D63="",$E63="",$F63=""),"Stammdaten fehlen",IF(AND($G63="",$H63=""),"Werte fehlen",IF($G63="","Monatsstunden fehlen",IF($H63="","Monatslohn fehlt","OK")))))</f>
        <v>Monatslohn fehlt</v>
      </c>
      <c r="J63" s="429" t="str">
        <f>IF($G63="","",IF(COUNTIFS($A:$A,$A63,$D:$D,$D63,$G:$G,$G63)&gt;1,"Doppelte Monatsstunden",""))</f>
        <v/>
      </c>
    </row>
    <row r="64" spans="1:10" ht="24" customHeight="1">
      <c r="A64" s="424" t="s">
        <v>329</v>
      </c>
      <c r="B64" s="425">
        <v>46143</v>
      </c>
      <c r="C64" s="425">
        <v>46507</v>
      </c>
      <c r="D64" s="426" t="s">
        <v>332</v>
      </c>
      <c r="E64" s="426" t="s">
        <v>13</v>
      </c>
      <c r="F64" s="426" t="s">
        <v>321</v>
      </c>
      <c r="G64" s="427">
        <v>69.2</v>
      </c>
      <c r="H64" s="428"/>
      <c r="I64" s="426" t="str">
        <f>IF($A64="","",IF(OR($B64="",$C64="",$D64="",$E64="",$F64=""),"Stammdaten fehlen",IF(AND($G64="",$H64=""),"Werte fehlen",IF($G64="","Monatsstunden fehlen",IF($H64="","Monatslohn fehlt","OK")))))</f>
        <v>Monatslohn fehlt</v>
      </c>
      <c r="J64" s="429" t="str">
        <f>IF($G64="","",IF(COUNTIFS($A:$A,$A64,$D:$D,$D64,$G:$G,$G64)&gt;1,"Doppelte Monatsstunden",""))</f>
        <v/>
      </c>
    </row>
    <row r="65" spans="1:10" ht="24" customHeight="1">
      <c r="A65" s="424" t="s">
        <v>329</v>
      </c>
      <c r="B65" s="425">
        <v>46143</v>
      </c>
      <c r="C65" s="425">
        <v>46507</v>
      </c>
      <c r="D65" s="426" t="s">
        <v>332</v>
      </c>
      <c r="E65" s="426" t="s">
        <v>13</v>
      </c>
      <c r="F65" s="426" t="s">
        <v>321</v>
      </c>
      <c r="G65" s="427">
        <v>51.9</v>
      </c>
      <c r="H65" s="428"/>
      <c r="I65" s="426" t="str">
        <f>IF($A65="","",IF(OR($B65="",$C65="",$D65="",$E65="",$F65=""),"Stammdaten fehlen",IF(AND($G65="",$H65=""),"Werte fehlen",IF($G65="","Monatsstunden fehlen",IF($H65="","Monatslohn fehlt","OK")))))</f>
        <v>Monatslohn fehlt</v>
      </c>
      <c r="J65" s="429" t="str">
        <f>IF($G65="","",IF(COUNTIFS($A:$A,$A65,$D:$D,$D65,$G:$G,$G65)&gt;1,"Doppelte Monatsstunden",""))</f>
        <v/>
      </c>
    </row>
    <row r="66" spans="1:10" ht="24" customHeight="1">
      <c r="A66" s="424" t="s">
        <v>329</v>
      </c>
      <c r="B66" s="425">
        <v>46143</v>
      </c>
      <c r="C66" s="425">
        <v>46507</v>
      </c>
      <c r="D66" s="426" t="s">
        <v>332</v>
      </c>
      <c r="E66" s="426" t="s">
        <v>13</v>
      </c>
      <c r="F66" s="426" t="s">
        <v>321</v>
      </c>
      <c r="G66" s="427">
        <v>47.58</v>
      </c>
      <c r="H66" s="428"/>
      <c r="I66" s="426" t="str">
        <f>IF($A66="","",IF(OR($B66="",$C66="",$D66="",$E66="",$F66=""),"Stammdaten fehlen",IF(AND($G66="",$H66=""),"Werte fehlen",IF($G66="","Monatsstunden fehlen",IF($H66="","Monatslohn fehlt","OK")))))</f>
        <v>Monatslohn fehlt</v>
      </c>
      <c r="J66" s="429" t="str">
        <f>IF($G66="","",IF(COUNTIFS($A:$A,$A66,$D:$D,$D66,$G:$G,$G66)&gt;1,"Doppelte Monatsstunden",""))</f>
        <v/>
      </c>
    </row>
    <row r="67" spans="1:10" ht="24" customHeight="1">
      <c r="A67" s="424" t="s">
        <v>329</v>
      </c>
      <c r="B67" s="425">
        <v>46143</v>
      </c>
      <c r="C67" s="425">
        <v>46507</v>
      </c>
      <c r="D67" s="426" t="s">
        <v>332</v>
      </c>
      <c r="E67" s="426" t="s">
        <v>13</v>
      </c>
      <c r="F67" s="426" t="s">
        <v>321</v>
      </c>
      <c r="G67" s="427">
        <v>43.25</v>
      </c>
      <c r="H67" s="428"/>
      <c r="I67" s="426" t="str">
        <f>IF($A67="","",IF(OR($B67="",$C67="",$D67="",$E67="",$F67=""),"Stammdaten fehlen",IF(AND($G67="",$H67=""),"Werte fehlen",IF($G67="","Monatsstunden fehlen",IF($H67="","Monatslohn fehlt","OK")))))</f>
        <v>Monatslohn fehlt</v>
      </c>
      <c r="J67" s="429" t="str">
        <f>IF($G67="","",IF(COUNTIFS($A:$A,$A67,$D:$D,$D67,$G:$G,$G67)&gt;1,"Doppelte Monatsstunden",""))</f>
        <v/>
      </c>
    </row>
    <row r="68" spans="1:10" ht="24" customHeight="1">
      <c r="A68" s="424" t="s">
        <v>329</v>
      </c>
      <c r="B68" s="425">
        <v>46143</v>
      </c>
      <c r="C68" s="425">
        <v>46507</v>
      </c>
      <c r="D68" s="426" t="s">
        <v>332</v>
      </c>
      <c r="E68" s="426" t="s">
        <v>13</v>
      </c>
      <c r="F68" s="426" t="s">
        <v>321</v>
      </c>
      <c r="G68" s="427">
        <v>34.6</v>
      </c>
      <c r="H68" s="428"/>
      <c r="I68" s="426" t="str">
        <f>IF($A68="","",IF(OR($B68="",$C68="",$D68="",$E68="",$F68=""),"Stammdaten fehlen",IF(AND($G68="",$H68=""),"Werte fehlen",IF($G68="","Monatsstunden fehlen",IF($H68="","Monatslohn fehlt","OK")))))</f>
        <v>Monatslohn fehlt</v>
      </c>
      <c r="J68" s="429" t="str">
        <f>IF($G68="","",IF(COUNTIFS($A:$A,$A68,$D:$D,$D68,$G:$G,$G68)&gt;1,"Doppelte Monatsstunden",""))</f>
        <v/>
      </c>
    </row>
    <row r="69" spans="1:10" ht="24" customHeight="1" thickBot="1">
      <c r="A69" s="424" t="s">
        <v>329</v>
      </c>
      <c r="B69" s="425">
        <v>46143</v>
      </c>
      <c r="C69" s="425">
        <v>46507</v>
      </c>
      <c r="D69" s="426" t="s">
        <v>332</v>
      </c>
      <c r="E69" s="426" t="s">
        <v>13</v>
      </c>
      <c r="F69" s="426" t="s">
        <v>321</v>
      </c>
      <c r="G69" s="427">
        <v>32.01</v>
      </c>
      <c r="H69" s="428"/>
      <c r="I69" s="426" t="str">
        <f>IF($A69="","",IF(OR($B69="",$C69="",$D69="",$E69="",$F69=""),"Stammdaten fehlen",IF(AND($G69="",$H69=""),"Werte fehlen",IF($G69="","Monatsstunden fehlen",IF($H69="","Monatslohn fehlt","OK")))))</f>
        <v>Monatslohn fehlt</v>
      </c>
      <c r="J69" s="429" t="str">
        <f>IF($G69="","",IF(COUNTIFS($A:$A,$A69,$D:$D,$D69,$G:$G,$G69)&gt;1,"Doppelte Monatsstunden",""))</f>
        <v/>
      </c>
    </row>
    <row r="70" spans="1:10" ht="24" customHeight="1">
      <c r="A70" s="418" t="s">
        <v>329</v>
      </c>
      <c r="B70" s="419">
        <v>46143</v>
      </c>
      <c r="C70" s="419">
        <v>46507</v>
      </c>
      <c r="D70" s="420" t="s">
        <v>15</v>
      </c>
      <c r="E70" s="420" t="s">
        <v>13</v>
      </c>
      <c r="F70" s="420" t="s">
        <v>322</v>
      </c>
      <c r="G70" s="421">
        <v>173</v>
      </c>
      <c r="H70" s="422"/>
      <c r="I70" s="420" t="str">
        <f>IF($A70="","",IF(OR($B70="",$C70="",$D70="",$E70="",$F70=""),"Stammdaten fehlen",IF(AND($G70="",$H70=""),"Werte fehlen",IF($G70="","Monatsstunden fehlen",IF($H70="","Monatslohn fehlt","OK")))))</f>
        <v>Monatslohn fehlt</v>
      </c>
      <c r="J70" s="423" t="str">
        <f>IF($G70="","",IF(COUNTIFS($A:$A,$A70,$D:$D,$D70,$G:$G,$G70)&gt;1,"Doppelte Monatsstunden",""))</f>
        <v/>
      </c>
    </row>
    <row r="71" spans="1:10" ht="24" customHeight="1">
      <c r="A71" s="424" t="s">
        <v>329</v>
      </c>
      <c r="B71" s="425">
        <v>46143</v>
      </c>
      <c r="C71" s="425">
        <v>46507</v>
      </c>
      <c r="D71" s="426" t="s">
        <v>15</v>
      </c>
      <c r="E71" s="426" t="s">
        <v>13</v>
      </c>
      <c r="F71" s="426" t="s">
        <v>322</v>
      </c>
      <c r="G71" s="427">
        <v>151.38</v>
      </c>
      <c r="H71" s="428"/>
      <c r="I71" s="426" t="str">
        <f>IF($A71="","",IF(OR($B71="",$C71="",$D71="",$E71="",$F71=""),"Stammdaten fehlen",IF(AND($G71="",$H71=""),"Werte fehlen",IF($G71="","Monatsstunden fehlen",IF($H71="","Monatslohn fehlt","OK")))))</f>
        <v>Monatslohn fehlt</v>
      </c>
      <c r="J71" s="429" t="str">
        <f>IF($G71="","",IF(COUNTIFS($A:$A,$A71,$D:$D,$D71,$G:$G,$G71)&gt;1,"Doppelte Monatsstunden",""))</f>
        <v/>
      </c>
    </row>
    <row r="72" spans="1:10" ht="24" customHeight="1">
      <c r="A72" s="424" t="s">
        <v>329</v>
      </c>
      <c r="B72" s="425">
        <v>46143</v>
      </c>
      <c r="C72" s="425">
        <v>46507</v>
      </c>
      <c r="D72" s="426" t="s">
        <v>15</v>
      </c>
      <c r="E72" s="426" t="s">
        <v>13</v>
      </c>
      <c r="F72" s="426" t="s">
        <v>322</v>
      </c>
      <c r="G72" s="427">
        <v>138.4</v>
      </c>
      <c r="H72" s="428"/>
      <c r="I72" s="426" t="str">
        <f>IF($A72="","",IF(OR($B72="",$C72="",$D72="",$E72="",$F72=""),"Stammdaten fehlen",IF(AND($G72="",$H72=""),"Werte fehlen",IF($G72="","Monatsstunden fehlen",IF($H72="","Monatslohn fehlt","OK")))))</f>
        <v>Monatslohn fehlt</v>
      </c>
      <c r="J72" s="429" t="str">
        <f>IF($G72="","",IF(COUNTIFS($A:$A,$A72,$D:$D,$D72,$G:$G,$G72)&gt;1,"Doppelte Monatsstunden",""))</f>
        <v/>
      </c>
    </row>
    <row r="73" spans="1:10" ht="24" customHeight="1">
      <c r="A73" s="424" t="s">
        <v>329</v>
      </c>
      <c r="B73" s="425">
        <v>46143</v>
      </c>
      <c r="C73" s="425">
        <v>46507</v>
      </c>
      <c r="D73" s="426" t="s">
        <v>15</v>
      </c>
      <c r="E73" s="426" t="s">
        <v>13</v>
      </c>
      <c r="F73" s="426" t="s">
        <v>322</v>
      </c>
      <c r="G73" s="427">
        <v>129.75</v>
      </c>
      <c r="H73" s="428"/>
      <c r="I73" s="426" t="str">
        <f>IF($A73="","",IF(OR($B73="",$C73="",$D73="",$E73="",$F73=""),"Stammdaten fehlen",IF(AND($G73="",$H73=""),"Werte fehlen",IF($G73="","Monatsstunden fehlen",IF($H73="","Monatslohn fehlt","OK")))))</f>
        <v>Monatslohn fehlt</v>
      </c>
      <c r="J73" s="429" t="str">
        <f>IF($G73="","",IF(COUNTIFS($A:$A,$A73,$D:$D,$D73,$G:$G,$G73)&gt;1,"Doppelte Monatsstunden",""))</f>
        <v/>
      </c>
    </row>
    <row r="74" spans="1:10" ht="24" customHeight="1">
      <c r="A74" s="424" t="s">
        <v>329</v>
      </c>
      <c r="B74" s="425">
        <v>46143</v>
      </c>
      <c r="C74" s="425">
        <v>46507</v>
      </c>
      <c r="D74" s="426" t="s">
        <v>15</v>
      </c>
      <c r="E74" s="426" t="s">
        <v>13</v>
      </c>
      <c r="F74" s="426" t="s">
        <v>322</v>
      </c>
      <c r="G74" s="427">
        <v>108.13</v>
      </c>
      <c r="H74" s="428"/>
      <c r="I74" s="426" t="str">
        <f>IF($A74="","",IF(OR($B74="",$C74="",$D74="",$E74="",$F74=""),"Stammdaten fehlen",IF(AND($G74="",$H74=""),"Werte fehlen",IF($G74="","Monatsstunden fehlen",IF($H74="","Monatslohn fehlt","OK")))))</f>
        <v>Monatslohn fehlt</v>
      </c>
      <c r="J74" s="429" t="str">
        <f>IF($G74="","",IF(COUNTIFS($A:$A,$A74,$D:$D,$D74,$G:$G,$G74)&gt;1,"Doppelte Monatsstunden",""))</f>
        <v/>
      </c>
    </row>
    <row r="75" spans="1:10" ht="24" customHeight="1">
      <c r="A75" s="424" t="s">
        <v>329</v>
      </c>
      <c r="B75" s="425">
        <v>46143</v>
      </c>
      <c r="C75" s="425">
        <v>46507</v>
      </c>
      <c r="D75" s="426" t="s">
        <v>15</v>
      </c>
      <c r="E75" s="426" t="s">
        <v>13</v>
      </c>
      <c r="F75" s="426" t="s">
        <v>322</v>
      </c>
      <c r="G75" s="427">
        <v>103.8</v>
      </c>
      <c r="H75" s="428"/>
      <c r="I75" s="426" t="str">
        <f>IF($A75="","",IF(OR($B75="",$C75="",$D75="",$E75="",$F75=""),"Stammdaten fehlen",IF(AND($G75="",$H75=""),"Werte fehlen",IF($G75="","Monatsstunden fehlen",IF($H75="","Monatslohn fehlt","OK")))))</f>
        <v>Monatslohn fehlt</v>
      </c>
      <c r="J75" s="429" t="str">
        <f>IF($G75="","",IF(COUNTIFS($A:$A,$A75,$D:$D,$D75,$G:$G,$G75)&gt;1,"Doppelte Monatsstunden",""))</f>
        <v/>
      </c>
    </row>
    <row r="76" spans="1:10" ht="24" customHeight="1">
      <c r="A76" s="424" t="s">
        <v>329</v>
      </c>
      <c r="B76" s="425">
        <v>46143</v>
      </c>
      <c r="C76" s="425">
        <v>46507</v>
      </c>
      <c r="D76" s="426" t="s">
        <v>15</v>
      </c>
      <c r="E76" s="426" t="s">
        <v>13</v>
      </c>
      <c r="F76" s="426" t="s">
        <v>322</v>
      </c>
      <c r="G76" s="427">
        <v>86.5</v>
      </c>
      <c r="H76" s="428"/>
      <c r="I76" s="426" t="str">
        <f>IF($A76="","",IF(OR($B76="",$C76="",$D76="",$E76="",$F76=""),"Stammdaten fehlen",IF(AND($G76="",$H76=""),"Werte fehlen",IF($G76="","Monatsstunden fehlen",IF($H76="","Monatslohn fehlt","OK")))))</f>
        <v>Monatslohn fehlt</v>
      </c>
      <c r="J76" s="429" t="str">
        <f>IF($G76="","",IF(COUNTIFS($A:$A,$A76,$D:$D,$D76,$G:$G,$G76)&gt;1,"Doppelte Monatsstunden",""))</f>
        <v/>
      </c>
    </row>
    <row r="77" spans="1:10" ht="24" customHeight="1">
      <c r="A77" s="424" t="s">
        <v>329</v>
      </c>
      <c r="B77" s="425">
        <v>46143</v>
      </c>
      <c r="C77" s="425">
        <v>46507</v>
      </c>
      <c r="D77" s="426" t="s">
        <v>15</v>
      </c>
      <c r="E77" s="426" t="s">
        <v>13</v>
      </c>
      <c r="F77" s="426" t="s">
        <v>322</v>
      </c>
      <c r="G77" s="427">
        <v>69.2</v>
      </c>
      <c r="H77" s="428"/>
      <c r="I77" s="426" t="str">
        <f>IF($A77="","",IF(OR($B77="",$C77="",$D77="",$E77="",$F77=""),"Stammdaten fehlen",IF(AND($G77="",$H77=""),"Werte fehlen",IF($G77="","Monatsstunden fehlen",IF($H77="","Monatslohn fehlt","OK")))))</f>
        <v>Monatslohn fehlt</v>
      </c>
      <c r="J77" s="429" t="str">
        <f>IF($G77="","",IF(COUNTIFS($A:$A,$A77,$D:$D,$D77,$G:$G,$G77)&gt;1,"Doppelte Monatsstunden",""))</f>
        <v/>
      </c>
    </row>
    <row r="78" spans="1:10" ht="24" customHeight="1">
      <c r="A78" s="424" t="s">
        <v>329</v>
      </c>
      <c r="B78" s="425">
        <v>46143</v>
      </c>
      <c r="C78" s="425">
        <v>46507</v>
      </c>
      <c r="D78" s="426" t="s">
        <v>15</v>
      </c>
      <c r="E78" s="426" t="s">
        <v>13</v>
      </c>
      <c r="F78" s="426" t="s">
        <v>322</v>
      </c>
      <c r="G78" s="427">
        <v>51.9</v>
      </c>
      <c r="H78" s="428"/>
      <c r="I78" s="426" t="str">
        <f>IF($A78="","",IF(OR($B78="",$C78="",$D78="",$E78="",$F78=""),"Stammdaten fehlen",IF(AND($G78="",$H78=""),"Werte fehlen",IF($G78="","Monatsstunden fehlen",IF($H78="","Monatslohn fehlt","OK")))))</f>
        <v>Monatslohn fehlt</v>
      </c>
      <c r="J78" s="429" t="str">
        <f>IF($G78="","",IF(COUNTIFS($A:$A,$A78,$D:$D,$D78,$G:$G,$G78)&gt;1,"Doppelte Monatsstunden",""))</f>
        <v/>
      </c>
    </row>
    <row r="79" spans="1:10" ht="24" customHeight="1">
      <c r="A79" s="424" t="s">
        <v>329</v>
      </c>
      <c r="B79" s="425">
        <v>46143</v>
      </c>
      <c r="C79" s="425">
        <v>46507</v>
      </c>
      <c r="D79" s="426" t="s">
        <v>15</v>
      </c>
      <c r="E79" s="426" t="s">
        <v>13</v>
      </c>
      <c r="F79" s="426" t="s">
        <v>322</v>
      </c>
      <c r="G79" s="427">
        <v>47.58</v>
      </c>
      <c r="H79" s="428"/>
      <c r="I79" s="426" t="str">
        <f>IF($A79="","",IF(OR($B79="",$C79="",$D79="",$E79="",$F79=""),"Stammdaten fehlen",IF(AND($G79="",$H79=""),"Werte fehlen",IF($G79="","Monatsstunden fehlen",IF($H79="","Monatslohn fehlt","OK")))))</f>
        <v>Monatslohn fehlt</v>
      </c>
      <c r="J79" s="429" t="str">
        <f>IF($G79="","",IF(COUNTIFS($A:$A,$A79,$D:$D,$D79,$G:$G,$G79)&gt;1,"Doppelte Monatsstunden",""))</f>
        <v/>
      </c>
    </row>
    <row r="80" spans="1:10" ht="24" customHeight="1">
      <c r="A80" s="424" t="s">
        <v>329</v>
      </c>
      <c r="B80" s="425">
        <v>46143</v>
      </c>
      <c r="C80" s="425">
        <v>46507</v>
      </c>
      <c r="D80" s="426" t="s">
        <v>15</v>
      </c>
      <c r="E80" s="426" t="s">
        <v>13</v>
      </c>
      <c r="F80" s="426" t="s">
        <v>322</v>
      </c>
      <c r="G80" s="427">
        <v>43.25</v>
      </c>
      <c r="H80" s="428"/>
      <c r="I80" s="426" t="str">
        <f>IF($A80="","",IF(OR($B80="",$C80="",$D80="",$E80="",$F80=""),"Stammdaten fehlen",IF(AND($G80="",$H80=""),"Werte fehlen",IF($G80="","Monatsstunden fehlen",IF($H80="","Monatslohn fehlt","OK")))))</f>
        <v>Monatslohn fehlt</v>
      </c>
      <c r="J80" s="429" t="str">
        <f>IF($G80="","",IF(COUNTIFS($A:$A,$A80,$D:$D,$D80,$G:$G,$G80)&gt;1,"Doppelte Monatsstunden",""))</f>
        <v/>
      </c>
    </row>
    <row r="81" spans="1:10" ht="24" customHeight="1">
      <c r="A81" s="424" t="s">
        <v>329</v>
      </c>
      <c r="B81" s="425">
        <v>46143</v>
      </c>
      <c r="C81" s="425">
        <v>46507</v>
      </c>
      <c r="D81" s="426" t="s">
        <v>15</v>
      </c>
      <c r="E81" s="426" t="s">
        <v>13</v>
      </c>
      <c r="F81" s="426" t="s">
        <v>322</v>
      </c>
      <c r="G81" s="427">
        <v>34.6</v>
      </c>
      <c r="H81" s="428"/>
      <c r="I81" s="426" t="str">
        <f>IF($A81="","",IF(OR($B81="",$C81="",$D81="",$E81="",$F81=""),"Stammdaten fehlen",IF(AND($G81="",$H81=""),"Werte fehlen",IF($G81="","Monatsstunden fehlen",IF($H81="","Monatslohn fehlt","OK")))))</f>
        <v>Monatslohn fehlt</v>
      </c>
      <c r="J81" s="429" t="str">
        <f>IF($G81="","",IF(COUNTIFS($A:$A,$A81,$D:$D,$D81,$G:$G,$G81)&gt;1,"Doppelte Monatsstunden",""))</f>
        <v/>
      </c>
    </row>
    <row r="82" spans="1:10" ht="24" customHeight="1" thickBot="1">
      <c r="A82" s="424" t="s">
        <v>329</v>
      </c>
      <c r="B82" s="425">
        <v>46143</v>
      </c>
      <c r="C82" s="425">
        <v>46507</v>
      </c>
      <c r="D82" s="426" t="s">
        <v>15</v>
      </c>
      <c r="E82" s="426" t="s">
        <v>13</v>
      </c>
      <c r="F82" s="426" t="s">
        <v>322</v>
      </c>
      <c r="G82" s="427">
        <v>32.01</v>
      </c>
      <c r="H82" s="428"/>
      <c r="I82" s="426" t="str">
        <f>IF($A82="","",IF(OR($B82="",$C82="",$D82="",$E82="",$F82=""),"Stammdaten fehlen",IF(AND($G82="",$H82=""),"Werte fehlen",IF($G82="","Monatsstunden fehlen",IF($H82="","Monatslohn fehlt","OK")))))</f>
        <v>Monatslohn fehlt</v>
      </c>
      <c r="J82" s="429" t="str">
        <f>IF($G82="","",IF(COUNTIFS($A:$A,$A82,$D:$D,$D82,$G:$G,$G82)&gt;1,"Doppelte Monatsstunden",""))</f>
        <v/>
      </c>
    </row>
    <row r="83" spans="1:10" ht="24" customHeight="1">
      <c r="A83" s="418" t="s">
        <v>329</v>
      </c>
      <c r="B83" s="419">
        <v>46143</v>
      </c>
      <c r="C83" s="419">
        <v>46507</v>
      </c>
      <c r="D83" s="420" t="s">
        <v>17</v>
      </c>
      <c r="E83" s="420" t="s">
        <v>13</v>
      </c>
      <c r="F83" s="420" t="s">
        <v>323</v>
      </c>
      <c r="G83" s="421">
        <v>173</v>
      </c>
      <c r="H83" s="422"/>
      <c r="I83" s="420" t="str">
        <f>IF($A83="","",IF(OR($B83="",$C83="",$D83="",$E83="",$F83=""),"Stammdaten fehlen",IF(AND($G83="",$H83=""),"Werte fehlen",IF($G83="","Monatsstunden fehlen",IF($H83="","Monatslohn fehlt","OK")))))</f>
        <v>Monatslohn fehlt</v>
      </c>
      <c r="J83" s="423" t="str">
        <f>IF($G83="","",IF(COUNTIFS($A:$A,$A83,$D:$D,$D83,$G:$G,$G83)&gt;1,"Doppelte Monatsstunden",""))</f>
        <v/>
      </c>
    </row>
    <row r="84" spans="1:10" ht="24" customHeight="1">
      <c r="A84" s="424" t="s">
        <v>329</v>
      </c>
      <c r="B84" s="425">
        <v>46143</v>
      </c>
      <c r="C84" s="425">
        <v>46507</v>
      </c>
      <c r="D84" s="426" t="s">
        <v>17</v>
      </c>
      <c r="E84" s="426" t="s">
        <v>13</v>
      </c>
      <c r="F84" s="426" t="s">
        <v>323</v>
      </c>
      <c r="G84" s="427">
        <v>151.38</v>
      </c>
      <c r="H84" s="428"/>
      <c r="I84" s="426" t="str">
        <f>IF($A84="","",IF(OR($B84="",$C84="",$D84="",$E84="",$F84=""),"Stammdaten fehlen",IF(AND($G84="",$H84=""),"Werte fehlen",IF($G84="","Monatsstunden fehlen",IF($H84="","Monatslohn fehlt","OK")))))</f>
        <v>Monatslohn fehlt</v>
      </c>
      <c r="J84" s="429" t="str">
        <f>IF($G84="","",IF(COUNTIFS($A:$A,$A84,$D:$D,$D84,$G:$G,$G84)&gt;1,"Doppelte Monatsstunden",""))</f>
        <v/>
      </c>
    </row>
    <row r="85" spans="1:10" ht="24" customHeight="1">
      <c r="A85" s="424" t="s">
        <v>329</v>
      </c>
      <c r="B85" s="425">
        <v>46143</v>
      </c>
      <c r="C85" s="425">
        <v>46507</v>
      </c>
      <c r="D85" s="426" t="s">
        <v>17</v>
      </c>
      <c r="E85" s="426" t="s">
        <v>13</v>
      </c>
      <c r="F85" s="426" t="s">
        <v>323</v>
      </c>
      <c r="G85" s="427">
        <v>138.4</v>
      </c>
      <c r="H85" s="428"/>
      <c r="I85" s="426" t="str">
        <f>IF($A85="","",IF(OR($B85="",$C85="",$D85="",$E85="",$F85=""),"Stammdaten fehlen",IF(AND($G85="",$H85=""),"Werte fehlen",IF($G85="","Monatsstunden fehlen",IF($H85="","Monatslohn fehlt","OK")))))</f>
        <v>Monatslohn fehlt</v>
      </c>
      <c r="J85" s="429" t="str">
        <f>IF($G85="","",IF(COUNTIFS($A:$A,$A85,$D:$D,$D85,$G:$G,$G85)&gt;1,"Doppelte Monatsstunden",""))</f>
        <v/>
      </c>
    </row>
    <row r="86" spans="1:10" ht="24" customHeight="1">
      <c r="A86" s="424" t="s">
        <v>329</v>
      </c>
      <c r="B86" s="425">
        <v>46143</v>
      </c>
      <c r="C86" s="425">
        <v>46507</v>
      </c>
      <c r="D86" s="426" t="s">
        <v>17</v>
      </c>
      <c r="E86" s="426" t="s">
        <v>13</v>
      </c>
      <c r="F86" s="426" t="s">
        <v>323</v>
      </c>
      <c r="G86" s="427">
        <v>129.75</v>
      </c>
      <c r="H86" s="428"/>
      <c r="I86" s="426" t="str">
        <f>IF($A86="","",IF(OR($B86="",$C86="",$D86="",$E86="",$F86=""),"Stammdaten fehlen",IF(AND($G86="",$H86=""),"Werte fehlen",IF($G86="","Monatsstunden fehlen",IF($H86="","Monatslohn fehlt","OK")))))</f>
        <v>Monatslohn fehlt</v>
      </c>
      <c r="J86" s="429" t="str">
        <f>IF($G86="","",IF(COUNTIFS($A:$A,$A86,$D:$D,$D86,$G:$G,$G86)&gt;1,"Doppelte Monatsstunden",""))</f>
        <v/>
      </c>
    </row>
    <row r="87" spans="1:10" ht="24" customHeight="1">
      <c r="A87" s="424" t="s">
        <v>329</v>
      </c>
      <c r="B87" s="425">
        <v>46143</v>
      </c>
      <c r="C87" s="425">
        <v>46507</v>
      </c>
      <c r="D87" s="426" t="s">
        <v>17</v>
      </c>
      <c r="E87" s="426" t="s">
        <v>13</v>
      </c>
      <c r="F87" s="426" t="s">
        <v>323</v>
      </c>
      <c r="G87" s="427">
        <v>108.13</v>
      </c>
      <c r="H87" s="428"/>
      <c r="I87" s="426" t="str">
        <f>IF($A87="","",IF(OR($B87="",$C87="",$D87="",$E87="",$F87=""),"Stammdaten fehlen",IF(AND($G87="",$H87=""),"Werte fehlen",IF($G87="","Monatsstunden fehlen",IF($H87="","Monatslohn fehlt","OK")))))</f>
        <v>Monatslohn fehlt</v>
      </c>
      <c r="J87" s="429" t="str">
        <f>IF($G87="","",IF(COUNTIFS($A:$A,$A87,$D:$D,$D87,$G:$G,$G87)&gt;1,"Doppelte Monatsstunden",""))</f>
        <v/>
      </c>
    </row>
    <row r="88" spans="1:10" ht="24" customHeight="1">
      <c r="A88" s="424" t="s">
        <v>329</v>
      </c>
      <c r="B88" s="425">
        <v>46143</v>
      </c>
      <c r="C88" s="425">
        <v>46507</v>
      </c>
      <c r="D88" s="426" t="s">
        <v>17</v>
      </c>
      <c r="E88" s="426" t="s">
        <v>13</v>
      </c>
      <c r="F88" s="426" t="s">
        <v>323</v>
      </c>
      <c r="G88" s="427">
        <v>103.8</v>
      </c>
      <c r="H88" s="428"/>
      <c r="I88" s="426" t="str">
        <f>IF($A88="","",IF(OR($B88="",$C88="",$D88="",$E88="",$F88=""),"Stammdaten fehlen",IF(AND($G88="",$H88=""),"Werte fehlen",IF($G88="","Monatsstunden fehlen",IF($H88="","Monatslohn fehlt","OK")))))</f>
        <v>Monatslohn fehlt</v>
      </c>
      <c r="J88" s="429" t="str">
        <f>IF($G88="","",IF(COUNTIFS($A:$A,$A88,$D:$D,$D88,$G:$G,$G88)&gt;1,"Doppelte Monatsstunden",""))</f>
        <v/>
      </c>
    </row>
    <row r="89" spans="1:10" ht="24" customHeight="1">
      <c r="A89" s="424" t="s">
        <v>329</v>
      </c>
      <c r="B89" s="425">
        <v>46143</v>
      </c>
      <c r="C89" s="425">
        <v>46507</v>
      </c>
      <c r="D89" s="426" t="s">
        <v>17</v>
      </c>
      <c r="E89" s="426" t="s">
        <v>13</v>
      </c>
      <c r="F89" s="426" t="s">
        <v>323</v>
      </c>
      <c r="G89" s="427">
        <v>86.5</v>
      </c>
      <c r="H89" s="428"/>
      <c r="I89" s="426" t="str">
        <f>IF($A89="","",IF(OR($B89="",$C89="",$D89="",$E89="",$F89=""),"Stammdaten fehlen",IF(AND($G89="",$H89=""),"Werte fehlen",IF($G89="","Monatsstunden fehlen",IF($H89="","Monatslohn fehlt","OK")))))</f>
        <v>Monatslohn fehlt</v>
      </c>
      <c r="J89" s="429" t="str">
        <f>IF($G89="","",IF(COUNTIFS($A:$A,$A89,$D:$D,$D89,$G:$G,$G89)&gt;1,"Doppelte Monatsstunden",""))</f>
        <v/>
      </c>
    </row>
    <row r="90" spans="1:10" ht="24" customHeight="1">
      <c r="A90" s="424" t="s">
        <v>329</v>
      </c>
      <c r="B90" s="425">
        <v>46143</v>
      </c>
      <c r="C90" s="425">
        <v>46507</v>
      </c>
      <c r="D90" s="426" t="s">
        <v>17</v>
      </c>
      <c r="E90" s="426" t="s">
        <v>13</v>
      </c>
      <c r="F90" s="426" t="s">
        <v>323</v>
      </c>
      <c r="G90" s="427">
        <v>69.2</v>
      </c>
      <c r="H90" s="428"/>
      <c r="I90" s="426" t="str">
        <f>IF($A90="","",IF(OR($B90="",$C90="",$D90="",$E90="",$F90=""),"Stammdaten fehlen",IF(AND($G90="",$H90=""),"Werte fehlen",IF($G90="","Monatsstunden fehlen",IF($H90="","Monatslohn fehlt","OK")))))</f>
        <v>Monatslohn fehlt</v>
      </c>
      <c r="J90" s="429" t="str">
        <f>IF($G90="","",IF(COUNTIFS($A:$A,$A90,$D:$D,$D90,$G:$G,$G90)&gt;1,"Doppelte Monatsstunden",""))</f>
        <v/>
      </c>
    </row>
    <row r="91" spans="1:10" ht="24" customHeight="1">
      <c r="A91" s="424" t="s">
        <v>329</v>
      </c>
      <c r="B91" s="425">
        <v>46143</v>
      </c>
      <c r="C91" s="425">
        <v>46507</v>
      </c>
      <c r="D91" s="426" t="s">
        <v>17</v>
      </c>
      <c r="E91" s="426" t="s">
        <v>13</v>
      </c>
      <c r="F91" s="426" t="s">
        <v>323</v>
      </c>
      <c r="G91" s="427">
        <v>51.9</v>
      </c>
      <c r="H91" s="428"/>
      <c r="I91" s="426" t="str">
        <f>IF($A91="","",IF(OR($B91="",$C91="",$D91="",$E91="",$F91=""),"Stammdaten fehlen",IF(AND($G91="",$H91=""),"Werte fehlen",IF($G91="","Monatsstunden fehlen",IF($H91="","Monatslohn fehlt","OK")))))</f>
        <v>Monatslohn fehlt</v>
      </c>
      <c r="J91" s="429" t="str">
        <f>IF($G91="","",IF(COUNTIFS($A:$A,$A91,$D:$D,$D91,$G:$G,$G91)&gt;1,"Doppelte Monatsstunden",""))</f>
        <v/>
      </c>
    </row>
    <row r="92" spans="1:10" ht="24" customHeight="1">
      <c r="A92" s="424" t="s">
        <v>329</v>
      </c>
      <c r="B92" s="425">
        <v>46143</v>
      </c>
      <c r="C92" s="425">
        <v>46507</v>
      </c>
      <c r="D92" s="426" t="s">
        <v>17</v>
      </c>
      <c r="E92" s="426" t="s">
        <v>13</v>
      </c>
      <c r="F92" s="426" t="s">
        <v>323</v>
      </c>
      <c r="G92" s="427">
        <v>47.58</v>
      </c>
      <c r="H92" s="428"/>
      <c r="I92" s="426" t="str">
        <f>IF($A92="","",IF(OR($B92="",$C92="",$D92="",$E92="",$F92=""),"Stammdaten fehlen",IF(AND($G92="",$H92=""),"Werte fehlen",IF($G92="","Monatsstunden fehlen",IF($H92="","Monatslohn fehlt","OK")))))</f>
        <v>Monatslohn fehlt</v>
      </c>
      <c r="J92" s="429" t="str">
        <f>IF($G92="","",IF(COUNTIFS($A:$A,$A92,$D:$D,$D92,$G:$G,$G92)&gt;1,"Doppelte Monatsstunden",""))</f>
        <v/>
      </c>
    </row>
    <row r="93" spans="1:10" ht="24" customHeight="1">
      <c r="A93" s="424" t="s">
        <v>329</v>
      </c>
      <c r="B93" s="425">
        <v>46143</v>
      </c>
      <c r="C93" s="425">
        <v>46507</v>
      </c>
      <c r="D93" s="426" t="s">
        <v>17</v>
      </c>
      <c r="E93" s="426" t="s">
        <v>13</v>
      </c>
      <c r="F93" s="426" t="s">
        <v>323</v>
      </c>
      <c r="G93" s="427">
        <v>43.25</v>
      </c>
      <c r="H93" s="428"/>
      <c r="I93" s="426" t="str">
        <f>IF($A93="","",IF(OR($B93="",$C93="",$D93="",$E93="",$F93=""),"Stammdaten fehlen",IF(AND($G93="",$H93=""),"Werte fehlen",IF($G93="","Monatsstunden fehlen",IF($H93="","Monatslohn fehlt","OK")))))</f>
        <v>Monatslohn fehlt</v>
      </c>
      <c r="J93" s="429" t="str">
        <f>IF($G93="","",IF(COUNTIFS($A:$A,$A93,$D:$D,$D93,$G:$G,$G93)&gt;1,"Doppelte Monatsstunden",""))</f>
        <v/>
      </c>
    </row>
    <row r="94" spans="1:10" ht="24" customHeight="1">
      <c r="A94" s="424" t="s">
        <v>329</v>
      </c>
      <c r="B94" s="425">
        <v>46143</v>
      </c>
      <c r="C94" s="425">
        <v>46507</v>
      </c>
      <c r="D94" s="426" t="s">
        <v>17</v>
      </c>
      <c r="E94" s="426" t="s">
        <v>13</v>
      </c>
      <c r="F94" s="426" t="s">
        <v>323</v>
      </c>
      <c r="G94" s="427">
        <v>34.6</v>
      </c>
      <c r="H94" s="428"/>
      <c r="I94" s="426" t="str">
        <f>IF($A94="","",IF(OR($B94="",$C94="",$D94="",$E94="",$F94=""),"Stammdaten fehlen",IF(AND($G94="",$H94=""),"Werte fehlen",IF($G94="","Monatsstunden fehlen",IF($H94="","Monatslohn fehlt","OK")))))</f>
        <v>Monatslohn fehlt</v>
      </c>
      <c r="J94" s="429" t="str">
        <f>IF($G94="","",IF(COUNTIFS($A:$A,$A94,$D:$D,$D94,$G:$G,$G94)&gt;1,"Doppelte Monatsstunden",""))</f>
        <v/>
      </c>
    </row>
    <row r="95" spans="1:10" ht="24" customHeight="1" thickBot="1">
      <c r="A95" s="424" t="s">
        <v>329</v>
      </c>
      <c r="B95" s="425">
        <v>46143</v>
      </c>
      <c r="C95" s="425">
        <v>46507</v>
      </c>
      <c r="D95" s="426" t="s">
        <v>17</v>
      </c>
      <c r="E95" s="426" t="s">
        <v>13</v>
      </c>
      <c r="F95" s="426" t="s">
        <v>323</v>
      </c>
      <c r="G95" s="427">
        <v>32.01</v>
      </c>
      <c r="H95" s="428"/>
      <c r="I95" s="426" t="str">
        <f>IF($A95="","",IF(OR($B95="",$C95="",$D95="",$E95="",$F95=""),"Stammdaten fehlen",IF(AND($G95="",$H95=""),"Werte fehlen",IF($G95="","Monatsstunden fehlen",IF($H95="","Monatslohn fehlt","OK")))))</f>
        <v>Monatslohn fehlt</v>
      </c>
      <c r="J95" s="429" t="str">
        <f>IF($G95="","",IF(COUNTIFS($A:$A,$A95,$D:$D,$D95,$G:$G,$G95)&gt;1,"Doppelte Monatsstunden",""))</f>
        <v/>
      </c>
    </row>
    <row r="96" spans="1:10" ht="24" customHeight="1">
      <c r="A96" s="418" t="s">
        <v>329</v>
      </c>
      <c r="B96" s="419">
        <v>46143</v>
      </c>
      <c r="C96" s="419">
        <v>46507</v>
      </c>
      <c r="D96" s="420" t="s">
        <v>19</v>
      </c>
      <c r="E96" s="420" t="s">
        <v>13</v>
      </c>
      <c r="F96" s="420" t="s">
        <v>324</v>
      </c>
      <c r="G96" s="421">
        <v>173</v>
      </c>
      <c r="H96" s="422"/>
      <c r="I96" s="420" t="str">
        <f>IF($A96="","",IF(OR($B96="",$C96="",$D96="",$E96="",$F96=""),"Stammdaten fehlen",IF(AND($G96="",$H96=""),"Werte fehlen",IF($G96="","Monatsstunden fehlen",IF($H96="","Monatslohn fehlt","OK")))))</f>
        <v>Monatslohn fehlt</v>
      </c>
      <c r="J96" s="423" t="str">
        <f>IF($G96="","",IF(COUNTIFS($A:$A,$A96,$D:$D,$D96,$G:$G,$G96)&gt;1,"Doppelte Monatsstunden",""))</f>
        <v/>
      </c>
    </row>
    <row r="97" spans="1:10" ht="24" customHeight="1">
      <c r="A97" s="424" t="s">
        <v>329</v>
      </c>
      <c r="B97" s="425">
        <v>46143</v>
      </c>
      <c r="C97" s="425">
        <v>46507</v>
      </c>
      <c r="D97" s="426" t="s">
        <v>19</v>
      </c>
      <c r="E97" s="426" t="s">
        <v>13</v>
      </c>
      <c r="F97" s="426" t="s">
        <v>324</v>
      </c>
      <c r="G97" s="427">
        <v>151.38</v>
      </c>
      <c r="H97" s="428"/>
      <c r="I97" s="426" t="str">
        <f>IF($A97="","",IF(OR($B97="",$C97="",$D97="",$E97="",$F97=""),"Stammdaten fehlen",IF(AND($G97="",$H97=""),"Werte fehlen",IF($G97="","Monatsstunden fehlen",IF($H97="","Monatslohn fehlt","OK")))))</f>
        <v>Monatslohn fehlt</v>
      </c>
      <c r="J97" s="429" t="str">
        <f>IF($G97="","",IF(COUNTIFS($A:$A,$A97,$D:$D,$D97,$G:$G,$G97)&gt;1,"Doppelte Monatsstunden",""))</f>
        <v/>
      </c>
    </row>
    <row r="98" spans="1:10" ht="24" customHeight="1">
      <c r="A98" s="424" t="s">
        <v>329</v>
      </c>
      <c r="B98" s="425">
        <v>46143</v>
      </c>
      <c r="C98" s="425">
        <v>46507</v>
      </c>
      <c r="D98" s="426" t="s">
        <v>19</v>
      </c>
      <c r="E98" s="426" t="s">
        <v>13</v>
      </c>
      <c r="F98" s="426" t="s">
        <v>324</v>
      </c>
      <c r="G98" s="427">
        <v>138.4</v>
      </c>
      <c r="H98" s="428"/>
      <c r="I98" s="426" t="str">
        <f>IF($A98="","",IF(OR($B98="",$C98="",$D98="",$E98="",$F98=""),"Stammdaten fehlen",IF(AND($G98="",$H98=""),"Werte fehlen",IF($G98="","Monatsstunden fehlen",IF($H98="","Monatslohn fehlt","OK")))))</f>
        <v>Monatslohn fehlt</v>
      </c>
      <c r="J98" s="429" t="str">
        <f>IF($G98="","",IF(COUNTIFS($A:$A,$A98,$D:$D,$D98,$G:$G,$G98)&gt;1,"Doppelte Monatsstunden",""))</f>
        <v/>
      </c>
    </row>
    <row r="99" spans="1:10" ht="24" customHeight="1">
      <c r="A99" s="424" t="s">
        <v>329</v>
      </c>
      <c r="B99" s="425">
        <v>46143</v>
      </c>
      <c r="C99" s="425">
        <v>46507</v>
      </c>
      <c r="D99" s="426" t="s">
        <v>19</v>
      </c>
      <c r="E99" s="426" t="s">
        <v>13</v>
      </c>
      <c r="F99" s="426" t="s">
        <v>324</v>
      </c>
      <c r="G99" s="427">
        <v>129.75</v>
      </c>
      <c r="H99" s="428"/>
      <c r="I99" s="426" t="str">
        <f>IF($A99="","",IF(OR($B99="",$C99="",$D99="",$E99="",$F99=""),"Stammdaten fehlen",IF(AND($G99="",$H99=""),"Werte fehlen",IF($G99="","Monatsstunden fehlen",IF($H99="","Monatslohn fehlt","OK")))))</f>
        <v>Monatslohn fehlt</v>
      </c>
      <c r="J99" s="429" t="str">
        <f>IF($G99="","",IF(COUNTIFS($A:$A,$A99,$D:$D,$D99,$G:$G,$G99)&gt;1,"Doppelte Monatsstunden",""))</f>
        <v/>
      </c>
    </row>
    <row r="100" spans="1:10" ht="24" customHeight="1">
      <c r="A100" s="424" t="s">
        <v>329</v>
      </c>
      <c r="B100" s="425">
        <v>46143</v>
      </c>
      <c r="C100" s="425">
        <v>46507</v>
      </c>
      <c r="D100" s="426" t="s">
        <v>19</v>
      </c>
      <c r="E100" s="426" t="s">
        <v>13</v>
      </c>
      <c r="F100" s="426" t="s">
        <v>324</v>
      </c>
      <c r="G100" s="427">
        <v>108.13</v>
      </c>
      <c r="H100" s="428"/>
      <c r="I100" s="426" t="str">
        <f>IF($A100="","",IF(OR($B100="",$C100="",$D100="",$E100="",$F100=""),"Stammdaten fehlen",IF(AND($G100="",$H100=""),"Werte fehlen",IF($G100="","Monatsstunden fehlen",IF($H100="","Monatslohn fehlt","OK")))))</f>
        <v>Monatslohn fehlt</v>
      </c>
      <c r="J100" s="429" t="str">
        <f>IF($G100="","",IF(COUNTIFS($A:$A,$A100,$D:$D,$D100,$G:$G,$G100)&gt;1,"Doppelte Monatsstunden",""))</f>
        <v/>
      </c>
    </row>
    <row r="101" spans="1:10" ht="24" customHeight="1">
      <c r="A101" s="424" t="s">
        <v>329</v>
      </c>
      <c r="B101" s="425">
        <v>46143</v>
      </c>
      <c r="C101" s="425">
        <v>46507</v>
      </c>
      <c r="D101" s="426" t="s">
        <v>19</v>
      </c>
      <c r="E101" s="426" t="s">
        <v>13</v>
      </c>
      <c r="F101" s="426" t="s">
        <v>324</v>
      </c>
      <c r="G101" s="427">
        <v>103.8</v>
      </c>
      <c r="H101" s="428"/>
      <c r="I101" s="426" t="str">
        <f>IF($A101="","",IF(OR($B101="",$C101="",$D101="",$E101="",$F101=""),"Stammdaten fehlen",IF(AND($G101="",$H101=""),"Werte fehlen",IF($G101="","Monatsstunden fehlen",IF($H101="","Monatslohn fehlt","OK")))))</f>
        <v>Monatslohn fehlt</v>
      </c>
      <c r="J101" s="429" t="str">
        <f>IF($G101="","",IF(COUNTIFS($A:$A,$A101,$D:$D,$D101,$G:$G,$G101)&gt;1,"Doppelte Monatsstunden",""))</f>
        <v/>
      </c>
    </row>
    <row r="102" spans="1:10" ht="24" customHeight="1">
      <c r="A102" s="424" t="s">
        <v>329</v>
      </c>
      <c r="B102" s="425">
        <v>46143</v>
      </c>
      <c r="C102" s="425">
        <v>46507</v>
      </c>
      <c r="D102" s="426" t="s">
        <v>19</v>
      </c>
      <c r="E102" s="426" t="s">
        <v>13</v>
      </c>
      <c r="F102" s="426" t="s">
        <v>324</v>
      </c>
      <c r="G102" s="427">
        <v>86.5</v>
      </c>
      <c r="H102" s="428"/>
      <c r="I102" s="426" t="str">
        <f>IF($A102="","",IF(OR($B102="",$C102="",$D102="",$E102="",$F102=""),"Stammdaten fehlen",IF(AND($G102="",$H102=""),"Werte fehlen",IF($G102="","Monatsstunden fehlen",IF($H102="","Monatslohn fehlt","OK")))))</f>
        <v>Monatslohn fehlt</v>
      </c>
      <c r="J102" s="429" t="str">
        <f>IF($G102="","",IF(COUNTIFS($A:$A,$A102,$D:$D,$D102,$G:$G,$G102)&gt;1,"Doppelte Monatsstunden",""))</f>
        <v/>
      </c>
    </row>
    <row r="103" spans="1:10" ht="24" customHeight="1">
      <c r="A103" s="424" t="s">
        <v>329</v>
      </c>
      <c r="B103" s="425">
        <v>46143</v>
      </c>
      <c r="C103" s="425">
        <v>46507</v>
      </c>
      <c r="D103" s="426" t="s">
        <v>19</v>
      </c>
      <c r="E103" s="426" t="s">
        <v>13</v>
      </c>
      <c r="F103" s="426" t="s">
        <v>324</v>
      </c>
      <c r="G103" s="427">
        <v>69.2</v>
      </c>
      <c r="H103" s="428"/>
      <c r="I103" s="426" t="str">
        <f>IF($A103="","",IF(OR($B103="",$C103="",$D103="",$E103="",$F103=""),"Stammdaten fehlen",IF(AND($G103="",$H103=""),"Werte fehlen",IF($G103="","Monatsstunden fehlen",IF($H103="","Monatslohn fehlt","OK")))))</f>
        <v>Monatslohn fehlt</v>
      </c>
      <c r="J103" s="429" t="str">
        <f>IF($G103="","",IF(COUNTIFS($A:$A,$A103,$D:$D,$D103,$G:$G,$G103)&gt;1,"Doppelte Monatsstunden",""))</f>
        <v/>
      </c>
    </row>
    <row r="104" spans="1:10" ht="24" customHeight="1">
      <c r="A104" s="424" t="s">
        <v>329</v>
      </c>
      <c r="B104" s="425">
        <v>46143</v>
      </c>
      <c r="C104" s="425">
        <v>46507</v>
      </c>
      <c r="D104" s="426" t="s">
        <v>19</v>
      </c>
      <c r="E104" s="426" t="s">
        <v>13</v>
      </c>
      <c r="F104" s="426" t="s">
        <v>324</v>
      </c>
      <c r="G104" s="427">
        <v>51.9</v>
      </c>
      <c r="H104" s="428"/>
      <c r="I104" s="426" t="str">
        <f>IF($A104="","",IF(OR($B104="",$C104="",$D104="",$E104="",$F104=""),"Stammdaten fehlen",IF(AND($G104="",$H104=""),"Werte fehlen",IF($G104="","Monatsstunden fehlen",IF($H104="","Monatslohn fehlt","OK")))))</f>
        <v>Monatslohn fehlt</v>
      </c>
      <c r="J104" s="429" t="str">
        <f>IF($G104="","",IF(COUNTIFS($A:$A,$A104,$D:$D,$D104,$G:$G,$G104)&gt;1,"Doppelte Monatsstunden",""))</f>
        <v/>
      </c>
    </row>
    <row r="105" spans="1:10" ht="24" customHeight="1">
      <c r="A105" s="424" t="s">
        <v>329</v>
      </c>
      <c r="B105" s="425">
        <v>46143</v>
      </c>
      <c r="C105" s="425">
        <v>46507</v>
      </c>
      <c r="D105" s="426" t="s">
        <v>19</v>
      </c>
      <c r="E105" s="426" t="s">
        <v>13</v>
      </c>
      <c r="F105" s="426" t="s">
        <v>324</v>
      </c>
      <c r="G105" s="427">
        <v>47.58</v>
      </c>
      <c r="H105" s="428"/>
      <c r="I105" s="426" t="str">
        <f>IF($A105="","",IF(OR($B105="",$C105="",$D105="",$E105="",$F105=""),"Stammdaten fehlen",IF(AND($G105="",$H105=""),"Werte fehlen",IF($G105="","Monatsstunden fehlen",IF($H105="","Monatslohn fehlt","OK")))))</f>
        <v>Monatslohn fehlt</v>
      </c>
      <c r="J105" s="429" t="str">
        <f>IF($G105="","",IF(COUNTIFS($A:$A,$A105,$D:$D,$D105,$G:$G,$G105)&gt;1,"Doppelte Monatsstunden",""))</f>
        <v/>
      </c>
    </row>
    <row r="106" spans="1:10" ht="24" customHeight="1">
      <c r="A106" s="424" t="s">
        <v>329</v>
      </c>
      <c r="B106" s="425">
        <v>46143</v>
      </c>
      <c r="C106" s="425">
        <v>46507</v>
      </c>
      <c r="D106" s="426" t="s">
        <v>19</v>
      </c>
      <c r="E106" s="426" t="s">
        <v>13</v>
      </c>
      <c r="F106" s="426" t="s">
        <v>324</v>
      </c>
      <c r="G106" s="427">
        <v>43.25</v>
      </c>
      <c r="H106" s="428"/>
      <c r="I106" s="426" t="str">
        <f>IF($A106="","",IF(OR($B106="",$C106="",$D106="",$E106="",$F106=""),"Stammdaten fehlen",IF(AND($G106="",$H106=""),"Werte fehlen",IF($G106="","Monatsstunden fehlen",IF($H106="","Monatslohn fehlt","OK")))))</f>
        <v>Monatslohn fehlt</v>
      </c>
      <c r="J106" s="429" t="str">
        <f>IF($G106="","",IF(COUNTIFS($A:$A,$A106,$D:$D,$D106,$G:$G,$G106)&gt;1,"Doppelte Monatsstunden",""))</f>
        <v/>
      </c>
    </row>
    <row r="107" spans="1:10" ht="24" customHeight="1">
      <c r="A107" s="424" t="s">
        <v>329</v>
      </c>
      <c r="B107" s="425">
        <v>46143</v>
      </c>
      <c r="C107" s="425">
        <v>46507</v>
      </c>
      <c r="D107" s="426" t="s">
        <v>19</v>
      </c>
      <c r="E107" s="426" t="s">
        <v>13</v>
      </c>
      <c r="F107" s="426" t="s">
        <v>324</v>
      </c>
      <c r="G107" s="427">
        <v>34.6</v>
      </c>
      <c r="H107" s="428"/>
      <c r="I107" s="426" t="str">
        <f>IF($A107="","",IF(OR($B107="",$C107="",$D107="",$E107="",$F107=""),"Stammdaten fehlen",IF(AND($G107="",$H107=""),"Werte fehlen",IF($G107="","Monatsstunden fehlen",IF($H107="","Monatslohn fehlt","OK")))))</f>
        <v>Monatslohn fehlt</v>
      </c>
      <c r="J107" s="429" t="str">
        <f>IF($G107="","",IF(COUNTIFS($A:$A,$A107,$D:$D,$D107,$G:$G,$G107)&gt;1,"Doppelte Monatsstunden",""))</f>
        <v/>
      </c>
    </row>
    <row r="108" spans="1:10" ht="24" customHeight="1" thickBot="1">
      <c r="A108" s="424" t="s">
        <v>329</v>
      </c>
      <c r="B108" s="425">
        <v>46143</v>
      </c>
      <c r="C108" s="425">
        <v>46507</v>
      </c>
      <c r="D108" s="426" t="s">
        <v>19</v>
      </c>
      <c r="E108" s="426" t="s">
        <v>13</v>
      </c>
      <c r="F108" s="426" t="s">
        <v>324</v>
      </c>
      <c r="G108" s="427">
        <v>32.01</v>
      </c>
      <c r="H108" s="428"/>
      <c r="I108" s="426" t="str">
        <f>IF($A108="","",IF(OR($B108="",$C108="",$D108="",$E108="",$F108=""),"Stammdaten fehlen",IF(AND($G108="",$H108=""),"Werte fehlen",IF($G108="","Monatsstunden fehlen",IF($H108="","Monatslohn fehlt","OK")))))</f>
        <v>Monatslohn fehlt</v>
      </c>
      <c r="J108" s="429" t="str">
        <f>IF($G108="","",IF(COUNTIFS($A:$A,$A108,$D:$D,$D108,$G:$G,$G108)&gt;1,"Doppelte Monatsstunden",""))</f>
        <v/>
      </c>
    </row>
    <row r="109" spans="1:10" ht="24" customHeight="1">
      <c r="A109" s="430" t="s">
        <v>329</v>
      </c>
      <c r="B109" s="431">
        <v>46143</v>
      </c>
      <c r="C109" s="431">
        <v>46507</v>
      </c>
      <c r="D109" s="432" t="s">
        <v>333</v>
      </c>
      <c r="E109" s="432" t="s">
        <v>21</v>
      </c>
      <c r="F109" s="432" t="s">
        <v>321</v>
      </c>
      <c r="G109" s="433">
        <v>173</v>
      </c>
      <c r="H109" s="434"/>
      <c r="I109" s="432" t="str">
        <f>IF($A109="","",IF(OR($B109="",$C109="",$D109="",$E109="",$F109=""),"Stammdaten fehlen",IF(AND($G109="",$H109=""),"Werte fehlen",IF($G109="","Monatsstunden fehlen",IF($H109="","Monatslohn fehlt","OK")))))</f>
        <v>Monatslohn fehlt</v>
      </c>
      <c r="J109" s="435" t="str">
        <f>IF($G109="","",IF(COUNTIFS($A:$A,$A109,$D:$D,$D109,$G:$G,$G109)&gt;1,"Doppelte Monatsstunden",""))</f>
        <v/>
      </c>
    </row>
    <row r="110" spans="1:10" ht="24" customHeight="1">
      <c r="A110" s="436" t="s">
        <v>329</v>
      </c>
      <c r="B110" s="437">
        <v>46143</v>
      </c>
      <c r="C110" s="437">
        <v>46507</v>
      </c>
      <c r="D110" s="438" t="s">
        <v>333</v>
      </c>
      <c r="E110" s="438" t="s">
        <v>21</v>
      </c>
      <c r="F110" s="438" t="s">
        <v>321</v>
      </c>
      <c r="G110" s="439">
        <v>151.38</v>
      </c>
      <c r="H110" s="440"/>
      <c r="I110" s="438" t="str">
        <f>IF($A110="","",IF(OR($B110="",$C110="",$D110="",$E110="",$F110=""),"Stammdaten fehlen",IF(AND($G110="",$H110=""),"Werte fehlen",IF($G110="","Monatsstunden fehlen",IF($H110="","Monatslohn fehlt","OK")))))</f>
        <v>Monatslohn fehlt</v>
      </c>
      <c r="J110" s="441" t="str">
        <f>IF($G110="","",IF(COUNTIFS($A:$A,$A110,$D:$D,$D110,$G:$G,$G110)&gt;1,"Doppelte Monatsstunden",""))</f>
        <v/>
      </c>
    </row>
    <row r="111" spans="1:10" ht="24" customHeight="1">
      <c r="A111" s="436" t="s">
        <v>329</v>
      </c>
      <c r="B111" s="437">
        <v>46143</v>
      </c>
      <c r="C111" s="437">
        <v>46507</v>
      </c>
      <c r="D111" s="438" t="s">
        <v>333</v>
      </c>
      <c r="E111" s="438" t="s">
        <v>21</v>
      </c>
      <c r="F111" s="438" t="s">
        <v>321</v>
      </c>
      <c r="G111" s="439">
        <v>138.4</v>
      </c>
      <c r="H111" s="440"/>
      <c r="I111" s="438" t="str">
        <f>IF($A111="","",IF(OR($B111="",$C111="",$D111="",$E111="",$F111=""),"Stammdaten fehlen",IF(AND($G111="",$H111=""),"Werte fehlen",IF($G111="","Monatsstunden fehlen",IF($H111="","Monatslohn fehlt","OK")))))</f>
        <v>Monatslohn fehlt</v>
      </c>
      <c r="J111" s="441" t="str">
        <f>IF($G111="","",IF(COUNTIFS($A:$A,$A111,$D:$D,$D111,$G:$G,$G111)&gt;1,"Doppelte Monatsstunden",""))</f>
        <v/>
      </c>
    </row>
    <row r="112" spans="1:10" ht="24" customHeight="1">
      <c r="A112" s="436" t="s">
        <v>329</v>
      </c>
      <c r="B112" s="437">
        <v>46143</v>
      </c>
      <c r="C112" s="437">
        <v>46507</v>
      </c>
      <c r="D112" s="438" t="s">
        <v>333</v>
      </c>
      <c r="E112" s="438" t="s">
        <v>21</v>
      </c>
      <c r="F112" s="438" t="s">
        <v>321</v>
      </c>
      <c r="G112" s="439">
        <v>129.75</v>
      </c>
      <c r="H112" s="440"/>
      <c r="I112" s="438" t="str">
        <f>IF($A112="","",IF(OR($B112="",$C112="",$D112="",$E112="",$F112=""),"Stammdaten fehlen",IF(AND($G112="",$H112=""),"Werte fehlen",IF($G112="","Monatsstunden fehlen",IF($H112="","Monatslohn fehlt","OK")))))</f>
        <v>Monatslohn fehlt</v>
      </c>
      <c r="J112" s="441" t="str">
        <f>IF($G112="","",IF(COUNTIFS($A:$A,$A112,$D:$D,$D112,$G:$G,$G112)&gt;1,"Doppelte Monatsstunden",""))</f>
        <v/>
      </c>
    </row>
    <row r="113" spans="1:10" ht="24" customHeight="1">
      <c r="A113" s="436" t="s">
        <v>329</v>
      </c>
      <c r="B113" s="437">
        <v>46143</v>
      </c>
      <c r="C113" s="437">
        <v>46507</v>
      </c>
      <c r="D113" s="438" t="s">
        <v>333</v>
      </c>
      <c r="E113" s="438" t="s">
        <v>21</v>
      </c>
      <c r="F113" s="438" t="s">
        <v>321</v>
      </c>
      <c r="G113" s="439">
        <v>108.13</v>
      </c>
      <c r="H113" s="440"/>
      <c r="I113" s="438" t="str">
        <f>IF($A113="","",IF(OR($B113="",$C113="",$D113="",$E113="",$F113=""),"Stammdaten fehlen",IF(AND($G113="",$H113=""),"Werte fehlen",IF($G113="","Monatsstunden fehlen",IF($H113="","Monatslohn fehlt","OK")))))</f>
        <v>Monatslohn fehlt</v>
      </c>
      <c r="J113" s="441" t="str">
        <f>IF($G113="","",IF(COUNTIFS($A:$A,$A113,$D:$D,$D113,$G:$G,$G113)&gt;1,"Doppelte Monatsstunden",""))</f>
        <v/>
      </c>
    </row>
    <row r="114" spans="1:10" ht="24" customHeight="1">
      <c r="A114" s="436" t="s">
        <v>329</v>
      </c>
      <c r="B114" s="437">
        <v>46143</v>
      </c>
      <c r="C114" s="437">
        <v>46507</v>
      </c>
      <c r="D114" s="438" t="s">
        <v>333</v>
      </c>
      <c r="E114" s="438" t="s">
        <v>21</v>
      </c>
      <c r="F114" s="438" t="s">
        <v>321</v>
      </c>
      <c r="G114" s="439">
        <v>103.8</v>
      </c>
      <c r="H114" s="440"/>
      <c r="I114" s="438" t="str">
        <f>IF($A114="","",IF(OR($B114="",$C114="",$D114="",$E114="",$F114=""),"Stammdaten fehlen",IF(AND($G114="",$H114=""),"Werte fehlen",IF($G114="","Monatsstunden fehlen",IF($H114="","Monatslohn fehlt","OK")))))</f>
        <v>Monatslohn fehlt</v>
      </c>
      <c r="J114" s="441" t="str">
        <f>IF($G114="","",IF(COUNTIFS($A:$A,$A114,$D:$D,$D114,$G:$G,$G114)&gt;1,"Doppelte Monatsstunden",""))</f>
        <v/>
      </c>
    </row>
    <row r="115" spans="1:10" ht="24" customHeight="1">
      <c r="A115" s="436" t="s">
        <v>329</v>
      </c>
      <c r="B115" s="437">
        <v>46143</v>
      </c>
      <c r="C115" s="437">
        <v>46507</v>
      </c>
      <c r="D115" s="438" t="s">
        <v>333</v>
      </c>
      <c r="E115" s="438" t="s">
        <v>21</v>
      </c>
      <c r="F115" s="438" t="s">
        <v>321</v>
      </c>
      <c r="G115" s="439">
        <v>86.5</v>
      </c>
      <c r="H115" s="440"/>
      <c r="I115" s="438" t="str">
        <f>IF($A115="","",IF(OR($B115="",$C115="",$D115="",$E115="",$F115=""),"Stammdaten fehlen",IF(AND($G115="",$H115=""),"Werte fehlen",IF($G115="","Monatsstunden fehlen",IF($H115="","Monatslohn fehlt","OK")))))</f>
        <v>Monatslohn fehlt</v>
      </c>
      <c r="J115" s="441" t="str">
        <f>IF($G115="","",IF(COUNTIFS($A:$A,$A115,$D:$D,$D115,$G:$G,$G115)&gt;1,"Doppelte Monatsstunden",""))</f>
        <v/>
      </c>
    </row>
    <row r="116" spans="1:10" ht="24" customHeight="1">
      <c r="A116" s="436" t="s">
        <v>329</v>
      </c>
      <c r="B116" s="437">
        <v>46143</v>
      </c>
      <c r="C116" s="437">
        <v>46507</v>
      </c>
      <c r="D116" s="438" t="s">
        <v>333</v>
      </c>
      <c r="E116" s="438" t="s">
        <v>21</v>
      </c>
      <c r="F116" s="438" t="s">
        <v>321</v>
      </c>
      <c r="G116" s="439">
        <v>69.2</v>
      </c>
      <c r="H116" s="440"/>
      <c r="I116" s="438" t="str">
        <f>IF($A116="","",IF(OR($B116="",$C116="",$D116="",$E116="",$F116=""),"Stammdaten fehlen",IF(AND($G116="",$H116=""),"Werte fehlen",IF($G116="","Monatsstunden fehlen",IF($H116="","Monatslohn fehlt","OK")))))</f>
        <v>Monatslohn fehlt</v>
      </c>
      <c r="J116" s="441" t="str">
        <f>IF($G116="","",IF(COUNTIFS($A:$A,$A116,$D:$D,$D116,$G:$G,$G116)&gt;1,"Doppelte Monatsstunden",""))</f>
        <v/>
      </c>
    </row>
    <row r="117" spans="1:10" ht="24" customHeight="1">
      <c r="A117" s="436" t="s">
        <v>329</v>
      </c>
      <c r="B117" s="437">
        <v>46143</v>
      </c>
      <c r="C117" s="437">
        <v>46507</v>
      </c>
      <c r="D117" s="438" t="s">
        <v>333</v>
      </c>
      <c r="E117" s="438" t="s">
        <v>21</v>
      </c>
      <c r="F117" s="438" t="s">
        <v>321</v>
      </c>
      <c r="G117" s="439">
        <v>51.9</v>
      </c>
      <c r="H117" s="440"/>
      <c r="I117" s="438" t="str">
        <f>IF($A117="","",IF(OR($B117="",$C117="",$D117="",$E117="",$F117=""),"Stammdaten fehlen",IF(AND($G117="",$H117=""),"Werte fehlen",IF($G117="","Monatsstunden fehlen",IF($H117="","Monatslohn fehlt","OK")))))</f>
        <v>Monatslohn fehlt</v>
      </c>
      <c r="J117" s="441" t="str">
        <f>IF($G117="","",IF(COUNTIFS($A:$A,$A117,$D:$D,$D117,$G:$G,$G117)&gt;1,"Doppelte Monatsstunden",""))</f>
        <v/>
      </c>
    </row>
    <row r="118" spans="1:10" ht="24" customHeight="1">
      <c r="A118" s="436" t="s">
        <v>329</v>
      </c>
      <c r="B118" s="437">
        <v>46143</v>
      </c>
      <c r="C118" s="437">
        <v>46507</v>
      </c>
      <c r="D118" s="438" t="s">
        <v>333</v>
      </c>
      <c r="E118" s="438" t="s">
        <v>21</v>
      </c>
      <c r="F118" s="438" t="s">
        <v>321</v>
      </c>
      <c r="G118" s="439">
        <v>47.58</v>
      </c>
      <c r="H118" s="440"/>
      <c r="I118" s="438" t="str">
        <f>IF($A118="","",IF(OR($B118="",$C118="",$D118="",$E118="",$F118=""),"Stammdaten fehlen",IF(AND($G118="",$H118=""),"Werte fehlen",IF($G118="","Monatsstunden fehlen",IF($H118="","Monatslohn fehlt","OK")))))</f>
        <v>Monatslohn fehlt</v>
      </c>
      <c r="J118" s="441" t="str">
        <f>IF($G118="","",IF(COUNTIFS($A:$A,$A118,$D:$D,$D118,$G:$G,$G118)&gt;1,"Doppelte Monatsstunden",""))</f>
        <v/>
      </c>
    </row>
    <row r="119" spans="1:10" ht="24" customHeight="1">
      <c r="A119" s="436" t="s">
        <v>329</v>
      </c>
      <c r="B119" s="437">
        <v>46143</v>
      </c>
      <c r="C119" s="437">
        <v>46507</v>
      </c>
      <c r="D119" s="438" t="s">
        <v>333</v>
      </c>
      <c r="E119" s="438" t="s">
        <v>21</v>
      </c>
      <c r="F119" s="438" t="s">
        <v>321</v>
      </c>
      <c r="G119" s="439">
        <v>43.25</v>
      </c>
      <c r="H119" s="440"/>
      <c r="I119" s="438" t="str">
        <f>IF($A119="","",IF(OR($B119="",$C119="",$D119="",$E119="",$F119=""),"Stammdaten fehlen",IF(AND($G119="",$H119=""),"Werte fehlen",IF($G119="","Monatsstunden fehlen",IF($H119="","Monatslohn fehlt","OK")))))</f>
        <v>Monatslohn fehlt</v>
      </c>
      <c r="J119" s="441" t="str">
        <f>IF($G119="","",IF(COUNTIFS($A:$A,$A119,$D:$D,$D119,$G:$G,$G119)&gt;1,"Doppelte Monatsstunden",""))</f>
        <v/>
      </c>
    </row>
    <row r="120" spans="1:10" ht="24" customHeight="1">
      <c r="A120" s="436" t="s">
        <v>329</v>
      </c>
      <c r="B120" s="437">
        <v>46143</v>
      </c>
      <c r="C120" s="437">
        <v>46507</v>
      </c>
      <c r="D120" s="438" t="s">
        <v>333</v>
      </c>
      <c r="E120" s="438" t="s">
        <v>21</v>
      </c>
      <c r="F120" s="438" t="s">
        <v>321</v>
      </c>
      <c r="G120" s="439">
        <v>34.6</v>
      </c>
      <c r="H120" s="440"/>
      <c r="I120" s="438" t="str">
        <f>IF($A120="","",IF(OR($B120="",$C120="",$D120="",$E120="",$F120=""),"Stammdaten fehlen",IF(AND($G120="",$H120=""),"Werte fehlen",IF($G120="","Monatsstunden fehlen",IF($H120="","Monatslohn fehlt","OK")))))</f>
        <v>Monatslohn fehlt</v>
      </c>
      <c r="J120" s="441" t="str">
        <f>IF($G120="","",IF(COUNTIFS($A:$A,$A120,$D:$D,$D120,$G:$G,$G120)&gt;1,"Doppelte Monatsstunden",""))</f>
        <v/>
      </c>
    </row>
    <row r="121" spans="1:10" ht="24" customHeight="1" thickBot="1">
      <c r="A121" s="436" t="s">
        <v>329</v>
      </c>
      <c r="B121" s="437">
        <v>46143</v>
      </c>
      <c r="C121" s="437">
        <v>46507</v>
      </c>
      <c r="D121" s="438" t="s">
        <v>333</v>
      </c>
      <c r="E121" s="438" t="s">
        <v>21</v>
      </c>
      <c r="F121" s="438" t="s">
        <v>321</v>
      </c>
      <c r="G121" s="439">
        <v>32.01</v>
      </c>
      <c r="H121" s="440"/>
      <c r="I121" s="438" t="str">
        <f>IF($A121="","",IF(OR($B121="",$C121="",$D121="",$E121="",$F121=""),"Stammdaten fehlen",IF(AND($G121="",$H121=""),"Werte fehlen",IF($G121="","Monatsstunden fehlen",IF($H121="","Monatslohn fehlt","OK")))))</f>
        <v>Monatslohn fehlt</v>
      </c>
      <c r="J121" s="441" t="str">
        <f>IF($G121="","",IF(COUNTIFS($A:$A,$A121,$D:$D,$D121,$G:$G,$G121)&gt;1,"Doppelte Monatsstunden",""))</f>
        <v/>
      </c>
    </row>
    <row r="122" spans="1:10" ht="24" customHeight="1">
      <c r="A122" s="430" t="s">
        <v>329</v>
      </c>
      <c r="B122" s="431">
        <v>46143</v>
      </c>
      <c r="C122" s="431">
        <v>46507</v>
      </c>
      <c r="D122" s="432" t="s">
        <v>22</v>
      </c>
      <c r="E122" s="432" t="s">
        <v>21</v>
      </c>
      <c r="F122" s="432" t="s">
        <v>322</v>
      </c>
      <c r="G122" s="433">
        <v>173</v>
      </c>
      <c r="H122" s="434"/>
      <c r="I122" s="432" t="str">
        <f>IF($A122="","",IF(OR($B122="",$C122="",$D122="",$E122="",$F122=""),"Stammdaten fehlen",IF(AND($G122="",$H122=""),"Werte fehlen",IF($G122="","Monatsstunden fehlen",IF($H122="","Monatslohn fehlt","OK")))))</f>
        <v>Monatslohn fehlt</v>
      </c>
      <c r="J122" s="435" t="str">
        <f>IF($G122="","",IF(COUNTIFS($A:$A,$A122,$D:$D,$D122,$G:$G,$G122)&gt;1,"Doppelte Monatsstunden",""))</f>
        <v/>
      </c>
    </row>
    <row r="123" spans="1:10" ht="24" customHeight="1">
      <c r="A123" s="436" t="s">
        <v>329</v>
      </c>
      <c r="B123" s="437">
        <v>46143</v>
      </c>
      <c r="C123" s="437">
        <v>46507</v>
      </c>
      <c r="D123" s="438" t="s">
        <v>22</v>
      </c>
      <c r="E123" s="438" t="s">
        <v>21</v>
      </c>
      <c r="F123" s="438" t="s">
        <v>322</v>
      </c>
      <c r="G123" s="439">
        <v>151.38</v>
      </c>
      <c r="H123" s="440"/>
      <c r="I123" s="438" t="str">
        <f>IF($A123="","",IF(OR($B123="",$C123="",$D123="",$E123="",$F123=""),"Stammdaten fehlen",IF(AND($G123="",$H123=""),"Werte fehlen",IF($G123="","Monatsstunden fehlen",IF($H123="","Monatslohn fehlt","OK")))))</f>
        <v>Monatslohn fehlt</v>
      </c>
      <c r="J123" s="441" t="str">
        <f>IF($G123="","",IF(COUNTIFS($A:$A,$A123,$D:$D,$D123,$G:$G,$G123)&gt;1,"Doppelte Monatsstunden",""))</f>
        <v/>
      </c>
    </row>
    <row r="124" spans="1:10" ht="24" customHeight="1">
      <c r="A124" s="436" t="s">
        <v>329</v>
      </c>
      <c r="B124" s="437">
        <v>46143</v>
      </c>
      <c r="C124" s="437">
        <v>46507</v>
      </c>
      <c r="D124" s="438" t="s">
        <v>22</v>
      </c>
      <c r="E124" s="438" t="s">
        <v>21</v>
      </c>
      <c r="F124" s="438" t="s">
        <v>322</v>
      </c>
      <c r="G124" s="439">
        <v>138.4</v>
      </c>
      <c r="H124" s="440"/>
      <c r="I124" s="438" t="str">
        <f>IF($A124="","",IF(OR($B124="",$C124="",$D124="",$E124="",$F124=""),"Stammdaten fehlen",IF(AND($G124="",$H124=""),"Werte fehlen",IF($G124="","Monatsstunden fehlen",IF($H124="","Monatslohn fehlt","OK")))))</f>
        <v>Monatslohn fehlt</v>
      </c>
      <c r="J124" s="441" t="str">
        <f>IF($G124="","",IF(COUNTIFS($A:$A,$A124,$D:$D,$D124,$G:$G,$G124)&gt;1,"Doppelte Monatsstunden",""))</f>
        <v/>
      </c>
    </row>
    <row r="125" spans="1:10" ht="24" customHeight="1">
      <c r="A125" s="436" t="s">
        <v>329</v>
      </c>
      <c r="B125" s="437">
        <v>46143</v>
      </c>
      <c r="C125" s="437">
        <v>46507</v>
      </c>
      <c r="D125" s="438" t="s">
        <v>22</v>
      </c>
      <c r="E125" s="438" t="s">
        <v>21</v>
      </c>
      <c r="F125" s="438" t="s">
        <v>322</v>
      </c>
      <c r="G125" s="439">
        <v>129.75</v>
      </c>
      <c r="H125" s="440"/>
      <c r="I125" s="438" t="str">
        <f>IF($A125="","",IF(OR($B125="",$C125="",$D125="",$E125="",$F125=""),"Stammdaten fehlen",IF(AND($G125="",$H125=""),"Werte fehlen",IF($G125="","Monatsstunden fehlen",IF($H125="","Monatslohn fehlt","OK")))))</f>
        <v>Monatslohn fehlt</v>
      </c>
      <c r="J125" s="441" t="str">
        <f>IF($G125="","",IF(COUNTIFS($A:$A,$A125,$D:$D,$D125,$G:$G,$G125)&gt;1,"Doppelte Monatsstunden",""))</f>
        <v/>
      </c>
    </row>
    <row r="126" spans="1:10" ht="24" customHeight="1">
      <c r="A126" s="436" t="s">
        <v>329</v>
      </c>
      <c r="B126" s="437">
        <v>46143</v>
      </c>
      <c r="C126" s="437">
        <v>46507</v>
      </c>
      <c r="D126" s="438" t="s">
        <v>22</v>
      </c>
      <c r="E126" s="438" t="s">
        <v>21</v>
      </c>
      <c r="F126" s="438" t="s">
        <v>322</v>
      </c>
      <c r="G126" s="439">
        <v>108.13</v>
      </c>
      <c r="H126" s="440"/>
      <c r="I126" s="438" t="str">
        <f>IF($A126="","",IF(OR($B126="",$C126="",$D126="",$E126="",$F126=""),"Stammdaten fehlen",IF(AND($G126="",$H126=""),"Werte fehlen",IF($G126="","Monatsstunden fehlen",IF($H126="","Monatslohn fehlt","OK")))))</f>
        <v>Monatslohn fehlt</v>
      </c>
      <c r="J126" s="441" t="str">
        <f>IF($G126="","",IF(COUNTIFS($A:$A,$A126,$D:$D,$D126,$G:$G,$G126)&gt;1,"Doppelte Monatsstunden",""))</f>
        <v/>
      </c>
    </row>
    <row r="127" spans="1:10" ht="24" customHeight="1">
      <c r="A127" s="436" t="s">
        <v>329</v>
      </c>
      <c r="B127" s="437">
        <v>46143</v>
      </c>
      <c r="C127" s="437">
        <v>46507</v>
      </c>
      <c r="D127" s="438" t="s">
        <v>22</v>
      </c>
      <c r="E127" s="438" t="s">
        <v>21</v>
      </c>
      <c r="F127" s="438" t="s">
        <v>322</v>
      </c>
      <c r="G127" s="439">
        <v>103.8</v>
      </c>
      <c r="H127" s="440"/>
      <c r="I127" s="438" t="str">
        <f>IF($A127="","",IF(OR($B127="",$C127="",$D127="",$E127="",$F127=""),"Stammdaten fehlen",IF(AND($G127="",$H127=""),"Werte fehlen",IF($G127="","Monatsstunden fehlen",IF($H127="","Monatslohn fehlt","OK")))))</f>
        <v>Monatslohn fehlt</v>
      </c>
      <c r="J127" s="441" t="str">
        <f>IF($G127="","",IF(COUNTIFS($A:$A,$A127,$D:$D,$D127,$G:$G,$G127)&gt;1,"Doppelte Monatsstunden",""))</f>
        <v/>
      </c>
    </row>
    <row r="128" spans="1:10" ht="24" customHeight="1">
      <c r="A128" s="436" t="s">
        <v>329</v>
      </c>
      <c r="B128" s="437">
        <v>46143</v>
      </c>
      <c r="C128" s="437">
        <v>46507</v>
      </c>
      <c r="D128" s="438" t="s">
        <v>22</v>
      </c>
      <c r="E128" s="438" t="s">
        <v>21</v>
      </c>
      <c r="F128" s="438" t="s">
        <v>322</v>
      </c>
      <c r="G128" s="439">
        <v>86.5</v>
      </c>
      <c r="H128" s="440"/>
      <c r="I128" s="438" t="str">
        <f>IF($A128="","",IF(OR($B128="",$C128="",$D128="",$E128="",$F128=""),"Stammdaten fehlen",IF(AND($G128="",$H128=""),"Werte fehlen",IF($G128="","Monatsstunden fehlen",IF($H128="","Monatslohn fehlt","OK")))))</f>
        <v>Monatslohn fehlt</v>
      </c>
      <c r="J128" s="441" t="str">
        <f>IF($G128="","",IF(COUNTIFS($A:$A,$A128,$D:$D,$D128,$G:$G,$G128)&gt;1,"Doppelte Monatsstunden",""))</f>
        <v/>
      </c>
    </row>
    <row r="129" spans="1:10" ht="24" customHeight="1">
      <c r="A129" s="436" t="s">
        <v>329</v>
      </c>
      <c r="B129" s="437">
        <v>46143</v>
      </c>
      <c r="C129" s="437">
        <v>46507</v>
      </c>
      <c r="D129" s="438" t="s">
        <v>22</v>
      </c>
      <c r="E129" s="438" t="s">
        <v>21</v>
      </c>
      <c r="F129" s="438" t="s">
        <v>322</v>
      </c>
      <c r="G129" s="439">
        <v>69.2</v>
      </c>
      <c r="H129" s="440"/>
      <c r="I129" s="438" t="str">
        <f>IF($A129="","",IF(OR($B129="",$C129="",$D129="",$E129="",$F129=""),"Stammdaten fehlen",IF(AND($G129="",$H129=""),"Werte fehlen",IF($G129="","Monatsstunden fehlen",IF($H129="","Monatslohn fehlt","OK")))))</f>
        <v>Monatslohn fehlt</v>
      </c>
      <c r="J129" s="441" t="str">
        <f>IF($G129="","",IF(COUNTIFS($A:$A,$A129,$D:$D,$D129,$G:$G,$G129)&gt;1,"Doppelte Monatsstunden",""))</f>
        <v/>
      </c>
    </row>
    <row r="130" spans="1:10" ht="24" customHeight="1">
      <c r="A130" s="436" t="s">
        <v>329</v>
      </c>
      <c r="B130" s="437">
        <v>46143</v>
      </c>
      <c r="C130" s="437">
        <v>46507</v>
      </c>
      <c r="D130" s="438" t="s">
        <v>22</v>
      </c>
      <c r="E130" s="438" t="s">
        <v>21</v>
      </c>
      <c r="F130" s="438" t="s">
        <v>322</v>
      </c>
      <c r="G130" s="439">
        <v>51.9</v>
      </c>
      <c r="H130" s="440"/>
      <c r="I130" s="438" t="str">
        <f>IF($A130="","",IF(OR($B130="",$C130="",$D130="",$E130="",$F130=""),"Stammdaten fehlen",IF(AND($G130="",$H130=""),"Werte fehlen",IF($G130="","Monatsstunden fehlen",IF($H130="","Monatslohn fehlt","OK")))))</f>
        <v>Monatslohn fehlt</v>
      </c>
      <c r="J130" s="441" t="str">
        <f>IF($G130="","",IF(COUNTIFS($A:$A,$A130,$D:$D,$D130,$G:$G,$G130)&gt;1,"Doppelte Monatsstunden",""))</f>
        <v/>
      </c>
    </row>
    <row r="131" spans="1:10" ht="24" customHeight="1">
      <c r="A131" s="436" t="s">
        <v>329</v>
      </c>
      <c r="B131" s="437">
        <v>46143</v>
      </c>
      <c r="C131" s="437">
        <v>46507</v>
      </c>
      <c r="D131" s="438" t="s">
        <v>22</v>
      </c>
      <c r="E131" s="438" t="s">
        <v>21</v>
      </c>
      <c r="F131" s="438" t="s">
        <v>322</v>
      </c>
      <c r="G131" s="439">
        <v>47.58</v>
      </c>
      <c r="H131" s="440"/>
      <c r="I131" s="438" t="str">
        <f>IF($A131="","",IF(OR($B131="",$C131="",$D131="",$E131="",$F131=""),"Stammdaten fehlen",IF(AND($G131="",$H131=""),"Werte fehlen",IF($G131="","Monatsstunden fehlen",IF($H131="","Monatslohn fehlt","OK")))))</f>
        <v>Monatslohn fehlt</v>
      </c>
      <c r="J131" s="441" t="str">
        <f>IF($G131="","",IF(COUNTIFS($A:$A,$A131,$D:$D,$D131,$G:$G,$G131)&gt;1,"Doppelte Monatsstunden",""))</f>
        <v/>
      </c>
    </row>
    <row r="132" spans="1:10" ht="24" customHeight="1">
      <c r="A132" s="436" t="s">
        <v>329</v>
      </c>
      <c r="B132" s="437">
        <v>46143</v>
      </c>
      <c r="C132" s="437">
        <v>46507</v>
      </c>
      <c r="D132" s="438" t="s">
        <v>22</v>
      </c>
      <c r="E132" s="438" t="s">
        <v>21</v>
      </c>
      <c r="F132" s="438" t="s">
        <v>322</v>
      </c>
      <c r="G132" s="439">
        <v>43.25</v>
      </c>
      <c r="H132" s="440"/>
      <c r="I132" s="438" t="str">
        <f>IF($A132="","",IF(OR($B132="",$C132="",$D132="",$E132="",$F132=""),"Stammdaten fehlen",IF(AND($G132="",$H132=""),"Werte fehlen",IF($G132="","Monatsstunden fehlen",IF($H132="","Monatslohn fehlt","OK")))))</f>
        <v>Monatslohn fehlt</v>
      </c>
      <c r="J132" s="441" t="str">
        <f>IF($G132="","",IF(COUNTIFS($A:$A,$A132,$D:$D,$D132,$G:$G,$G132)&gt;1,"Doppelte Monatsstunden",""))</f>
        <v/>
      </c>
    </row>
    <row r="133" spans="1:10" ht="24" customHeight="1">
      <c r="A133" s="436" t="s">
        <v>329</v>
      </c>
      <c r="B133" s="437">
        <v>46143</v>
      </c>
      <c r="C133" s="437">
        <v>46507</v>
      </c>
      <c r="D133" s="438" t="s">
        <v>22</v>
      </c>
      <c r="E133" s="438" t="s">
        <v>21</v>
      </c>
      <c r="F133" s="438" t="s">
        <v>322</v>
      </c>
      <c r="G133" s="439">
        <v>34.6</v>
      </c>
      <c r="H133" s="440"/>
      <c r="I133" s="438" t="str">
        <f>IF($A133="","",IF(OR($B133="",$C133="",$D133="",$E133="",$F133=""),"Stammdaten fehlen",IF(AND($G133="",$H133=""),"Werte fehlen",IF($G133="","Monatsstunden fehlen",IF($H133="","Monatslohn fehlt","OK")))))</f>
        <v>Monatslohn fehlt</v>
      </c>
      <c r="J133" s="441" t="str">
        <f>IF($G133="","",IF(COUNTIFS($A:$A,$A133,$D:$D,$D133,$G:$G,$G133)&gt;1,"Doppelte Monatsstunden",""))</f>
        <v/>
      </c>
    </row>
    <row r="134" spans="1:10" ht="24" customHeight="1" thickBot="1">
      <c r="A134" s="436" t="s">
        <v>329</v>
      </c>
      <c r="B134" s="437">
        <v>46143</v>
      </c>
      <c r="C134" s="437">
        <v>46507</v>
      </c>
      <c r="D134" s="438" t="s">
        <v>22</v>
      </c>
      <c r="E134" s="438" t="s">
        <v>21</v>
      </c>
      <c r="F134" s="438" t="s">
        <v>322</v>
      </c>
      <c r="G134" s="439">
        <v>32.01</v>
      </c>
      <c r="H134" s="440"/>
      <c r="I134" s="438" t="str">
        <f>IF($A134="","",IF(OR($B134="",$C134="",$D134="",$E134="",$F134=""),"Stammdaten fehlen",IF(AND($G134="",$H134=""),"Werte fehlen",IF($G134="","Monatsstunden fehlen",IF($H134="","Monatslohn fehlt","OK")))))</f>
        <v>Monatslohn fehlt</v>
      </c>
      <c r="J134" s="441" t="str">
        <f>IF($G134="","",IF(COUNTIFS($A:$A,$A134,$D:$D,$D134,$G:$G,$G134)&gt;1,"Doppelte Monatsstunden",""))</f>
        <v/>
      </c>
    </row>
    <row r="135" spans="1:10" ht="24" customHeight="1">
      <c r="A135" s="430" t="s">
        <v>329</v>
      </c>
      <c r="B135" s="431">
        <v>46143</v>
      </c>
      <c r="C135" s="431">
        <v>46507</v>
      </c>
      <c r="D135" s="432" t="s">
        <v>23</v>
      </c>
      <c r="E135" s="432" t="s">
        <v>21</v>
      </c>
      <c r="F135" s="432" t="s">
        <v>323</v>
      </c>
      <c r="G135" s="433">
        <v>173</v>
      </c>
      <c r="H135" s="434"/>
      <c r="I135" s="432" t="str">
        <f>IF($A135="","",IF(OR($B135="",$C135="",$D135="",$E135="",$F135=""),"Stammdaten fehlen",IF(AND($G135="",$H135=""),"Werte fehlen",IF($G135="","Monatsstunden fehlen",IF($H135="","Monatslohn fehlt","OK")))))</f>
        <v>Monatslohn fehlt</v>
      </c>
      <c r="J135" s="435" t="str">
        <f>IF($G135="","",IF(COUNTIFS($A:$A,$A135,$D:$D,$D135,$G:$G,$G135)&gt;1,"Doppelte Monatsstunden",""))</f>
        <v/>
      </c>
    </row>
    <row r="136" spans="1:10" ht="24" customHeight="1">
      <c r="A136" s="436" t="s">
        <v>329</v>
      </c>
      <c r="B136" s="437">
        <v>46143</v>
      </c>
      <c r="C136" s="437">
        <v>46507</v>
      </c>
      <c r="D136" s="438" t="s">
        <v>23</v>
      </c>
      <c r="E136" s="438" t="s">
        <v>21</v>
      </c>
      <c r="F136" s="438" t="s">
        <v>323</v>
      </c>
      <c r="G136" s="439">
        <v>151.38</v>
      </c>
      <c r="H136" s="440"/>
      <c r="I136" s="438" t="str">
        <f>IF($A136="","",IF(OR($B136="",$C136="",$D136="",$E136="",$F136=""),"Stammdaten fehlen",IF(AND($G136="",$H136=""),"Werte fehlen",IF($G136="","Monatsstunden fehlen",IF($H136="","Monatslohn fehlt","OK")))))</f>
        <v>Monatslohn fehlt</v>
      </c>
      <c r="J136" s="441" t="str">
        <f>IF($G136="","",IF(COUNTIFS($A:$A,$A136,$D:$D,$D136,$G:$G,$G136)&gt;1,"Doppelte Monatsstunden",""))</f>
        <v/>
      </c>
    </row>
    <row r="137" spans="1:10" ht="24" customHeight="1">
      <c r="A137" s="436" t="s">
        <v>329</v>
      </c>
      <c r="B137" s="437">
        <v>46143</v>
      </c>
      <c r="C137" s="437">
        <v>46507</v>
      </c>
      <c r="D137" s="438" t="s">
        <v>23</v>
      </c>
      <c r="E137" s="438" t="s">
        <v>21</v>
      </c>
      <c r="F137" s="438" t="s">
        <v>323</v>
      </c>
      <c r="G137" s="439">
        <v>138.4</v>
      </c>
      <c r="H137" s="440"/>
      <c r="I137" s="438" t="str">
        <f>IF($A137="","",IF(OR($B137="",$C137="",$D137="",$E137="",$F137=""),"Stammdaten fehlen",IF(AND($G137="",$H137=""),"Werte fehlen",IF($G137="","Monatsstunden fehlen",IF($H137="","Monatslohn fehlt","OK")))))</f>
        <v>Monatslohn fehlt</v>
      </c>
      <c r="J137" s="441" t="str">
        <f>IF($G137="","",IF(COUNTIFS($A:$A,$A137,$D:$D,$D137,$G:$G,$G137)&gt;1,"Doppelte Monatsstunden",""))</f>
        <v/>
      </c>
    </row>
    <row r="138" spans="1:10" ht="24" customHeight="1">
      <c r="A138" s="436" t="s">
        <v>329</v>
      </c>
      <c r="B138" s="437">
        <v>46143</v>
      </c>
      <c r="C138" s="437">
        <v>46507</v>
      </c>
      <c r="D138" s="438" t="s">
        <v>23</v>
      </c>
      <c r="E138" s="438" t="s">
        <v>21</v>
      </c>
      <c r="F138" s="438" t="s">
        <v>323</v>
      </c>
      <c r="G138" s="439">
        <v>129.75</v>
      </c>
      <c r="H138" s="440"/>
      <c r="I138" s="438" t="str">
        <f>IF($A138="","",IF(OR($B138="",$C138="",$D138="",$E138="",$F138=""),"Stammdaten fehlen",IF(AND($G138="",$H138=""),"Werte fehlen",IF($G138="","Monatsstunden fehlen",IF($H138="","Monatslohn fehlt","OK")))))</f>
        <v>Monatslohn fehlt</v>
      </c>
      <c r="J138" s="441" t="str">
        <f>IF($G138="","",IF(COUNTIFS($A:$A,$A138,$D:$D,$D138,$G:$G,$G138)&gt;1,"Doppelte Monatsstunden",""))</f>
        <v/>
      </c>
    </row>
    <row r="139" spans="1:10" ht="24" customHeight="1">
      <c r="A139" s="436" t="s">
        <v>329</v>
      </c>
      <c r="B139" s="437">
        <v>46143</v>
      </c>
      <c r="C139" s="437">
        <v>46507</v>
      </c>
      <c r="D139" s="438" t="s">
        <v>23</v>
      </c>
      <c r="E139" s="438" t="s">
        <v>21</v>
      </c>
      <c r="F139" s="438" t="s">
        <v>323</v>
      </c>
      <c r="G139" s="439">
        <v>108.13</v>
      </c>
      <c r="H139" s="440"/>
      <c r="I139" s="438" t="str">
        <f>IF($A139="","",IF(OR($B139="",$C139="",$D139="",$E139="",$F139=""),"Stammdaten fehlen",IF(AND($G139="",$H139=""),"Werte fehlen",IF($G139="","Monatsstunden fehlen",IF($H139="","Monatslohn fehlt","OK")))))</f>
        <v>Monatslohn fehlt</v>
      </c>
      <c r="J139" s="441" t="str">
        <f>IF($G139="","",IF(COUNTIFS($A:$A,$A139,$D:$D,$D139,$G:$G,$G139)&gt;1,"Doppelte Monatsstunden",""))</f>
        <v/>
      </c>
    </row>
    <row r="140" spans="1:10" ht="24" customHeight="1">
      <c r="A140" s="436" t="s">
        <v>329</v>
      </c>
      <c r="B140" s="437">
        <v>46143</v>
      </c>
      <c r="C140" s="437">
        <v>46507</v>
      </c>
      <c r="D140" s="438" t="s">
        <v>23</v>
      </c>
      <c r="E140" s="438" t="s">
        <v>21</v>
      </c>
      <c r="F140" s="438" t="s">
        <v>323</v>
      </c>
      <c r="G140" s="439">
        <v>103.8</v>
      </c>
      <c r="H140" s="440"/>
      <c r="I140" s="438" t="str">
        <f>IF($A140="","",IF(OR($B140="",$C140="",$D140="",$E140="",$F140=""),"Stammdaten fehlen",IF(AND($G140="",$H140=""),"Werte fehlen",IF($G140="","Monatsstunden fehlen",IF($H140="","Monatslohn fehlt","OK")))))</f>
        <v>Monatslohn fehlt</v>
      </c>
      <c r="J140" s="441" t="str">
        <f>IF($G140="","",IF(COUNTIFS($A:$A,$A140,$D:$D,$D140,$G:$G,$G140)&gt;1,"Doppelte Monatsstunden",""))</f>
        <v/>
      </c>
    </row>
    <row r="141" spans="1:10" ht="24" customHeight="1">
      <c r="A141" s="436" t="s">
        <v>329</v>
      </c>
      <c r="B141" s="437">
        <v>46143</v>
      </c>
      <c r="C141" s="437">
        <v>46507</v>
      </c>
      <c r="D141" s="438" t="s">
        <v>23</v>
      </c>
      <c r="E141" s="438" t="s">
        <v>21</v>
      </c>
      <c r="F141" s="438" t="s">
        <v>323</v>
      </c>
      <c r="G141" s="439">
        <v>86.5</v>
      </c>
      <c r="H141" s="440"/>
      <c r="I141" s="438" t="str">
        <f>IF($A141="","",IF(OR($B141="",$C141="",$D141="",$E141="",$F141=""),"Stammdaten fehlen",IF(AND($G141="",$H141=""),"Werte fehlen",IF($G141="","Monatsstunden fehlen",IF($H141="","Monatslohn fehlt","OK")))))</f>
        <v>Monatslohn fehlt</v>
      </c>
      <c r="J141" s="441" t="str">
        <f>IF($G141="","",IF(COUNTIFS($A:$A,$A141,$D:$D,$D141,$G:$G,$G141)&gt;1,"Doppelte Monatsstunden",""))</f>
        <v/>
      </c>
    </row>
    <row r="142" spans="1:10" ht="24" customHeight="1">
      <c r="A142" s="436" t="s">
        <v>329</v>
      </c>
      <c r="B142" s="437">
        <v>46143</v>
      </c>
      <c r="C142" s="437">
        <v>46507</v>
      </c>
      <c r="D142" s="438" t="s">
        <v>23</v>
      </c>
      <c r="E142" s="438" t="s">
        <v>21</v>
      </c>
      <c r="F142" s="438" t="s">
        <v>323</v>
      </c>
      <c r="G142" s="439">
        <v>69.2</v>
      </c>
      <c r="H142" s="440"/>
      <c r="I142" s="438" t="str">
        <f>IF($A142="","",IF(OR($B142="",$C142="",$D142="",$E142="",$F142=""),"Stammdaten fehlen",IF(AND($G142="",$H142=""),"Werte fehlen",IF($G142="","Monatsstunden fehlen",IF($H142="","Monatslohn fehlt","OK")))))</f>
        <v>Monatslohn fehlt</v>
      </c>
      <c r="J142" s="441" t="str">
        <f>IF($G142="","",IF(COUNTIFS($A:$A,$A142,$D:$D,$D142,$G:$G,$G142)&gt;1,"Doppelte Monatsstunden",""))</f>
        <v/>
      </c>
    </row>
    <row r="143" spans="1:10" ht="24" customHeight="1">
      <c r="A143" s="436" t="s">
        <v>329</v>
      </c>
      <c r="B143" s="437">
        <v>46143</v>
      </c>
      <c r="C143" s="437">
        <v>46507</v>
      </c>
      <c r="D143" s="438" t="s">
        <v>23</v>
      </c>
      <c r="E143" s="438" t="s">
        <v>21</v>
      </c>
      <c r="F143" s="438" t="s">
        <v>323</v>
      </c>
      <c r="G143" s="439">
        <v>51.9</v>
      </c>
      <c r="H143" s="440"/>
      <c r="I143" s="438" t="str">
        <f>IF($A143="","",IF(OR($B143="",$C143="",$D143="",$E143="",$F143=""),"Stammdaten fehlen",IF(AND($G143="",$H143=""),"Werte fehlen",IF($G143="","Monatsstunden fehlen",IF($H143="","Monatslohn fehlt","OK")))))</f>
        <v>Monatslohn fehlt</v>
      </c>
      <c r="J143" s="441" t="str">
        <f>IF($G143="","",IF(COUNTIFS($A:$A,$A143,$D:$D,$D143,$G:$G,$G143)&gt;1,"Doppelte Monatsstunden",""))</f>
        <v/>
      </c>
    </row>
    <row r="144" spans="1:10" ht="24" customHeight="1">
      <c r="A144" s="436" t="s">
        <v>329</v>
      </c>
      <c r="B144" s="437">
        <v>46143</v>
      </c>
      <c r="C144" s="437">
        <v>46507</v>
      </c>
      <c r="D144" s="438" t="s">
        <v>23</v>
      </c>
      <c r="E144" s="438" t="s">
        <v>21</v>
      </c>
      <c r="F144" s="438" t="s">
        <v>323</v>
      </c>
      <c r="G144" s="439">
        <v>47.58</v>
      </c>
      <c r="H144" s="440"/>
      <c r="I144" s="438" t="str">
        <f>IF($A144="","",IF(OR($B144="",$C144="",$D144="",$E144="",$F144=""),"Stammdaten fehlen",IF(AND($G144="",$H144=""),"Werte fehlen",IF($G144="","Monatsstunden fehlen",IF($H144="","Monatslohn fehlt","OK")))))</f>
        <v>Monatslohn fehlt</v>
      </c>
      <c r="J144" s="441" t="str">
        <f>IF($G144="","",IF(COUNTIFS($A:$A,$A144,$D:$D,$D144,$G:$G,$G144)&gt;1,"Doppelte Monatsstunden",""))</f>
        <v/>
      </c>
    </row>
    <row r="145" spans="1:10" ht="24" customHeight="1">
      <c r="A145" s="436" t="s">
        <v>329</v>
      </c>
      <c r="B145" s="437">
        <v>46143</v>
      </c>
      <c r="C145" s="437">
        <v>46507</v>
      </c>
      <c r="D145" s="438" t="s">
        <v>23</v>
      </c>
      <c r="E145" s="438" t="s">
        <v>21</v>
      </c>
      <c r="F145" s="438" t="s">
        <v>323</v>
      </c>
      <c r="G145" s="439">
        <v>43.25</v>
      </c>
      <c r="H145" s="440"/>
      <c r="I145" s="438" t="str">
        <f>IF($A145="","",IF(OR($B145="",$C145="",$D145="",$E145="",$F145=""),"Stammdaten fehlen",IF(AND($G145="",$H145=""),"Werte fehlen",IF($G145="","Monatsstunden fehlen",IF($H145="","Monatslohn fehlt","OK")))))</f>
        <v>Monatslohn fehlt</v>
      </c>
      <c r="J145" s="441" t="str">
        <f>IF($G145="","",IF(COUNTIFS($A:$A,$A145,$D:$D,$D145,$G:$G,$G145)&gt;1,"Doppelte Monatsstunden",""))</f>
        <v/>
      </c>
    </row>
    <row r="146" spans="1:10" ht="24" customHeight="1">
      <c r="A146" s="436" t="s">
        <v>329</v>
      </c>
      <c r="B146" s="437">
        <v>46143</v>
      </c>
      <c r="C146" s="437">
        <v>46507</v>
      </c>
      <c r="D146" s="438" t="s">
        <v>23</v>
      </c>
      <c r="E146" s="438" t="s">
        <v>21</v>
      </c>
      <c r="F146" s="438" t="s">
        <v>323</v>
      </c>
      <c r="G146" s="439">
        <v>34.6</v>
      </c>
      <c r="H146" s="440"/>
      <c r="I146" s="438" t="str">
        <f>IF($A146="","",IF(OR($B146="",$C146="",$D146="",$E146="",$F146=""),"Stammdaten fehlen",IF(AND($G146="",$H146=""),"Werte fehlen",IF($G146="","Monatsstunden fehlen",IF($H146="","Monatslohn fehlt","OK")))))</f>
        <v>Monatslohn fehlt</v>
      </c>
      <c r="J146" s="441" t="str">
        <f>IF($G146="","",IF(COUNTIFS($A:$A,$A146,$D:$D,$D146,$G:$G,$G146)&gt;1,"Doppelte Monatsstunden",""))</f>
        <v/>
      </c>
    </row>
    <row r="147" spans="1:10" ht="24" customHeight="1" thickBot="1">
      <c r="A147" s="436" t="s">
        <v>329</v>
      </c>
      <c r="B147" s="437">
        <v>46143</v>
      </c>
      <c r="C147" s="437">
        <v>46507</v>
      </c>
      <c r="D147" s="438" t="s">
        <v>23</v>
      </c>
      <c r="E147" s="438" t="s">
        <v>21</v>
      </c>
      <c r="F147" s="438" t="s">
        <v>323</v>
      </c>
      <c r="G147" s="439">
        <v>32.01</v>
      </c>
      <c r="H147" s="440"/>
      <c r="I147" s="438" t="str">
        <f>IF($A147="","",IF(OR($B147="",$C147="",$D147="",$E147="",$F147=""),"Stammdaten fehlen",IF(AND($G147="",$H147=""),"Werte fehlen",IF($G147="","Monatsstunden fehlen",IF($H147="","Monatslohn fehlt","OK")))))</f>
        <v>Monatslohn fehlt</v>
      </c>
      <c r="J147" s="441" t="str">
        <f>IF($G147="","",IF(COUNTIFS($A:$A,$A147,$D:$D,$D147,$G:$G,$G147)&gt;1,"Doppelte Monatsstunden",""))</f>
        <v/>
      </c>
    </row>
    <row r="148" spans="1:10" ht="24" customHeight="1">
      <c r="A148" s="430" t="s">
        <v>329</v>
      </c>
      <c r="B148" s="431">
        <v>46143</v>
      </c>
      <c r="C148" s="431">
        <v>46507</v>
      </c>
      <c r="D148" s="432" t="s">
        <v>24</v>
      </c>
      <c r="E148" s="432" t="s">
        <v>21</v>
      </c>
      <c r="F148" s="432" t="s">
        <v>324</v>
      </c>
      <c r="G148" s="433">
        <v>173</v>
      </c>
      <c r="H148" s="434"/>
      <c r="I148" s="432" t="str">
        <f>IF($A148="","",IF(OR($B148="",$C148="",$D148="",$E148="",$F148=""),"Stammdaten fehlen",IF(AND($G148="",$H148=""),"Werte fehlen",IF($G148="","Monatsstunden fehlen",IF($H148="","Monatslohn fehlt","OK")))))</f>
        <v>Monatslohn fehlt</v>
      </c>
      <c r="J148" s="435" t="str">
        <f>IF($G148="","",IF(COUNTIFS($A:$A,$A148,$D:$D,$D148,$G:$G,$G148)&gt;1,"Doppelte Monatsstunden",""))</f>
        <v/>
      </c>
    </row>
    <row r="149" spans="1:10" ht="24" customHeight="1">
      <c r="A149" s="436" t="s">
        <v>329</v>
      </c>
      <c r="B149" s="437">
        <v>46143</v>
      </c>
      <c r="C149" s="437">
        <v>46507</v>
      </c>
      <c r="D149" s="438" t="s">
        <v>24</v>
      </c>
      <c r="E149" s="438" t="s">
        <v>21</v>
      </c>
      <c r="F149" s="438" t="s">
        <v>324</v>
      </c>
      <c r="G149" s="439">
        <v>151.38</v>
      </c>
      <c r="H149" s="440"/>
      <c r="I149" s="438" t="str">
        <f>IF($A149="","",IF(OR($B149="",$C149="",$D149="",$E149="",$F149=""),"Stammdaten fehlen",IF(AND($G149="",$H149=""),"Werte fehlen",IF($G149="","Monatsstunden fehlen",IF($H149="","Monatslohn fehlt","OK")))))</f>
        <v>Monatslohn fehlt</v>
      </c>
      <c r="J149" s="441" t="str">
        <f>IF($G149="","",IF(COUNTIFS($A:$A,$A149,$D:$D,$D149,$G:$G,$G149)&gt;1,"Doppelte Monatsstunden",""))</f>
        <v/>
      </c>
    </row>
    <row r="150" spans="1:10" ht="24" customHeight="1">
      <c r="A150" s="436" t="s">
        <v>329</v>
      </c>
      <c r="B150" s="437">
        <v>46143</v>
      </c>
      <c r="C150" s="437">
        <v>46507</v>
      </c>
      <c r="D150" s="438" t="s">
        <v>24</v>
      </c>
      <c r="E150" s="438" t="s">
        <v>21</v>
      </c>
      <c r="F150" s="438" t="s">
        <v>324</v>
      </c>
      <c r="G150" s="439">
        <v>138.4</v>
      </c>
      <c r="H150" s="440"/>
      <c r="I150" s="438" t="str">
        <f>IF($A150="","",IF(OR($B150="",$C150="",$D150="",$E150="",$F150=""),"Stammdaten fehlen",IF(AND($G150="",$H150=""),"Werte fehlen",IF($G150="","Monatsstunden fehlen",IF($H150="","Monatslohn fehlt","OK")))))</f>
        <v>Monatslohn fehlt</v>
      </c>
      <c r="J150" s="441" t="str">
        <f>IF($G150="","",IF(COUNTIFS($A:$A,$A150,$D:$D,$D150,$G:$G,$G150)&gt;1,"Doppelte Monatsstunden",""))</f>
        <v/>
      </c>
    </row>
    <row r="151" spans="1:10" ht="24" customHeight="1">
      <c r="A151" s="436" t="s">
        <v>329</v>
      </c>
      <c r="B151" s="437">
        <v>46143</v>
      </c>
      <c r="C151" s="437">
        <v>46507</v>
      </c>
      <c r="D151" s="438" t="s">
        <v>24</v>
      </c>
      <c r="E151" s="438" t="s">
        <v>21</v>
      </c>
      <c r="F151" s="438" t="s">
        <v>324</v>
      </c>
      <c r="G151" s="439">
        <v>129.75</v>
      </c>
      <c r="H151" s="440"/>
      <c r="I151" s="438" t="str">
        <f>IF($A151="","",IF(OR($B151="",$C151="",$D151="",$E151="",$F151=""),"Stammdaten fehlen",IF(AND($G151="",$H151=""),"Werte fehlen",IF($G151="","Monatsstunden fehlen",IF($H151="","Monatslohn fehlt","OK")))))</f>
        <v>Monatslohn fehlt</v>
      </c>
      <c r="J151" s="441" t="str">
        <f>IF($G151="","",IF(COUNTIFS($A:$A,$A151,$D:$D,$D151,$G:$G,$G151)&gt;1,"Doppelte Monatsstunden",""))</f>
        <v/>
      </c>
    </row>
    <row r="152" spans="1:10" ht="24" customHeight="1">
      <c r="A152" s="436" t="s">
        <v>329</v>
      </c>
      <c r="B152" s="437">
        <v>46143</v>
      </c>
      <c r="C152" s="437">
        <v>46507</v>
      </c>
      <c r="D152" s="438" t="s">
        <v>24</v>
      </c>
      <c r="E152" s="438" t="s">
        <v>21</v>
      </c>
      <c r="F152" s="438" t="s">
        <v>324</v>
      </c>
      <c r="G152" s="439">
        <v>108.13</v>
      </c>
      <c r="H152" s="440"/>
      <c r="I152" s="438" t="str">
        <f>IF($A152="","",IF(OR($B152="",$C152="",$D152="",$E152="",$F152=""),"Stammdaten fehlen",IF(AND($G152="",$H152=""),"Werte fehlen",IF($G152="","Monatsstunden fehlen",IF($H152="","Monatslohn fehlt","OK")))))</f>
        <v>Monatslohn fehlt</v>
      </c>
      <c r="J152" s="441" t="str">
        <f>IF($G152="","",IF(COUNTIFS($A:$A,$A152,$D:$D,$D152,$G:$G,$G152)&gt;1,"Doppelte Monatsstunden",""))</f>
        <v/>
      </c>
    </row>
    <row r="153" spans="1:10" ht="24" customHeight="1">
      <c r="A153" s="436" t="s">
        <v>329</v>
      </c>
      <c r="B153" s="437">
        <v>46143</v>
      </c>
      <c r="C153" s="437">
        <v>46507</v>
      </c>
      <c r="D153" s="438" t="s">
        <v>24</v>
      </c>
      <c r="E153" s="438" t="s">
        <v>21</v>
      </c>
      <c r="F153" s="438" t="s">
        <v>324</v>
      </c>
      <c r="G153" s="439">
        <v>103.8</v>
      </c>
      <c r="H153" s="440"/>
      <c r="I153" s="438" t="str">
        <f>IF($A153="","",IF(OR($B153="",$C153="",$D153="",$E153="",$F153=""),"Stammdaten fehlen",IF(AND($G153="",$H153=""),"Werte fehlen",IF($G153="","Monatsstunden fehlen",IF($H153="","Monatslohn fehlt","OK")))))</f>
        <v>Monatslohn fehlt</v>
      </c>
      <c r="J153" s="441" t="str">
        <f>IF($G153="","",IF(COUNTIFS($A:$A,$A153,$D:$D,$D153,$G:$G,$G153)&gt;1,"Doppelte Monatsstunden",""))</f>
        <v/>
      </c>
    </row>
    <row r="154" spans="1:10" ht="24" customHeight="1">
      <c r="A154" s="436" t="s">
        <v>329</v>
      </c>
      <c r="B154" s="437">
        <v>46143</v>
      </c>
      <c r="C154" s="437">
        <v>46507</v>
      </c>
      <c r="D154" s="438" t="s">
        <v>24</v>
      </c>
      <c r="E154" s="438" t="s">
        <v>21</v>
      </c>
      <c r="F154" s="438" t="s">
        <v>324</v>
      </c>
      <c r="G154" s="439">
        <v>86.5</v>
      </c>
      <c r="H154" s="440"/>
      <c r="I154" s="438" t="str">
        <f>IF($A154="","",IF(OR($B154="",$C154="",$D154="",$E154="",$F154=""),"Stammdaten fehlen",IF(AND($G154="",$H154=""),"Werte fehlen",IF($G154="","Monatsstunden fehlen",IF($H154="","Monatslohn fehlt","OK")))))</f>
        <v>Monatslohn fehlt</v>
      </c>
      <c r="J154" s="441" t="str">
        <f>IF($G154="","",IF(COUNTIFS($A:$A,$A154,$D:$D,$D154,$G:$G,$G154)&gt;1,"Doppelte Monatsstunden",""))</f>
        <v/>
      </c>
    </row>
    <row r="155" spans="1:10" ht="24" customHeight="1">
      <c r="A155" s="436" t="s">
        <v>329</v>
      </c>
      <c r="B155" s="437">
        <v>46143</v>
      </c>
      <c r="C155" s="437">
        <v>46507</v>
      </c>
      <c r="D155" s="438" t="s">
        <v>24</v>
      </c>
      <c r="E155" s="438" t="s">
        <v>21</v>
      </c>
      <c r="F155" s="438" t="s">
        <v>324</v>
      </c>
      <c r="G155" s="439">
        <v>69.2</v>
      </c>
      <c r="H155" s="440"/>
      <c r="I155" s="438" t="str">
        <f>IF($A155="","",IF(OR($B155="",$C155="",$D155="",$E155="",$F155=""),"Stammdaten fehlen",IF(AND($G155="",$H155=""),"Werte fehlen",IF($G155="","Monatsstunden fehlen",IF($H155="","Monatslohn fehlt","OK")))))</f>
        <v>Monatslohn fehlt</v>
      </c>
      <c r="J155" s="441" t="str">
        <f>IF($G155="","",IF(COUNTIFS($A:$A,$A155,$D:$D,$D155,$G:$G,$G155)&gt;1,"Doppelte Monatsstunden",""))</f>
        <v/>
      </c>
    </row>
    <row r="156" spans="1:10" ht="24" customHeight="1">
      <c r="A156" s="436" t="s">
        <v>329</v>
      </c>
      <c r="B156" s="437">
        <v>46143</v>
      </c>
      <c r="C156" s="437">
        <v>46507</v>
      </c>
      <c r="D156" s="438" t="s">
        <v>24</v>
      </c>
      <c r="E156" s="438" t="s">
        <v>21</v>
      </c>
      <c r="F156" s="438" t="s">
        <v>324</v>
      </c>
      <c r="G156" s="439">
        <v>51.9</v>
      </c>
      <c r="H156" s="440"/>
      <c r="I156" s="438" t="str">
        <f>IF($A156="","",IF(OR($B156="",$C156="",$D156="",$E156="",$F156=""),"Stammdaten fehlen",IF(AND($G156="",$H156=""),"Werte fehlen",IF($G156="","Monatsstunden fehlen",IF($H156="","Monatslohn fehlt","OK")))))</f>
        <v>Monatslohn fehlt</v>
      </c>
      <c r="J156" s="441" t="str">
        <f>IF($G156="","",IF(COUNTIFS($A:$A,$A156,$D:$D,$D156,$G:$G,$G156)&gt;1,"Doppelte Monatsstunden",""))</f>
        <v/>
      </c>
    </row>
    <row r="157" spans="1:10" ht="24" customHeight="1">
      <c r="A157" s="436" t="s">
        <v>329</v>
      </c>
      <c r="B157" s="437">
        <v>46143</v>
      </c>
      <c r="C157" s="437">
        <v>46507</v>
      </c>
      <c r="D157" s="438" t="s">
        <v>24</v>
      </c>
      <c r="E157" s="438" t="s">
        <v>21</v>
      </c>
      <c r="F157" s="438" t="s">
        <v>324</v>
      </c>
      <c r="G157" s="439">
        <v>47.58</v>
      </c>
      <c r="H157" s="440"/>
      <c r="I157" s="438" t="str">
        <f>IF($A157="","",IF(OR($B157="",$C157="",$D157="",$E157="",$F157=""),"Stammdaten fehlen",IF(AND($G157="",$H157=""),"Werte fehlen",IF($G157="","Monatsstunden fehlen",IF($H157="","Monatslohn fehlt","OK")))))</f>
        <v>Monatslohn fehlt</v>
      </c>
      <c r="J157" s="441" t="str">
        <f>IF($G157="","",IF(COUNTIFS($A:$A,$A157,$D:$D,$D157,$G:$G,$G157)&gt;1,"Doppelte Monatsstunden",""))</f>
        <v/>
      </c>
    </row>
    <row r="158" spans="1:10" ht="24" customHeight="1">
      <c r="A158" s="436" t="s">
        <v>329</v>
      </c>
      <c r="B158" s="437">
        <v>46143</v>
      </c>
      <c r="C158" s="437">
        <v>46507</v>
      </c>
      <c r="D158" s="438" t="s">
        <v>24</v>
      </c>
      <c r="E158" s="438" t="s">
        <v>21</v>
      </c>
      <c r="F158" s="438" t="s">
        <v>324</v>
      </c>
      <c r="G158" s="439">
        <v>43.25</v>
      </c>
      <c r="H158" s="440"/>
      <c r="I158" s="438" t="str">
        <f>IF($A158="","",IF(OR($B158="",$C158="",$D158="",$E158="",$F158=""),"Stammdaten fehlen",IF(AND($G158="",$H158=""),"Werte fehlen",IF($G158="","Monatsstunden fehlen",IF($H158="","Monatslohn fehlt","OK")))))</f>
        <v>Monatslohn fehlt</v>
      </c>
      <c r="J158" s="441" t="str">
        <f>IF($G158="","",IF(COUNTIFS($A:$A,$A158,$D:$D,$D158,$G:$G,$G158)&gt;1,"Doppelte Monatsstunden",""))</f>
        <v/>
      </c>
    </row>
    <row r="159" spans="1:10" ht="24" customHeight="1">
      <c r="A159" s="436" t="s">
        <v>329</v>
      </c>
      <c r="B159" s="437">
        <v>46143</v>
      </c>
      <c r="C159" s="437">
        <v>46507</v>
      </c>
      <c r="D159" s="438" t="s">
        <v>24</v>
      </c>
      <c r="E159" s="438" t="s">
        <v>21</v>
      </c>
      <c r="F159" s="438" t="s">
        <v>324</v>
      </c>
      <c r="G159" s="439">
        <v>34.6</v>
      </c>
      <c r="H159" s="440"/>
      <c r="I159" s="438" t="str">
        <f>IF($A159="","",IF(OR($B159="",$C159="",$D159="",$E159="",$F159=""),"Stammdaten fehlen",IF(AND($G159="",$H159=""),"Werte fehlen",IF($G159="","Monatsstunden fehlen",IF($H159="","Monatslohn fehlt","OK")))))</f>
        <v>Monatslohn fehlt</v>
      </c>
      <c r="J159" s="441" t="str">
        <f>IF($G159="","",IF(COUNTIFS($A:$A,$A159,$D:$D,$D159,$G:$G,$G159)&gt;1,"Doppelte Monatsstunden",""))</f>
        <v/>
      </c>
    </row>
    <row r="160" spans="1:10" ht="24" customHeight="1">
      <c r="A160" s="442" t="s">
        <v>329</v>
      </c>
      <c r="B160" s="443">
        <v>46143</v>
      </c>
      <c r="C160" s="443">
        <v>46507</v>
      </c>
      <c r="D160" s="444" t="s">
        <v>24</v>
      </c>
      <c r="E160" s="444" t="s">
        <v>21</v>
      </c>
      <c r="F160" s="444" t="s">
        <v>324</v>
      </c>
      <c r="G160" s="445">
        <v>32.01</v>
      </c>
      <c r="H160" s="446"/>
      <c r="I160" s="444" t="str">
        <f>IF($A160="","",IF(OR($B160="",$C160="",$D160="",$E160="",$F160=""),"Stammdaten fehlen",IF(AND($G160="",$H160=""),"Werte fehlen",IF($G160="","Monatsstunden fehlen",IF($H160="","Monatslohn fehlt","OK")))))</f>
        <v>Monatslohn fehlt</v>
      </c>
      <c r="J160" s="447" t="str">
        <f>IF($G160="","",IF(COUNTIFS($A:$A,$A160,$D:$D,$D160,$G:$G,$G160)&gt;1,"Doppelte Monatsstunden",""))</f>
        <v/>
      </c>
    </row>
    <row r="161" spans="1:10" ht="24" customHeight="1" thickBot="1">
      <c r="A161" s="458" t="s">
        <v>420</v>
      </c>
      <c r="B161" s="454"/>
      <c r="C161" s="454"/>
      <c r="D161" s="455"/>
      <c r="E161" s="455"/>
      <c r="F161" s="455"/>
      <c r="G161" s="456"/>
      <c r="H161" s="457"/>
      <c r="I161" s="455"/>
      <c r="J161" s="459"/>
    </row>
    <row r="162" spans="1:10" ht="24" customHeight="1">
      <c r="A162" s="400" t="s">
        <v>334</v>
      </c>
      <c r="B162" s="401">
        <v>45778</v>
      </c>
      <c r="C162" s="401">
        <v>46142</v>
      </c>
      <c r="D162" s="402" t="s">
        <v>331</v>
      </c>
      <c r="E162" s="402" t="s">
        <v>4</v>
      </c>
      <c r="F162" s="402" t="s">
        <v>321</v>
      </c>
      <c r="G162" s="403">
        <v>173</v>
      </c>
      <c r="H162" s="404">
        <v>2021</v>
      </c>
      <c r="I162" s="402" t="str">
        <f>IF($A162="","",IF(OR($B162="",$C162="",$D162="",$E162="",$F162=""),"Stammdaten fehlen",IF(AND($G162="",$H162=""),"Werte fehlen",IF($G162="","Monatsstunden fehlen",IF($H162="","Monatslohn fehlt","OK")))))</f>
        <v>OK</v>
      </c>
      <c r="J162" s="405" t="str">
        <f>IF($G162="","",IF(COUNTIFS($A:$A,$A162,$D:$D,$D162,$G:$G,$G162)&gt;1,"Doppelte Monatsstunden",""))</f>
        <v/>
      </c>
    </row>
    <row r="163" spans="1:10" ht="24" customHeight="1">
      <c r="A163" s="406" t="s">
        <v>334</v>
      </c>
      <c r="B163" s="407">
        <v>45778</v>
      </c>
      <c r="C163" s="407">
        <v>46142</v>
      </c>
      <c r="D163" s="408" t="s">
        <v>331</v>
      </c>
      <c r="E163" s="408" t="s">
        <v>4</v>
      </c>
      <c r="F163" s="408" t="s">
        <v>321</v>
      </c>
      <c r="G163" s="409">
        <v>151.38</v>
      </c>
      <c r="H163" s="410">
        <v>1768.38</v>
      </c>
      <c r="I163" s="408" t="str">
        <f>IF($A163="","",IF(OR($B163="",$C163="",$D163="",$E163="",$F163=""),"Stammdaten fehlen",IF(AND($G163="",$H163=""),"Werte fehlen",IF($G163="","Monatsstunden fehlen",IF($H163="","Monatslohn fehlt","OK")))))</f>
        <v>OK</v>
      </c>
      <c r="J163" s="411" t="str">
        <f>IF($G163="","",IF(COUNTIFS($A:$A,$A163,$D:$D,$D163,$G:$G,$G163)&gt;1,"Doppelte Monatsstunden",""))</f>
        <v/>
      </c>
    </row>
    <row r="164" spans="1:10" ht="24" customHeight="1">
      <c r="A164" s="406" t="s">
        <v>334</v>
      </c>
      <c r="B164" s="407">
        <v>45778</v>
      </c>
      <c r="C164" s="407">
        <v>46142</v>
      </c>
      <c r="D164" s="408" t="s">
        <v>331</v>
      </c>
      <c r="E164" s="408" t="s">
        <v>4</v>
      </c>
      <c r="F164" s="408" t="s">
        <v>321</v>
      </c>
      <c r="G164" s="409">
        <v>138.4</v>
      </c>
      <c r="H164" s="410">
        <v>1616.8</v>
      </c>
      <c r="I164" s="408" t="str">
        <f>IF($A164="","",IF(OR($B164="",$C164="",$D164="",$E164="",$F164=""),"Stammdaten fehlen",IF(AND($G164="",$H164=""),"Werte fehlen",IF($G164="","Monatsstunden fehlen",IF($H164="","Monatslohn fehlt","OK")))))</f>
        <v>OK</v>
      </c>
      <c r="J164" s="411" t="str">
        <f>IF($G164="","",IF(COUNTIFS($A:$A,$A164,$D:$D,$D164,$G:$G,$G164)&gt;1,"Doppelte Monatsstunden",""))</f>
        <v/>
      </c>
    </row>
    <row r="165" spans="1:10" ht="24" customHeight="1">
      <c r="A165" s="406" t="s">
        <v>334</v>
      </c>
      <c r="B165" s="407">
        <v>45778</v>
      </c>
      <c r="C165" s="407">
        <v>46142</v>
      </c>
      <c r="D165" s="408" t="s">
        <v>331</v>
      </c>
      <c r="E165" s="408" t="s">
        <v>4</v>
      </c>
      <c r="F165" s="408" t="s">
        <v>321</v>
      </c>
      <c r="G165" s="409">
        <v>129.75</v>
      </c>
      <c r="H165" s="410">
        <v>1515.75</v>
      </c>
      <c r="I165" s="408" t="str">
        <f>IF($A165="","",IF(OR($B165="",$C165="",$D165="",$E165="",$F165=""),"Stammdaten fehlen",IF(AND($G165="",$H165=""),"Werte fehlen",IF($G165="","Monatsstunden fehlen",IF($H165="","Monatslohn fehlt","OK")))))</f>
        <v>OK</v>
      </c>
      <c r="J165" s="411" t="str">
        <f>IF($G165="","",IF(COUNTIFS($A:$A,$A165,$D:$D,$D165,$G:$G,$G165)&gt;1,"Doppelte Monatsstunden",""))</f>
        <v/>
      </c>
    </row>
    <row r="166" spans="1:10" ht="24" customHeight="1">
      <c r="A166" s="406" t="s">
        <v>334</v>
      </c>
      <c r="B166" s="407">
        <v>45778</v>
      </c>
      <c r="C166" s="407">
        <v>46142</v>
      </c>
      <c r="D166" s="408" t="s">
        <v>331</v>
      </c>
      <c r="E166" s="408" t="s">
        <v>4</v>
      </c>
      <c r="F166" s="408" t="s">
        <v>321</v>
      </c>
      <c r="G166" s="409">
        <v>108.13</v>
      </c>
      <c r="H166" s="410">
        <v>1263.1300000000001</v>
      </c>
      <c r="I166" s="408" t="str">
        <f>IF($A166="","",IF(OR($B166="",$C166="",$D166="",$E166="",$F166=""),"Stammdaten fehlen",IF(AND($G166="",$H166=""),"Werte fehlen",IF($G166="","Monatsstunden fehlen",IF($H166="","Monatslohn fehlt","OK")))))</f>
        <v>OK</v>
      </c>
      <c r="J166" s="411" t="str">
        <f>IF($G166="","",IF(COUNTIFS($A:$A,$A166,$D:$D,$D166,$G:$G,$G166)&gt;1,"Doppelte Monatsstunden",""))</f>
        <v/>
      </c>
    </row>
    <row r="167" spans="1:10" ht="24" customHeight="1">
      <c r="A167" s="406" t="s">
        <v>334</v>
      </c>
      <c r="B167" s="407">
        <v>45778</v>
      </c>
      <c r="C167" s="407">
        <v>46142</v>
      </c>
      <c r="D167" s="408" t="s">
        <v>331</v>
      </c>
      <c r="E167" s="408" t="s">
        <v>4</v>
      </c>
      <c r="F167" s="408" t="s">
        <v>321</v>
      </c>
      <c r="G167" s="409">
        <v>103.8</v>
      </c>
      <c r="H167" s="410">
        <v>1212.5999999999999</v>
      </c>
      <c r="I167" s="408" t="str">
        <f>IF($A167="","",IF(OR($B167="",$C167="",$D167="",$E167="",$F167=""),"Stammdaten fehlen",IF(AND($G167="",$H167=""),"Werte fehlen",IF($G167="","Monatsstunden fehlen",IF($H167="","Monatslohn fehlt","OK")))))</f>
        <v>OK</v>
      </c>
      <c r="J167" s="411" t="str">
        <f>IF($G167="","",IF(COUNTIFS($A:$A,$A167,$D:$D,$D167,$G:$G,$G167)&gt;1,"Doppelte Monatsstunden",""))</f>
        <v/>
      </c>
    </row>
    <row r="168" spans="1:10" ht="24" customHeight="1">
      <c r="A168" s="406" t="s">
        <v>334</v>
      </c>
      <c r="B168" s="407">
        <v>45778</v>
      </c>
      <c r="C168" s="407">
        <v>46142</v>
      </c>
      <c r="D168" s="408" t="s">
        <v>331</v>
      </c>
      <c r="E168" s="408" t="s">
        <v>4</v>
      </c>
      <c r="F168" s="408" t="s">
        <v>321</v>
      </c>
      <c r="G168" s="409">
        <v>86.5</v>
      </c>
      <c r="H168" s="410">
        <v>1010.5</v>
      </c>
      <c r="I168" s="408" t="str">
        <f>IF($A168="","",IF(OR($B168="",$C168="",$D168="",$E168="",$F168=""),"Stammdaten fehlen",IF(AND($G168="",$H168=""),"Werte fehlen",IF($G168="","Monatsstunden fehlen",IF($H168="","Monatslohn fehlt","OK")))))</f>
        <v>OK</v>
      </c>
      <c r="J168" s="411" t="str">
        <f>IF($G168="","",IF(COUNTIFS($A:$A,$A168,$D:$D,$D168,$G:$G,$G168)&gt;1,"Doppelte Monatsstunden",""))</f>
        <v/>
      </c>
    </row>
    <row r="169" spans="1:10" ht="24" customHeight="1">
      <c r="A169" s="406" t="s">
        <v>334</v>
      </c>
      <c r="B169" s="407">
        <v>45778</v>
      </c>
      <c r="C169" s="407">
        <v>46142</v>
      </c>
      <c r="D169" s="408" t="s">
        <v>331</v>
      </c>
      <c r="E169" s="408" t="s">
        <v>4</v>
      </c>
      <c r="F169" s="408" t="s">
        <v>321</v>
      </c>
      <c r="G169" s="409">
        <v>69.2</v>
      </c>
      <c r="H169" s="410">
        <v>808.4</v>
      </c>
      <c r="I169" s="408" t="str">
        <f>IF($A169="","",IF(OR($B169="",$C169="",$D169="",$E169="",$F169=""),"Stammdaten fehlen",IF(AND($G169="",$H169=""),"Werte fehlen",IF($G169="","Monatsstunden fehlen",IF($H169="","Monatslohn fehlt","OK")))))</f>
        <v>OK</v>
      </c>
      <c r="J169" s="411" t="str">
        <f>IF($G169="","",IF(COUNTIFS($A:$A,$A169,$D:$D,$D169,$G:$G,$G169)&gt;1,"Doppelte Monatsstunden",""))</f>
        <v/>
      </c>
    </row>
    <row r="170" spans="1:10" ht="24" customHeight="1">
      <c r="A170" s="406" t="s">
        <v>334</v>
      </c>
      <c r="B170" s="407">
        <v>45778</v>
      </c>
      <c r="C170" s="407">
        <v>46142</v>
      </c>
      <c r="D170" s="408" t="s">
        <v>331</v>
      </c>
      <c r="E170" s="408" t="s">
        <v>4</v>
      </c>
      <c r="F170" s="408" t="s">
        <v>321</v>
      </c>
      <c r="G170" s="409">
        <v>51.9</v>
      </c>
      <c r="H170" s="410">
        <v>606.29999999999995</v>
      </c>
      <c r="I170" s="408" t="str">
        <f>IF($A170="","",IF(OR($B170="",$C170="",$D170="",$E170="",$F170=""),"Stammdaten fehlen",IF(AND($G170="",$H170=""),"Werte fehlen",IF($G170="","Monatsstunden fehlen",IF($H170="","Monatslohn fehlt","OK")))))</f>
        <v>OK</v>
      </c>
      <c r="J170" s="411" t="str">
        <f>IF($G170="","",IF(COUNTIFS($A:$A,$A170,$D:$D,$D170,$G:$G,$G170)&gt;1,"Doppelte Monatsstunden",""))</f>
        <v/>
      </c>
    </row>
    <row r="171" spans="1:10" ht="24" customHeight="1">
      <c r="A171" s="406" t="s">
        <v>334</v>
      </c>
      <c r="B171" s="407">
        <v>45778</v>
      </c>
      <c r="C171" s="407">
        <v>46142</v>
      </c>
      <c r="D171" s="408" t="s">
        <v>331</v>
      </c>
      <c r="E171" s="408" t="s">
        <v>4</v>
      </c>
      <c r="F171" s="408" t="s">
        <v>321</v>
      </c>
      <c r="G171" s="409">
        <v>47.58</v>
      </c>
      <c r="H171" s="410">
        <v>555.78</v>
      </c>
      <c r="I171" s="408" t="str">
        <f>IF($A171="","",IF(OR($B171="",$C171="",$D171="",$E171="",$F171=""),"Stammdaten fehlen",IF(AND($G171="",$H171=""),"Werte fehlen",IF($G171="","Monatsstunden fehlen",IF($H171="","Monatslohn fehlt","OK")))))</f>
        <v>OK</v>
      </c>
      <c r="J171" s="411" t="str">
        <f>IF($G171="","",IF(COUNTIFS($A:$A,$A171,$D:$D,$D171,$G:$G,$G171)&gt;1,"Doppelte Monatsstunden",""))</f>
        <v/>
      </c>
    </row>
    <row r="172" spans="1:10" ht="24" customHeight="1">
      <c r="A172" s="406" t="s">
        <v>334</v>
      </c>
      <c r="B172" s="407">
        <v>45778</v>
      </c>
      <c r="C172" s="407">
        <v>46142</v>
      </c>
      <c r="D172" s="408" t="s">
        <v>331</v>
      </c>
      <c r="E172" s="408" t="s">
        <v>4</v>
      </c>
      <c r="F172" s="408" t="s">
        <v>321</v>
      </c>
      <c r="G172" s="409">
        <v>43.25</v>
      </c>
      <c r="H172" s="410">
        <v>505.25</v>
      </c>
      <c r="I172" s="408" t="str">
        <f>IF($A172="","",IF(OR($B172="",$C172="",$D172="",$E172="",$F172=""),"Stammdaten fehlen",IF(AND($G172="",$H172=""),"Werte fehlen",IF($G172="","Monatsstunden fehlen",IF($H172="","Monatslohn fehlt","OK")))))</f>
        <v>OK</v>
      </c>
      <c r="J172" s="411" t="str">
        <f>IF($G172="","",IF(COUNTIFS($A:$A,$A172,$D:$D,$D172,$G:$G,$G172)&gt;1,"Doppelte Monatsstunden",""))</f>
        <v/>
      </c>
    </row>
    <row r="173" spans="1:10" ht="24" customHeight="1">
      <c r="A173" s="406" t="s">
        <v>334</v>
      </c>
      <c r="B173" s="407">
        <v>45778</v>
      </c>
      <c r="C173" s="407">
        <v>46142</v>
      </c>
      <c r="D173" s="408" t="s">
        <v>331</v>
      </c>
      <c r="E173" s="408" t="s">
        <v>4</v>
      </c>
      <c r="F173" s="408" t="s">
        <v>321</v>
      </c>
      <c r="G173" s="409">
        <v>34.6</v>
      </c>
      <c r="H173" s="410">
        <v>404.2</v>
      </c>
      <c r="I173" s="408" t="str">
        <f>IF($A173="","",IF(OR($B173="",$C173="",$D173="",$E173="",$F173=""),"Stammdaten fehlen",IF(AND($G173="",$H173=""),"Werte fehlen",IF($G173="","Monatsstunden fehlen",IF($H173="","Monatslohn fehlt","OK")))))</f>
        <v>OK</v>
      </c>
      <c r="J173" s="411" t="str">
        <f>IF($G173="","",IF(COUNTIFS($A:$A,$A173,$D:$D,$D173,$G:$G,$G173)&gt;1,"Doppelte Monatsstunden",""))</f>
        <v/>
      </c>
    </row>
    <row r="174" spans="1:10" ht="24" customHeight="1" thickBot="1">
      <c r="A174" s="406" t="s">
        <v>334</v>
      </c>
      <c r="B174" s="407">
        <v>45778</v>
      </c>
      <c r="C174" s="407">
        <v>46142</v>
      </c>
      <c r="D174" s="408" t="s">
        <v>331</v>
      </c>
      <c r="E174" s="408" t="s">
        <v>4</v>
      </c>
      <c r="F174" s="408" t="s">
        <v>321</v>
      </c>
      <c r="G174" s="409">
        <v>32.01</v>
      </c>
      <c r="H174" s="410">
        <v>373.89</v>
      </c>
      <c r="I174" s="408" t="str">
        <f>IF($A174="","",IF(OR($B174="",$C174="",$D174="",$E174="",$F174=""),"Stammdaten fehlen",IF(AND($G174="",$H174=""),"Werte fehlen",IF($G174="","Monatsstunden fehlen",IF($H174="","Monatslohn fehlt","OK")))))</f>
        <v>OK</v>
      </c>
      <c r="J174" s="411" t="str">
        <f>IF($G174="","",IF(COUNTIFS($A:$A,$A174,$D:$D,$D174,$G:$G,$G174)&gt;1,"Doppelte Monatsstunden",""))</f>
        <v/>
      </c>
    </row>
    <row r="175" spans="1:10" ht="24" customHeight="1">
      <c r="A175" s="412" t="s">
        <v>334</v>
      </c>
      <c r="B175" s="413">
        <v>45778</v>
      </c>
      <c r="C175" s="413">
        <v>46142</v>
      </c>
      <c r="D175" s="414" t="s">
        <v>8</v>
      </c>
      <c r="E175" s="414" t="s">
        <v>4</v>
      </c>
      <c r="F175" s="414" t="s">
        <v>322</v>
      </c>
      <c r="G175" s="415">
        <v>173</v>
      </c>
      <c r="H175" s="416">
        <v>2082</v>
      </c>
      <c r="I175" s="414" t="str">
        <f>IF($A175="","",IF(OR($B175="",$C175="",$D175="",$E175="",$F175=""),"Stammdaten fehlen",IF(AND($G175="",$H175=""),"Werte fehlen",IF($G175="","Monatsstunden fehlen",IF($H175="","Monatslohn fehlt","OK")))))</f>
        <v>OK</v>
      </c>
      <c r="J175" s="417" t="str">
        <f>IF($G175="","",IF(COUNTIFS($A:$A,$A175,$D:$D,$D175,$G:$G,$G175)&gt;1,"Doppelte Monatsstunden",""))</f>
        <v/>
      </c>
    </row>
    <row r="176" spans="1:10" ht="24" customHeight="1">
      <c r="A176" s="406" t="s">
        <v>334</v>
      </c>
      <c r="B176" s="407">
        <v>45778</v>
      </c>
      <c r="C176" s="407">
        <v>46142</v>
      </c>
      <c r="D176" s="408" t="s">
        <v>8</v>
      </c>
      <c r="E176" s="408" t="s">
        <v>4</v>
      </c>
      <c r="F176" s="408" t="s">
        <v>322</v>
      </c>
      <c r="G176" s="409">
        <v>151.38</v>
      </c>
      <c r="H176" s="410">
        <v>1821.75</v>
      </c>
      <c r="I176" s="408" t="str">
        <f>IF($A176="","",IF(OR($B176="",$C176="",$D176="",$E176="",$F176=""),"Stammdaten fehlen",IF(AND($G176="",$H176=""),"Werte fehlen",IF($G176="","Monatsstunden fehlen",IF($H176="","Monatslohn fehlt","OK")))))</f>
        <v>OK</v>
      </c>
      <c r="J176" s="411" t="str">
        <f>IF($G176="","",IF(COUNTIFS($A:$A,$A176,$D:$D,$D176,$G:$G,$G176)&gt;1,"Doppelte Monatsstunden",""))</f>
        <v/>
      </c>
    </row>
    <row r="177" spans="1:10" ht="24" customHeight="1">
      <c r="A177" s="406" t="s">
        <v>334</v>
      </c>
      <c r="B177" s="407">
        <v>45778</v>
      </c>
      <c r="C177" s="407">
        <v>46142</v>
      </c>
      <c r="D177" s="408" t="s">
        <v>8</v>
      </c>
      <c r="E177" s="408" t="s">
        <v>4</v>
      </c>
      <c r="F177" s="408" t="s">
        <v>322</v>
      </c>
      <c r="G177" s="409">
        <v>138.4</v>
      </c>
      <c r="H177" s="410">
        <v>1665.6</v>
      </c>
      <c r="I177" s="408" t="str">
        <f>IF($A177="","",IF(OR($B177="",$C177="",$D177="",$E177="",$F177=""),"Stammdaten fehlen",IF(AND($G177="",$H177=""),"Werte fehlen",IF($G177="","Monatsstunden fehlen",IF($H177="","Monatslohn fehlt","OK")))))</f>
        <v>OK</v>
      </c>
      <c r="J177" s="411" t="str">
        <f>IF($G177="","",IF(COUNTIFS($A:$A,$A177,$D:$D,$D177,$G:$G,$G177)&gt;1,"Doppelte Monatsstunden",""))</f>
        <v/>
      </c>
    </row>
    <row r="178" spans="1:10" ht="24" customHeight="1">
      <c r="A178" s="406" t="s">
        <v>334</v>
      </c>
      <c r="B178" s="407">
        <v>45778</v>
      </c>
      <c r="C178" s="407">
        <v>46142</v>
      </c>
      <c r="D178" s="408" t="s">
        <v>8</v>
      </c>
      <c r="E178" s="408" t="s">
        <v>4</v>
      </c>
      <c r="F178" s="408" t="s">
        <v>322</v>
      </c>
      <c r="G178" s="409">
        <v>129.75</v>
      </c>
      <c r="H178" s="410">
        <v>1561.5</v>
      </c>
      <c r="I178" s="408" t="str">
        <f>IF($A178="","",IF(OR($B178="",$C178="",$D178="",$E178="",$F178=""),"Stammdaten fehlen",IF(AND($G178="",$H178=""),"Werte fehlen",IF($G178="","Monatsstunden fehlen",IF($H178="","Monatslohn fehlt","OK")))))</f>
        <v>OK</v>
      </c>
      <c r="J178" s="411" t="str">
        <f>IF($G178="","",IF(COUNTIFS($A:$A,$A178,$D:$D,$D178,$G:$G,$G178)&gt;1,"Doppelte Monatsstunden",""))</f>
        <v/>
      </c>
    </row>
    <row r="179" spans="1:10" ht="24" customHeight="1">
      <c r="A179" s="406" t="s">
        <v>334</v>
      </c>
      <c r="B179" s="407">
        <v>45778</v>
      </c>
      <c r="C179" s="407">
        <v>46142</v>
      </c>
      <c r="D179" s="408" t="s">
        <v>8</v>
      </c>
      <c r="E179" s="408" t="s">
        <v>4</v>
      </c>
      <c r="F179" s="408" t="s">
        <v>322</v>
      </c>
      <c r="G179" s="409">
        <v>108.13</v>
      </c>
      <c r="H179" s="410">
        <v>1301.25</v>
      </c>
      <c r="I179" s="408" t="str">
        <f>IF($A179="","",IF(OR($B179="",$C179="",$D179="",$E179="",$F179=""),"Stammdaten fehlen",IF(AND($G179="",$H179=""),"Werte fehlen",IF($G179="","Monatsstunden fehlen",IF($H179="","Monatslohn fehlt","OK")))))</f>
        <v>OK</v>
      </c>
      <c r="J179" s="411" t="str">
        <f>IF($G179="","",IF(COUNTIFS($A:$A,$A179,$D:$D,$D179,$G:$G,$G179)&gt;1,"Doppelte Monatsstunden",""))</f>
        <v/>
      </c>
    </row>
    <row r="180" spans="1:10" ht="24" customHeight="1">
      <c r="A180" s="406" t="s">
        <v>334</v>
      </c>
      <c r="B180" s="407">
        <v>45778</v>
      </c>
      <c r="C180" s="407">
        <v>46142</v>
      </c>
      <c r="D180" s="408" t="s">
        <v>8</v>
      </c>
      <c r="E180" s="408" t="s">
        <v>4</v>
      </c>
      <c r="F180" s="408" t="s">
        <v>322</v>
      </c>
      <c r="G180" s="409">
        <v>103.8</v>
      </c>
      <c r="H180" s="410">
        <v>1249.2</v>
      </c>
      <c r="I180" s="408" t="str">
        <f>IF($A180="","",IF(OR($B180="",$C180="",$D180="",$E180="",$F180=""),"Stammdaten fehlen",IF(AND($G180="",$H180=""),"Werte fehlen",IF($G180="","Monatsstunden fehlen",IF($H180="","Monatslohn fehlt","OK")))))</f>
        <v>OK</v>
      </c>
      <c r="J180" s="411" t="str">
        <f>IF($G180="","",IF(COUNTIFS($A:$A,$A180,$D:$D,$D180,$G:$G,$G180)&gt;1,"Doppelte Monatsstunden",""))</f>
        <v/>
      </c>
    </row>
    <row r="181" spans="1:10" ht="24" customHeight="1">
      <c r="A181" s="406" t="s">
        <v>334</v>
      </c>
      <c r="B181" s="407">
        <v>45778</v>
      </c>
      <c r="C181" s="407">
        <v>46142</v>
      </c>
      <c r="D181" s="408" t="s">
        <v>8</v>
      </c>
      <c r="E181" s="408" t="s">
        <v>4</v>
      </c>
      <c r="F181" s="408" t="s">
        <v>322</v>
      </c>
      <c r="G181" s="409">
        <v>86.5</v>
      </c>
      <c r="H181" s="410">
        <v>1041.2</v>
      </c>
      <c r="I181" s="408" t="str">
        <f>IF($A181="","",IF(OR($B181="",$C181="",$D181="",$E181="",$F181=""),"Stammdaten fehlen",IF(AND($G181="",$H181=""),"Werte fehlen",IF($G181="","Monatsstunden fehlen",IF($H181="","Monatslohn fehlt","OK")))))</f>
        <v>OK</v>
      </c>
      <c r="J181" s="411" t="str">
        <f>IF($G181="","",IF(COUNTIFS($A:$A,$A181,$D:$D,$D181,$G:$G,$G181)&gt;1,"Doppelte Monatsstunden",""))</f>
        <v/>
      </c>
    </row>
    <row r="182" spans="1:10" ht="24" customHeight="1">
      <c r="A182" s="406" t="s">
        <v>334</v>
      </c>
      <c r="B182" s="407">
        <v>45778</v>
      </c>
      <c r="C182" s="407">
        <v>46142</v>
      </c>
      <c r="D182" s="408" t="s">
        <v>8</v>
      </c>
      <c r="E182" s="408" t="s">
        <v>4</v>
      </c>
      <c r="F182" s="408" t="s">
        <v>322</v>
      </c>
      <c r="G182" s="409">
        <v>69.2</v>
      </c>
      <c r="H182" s="410">
        <v>832.8</v>
      </c>
      <c r="I182" s="408" t="str">
        <f>IF($A182="","",IF(OR($B182="",$C182="",$D182="",$E182="",$F182=""),"Stammdaten fehlen",IF(AND($G182="",$H182=""),"Werte fehlen",IF($G182="","Monatsstunden fehlen",IF($H182="","Monatslohn fehlt","OK")))))</f>
        <v>OK</v>
      </c>
      <c r="J182" s="411" t="str">
        <f>IF($G182="","",IF(COUNTIFS($A:$A,$A182,$D:$D,$D182,$G:$G,$G182)&gt;1,"Doppelte Monatsstunden",""))</f>
        <v/>
      </c>
    </row>
    <row r="183" spans="1:10" ht="24" customHeight="1">
      <c r="A183" s="406" t="s">
        <v>334</v>
      </c>
      <c r="B183" s="407">
        <v>45778</v>
      </c>
      <c r="C183" s="407">
        <v>46142</v>
      </c>
      <c r="D183" s="408" t="s">
        <v>8</v>
      </c>
      <c r="E183" s="408" t="s">
        <v>4</v>
      </c>
      <c r="F183" s="408" t="s">
        <v>322</v>
      </c>
      <c r="G183" s="409">
        <v>51.9</v>
      </c>
      <c r="H183" s="410">
        <v>624.6</v>
      </c>
      <c r="I183" s="408" t="str">
        <f>IF($A183="","",IF(OR($B183="",$C183="",$D183="",$E183="",$F183=""),"Stammdaten fehlen",IF(AND($G183="",$H183=""),"Werte fehlen",IF($G183="","Monatsstunden fehlen",IF($H183="","Monatslohn fehlt","OK")))))</f>
        <v>OK</v>
      </c>
      <c r="J183" s="411" t="str">
        <f>IF($G183="","",IF(COUNTIFS($A:$A,$A183,$D:$D,$D183,$G:$G,$G183)&gt;1,"Doppelte Monatsstunden",""))</f>
        <v/>
      </c>
    </row>
    <row r="184" spans="1:10" ht="24" customHeight="1">
      <c r="A184" s="406" t="s">
        <v>334</v>
      </c>
      <c r="B184" s="407">
        <v>45778</v>
      </c>
      <c r="C184" s="407">
        <v>46142</v>
      </c>
      <c r="D184" s="408" t="s">
        <v>8</v>
      </c>
      <c r="E184" s="408" t="s">
        <v>4</v>
      </c>
      <c r="F184" s="408" t="s">
        <v>322</v>
      </c>
      <c r="G184" s="409">
        <v>47.58</v>
      </c>
      <c r="H184" s="410">
        <v>575.54999999999995</v>
      </c>
      <c r="I184" s="408" t="str">
        <f>IF($A184="","",IF(OR($B184="",$C184="",$D184="",$E184="",$F184=""),"Stammdaten fehlen",IF(AND($G184="",$H184=""),"Werte fehlen",IF($G184="","Monatsstunden fehlen",IF($H184="","Monatslohn fehlt","OK")))))</f>
        <v>OK</v>
      </c>
      <c r="J184" s="411" t="str">
        <f>IF($G184="","",IF(COUNTIFS($A:$A,$A184,$D:$D,$D184,$G:$G,$G184)&gt;1,"Doppelte Monatsstunden",""))</f>
        <v/>
      </c>
    </row>
    <row r="185" spans="1:10" ht="24" customHeight="1">
      <c r="A185" s="406" t="s">
        <v>334</v>
      </c>
      <c r="B185" s="407">
        <v>45778</v>
      </c>
      <c r="C185" s="407">
        <v>46142</v>
      </c>
      <c r="D185" s="408" t="s">
        <v>8</v>
      </c>
      <c r="E185" s="408" t="s">
        <v>4</v>
      </c>
      <c r="F185" s="408" t="s">
        <v>322</v>
      </c>
      <c r="G185" s="409">
        <v>43.25</v>
      </c>
      <c r="H185" s="410">
        <v>520.5</v>
      </c>
      <c r="I185" s="408" t="str">
        <f>IF($A185="","",IF(OR($B185="",$C185="",$D185="",$E185="",$F185=""),"Stammdaten fehlen",IF(AND($G185="",$H185=""),"Werte fehlen",IF($G185="","Monatsstunden fehlen",IF($H185="","Monatslohn fehlt","OK")))))</f>
        <v>OK</v>
      </c>
      <c r="J185" s="411" t="str">
        <f>IF($G185="","",IF(COUNTIFS($A:$A,$A185,$D:$D,$D185,$G:$G,$G185)&gt;1,"Doppelte Monatsstunden",""))</f>
        <v/>
      </c>
    </row>
    <row r="186" spans="1:10" ht="24" customHeight="1">
      <c r="A186" s="406" t="s">
        <v>334</v>
      </c>
      <c r="B186" s="407">
        <v>45778</v>
      </c>
      <c r="C186" s="407">
        <v>46142</v>
      </c>
      <c r="D186" s="408" t="s">
        <v>8</v>
      </c>
      <c r="E186" s="408" t="s">
        <v>4</v>
      </c>
      <c r="F186" s="408" t="s">
        <v>322</v>
      </c>
      <c r="G186" s="409">
        <v>34.6</v>
      </c>
      <c r="H186" s="410">
        <v>416.4</v>
      </c>
      <c r="I186" s="408" t="str">
        <f>IF($A186="","",IF(OR($B186="",$C186="",$D186="",$E186="",$F186=""),"Stammdaten fehlen",IF(AND($G186="",$H186=""),"Werte fehlen",IF($G186="","Monatsstunden fehlen",IF($H186="","Monatslohn fehlt","OK")))))</f>
        <v>OK</v>
      </c>
      <c r="J186" s="411" t="str">
        <f>IF($G186="","",IF(COUNTIFS($A:$A,$A186,$D:$D,$D186,$G:$G,$G186)&gt;1,"Doppelte Monatsstunden",""))</f>
        <v/>
      </c>
    </row>
    <row r="187" spans="1:10" ht="24" customHeight="1" thickBot="1">
      <c r="A187" s="406" t="s">
        <v>334</v>
      </c>
      <c r="B187" s="407">
        <v>45778</v>
      </c>
      <c r="C187" s="407">
        <v>46142</v>
      </c>
      <c r="D187" s="408" t="s">
        <v>8</v>
      </c>
      <c r="E187" s="408" t="s">
        <v>4</v>
      </c>
      <c r="F187" s="408" t="s">
        <v>322</v>
      </c>
      <c r="G187" s="409">
        <v>32.01</v>
      </c>
      <c r="H187" s="410">
        <v>385.17</v>
      </c>
      <c r="I187" s="408" t="str">
        <f>IF($A187="","",IF(OR($B187="",$C187="",$D187="",$E187="",$F187=""),"Stammdaten fehlen",IF(AND($G187="",$H187=""),"Werte fehlen",IF($G187="","Monatsstunden fehlen",IF($H187="","Monatslohn fehlt","OK")))))</f>
        <v>OK</v>
      </c>
      <c r="J187" s="411" t="str">
        <f>IF($G187="","",IF(COUNTIFS($A:$A,$A187,$D:$D,$D187,$G:$G,$G187)&gt;1,"Doppelte Monatsstunden",""))</f>
        <v/>
      </c>
    </row>
    <row r="188" spans="1:10" ht="24" customHeight="1">
      <c r="A188" s="412" t="s">
        <v>334</v>
      </c>
      <c r="B188" s="413">
        <v>45778</v>
      </c>
      <c r="C188" s="413">
        <v>46142</v>
      </c>
      <c r="D188" s="414" t="s">
        <v>10</v>
      </c>
      <c r="E188" s="414" t="s">
        <v>4</v>
      </c>
      <c r="F188" s="414" t="s">
        <v>323</v>
      </c>
      <c r="G188" s="415">
        <v>173</v>
      </c>
      <c r="H188" s="416">
        <v>2123</v>
      </c>
      <c r="I188" s="414" t="str">
        <f>IF($A188="","",IF(OR($B188="",$C188="",$D188="",$E188="",$F188=""),"Stammdaten fehlen",IF(AND($G188="",$H188=""),"Werte fehlen",IF($G188="","Monatsstunden fehlen",IF($H188="","Monatslohn fehlt","OK")))))</f>
        <v>OK</v>
      </c>
      <c r="J188" s="417" t="str">
        <f>IF($G188="","",IF(COUNTIFS($A:$A,$A188,$D:$D,$D188,$G:$G,$G188)&gt;1,"Doppelte Monatsstunden",""))</f>
        <v/>
      </c>
    </row>
    <row r="189" spans="1:10" ht="24" customHeight="1">
      <c r="A189" s="406" t="s">
        <v>334</v>
      </c>
      <c r="B189" s="407">
        <v>45778</v>
      </c>
      <c r="C189" s="407">
        <v>46142</v>
      </c>
      <c r="D189" s="408" t="s">
        <v>10</v>
      </c>
      <c r="E189" s="408" t="s">
        <v>4</v>
      </c>
      <c r="F189" s="408" t="s">
        <v>323</v>
      </c>
      <c r="G189" s="409">
        <v>151.38</v>
      </c>
      <c r="H189" s="410">
        <v>1857.63</v>
      </c>
      <c r="I189" s="408" t="str">
        <f>IF($A189="","",IF(OR($B189="",$C189="",$D189="",$E189="",$F189=""),"Stammdaten fehlen",IF(AND($G189="",$H189=""),"Werte fehlen",IF($G189="","Monatsstunden fehlen",IF($H189="","Monatslohn fehlt","OK")))))</f>
        <v>OK</v>
      </c>
      <c r="J189" s="411" t="str">
        <f>IF($G189="","",IF(COUNTIFS($A:$A,$A189,$D:$D,$D189,$G:$G,$G189)&gt;1,"Doppelte Monatsstunden",""))</f>
        <v/>
      </c>
    </row>
    <row r="190" spans="1:10" ht="24" customHeight="1">
      <c r="A190" s="406" t="s">
        <v>334</v>
      </c>
      <c r="B190" s="407">
        <v>45778</v>
      </c>
      <c r="C190" s="407">
        <v>46142</v>
      </c>
      <c r="D190" s="408" t="s">
        <v>10</v>
      </c>
      <c r="E190" s="408" t="s">
        <v>4</v>
      </c>
      <c r="F190" s="408" t="s">
        <v>323</v>
      </c>
      <c r="G190" s="409">
        <v>138.4</v>
      </c>
      <c r="H190" s="410">
        <v>1698.4</v>
      </c>
      <c r="I190" s="408" t="str">
        <f>IF($A190="","",IF(OR($B190="",$C190="",$D190="",$E190="",$F190=""),"Stammdaten fehlen",IF(AND($G190="",$H190=""),"Werte fehlen",IF($G190="","Monatsstunden fehlen",IF($H190="","Monatslohn fehlt","OK")))))</f>
        <v>OK</v>
      </c>
      <c r="J190" s="411" t="str">
        <f>IF($G190="","",IF(COUNTIFS($A:$A,$A190,$D:$D,$D190,$G:$G,$G190)&gt;1,"Doppelte Monatsstunden",""))</f>
        <v/>
      </c>
    </row>
    <row r="191" spans="1:10" ht="24" customHeight="1">
      <c r="A191" s="406" t="s">
        <v>334</v>
      </c>
      <c r="B191" s="407">
        <v>45778</v>
      </c>
      <c r="C191" s="407">
        <v>46142</v>
      </c>
      <c r="D191" s="408" t="s">
        <v>10</v>
      </c>
      <c r="E191" s="408" t="s">
        <v>4</v>
      </c>
      <c r="F191" s="408" t="s">
        <v>323</v>
      </c>
      <c r="G191" s="409">
        <v>129.75</v>
      </c>
      <c r="H191" s="410">
        <v>1592.25</v>
      </c>
      <c r="I191" s="408" t="str">
        <f>IF($A191="","",IF(OR($B191="",$C191="",$D191="",$E191="",$F191=""),"Stammdaten fehlen",IF(AND($G191="",$H191=""),"Werte fehlen",IF($G191="","Monatsstunden fehlen",IF($H191="","Monatslohn fehlt","OK")))))</f>
        <v>OK</v>
      </c>
      <c r="J191" s="411" t="str">
        <f>IF($G191="","",IF(COUNTIFS($A:$A,$A191,$D:$D,$D191,$G:$G,$G191)&gt;1,"Doppelte Monatsstunden",""))</f>
        <v/>
      </c>
    </row>
    <row r="192" spans="1:10" ht="24" customHeight="1">
      <c r="A192" s="406" t="s">
        <v>334</v>
      </c>
      <c r="B192" s="407">
        <v>45778</v>
      </c>
      <c r="C192" s="407">
        <v>46142</v>
      </c>
      <c r="D192" s="408" t="s">
        <v>10</v>
      </c>
      <c r="E192" s="408" t="s">
        <v>4</v>
      </c>
      <c r="F192" s="408" t="s">
        <v>323</v>
      </c>
      <c r="G192" s="409">
        <v>108.13</v>
      </c>
      <c r="H192" s="410">
        <v>1326.88</v>
      </c>
      <c r="I192" s="408" t="str">
        <f>IF($A192="","",IF(OR($B192="",$C192="",$D192="",$E192="",$F192=""),"Stammdaten fehlen",IF(AND($G192="",$H192=""),"Werte fehlen",IF($G192="","Monatsstunden fehlen",IF($H192="","Monatslohn fehlt","OK")))))</f>
        <v>OK</v>
      </c>
      <c r="J192" s="411" t="str">
        <f>IF($G192="","",IF(COUNTIFS($A:$A,$A192,$D:$D,$D192,$G:$G,$G192)&gt;1,"Doppelte Monatsstunden",""))</f>
        <v/>
      </c>
    </row>
    <row r="193" spans="1:10" ht="24" customHeight="1">
      <c r="A193" s="406" t="s">
        <v>334</v>
      </c>
      <c r="B193" s="407">
        <v>45778</v>
      </c>
      <c r="C193" s="407">
        <v>46142</v>
      </c>
      <c r="D193" s="408" t="s">
        <v>10</v>
      </c>
      <c r="E193" s="408" t="s">
        <v>4</v>
      </c>
      <c r="F193" s="408" t="s">
        <v>323</v>
      </c>
      <c r="G193" s="409">
        <v>103.8</v>
      </c>
      <c r="H193" s="410">
        <v>1273.8</v>
      </c>
      <c r="I193" s="408" t="str">
        <f>IF($A193="","",IF(OR($B193="",$C193="",$D193="",$E193="",$F193=""),"Stammdaten fehlen",IF(AND($G193="",$H193=""),"Werte fehlen",IF($G193="","Monatsstunden fehlen",IF($H193="","Monatslohn fehlt","OK")))))</f>
        <v>OK</v>
      </c>
      <c r="J193" s="411" t="str">
        <f>IF($G193="","",IF(COUNTIFS($A:$A,$A193,$D:$D,$D193,$G:$G,$G193)&gt;1,"Doppelte Monatsstunden",""))</f>
        <v/>
      </c>
    </row>
    <row r="194" spans="1:10" ht="24" customHeight="1">
      <c r="A194" s="406" t="s">
        <v>334</v>
      </c>
      <c r="B194" s="407">
        <v>45778</v>
      </c>
      <c r="C194" s="407">
        <v>46142</v>
      </c>
      <c r="D194" s="408" t="s">
        <v>10</v>
      </c>
      <c r="E194" s="408" t="s">
        <v>4</v>
      </c>
      <c r="F194" s="408" t="s">
        <v>323</v>
      </c>
      <c r="G194" s="409">
        <v>86.5</v>
      </c>
      <c r="H194" s="410">
        <v>1061.5</v>
      </c>
      <c r="I194" s="408" t="str">
        <f>IF($A194="","",IF(OR($B194="",$C194="",$D194="",$E194="",$F194=""),"Stammdaten fehlen",IF(AND($G194="",$H194=""),"Werte fehlen",IF($G194="","Monatsstunden fehlen",IF($H194="","Monatslohn fehlt","OK")))))</f>
        <v>OK</v>
      </c>
      <c r="J194" s="411" t="str">
        <f>IF($G194="","",IF(COUNTIFS($A:$A,$A194,$D:$D,$D194,$G:$G,$G194)&gt;1,"Doppelte Monatsstunden",""))</f>
        <v/>
      </c>
    </row>
    <row r="195" spans="1:10" ht="24" customHeight="1">
      <c r="A195" s="406" t="s">
        <v>334</v>
      </c>
      <c r="B195" s="407">
        <v>45778</v>
      </c>
      <c r="C195" s="407">
        <v>46142</v>
      </c>
      <c r="D195" s="408" t="s">
        <v>10</v>
      </c>
      <c r="E195" s="408" t="s">
        <v>4</v>
      </c>
      <c r="F195" s="408" t="s">
        <v>323</v>
      </c>
      <c r="G195" s="409">
        <v>69.2</v>
      </c>
      <c r="H195" s="410">
        <v>849.2</v>
      </c>
      <c r="I195" s="408" t="str">
        <f>IF($A195="","",IF(OR($B195="",$C195="",$D195="",$E195="",$F195=""),"Stammdaten fehlen",IF(AND($G195="",$H195=""),"Werte fehlen",IF($G195="","Monatsstunden fehlen",IF($H195="","Monatslohn fehlt","OK")))))</f>
        <v>OK</v>
      </c>
      <c r="J195" s="411" t="str">
        <f>IF($G195="","",IF(COUNTIFS($A:$A,$A195,$D:$D,$D195,$G:$G,$G195)&gt;1,"Doppelte Monatsstunden",""))</f>
        <v/>
      </c>
    </row>
    <row r="196" spans="1:10" ht="24" customHeight="1">
      <c r="A196" s="406" t="s">
        <v>334</v>
      </c>
      <c r="B196" s="407">
        <v>45778</v>
      </c>
      <c r="C196" s="407">
        <v>46142</v>
      </c>
      <c r="D196" s="408" t="s">
        <v>10</v>
      </c>
      <c r="E196" s="408" t="s">
        <v>4</v>
      </c>
      <c r="F196" s="408" t="s">
        <v>323</v>
      </c>
      <c r="G196" s="409">
        <v>51.9</v>
      </c>
      <c r="H196" s="410">
        <v>636.9</v>
      </c>
      <c r="I196" s="408" t="str">
        <f>IF($A196="","",IF(OR($B196="",$C196="",$D196="",$E196="",$F196=""),"Stammdaten fehlen",IF(AND($G196="",$H196=""),"Werte fehlen",IF($G196="","Monatsstunden fehlen",IF($H196="","Monatslohn fehlt","OK")))))</f>
        <v>OK</v>
      </c>
      <c r="J196" s="411" t="str">
        <f>IF($G196="","",IF(COUNTIFS($A:$A,$A196,$D:$D,$D196,$G:$G,$G196)&gt;1,"Doppelte Monatsstunden",""))</f>
        <v/>
      </c>
    </row>
    <row r="197" spans="1:10" ht="24" customHeight="1">
      <c r="A197" s="406" t="s">
        <v>334</v>
      </c>
      <c r="B197" s="407">
        <v>45778</v>
      </c>
      <c r="C197" s="407">
        <v>46142</v>
      </c>
      <c r="D197" s="408" t="s">
        <v>10</v>
      </c>
      <c r="E197" s="408" t="s">
        <v>4</v>
      </c>
      <c r="F197" s="408" t="s">
        <v>323</v>
      </c>
      <c r="G197" s="409">
        <v>47.58</v>
      </c>
      <c r="H197" s="410">
        <v>583.83000000000004</v>
      </c>
      <c r="I197" s="408" t="str">
        <f>IF($A197="","",IF(OR($B197="",$C197="",$D197="",$E197="",$F197=""),"Stammdaten fehlen",IF(AND($G197="",$H197=""),"Werte fehlen",IF($G197="","Monatsstunden fehlen",IF($H197="","Monatslohn fehlt","OK")))))</f>
        <v>OK</v>
      </c>
      <c r="J197" s="411" t="str">
        <f>IF($G197="","",IF(COUNTIFS($A:$A,$A197,$D:$D,$D197,$G:$G,$G197)&gt;1,"Doppelte Monatsstunden",""))</f>
        <v/>
      </c>
    </row>
    <row r="198" spans="1:10" ht="24" customHeight="1">
      <c r="A198" s="406" t="s">
        <v>334</v>
      </c>
      <c r="B198" s="407">
        <v>45778</v>
      </c>
      <c r="C198" s="407">
        <v>46142</v>
      </c>
      <c r="D198" s="408" t="s">
        <v>10</v>
      </c>
      <c r="E198" s="408" t="s">
        <v>4</v>
      </c>
      <c r="F198" s="408" t="s">
        <v>323</v>
      </c>
      <c r="G198" s="409">
        <v>43.25</v>
      </c>
      <c r="H198" s="410">
        <v>530.75</v>
      </c>
      <c r="I198" s="408" t="str">
        <f>IF($A198="","",IF(OR($B198="",$C198="",$D198="",$E198="",$F198=""),"Stammdaten fehlen",IF(AND($G198="",$H198=""),"Werte fehlen",IF($G198="","Monatsstunden fehlen",IF($H198="","Monatslohn fehlt","OK")))))</f>
        <v>OK</v>
      </c>
      <c r="J198" s="411" t="str">
        <f>IF($G198="","",IF(COUNTIFS($A:$A,$A198,$D:$D,$D198,$G:$G,$G198)&gt;1,"Doppelte Monatsstunden",""))</f>
        <v/>
      </c>
    </row>
    <row r="199" spans="1:10" ht="24" customHeight="1">
      <c r="A199" s="406" t="s">
        <v>334</v>
      </c>
      <c r="B199" s="407">
        <v>45778</v>
      </c>
      <c r="C199" s="407">
        <v>46142</v>
      </c>
      <c r="D199" s="408" t="s">
        <v>10</v>
      </c>
      <c r="E199" s="408" t="s">
        <v>4</v>
      </c>
      <c r="F199" s="408" t="s">
        <v>323</v>
      </c>
      <c r="G199" s="409">
        <v>34.6</v>
      </c>
      <c r="H199" s="410">
        <v>424.6</v>
      </c>
      <c r="I199" s="408" t="str">
        <f>IF($A199="","",IF(OR($B199="",$C199="",$D199="",$E199="",$F199=""),"Stammdaten fehlen",IF(AND($G199="",$H199=""),"Werte fehlen",IF($G199="","Monatsstunden fehlen",IF($H199="","Monatslohn fehlt","OK")))))</f>
        <v>OK</v>
      </c>
      <c r="J199" s="411" t="str">
        <f>IF($G199="","",IF(COUNTIFS($A:$A,$A199,$D:$D,$D199,$G:$G,$G199)&gt;1,"Doppelte Monatsstunden",""))</f>
        <v/>
      </c>
    </row>
    <row r="200" spans="1:10" ht="24" customHeight="1" thickBot="1">
      <c r="A200" s="406" t="s">
        <v>334</v>
      </c>
      <c r="B200" s="407">
        <v>45778</v>
      </c>
      <c r="C200" s="407">
        <v>46142</v>
      </c>
      <c r="D200" s="408" t="s">
        <v>10</v>
      </c>
      <c r="E200" s="408" t="s">
        <v>4</v>
      </c>
      <c r="F200" s="408" t="s">
        <v>323</v>
      </c>
      <c r="G200" s="409">
        <v>32.01</v>
      </c>
      <c r="H200" s="410">
        <v>392.76</v>
      </c>
      <c r="I200" s="408" t="str">
        <f>IF($A200="","",IF(OR($B200="",$C200="",$D200="",$E200="",$F200=""),"Stammdaten fehlen",IF(AND($G200="",$H200=""),"Werte fehlen",IF($G200="","Monatsstunden fehlen",IF($H200="","Monatslohn fehlt","OK")))))</f>
        <v>OK</v>
      </c>
      <c r="J200" s="411" t="str">
        <f>IF($G200="","",IF(COUNTIFS($A:$A,$A200,$D:$D,$D200,$G:$G,$G200)&gt;1,"Doppelte Monatsstunden",""))</f>
        <v/>
      </c>
    </row>
    <row r="201" spans="1:10" ht="24" customHeight="1">
      <c r="A201" s="412" t="s">
        <v>334</v>
      </c>
      <c r="B201" s="413">
        <v>45778</v>
      </c>
      <c r="C201" s="413">
        <v>46142</v>
      </c>
      <c r="D201" s="414" t="s">
        <v>12</v>
      </c>
      <c r="E201" s="414" t="s">
        <v>4</v>
      </c>
      <c r="F201" s="414" t="s">
        <v>324</v>
      </c>
      <c r="G201" s="415">
        <v>173</v>
      </c>
      <c r="H201" s="416">
        <v>2183</v>
      </c>
      <c r="I201" s="414" t="str">
        <f>IF($A201="","",IF(OR($B201="",$C201="",$D201="",$E201="",$F201=""),"Stammdaten fehlen",IF(AND($G201="",$H201=""),"Werte fehlen",IF($G201="","Monatsstunden fehlen",IF($H201="","Monatslohn fehlt","OK")))))</f>
        <v>OK</v>
      </c>
      <c r="J201" s="417" t="str">
        <f>IF($G201="","",IF(COUNTIFS($A:$A,$A201,$D:$D,$D201,$G:$G,$G201)&gt;1,"Doppelte Monatsstunden",""))</f>
        <v/>
      </c>
    </row>
    <row r="202" spans="1:10" ht="24" customHeight="1">
      <c r="A202" s="406" t="s">
        <v>334</v>
      </c>
      <c r="B202" s="407">
        <v>45778</v>
      </c>
      <c r="C202" s="407">
        <v>46142</v>
      </c>
      <c r="D202" s="408" t="s">
        <v>12</v>
      </c>
      <c r="E202" s="408" t="s">
        <v>4</v>
      </c>
      <c r="F202" s="408" t="s">
        <v>324</v>
      </c>
      <c r="G202" s="409">
        <v>151.38</v>
      </c>
      <c r="H202" s="410">
        <v>1910.13</v>
      </c>
      <c r="I202" s="408" t="str">
        <f>IF($A202="","",IF(OR($B202="",$C202="",$D202="",$E202="",$F202=""),"Stammdaten fehlen",IF(AND($G202="",$H202=""),"Werte fehlen",IF($G202="","Monatsstunden fehlen",IF($H202="","Monatslohn fehlt","OK")))))</f>
        <v>OK</v>
      </c>
      <c r="J202" s="411" t="str">
        <f>IF($G202="","",IF(COUNTIFS($A:$A,$A202,$D:$D,$D202,$G:$G,$G202)&gt;1,"Doppelte Monatsstunden",""))</f>
        <v/>
      </c>
    </row>
    <row r="203" spans="1:10" ht="24" customHeight="1">
      <c r="A203" s="406" t="s">
        <v>334</v>
      </c>
      <c r="B203" s="407">
        <v>45778</v>
      </c>
      <c r="C203" s="407">
        <v>46142</v>
      </c>
      <c r="D203" s="408" t="s">
        <v>12</v>
      </c>
      <c r="E203" s="408" t="s">
        <v>4</v>
      </c>
      <c r="F203" s="408" t="s">
        <v>324</v>
      </c>
      <c r="G203" s="409">
        <v>138.4</v>
      </c>
      <c r="H203" s="410">
        <v>1746.4</v>
      </c>
      <c r="I203" s="408" t="str">
        <f>IF($A203="","",IF(OR($B203="",$C203="",$D203="",$E203="",$F203=""),"Stammdaten fehlen",IF(AND($G203="",$H203=""),"Werte fehlen",IF($G203="","Monatsstunden fehlen",IF($H203="","Monatslohn fehlt","OK")))))</f>
        <v>OK</v>
      </c>
      <c r="J203" s="411" t="str">
        <f>IF($G203="","",IF(COUNTIFS($A:$A,$A203,$D:$D,$D203,$G:$G,$G203)&gt;1,"Doppelte Monatsstunden",""))</f>
        <v/>
      </c>
    </row>
    <row r="204" spans="1:10" ht="24" customHeight="1">
      <c r="A204" s="406" t="s">
        <v>334</v>
      </c>
      <c r="B204" s="407">
        <v>45778</v>
      </c>
      <c r="C204" s="407">
        <v>46142</v>
      </c>
      <c r="D204" s="408" t="s">
        <v>12</v>
      </c>
      <c r="E204" s="408" t="s">
        <v>4</v>
      </c>
      <c r="F204" s="408" t="s">
        <v>324</v>
      </c>
      <c r="G204" s="409">
        <v>129.75</v>
      </c>
      <c r="H204" s="410">
        <v>1637.25</v>
      </c>
      <c r="I204" s="408" t="str">
        <f>IF($A204="","",IF(OR($B204="",$C204="",$D204="",$E204="",$F204=""),"Stammdaten fehlen",IF(AND($G204="",$H204=""),"Werte fehlen",IF($G204="","Monatsstunden fehlen",IF($H204="","Monatslohn fehlt","OK")))))</f>
        <v>OK</v>
      </c>
      <c r="J204" s="411" t="str">
        <f>IF($G204="","",IF(COUNTIFS($A:$A,$A204,$D:$D,$D204,$G:$G,$G204)&gt;1,"Doppelte Monatsstunden",""))</f>
        <v/>
      </c>
    </row>
    <row r="205" spans="1:10" ht="24" customHeight="1">
      <c r="A205" s="406" t="s">
        <v>334</v>
      </c>
      <c r="B205" s="407">
        <v>45778</v>
      </c>
      <c r="C205" s="407">
        <v>46142</v>
      </c>
      <c r="D205" s="408" t="s">
        <v>12</v>
      </c>
      <c r="E205" s="408" t="s">
        <v>4</v>
      </c>
      <c r="F205" s="408" t="s">
        <v>324</v>
      </c>
      <c r="G205" s="409">
        <v>108.13</v>
      </c>
      <c r="H205" s="410">
        <v>1364.38</v>
      </c>
      <c r="I205" s="408" t="str">
        <f>IF($A205="","",IF(OR($B205="",$C205="",$D205="",$E205="",$F205=""),"Stammdaten fehlen",IF(AND($G205="",$H205=""),"Werte fehlen",IF($G205="","Monatsstunden fehlen",IF($H205="","Monatslohn fehlt","OK")))))</f>
        <v>OK</v>
      </c>
      <c r="J205" s="411" t="str">
        <f>IF($G205="","",IF(COUNTIFS($A:$A,$A205,$D:$D,$D205,$G:$G,$G205)&gt;1,"Doppelte Monatsstunden",""))</f>
        <v/>
      </c>
    </row>
    <row r="206" spans="1:10" ht="24" customHeight="1">
      <c r="A206" s="406" t="s">
        <v>334</v>
      </c>
      <c r="B206" s="407">
        <v>45778</v>
      </c>
      <c r="C206" s="407">
        <v>46142</v>
      </c>
      <c r="D206" s="408" t="s">
        <v>12</v>
      </c>
      <c r="E206" s="408" t="s">
        <v>4</v>
      </c>
      <c r="F206" s="408" t="s">
        <v>324</v>
      </c>
      <c r="G206" s="409">
        <v>103.8</v>
      </c>
      <c r="H206" s="410">
        <v>1309.8</v>
      </c>
      <c r="I206" s="408" t="str">
        <f>IF($A206="","",IF(OR($B206="",$C206="",$D206="",$E206="",$F206=""),"Stammdaten fehlen",IF(AND($G206="",$H206=""),"Werte fehlen",IF($G206="","Monatsstunden fehlen",IF($H206="","Monatslohn fehlt","OK")))))</f>
        <v>OK</v>
      </c>
      <c r="J206" s="411" t="str">
        <f>IF($G206="","",IF(COUNTIFS($A:$A,$A206,$D:$D,$D206,$G:$G,$G206)&gt;1,"Doppelte Monatsstunden",""))</f>
        <v/>
      </c>
    </row>
    <row r="207" spans="1:10" ht="24" customHeight="1">
      <c r="A207" s="406" t="s">
        <v>334</v>
      </c>
      <c r="B207" s="407">
        <v>45778</v>
      </c>
      <c r="C207" s="407">
        <v>46142</v>
      </c>
      <c r="D207" s="408" t="s">
        <v>12</v>
      </c>
      <c r="E207" s="408" t="s">
        <v>4</v>
      </c>
      <c r="F207" s="408" t="s">
        <v>324</v>
      </c>
      <c r="G207" s="409">
        <v>86.5</v>
      </c>
      <c r="H207" s="410">
        <v>1091.5</v>
      </c>
      <c r="I207" s="408" t="str">
        <f>IF($A207="","",IF(OR($B207="",$C207="",$D207="",$E207="",$F207=""),"Stammdaten fehlen",IF(AND($G207="",$H207=""),"Werte fehlen",IF($G207="","Monatsstunden fehlen",IF($H207="","Monatslohn fehlt","OK")))))</f>
        <v>OK</v>
      </c>
      <c r="J207" s="411" t="str">
        <f>IF($G207="","",IF(COUNTIFS($A:$A,$A207,$D:$D,$D207,$G:$G,$G207)&gt;1,"Doppelte Monatsstunden",""))</f>
        <v/>
      </c>
    </row>
    <row r="208" spans="1:10" ht="24" customHeight="1">
      <c r="A208" s="406" t="s">
        <v>334</v>
      </c>
      <c r="B208" s="407">
        <v>45778</v>
      </c>
      <c r="C208" s="407">
        <v>46142</v>
      </c>
      <c r="D208" s="408" t="s">
        <v>12</v>
      </c>
      <c r="E208" s="408" t="s">
        <v>4</v>
      </c>
      <c r="F208" s="408" t="s">
        <v>324</v>
      </c>
      <c r="G208" s="409">
        <v>69.2</v>
      </c>
      <c r="H208" s="410">
        <v>873.2</v>
      </c>
      <c r="I208" s="408" t="str">
        <f>IF($A208="","",IF(OR($B208="",$C208="",$D208="",$E208="",$F208=""),"Stammdaten fehlen",IF(AND($G208="",$H208=""),"Werte fehlen",IF($G208="","Monatsstunden fehlen",IF($H208="","Monatslohn fehlt","OK")))))</f>
        <v>OK</v>
      </c>
      <c r="J208" s="411" t="str">
        <f>IF($G208="","",IF(COUNTIFS($A:$A,$A208,$D:$D,$D208,$G:$G,$G208)&gt;1,"Doppelte Monatsstunden",""))</f>
        <v/>
      </c>
    </row>
    <row r="209" spans="1:10" ht="24" customHeight="1">
      <c r="A209" s="406" t="s">
        <v>334</v>
      </c>
      <c r="B209" s="407">
        <v>45778</v>
      </c>
      <c r="C209" s="407">
        <v>46142</v>
      </c>
      <c r="D209" s="408" t="s">
        <v>12</v>
      </c>
      <c r="E209" s="408" t="s">
        <v>4</v>
      </c>
      <c r="F209" s="408" t="s">
        <v>324</v>
      </c>
      <c r="G209" s="409">
        <v>51.9</v>
      </c>
      <c r="H209" s="410">
        <v>654.9</v>
      </c>
      <c r="I209" s="408" t="str">
        <f>IF($A209="","",IF(OR($B209="",$C209="",$D209="",$E209="",$F209=""),"Stammdaten fehlen",IF(AND($G209="",$H209=""),"Werte fehlen",IF($G209="","Monatsstunden fehlen",IF($H209="","Monatslohn fehlt","OK")))))</f>
        <v>OK</v>
      </c>
      <c r="J209" s="411" t="str">
        <f>IF($G209="","",IF(COUNTIFS($A:$A,$A209,$D:$D,$D209,$G:$G,$G209)&gt;1,"Doppelte Monatsstunden",""))</f>
        <v/>
      </c>
    </row>
    <row r="210" spans="1:10" ht="24" customHeight="1">
      <c r="A210" s="406" t="s">
        <v>334</v>
      </c>
      <c r="B210" s="407">
        <v>45778</v>
      </c>
      <c r="C210" s="407">
        <v>46142</v>
      </c>
      <c r="D210" s="408" t="s">
        <v>12</v>
      </c>
      <c r="E210" s="408" t="s">
        <v>4</v>
      </c>
      <c r="F210" s="408" t="s">
        <v>324</v>
      </c>
      <c r="G210" s="409">
        <v>47.58</v>
      </c>
      <c r="H210" s="410">
        <v>600.33000000000004</v>
      </c>
      <c r="I210" s="408" t="str">
        <f>IF($A210="","",IF(OR($B210="",$C210="",$D210="",$E210="",$F210=""),"Stammdaten fehlen",IF(AND($G210="",$H210=""),"Werte fehlen",IF($G210="","Monatsstunden fehlen",IF($H210="","Monatslohn fehlt","OK")))))</f>
        <v>OK</v>
      </c>
      <c r="J210" s="411" t="str">
        <f>IF($G210="","",IF(COUNTIFS($A:$A,$A210,$D:$D,$D210,$G:$G,$G210)&gt;1,"Doppelte Monatsstunden",""))</f>
        <v/>
      </c>
    </row>
    <row r="211" spans="1:10" ht="24" customHeight="1">
      <c r="A211" s="406" t="s">
        <v>334</v>
      </c>
      <c r="B211" s="407">
        <v>45778</v>
      </c>
      <c r="C211" s="407">
        <v>46142</v>
      </c>
      <c r="D211" s="408" t="s">
        <v>12</v>
      </c>
      <c r="E211" s="408" t="s">
        <v>4</v>
      </c>
      <c r="F211" s="408" t="s">
        <v>324</v>
      </c>
      <c r="G211" s="409">
        <v>43.25</v>
      </c>
      <c r="H211" s="410">
        <v>545.75</v>
      </c>
      <c r="I211" s="408" t="str">
        <f>IF($A211="","",IF(OR($B211="",$C211="",$D211="",$E211="",$F211=""),"Stammdaten fehlen",IF(AND($G211="",$H211=""),"Werte fehlen",IF($G211="","Monatsstunden fehlen",IF($H211="","Monatslohn fehlt","OK")))))</f>
        <v>OK</v>
      </c>
      <c r="J211" s="411" t="str">
        <f>IF($G211="","",IF(COUNTIFS($A:$A,$A211,$D:$D,$D211,$G:$G,$G211)&gt;1,"Doppelte Monatsstunden",""))</f>
        <v/>
      </c>
    </row>
    <row r="212" spans="1:10" ht="24" customHeight="1">
      <c r="A212" s="406" t="s">
        <v>334</v>
      </c>
      <c r="B212" s="407">
        <v>45778</v>
      </c>
      <c r="C212" s="407">
        <v>46142</v>
      </c>
      <c r="D212" s="408" t="s">
        <v>12</v>
      </c>
      <c r="E212" s="408" t="s">
        <v>4</v>
      </c>
      <c r="F212" s="408" t="s">
        <v>324</v>
      </c>
      <c r="G212" s="409">
        <v>34.6</v>
      </c>
      <c r="H212" s="410">
        <v>436.6</v>
      </c>
      <c r="I212" s="408" t="str">
        <f>IF($A212="","",IF(OR($B212="",$C212="",$D212="",$E212="",$F212=""),"Stammdaten fehlen",IF(AND($G212="",$H212=""),"Werte fehlen",IF($G212="","Monatsstunden fehlen",IF($H212="","Monatslohn fehlt","OK")))))</f>
        <v>OK</v>
      </c>
      <c r="J212" s="411" t="str">
        <f>IF($G212="","",IF(COUNTIFS($A:$A,$A212,$D:$D,$D212,$G:$G,$G212)&gt;1,"Doppelte Monatsstunden",""))</f>
        <v/>
      </c>
    </row>
    <row r="213" spans="1:10" ht="24" customHeight="1" thickBot="1">
      <c r="A213" s="406" t="s">
        <v>334</v>
      </c>
      <c r="B213" s="407">
        <v>45778</v>
      </c>
      <c r="C213" s="407">
        <v>46142</v>
      </c>
      <c r="D213" s="408" t="s">
        <v>12</v>
      </c>
      <c r="E213" s="408" t="s">
        <v>4</v>
      </c>
      <c r="F213" s="408" t="s">
        <v>324</v>
      </c>
      <c r="G213" s="409">
        <v>32.01</v>
      </c>
      <c r="H213" s="410">
        <v>403.86</v>
      </c>
      <c r="I213" s="408" t="str">
        <f>IF($A213="","",IF(OR($B213="",$C213="",$D213="",$E213="",$F213=""),"Stammdaten fehlen",IF(AND($G213="",$H213=""),"Werte fehlen",IF($G213="","Monatsstunden fehlen",IF($H213="","Monatslohn fehlt","OK")))))</f>
        <v>OK</v>
      </c>
      <c r="J213" s="411" t="str">
        <f>IF($G213="","",IF(COUNTIFS($A:$A,$A213,$D:$D,$D213,$G:$G,$G213)&gt;1,"Doppelte Monatsstunden",""))</f>
        <v/>
      </c>
    </row>
    <row r="214" spans="1:10" ht="24" customHeight="1">
      <c r="A214" s="418" t="s">
        <v>334</v>
      </c>
      <c r="B214" s="419">
        <v>45778</v>
      </c>
      <c r="C214" s="419">
        <v>46142</v>
      </c>
      <c r="D214" s="420" t="s">
        <v>332</v>
      </c>
      <c r="E214" s="420" t="s">
        <v>13</v>
      </c>
      <c r="F214" s="420" t="s">
        <v>321</v>
      </c>
      <c r="G214" s="421">
        <v>173</v>
      </c>
      <c r="H214" s="422">
        <v>2160</v>
      </c>
      <c r="I214" s="420" t="str">
        <f>IF($A214="","",IF(OR($B214="",$C214="",$D214="",$E214="",$F214=""),"Stammdaten fehlen",IF(AND($G214="",$H214=""),"Werte fehlen",IF($G214="","Monatsstunden fehlen",IF($H214="","Monatslohn fehlt","OK")))))</f>
        <v>OK</v>
      </c>
      <c r="J214" s="423" t="str">
        <f>IF($G214="","",IF(COUNTIFS($A:$A,$A214,$D:$D,$D214,$G:$G,$G214)&gt;1,"Doppelte Monatsstunden",""))</f>
        <v/>
      </c>
    </row>
    <row r="215" spans="1:10" ht="24" customHeight="1">
      <c r="A215" s="424" t="s">
        <v>334</v>
      </c>
      <c r="B215" s="425">
        <v>45778</v>
      </c>
      <c r="C215" s="425">
        <v>46142</v>
      </c>
      <c r="D215" s="426" t="s">
        <v>332</v>
      </c>
      <c r="E215" s="426" t="s">
        <v>13</v>
      </c>
      <c r="F215" s="426" t="s">
        <v>321</v>
      </c>
      <c r="G215" s="427">
        <v>151.38</v>
      </c>
      <c r="H215" s="428">
        <v>1890</v>
      </c>
      <c r="I215" s="426" t="str">
        <f>IF($A215="","",IF(OR($B215="",$C215="",$D215="",$E215="",$F215=""),"Stammdaten fehlen",IF(AND($G215="",$H215=""),"Werte fehlen",IF($G215="","Monatsstunden fehlen",IF($H215="","Monatslohn fehlt","OK")))))</f>
        <v>OK</v>
      </c>
      <c r="J215" s="429" t="str">
        <f>IF($G215="","",IF(COUNTIFS($A:$A,$A215,$D:$D,$D215,$G:$G,$G215)&gt;1,"Doppelte Monatsstunden",""))</f>
        <v/>
      </c>
    </row>
    <row r="216" spans="1:10" ht="24" customHeight="1">
      <c r="A216" s="424" t="s">
        <v>334</v>
      </c>
      <c r="B216" s="425">
        <v>45778</v>
      </c>
      <c r="C216" s="425">
        <v>46142</v>
      </c>
      <c r="D216" s="426" t="s">
        <v>332</v>
      </c>
      <c r="E216" s="426" t="s">
        <v>13</v>
      </c>
      <c r="F216" s="426" t="s">
        <v>321</v>
      </c>
      <c r="G216" s="427">
        <v>138.4</v>
      </c>
      <c r="H216" s="428">
        <v>1728</v>
      </c>
      <c r="I216" s="426" t="str">
        <f>IF($A216="","",IF(OR($B216="",$C216="",$D216="",$E216="",$F216=""),"Stammdaten fehlen",IF(AND($G216="",$H216=""),"Werte fehlen",IF($G216="","Monatsstunden fehlen",IF($H216="","Monatslohn fehlt","OK")))))</f>
        <v>OK</v>
      </c>
      <c r="J216" s="429" t="str">
        <f>IF($G216="","",IF(COUNTIFS($A:$A,$A216,$D:$D,$D216,$G:$G,$G216)&gt;1,"Doppelte Monatsstunden",""))</f>
        <v/>
      </c>
    </row>
    <row r="217" spans="1:10" ht="24" customHeight="1">
      <c r="A217" s="424" t="s">
        <v>334</v>
      </c>
      <c r="B217" s="425">
        <v>45778</v>
      </c>
      <c r="C217" s="425">
        <v>46142</v>
      </c>
      <c r="D217" s="426" t="s">
        <v>332</v>
      </c>
      <c r="E217" s="426" t="s">
        <v>13</v>
      </c>
      <c r="F217" s="426" t="s">
        <v>321</v>
      </c>
      <c r="G217" s="427">
        <v>129.75</v>
      </c>
      <c r="H217" s="428">
        <v>1620</v>
      </c>
      <c r="I217" s="426" t="str">
        <f>IF($A217="","",IF(OR($B217="",$C217="",$D217="",$E217="",$F217=""),"Stammdaten fehlen",IF(AND($G217="",$H217=""),"Werte fehlen",IF($G217="","Monatsstunden fehlen",IF($H217="","Monatslohn fehlt","OK")))))</f>
        <v>OK</v>
      </c>
      <c r="J217" s="429" t="str">
        <f>IF($G217="","",IF(COUNTIFS($A:$A,$A217,$D:$D,$D217,$G:$G,$G217)&gt;1,"Doppelte Monatsstunden",""))</f>
        <v/>
      </c>
    </row>
    <row r="218" spans="1:10" ht="24" customHeight="1">
      <c r="A218" s="424" t="s">
        <v>334</v>
      </c>
      <c r="B218" s="425">
        <v>45778</v>
      </c>
      <c r="C218" s="425">
        <v>46142</v>
      </c>
      <c r="D218" s="426" t="s">
        <v>332</v>
      </c>
      <c r="E218" s="426" t="s">
        <v>13</v>
      </c>
      <c r="F218" s="426" t="s">
        <v>321</v>
      </c>
      <c r="G218" s="427">
        <v>108.13</v>
      </c>
      <c r="H218" s="428">
        <v>1350</v>
      </c>
      <c r="I218" s="426" t="str">
        <f>IF($A218="","",IF(OR($B218="",$C218="",$D218="",$E218="",$F218=""),"Stammdaten fehlen",IF(AND($G218="",$H218=""),"Werte fehlen",IF($G218="","Monatsstunden fehlen",IF($H218="","Monatslohn fehlt","OK")))))</f>
        <v>OK</v>
      </c>
      <c r="J218" s="429" t="str">
        <f>IF($G218="","",IF(COUNTIFS($A:$A,$A218,$D:$D,$D218,$G:$G,$G218)&gt;1,"Doppelte Monatsstunden",""))</f>
        <v/>
      </c>
    </row>
    <row r="219" spans="1:10" ht="24" customHeight="1">
      <c r="A219" s="424" t="s">
        <v>334</v>
      </c>
      <c r="B219" s="425">
        <v>45778</v>
      </c>
      <c r="C219" s="425">
        <v>46142</v>
      </c>
      <c r="D219" s="426" t="s">
        <v>332</v>
      </c>
      <c r="E219" s="426" t="s">
        <v>13</v>
      </c>
      <c r="F219" s="426" t="s">
        <v>321</v>
      </c>
      <c r="G219" s="427">
        <v>103.8</v>
      </c>
      <c r="H219" s="428">
        <v>1296</v>
      </c>
      <c r="I219" s="426" t="str">
        <f>IF($A219="","",IF(OR($B219="",$C219="",$D219="",$E219="",$F219=""),"Stammdaten fehlen",IF(AND($G219="",$H219=""),"Werte fehlen",IF($G219="","Monatsstunden fehlen",IF($H219="","Monatslohn fehlt","OK")))))</f>
        <v>OK</v>
      </c>
      <c r="J219" s="429" t="str">
        <f>IF($G219="","",IF(COUNTIFS($A:$A,$A219,$D:$D,$D219,$G:$G,$G219)&gt;1,"Doppelte Monatsstunden",""))</f>
        <v/>
      </c>
    </row>
    <row r="220" spans="1:10" ht="24" customHeight="1">
      <c r="A220" s="424" t="s">
        <v>334</v>
      </c>
      <c r="B220" s="425">
        <v>45778</v>
      </c>
      <c r="C220" s="425">
        <v>46142</v>
      </c>
      <c r="D220" s="426" t="s">
        <v>332</v>
      </c>
      <c r="E220" s="426" t="s">
        <v>13</v>
      </c>
      <c r="F220" s="426" t="s">
        <v>321</v>
      </c>
      <c r="G220" s="427">
        <v>86.5</v>
      </c>
      <c r="H220" s="428">
        <v>1080</v>
      </c>
      <c r="I220" s="426" t="str">
        <f>IF($A220="","",IF(OR($B220="",$C220="",$D220="",$E220="",$F220=""),"Stammdaten fehlen",IF(AND($G220="",$H220=""),"Werte fehlen",IF($G220="","Monatsstunden fehlen",IF($H220="","Monatslohn fehlt","OK")))))</f>
        <v>OK</v>
      </c>
      <c r="J220" s="429" t="str">
        <f>IF($G220="","",IF(COUNTIFS($A:$A,$A220,$D:$D,$D220,$G:$G,$G220)&gt;1,"Doppelte Monatsstunden",""))</f>
        <v/>
      </c>
    </row>
    <row r="221" spans="1:10" ht="24" customHeight="1">
      <c r="A221" s="424" t="s">
        <v>334</v>
      </c>
      <c r="B221" s="425">
        <v>45778</v>
      </c>
      <c r="C221" s="425">
        <v>46142</v>
      </c>
      <c r="D221" s="426" t="s">
        <v>332</v>
      </c>
      <c r="E221" s="426" t="s">
        <v>13</v>
      </c>
      <c r="F221" s="426" t="s">
        <v>321</v>
      </c>
      <c r="G221" s="427">
        <v>69.2</v>
      </c>
      <c r="H221" s="428">
        <v>864</v>
      </c>
      <c r="I221" s="426" t="str">
        <f>IF($A221="","",IF(OR($B221="",$C221="",$D221="",$E221="",$F221=""),"Stammdaten fehlen",IF(AND($G221="",$H221=""),"Werte fehlen",IF($G221="","Monatsstunden fehlen",IF($H221="","Monatslohn fehlt","OK")))))</f>
        <v>OK</v>
      </c>
      <c r="J221" s="429" t="str">
        <f>IF($G221="","",IF(COUNTIFS($A:$A,$A221,$D:$D,$D221,$G:$G,$G221)&gt;1,"Doppelte Monatsstunden",""))</f>
        <v/>
      </c>
    </row>
    <row r="222" spans="1:10" ht="24" customHeight="1">
      <c r="A222" s="424" t="s">
        <v>334</v>
      </c>
      <c r="B222" s="425">
        <v>45778</v>
      </c>
      <c r="C222" s="425">
        <v>46142</v>
      </c>
      <c r="D222" s="426" t="s">
        <v>332</v>
      </c>
      <c r="E222" s="426" t="s">
        <v>13</v>
      </c>
      <c r="F222" s="426" t="s">
        <v>321</v>
      </c>
      <c r="G222" s="427">
        <v>51.9</v>
      </c>
      <c r="H222" s="428">
        <v>648</v>
      </c>
      <c r="I222" s="426" t="str">
        <f>IF($A222="","",IF(OR($B222="",$C222="",$D222="",$E222="",$F222=""),"Stammdaten fehlen",IF(AND($G222="",$H222=""),"Werte fehlen",IF($G222="","Monatsstunden fehlen",IF($H222="","Monatslohn fehlt","OK")))))</f>
        <v>OK</v>
      </c>
      <c r="J222" s="429" t="str">
        <f>IF($G222="","",IF(COUNTIFS($A:$A,$A222,$D:$D,$D222,$G:$G,$G222)&gt;1,"Doppelte Monatsstunden",""))</f>
        <v/>
      </c>
    </row>
    <row r="223" spans="1:10" ht="24" customHeight="1">
      <c r="A223" s="424" t="s">
        <v>334</v>
      </c>
      <c r="B223" s="425">
        <v>45778</v>
      </c>
      <c r="C223" s="425">
        <v>46142</v>
      </c>
      <c r="D223" s="426" t="s">
        <v>332</v>
      </c>
      <c r="E223" s="426" t="s">
        <v>13</v>
      </c>
      <c r="F223" s="426" t="s">
        <v>321</v>
      </c>
      <c r="G223" s="427">
        <v>47.58</v>
      </c>
      <c r="H223" s="428">
        <v>594</v>
      </c>
      <c r="I223" s="426" t="str">
        <f>IF($A223="","",IF(OR($B223="",$C223="",$D223="",$E223="",$F223=""),"Stammdaten fehlen",IF(AND($G223="",$H223=""),"Werte fehlen",IF($G223="","Monatsstunden fehlen",IF($H223="","Monatslohn fehlt","OK")))))</f>
        <v>OK</v>
      </c>
      <c r="J223" s="429" t="str">
        <f>IF($G223="","",IF(COUNTIFS($A:$A,$A223,$D:$D,$D223,$G:$G,$G223)&gt;1,"Doppelte Monatsstunden",""))</f>
        <v/>
      </c>
    </row>
    <row r="224" spans="1:10" ht="24" customHeight="1">
      <c r="A224" s="424" t="s">
        <v>334</v>
      </c>
      <c r="B224" s="425">
        <v>45778</v>
      </c>
      <c r="C224" s="425">
        <v>46142</v>
      </c>
      <c r="D224" s="426" t="s">
        <v>332</v>
      </c>
      <c r="E224" s="426" t="s">
        <v>13</v>
      </c>
      <c r="F224" s="426" t="s">
        <v>321</v>
      </c>
      <c r="G224" s="427">
        <v>43.25</v>
      </c>
      <c r="H224" s="428">
        <v>540</v>
      </c>
      <c r="I224" s="426" t="str">
        <f>IF($A224="","",IF(OR($B224="",$C224="",$D224="",$E224="",$F224=""),"Stammdaten fehlen",IF(AND($G224="",$H224=""),"Werte fehlen",IF($G224="","Monatsstunden fehlen",IF($H224="","Monatslohn fehlt","OK")))))</f>
        <v>OK</v>
      </c>
      <c r="J224" s="429" t="str">
        <f>IF($G224="","",IF(COUNTIFS($A:$A,$A224,$D:$D,$D224,$G:$G,$G224)&gt;1,"Doppelte Monatsstunden",""))</f>
        <v/>
      </c>
    </row>
    <row r="225" spans="1:10" ht="24" customHeight="1">
      <c r="A225" s="424" t="s">
        <v>334</v>
      </c>
      <c r="B225" s="425">
        <v>45778</v>
      </c>
      <c r="C225" s="425">
        <v>46142</v>
      </c>
      <c r="D225" s="426" t="s">
        <v>332</v>
      </c>
      <c r="E225" s="426" t="s">
        <v>13</v>
      </c>
      <c r="F225" s="426" t="s">
        <v>321</v>
      </c>
      <c r="G225" s="427">
        <v>34.6</v>
      </c>
      <c r="H225" s="428">
        <v>432</v>
      </c>
      <c r="I225" s="426" t="str">
        <f>IF($A225="","",IF(OR($B225="",$C225="",$D225="",$E225="",$F225=""),"Stammdaten fehlen",IF(AND($G225="",$H225=""),"Werte fehlen",IF($G225="","Monatsstunden fehlen",IF($H225="","Monatslohn fehlt","OK")))))</f>
        <v>OK</v>
      </c>
      <c r="J225" s="429" t="str">
        <f>IF($G225="","",IF(COUNTIFS($A:$A,$A225,$D:$D,$D225,$G:$G,$G225)&gt;1,"Doppelte Monatsstunden",""))</f>
        <v/>
      </c>
    </row>
    <row r="226" spans="1:10" ht="24" customHeight="1" thickBot="1">
      <c r="A226" s="424" t="s">
        <v>334</v>
      </c>
      <c r="B226" s="425">
        <v>45778</v>
      </c>
      <c r="C226" s="425">
        <v>46142</v>
      </c>
      <c r="D226" s="426" t="s">
        <v>332</v>
      </c>
      <c r="E226" s="426" t="s">
        <v>13</v>
      </c>
      <c r="F226" s="426" t="s">
        <v>321</v>
      </c>
      <c r="G226" s="427">
        <v>32.01</v>
      </c>
      <c r="H226" s="428">
        <v>399.6</v>
      </c>
      <c r="I226" s="426" t="str">
        <f>IF($A226="","",IF(OR($B226="",$C226="",$D226="",$E226="",$F226=""),"Stammdaten fehlen",IF(AND($G226="",$H226=""),"Werte fehlen",IF($G226="","Monatsstunden fehlen",IF($H226="","Monatslohn fehlt","OK")))))</f>
        <v>OK</v>
      </c>
      <c r="J226" s="429" t="str">
        <f>IF($G226="","",IF(COUNTIFS($A:$A,$A226,$D:$D,$D226,$G:$G,$G226)&gt;1,"Doppelte Monatsstunden",""))</f>
        <v/>
      </c>
    </row>
    <row r="227" spans="1:10" ht="24" customHeight="1">
      <c r="A227" s="418" t="s">
        <v>334</v>
      </c>
      <c r="B227" s="419">
        <v>45778</v>
      </c>
      <c r="C227" s="419">
        <v>46142</v>
      </c>
      <c r="D227" s="420" t="s">
        <v>15</v>
      </c>
      <c r="E227" s="420" t="s">
        <v>13</v>
      </c>
      <c r="F227" s="420" t="s">
        <v>322</v>
      </c>
      <c r="G227" s="421">
        <v>173</v>
      </c>
      <c r="H227" s="422">
        <v>2160</v>
      </c>
      <c r="I227" s="420" t="str">
        <f>IF($A227="","",IF(OR($B227="",$C227="",$D227="",$E227="",$F227=""),"Stammdaten fehlen",IF(AND($G227="",$H227=""),"Werte fehlen",IF($G227="","Monatsstunden fehlen",IF($H227="","Monatslohn fehlt","OK")))))</f>
        <v>OK</v>
      </c>
      <c r="J227" s="423" t="str">
        <f>IF($G227="","",IF(COUNTIFS($A:$A,$A227,$D:$D,$D227,$G:$G,$G227)&gt;1,"Doppelte Monatsstunden",""))</f>
        <v/>
      </c>
    </row>
    <row r="228" spans="1:10" ht="24" customHeight="1">
      <c r="A228" s="424" t="s">
        <v>334</v>
      </c>
      <c r="B228" s="425">
        <v>45778</v>
      </c>
      <c r="C228" s="425">
        <v>46142</v>
      </c>
      <c r="D228" s="426" t="s">
        <v>15</v>
      </c>
      <c r="E228" s="426" t="s">
        <v>13</v>
      </c>
      <c r="F228" s="426" t="s">
        <v>322</v>
      </c>
      <c r="G228" s="427">
        <v>151.38</v>
      </c>
      <c r="H228" s="428">
        <v>1890</v>
      </c>
      <c r="I228" s="426" t="str">
        <f>IF($A228="","",IF(OR($B228="",$C228="",$D228="",$E228="",$F228=""),"Stammdaten fehlen",IF(AND($G228="",$H228=""),"Werte fehlen",IF($G228="","Monatsstunden fehlen",IF($H228="","Monatslohn fehlt","OK")))))</f>
        <v>OK</v>
      </c>
      <c r="J228" s="429" t="str">
        <f>IF($G228="","",IF(COUNTIFS($A:$A,$A228,$D:$D,$D228,$G:$G,$G228)&gt;1,"Doppelte Monatsstunden",""))</f>
        <v/>
      </c>
    </row>
    <row r="229" spans="1:10" ht="24" customHeight="1">
      <c r="A229" s="424" t="s">
        <v>334</v>
      </c>
      <c r="B229" s="425">
        <v>45778</v>
      </c>
      <c r="C229" s="425">
        <v>46142</v>
      </c>
      <c r="D229" s="426" t="s">
        <v>15</v>
      </c>
      <c r="E229" s="426" t="s">
        <v>13</v>
      </c>
      <c r="F229" s="426" t="s">
        <v>322</v>
      </c>
      <c r="G229" s="427">
        <v>138.4</v>
      </c>
      <c r="H229" s="428">
        <v>1728</v>
      </c>
      <c r="I229" s="426" t="str">
        <f>IF($A229="","",IF(OR($B229="",$C229="",$D229="",$E229="",$F229=""),"Stammdaten fehlen",IF(AND($G229="",$H229=""),"Werte fehlen",IF($G229="","Monatsstunden fehlen",IF($H229="","Monatslohn fehlt","OK")))))</f>
        <v>OK</v>
      </c>
      <c r="J229" s="429" t="str">
        <f>IF($G229="","",IF(COUNTIFS($A:$A,$A229,$D:$D,$D229,$G:$G,$G229)&gt;1,"Doppelte Monatsstunden",""))</f>
        <v/>
      </c>
    </row>
    <row r="230" spans="1:10" ht="24" customHeight="1">
      <c r="A230" s="424" t="s">
        <v>334</v>
      </c>
      <c r="B230" s="425">
        <v>45778</v>
      </c>
      <c r="C230" s="425">
        <v>46142</v>
      </c>
      <c r="D230" s="426" t="s">
        <v>15</v>
      </c>
      <c r="E230" s="426" t="s">
        <v>13</v>
      </c>
      <c r="F230" s="426" t="s">
        <v>322</v>
      </c>
      <c r="G230" s="427">
        <v>129.75</v>
      </c>
      <c r="H230" s="428">
        <v>1620</v>
      </c>
      <c r="I230" s="426" t="str">
        <f>IF($A230="","",IF(OR($B230="",$C230="",$D230="",$E230="",$F230=""),"Stammdaten fehlen",IF(AND($G230="",$H230=""),"Werte fehlen",IF($G230="","Monatsstunden fehlen",IF($H230="","Monatslohn fehlt","OK")))))</f>
        <v>OK</v>
      </c>
      <c r="J230" s="429" t="str">
        <f>IF($G230="","",IF(COUNTIFS($A:$A,$A230,$D:$D,$D230,$G:$G,$G230)&gt;1,"Doppelte Monatsstunden",""))</f>
        <v/>
      </c>
    </row>
    <row r="231" spans="1:10" ht="24" customHeight="1">
      <c r="A231" s="424" t="s">
        <v>334</v>
      </c>
      <c r="B231" s="425">
        <v>45778</v>
      </c>
      <c r="C231" s="425">
        <v>46142</v>
      </c>
      <c r="D231" s="426" t="s">
        <v>15</v>
      </c>
      <c r="E231" s="426" t="s">
        <v>13</v>
      </c>
      <c r="F231" s="426" t="s">
        <v>322</v>
      </c>
      <c r="G231" s="427">
        <v>108.13</v>
      </c>
      <c r="H231" s="428">
        <v>1350</v>
      </c>
      <c r="I231" s="426" t="str">
        <f>IF($A231="","",IF(OR($B231="",$C231="",$D231="",$E231="",$F231=""),"Stammdaten fehlen",IF(AND($G231="",$H231=""),"Werte fehlen",IF($G231="","Monatsstunden fehlen",IF($H231="","Monatslohn fehlt","OK")))))</f>
        <v>OK</v>
      </c>
      <c r="J231" s="429" t="str">
        <f>IF($G231="","",IF(COUNTIFS($A:$A,$A231,$D:$D,$D231,$G:$G,$G231)&gt;1,"Doppelte Monatsstunden",""))</f>
        <v/>
      </c>
    </row>
    <row r="232" spans="1:10" ht="24" customHeight="1">
      <c r="A232" s="424" t="s">
        <v>334</v>
      </c>
      <c r="B232" s="425">
        <v>45778</v>
      </c>
      <c r="C232" s="425">
        <v>46142</v>
      </c>
      <c r="D232" s="426" t="s">
        <v>15</v>
      </c>
      <c r="E232" s="426" t="s">
        <v>13</v>
      </c>
      <c r="F232" s="426" t="s">
        <v>322</v>
      </c>
      <c r="G232" s="427">
        <v>103.8</v>
      </c>
      <c r="H232" s="428">
        <v>1296</v>
      </c>
      <c r="I232" s="426" t="str">
        <f>IF($A232="","",IF(OR($B232="",$C232="",$D232="",$E232="",$F232=""),"Stammdaten fehlen",IF(AND($G232="",$H232=""),"Werte fehlen",IF($G232="","Monatsstunden fehlen",IF($H232="","Monatslohn fehlt","OK")))))</f>
        <v>OK</v>
      </c>
      <c r="J232" s="429" t="str">
        <f>IF($G232="","",IF(COUNTIFS($A:$A,$A232,$D:$D,$D232,$G:$G,$G232)&gt;1,"Doppelte Monatsstunden",""))</f>
        <v/>
      </c>
    </row>
    <row r="233" spans="1:10" ht="24" customHeight="1">
      <c r="A233" s="424" t="s">
        <v>334</v>
      </c>
      <c r="B233" s="425">
        <v>45778</v>
      </c>
      <c r="C233" s="425">
        <v>46142</v>
      </c>
      <c r="D233" s="426" t="s">
        <v>15</v>
      </c>
      <c r="E233" s="426" t="s">
        <v>13</v>
      </c>
      <c r="F233" s="426" t="s">
        <v>322</v>
      </c>
      <c r="G233" s="427">
        <v>86.5</v>
      </c>
      <c r="H233" s="428">
        <v>1080</v>
      </c>
      <c r="I233" s="426" t="str">
        <f>IF($A233="","",IF(OR($B233="",$C233="",$D233="",$E233="",$F233=""),"Stammdaten fehlen",IF(AND($G233="",$H233=""),"Werte fehlen",IF($G233="","Monatsstunden fehlen",IF($H233="","Monatslohn fehlt","OK")))))</f>
        <v>OK</v>
      </c>
      <c r="J233" s="429" t="str">
        <f>IF($G233="","",IF(COUNTIFS($A:$A,$A233,$D:$D,$D233,$G:$G,$G233)&gt;1,"Doppelte Monatsstunden",""))</f>
        <v/>
      </c>
    </row>
    <row r="234" spans="1:10" ht="24" customHeight="1">
      <c r="A234" s="424" t="s">
        <v>334</v>
      </c>
      <c r="B234" s="425">
        <v>45778</v>
      </c>
      <c r="C234" s="425">
        <v>46142</v>
      </c>
      <c r="D234" s="426" t="s">
        <v>15</v>
      </c>
      <c r="E234" s="426" t="s">
        <v>13</v>
      </c>
      <c r="F234" s="426" t="s">
        <v>322</v>
      </c>
      <c r="G234" s="427">
        <v>69.2</v>
      </c>
      <c r="H234" s="428">
        <v>864</v>
      </c>
      <c r="I234" s="426" t="str">
        <f>IF($A234="","",IF(OR($B234="",$C234="",$D234="",$E234="",$F234=""),"Stammdaten fehlen",IF(AND($G234="",$H234=""),"Werte fehlen",IF($G234="","Monatsstunden fehlen",IF($H234="","Monatslohn fehlt","OK")))))</f>
        <v>OK</v>
      </c>
      <c r="J234" s="429" t="str">
        <f>IF($G234="","",IF(COUNTIFS($A:$A,$A234,$D:$D,$D234,$G:$G,$G234)&gt;1,"Doppelte Monatsstunden",""))</f>
        <v/>
      </c>
    </row>
    <row r="235" spans="1:10" ht="24" customHeight="1">
      <c r="A235" s="424" t="s">
        <v>334</v>
      </c>
      <c r="B235" s="425">
        <v>45778</v>
      </c>
      <c r="C235" s="425">
        <v>46142</v>
      </c>
      <c r="D235" s="426" t="s">
        <v>15</v>
      </c>
      <c r="E235" s="426" t="s">
        <v>13</v>
      </c>
      <c r="F235" s="426" t="s">
        <v>322</v>
      </c>
      <c r="G235" s="427">
        <v>51.9</v>
      </c>
      <c r="H235" s="428">
        <v>648</v>
      </c>
      <c r="I235" s="426" t="str">
        <f>IF($A235="","",IF(OR($B235="",$C235="",$D235="",$E235="",$F235=""),"Stammdaten fehlen",IF(AND($G235="",$H235=""),"Werte fehlen",IF($G235="","Monatsstunden fehlen",IF($H235="","Monatslohn fehlt","OK")))))</f>
        <v>OK</v>
      </c>
      <c r="J235" s="429" t="str">
        <f>IF($G235="","",IF(COUNTIFS($A:$A,$A235,$D:$D,$D235,$G:$G,$G235)&gt;1,"Doppelte Monatsstunden",""))</f>
        <v/>
      </c>
    </row>
    <row r="236" spans="1:10" ht="24" customHeight="1">
      <c r="A236" s="424" t="s">
        <v>334</v>
      </c>
      <c r="B236" s="425">
        <v>45778</v>
      </c>
      <c r="C236" s="425">
        <v>46142</v>
      </c>
      <c r="D236" s="426" t="s">
        <v>15</v>
      </c>
      <c r="E236" s="426" t="s">
        <v>13</v>
      </c>
      <c r="F236" s="426" t="s">
        <v>322</v>
      </c>
      <c r="G236" s="427">
        <v>47.58</v>
      </c>
      <c r="H236" s="428">
        <v>594</v>
      </c>
      <c r="I236" s="426" t="str">
        <f>IF($A236="","",IF(OR($B236="",$C236="",$D236="",$E236="",$F236=""),"Stammdaten fehlen",IF(AND($G236="",$H236=""),"Werte fehlen",IF($G236="","Monatsstunden fehlen",IF($H236="","Monatslohn fehlt","OK")))))</f>
        <v>OK</v>
      </c>
      <c r="J236" s="429" t="str">
        <f>IF($G236="","",IF(COUNTIFS($A:$A,$A236,$D:$D,$D236,$G:$G,$G236)&gt;1,"Doppelte Monatsstunden",""))</f>
        <v/>
      </c>
    </row>
    <row r="237" spans="1:10" ht="24" customHeight="1">
      <c r="A237" s="424" t="s">
        <v>334</v>
      </c>
      <c r="B237" s="425">
        <v>45778</v>
      </c>
      <c r="C237" s="425">
        <v>46142</v>
      </c>
      <c r="D237" s="426" t="s">
        <v>15</v>
      </c>
      <c r="E237" s="426" t="s">
        <v>13</v>
      </c>
      <c r="F237" s="426" t="s">
        <v>322</v>
      </c>
      <c r="G237" s="427">
        <v>43.25</v>
      </c>
      <c r="H237" s="428">
        <v>540</v>
      </c>
      <c r="I237" s="426" t="str">
        <f>IF($A237="","",IF(OR($B237="",$C237="",$D237="",$E237="",$F237=""),"Stammdaten fehlen",IF(AND($G237="",$H237=""),"Werte fehlen",IF($G237="","Monatsstunden fehlen",IF($H237="","Monatslohn fehlt","OK")))))</f>
        <v>OK</v>
      </c>
      <c r="J237" s="429" t="str">
        <f>IF($G237="","",IF(COUNTIFS($A:$A,$A237,$D:$D,$D237,$G:$G,$G237)&gt;1,"Doppelte Monatsstunden",""))</f>
        <v/>
      </c>
    </row>
    <row r="238" spans="1:10" ht="24" customHeight="1">
      <c r="A238" s="424" t="s">
        <v>334</v>
      </c>
      <c r="B238" s="425">
        <v>45778</v>
      </c>
      <c r="C238" s="425">
        <v>46142</v>
      </c>
      <c r="D238" s="426" t="s">
        <v>15</v>
      </c>
      <c r="E238" s="426" t="s">
        <v>13</v>
      </c>
      <c r="F238" s="426" t="s">
        <v>322</v>
      </c>
      <c r="G238" s="427">
        <v>34.6</v>
      </c>
      <c r="H238" s="428">
        <v>432</v>
      </c>
      <c r="I238" s="426" t="str">
        <f>IF($A238="","",IF(OR($B238="",$C238="",$D238="",$E238="",$F238=""),"Stammdaten fehlen",IF(AND($G238="",$H238=""),"Werte fehlen",IF($G238="","Monatsstunden fehlen",IF($H238="","Monatslohn fehlt","OK")))))</f>
        <v>OK</v>
      </c>
      <c r="J238" s="429" t="str">
        <f>IF($G238="","",IF(COUNTIFS($A:$A,$A238,$D:$D,$D238,$G:$G,$G238)&gt;1,"Doppelte Monatsstunden",""))</f>
        <v/>
      </c>
    </row>
    <row r="239" spans="1:10" ht="24" customHeight="1" thickBot="1">
      <c r="A239" s="424" t="s">
        <v>334</v>
      </c>
      <c r="B239" s="425">
        <v>45778</v>
      </c>
      <c r="C239" s="425">
        <v>46142</v>
      </c>
      <c r="D239" s="426" t="s">
        <v>15</v>
      </c>
      <c r="E239" s="426" t="s">
        <v>13</v>
      </c>
      <c r="F239" s="426" t="s">
        <v>322</v>
      </c>
      <c r="G239" s="427">
        <v>32.01</v>
      </c>
      <c r="H239" s="428">
        <v>399.6</v>
      </c>
      <c r="I239" s="426" t="str">
        <f>IF($A239="","",IF(OR($B239="",$C239="",$D239="",$E239="",$F239=""),"Stammdaten fehlen",IF(AND($G239="",$H239=""),"Werte fehlen",IF($G239="","Monatsstunden fehlen",IF($H239="","Monatslohn fehlt","OK")))))</f>
        <v>OK</v>
      </c>
      <c r="J239" s="429" t="str">
        <f>IF($G239="","",IF(COUNTIFS($A:$A,$A239,$D:$D,$D239,$G:$G,$G239)&gt;1,"Doppelte Monatsstunden",""))</f>
        <v/>
      </c>
    </row>
    <row r="240" spans="1:10" ht="24" customHeight="1">
      <c r="A240" s="418" t="s">
        <v>334</v>
      </c>
      <c r="B240" s="419">
        <v>45778</v>
      </c>
      <c r="C240" s="419">
        <v>46142</v>
      </c>
      <c r="D240" s="420" t="s">
        <v>17</v>
      </c>
      <c r="E240" s="420" t="s">
        <v>13</v>
      </c>
      <c r="F240" s="420" t="s">
        <v>323</v>
      </c>
      <c r="G240" s="421">
        <v>173</v>
      </c>
      <c r="H240" s="422">
        <v>2163</v>
      </c>
      <c r="I240" s="420" t="str">
        <f>IF($A240="","",IF(OR($B240="",$C240="",$D240="",$E240="",$F240=""),"Stammdaten fehlen",IF(AND($G240="",$H240=""),"Werte fehlen",IF($G240="","Monatsstunden fehlen",IF($H240="","Monatslohn fehlt","OK")))))</f>
        <v>OK</v>
      </c>
      <c r="J240" s="423" t="str">
        <f>IF($G240="","",IF(COUNTIFS($A:$A,$A240,$D:$D,$D240,$G:$G,$G240)&gt;1,"Doppelte Monatsstunden",""))</f>
        <v/>
      </c>
    </row>
    <row r="241" spans="1:10" ht="24" customHeight="1">
      <c r="A241" s="424" t="s">
        <v>334</v>
      </c>
      <c r="B241" s="425">
        <v>45778</v>
      </c>
      <c r="C241" s="425">
        <v>46142</v>
      </c>
      <c r="D241" s="426" t="s">
        <v>17</v>
      </c>
      <c r="E241" s="426" t="s">
        <v>13</v>
      </c>
      <c r="F241" s="426" t="s">
        <v>323</v>
      </c>
      <c r="G241" s="427">
        <v>151.38</v>
      </c>
      <c r="H241" s="428">
        <v>1892.63</v>
      </c>
      <c r="I241" s="426" t="str">
        <f>IF($A241="","",IF(OR($B241="",$C241="",$D241="",$E241="",$F241=""),"Stammdaten fehlen",IF(AND($G241="",$H241=""),"Werte fehlen",IF($G241="","Monatsstunden fehlen",IF($H241="","Monatslohn fehlt","OK")))))</f>
        <v>OK</v>
      </c>
      <c r="J241" s="429" t="str">
        <f>IF($G241="","",IF(COUNTIFS($A:$A,$A241,$D:$D,$D241,$G:$G,$G241)&gt;1,"Doppelte Monatsstunden",""))</f>
        <v/>
      </c>
    </row>
    <row r="242" spans="1:10" ht="24" customHeight="1">
      <c r="A242" s="424" t="s">
        <v>334</v>
      </c>
      <c r="B242" s="425">
        <v>45778</v>
      </c>
      <c r="C242" s="425">
        <v>46142</v>
      </c>
      <c r="D242" s="426" t="s">
        <v>17</v>
      </c>
      <c r="E242" s="426" t="s">
        <v>13</v>
      </c>
      <c r="F242" s="426" t="s">
        <v>323</v>
      </c>
      <c r="G242" s="427">
        <v>138.4</v>
      </c>
      <c r="H242" s="428">
        <v>1730.4</v>
      </c>
      <c r="I242" s="426" t="str">
        <f>IF($A242="","",IF(OR($B242="",$C242="",$D242="",$E242="",$F242=""),"Stammdaten fehlen",IF(AND($G242="",$H242=""),"Werte fehlen",IF($G242="","Monatsstunden fehlen",IF($H242="","Monatslohn fehlt","OK")))))</f>
        <v>OK</v>
      </c>
      <c r="J242" s="429" t="str">
        <f>IF($G242="","",IF(COUNTIFS($A:$A,$A242,$D:$D,$D242,$G:$G,$G242)&gt;1,"Doppelte Monatsstunden",""))</f>
        <v/>
      </c>
    </row>
    <row r="243" spans="1:10" ht="24" customHeight="1">
      <c r="A243" s="424" t="s">
        <v>334</v>
      </c>
      <c r="B243" s="425">
        <v>45778</v>
      </c>
      <c r="C243" s="425">
        <v>46142</v>
      </c>
      <c r="D243" s="426" t="s">
        <v>17</v>
      </c>
      <c r="E243" s="426" t="s">
        <v>13</v>
      </c>
      <c r="F243" s="426" t="s">
        <v>323</v>
      </c>
      <c r="G243" s="427">
        <v>129.75</v>
      </c>
      <c r="H243" s="428">
        <v>1622.25</v>
      </c>
      <c r="I243" s="426" t="str">
        <f>IF($A243="","",IF(OR($B243="",$C243="",$D243="",$E243="",$F243=""),"Stammdaten fehlen",IF(AND($G243="",$H243=""),"Werte fehlen",IF($G243="","Monatsstunden fehlen",IF($H243="","Monatslohn fehlt","OK")))))</f>
        <v>OK</v>
      </c>
      <c r="J243" s="429" t="str">
        <f>IF($G243="","",IF(COUNTIFS($A:$A,$A243,$D:$D,$D243,$G:$G,$G243)&gt;1,"Doppelte Monatsstunden",""))</f>
        <v/>
      </c>
    </row>
    <row r="244" spans="1:10" ht="24" customHeight="1">
      <c r="A244" s="424" t="s">
        <v>334</v>
      </c>
      <c r="B244" s="425">
        <v>45778</v>
      </c>
      <c r="C244" s="425">
        <v>46142</v>
      </c>
      <c r="D244" s="426" t="s">
        <v>17</v>
      </c>
      <c r="E244" s="426" t="s">
        <v>13</v>
      </c>
      <c r="F244" s="426" t="s">
        <v>323</v>
      </c>
      <c r="G244" s="427">
        <v>108.13</v>
      </c>
      <c r="H244" s="428">
        <v>1351.88</v>
      </c>
      <c r="I244" s="426" t="str">
        <f>IF($A244="","",IF(OR($B244="",$C244="",$D244="",$E244="",$F244=""),"Stammdaten fehlen",IF(AND($G244="",$H244=""),"Werte fehlen",IF($G244="","Monatsstunden fehlen",IF($H244="","Monatslohn fehlt","OK")))))</f>
        <v>OK</v>
      </c>
      <c r="J244" s="429" t="str">
        <f>IF($G244="","",IF(COUNTIFS($A:$A,$A244,$D:$D,$D244,$G:$G,$G244)&gt;1,"Doppelte Monatsstunden",""))</f>
        <v/>
      </c>
    </row>
    <row r="245" spans="1:10" ht="24" customHeight="1">
      <c r="A245" s="424" t="s">
        <v>334</v>
      </c>
      <c r="B245" s="425">
        <v>45778</v>
      </c>
      <c r="C245" s="425">
        <v>46142</v>
      </c>
      <c r="D245" s="426" t="s">
        <v>17</v>
      </c>
      <c r="E245" s="426" t="s">
        <v>13</v>
      </c>
      <c r="F245" s="426" t="s">
        <v>323</v>
      </c>
      <c r="G245" s="427">
        <v>103.8</v>
      </c>
      <c r="H245" s="428">
        <v>1297.8</v>
      </c>
      <c r="I245" s="426" t="str">
        <f>IF($A245="","",IF(OR($B245="",$C245="",$D245="",$E245="",$F245=""),"Stammdaten fehlen",IF(AND($G245="",$H245=""),"Werte fehlen",IF($G245="","Monatsstunden fehlen",IF($H245="","Monatslohn fehlt","OK")))))</f>
        <v>OK</v>
      </c>
      <c r="J245" s="429" t="str">
        <f>IF($G245="","",IF(COUNTIFS($A:$A,$A245,$D:$D,$D245,$G:$G,$G245)&gt;1,"Doppelte Monatsstunden",""))</f>
        <v/>
      </c>
    </row>
    <row r="246" spans="1:10" ht="24" customHeight="1">
      <c r="A246" s="424" t="s">
        <v>334</v>
      </c>
      <c r="B246" s="425">
        <v>45778</v>
      </c>
      <c r="C246" s="425">
        <v>46142</v>
      </c>
      <c r="D246" s="426" t="s">
        <v>17</v>
      </c>
      <c r="E246" s="426" t="s">
        <v>13</v>
      </c>
      <c r="F246" s="426" t="s">
        <v>323</v>
      </c>
      <c r="G246" s="427">
        <v>86.5</v>
      </c>
      <c r="H246" s="428">
        <v>1081.5</v>
      </c>
      <c r="I246" s="426" t="str">
        <f>IF($A246="","",IF(OR($B246="",$C246="",$D246="",$E246="",$F246=""),"Stammdaten fehlen",IF(AND($G246="",$H246=""),"Werte fehlen",IF($G246="","Monatsstunden fehlen",IF($H246="","Monatslohn fehlt","OK")))))</f>
        <v>OK</v>
      </c>
      <c r="J246" s="429" t="str">
        <f>IF($G246="","",IF(COUNTIFS($A:$A,$A246,$D:$D,$D246,$G:$G,$G246)&gt;1,"Doppelte Monatsstunden",""))</f>
        <v/>
      </c>
    </row>
    <row r="247" spans="1:10" ht="24" customHeight="1">
      <c r="A247" s="424" t="s">
        <v>334</v>
      </c>
      <c r="B247" s="425">
        <v>45778</v>
      </c>
      <c r="C247" s="425">
        <v>46142</v>
      </c>
      <c r="D247" s="426" t="s">
        <v>17</v>
      </c>
      <c r="E247" s="426" t="s">
        <v>13</v>
      </c>
      <c r="F247" s="426" t="s">
        <v>323</v>
      </c>
      <c r="G247" s="427">
        <v>69.2</v>
      </c>
      <c r="H247" s="428">
        <v>865.2</v>
      </c>
      <c r="I247" s="426" t="str">
        <f>IF($A247="","",IF(OR($B247="",$C247="",$D247="",$E247="",$F247=""),"Stammdaten fehlen",IF(AND($G247="",$H247=""),"Werte fehlen",IF($G247="","Monatsstunden fehlen",IF($H247="","Monatslohn fehlt","OK")))))</f>
        <v>OK</v>
      </c>
      <c r="J247" s="429" t="str">
        <f>IF($G247="","",IF(COUNTIFS($A:$A,$A247,$D:$D,$D247,$G:$G,$G247)&gt;1,"Doppelte Monatsstunden",""))</f>
        <v/>
      </c>
    </row>
    <row r="248" spans="1:10" ht="24" customHeight="1">
      <c r="A248" s="424" t="s">
        <v>334</v>
      </c>
      <c r="B248" s="425">
        <v>45778</v>
      </c>
      <c r="C248" s="425">
        <v>46142</v>
      </c>
      <c r="D248" s="426" t="s">
        <v>17</v>
      </c>
      <c r="E248" s="426" t="s">
        <v>13</v>
      </c>
      <c r="F248" s="426" t="s">
        <v>323</v>
      </c>
      <c r="G248" s="427">
        <v>51.9</v>
      </c>
      <c r="H248" s="428">
        <v>648.9</v>
      </c>
      <c r="I248" s="426" t="str">
        <f>IF($A248="","",IF(OR($B248="",$C248="",$D248="",$E248="",$F248=""),"Stammdaten fehlen",IF(AND($G248="",$H248=""),"Werte fehlen",IF($G248="","Monatsstunden fehlen",IF($H248="","Monatslohn fehlt","OK")))))</f>
        <v>OK</v>
      </c>
      <c r="J248" s="429" t="str">
        <f>IF($G248="","",IF(COUNTIFS($A:$A,$A248,$D:$D,$D248,$G:$G,$G248)&gt;1,"Doppelte Monatsstunden",""))</f>
        <v/>
      </c>
    </row>
    <row r="249" spans="1:10" ht="24" customHeight="1">
      <c r="A249" s="424" t="s">
        <v>334</v>
      </c>
      <c r="B249" s="425">
        <v>45778</v>
      </c>
      <c r="C249" s="425">
        <v>46142</v>
      </c>
      <c r="D249" s="426" t="s">
        <v>17</v>
      </c>
      <c r="E249" s="426" t="s">
        <v>13</v>
      </c>
      <c r="F249" s="426" t="s">
        <v>323</v>
      </c>
      <c r="G249" s="427">
        <v>47.58</v>
      </c>
      <c r="H249" s="428">
        <v>594.83000000000004</v>
      </c>
      <c r="I249" s="426" t="str">
        <f>IF($A249="","",IF(OR($B249="",$C249="",$D249="",$E249="",$F249=""),"Stammdaten fehlen",IF(AND($G249="",$H249=""),"Werte fehlen",IF($G249="","Monatsstunden fehlen",IF($H249="","Monatslohn fehlt","OK")))))</f>
        <v>OK</v>
      </c>
      <c r="J249" s="429" t="str">
        <f>IF($G249="","",IF(COUNTIFS($A:$A,$A249,$D:$D,$D249,$G:$G,$G249)&gt;1,"Doppelte Monatsstunden",""))</f>
        <v/>
      </c>
    </row>
    <row r="250" spans="1:10" ht="24" customHeight="1">
      <c r="A250" s="424" t="s">
        <v>334</v>
      </c>
      <c r="B250" s="425">
        <v>45778</v>
      </c>
      <c r="C250" s="425">
        <v>46142</v>
      </c>
      <c r="D250" s="426" t="s">
        <v>17</v>
      </c>
      <c r="E250" s="426" t="s">
        <v>13</v>
      </c>
      <c r="F250" s="426" t="s">
        <v>323</v>
      </c>
      <c r="G250" s="427">
        <v>43.25</v>
      </c>
      <c r="H250" s="428">
        <v>540.75</v>
      </c>
      <c r="I250" s="426" t="str">
        <f>IF($A250="","",IF(OR($B250="",$C250="",$D250="",$E250="",$F250=""),"Stammdaten fehlen",IF(AND($G250="",$H250=""),"Werte fehlen",IF($G250="","Monatsstunden fehlen",IF($H250="","Monatslohn fehlt","OK")))))</f>
        <v>OK</v>
      </c>
      <c r="J250" s="429" t="str">
        <f>IF($G250="","",IF(COUNTIFS($A:$A,$A250,$D:$D,$D250,$G:$G,$G250)&gt;1,"Doppelte Monatsstunden",""))</f>
        <v/>
      </c>
    </row>
    <row r="251" spans="1:10" ht="24" customHeight="1">
      <c r="A251" s="424" t="s">
        <v>334</v>
      </c>
      <c r="B251" s="425">
        <v>45778</v>
      </c>
      <c r="C251" s="425">
        <v>46142</v>
      </c>
      <c r="D251" s="426" t="s">
        <v>17</v>
      </c>
      <c r="E251" s="426" t="s">
        <v>13</v>
      </c>
      <c r="F251" s="426" t="s">
        <v>323</v>
      </c>
      <c r="G251" s="427">
        <v>34.6</v>
      </c>
      <c r="H251" s="428">
        <v>432.6</v>
      </c>
      <c r="I251" s="426" t="str">
        <f>IF($A251="","",IF(OR($B251="",$C251="",$D251="",$E251="",$F251=""),"Stammdaten fehlen",IF(AND($G251="",$H251=""),"Werte fehlen",IF($G251="","Monatsstunden fehlen",IF($H251="","Monatslohn fehlt","OK")))))</f>
        <v>OK</v>
      </c>
      <c r="J251" s="429" t="str">
        <f>IF($G251="","",IF(COUNTIFS($A:$A,$A251,$D:$D,$D251,$G:$G,$G251)&gt;1,"Doppelte Monatsstunden",""))</f>
        <v/>
      </c>
    </row>
    <row r="252" spans="1:10" ht="24" customHeight="1" thickBot="1">
      <c r="A252" s="424" t="s">
        <v>334</v>
      </c>
      <c r="B252" s="425">
        <v>45778</v>
      </c>
      <c r="C252" s="425">
        <v>46142</v>
      </c>
      <c r="D252" s="426" t="s">
        <v>17</v>
      </c>
      <c r="E252" s="426" t="s">
        <v>13</v>
      </c>
      <c r="F252" s="426" t="s">
        <v>323</v>
      </c>
      <c r="G252" s="427">
        <v>32.01</v>
      </c>
      <c r="H252" s="428">
        <v>400.16</v>
      </c>
      <c r="I252" s="426" t="str">
        <f>IF($A252="","",IF(OR($B252="",$C252="",$D252="",$E252="",$F252=""),"Stammdaten fehlen",IF(AND($G252="",$H252=""),"Werte fehlen",IF($G252="","Monatsstunden fehlen",IF($H252="","Monatslohn fehlt","OK")))))</f>
        <v>OK</v>
      </c>
      <c r="J252" s="429" t="str">
        <f>IF($G252="","",IF(COUNTIFS($A:$A,$A252,$D:$D,$D252,$G:$G,$G252)&gt;1,"Doppelte Monatsstunden",""))</f>
        <v/>
      </c>
    </row>
    <row r="253" spans="1:10" ht="24" customHeight="1">
      <c r="A253" s="418" t="s">
        <v>334</v>
      </c>
      <c r="B253" s="419">
        <v>45778</v>
      </c>
      <c r="C253" s="419">
        <v>46142</v>
      </c>
      <c r="D253" s="420" t="s">
        <v>19</v>
      </c>
      <c r="E253" s="420" t="s">
        <v>13</v>
      </c>
      <c r="F253" s="420" t="s">
        <v>324</v>
      </c>
      <c r="G253" s="421">
        <v>173</v>
      </c>
      <c r="H253" s="422">
        <v>2225</v>
      </c>
      <c r="I253" s="420" t="str">
        <f>IF($A253="","",IF(OR($B253="",$C253="",$D253="",$E253="",$F253=""),"Stammdaten fehlen",IF(AND($G253="",$H253=""),"Werte fehlen",IF($G253="","Monatsstunden fehlen",IF($H253="","Monatslohn fehlt","OK")))))</f>
        <v>OK</v>
      </c>
      <c r="J253" s="423" t="str">
        <f>IF($G253="","",IF(COUNTIFS($A:$A,$A253,$D:$D,$D253,$G:$G,$G253)&gt;1,"Doppelte Monatsstunden",""))</f>
        <v/>
      </c>
    </row>
    <row r="254" spans="1:10" ht="24" customHeight="1">
      <c r="A254" s="424" t="s">
        <v>334</v>
      </c>
      <c r="B254" s="425">
        <v>45778</v>
      </c>
      <c r="C254" s="425">
        <v>46142</v>
      </c>
      <c r="D254" s="426" t="s">
        <v>19</v>
      </c>
      <c r="E254" s="426" t="s">
        <v>13</v>
      </c>
      <c r="F254" s="426" t="s">
        <v>324</v>
      </c>
      <c r="G254" s="427">
        <v>151.38</v>
      </c>
      <c r="H254" s="428">
        <v>1946.88</v>
      </c>
      <c r="I254" s="426" t="str">
        <f>IF($A254="","",IF(OR($B254="",$C254="",$D254="",$E254="",$F254=""),"Stammdaten fehlen",IF(AND($G254="",$H254=""),"Werte fehlen",IF($G254="","Monatsstunden fehlen",IF($H254="","Monatslohn fehlt","OK")))))</f>
        <v>OK</v>
      </c>
      <c r="J254" s="429" t="str">
        <f>IF($G254="","",IF(COUNTIFS($A:$A,$A254,$D:$D,$D254,$G:$G,$G254)&gt;1,"Doppelte Monatsstunden",""))</f>
        <v/>
      </c>
    </row>
    <row r="255" spans="1:10" ht="24" customHeight="1">
      <c r="A255" s="424" t="s">
        <v>334</v>
      </c>
      <c r="B255" s="425">
        <v>45778</v>
      </c>
      <c r="C255" s="425">
        <v>46142</v>
      </c>
      <c r="D255" s="426" t="s">
        <v>19</v>
      </c>
      <c r="E255" s="426" t="s">
        <v>13</v>
      </c>
      <c r="F255" s="426" t="s">
        <v>324</v>
      </c>
      <c r="G255" s="427">
        <v>138.4</v>
      </c>
      <c r="H255" s="428">
        <v>1780</v>
      </c>
      <c r="I255" s="426" t="str">
        <f>IF($A255="","",IF(OR($B255="",$C255="",$D255="",$E255="",$F255=""),"Stammdaten fehlen",IF(AND($G255="",$H255=""),"Werte fehlen",IF($G255="","Monatsstunden fehlen",IF($H255="","Monatslohn fehlt","OK")))))</f>
        <v>OK</v>
      </c>
      <c r="J255" s="429" t="str">
        <f>IF($G255="","",IF(COUNTIFS($A:$A,$A255,$D:$D,$D255,$G:$G,$G255)&gt;1,"Doppelte Monatsstunden",""))</f>
        <v/>
      </c>
    </row>
    <row r="256" spans="1:10" ht="24" customHeight="1">
      <c r="A256" s="424" t="s">
        <v>334</v>
      </c>
      <c r="B256" s="425">
        <v>45778</v>
      </c>
      <c r="C256" s="425">
        <v>46142</v>
      </c>
      <c r="D256" s="426" t="s">
        <v>19</v>
      </c>
      <c r="E256" s="426" t="s">
        <v>13</v>
      </c>
      <c r="F256" s="426" t="s">
        <v>324</v>
      </c>
      <c r="G256" s="427">
        <v>129.75</v>
      </c>
      <c r="H256" s="428">
        <v>1668.75</v>
      </c>
      <c r="I256" s="426" t="str">
        <f>IF($A256="","",IF(OR($B256="",$C256="",$D256="",$E256="",$F256=""),"Stammdaten fehlen",IF(AND($G256="",$H256=""),"Werte fehlen",IF($G256="","Monatsstunden fehlen",IF($H256="","Monatslohn fehlt","OK")))))</f>
        <v>OK</v>
      </c>
      <c r="J256" s="429" t="str">
        <f>IF($G256="","",IF(COUNTIFS($A:$A,$A256,$D:$D,$D256,$G:$G,$G256)&gt;1,"Doppelte Monatsstunden",""))</f>
        <v/>
      </c>
    </row>
    <row r="257" spans="1:10" ht="24" customHeight="1">
      <c r="A257" s="424" t="s">
        <v>334</v>
      </c>
      <c r="B257" s="425">
        <v>45778</v>
      </c>
      <c r="C257" s="425">
        <v>46142</v>
      </c>
      <c r="D257" s="426" t="s">
        <v>19</v>
      </c>
      <c r="E257" s="426" t="s">
        <v>13</v>
      </c>
      <c r="F257" s="426" t="s">
        <v>324</v>
      </c>
      <c r="G257" s="427">
        <v>108.13</v>
      </c>
      <c r="H257" s="428">
        <v>1390.63</v>
      </c>
      <c r="I257" s="426" t="str">
        <f>IF($A257="","",IF(OR($B257="",$C257="",$D257="",$E257="",$F257=""),"Stammdaten fehlen",IF(AND($G257="",$H257=""),"Werte fehlen",IF($G257="","Monatsstunden fehlen",IF($H257="","Monatslohn fehlt","OK")))))</f>
        <v>OK</v>
      </c>
      <c r="J257" s="429" t="str">
        <f>IF($G257="","",IF(COUNTIFS($A:$A,$A257,$D:$D,$D257,$G:$G,$G257)&gt;1,"Doppelte Monatsstunden",""))</f>
        <v/>
      </c>
    </row>
    <row r="258" spans="1:10" ht="24" customHeight="1">
      <c r="A258" s="424" t="s">
        <v>334</v>
      </c>
      <c r="B258" s="425">
        <v>45778</v>
      </c>
      <c r="C258" s="425">
        <v>46142</v>
      </c>
      <c r="D258" s="426" t="s">
        <v>19</v>
      </c>
      <c r="E258" s="426" t="s">
        <v>13</v>
      </c>
      <c r="F258" s="426" t="s">
        <v>324</v>
      </c>
      <c r="G258" s="427">
        <v>103.8</v>
      </c>
      <c r="H258" s="428">
        <v>1335</v>
      </c>
      <c r="I258" s="426" t="str">
        <f>IF($A258="","",IF(OR($B258="",$C258="",$D258="",$E258="",$F258=""),"Stammdaten fehlen",IF(AND($G258="",$H258=""),"Werte fehlen",IF($G258="","Monatsstunden fehlen",IF($H258="","Monatslohn fehlt","OK")))))</f>
        <v>OK</v>
      </c>
      <c r="J258" s="429" t="str">
        <f>IF($G258="","",IF(COUNTIFS($A:$A,$A258,$D:$D,$D258,$G:$G,$G258)&gt;1,"Doppelte Monatsstunden",""))</f>
        <v/>
      </c>
    </row>
    <row r="259" spans="1:10" ht="24" customHeight="1">
      <c r="A259" s="424" t="s">
        <v>334</v>
      </c>
      <c r="B259" s="425">
        <v>45778</v>
      </c>
      <c r="C259" s="425">
        <v>46142</v>
      </c>
      <c r="D259" s="426" t="s">
        <v>19</v>
      </c>
      <c r="E259" s="426" t="s">
        <v>13</v>
      </c>
      <c r="F259" s="426" t="s">
        <v>324</v>
      </c>
      <c r="G259" s="427">
        <v>86.5</v>
      </c>
      <c r="H259" s="428">
        <v>1112.5</v>
      </c>
      <c r="I259" s="426" t="str">
        <f>IF($A259="","",IF(OR($B259="",$C259="",$D259="",$E259="",$F259=""),"Stammdaten fehlen",IF(AND($G259="",$H259=""),"Werte fehlen",IF($G259="","Monatsstunden fehlen",IF($H259="","Monatslohn fehlt","OK")))))</f>
        <v>OK</v>
      </c>
      <c r="J259" s="429" t="str">
        <f>IF($G259="","",IF(COUNTIFS($A:$A,$A259,$D:$D,$D259,$G:$G,$G259)&gt;1,"Doppelte Monatsstunden",""))</f>
        <v/>
      </c>
    </row>
    <row r="260" spans="1:10" ht="24" customHeight="1">
      <c r="A260" s="424" t="s">
        <v>334</v>
      </c>
      <c r="B260" s="425">
        <v>45778</v>
      </c>
      <c r="C260" s="425">
        <v>46142</v>
      </c>
      <c r="D260" s="426" t="s">
        <v>19</v>
      </c>
      <c r="E260" s="426" t="s">
        <v>13</v>
      </c>
      <c r="F260" s="426" t="s">
        <v>324</v>
      </c>
      <c r="G260" s="427">
        <v>69.2</v>
      </c>
      <c r="H260" s="428">
        <v>890</v>
      </c>
      <c r="I260" s="426" t="str">
        <f>IF($A260="","",IF(OR($B260="",$C260="",$D260="",$E260="",$F260=""),"Stammdaten fehlen",IF(AND($G260="",$H260=""),"Werte fehlen",IF($G260="","Monatsstunden fehlen",IF($H260="","Monatslohn fehlt","OK")))))</f>
        <v>OK</v>
      </c>
      <c r="J260" s="429" t="str">
        <f>IF($G260="","",IF(COUNTIFS($A:$A,$A260,$D:$D,$D260,$G:$G,$G260)&gt;1,"Doppelte Monatsstunden",""))</f>
        <v/>
      </c>
    </row>
    <row r="261" spans="1:10" ht="24" customHeight="1">
      <c r="A261" s="424" t="s">
        <v>334</v>
      </c>
      <c r="B261" s="425">
        <v>45778</v>
      </c>
      <c r="C261" s="425">
        <v>46142</v>
      </c>
      <c r="D261" s="426" t="s">
        <v>19</v>
      </c>
      <c r="E261" s="426" t="s">
        <v>13</v>
      </c>
      <c r="F261" s="426" t="s">
        <v>324</v>
      </c>
      <c r="G261" s="427">
        <v>51.9</v>
      </c>
      <c r="H261" s="428">
        <v>667.5</v>
      </c>
      <c r="I261" s="426" t="str">
        <f>IF($A261="","",IF(OR($B261="",$C261="",$D261="",$E261="",$F261=""),"Stammdaten fehlen",IF(AND($G261="",$H261=""),"Werte fehlen",IF($G261="","Monatsstunden fehlen",IF($H261="","Monatslohn fehlt","OK")))))</f>
        <v>OK</v>
      </c>
      <c r="J261" s="429" t="str">
        <f>IF($G261="","",IF(COUNTIFS($A:$A,$A261,$D:$D,$D261,$G:$G,$G261)&gt;1,"Doppelte Monatsstunden",""))</f>
        <v/>
      </c>
    </row>
    <row r="262" spans="1:10" ht="24" customHeight="1">
      <c r="A262" s="424" t="s">
        <v>334</v>
      </c>
      <c r="B262" s="425">
        <v>45778</v>
      </c>
      <c r="C262" s="425">
        <v>46142</v>
      </c>
      <c r="D262" s="426" t="s">
        <v>19</v>
      </c>
      <c r="E262" s="426" t="s">
        <v>13</v>
      </c>
      <c r="F262" s="426" t="s">
        <v>324</v>
      </c>
      <c r="G262" s="427">
        <v>47.58</v>
      </c>
      <c r="H262" s="428">
        <v>611.88</v>
      </c>
      <c r="I262" s="426" t="str">
        <f>IF($A262="","",IF(OR($B262="",$C262="",$D262="",$E262="",$F262=""),"Stammdaten fehlen",IF(AND($G262="",$H262=""),"Werte fehlen",IF($G262="","Monatsstunden fehlen",IF($H262="","Monatslohn fehlt","OK")))))</f>
        <v>OK</v>
      </c>
      <c r="J262" s="429" t="str">
        <f>IF($G262="","",IF(COUNTIFS($A:$A,$A262,$D:$D,$D262,$G:$G,$G262)&gt;1,"Doppelte Monatsstunden",""))</f>
        <v/>
      </c>
    </row>
    <row r="263" spans="1:10" ht="24" customHeight="1">
      <c r="A263" s="424" t="s">
        <v>334</v>
      </c>
      <c r="B263" s="425">
        <v>45778</v>
      </c>
      <c r="C263" s="425">
        <v>46142</v>
      </c>
      <c r="D263" s="426" t="s">
        <v>19</v>
      </c>
      <c r="E263" s="426" t="s">
        <v>13</v>
      </c>
      <c r="F263" s="426" t="s">
        <v>324</v>
      </c>
      <c r="G263" s="427">
        <v>43.25</v>
      </c>
      <c r="H263" s="428">
        <v>556.25</v>
      </c>
      <c r="I263" s="426" t="str">
        <f>IF($A263="","",IF(OR($B263="",$C263="",$D263="",$E263="",$F263=""),"Stammdaten fehlen",IF(AND($G263="",$H263=""),"Werte fehlen",IF($G263="","Monatsstunden fehlen",IF($H263="","Monatslohn fehlt","OK")))))</f>
        <v>OK</v>
      </c>
      <c r="J263" s="429" t="str">
        <f>IF($G263="","",IF(COUNTIFS($A:$A,$A263,$D:$D,$D263,$G:$G,$G263)&gt;1,"Doppelte Monatsstunden",""))</f>
        <v/>
      </c>
    </row>
    <row r="264" spans="1:10" ht="24" customHeight="1">
      <c r="A264" s="424" t="s">
        <v>334</v>
      </c>
      <c r="B264" s="425">
        <v>45778</v>
      </c>
      <c r="C264" s="425">
        <v>46142</v>
      </c>
      <c r="D264" s="426" t="s">
        <v>19</v>
      </c>
      <c r="E264" s="426" t="s">
        <v>13</v>
      </c>
      <c r="F264" s="426" t="s">
        <v>324</v>
      </c>
      <c r="G264" s="427">
        <v>34.6</v>
      </c>
      <c r="H264" s="428">
        <v>445</v>
      </c>
      <c r="I264" s="426" t="str">
        <f>IF($A264="","",IF(OR($B264="",$C264="",$D264="",$E264="",$F264=""),"Stammdaten fehlen",IF(AND($G264="",$H264=""),"Werte fehlen",IF($G264="","Monatsstunden fehlen",IF($H264="","Monatslohn fehlt","OK")))))</f>
        <v>OK</v>
      </c>
      <c r="J264" s="429" t="str">
        <f>IF($G264="","",IF(COUNTIFS($A:$A,$A264,$D:$D,$D264,$G:$G,$G264)&gt;1,"Doppelte Monatsstunden",""))</f>
        <v/>
      </c>
    </row>
    <row r="265" spans="1:10" ht="24" customHeight="1" thickBot="1">
      <c r="A265" s="424" t="s">
        <v>334</v>
      </c>
      <c r="B265" s="425">
        <v>45778</v>
      </c>
      <c r="C265" s="425">
        <v>46142</v>
      </c>
      <c r="D265" s="426" t="s">
        <v>19</v>
      </c>
      <c r="E265" s="426" t="s">
        <v>13</v>
      </c>
      <c r="F265" s="426" t="s">
        <v>324</v>
      </c>
      <c r="G265" s="427">
        <v>32.01</v>
      </c>
      <c r="H265" s="428">
        <v>411.63</v>
      </c>
      <c r="I265" s="426" t="str">
        <f>IF($A265="","",IF(OR($B265="",$C265="",$D265="",$E265="",$F265=""),"Stammdaten fehlen",IF(AND($G265="",$H265=""),"Werte fehlen",IF($G265="","Monatsstunden fehlen",IF($H265="","Monatslohn fehlt","OK")))))</f>
        <v>OK</v>
      </c>
      <c r="J265" s="429" t="str">
        <f>IF($G265="","",IF(COUNTIFS($A:$A,$A265,$D:$D,$D265,$G:$G,$G265)&gt;1,"Doppelte Monatsstunden",""))</f>
        <v/>
      </c>
    </row>
    <row r="266" spans="1:10" ht="24" customHeight="1">
      <c r="A266" s="430" t="s">
        <v>334</v>
      </c>
      <c r="B266" s="431">
        <v>45778</v>
      </c>
      <c r="C266" s="431">
        <v>46142</v>
      </c>
      <c r="D266" s="432" t="s">
        <v>333</v>
      </c>
      <c r="E266" s="432" t="s">
        <v>21</v>
      </c>
      <c r="F266" s="432" t="s">
        <v>321</v>
      </c>
      <c r="G266" s="433">
        <v>173</v>
      </c>
      <c r="H266" s="434">
        <v>2300</v>
      </c>
      <c r="I266" s="432" t="str">
        <f>IF($A266="","",IF(OR($B266="",$C266="",$D266="",$E266="",$F266=""),"Stammdaten fehlen",IF(AND($G266="",$H266=""),"Werte fehlen",IF($G266="","Monatsstunden fehlen",IF($H266="","Monatslohn fehlt","OK")))))</f>
        <v>OK</v>
      </c>
      <c r="J266" s="435" t="str">
        <f>IF($G266="","",IF(COUNTIFS($A:$A,$A266,$D:$D,$D266,$G:$G,$G266)&gt;1,"Doppelte Monatsstunden",""))</f>
        <v/>
      </c>
    </row>
    <row r="267" spans="1:10" ht="24" customHeight="1">
      <c r="A267" s="436" t="s">
        <v>334</v>
      </c>
      <c r="B267" s="437">
        <v>45778</v>
      </c>
      <c r="C267" s="437">
        <v>46142</v>
      </c>
      <c r="D267" s="438" t="s">
        <v>333</v>
      </c>
      <c r="E267" s="438" t="s">
        <v>21</v>
      </c>
      <c r="F267" s="438" t="s">
        <v>321</v>
      </c>
      <c r="G267" s="439">
        <v>151.38</v>
      </c>
      <c r="H267" s="440">
        <v>2012.5</v>
      </c>
      <c r="I267" s="438" t="str">
        <f>IF($A267="","",IF(OR($B267="",$C267="",$D267="",$E267="",$F267=""),"Stammdaten fehlen",IF(AND($G267="",$H267=""),"Werte fehlen",IF($G267="","Monatsstunden fehlen",IF($H267="","Monatslohn fehlt","OK")))))</f>
        <v>OK</v>
      </c>
      <c r="J267" s="441" t="str">
        <f>IF($G267="","",IF(COUNTIFS($A:$A,$A267,$D:$D,$D267,$G:$G,$G267)&gt;1,"Doppelte Monatsstunden",""))</f>
        <v/>
      </c>
    </row>
    <row r="268" spans="1:10" ht="24" customHeight="1">
      <c r="A268" s="436" t="s">
        <v>334</v>
      </c>
      <c r="B268" s="437">
        <v>45778</v>
      </c>
      <c r="C268" s="437">
        <v>46142</v>
      </c>
      <c r="D268" s="438" t="s">
        <v>333</v>
      </c>
      <c r="E268" s="438" t="s">
        <v>21</v>
      </c>
      <c r="F268" s="438" t="s">
        <v>321</v>
      </c>
      <c r="G268" s="439">
        <v>138.4</v>
      </c>
      <c r="H268" s="440">
        <v>1840</v>
      </c>
      <c r="I268" s="438" t="str">
        <f>IF($A268="","",IF(OR($B268="",$C268="",$D268="",$E268="",$F268=""),"Stammdaten fehlen",IF(AND($G268="",$H268=""),"Werte fehlen",IF($G268="","Monatsstunden fehlen",IF($H268="","Monatslohn fehlt","OK")))))</f>
        <v>OK</v>
      </c>
      <c r="J268" s="441" t="str">
        <f>IF($G268="","",IF(COUNTIFS($A:$A,$A268,$D:$D,$D268,$G:$G,$G268)&gt;1,"Doppelte Monatsstunden",""))</f>
        <v/>
      </c>
    </row>
    <row r="269" spans="1:10" ht="24" customHeight="1">
      <c r="A269" s="436" t="s">
        <v>334</v>
      </c>
      <c r="B269" s="437">
        <v>45778</v>
      </c>
      <c r="C269" s="437">
        <v>46142</v>
      </c>
      <c r="D269" s="438" t="s">
        <v>333</v>
      </c>
      <c r="E269" s="438" t="s">
        <v>21</v>
      </c>
      <c r="F269" s="438" t="s">
        <v>321</v>
      </c>
      <c r="G269" s="439">
        <v>129.75</v>
      </c>
      <c r="H269" s="440">
        <v>1725</v>
      </c>
      <c r="I269" s="438" t="str">
        <f>IF($A269="","",IF(OR($B269="",$C269="",$D269="",$E269="",$F269=""),"Stammdaten fehlen",IF(AND($G269="",$H269=""),"Werte fehlen",IF($G269="","Monatsstunden fehlen",IF($H269="","Monatslohn fehlt","OK")))))</f>
        <v>OK</v>
      </c>
      <c r="J269" s="441" t="str">
        <f>IF($G269="","",IF(COUNTIFS($A:$A,$A269,$D:$D,$D269,$G:$G,$G269)&gt;1,"Doppelte Monatsstunden",""))</f>
        <v/>
      </c>
    </row>
    <row r="270" spans="1:10" ht="24" customHeight="1">
      <c r="A270" s="436" t="s">
        <v>334</v>
      </c>
      <c r="B270" s="437">
        <v>45778</v>
      </c>
      <c r="C270" s="437">
        <v>46142</v>
      </c>
      <c r="D270" s="438" t="s">
        <v>333</v>
      </c>
      <c r="E270" s="438" t="s">
        <v>21</v>
      </c>
      <c r="F270" s="438" t="s">
        <v>321</v>
      </c>
      <c r="G270" s="439">
        <v>108.13</v>
      </c>
      <c r="H270" s="440">
        <v>1437.5</v>
      </c>
      <c r="I270" s="438" t="str">
        <f>IF($A270="","",IF(OR($B270="",$C270="",$D270="",$E270="",$F270=""),"Stammdaten fehlen",IF(AND($G270="",$H270=""),"Werte fehlen",IF($G270="","Monatsstunden fehlen",IF($H270="","Monatslohn fehlt","OK")))))</f>
        <v>OK</v>
      </c>
      <c r="J270" s="441" t="str">
        <f>IF($G270="","",IF(COUNTIFS($A:$A,$A270,$D:$D,$D270,$G:$G,$G270)&gt;1,"Doppelte Monatsstunden",""))</f>
        <v/>
      </c>
    </row>
    <row r="271" spans="1:10" ht="24" customHeight="1">
      <c r="A271" s="436" t="s">
        <v>334</v>
      </c>
      <c r="B271" s="437">
        <v>45778</v>
      </c>
      <c r="C271" s="437">
        <v>46142</v>
      </c>
      <c r="D271" s="438" t="s">
        <v>333</v>
      </c>
      <c r="E271" s="438" t="s">
        <v>21</v>
      </c>
      <c r="F271" s="438" t="s">
        <v>321</v>
      </c>
      <c r="G271" s="439">
        <v>103.8</v>
      </c>
      <c r="H271" s="440">
        <v>1380</v>
      </c>
      <c r="I271" s="438" t="str">
        <f>IF($A271="","",IF(OR($B271="",$C271="",$D271="",$E271="",$F271=""),"Stammdaten fehlen",IF(AND($G271="",$H271=""),"Werte fehlen",IF($G271="","Monatsstunden fehlen",IF($H271="","Monatslohn fehlt","OK")))))</f>
        <v>OK</v>
      </c>
      <c r="J271" s="441" t="str">
        <f>IF($G271="","",IF(COUNTIFS($A:$A,$A271,$D:$D,$D271,$G:$G,$G271)&gt;1,"Doppelte Monatsstunden",""))</f>
        <v/>
      </c>
    </row>
    <row r="272" spans="1:10" ht="24" customHeight="1">
      <c r="A272" s="436" t="s">
        <v>334</v>
      </c>
      <c r="B272" s="437">
        <v>45778</v>
      </c>
      <c r="C272" s="437">
        <v>46142</v>
      </c>
      <c r="D272" s="438" t="s">
        <v>333</v>
      </c>
      <c r="E272" s="438" t="s">
        <v>21</v>
      </c>
      <c r="F272" s="438" t="s">
        <v>321</v>
      </c>
      <c r="G272" s="439">
        <v>86.5</v>
      </c>
      <c r="H272" s="440">
        <v>1150</v>
      </c>
      <c r="I272" s="438" t="str">
        <f>IF($A272="","",IF(OR($B272="",$C272="",$D272="",$E272="",$F272=""),"Stammdaten fehlen",IF(AND($G272="",$H272=""),"Werte fehlen",IF($G272="","Monatsstunden fehlen",IF($H272="","Monatslohn fehlt","OK")))))</f>
        <v>OK</v>
      </c>
      <c r="J272" s="441" t="str">
        <f>IF($G272="","",IF(COUNTIFS($A:$A,$A272,$D:$D,$D272,$G:$G,$G272)&gt;1,"Doppelte Monatsstunden",""))</f>
        <v/>
      </c>
    </row>
    <row r="273" spans="1:10" ht="24" customHeight="1">
      <c r="A273" s="436" t="s">
        <v>334</v>
      </c>
      <c r="B273" s="437">
        <v>45778</v>
      </c>
      <c r="C273" s="437">
        <v>46142</v>
      </c>
      <c r="D273" s="438" t="s">
        <v>333</v>
      </c>
      <c r="E273" s="438" t="s">
        <v>21</v>
      </c>
      <c r="F273" s="438" t="s">
        <v>321</v>
      </c>
      <c r="G273" s="439">
        <v>69.2</v>
      </c>
      <c r="H273" s="440">
        <v>920</v>
      </c>
      <c r="I273" s="438" t="str">
        <f>IF($A273="","",IF(OR($B273="",$C273="",$D273="",$E273="",$F273=""),"Stammdaten fehlen",IF(AND($G273="",$H273=""),"Werte fehlen",IF($G273="","Monatsstunden fehlen",IF($H273="","Monatslohn fehlt","OK")))))</f>
        <v>OK</v>
      </c>
      <c r="J273" s="441" t="str">
        <f>IF($G273="","",IF(COUNTIFS($A:$A,$A273,$D:$D,$D273,$G:$G,$G273)&gt;1,"Doppelte Monatsstunden",""))</f>
        <v/>
      </c>
    </row>
    <row r="274" spans="1:10" ht="24" customHeight="1">
      <c r="A274" s="436" t="s">
        <v>334</v>
      </c>
      <c r="B274" s="437">
        <v>45778</v>
      </c>
      <c r="C274" s="437">
        <v>46142</v>
      </c>
      <c r="D274" s="438" t="s">
        <v>333</v>
      </c>
      <c r="E274" s="438" t="s">
        <v>21</v>
      </c>
      <c r="F274" s="438" t="s">
        <v>321</v>
      </c>
      <c r="G274" s="439">
        <v>51.9</v>
      </c>
      <c r="H274" s="440">
        <v>690</v>
      </c>
      <c r="I274" s="438" t="str">
        <f>IF($A274="","",IF(OR($B274="",$C274="",$D274="",$E274="",$F274=""),"Stammdaten fehlen",IF(AND($G274="",$H274=""),"Werte fehlen",IF($G274="","Monatsstunden fehlen",IF($H274="","Monatslohn fehlt","OK")))))</f>
        <v>OK</v>
      </c>
      <c r="J274" s="441" t="str">
        <f>IF($G274="","",IF(COUNTIFS($A:$A,$A274,$D:$D,$D274,$G:$G,$G274)&gt;1,"Doppelte Monatsstunden",""))</f>
        <v/>
      </c>
    </row>
    <row r="275" spans="1:10" ht="24" customHeight="1">
      <c r="A275" s="436" t="s">
        <v>334</v>
      </c>
      <c r="B275" s="437">
        <v>45778</v>
      </c>
      <c r="C275" s="437">
        <v>46142</v>
      </c>
      <c r="D275" s="438" t="s">
        <v>333</v>
      </c>
      <c r="E275" s="438" t="s">
        <v>21</v>
      </c>
      <c r="F275" s="438" t="s">
        <v>321</v>
      </c>
      <c r="G275" s="439">
        <v>47.58</v>
      </c>
      <c r="H275" s="440">
        <v>632.5</v>
      </c>
      <c r="I275" s="438" t="str">
        <f>IF($A275="","",IF(OR($B275="",$C275="",$D275="",$E275="",$F275=""),"Stammdaten fehlen",IF(AND($G275="",$H275=""),"Werte fehlen",IF($G275="","Monatsstunden fehlen",IF($H275="","Monatslohn fehlt","OK")))))</f>
        <v>OK</v>
      </c>
      <c r="J275" s="441" t="str">
        <f>IF($G275="","",IF(COUNTIFS($A:$A,$A275,$D:$D,$D275,$G:$G,$G275)&gt;1,"Doppelte Monatsstunden",""))</f>
        <v/>
      </c>
    </row>
    <row r="276" spans="1:10" ht="24" customHeight="1">
      <c r="A276" s="436" t="s">
        <v>334</v>
      </c>
      <c r="B276" s="437">
        <v>45778</v>
      </c>
      <c r="C276" s="437">
        <v>46142</v>
      </c>
      <c r="D276" s="438" t="s">
        <v>333</v>
      </c>
      <c r="E276" s="438" t="s">
        <v>21</v>
      </c>
      <c r="F276" s="438" t="s">
        <v>321</v>
      </c>
      <c r="G276" s="439">
        <v>43.25</v>
      </c>
      <c r="H276" s="440">
        <v>575</v>
      </c>
      <c r="I276" s="438" t="str">
        <f>IF($A276="","",IF(OR($B276="",$C276="",$D276="",$E276="",$F276=""),"Stammdaten fehlen",IF(AND($G276="",$H276=""),"Werte fehlen",IF($G276="","Monatsstunden fehlen",IF($H276="","Monatslohn fehlt","OK")))))</f>
        <v>OK</v>
      </c>
      <c r="J276" s="441" t="str">
        <f>IF($G276="","",IF(COUNTIFS($A:$A,$A276,$D:$D,$D276,$G:$G,$G276)&gt;1,"Doppelte Monatsstunden",""))</f>
        <v/>
      </c>
    </row>
    <row r="277" spans="1:10" ht="24" customHeight="1">
      <c r="A277" s="436" t="s">
        <v>334</v>
      </c>
      <c r="B277" s="437">
        <v>45778</v>
      </c>
      <c r="C277" s="437">
        <v>46142</v>
      </c>
      <c r="D277" s="438" t="s">
        <v>333</v>
      </c>
      <c r="E277" s="438" t="s">
        <v>21</v>
      </c>
      <c r="F277" s="438" t="s">
        <v>321</v>
      </c>
      <c r="G277" s="439">
        <v>34.6</v>
      </c>
      <c r="H277" s="440">
        <v>460</v>
      </c>
      <c r="I277" s="438" t="str">
        <f>IF($A277="","",IF(OR($B277="",$C277="",$D277="",$E277="",$F277=""),"Stammdaten fehlen",IF(AND($G277="",$H277=""),"Werte fehlen",IF($G277="","Monatsstunden fehlen",IF($H277="","Monatslohn fehlt","OK")))))</f>
        <v>OK</v>
      </c>
      <c r="J277" s="441" t="str">
        <f>IF($G277="","",IF(COUNTIFS($A:$A,$A277,$D:$D,$D277,$G:$G,$G277)&gt;1,"Doppelte Monatsstunden",""))</f>
        <v/>
      </c>
    </row>
    <row r="278" spans="1:10" ht="24" customHeight="1" thickBot="1">
      <c r="A278" s="436" t="s">
        <v>334</v>
      </c>
      <c r="B278" s="437">
        <v>45778</v>
      </c>
      <c r="C278" s="437">
        <v>46142</v>
      </c>
      <c r="D278" s="438" t="s">
        <v>333</v>
      </c>
      <c r="E278" s="438" t="s">
        <v>21</v>
      </c>
      <c r="F278" s="438" t="s">
        <v>321</v>
      </c>
      <c r="G278" s="439">
        <v>32.01</v>
      </c>
      <c r="H278" s="440">
        <v>425.5</v>
      </c>
      <c r="I278" s="438" t="str">
        <f>IF($A278="","",IF(OR($B278="",$C278="",$D278="",$E278="",$F278=""),"Stammdaten fehlen",IF(AND($G278="",$H278=""),"Werte fehlen",IF($G278="","Monatsstunden fehlen",IF($H278="","Monatslohn fehlt","OK")))))</f>
        <v>OK</v>
      </c>
      <c r="J278" s="441" t="str">
        <f>IF($G278="","",IF(COUNTIFS($A:$A,$A278,$D:$D,$D278,$G:$G,$G278)&gt;1,"Doppelte Monatsstunden",""))</f>
        <v/>
      </c>
    </row>
    <row r="279" spans="1:10" ht="24" customHeight="1">
      <c r="A279" s="430" t="s">
        <v>334</v>
      </c>
      <c r="B279" s="431">
        <v>45778</v>
      </c>
      <c r="C279" s="431">
        <v>46142</v>
      </c>
      <c r="D279" s="432" t="s">
        <v>22</v>
      </c>
      <c r="E279" s="432" t="s">
        <v>21</v>
      </c>
      <c r="F279" s="432" t="s">
        <v>322</v>
      </c>
      <c r="G279" s="433">
        <v>173</v>
      </c>
      <c r="H279" s="434">
        <v>2300</v>
      </c>
      <c r="I279" s="432" t="str">
        <f>IF($A279="","",IF(OR($B279="",$C279="",$D279="",$E279="",$F279=""),"Stammdaten fehlen",IF(AND($G279="",$H279=""),"Werte fehlen",IF($G279="","Monatsstunden fehlen",IF($H279="","Monatslohn fehlt","OK")))))</f>
        <v>OK</v>
      </c>
      <c r="J279" s="435" t="str">
        <f>IF($G279="","",IF(COUNTIFS($A:$A,$A279,$D:$D,$D279,$G:$G,$G279)&gt;1,"Doppelte Monatsstunden",""))</f>
        <v/>
      </c>
    </row>
    <row r="280" spans="1:10" ht="24" customHeight="1">
      <c r="A280" s="436" t="s">
        <v>334</v>
      </c>
      <c r="B280" s="437">
        <v>45778</v>
      </c>
      <c r="C280" s="437">
        <v>46142</v>
      </c>
      <c r="D280" s="438" t="s">
        <v>22</v>
      </c>
      <c r="E280" s="438" t="s">
        <v>21</v>
      </c>
      <c r="F280" s="438" t="s">
        <v>322</v>
      </c>
      <c r="G280" s="439">
        <v>151.38</v>
      </c>
      <c r="H280" s="440">
        <v>2012.5</v>
      </c>
      <c r="I280" s="438" t="str">
        <f>IF($A280="","",IF(OR($B280="",$C280="",$D280="",$E280="",$F280=""),"Stammdaten fehlen",IF(AND($G280="",$H280=""),"Werte fehlen",IF($G280="","Monatsstunden fehlen",IF($H280="","Monatslohn fehlt","OK")))))</f>
        <v>OK</v>
      </c>
      <c r="J280" s="441" t="str">
        <f>IF($G280="","",IF(COUNTIFS($A:$A,$A280,$D:$D,$D280,$G:$G,$G280)&gt;1,"Doppelte Monatsstunden",""))</f>
        <v/>
      </c>
    </row>
    <row r="281" spans="1:10" ht="24" customHeight="1">
      <c r="A281" s="436" t="s">
        <v>334</v>
      </c>
      <c r="B281" s="437">
        <v>45778</v>
      </c>
      <c r="C281" s="437">
        <v>46142</v>
      </c>
      <c r="D281" s="438" t="s">
        <v>22</v>
      </c>
      <c r="E281" s="438" t="s">
        <v>21</v>
      </c>
      <c r="F281" s="438" t="s">
        <v>322</v>
      </c>
      <c r="G281" s="439">
        <v>138.4</v>
      </c>
      <c r="H281" s="440">
        <v>1840</v>
      </c>
      <c r="I281" s="438" t="str">
        <f>IF($A281="","",IF(OR($B281="",$C281="",$D281="",$E281="",$F281=""),"Stammdaten fehlen",IF(AND($G281="",$H281=""),"Werte fehlen",IF($G281="","Monatsstunden fehlen",IF($H281="","Monatslohn fehlt","OK")))))</f>
        <v>OK</v>
      </c>
      <c r="J281" s="441" t="str">
        <f>IF($G281="","",IF(COUNTIFS($A:$A,$A281,$D:$D,$D281,$G:$G,$G281)&gt;1,"Doppelte Monatsstunden",""))</f>
        <v/>
      </c>
    </row>
    <row r="282" spans="1:10" ht="24" customHeight="1">
      <c r="A282" s="436" t="s">
        <v>334</v>
      </c>
      <c r="B282" s="437">
        <v>45778</v>
      </c>
      <c r="C282" s="437">
        <v>46142</v>
      </c>
      <c r="D282" s="438" t="s">
        <v>22</v>
      </c>
      <c r="E282" s="438" t="s">
        <v>21</v>
      </c>
      <c r="F282" s="438" t="s">
        <v>322</v>
      </c>
      <c r="G282" s="439">
        <v>129.75</v>
      </c>
      <c r="H282" s="440">
        <v>1725</v>
      </c>
      <c r="I282" s="438" t="str">
        <f>IF($A282="","",IF(OR($B282="",$C282="",$D282="",$E282="",$F282=""),"Stammdaten fehlen",IF(AND($G282="",$H282=""),"Werte fehlen",IF($G282="","Monatsstunden fehlen",IF($H282="","Monatslohn fehlt","OK")))))</f>
        <v>OK</v>
      </c>
      <c r="J282" s="441" t="str">
        <f>IF($G282="","",IF(COUNTIFS($A:$A,$A282,$D:$D,$D282,$G:$G,$G282)&gt;1,"Doppelte Monatsstunden",""))</f>
        <v/>
      </c>
    </row>
    <row r="283" spans="1:10" ht="24" customHeight="1">
      <c r="A283" s="436" t="s">
        <v>334</v>
      </c>
      <c r="B283" s="437">
        <v>45778</v>
      </c>
      <c r="C283" s="437">
        <v>46142</v>
      </c>
      <c r="D283" s="438" t="s">
        <v>22</v>
      </c>
      <c r="E283" s="438" t="s">
        <v>21</v>
      </c>
      <c r="F283" s="438" t="s">
        <v>322</v>
      </c>
      <c r="G283" s="439">
        <v>108.13</v>
      </c>
      <c r="H283" s="440">
        <v>1437.5</v>
      </c>
      <c r="I283" s="438" t="str">
        <f>IF($A283="","",IF(OR($B283="",$C283="",$D283="",$E283="",$F283=""),"Stammdaten fehlen",IF(AND($G283="",$H283=""),"Werte fehlen",IF($G283="","Monatsstunden fehlen",IF($H283="","Monatslohn fehlt","OK")))))</f>
        <v>OK</v>
      </c>
      <c r="J283" s="441" t="str">
        <f>IF($G283="","",IF(COUNTIFS($A:$A,$A283,$D:$D,$D283,$G:$G,$G283)&gt;1,"Doppelte Monatsstunden",""))</f>
        <v/>
      </c>
    </row>
    <row r="284" spans="1:10" ht="24" customHeight="1">
      <c r="A284" s="436" t="s">
        <v>334</v>
      </c>
      <c r="B284" s="437">
        <v>45778</v>
      </c>
      <c r="C284" s="437">
        <v>46142</v>
      </c>
      <c r="D284" s="438" t="s">
        <v>22</v>
      </c>
      <c r="E284" s="438" t="s">
        <v>21</v>
      </c>
      <c r="F284" s="438" t="s">
        <v>322</v>
      </c>
      <c r="G284" s="439">
        <v>103.8</v>
      </c>
      <c r="H284" s="440">
        <v>1380</v>
      </c>
      <c r="I284" s="438" t="str">
        <f>IF($A284="","",IF(OR($B284="",$C284="",$D284="",$E284="",$F284=""),"Stammdaten fehlen",IF(AND($G284="",$H284=""),"Werte fehlen",IF($G284="","Monatsstunden fehlen",IF($H284="","Monatslohn fehlt","OK")))))</f>
        <v>OK</v>
      </c>
      <c r="J284" s="441" t="str">
        <f>IF($G284="","",IF(COUNTIFS($A:$A,$A284,$D:$D,$D284,$G:$G,$G284)&gt;1,"Doppelte Monatsstunden",""))</f>
        <v/>
      </c>
    </row>
    <row r="285" spans="1:10" ht="24" customHeight="1">
      <c r="A285" s="436" t="s">
        <v>334</v>
      </c>
      <c r="B285" s="437">
        <v>45778</v>
      </c>
      <c r="C285" s="437">
        <v>46142</v>
      </c>
      <c r="D285" s="438" t="s">
        <v>22</v>
      </c>
      <c r="E285" s="438" t="s">
        <v>21</v>
      </c>
      <c r="F285" s="438" t="s">
        <v>322</v>
      </c>
      <c r="G285" s="439">
        <v>86.5</v>
      </c>
      <c r="H285" s="440">
        <v>1150</v>
      </c>
      <c r="I285" s="438" t="str">
        <f>IF($A285="","",IF(OR($B285="",$C285="",$D285="",$E285="",$F285=""),"Stammdaten fehlen",IF(AND($G285="",$H285=""),"Werte fehlen",IF($G285="","Monatsstunden fehlen",IF($H285="","Monatslohn fehlt","OK")))))</f>
        <v>OK</v>
      </c>
      <c r="J285" s="441" t="str">
        <f>IF($G285="","",IF(COUNTIFS($A:$A,$A285,$D:$D,$D285,$G:$G,$G285)&gt;1,"Doppelte Monatsstunden",""))</f>
        <v/>
      </c>
    </row>
    <row r="286" spans="1:10" ht="24" customHeight="1">
      <c r="A286" s="436" t="s">
        <v>334</v>
      </c>
      <c r="B286" s="437">
        <v>45778</v>
      </c>
      <c r="C286" s="437">
        <v>46142</v>
      </c>
      <c r="D286" s="438" t="s">
        <v>22</v>
      </c>
      <c r="E286" s="438" t="s">
        <v>21</v>
      </c>
      <c r="F286" s="438" t="s">
        <v>322</v>
      </c>
      <c r="G286" s="439">
        <v>69.2</v>
      </c>
      <c r="H286" s="440">
        <v>920</v>
      </c>
      <c r="I286" s="438" t="str">
        <f>IF($A286="","",IF(OR($B286="",$C286="",$D286="",$E286="",$F286=""),"Stammdaten fehlen",IF(AND($G286="",$H286=""),"Werte fehlen",IF($G286="","Monatsstunden fehlen",IF($H286="","Monatslohn fehlt","OK")))))</f>
        <v>OK</v>
      </c>
      <c r="J286" s="441" t="str">
        <f>IF($G286="","",IF(COUNTIFS($A:$A,$A286,$D:$D,$D286,$G:$G,$G286)&gt;1,"Doppelte Monatsstunden",""))</f>
        <v/>
      </c>
    </row>
    <row r="287" spans="1:10" ht="24" customHeight="1">
      <c r="A287" s="436" t="s">
        <v>334</v>
      </c>
      <c r="B287" s="437">
        <v>45778</v>
      </c>
      <c r="C287" s="437">
        <v>46142</v>
      </c>
      <c r="D287" s="438" t="s">
        <v>22</v>
      </c>
      <c r="E287" s="438" t="s">
        <v>21</v>
      </c>
      <c r="F287" s="438" t="s">
        <v>322</v>
      </c>
      <c r="G287" s="439">
        <v>51.9</v>
      </c>
      <c r="H287" s="440">
        <v>690</v>
      </c>
      <c r="I287" s="438" t="str">
        <f>IF($A287="","",IF(OR($B287="",$C287="",$D287="",$E287="",$F287=""),"Stammdaten fehlen",IF(AND($G287="",$H287=""),"Werte fehlen",IF($G287="","Monatsstunden fehlen",IF($H287="","Monatslohn fehlt","OK")))))</f>
        <v>OK</v>
      </c>
      <c r="J287" s="441" t="str">
        <f>IF($G287="","",IF(COUNTIFS($A:$A,$A287,$D:$D,$D287,$G:$G,$G287)&gt;1,"Doppelte Monatsstunden",""))</f>
        <v/>
      </c>
    </row>
    <row r="288" spans="1:10" ht="24" customHeight="1">
      <c r="A288" s="436" t="s">
        <v>334</v>
      </c>
      <c r="B288" s="437">
        <v>45778</v>
      </c>
      <c r="C288" s="437">
        <v>46142</v>
      </c>
      <c r="D288" s="438" t="s">
        <v>22</v>
      </c>
      <c r="E288" s="438" t="s">
        <v>21</v>
      </c>
      <c r="F288" s="438" t="s">
        <v>322</v>
      </c>
      <c r="G288" s="439">
        <v>47.58</v>
      </c>
      <c r="H288" s="440">
        <v>632.5</v>
      </c>
      <c r="I288" s="438" t="str">
        <f>IF($A288="","",IF(OR($B288="",$C288="",$D288="",$E288="",$F288=""),"Stammdaten fehlen",IF(AND($G288="",$H288=""),"Werte fehlen",IF($G288="","Monatsstunden fehlen",IF($H288="","Monatslohn fehlt","OK")))))</f>
        <v>OK</v>
      </c>
      <c r="J288" s="441" t="str">
        <f>IF($G288="","",IF(COUNTIFS($A:$A,$A288,$D:$D,$D288,$G:$G,$G288)&gt;1,"Doppelte Monatsstunden",""))</f>
        <v/>
      </c>
    </row>
    <row r="289" spans="1:10" ht="24" customHeight="1">
      <c r="A289" s="436" t="s">
        <v>334</v>
      </c>
      <c r="B289" s="437">
        <v>45778</v>
      </c>
      <c r="C289" s="437">
        <v>46142</v>
      </c>
      <c r="D289" s="438" t="s">
        <v>22</v>
      </c>
      <c r="E289" s="438" t="s">
        <v>21</v>
      </c>
      <c r="F289" s="438" t="s">
        <v>322</v>
      </c>
      <c r="G289" s="439">
        <v>43.25</v>
      </c>
      <c r="H289" s="440">
        <v>575</v>
      </c>
      <c r="I289" s="438" t="str">
        <f>IF($A289="","",IF(OR($B289="",$C289="",$D289="",$E289="",$F289=""),"Stammdaten fehlen",IF(AND($G289="",$H289=""),"Werte fehlen",IF($G289="","Monatsstunden fehlen",IF($H289="","Monatslohn fehlt","OK")))))</f>
        <v>OK</v>
      </c>
      <c r="J289" s="441" t="str">
        <f>IF($G289="","",IF(COUNTIFS($A:$A,$A289,$D:$D,$D289,$G:$G,$G289)&gt;1,"Doppelte Monatsstunden",""))</f>
        <v/>
      </c>
    </row>
    <row r="290" spans="1:10" ht="24" customHeight="1">
      <c r="A290" s="436" t="s">
        <v>334</v>
      </c>
      <c r="B290" s="437">
        <v>45778</v>
      </c>
      <c r="C290" s="437">
        <v>46142</v>
      </c>
      <c r="D290" s="438" t="s">
        <v>22</v>
      </c>
      <c r="E290" s="438" t="s">
        <v>21</v>
      </c>
      <c r="F290" s="438" t="s">
        <v>322</v>
      </c>
      <c r="G290" s="439">
        <v>34.6</v>
      </c>
      <c r="H290" s="440">
        <v>460</v>
      </c>
      <c r="I290" s="438" t="str">
        <f>IF($A290="","",IF(OR($B290="",$C290="",$D290="",$E290="",$F290=""),"Stammdaten fehlen",IF(AND($G290="",$H290=""),"Werte fehlen",IF($G290="","Monatsstunden fehlen",IF($H290="","Monatslohn fehlt","OK")))))</f>
        <v>OK</v>
      </c>
      <c r="J290" s="441" t="str">
        <f>IF($G290="","",IF(COUNTIFS($A:$A,$A290,$D:$D,$D290,$G:$G,$G290)&gt;1,"Doppelte Monatsstunden",""))</f>
        <v/>
      </c>
    </row>
    <row r="291" spans="1:10" ht="24" customHeight="1" thickBot="1">
      <c r="A291" s="436" t="s">
        <v>334</v>
      </c>
      <c r="B291" s="437">
        <v>45778</v>
      </c>
      <c r="C291" s="437">
        <v>46142</v>
      </c>
      <c r="D291" s="438" t="s">
        <v>22</v>
      </c>
      <c r="E291" s="438" t="s">
        <v>21</v>
      </c>
      <c r="F291" s="438" t="s">
        <v>322</v>
      </c>
      <c r="G291" s="439">
        <v>32.01</v>
      </c>
      <c r="H291" s="440">
        <v>425.5</v>
      </c>
      <c r="I291" s="438" t="str">
        <f>IF($A291="","",IF(OR($B291="",$C291="",$D291="",$E291="",$F291=""),"Stammdaten fehlen",IF(AND($G291="",$H291=""),"Werte fehlen",IF($G291="","Monatsstunden fehlen",IF($H291="","Monatslohn fehlt","OK")))))</f>
        <v>OK</v>
      </c>
      <c r="J291" s="441" t="str">
        <f>IF($G291="","",IF(COUNTIFS($A:$A,$A291,$D:$D,$D291,$G:$G,$G291)&gt;1,"Doppelte Monatsstunden",""))</f>
        <v/>
      </c>
    </row>
    <row r="292" spans="1:10" ht="24" customHeight="1">
      <c r="A292" s="430" t="s">
        <v>334</v>
      </c>
      <c r="B292" s="431">
        <v>45778</v>
      </c>
      <c r="C292" s="431">
        <v>46142</v>
      </c>
      <c r="D292" s="432" t="s">
        <v>23</v>
      </c>
      <c r="E292" s="432" t="s">
        <v>21</v>
      </c>
      <c r="F292" s="432" t="s">
        <v>323</v>
      </c>
      <c r="G292" s="433">
        <v>173</v>
      </c>
      <c r="H292" s="434">
        <v>2300</v>
      </c>
      <c r="I292" s="432" t="str">
        <f>IF($A292="","",IF(OR($B292="",$C292="",$D292="",$E292="",$F292=""),"Stammdaten fehlen",IF(AND($G292="",$H292=""),"Werte fehlen",IF($G292="","Monatsstunden fehlen",IF($H292="","Monatslohn fehlt","OK")))))</f>
        <v>OK</v>
      </c>
      <c r="J292" s="435" t="str">
        <f>IF($G292="","",IF(COUNTIFS($A:$A,$A292,$D:$D,$D292,$G:$G,$G292)&gt;1,"Doppelte Monatsstunden",""))</f>
        <v/>
      </c>
    </row>
    <row r="293" spans="1:10" ht="24" customHeight="1">
      <c r="A293" s="436" t="s">
        <v>334</v>
      </c>
      <c r="B293" s="437">
        <v>45778</v>
      </c>
      <c r="C293" s="437">
        <v>46142</v>
      </c>
      <c r="D293" s="438" t="s">
        <v>23</v>
      </c>
      <c r="E293" s="438" t="s">
        <v>21</v>
      </c>
      <c r="F293" s="438" t="s">
        <v>323</v>
      </c>
      <c r="G293" s="439">
        <v>151.38</v>
      </c>
      <c r="H293" s="440">
        <v>2012.5</v>
      </c>
      <c r="I293" s="438" t="str">
        <f>IF($A293="","",IF(OR($B293="",$C293="",$D293="",$E293="",$F293=""),"Stammdaten fehlen",IF(AND($G293="",$H293=""),"Werte fehlen",IF($G293="","Monatsstunden fehlen",IF($H293="","Monatslohn fehlt","OK")))))</f>
        <v>OK</v>
      </c>
      <c r="J293" s="441" t="str">
        <f>IF($G293="","",IF(COUNTIFS($A:$A,$A293,$D:$D,$D293,$G:$G,$G293)&gt;1,"Doppelte Monatsstunden",""))</f>
        <v/>
      </c>
    </row>
    <row r="294" spans="1:10" ht="24" customHeight="1">
      <c r="A294" s="436" t="s">
        <v>334</v>
      </c>
      <c r="B294" s="437">
        <v>45778</v>
      </c>
      <c r="C294" s="437">
        <v>46142</v>
      </c>
      <c r="D294" s="438" t="s">
        <v>23</v>
      </c>
      <c r="E294" s="438" t="s">
        <v>21</v>
      </c>
      <c r="F294" s="438" t="s">
        <v>323</v>
      </c>
      <c r="G294" s="439">
        <v>138.4</v>
      </c>
      <c r="H294" s="440">
        <v>1840</v>
      </c>
      <c r="I294" s="438" t="str">
        <f>IF($A294="","",IF(OR($B294="",$C294="",$D294="",$E294="",$F294=""),"Stammdaten fehlen",IF(AND($G294="",$H294=""),"Werte fehlen",IF($G294="","Monatsstunden fehlen",IF($H294="","Monatslohn fehlt","OK")))))</f>
        <v>OK</v>
      </c>
      <c r="J294" s="441" t="str">
        <f>IF($G294="","",IF(COUNTIFS($A:$A,$A294,$D:$D,$D294,$G:$G,$G294)&gt;1,"Doppelte Monatsstunden",""))</f>
        <v/>
      </c>
    </row>
    <row r="295" spans="1:10" ht="24" customHeight="1">
      <c r="A295" s="436" t="s">
        <v>334</v>
      </c>
      <c r="B295" s="437">
        <v>45778</v>
      </c>
      <c r="C295" s="437">
        <v>46142</v>
      </c>
      <c r="D295" s="438" t="s">
        <v>23</v>
      </c>
      <c r="E295" s="438" t="s">
        <v>21</v>
      </c>
      <c r="F295" s="438" t="s">
        <v>323</v>
      </c>
      <c r="G295" s="439">
        <v>129.75</v>
      </c>
      <c r="H295" s="440">
        <v>1725</v>
      </c>
      <c r="I295" s="438" t="str">
        <f>IF($A295="","",IF(OR($B295="",$C295="",$D295="",$E295="",$F295=""),"Stammdaten fehlen",IF(AND($G295="",$H295=""),"Werte fehlen",IF($G295="","Monatsstunden fehlen",IF($H295="","Monatslohn fehlt","OK")))))</f>
        <v>OK</v>
      </c>
      <c r="J295" s="441" t="str">
        <f>IF($G295="","",IF(COUNTIFS($A:$A,$A295,$D:$D,$D295,$G:$G,$G295)&gt;1,"Doppelte Monatsstunden",""))</f>
        <v/>
      </c>
    </row>
    <row r="296" spans="1:10" ht="24" customHeight="1">
      <c r="A296" s="436" t="s">
        <v>334</v>
      </c>
      <c r="B296" s="437">
        <v>45778</v>
      </c>
      <c r="C296" s="437">
        <v>46142</v>
      </c>
      <c r="D296" s="438" t="s">
        <v>23</v>
      </c>
      <c r="E296" s="438" t="s">
        <v>21</v>
      </c>
      <c r="F296" s="438" t="s">
        <v>323</v>
      </c>
      <c r="G296" s="439">
        <v>108.13</v>
      </c>
      <c r="H296" s="440">
        <v>1437.5</v>
      </c>
      <c r="I296" s="438" t="str">
        <f>IF($A296="","",IF(OR($B296="",$C296="",$D296="",$E296="",$F296=""),"Stammdaten fehlen",IF(AND($G296="",$H296=""),"Werte fehlen",IF($G296="","Monatsstunden fehlen",IF($H296="","Monatslohn fehlt","OK")))))</f>
        <v>OK</v>
      </c>
      <c r="J296" s="441" t="str">
        <f>IF($G296="","",IF(COUNTIFS($A:$A,$A296,$D:$D,$D296,$G:$G,$G296)&gt;1,"Doppelte Monatsstunden",""))</f>
        <v/>
      </c>
    </row>
    <row r="297" spans="1:10" ht="24" customHeight="1">
      <c r="A297" s="436" t="s">
        <v>334</v>
      </c>
      <c r="B297" s="437">
        <v>45778</v>
      </c>
      <c r="C297" s="437">
        <v>46142</v>
      </c>
      <c r="D297" s="438" t="s">
        <v>23</v>
      </c>
      <c r="E297" s="438" t="s">
        <v>21</v>
      </c>
      <c r="F297" s="438" t="s">
        <v>323</v>
      </c>
      <c r="G297" s="439">
        <v>103.8</v>
      </c>
      <c r="H297" s="440">
        <v>1380</v>
      </c>
      <c r="I297" s="438" t="str">
        <f>IF($A297="","",IF(OR($B297="",$C297="",$D297="",$E297="",$F297=""),"Stammdaten fehlen",IF(AND($G297="",$H297=""),"Werte fehlen",IF($G297="","Monatsstunden fehlen",IF($H297="","Monatslohn fehlt","OK")))))</f>
        <v>OK</v>
      </c>
      <c r="J297" s="441" t="str">
        <f>IF($G297="","",IF(COUNTIFS($A:$A,$A297,$D:$D,$D297,$G:$G,$G297)&gt;1,"Doppelte Monatsstunden",""))</f>
        <v/>
      </c>
    </row>
    <row r="298" spans="1:10" ht="24" customHeight="1">
      <c r="A298" s="436" t="s">
        <v>334</v>
      </c>
      <c r="B298" s="437">
        <v>45778</v>
      </c>
      <c r="C298" s="437">
        <v>46142</v>
      </c>
      <c r="D298" s="438" t="s">
        <v>23</v>
      </c>
      <c r="E298" s="438" t="s">
        <v>21</v>
      </c>
      <c r="F298" s="438" t="s">
        <v>323</v>
      </c>
      <c r="G298" s="439">
        <v>86.5</v>
      </c>
      <c r="H298" s="440">
        <v>1150</v>
      </c>
      <c r="I298" s="438" t="str">
        <f>IF($A298="","",IF(OR($B298="",$C298="",$D298="",$E298="",$F298=""),"Stammdaten fehlen",IF(AND($G298="",$H298=""),"Werte fehlen",IF($G298="","Monatsstunden fehlen",IF($H298="","Monatslohn fehlt","OK")))))</f>
        <v>OK</v>
      </c>
      <c r="J298" s="441" t="str">
        <f>IF($G298="","",IF(COUNTIFS($A:$A,$A298,$D:$D,$D298,$G:$G,$G298)&gt;1,"Doppelte Monatsstunden",""))</f>
        <v/>
      </c>
    </row>
    <row r="299" spans="1:10" ht="24" customHeight="1">
      <c r="A299" s="436" t="s">
        <v>334</v>
      </c>
      <c r="B299" s="437">
        <v>45778</v>
      </c>
      <c r="C299" s="437">
        <v>46142</v>
      </c>
      <c r="D299" s="438" t="s">
        <v>23</v>
      </c>
      <c r="E299" s="438" t="s">
        <v>21</v>
      </c>
      <c r="F299" s="438" t="s">
        <v>323</v>
      </c>
      <c r="G299" s="439">
        <v>69.2</v>
      </c>
      <c r="H299" s="440">
        <v>920</v>
      </c>
      <c r="I299" s="438" t="str">
        <f>IF($A299="","",IF(OR($B299="",$C299="",$D299="",$E299="",$F299=""),"Stammdaten fehlen",IF(AND($G299="",$H299=""),"Werte fehlen",IF($G299="","Monatsstunden fehlen",IF($H299="","Monatslohn fehlt","OK")))))</f>
        <v>OK</v>
      </c>
      <c r="J299" s="441" t="str">
        <f>IF($G299="","",IF(COUNTIFS($A:$A,$A299,$D:$D,$D299,$G:$G,$G299)&gt;1,"Doppelte Monatsstunden",""))</f>
        <v/>
      </c>
    </row>
    <row r="300" spans="1:10" ht="24" customHeight="1">
      <c r="A300" s="436" t="s">
        <v>334</v>
      </c>
      <c r="B300" s="437">
        <v>45778</v>
      </c>
      <c r="C300" s="437">
        <v>46142</v>
      </c>
      <c r="D300" s="438" t="s">
        <v>23</v>
      </c>
      <c r="E300" s="438" t="s">
        <v>21</v>
      </c>
      <c r="F300" s="438" t="s">
        <v>323</v>
      </c>
      <c r="G300" s="439">
        <v>51.9</v>
      </c>
      <c r="H300" s="440">
        <v>690</v>
      </c>
      <c r="I300" s="438" t="str">
        <f>IF($A300="","",IF(OR($B300="",$C300="",$D300="",$E300="",$F300=""),"Stammdaten fehlen",IF(AND($G300="",$H300=""),"Werte fehlen",IF($G300="","Monatsstunden fehlen",IF($H300="","Monatslohn fehlt","OK")))))</f>
        <v>OK</v>
      </c>
      <c r="J300" s="441" t="str">
        <f>IF($G300="","",IF(COUNTIFS($A:$A,$A300,$D:$D,$D300,$G:$G,$G300)&gt;1,"Doppelte Monatsstunden",""))</f>
        <v/>
      </c>
    </row>
    <row r="301" spans="1:10" ht="24" customHeight="1">
      <c r="A301" s="436" t="s">
        <v>334</v>
      </c>
      <c r="B301" s="437">
        <v>45778</v>
      </c>
      <c r="C301" s="437">
        <v>46142</v>
      </c>
      <c r="D301" s="438" t="s">
        <v>23</v>
      </c>
      <c r="E301" s="438" t="s">
        <v>21</v>
      </c>
      <c r="F301" s="438" t="s">
        <v>323</v>
      </c>
      <c r="G301" s="439">
        <v>47.58</v>
      </c>
      <c r="H301" s="440">
        <v>632.5</v>
      </c>
      <c r="I301" s="438" t="str">
        <f>IF($A301="","",IF(OR($B301="",$C301="",$D301="",$E301="",$F301=""),"Stammdaten fehlen",IF(AND($G301="",$H301=""),"Werte fehlen",IF($G301="","Monatsstunden fehlen",IF($H301="","Monatslohn fehlt","OK")))))</f>
        <v>OK</v>
      </c>
      <c r="J301" s="441" t="str">
        <f>IF($G301="","",IF(COUNTIFS($A:$A,$A301,$D:$D,$D301,$G:$G,$G301)&gt;1,"Doppelte Monatsstunden",""))</f>
        <v/>
      </c>
    </row>
    <row r="302" spans="1:10" ht="24" customHeight="1">
      <c r="A302" s="436" t="s">
        <v>334</v>
      </c>
      <c r="B302" s="437">
        <v>45778</v>
      </c>
      <c r="C302" s="437">
        <v>46142</v>
      </c>
      <c r="D302" s="438" t="s">
        <v>23</v>
      </c>
      <c r="E302" s="438" t="s">
        <v>21</v>
      </c>
      <c r="F302" s="438" t="s">
        <v>323</v>
      </c>
      <c r="G302" s="439">
        <v>43.25</v>
      </c>
      <c r="H302" s="440">
        <v>575</v>
      </c>
      <c r="I302" s="438" t="str">
        <f>IF($A302="","",IF(OR($B302="",$C302="",$D302="",$E302="",$F302=""),"Stammdaten fehlen",IF(AND($G302="",$H302=""),"Werte fehlen",IF($G302="","Monatsstunden fehlen",IF($H302="","Monatslohn fehlt","OK")))))</f>
        <v>OK</v>
      </c>
      <c r="J302" s="441" t="str">
        <f>IF($G302="","",IF(COUNTIFS($A:$A,$A302,$D:$D,$D302,$G:$G,$G302)&gt;1,"Doppelte Monatsstunden",""))</f>
        <v/>
      </c>
    </row>
    <row r="303" spans="1:10" ht="24" customHeight="1">
      <c r="A303" s="436" t="s">
        <v>334</v>
      </c>
      <c r="B303" s="437">
        <v>45778</v>
      </c>
      <c r="C303" s="437">
        <v>46142</v>
      </c>
      <c r="D303" s="438" t="s">
        <v>23</v>
      </c>
      <c r="E303" s="438" t="s">
        <v>21</v>
      </c>
      <c r="F303" s="438" t="s">
        <v>323</v>
      </c>
      <c r="G303" s="439">
        <v>34.6</v>
      </c>
      <c r="H303" s="440">
        <v>460</v>
      </c>
      <c r="I303" s="438" t="str">
        <f>IF($A303="","",IF(OR($B303="",$C303="",$D303="",$E303="",$F303=""),"Stammdaten fehlen",IF(AND($G303="",$H303=""),"Werte fehlen",IF($G303="","Monatsstunden fehlen",IF($H303="","Monatslohn fehlt","OK")))))</f>
        <v>OK</v>
      </c>
      <c r="J303" s="441" t="str">
        <f>IF($G303="","",IF(COUNTIFS($A:$A,$A303,$D:$D,$D303,$G:$G,$G303)&gt;1,"Doppelte Monatsstunden",""))</f>
        <v/>
      </c>
    </row>
    <row r="304" spans="1:10" ht="24" customHeight="1" thickBot="1">
      <c r="A304" s="436" t="s">
        <v>334</v>
      </c>
      <c r="B304" s="437">
        <v>45778</v>
      </c>
      <c r="C304" s="437">
        <v>46142</v>
      </c>
      <c r="D304" s="438" t="s">
        <v>23</v>
      </c>
      <c r="E304" s="438" t="s">
        <v>21</v>
      </c>
      <c r="F304" s="438" t="s">
        <v>323</v>
      </c>
      <c r="G304" s="439">
        <v>32.01</v>
      </c>
      <c r="H304" s="440">
        <v>425.5</v>
      </c>
      <c r="I304" s="438" t="str">
        <f>IF($A304="","",IF(OR($B304="",$C304="",$D304="",$E304="",$F304=""),"Stammdaten fehlen",IF(AND($G304="",$H304=""),"Werte fehlen",IF($G304="","Monatsstunden fehlen",IF($H304="","Monatslohn fehlt","OK")))))</f>
        <v>OK</v>
      </c>
      <c r="J304" s="441" t="str">
        <f>IF($G304="","",IF(COUNTIFS($A:$A,$A304,$D:$D,$D304,$G:$G,$G304)&gt;1,"Doppelte Monatsstunden",""))</f>
        <v/>
      </c>
    </row>
    <row r="305" spans="1:10" ht="24" customHeight="1">
      <c r="A305" s="430" t="s">
        <v>334</v>
      </c>
      <c r="B305" s="431">
        <v>45778</v>
      </c>
      <c r="C305" s="431">
        <v>46142</v>
      </c>
      <c r="D305" s="432" t="s">
        <v>24</v>
      </c>
      <c r="E305" s="432" t="s">
        <v>21</v>
      </c>
      <c r="F305" s="432" t="s">
        <v>324</v>
      </c>
      <c r="G305" s="433">
        <v>173</v>
      </c>
      <c r="H305" s="434">
        <v>2328</v>
      </c>
      <c r="I305" s="432" t="str">
        <f>IF($A305="","",IF(OR($B305="",$C305="",$D305="",$E305="",$F305=""),"Stammdaten fehlen",IF(AND($G305="",$H305=""),"Werte fehlen",IF($G305="","Monatsstunden fehlen",IF($H305="","Monatslohn fehlt","OK")))))</f>
        <v>OK</v>
      </c>
      <c r="J305" s="435" t="str">
        <f>IF($G305="","",IF(COUNTIFS($A:$A,$A305,$D:$D,$D305,$G:$G,$G305)&gt;1,"Doppelte Monatsstunden",""))</f>
        <v/>
      </c>
    </row>
    <row r="306" spans="1:10" ht="24" customHeight="1">
      <c r="A306" s="436" t="s">
        <v>334</v>
      </c>
      <c r="B306" s="437">
        <v>45778</v>
      </c>
      <c r="C306" s="437">
        <v>46142</v>
      </c>
      <c r="D306" s="438" t="s">
        <v>24</v>
      </c>
      <c r="E306" s="438" t="s">
        <v>21</v>
      </c>
      <c r="F306" s="438" t="s">
        <v>324</v>
      </c>
      <c r="G306" s="439">
        <v>151.38</v>
      </c>
      <c r="H306" s="440">
        <v>2037</v>
      </c>
      <c r="I306" s="438" t="str">
        <f>IF($A306="","",IF(OR($B306="",$C306="",$D306="",$E306="",$F306=""),"Stammdaten fehlen",IF(AND($G306="",$H306=""),"Werte fehlen",IF($G306="","Monatsstunden fehlen",IF($H306="","Monatslohn fehlt","OK")))))</f>
        <v>OK</v>
      </c>
      <c r="J306" s="441" t="str">
        <f>IF($G306="","",IF(COUNTIFS($A:$A,$A306,$D:$D,$D306,$G:$G,$G306)&gt;1,"Doppelte Monatsstunden",""))</f>
        <v/>
      </c>
    </row>
    <row r="307" spans="1:10" ht="24" customHeight="1">
      <c r="A307" s="436" t="s">
        <v>334</v>
      </c>
      <c r="B307" s="437">
        <v>45778</v>
      </c>
      <c r="C307" s="437">
        <v>46142</v>
      </c>
      <c r="D307" s="438" t="s">
        <v>24</v>
      </c>
      <c r="E307" s="438" t="s">
        <v>21</v>
      </c>
      <c r="F307" s="438" t="s">
        <v>324</v>
      </c>
      <c r="G307" s="439">
        <v>138.4</v>
      </c>
      <c r="H307" s="440">
        <v>1862.4</v>
      </c>
      <c r="I307" s="438" t="str">
        <f>IF($A307="","",IF(OR($B307="",$C307="",$D307="",$E307="",$F307=""),"Stammdaten fehlen",IF(AND($G307="",$H307=""),"Werte fehlen",IF($G307="","Monatsstunden fehlen",IF($H307="","Monatslohn fehlt","OK")))))</f>
        <v>OK</v>
      </c>
      <c r="J307" s="441" t="str">
        <f>IF($G307="","",IF(COUNTIFS($A:$A,$A307,$D:$D,$D307,$G:$G,$G307)&gt;1,"Doppelte Monatsstunden",""))</f>
        <v/>
      </c>
    </row>
    <row r="308" spans="1:10" ht="24" customHeight="1">
      <c r="A308" s="436" t="s">
        <v>334</v>
      </c>
      <c r="B308" s="437">
        <v>45778</v>
      </c>
      <c r="C308" s="437">
        <v>46142</v>
      </c>
      <c r="D308" s="438" t="s">
        <v>24</v>
      </c>
      <c r="E308" s="438" t="s">
        <v>21</v>
      </c>
      <c r="F308" s="438" t="s">
        <v>324</v>
      </c>
      <c r="G308" s="439">
        <v>129.75</v>
      </c>
      <c r="H308" s="440">
        <v>1476</v>
      </c>
      <c r="I308" s="438" t="str">
        <f>IF($A308="","",IF(OR($B308="",$C308="",$D308="",$E308="",$F308=""),"Stammdaten fehlen",IF(AND($G308="",$H308=""),"Werte fehlen",IF($G308="","Monatsstunden fehlen",IF($H308="","Monatslohn fehlt","OK")))))</f>
        <v>OK</v>
      </c>
      <c r="J308" s="441" t="str">
        <f>IF($G308="","",IF(COUNTIFS($A:$A,$A308,$D:$D,$D308,$G:$G,$G308)&gt;1,"Doppelte Monatsstunden",""))</f>
        <v/>
      </c>
    </row>
    <row r="309" spans="1:10" ht="24" customHeight="1">
      <c r="A309" s="436" t="s">
        <v>334</v>
      </c>
      <c r="B309" s="437">
        <v>45778</v>
      </c>
      <c r="C309" s="437">
        <v>46142</v>
      </c>
      <c r="D309" s="438" t="s">
        <v>24</v>
      </c>
      <c r="E309" s="438" t="s">
        <v>21</v>
      </c>
      <c r="F309" s="438" t="s">
        <v>324</v>
      </c>
      <c r="G309" s="439">
        <v>108.13</v>
      </c>
      <c r="H309" s="440">
        <v>1455</v>
      </c>
      <c r="I309" s="438" t="str">
        <f>IF($A309="","",IF(OR($B309="",$C309="",$D309="",$E309="",$F309=""),"Stammdaten fehlen",IF(AND($G309="",$H309=""),"Werte fehlen",IF($G309="","Monatsstunden fehlen",IF($H309="","Monatslohn fehlt","OK")))))</f>
        <v>OK</v>
      </c>
      <c r="J309" s="441" t="str">
        <f>IF($G309="","",IF(COUNTIFS($A:$A,$A309,$D:$D,$D309,$G:$G,$G309)&gt;1,"Doppelte Monatsstunden",""))</f>
        <v/>
      </c>
    </row>
    <row r="310" spans="1:10" ht="24" customHeight="1">
      <c r="A310" s="436" t="s">
        <v>334</v>
      </c>
      <c r="B310" s="437">
        <v>45778</v>
      </c>
      <c r="C310" s="437">
        <v>46142</v>
      </c>
      <c r="D310" s="438" t="s">
        <v>24</v>
      </c>
      <c r="E310" s="438" t="s">
        <v>21</v>
      </c>
      <c r="F310" s="438" t="s">
        <v>324</v>
      </c>
      <c r="G310" s="439">
        <v>103.8</v>
      </c>
      <c r="H310" s="440">
        <v>1396.8</v>
      </c>
      <c r="I310" s="438" t="str">
        <f>IF($A310="","",IF(OR($B310="",$C310="",$D310="",$E310="",$F310=""),"Stammdaten fehlen",IF(AND($G310="",$H310=""),"Werte fehlen",IF($G310="","Monatsstunden fehlen",IF($H310="","Monatslohn fehlt","OK")))))</f>
        <v>OK</v>
      </c>
      <c r="J310" s="441" t="str">
        <f>IF($G310="","",IF(COUNTIFS($A:$A,$A310,$D:$D,$D310,$G:$G,$G310)&gt;1,"Doppelte Monatsstunden",""))</f>
        <v/>
      </c>
    </row>
    <row r="311" spans="1:10" ht="24" customHeight="1">
      <c r="A311" s="436" t="s">
        <v>334</v>
      </c>
      <c r="B311" s="437">
        <v>45778</v>
      </c>
      <c r="C311" s="437">
        <v>46142</v>
      </c>
      <c r="D311" s="438" t="s">
        <v>24</v>
      </c>
      <c r="E311" s="438" t="s">
        <v>21</v>
      </c>
      <c r="F311" s="438" t="s">
        <v>324</v>
      </c>
      <c r="G311" s="439">
        <v>86.5</v>
      </c>
      <c r="H311" s="440">
        <v>1164</v>
      </c>
      <c r="I311" s="438" t="str">
        <f>IF($A311="","",IF(OR($B311="",$C311="",$D311="",$E311="",$F311=""),"Stammdaten fehlen",IF(AND($G311="",$H311=""),"Werte fehlen",IF($G311="","Monatsstunden fehlen",IF($H311="","Monatslohn fehlt","OK")))))</f>
        <v>OK</v>
      </c>
      <c r="J311" s="441" t="str">
        <f>IF($G311="","",IF(COUNTIFS($A:$A,$A311,$D:$D,$D311,$G:$G,$G311)&gt;1,"Doppelte Monatsstunden",""))</f>
        <v/>
      </c>
    </row>
    <row r="312" spans="1:10" ht="24" customHeight="1">
      <c r="A312" s="436" t="s">
        <v>334</v>
      </c>
      <c r="B312" s="437">
        <v>45778</v>
      </c>
      <c r="C312" s="437">
        <v>46142</v>
      </c>
      <c r="D312" s="438" t="s">
        <v>24</v>
      </c>
      <c r="E312" s="438" t="s">
        <v>21</v>
      </c>
      <c r="F312" s="438" t="s">
        <v>324</v>
      </c>
      <c r="G312" s="439">
        <v>69.2</v>
      </c>
      <c r="H312" s="440">
        <v>931.2</v>
      </c>
      <c r="I312" s="438" t="str">
        <f>IF($A312="","",IF(OR($B312="",$C312="",$D312="",$E312="",$F312=""),"Stammdaten fehlen",IF(AND($G312="",$H312=""),"Werte fehlen",IF($G312="","Monatsstunden fehlen",IF($H312="","Monatslohn fehlt","OK")))))</f>
        <v>OK</v>
      </c>
      <c r="J312" s="441" t="str">
        <f>IF($G312="","",IF(COUNTIFS($A:$A,$A312,$D:$D,$D312,$G:$G,$G312)&gt;1,"Doppelte Monatsstunden",""))</f>
        <v/>
      </c>
    </row>
    <row r="313" spans="1:10" ht="24" customHeight="1">
      <c r="A313" s="436" t="s">
        <v>334</v>
      </c>
      <c r="B313" s="437">
        <v>45778</v>
      </c>
      <c r="C313" s="437">
        <v>46142</v>
      </c>
      <c r="D313" s="438" t="s">
        <v>24</v>
      </c>
      <c r="E313" s="438" t="s">
        <v>21</v>
      </c>
      <c r="F313" s="438" t="s">
        <v>324</v>
      </c>
      <c r="G313" s="439">
        <v>51.9</v>
      </c>
      <c r="H313" s="440">
        <v>698.4</v>
      </c>
      <c r="I313" s="438" t="str">
        <f>IF($A313="","",IF(OR($B313="",$C313="",$D313="",$E313="",$F313=""),"Stammdaten fehlen",IF(AND($G313="",$H313=""),"Werte fehlen",IF($G313="","Monatsstunden fehlen",IF($H313="","Monatslohn fehlt","OK")))))</f>
        <v>OK</v>
      </c>
      <c r="J313" s="441" t="str">
        <f>IF($G313="","",IF(COUNTIFS($A:$A,$A313,$D:$D,$D313,$G:$G,$G313)&gt;1,"Doppelte Monatsstunden",""))</f>
        <v/>
      </c>
    </row>
    <row r="314" spans="1:10" ht="24" customHeight="1">
      <c r="A314" s="436" t="s">
        <v>334</v>
      </c>
      <c r="B314" s="437">
        <v>45778</v>
      </c>
      <c r="C314" s="437">
        <v>46142</v>
      </c>
      <c r="D314" s="438" t="s">
        <v>24</v>
      </c>
      <c r="E314" s="438" t="s">
        <v>21</v>
      </c>
      <c r="F314" s="438" t="s">
        <v>324</v>
      </c>
      <c r="G314" s="439">
        <v>47.58</v>
      </c>
      <c r="H314" s="440">
        <v>640</v>
      </c>
      <c r="I314" s="438" t="str">
        <f>IF($A314="","",IF(OR($B314="",$C314="",$D314="",$E314="",$F314=""),"Stammdaten fehlen",IF(AND($G314="",$H314=""),"Werte fehlen",IF($G314="","Monatsstunden fehlen",IF($H314="","Monatslohn fehlt","OK")))))</f>
        <v>OK</v>
      </c>
      <c r="J314" s="441" t="str">
        <f>IF($G314="","",IF(COUNTIFS($A:$A,$A314,$D:$D,$D314,$G:$G,$G314)&gt;1,"Doppelte Monatsstunden",""))</f>
        <v/>
      </c>
    </row>
    <row r="315" spans="1:10" ht="24" customHeight="1">
      <c r="A315" s="436" t="s">
        <v>334</v>
      </c>
      <c r="B315" s="437">
        <v>45778</v>
      </c>
      <c r="C315" s="437">
        <v>46142</v>
      </c>
      <c r="D315" s="438" t="s">
        <v>24</v>
      </c>
      <c r="E315" s="438" t="s">
        <v>21</v>
      </c>
      <c r="F315" s="438" t="s">
        <v>324</v>
      </c>
      <c r="G315" s="439">
        <v>43.25</v>
      </c>
      <c r="H315" s="440">
        <v>582</v>
      </c>
      <c r="I315" s="438" t="str">
        <f>IF($A315="","",IF(OR($B315="",$C315="",$D315="",$E315="",$F315=""),"Stammdaten fehlen",IF(AND($G315="",$H315=""),"Werte fehlen",IF($G315="","Monatsstunden fehlen",IF($H315="","Monatslohn fehlt","OK")))))</f>
        <v>OK</v>
      </c>
      <c r="J315" s="441" t="str">
        <f>IF($G315="","",IF(COUNTIFS($A:$A,$A315,$D:$D,$D315,$G:$G,$G315)&gt;1,"Doppelte Monatsstunden",""))</f>
        <v/>
      </c>
    </row>
    <row r="316" spans="1:10" ht="24" customHeight="1">
      <c r="A316" s="436" t="s">
        <v>334</v>
      </c>
      <c r="B316" s="437">
        <v>45778</v>
      </c>
      <c r="C316" s="437">
        <v>46142</v>
      </c>
      <c r="D316" s="438" t="s">
        <v>24</v>
      </c>
      <c r="E316" s="438" t="s">
        <v>21</v>
      </c>
      <c r="F316" s="438" t="s">
        <v>324</v>
      </c>
      <c r="G316" s="439">
        <v>34.6</v>
      </c>
      <c r="H316" s="440">
        <v>465.6</v>
      </c>
      <c r="I316" s="438" t="str">
        <f>IF($A316="","",IF(OR($B316="",$C316="",$D316="",$E316="",$F316=""),"Stammdaten fehlen",IF(AND($G316="",$H316=""),"Werte fehlen",IF($G316="","Monatsstunden fehlen",IF($H316="","Monatslohn fehlt","OK")))))</f>
        <v>OK</v>
      </c>
      <c r="J316" s="441" t="str">
        <f>IF($G316="","",IF(COUNTIFS($A:$A,$A316,$D:$D,$D316,$G:$G,$G316)&gt;1,"Doppelte Monatsstunden",""))</f>
        <v/>
      </c>
    </row>
    <row r="317" spans="1:10" ht="24" customHeight="1" thickBot="1">
      <c r="A317" s="448" t="s">
        <v>334</v>
      </c>
      <c r="B317" s="449">
        <v>45778</v>
      </c>
      <c r="C317" s="449">
        <v>46142</v>
      </c>
      <c r="D317" s="450" t="s">
        <v>24</v>
      </c>
      <c r="E317" s="450" t="s">
        <v>21</v>
      </c>
      <c r="F317" s="450" t="s">
        <v>324</v>
      </c>
      <c r="G317" s="451">
        <v>32.01</v>
      </c>
      <c r="H317" s="452">
        <v>430.68</v>
      </c>
      <c r="I317" s="450" t="str">
        <f>IF($A317="","",IF(OR($B317="",$C317="",$D317="",$E317="",$F317=""),"Stammdaten fehlen",IF(AND($G317="",$H317=""),"Werte fehlen",IF($G317="","Monatsstunden fehlen",IF($H317="","Monatslohn fehlt","OK")))))</f>
        <v>OK</v>
      </c>
      <c r="J317" s="453" t="str">
        <f>IF($G317="","",IF(COUNTIFS($A:$A,$A317,$D:$D,$D317,$G:$G,$G317)&gt;1,"Doppelte Monatsstunden",""))</f>
        <v/>
      </c>
    </row>
  </sheetData>
  <sheetProtection algorithmName="SHA-512" hashValue="2I2i7KovonF3rOTmHqZrUNj+72zb4zJpv3GC9IieAsABDL7Fa9WrXRxSRWs/F0daqL6ONAB7Ndf0J4bKWovNAQ==" saltValue="iE57uthrPuPVUbxDauCi8g==" spinCount="100000" sheet="1" objects="1" scenarios="1" sort="0" autoFilter="0"/>
  <mergeCells count="4">
    <mergeCell ref="A1:J1"/>
    <mergeCell ref="A2:J2"/>
    <mergeCell ref="A161:J161"/>
    <mergeCell ref="A4:J4"/>
  </mergeCells>
  <phoneticPr fontId="15" type="noConversion"/>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230" t="s">
        <v>25</v>
      </c>
      <c r="C1" s="230"/>
      <c r="D1" s="230"/>
      <c r="E1" s="230"/>
      <c r="F1" s="230"/>
      <c r="G1" s="230"/>
      <c r="H1" s="230"/>
      <c r="I1" s="230"/>
      <c r="J1" s="230"/>
      <c r="K1" s="230"/>
      <c r="L1" s="230"/>
      <c r="M1" s="230"/>
      <c r="N1" s="230"/>
      <c r="O1" s="230"/>
    </row>
    <row r="2" spans="2:15" ht="17.25" customHeight="1">
      <c r="B2" s="230"/>
      <c r="C2" s="230"/>
      <c r="D2" s="230"/>
      <c r="E2" s="230"/>
      <c r="F2" s="230"/>
      <c r="G2" s="230"/>
      <c r="H2" s="230"/>
      <c r="I2" s="230"/>
      <c r="J2" s="230"/>
      <c r="K2" s="230"/>
      <c r="L2" s="230"/>
      <c r="M2" s="230"/>
      <c r="N2" s="230"/>
      <c r="O2" s="230"/>
    </row>
    <row r="3" spans="2:15" ht="18" customHeight="1">
      <c r="B3" s="235" t="s">
        <v>26</v>
      </c>
      <c r="C3" s="235"/>
      <c r="D3" s="235"/>
      <c r="E3" s="235"/>
      <c r="F3" s="235"/>
      <c r="H3" s="232" t="s">
        <v>27</v>
      </c>
      <c r="I3" s="232"/>
      <c r="K3" s="234" t="s">
        <v>28</v>
      </c>
      <c r="L3" s="234"/>
      <c r="N3" s="232" t="s">
        <v>29</v>
      </c>
      <c r="O3" s="232"/>
    </row>
    <row r="4" spans="2:15" ht="15" customHeight="1">
      <c r="B4" s="235"/>
      <c r="C4" s="235"/>
      <c r="D4" s="235"/>
      <c r="E4" s="235"/>
      <c r="F4" s="235"/>
      <c r="H4" s="232"/>
      <c r="I4" s="232"/>
      <c r="K4" s="234"/>
      <c r="L4" s="234"/>
      <c r="N4" s="232"/>
      <c r="O4" s="232"/>
    </row>
    <row r="5" spans="2:15">
      <c r="B5" s="56"/>
      <c r="C5" s="56" t="s">
        <v>30</v>
      </c>
      <c r="D5" s="56" t="s">
        <v>31</v>
      </c>
      <c r="E5" s="56" t="s">
        <v>32</v>
      </c>
      <c r="F5" s="56" t="s">
        <v>33</v>
      </c>
      <c r="H5" s="233" t="s">
        <v>34</v>
      </c>
      <c r="I5" s="233"/>
      <c r="K5" s="233" t="s">
        <v>34</v>
      </c>
      <c r="L5" s="233"/>
      <c r="N5" s="233" t="s">
        <v>35</v>
      </c>
      <c r="O5" s="233"/>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231" t="s">
        <v>49</v>
      </c>
      <c r="C19" s="231"/>
      <c r="D19" s="231"/>
      <c r="E19" s="231"/>
      <c r="F19" s="231"/>
      <c r="H19" s="232" t="s">
        <v>50</v>
      </c>
      <c r="I19" s="232"/>
      <c r="K19" s="234" t="s">
        <v>51</v>
      </c>
      <c r="L19" s="234"/>
      <c r="N19" s="236" t="s">
        <v>203</v>
      </c>
      <c r="O19" s="236"/>
      <c r="P19" s="236"/>
      <c r="Q19" s="236"/>
      <c r="R19" s="236"/>
      <c r="S19" s="236"/>
      <c r="T19" s="236"/>
      <c r="U19" s="236"/>
    </row>
    <row r="20" spans="2:21">
      <c r="B20" s="231"/>
      <c r="C20" s="231"/>
      <c r="D20" s="231"/>
      <c r="E20" s="231"/>
      <c r="F20" s="231"/>
      <c r="H20" s="232"/>
      <c r="I20" s="232"/>
      <c r="K20" s="234"/>
      <c r="L20" s="234"/>
      <c r="N20" s="236"/>
      <c r="O20" s="236"/>
      <c r="P20" s="236"/>
      <c r="Q20" s="236"/>
      <c r="R20" s="236"/>
      <c r="S20" s="236"/>
      <c r="T20" s="236"/>
      <c r="U20" s="236"/>
    </row>
    <row r="21" spans="2:21">
      <c r="B21" s="56"/>
      <c r="C21" s="56" t="s">
        <v>30</v>
      </c>
      <c r="D21" s="56" t="s">
        <v>31</v>
      </c>
      <c r="E21" s="56" t="s">
        <v>32</v>
      </c>
      <c r="F21" s="56" t="s">
        <v>33</v>
      </c>
      <c r="H21" s="233" t="s">
        <v>34</v>
      </c>
      <c r="I21" s="233"/>
      <c r="K21" s="233" t="s">
        <v>34</v>
      </c>
      <c r="L21" s="233"/>
      <c r="N21" s="236"/>
      <c r="O21" s="236"/>
      <c r="P21" s="236"/>
      <c r="Q21" s="236"/>
      <c r="R21" s="236"/>
      <c r="S21" s="236"/>
      <c r="T21" s="236"/>
      <c r="U21" s="236"/>
    </row>
    <row r="22" spans="2:21">
      <c r="B22" s="57" t="s">
        <v>36</v>
      </c>
      <c r="C22" s="3">
        <v>1</v>
      </c>
      <c r="D22" s="87">
        <f>UBERSICHT!G7</f>
        <v>95107.828800000003</v>
      </c>
      <c r="E22" s="58">
        <f>Januar!$S$37</f>
        <v>95107.828800000003</v>
      </c>
      <c r="F22" s="50">
        <v>1</v>
      </c>
      <c r="H22" s="59" t="s">
        <v>36</v>
      </c>
      <c r="I22" s="51">
        <v>1</v>
      </c>
      <c r="K22" s="59" t="s">
        <v>36</v>
      </c>
      <c r="L22" s="51">
        <v>1</v>
      </c>
      <c r="N22" s="236"/>
      <c r="O22" s="236"/>
      <c r="P22" s="236"/>
      <c r="Q22" s="236"/>
      <c r="R22" s="236"/>
      <c r="S22" s="236"/>
      <c r="T22" s="236"/>
      <c r="U22" s="236"/>
    </row>
    <row r="23" spans="2:21">
      <c r="B23" s="57" t="s">
        <v>37</v>
      </c>
      <c r="C23" s="3">
        <v>2</v>
      </c>
      <c r="D23" s="87">
        <f>UBERSICHT!G8</f>
        <v>108550</v>
      </c>
      <c r="E23" s="58">
        <f>Februar!$S$37</f>
        <v>54275</v>
      </c>
      <c r="F23" s="50">
        <v>2</v>
      </c>
      <c r="H23" s="59" t="s">
        <v>38</v>
      </c>
      <c r="I23" s="51">
        <v>2</v>
      </c>
      <c r="K23" s="59" t="s">
        <v>38</v>
      </c>
      <c r="L23" s="51">
        <v>2</v>
      </c>
      <c r="N23" s="236"/>
      <c r="O23" s="236"/>
      <c r="P23" s="236"/>
      <c r="Q23" s="236"/>
      <c r="R23" s="236"/>
      <c r="S23" s="236"/>
      <c r="T23" s="236"/>
      <c r="U23" s="236"/>
    </row>
    <row r="24" spans="2:21">
      <c r="B24" s="57" t="s">
        <v>39</v>
      </c>
      <c r="C24" s="3">
        <v>3</v>
      </c>
      <c r="D24" s="87">
        <f>UBERSICHT!G9</f>
        <v>109299.0058</v>
      </c>
      <c r="E24" s="58">
        <f>Marz!$S$37</f>
        <v>36433.001933333333</v>
      </c>
      <c r="F24" s="50">
        <v>3</v>
      </c>
      <c r="H24" s="59" t="s">
        <v>39</v>
      </c>
      <c r="I24" s="51">
        <v>3</v>
      </c>
      <c r="K24" s="59" t="s">
        <v>39</v>
      </c>
      <c r="L24" s="51">
        <v>3</v>
      </c>
      <c r="N24" s="236"/>
      <c r="O24" s="236"/>
      <c r="P24" s="236"/>
      <c r="Q24" s="236"/>
      <c r="R24" s="236"/>
      <c r="S24" s="236"/>
      <c r="T24" s="236"/>
      <c r="U24" s="236"/>
    </row>
    <row r="25" spans="2:21">
      <c r="B25" s="57" t="s">
        <v>40</v>
      </c>
      <c r="C25" s="3">
        <v>4</v>
      </c>
      <c r="D25" s="87">
        <f>UBERSICHT!G11</f>
        <v>109964.98</v>
      </c>
      <c r="E25" s="58">
        <f>April!$S$37</f>
        <v>27491.244999999999</v>
      </c>
      <c r="F25" s="50">
        <v>4</v>
      </c>
      <c r="H25" s="59" t="s">
        <v>40</v>
      </c>
      <c r="I25" s="51">
        <v>4</v>
      </c>
      <c r="K25" s="59" t="s">
        <v>40</v>
      </c>
      <c r="L25" s="51">
        <v>4</v>
      </c>
      <c r="N25" s="236"/>
      <c r="O25" s="236"/>
      <c r="P25" s="236"/>
      <c r="Q25" s="236"/>
      <c r="R25" s="236"/>
      <c r="S25" s="236"/>
      <c r="T25" s="236"/>
      <c r="U25" s="236"/>
    </row>
    <row r="26" spans="2:21">
      <c r="B26" s="57" t="s">
        <v>41</v>
      </c>
      <c r="C26" s="3">
        <v>5</v>
      </c>
      <c r="D26" s="87">
        <f>UBERSICHT!G12</f>
        <v>0</v>
      </c>
      <c r="E26" s="58">
        <f>Mai!$S$37</f>
        <v>0</v>
      </c>
      <c r="F26" s="50">
        <v>5</v>
      </c>
      <c r="H26" s="59" t="s">
        <v>41</v>
      </c>
      <c r="I26" s="51">
        <v>5</v>
      </c>
      <c r="K26" s="59" t="s">
        <v>41</v>
      </c>
      <c r="L26" s="51">
        <v>5</v>
      </c>
      <c r="M26" s="77"/>
      <c r="N26" s="236"/>
      <c r="O26" s="236"/>
      <c r="P26" s="236"/>
      <c r="Q26" s="236"/>
      <c r="R26" s="236"/>
      <c r="S26" s="236"/>
      <c r="T26" s="236"/>
      <c r="U26" s="236"/>
    </row>
    <row r="27" spans="2:21">
      <c r="B27" s="57" t="s">
        <v>42</v>
      </c>
      <c r="C27" s="3">
        <v>6</v>
      </c>
      <c r="D27" s="87">
        <f>UBERSICHT!G13</f>
        <v>0</v>
      </c>
      <c r="E27" s="58">
        <f>Juni!$S$37</f>
        <v>0</v>
      </c>
      <c r="F27" s="50">
        <v>6</v>
      </c>
      <c r="H27" s="59" t="s">
        <v>42</v>
      </c>
      <c r="I27" s="51">
        <v>6</v>
      </c>
      <c r="K27" s="59" t="s">
        <v>42</v>
      </c>
      <c r="L27" s="51">
        <v>6</v>
      </c>
      <c r="M27" s="77"/>
      <c r="N27" s="236"/>
      <c r="O27" s="236"/>
      <c r="P27" s="236"/>
      <c r="Q27" s="236"/>
      <c r="R27" s="236"/>
      <c r="S27" s="236"/>
      <c r="T27" s="236"/>
      <c r="U27" s="236"/>
    </row>
    <row r="28" spans="2:21">
      <c r="B28" s="57" t="s">
        <v>43</v>
      </c>
      <c r="C28" s="3">
        <v>7</v>
      </c>
      <c r="D28" s="87">
        <f>UBERSICHT!G15</f>
        <v>0</v>
      </c>
      <c r="E28" s="58">
        <f>Juli!$S$37</f>
        <v>0</v>
      </c>
      <c r="F28" s="50">
        <v>7</v>
      </c>
      <c r="H28" s="59" t="s">
        <v>43</v>
      </c>
      <c r="I28" s="51">
        <v>7</v>
      </c>
      <c r="K28" s="59" t="s">
        <v>43</v>
      </c>
      <c r="L28" s="51">
        <v>7</v>
      </c>
      <c r="M28" s="77"/>
      <c r="N28" s="236"/>
      <c r="O28" s="236"/>
      <c r="P28" s="236"/>
      <c r="Q28" s="236"/>
      <c r="R28" s="236"/>
      <c r="S28" s="236"/>
      <c r="T28" s="236"/>
      <c r="U28" s="236"/>
    </row>
    <row r="29" spans="2:21">
      <c r="B29" s="57" t="s">
        <v>44</v>
      </c>
      <c r="C29" s="3">
        <v>8</v>
      </c>
      <c r="D29" s="87">
        <f>UBERSICHT!G16</f>
        <v>148797.10159999999</v>
      </c>
      <c r="E29" s="58">
        <f>August!$S$37</f>
        <v>18599.637699999999</v>
      </c>
      <c r="F29" s="50">
        <v>8</v>
      </c>
      <c r="H29" s="59" t="s">
        <v>44</v>
      </c>
      <c r="I29" s="51">
        <v>8</v>
      </c>
      <c r="K29" s="59" t="s">
        <v>44</v>
      </c>
      <c r="L29" s="51">
        <v>8</v>
      </c>
      <c r="M29" s="77"/>
      <c r="N29" s="236"/>
      <c r="O29" s="236"/>
      <c r="P29" s="236"/>
      <c r="Q29" s="236"/>
      <c r="R29" s="236"/>
      <c r="S29" s="236"/>
      <c r="T29" s="236"/>
      <c r="U29" s="236"/>
    </row>
    <row r="30" spans="2:21">
      <c r="B30" s="57" t="s">
        <v>45</v>
      </c>
      <c r="C30" s="3">
        <v>9</v>
      </c>
      <c r="D30" s="87">
        <f>UBERSICHT!G17</f>
        <v>151793.4</v>
      </c>
      <c r="E30" s="58">
        <f>September!$S$37</f>
        <v>16865.933333333334</v>
      </c>
      <c r="F30" s="50">
        <v>9</v>
      </c>
      <c r="H30" s="59" t="s">
        <v>45</v>
      </c>
      <c r="I30" s="51">
        <v>9</v>
      </c>
      <c r="K30" s="59" t="s">
        <v>45</v>
      </c>
      <c r="L30" s="51">
        <v>9</v>
      </c>
      <c r="N30" s="236"/>
      <c r="O30" s="236"/>
      <c r="P30" s="236"/>
      <c r="Q30" s="236"/>
      <c r="R30" s="236"/>
      <c r="S30" s="236"/>
      <c r="T30" s="236"/>
      <c r="U30" s="236"/>
    </row>
    <row r="31" spans="2:21">
      <c r="B31" s="57" t="s">
        <v>46</v>
      </c>
      <c r="C31" s="3">
        <v>10</v>
      </c>
      <c r="D31" s="87">
        <f>UBERSICHT!G19</f>
        <v>151794.4</v>
      </c>
      <c r="E31" s="58">
        <f>Oktober!$S$37</f>
        <v>15179.439999999999</v>
      </c>
      <c r="F31" s="50">
        <v>10</v>
      </c>
      <c r="H31" s="59" t="s">
        <v>46</v>
      </c>
      <c r="I31" s="51">
        <v>10</v>
      </c>
      <c r="K31" s="59" t="s">
        <v>46</v>
      </c>
      <c r="L31" s="51">
        <v>10</v>
      </c>
      <c r="N31" s="236"/>
      <c r="O31" s="236"/>
      <c r="P31" s="236"/>
      <c r="Q31" s="236"/>
      <c r="R31" s="236"/>
      <c r="S31" s="236"/>
      <c r="T31" s="236"/>
      <c r="U31" s="236"/>
    </row>
    <row r="32" spans="2:21">
      <c r="B32" s="57" t="s">
        <v>47</v>
      </c>
      <c r="C32" s="3">
        <v>11</v>
      </c>
      <c r="D32" s="87">
        <f>UBERSICHT!G20</f>
        <v>151795.4</v>
      </c>
      <c r="E32" s="58">
        <f>November!$S$37</f>
        <v>13799.581818181818</v>
      </c>
      <c r="F32" s="50">
        <v>11</v>
      </c>
      <c r="H32" s="59" t="s">
        <v>47</v>
      </c>
      <c r="I32" s="51">
        <v>11</v>
      </c>
      <c r="K32" s="59" t="s">
        <v>47</v>
      </c>
      <c r="L32" s="51">
        <v>11</v>
      </c>
      <c r="N32" s="236"/>
      <c r="O32" s="236"/>
      <c r="P32" s="236"/>
      <c r="Q32" s="236"/>
      <c r="R32" s="236"/>
      <c r="S32" s="236"/>
      <c r="T32" s="236"/>
      <c r="U32" s="236"/>
    </row>
    <row r="33" spans="2:21">
      <c r="B33" s="57" t="s">
        <v>48</v>
      </c>
      <c r="C33" s="3">
        <v>12</v>
      </c>
      <c r="D33" s="87">
        <f>UBERSICHT!G21</f>
        <v>151796.4</v>
      </c>
      <c r="E33" s="58">
        <f>Dezember!$S$37</f>
        <v>12649.699999999999</v>
      </c>
      <c r="F33" s="50">
        <v>12</v>
      </c>
      <c r="H33" s="59" t="s">
        <v>48</v>
      </c>
      <c r="I33" s="51">
        <v>12</v>
      </c>
      <c r="K33" s="59" t="s">
        <v>48</v>
      </c>
      <c r="L33" s="51">
        <v>12</v>
      </c>
      <c r="N33" s="236"/>
      <c r="O33" s="236"/>
      <c r="P33" s="236"/>
      <c r="Q33" s="236"/>
      <c r="R33" s="236"/>
      <c r="S33" s="236"/>
      <c r="T33" s="236"/>
      <c r="U33" s="236"/>
    </row>
    <row r="34" spans="2:21">
      <c r="N34" s="236"/>
      <c r="O34" s="236"/>
      <c r="P34" s="236"/>
      <c r="Q34" s="236"/>
      <c r="R34" s="236"/>
      <c r="S34" s="236"/>
      <c r="T34" s="236"/>
      <c r="U34" s="236"/>
    </row>
    <row r="35" spans="2:21" ht="14.5" customHeight="1">
      <c r="B35" s="229" t="s">
        <v>204</v>
      </c>
      <c r="C35" s="229"/>
      <c r="D35" s="229"/>
      <c r="E35" s="126"/>
      <c r="N35" s="236"/>
      <c r="O35" s="236"/>
      <c r="P35" s="236"/>
      <c r="Q35" s="236"/>
      <c r="R35" s="236"/>
      <c r="S35" s="236"/>
      <c r="T35" s="236"/>
      <c r="U35" s="236"/>
    </row>
    <row r="36" spans="2:21">
      <c r="B36" s="229"/>
      <c r="C36" s="229"/>
      <c r="D36" s="229"/>
      <c r="N36" s="236"/>
      <c r="O36" s="236"/>
      <c r="P36" s="236"/>
      <c r="Q36" s="236"/>
      <c r="R36" s="236"/>
      <c r="S36" s="236"/>
      <c r="T36" s="236"/>
      <c r="U36" s="236"/>
    </row>
    <row r="37" spans="2:21">
      <c r="N37" s="236"/>
      <c r="O37" s="236"/>
      <c r="P37" s="236"/>
      <c r="Q37" s="236"/>
      <c r="R37" s="236"/>
      <c r="S37" s="236"/>
      <c r="T37" s="236"/>
      <c r="U37" s="236"/>
    </row>
    <row r="38" spans="2:21">
      <c r="N38" s="236"/>
      <c r="O38" s="236"/>
      <c r="P38" s="236"/>
      <c r="Q38" s="236"/>
      <c r="R38" s="236"/>
      <c r="S38" s="236"/>
      <c r="T38" s="236"/>
      <c r="U38" s="236"/>
    </row>
    <row r="39" spans="2:21">
      <c r="N39" s="236"/>
      <c r="O39" s="236"/>
      <c r="P39" s="236"/>
      <c r="Q39" s="236"/>
      <c r="R39" s="236"/>
      <c r="S39" s="236"/>
      <c r="T39" s="236"/>
      <c r="U39" s="236"/>
    </row>
    <row r="40" spans="2:21">
      <c r="N40" s="236"/>
      <c r="O40" s="236"/>
      <c r="P40" s="236"/>
      <c r="Q40" s="236"/>
      <c r="R40" s="236"/>
      <c r="S40" s="236"/>
      <c r="T40" s="236"/>
      <c r="U40" s="236"/>
    </row>
    <row r="41" spans="2:21">
      <c r="N41" s="236"/>
      <c r="O41" s="236"/>
      <c r="P41" s="236"/>
      <c r="Q41" s="236"/>
      <c r="R41" s="236"/>
      <c r="S41" s="236"/>
      <c r="T41" s="236"/>
      <c r="U41" s="236"/>
    </row>
    <row r="42" spans="2:21">
      <c r="N42" s="236"/>
      <c r="O42" s="236"/>
      <c r="P42" s="236"/>
      <c r="Q42" s="236"/>
      <c r="R42" s="236"/>
      <c r="S42" s="236"/>
      <c r="T42" s="236"/>
      <c r="U42" s="236"/>
    </row>
  </sheetData>
  <sheetProtection algorithmName="SHA-512" hashValue="KTemmo+hn+gyd8MdxDxSc7TJWfs2mUR3VCUDzBq+/RATexwu02Lf2nftZw75ZB1ENty5HYJ3xKF4jedlyurOmQ==" saltValue="bkunOY1fA1FBpNQC8gRlrg=="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46023</v>
      </c>
    </row>
    <row r="2" spans="1:28" ht="16" customHeight="1" thickBot="1">
      <c r="A2" s="129"/>
      <c r="B2" s="302"/>
      <c r="C2" s="311"/>
      <c r="D2" s="309"/>
      <c r="E2" s="309"/>
      <c r="F2" s="309"/>
      <c r="G2" s="313"/>
      <c r="H2" s="315"/>
      <c r="I2" s="317"/>
      <c r="J2" s="319"/>
      <c r="K2" s="321"/>
      <c r="L2" s="323"/>
      <c r="M2" s="307"/>
      <c r="N2" s="303"/>
      <c r="AB2" s="41">
        <f>EOMONTH(DATE(LOHNTABELLE!$G$3, $A$1, 1), 0)</f>
        <v>46053</v>
      </c>
    </row>
    <row r="3" spans="1:28" ht="16" customHeight="1">
      <c r="A3" s="130" t="s">
        <v>60</v>
      </c>
      <c r="B3" s="169">
        <v>401006</v>
      </c>
      <c r="C3" s="140" t="s">
        <v>262</v>
      </c>
      <c r="D3" s="141">
        <v>38188</v>
      </c>
      <c r="E3" s="142" t="s">
        <v>24</v>
      </c>
      <c r="F3" s="143">
        <v>173</v>
      </c>
      <c r="G3" s="184">
        <v>2328</v>
      </c>
      <c r="H3" s="157">
        <f>IF(AND(ISNUMBER(D3), ISNUMBER(F3)),
    ROUNDDOWN(
        MIN(
            IF(OR(ISBLANK(I3), I3=""),
                EOMONTH(DATE(LOHNTABELLE!$G$3, $A$1, 1), 0), I3)
            - MAX(D3, DATE(LOHNTABELLE!$G$3, $A$1, 1)) + 1)
        / DAY(EOMONTH(DATE(LOHNTABELLE!$G$3, $A$1, 1), 0)) * F3,
        2
    ),
    ""
)</f>
        <v>173</v>
      </c>
      <c r="I3" s="154"/>
      <c r="J3" s="187"/>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2" t="s">
        <v>61</v>
      </c>
      <c r="P3" s="242" t="s">
        <v>62</v>
      </c>
      <c r="Q3" s="240" t="s">
        <v>63</v>
      </c>
      <c r="R3" s="280" t="s">
        <v>64</v>
      </c>
      <c r="AB3" s="43"/>
    </row>
    <row r="4" spans="1:28" ht="16" customHeight="1">
      <c r="A4" s="130" t="s">
        <v>65</v>
      </c>
      <c r="B4" s="170">
        <v>401010</v>
      </c>
      <c r="C4" s="132" t="s">
        <v>263</v>
      </c>
      <c r="D4" s="133">
        <v>39388</v>
      </c>
      <c r="E4" s="134" t="s">
        <v>12</v>
      </c>
      <c r="F4" s="136">
        <v>173</v>
      </c>
      <c r="G4" s="185">
        <v>2183</v>
      </c>
      <c r="H4" s="158">
        <f>IF(AND(ISNUMBER(D4), ISNUMBER(F4)),
    ROUNDDOWN(
        MIN(
            IF(OR(ISBLANK(I4), I4=""),
                EOMONTH(DATE(LOHNTABELLE!$G$3, $A$1, 1), 0), I4)
            - MAX(D4, DATE(LOHNTABELLE!$G$3, $A$1, 1)) + 1)
        / DAY(EOMONTH(DATE(LOHNTABELLE!$G$3, $A$1, 1), 0)) * F4,
        2
    ),
    ""
)</f>
        <v>173</v>
      </c>
      <c r="I4" s="155"/>
      <c r="J4" s="188"/>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3"/>
      <c r="P4" s="243"/>
      <c r="Q4" s="241"/>
      <c r="R4" s="281"/>
    </row>
    <row r="5" spans="1:28" ht="16" customHeight="1">
      <c r="A5" s="131" t="s">
        <v>66</v>
      </c>
      <c r="B5" s="170">
        <v>401049</v>
      </c>
      <c r="C5" s="132" t="s">
        <v>264</v>
      </c>
      <c r="D5" s="133">
        <v>41130</v>
      </c>
      <c r="E5" s="134" t="s">
        <v>10</v>
      </c>
      <c r="F5" s="136">
        <v>173</v>
      </c>
      <c r="G5" s="185">
        <v>2123</v>
      </c>
      <c r="H5" s="158">
        <f>IF(AND(ISNUMBER(D5), ISNUMBER(F5)),
    ROUNDDOWN(
        MIN(
            IF(OR(ISBLANK(I5), I5=""),
                EOMONTH(DATE(LOHNTABELLE!$G$3, $A$1, 1), 0), I5)
            - MAX(D5, DATE(LOHNTABELLE!$G$3, $A$1, 1)) + 1)
        / DAY(EOMONTH(DATE(LOHNTABELLE!$G$3, $A$1, 1), 0)) * F5,
        2
    ),
    ""
)</f>
        <v>173</v>
      </c>
      <c r="I5" s="155"/>
      <c r="J5" s="188"/>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85">
        <v>2123</v>
      </c>
      <c r="H6" s="158">
        <f>IF(AND(ISNUMBER(D6), ISNUMBER(F6)),
    ROUNDDOWN(
        MIN(
            IF(OR(ISBLANK(I6), I6=""),
                EOMONTH(DATE(LOHNTABELLE!$G$3, $A$1, 1), 0), I6)
            - MAX(D6, DATE(LOHNTABELLE!$G$3, $A$1, 1)) + 1)
        / DAY(EOMONTH(DATE(LOHNTABELLE!$G$3, $A$1, 1), 0)) * F6,
        2
    ),
    ""
)</f>
        <v>173</v>
      </c>
      <c r="I6" s="155"/>
      <c r="J6" s="188"/>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401051</v>
      </c>
      <c r="C7" s="132" t="s">
        <v>266</v>
      </c>
      <c r="D7" s="133">
        <v>41176</v>
      </c>
      <c r="E7" s="134" t="s">
        <v>10</v>
      </c>
      <c r="F7" s="136">
        <v>173</v>
      </c>
      <c r="G7" s="185">
        <v>2123</v>
      </c>
      <c r="H7" s="158">
        <f>IF(AND(ISNUMBER(D7), ISNUMBER(F7)),
    ROUNDDOWN(
        MIN(
            IF(OR(ISBLANK(I7), I7=""),
                EOMONTH(DATE(LOHNTABELLE!$G$3, $A$1, 1), 0), I7)
            - MAX(D7, DATE(LOHNTABELLE!$G$3, $A$1, 1)) + 1)
        / DAY(EOMONTH(DATE(LOHNTABELLE!$G$3, $A$1, 1), 0)) * F7,
        2
    ),
    ""
)</f>
        <v>173</v>
      </c>
      <c r="I7" s="155"/>
      <c r="J7" s="188"/>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85">
        <v>2123</v>
      </c>
      <c r="H8" s="158">
        <f>IF(AND(ISNUMBER(D8), ISNUMBER(F8)),
    ROUNDDOWN(
        MIN(
            IF(OR(ISBLANK(I8), I8=""),
                EOMONTH(DATE(LOHNTABELLE!$G$3, $A$1, 1), 0), I8)
            - MAX(D8, DATE(LOHNTABELLE!$G$3, $A$1, 1)) + 1)
        / DAY(EOMONTH(DATE(LOHNTABELLE!$G$3, $A$1, 1), 0)) * F8,
        2
    ),
    ""
)</f>
        <v>173</v>
      </c>
      <c r="I8" s="155"/>
      <c r="J8" s="188"/>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7494.8</v>
      </c>
      <c r="R8" s="247"/>
    </row>
    <row r="9" spans="1:28" ht="16" customHeight="1">
      <c r="A9" s="131" t="s">
        <v>71</v>
      </c>
      <c r="B9" s="170">
        <v>401197</v>
      </c>
      <c r="C9" s="132" t="s">
        <v>268</v>
      </c>
      <c r="D9" s="133">
        <v>42644</v>
      </c>
      <c r="E9" s="134" t="s">
        <v>8</v>
      </c>
      <c r="F9" s="136">
        <v>173</v>
      </c>
      <c r="G9" s="185">
        <v>2082</v>
      </c>
      <c r="H9" s="158">
        <f>IF(AND(ISNUMBER(D9), ISNUMBER(F9)),
    ROUNDDOWN(
        MIN(
            IF(OR(ISBLANK(I9), I9=""),
                EOMONTH(DATE(LOHNTABELLE!$G$3, $A$1, 1), 0), I9)
            - MAX(D9, DATE(LOHNTABELLE!$G$3, $A$1, 1)) + 1)
        / DAY(EOMONTH(DATE(LOHNTABELLE!$G$3, $A$1, 1), 0)) * F9,
        2
    ),
    ""
)</f>
        <v>173</v>
      </c>
      <c r="I9" s="155"/>
      <c r="J9" s="188"/>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EINSTELLUNG!L22</f>
        <v>1</v>
      </c>
      <c r="R9" s="247"/>
      <c r="S9" s="53">
        <f>IFERROR(Q9/Q8, 0)</f>
        <v>1.3342584191706249E-4</v>
      </c>
    </row>
    <row r="10" spans="1:28" ht="16" customHeight="1">
      <c r="A10" s="130" t="s">
        <v>73</v>
      </c>
      <c r="B10" s="170">
        <v>401276</v>
      </c>
      <c r="C10" s="132" t="s">
        <v>269</v>
      </c>
      <c r="D10" s="133">
        <v>43252</v>
      </c>
      <c r="E10" s="134" t="s">
        <v>8</v>
      </c>
      <c r="F10" s="136">
        <v>173</v>
      </c>
      <c r="G10" s="185">
        <v>2082</v>
      </c>
      <c r="H10" s="158">
        <f>IF(AND(ISNUMBER(D10), ISNUMBER(F10)),
    ROUNDDOWN(
        MIN(
            IF(OR(ISBLANK(I10), I10=""),
                EOMONTH(DATE(LOHNTABELLE!$G$3, $A$1, 1), 0), I10)
            - MAX(D10, DATE(LOHNTABELLE!$G$3, $A$1, 1)) + 1)
        / DAY(EOMONTH(DATE(LOHNTABELLE!$G$3, $A$1, 1), 0)) * F10,
        2
    ),
    ""
)</f>
        <v>173</v>
      </c>
      <c r="I10" s="155"/>
      <c r="J10" s="188"/>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5" t="s">
        <v>74</v>
      </c>
      <c r="P10" s="246"/>
      <c r="Q10" s="247">
        <f>EINSTELLUNG!I22</f>
        <v>1</v>
      </c>
      <c r="R10" s="247"/>
    </row>
    <row r="11" spans="1:28" ht="16" customHeight="1">
      <c r="A11" s="130" t="s">
        <v>75</v>
      </c>
      <c r="B11" s="170">
        <v>401307</v>
      </c>
      <c r="C11" s="132" t="s">
        <v>270</v>
      </c>
      <c r="D11" s="133">
        <v>43571</v>
      </c>
      <c r="E11" s="134" t="s">
        <v>8</v>
      </c>
      <c r="F11" s="136">
        <v>173</v>
      </c>
      <c r="G11" s="185">
        <v>2082</v>
      </c>
      <c r="H11" s="158">
        <f>IF(AND(ISNUMBER(D11), ISNUMBER(F11)),
    ROUNDDOWN(
        MIN(
            IF(OR(ISBLANK(I11), I11=""),
                EOMONTH(DATE(LOHNTABELLE!$G$3, $A$1, 1), 0), I11)
            - MAX(D11, DATE(LOHNTABELLE!$G$3, $A$1, 1)) + 1)
        / DAY(EOMONTH(DATE(LOHNTABELLE!$G$3, $A$1, 1), 0)) * F11,
        2
    ),
    ""
)</f>
        <v>173</v>
      </c>
      <c r="I11" s="155"/>
      <c r="J11" s="188"/>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v>
      </c>
      <c r="R11" s="247"/>
    </row>
    <row r="12" spans="1:28" ht="16" customHeight="1">
      <c r="A12" s="130" t="s">
        <v>77</v>
      </c>
      <c r="B12" s="170">
        <v>401308</v>
      </c>
      <c r="C12" s="132" t="s">
        <v>271</v>
      </c>
      <c r="D12" s="133">
        <v>43579</v>
      </c>
      <c r="E12" s="134" t="s">
        <v>8</v>
      </c>
      <c r="F12" s="136">
        <v>173</v>
      </c>
      <c r="G12" s="185">
        <v>2082</v>
      </c>
      <c r="H12" s="158">
        <f>IF(AND(ISNUMBER(D12), ISNUMBER(F12)),
    ROUNDDOWN(
        MIN(
            IF(OR(ISBLANK(I12), I12=""),
                EOMONTH(DATE(LOHNTABELLE!$G$3, $A$1, 1), 0), I12)
            - MAX(D12, DATE(LOHNTABELLE!$G$3, $A$1, 1)) + 1)
        / DAY(EOMONTH(DATE(LOHNTABELLE!$G$3, $A$1, 1), 0)) * F12,
        2
    ),
    ""
)</f>
        <v>173</v>
      </c>
      <c r="I12" s="155"/>
      <c r="J12" s="188"/>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c r="R12" s="276"/>
    </row>
    <row r="13" spans="1:28" ht="16" customHeight="1">
      <c r="A13" s="131" t="s">
        <v>79</v>
      </c>
      <c r="B13" s="170">
        <v>401394</v>
      </c>
      <c r="C13" s="132" t="s">
        <v>272</v>
      </c>
      <c r="D13" s="133">
        <v>44379</v>
      </c>
      <c r="E13" s="134" t="s">
        <v>4</v>
      </c>
      <c r="F13" s="136">
        <v>173</v>
      </c>
      <c r="G13" s="185">
        <v>2021</v>
      </c>
      <c r="H13" s="158">
        <f>IF(AND(ISNUMBER(D13), ISNUMBER(F13)),
    ROUNDDOWN(
        MIN(
            IF(OR(ISBLANK(I13), I13=""),
                EOMONTH(DATE(LOHNTABELLE!$G$3, $A$1, 1), 0), I13)
            - MAX(D13, DATE(LOHNTABELLE!$G$3, $A$1, 1)) + 1)
        / DAY(EOMONTH(DATE(LOHNTABELLE!$G$3, $A$1, 1), 0)) * F13,
        2
    ),
    ""
)</f>
        <v>173</v>
      </c>
      <c r="I13" s="155"/>
      <c r="J13" s="188"/>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45" t="s">
        <v>80</v>
      </c>
      <c r="P13" s="246"/>
      <c r="Q13" s="247">
        <f>Q8-Q9-Q10-Q11-Q12</f>
        <v>7491.8</v>
      </c>
      <c r="R13" s="247"/>
    </row>
    <row r="14" spans="1:28" ht="16" customHeight="1">
      <c r="A14" s="130" t="s">
        <v>81</v>
      </c>
      <c r="B14" s="170">
        <v>401389</v>
      </c>
      <c r="C14" s="132" t="s">
        <v>273</v>
      </c>
      <c r="D14" s="133">
        <v>44384</v>
      </c>
      <c r="E14" s="134" t="s">
        <v>22</v>
      </c>
      <c r="F14" s="136">
        <v>173</v>
      </c>
      <c r="G14" s="185">
        <v>2300</v>
      </c>
      <c r="H14" s="158">
        <f>IF(AND(ISNUMBER(D14), ISNUMBER(F14)),
    ROUNDDOWN(
        MIN(
            IF(OR(ISBLANK(I14), I14=""),
                EOMONTH(DATE(LOHNTABELLE!$G$3, $A$1, 1), 0), I14)
            - MAX(D14, DATE(LOHNTABELLE!$G$3, $A$1, 1)) + 1)
        / DAY(EOMONTH(DATE(LOHNTABELLE!$G$3, $A$1, 1), 0)) * F14,
        2
    ),
    ""
)</f>
        <v>173</v>
      </c>
      <c r="I14" s="155"/>
      <c r="J14" s="188"/>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45" t="s">
        <v>82</v>
      </c>
      <c r="P14" s="246"/>
      <c r="Q14" s="247">
        <f>EINSTELLUNG!L6</f>
        <v>1</v>
      </c>
      <c r="R14" s="247"/>
    </row>
    <row r="15" spans="1:28" ht="16" customHeight="1">
      <c r="A15" s="130" t="s">
        <v>83</v>
      </c>
      <c r="B15" s="170">
        <v>401432</v>
      </c>
      <c r="C15" s="132" t="s">
        <v>274</v>
      </c>
      <c r="D15" s="133">
        <v>44441</v>
      </c>
      <c r="E15" s="134" t="s">
        <v>4</v>
      </c>
      <c r="F15" s="136">
        <v>173</v>
      </c>
      <c r="G15" s="185">
        <v>2021</v>
      </c>
      <c r="H15" s="158">
        <f>IF(AND(ISNUMBER(D15), ISNUMBER(F15)),
    ROUNDDOWN(
        MIN(
            IF(OR(ISBLANK(I15), I15=""),
                EOMONTH(DATE(LOHNTABELLE!$G$3, $A$1, 1), 0), I15)
            - MAX(D15, DATE(LOHNTABELLE!$G$3, $A$1, 1)) + 1)
        / DAY(EOMONTH(DATE(LOHNTABELLE!$G$3, $A$1, 1), 0)) * F15,
        2
    ),
    ""
)</f>
        <v>173</v>
      </c>
      <c r="I15" s="155"/>
      <c r="J15" s="188"/>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45" t="s">
        <v>84</v>
      </c>
      <c r="P15" s="246"/>
      <c r="Q15" s="247">
        <f>Q13-Q14</f>
        <v>7490.8</v>
      </c>
      <c r="R15" s="247"/>
      <c r="S15" s="100"/>
      <c r="T15" s="100"/>
      <c r="U15" s="100"/>
    </row>
    <row r="16" spans="1:28" ht="16" customHeight="1">
      <c r="A16" s="130" t="s">
        <v>85</v>
      </c>
      <c r="B16" s="170">
        <v>401558</v>
      </c>
      <c r="C16" s="132" t="s">
        <v>275</v>
      </c>
      <c r="D16" s="133">
        <v>44460</v>
      </c>
      <c r="E16" s="134" t="s">
        <v>4</v>
      </c>
      <c r="F16" s="136">
        <v>173</v>
      </c>
      <c r="G16" s="185">
        <v>2021</v>
      </c>
      <c r="H16" s="158">
        <f>IF(AND(ISNUMBER(D16), ISNUMBER(F16)),
    ROUNDDOWN(
        MIN(
            IF(OR(ISBLANK(I16), I16=""),
                EOMONTH(DATE(LOHNTABELLE!$G$3, $A$1, 1), 0), I16)
            - MAX(D16, DATE(LOHNTABELLE!$G$3, $A$1, 1)) + 1)
        / DAY(EOMONTH(DATE(LOHNTABELLE!$G$3, $A$1, 1), 0)) * F16,
        2
    ),
    ""
)</f>
        <v>173</v>
      </c>
      <c r="I16" s="155"/>
      <c r="J16" s="188"/>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401476</v>
      </c>
      <c r="C17" s="132" t="s">
        <v>276</v>
      </c>
      <c r="D17" s="133">
        <v>44504</v>
      </c>
      <c r="E17" s="134" t="s">
        <v>4</v>
      </c>
      <c r="F17" s="136">
        <v>173</v>
      </c>
      <c r="G17" s="185">
        <v>2021</v>
      </c>
      <c r="H17" s="158">
        <f>IF(AND(ISNUMBER(D17), ISNUMBER(F17)),
    ROUNDDOWN(
        MIN(
            IF(OR(ISBLANK(I17), I17=""),
                EOMONTH(DATE(LOHNTABELLE!$G$3, $A$1, 1), 0), I17)
            - MAX(D17, DATE(LOHNTABELLE!$G$3, $A$1, 1)) + 1)
        / DAY(EOMONTH(DATE(LOHNTABELLE!$G$3, $A$1, 1), 0)) * F17,
        2
    ),
    ""
)</f>
        <v>173</v>
      </c>
      <c r="I17" s="155"/>
      <c r="J17" s="188"/>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90106.82881720431</v>
      </c>
      <c r="R17" s="277"/>
      <c r="W17" s="45"/>
    </row>
    <row r="18" spans="1:29" ht="16" customHeight="1">
      <c r="A18" s="130" t="s">
        <v>88</v>
      </c>
      <c r="B18" s="170">
        <v>401479</v>
      </c>
      <c r="C18" s="132" t="s">
        <v>277</v>
      </c>
      <c r="D18" s="133">
        <v>44511</v>
      </c>
      <c r="E18" s="134" t="s">
        <v>13</v>
      </c>
      <c r="F18" s="136">
        <v>173</v>
      </c>
      <c r="G18" s="185">
        <v>2160</v>
      </c>
      <c r="H18" s="158">
        <f>IF(AND(ISNUMBER(D18), ISNUMBER(F18)),
    ROUNDDOWN(
        MIN(
            IF(OR(ISBLANK(I18), I18=""),
                EOMONTH(DATE(LOHNTABELLE!$G$3, $A$1, 1), 0), I18)
            - MAX(D18, DATE(LOHNTABELLE!$G$3, $A$1, 1)) + 1)
        / DAY(EOMONTH(DATE(LOHNTABELLE!$G$3, $A$1, 1), 0)) * F18,
        2
    ),
    ""
)</f>
        <v>173</v>
      </c>
      <c r="I18" s="155"/>
      <c r="J18" s="188"/>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51"/>
      <c r="P18" s="252"/>
      <c r="Q18" s="244"/>
      <c r="R18" s="244"/>
    </row>
    <row r="19" spans="1:29" ht="16" customHeight="1">
      <c r="A19" s="130" t="s">
        <v>89</v>
      </c>
      <c r="B19" s="170">
        <v>401481</v>
      </c>
      <c r="C19" s="132" t="s">
        <v>278</v>
      </c>
      <c r="D19" s="133">
        <v>44531</v>
      </c>
      <c r="E19" s="134" t="s">
        <v>4</v>
      </c>
      <c r="F19" s="136">
        <v>173</v>
      </c>
      <c r="G19" s="185">
        <v>2021</v>
      </c>
      <c r="H19" s="158">
        <f>IF(AND(ISNUMBER(D19), ISNUMBER(F19)),
    ROUNDDOWN(
        MIN(
            IF(OR(ISBLANK(I19), I19=""),
                EOMONTH(DATE(LOHNTABELLE!$G$3, $A$1, 1), 0), I19)
            - MAX(D19, DATE(LOHNTABELLE!$G$3, $A$1, 1)) + 1)
        / DAY(EOMONTH(DATE(LOHNTABELLE!$G$3, $A$1, 1), 0)) * F19,
        2
    ),
    ""
)</f>
        <v>173</v>
      </c>
      <c r="I19" s="155"/>
      <c r="J19" s="188"/>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1"/>
      <c r="P19" s="252"/>
      <c r="Q19" s="244"/>
      <c r="R19" s="244"/>
    </row>
    <row r="20" spans="1:29" ht="16" customHeight="1">
      <c r="A20" s="130" t="s">
        <v>90</v>
      </c>
      <c r="B20" s="170">
        <v>401564</v>
      </c>
      <c r="C20" s="132" t="s">
        <v>279</v>
      </c>
      <c r="D20" s="133">
        <v>44824</v>
      </c>
      <c r="E20" s="134" t="s">
        <v>4</v>
      </c>
      <c r="F20" s="136">
        <v>173</v>
      </c>
      <c r="G20" s="185">
        <v>2021</v>
      </c>
      <c r="H20" s="158">
        <f>IF(AND(ISNUMBER(D20), ISNUMBER(F20)),
    ROUNDDOWN(
        MIN(
            IF(OR(ISBLANK(I20), I20=""),
                EOMONTH(DATE(LOHNTABELLE!$G$3, $A$1, 1), 0), I20)
            - MAX(D20, DATE(LOHNTABELLE!$G$3, $A$1, 1)) + 1)
        / DAY(EOMONTH(DATE(LOHNTABELLE!$G$3, $A$1, 1), 0)) * F20,
        2
    ),
    ""
)</f>
        <v>173</v>
      </c>
      <c r="I20" s="155"/>
      <c r="J20" s="188"/>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51"/>
      <c r="P20" s="252"/>
      <c r="Q20" s="244"/>
      <c r="R20" s="244"/>
    </row>
    <row r="21" spans="1:29" ht="16" customHeight="1">
      <c r="A21" s="131" t="s">
        <v>92</v>
      </c>
      <c r="B21" s="170">
        <v>401089</v>
      </c>
      <c r="C21" s="132" t="s">
        <v>280</v>
      </c>
      <c r="D21" s="133">
        <v>44868</v>
      </c>
      <c r="E21" s="134" t="s">
        <v>8</v>
      </c>
      <c r="F21" s="136">
        <v>173</v>
      </c>
      <c r="G21" s="185">
        <v>2082</v>
      </c>
      <c r="H21" s="158">
        <f>IF(AND(ISNUMBER(D21), ISNUMBER(F21)),
    ROUNDDOWN(
        MIN(
            IF(OR(ISBLANK(I21), I21=""),
                EOMONTH(DATE(LOHNTABELLE!$G$3, $A$1, 1), 0), I21)
            - MAX(D21, DATE(LOHNTABELLE!$G$3, $A$1, 1)) + 1)
        / DAY(EOMONTH(DATE(LOHNTABELLE!$G$3, $A$1, 1), 0)) * F21,
        2
    ),
    ""
)</f>
        <v>173</v>
      </c>
      <c r="I21" s="155"/>
      <c r="J21" s="188"/>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51" t="s">
        <v>357</v>
      </c>
      <c r="P21" s="252"/>
      <c r="Q21" s="244">
        <v>5000</v>
      </c>
      <c r="R21" s="244"/>
    </row>
    <row r="22" spans="1:29" ht="16" customHeight="1">
      <c r="A22" s="130" t="s">
        <v>93</v>
      </c>
      <c r="B22" s="170">
        <v>401583</v>
      </c>
      <c r="C22" s="132" t="s">
        <v>281</v>
      </c>
      <c r="D22" s="133">
        <v>44900</v>
      </c>
      <c r="E22" s="134" t="s">
        <v>21</v>
      </c>
      <c r="F22" s="136">
        <v>173</v>
      </c>
      <c r="G22" s="185">
        <v>2300</v>
      </c>
      <c r="H22" s="158">
        <f>IF(AND(ISNUMBER(D22), ISNUMBER(F22)),
    ROUNDDOWN(
        MIN(
            IF(OR(ISBLANK(I22), I22=""),
                EOMONTH(DATE(LOHNTABELLE!$G$3, $A$1, 1), 0), I22)
            - MAX(D22, DATE(LOHNTABELLE!$G$3, $A$1, 1)) + 1)
        / DAY(EOMONTH(DATE(LOHNTABELLE!$G$3, $A$1, 1), 0)) * F22,
        2
    ),
    ""
)</f>
        <v>173</v>
      </c>
      <c r="I22" s="155"/>
      <c r="J22" s="188"/>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51"/>
      <c r="P22" s="252"/>
      <c r="Q22" s="244"/>
      <c r="R22" s="244"/>
    </row>
    <row r="23" spans="1:29" ht="16" customHeight="1">
      <c r="A23" s="130" t="s">
        <v>94</v>
      </c>
      <c r="B23" s="170">
        <v>401589</v>
      </c>
      <c r="C23" s="132" t="s">
        <v>282</v>
      </c>
      <c r="D23" s="133">
        <v>44926</v>
      </c>
      <c r="E23" s="134" t="s">
        <v>21</v>
      </c>
      <c r="F23" s="136">
        <v>173</v>
      </c>
      <c r="G23" s="185">
        <v>2300</v>
      </c>
      <c r="H23" s="158">
        <f>IF(AND(ISNUMBER(D23), ISNUMBER(F23)),
    ROUNDDOWN(
        MIN(
            IF(OR(ISBLANK(I23), I23=""),
                EOMONTH(DATE(LOHNTABELLE!$G$3, $A$1, 1), 0), I23)
            - MAX(D23, DATE(LOHNTABELLE!$G$3, $A$1, 1)) + 1)
        / DAY(EOMONTH(DATE(LOHNTABELLE!$G$3, $A$1, 1), 0)) * F23,
        2
    ),
    ""
)</f>
        <v>173</v>
      </c>
      <c r="I23" s="155"/>
      <c r="J23" s="188"/>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1"/>
      <c r="P23" s="252"/>
      <c r="Q23" s="244"/>
      <c r="R23" s="244"/>
      <c r="W23" s="45"/>
    </row>
    <row r="24" spans="1:29" ht="16" customHeight="1">
      <c r="A24" s="130" t="s">
        <v>95</v>
      </c>
      <c r="B24" s="170">
        <v>401602</v>
      </c>
      <c r="C24" s="132" t="s">
        <v>283</v>
      </c>
      <c r="D24" s="133">
        <v>45975</v>
      </c>
      <c r="E24" s="134" t="s">
        <v>4</v>
      </c>
      <c r="F24" s="136">
        <v>173</v>
      </c>
      <c r="G24" s="185">
        <v>2021</v>
      </c>
      <c r="H24" s="158">
        <f>IF(AND(ISNUMBER(D24), ISNUMBER(F24)),
    ROUNDDOWN(
        MIN(
            IF(OR(ISBLANK(I24), I24=""),
                EOMONTH(DATE(LOHNTABELLE!$G$3, $A$1, 1), 0), I24)
            - MAX(D24, DATE(LOHNTABELLE!$G$3, $A$1, 1)) + 1)
        / DAY(EOMONTH(DATE(LOHNTABELLE!$G$3, $A$1, 1), 0)) * F24,
        2
    ),
    ""
)</f>
        <v>173</v>
      </c>
      <c r="I24" s="155"/>
      <c r="J24" s="188"/>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51"/>
      <c r="P24" s="252"/>
      <c r="Q24" s="244"/>
      <c r="R24" s="244"/>
      <c r="W24" s="45"/>
    </row>
    <row r="25" spans="1:29" ht="16" customHeight="1" thickBot="1">
      <c r="A25" s="131" t="s">
        <v>96</v>
      </c>
      <c r="B25" s="170">
        <v>401605</v>
      </c>
      <c r="C25" s="132" t="s">
        <v>284</v>
      </c>
      <c r="D25" s="133">
        <v>44986</v>
      </c>
      <c r="E25" s="134" t="s">
        <v>4</v>
      </c>
      <c r="F25" s="136">
        <v>173</v>
      </c>
      <c r="G25" s="185">
        <v>2021</v>
      </c>
      <c r="H25" s="158">
        <f>IF(AND(ISNUMBER(D25), ISNUMBER(F25)),
    ROUNDDOWN(
        MIN(
            IF(OR(ISBLANK(I25), I25=""),
                EOMONTH(DATE(LOHNTABELLE!$G$3, $A$1, 1), 0), I25)
            - MAX(D25, DATE(LOHNTABELLE!$G$3, $A$1, 1)) + 1)
        / DAY(EOMONTH(DATE(LOHNTABELLE!$G$3, $A$1, 1), 0)) * F25,
        2
    ),
    ""
)</f>
        <v>173</v>
      </c>
      <c r="I25" s="155"/>
      <c r="J25" s="188"/>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94"/>
      <c r="P25" s="295"/>
      <c r="Q25" s="286"/>
      <c r="R25" s="286"/>
    </row>
    <row r="26" spans="1:29" ht="16" customHeight="1">
      <c r="A26" s="130" t="s">
        <v>97</v>
      </c>
      <c r="B26" s="170">
        <v>401626</v>
      </c>
      <c r="C26" s="132" t="s">
        <v>285</v>
      </c>
      <c r="D26" s="133">
        <v>45063</v>
      </c>
      <c r="E26" s="134" t="s">
        <v>4</v>
      </c>
      <c r="F26" s="136">
        <v>173</v>
      </c>
      <c r="G26" s="185">
        <v>2021</v>
      </c>
      <c r="H26" s="158">
        <f>IF(AND(ISNUMBER(D26), ISNUMBER(F26)),
    ROUNDDOWN(
        MIN(
            IF(OR(ISBLANK(I26), I26=""),
                EOMONTH(DATE(LOHNTABELLE!$G$3, $A$1, 1), 0), I26)
            - MAX(D26, DATE(LOHNTABELLE!$G$3, $A$1, 1)) + 1)
        / DAY(EOMONTH(DATE(LOHNTABELLE!$G$3, $A$1, 1), 0)) * F26,
        2
    ),
    ""
)</f>
        <v>173</v>
      </c>
      <c r="I26" s="155"/>
      <c r="J26" s="188"/>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401633</v>
      </c>
      <c r="C27" s="132" t="s">
        <v>286</v>
      </c>
      <c r="D27" s="133">
        <v>45089</v>
      </c>
      <c r="E27" s="134" t="s">
        <v>21</v>
      </c>
      <c r="F27" s="136">
        <v>173</v>
      </c>
      <c r="G27" s="185">
        <v>2300</v>
      </c>
      <c r="H27" s="158">
        <f>IF(AND(ISNUMBER(D27), ISNUMBER(F27)),
    ROUNDDOWN(
        MIN(
            IF(OR(ISBLANK(I27), I27=""),
                EOMONTH(DATE(LOHNTABELLE!$G$3, $A$1, 1), 0), I27)
            - MAX(D27, DATE(LOHNTABELLE!$G$3, $A$1, 1)) + 1)
        / DAY(EOMONTH(DATE(LOHNTABELLE!$G$3, $A$1, 1), 0)) * F27,
        2
    ),
    ""
)</f>
        <v>173</v>
      </c>
      <c r="I27" s="155"/>
      <c r="J27" s="188"/>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51"/>
      <c r="P27" s="252"/>
      <c r="Q27" s="244"/>
      <c r="R27" s="289"/>
      <c r="S27" s="249" t="s">
        <v>99</v>
      </c>
      <c r="T27" s="250"/>
      <c r="U27" s="250"/>
      <c r="V27" s="250"/>
    </row>
    <row r="28" spans="1:29" ht="16" customHeight="1" thickBot="1">
      <c r="A28" s="130" t="s">
        <v>100</v>
      </c>
      <c r="B28" s="170">
        <v>401647</v>
      </c>
      <c r="C28" s="132" t="s">
        <v>287</v>
      </c>
      <c r="D28" s="133">
        <v>45182</v>
      </c>
      <c r="E28" s="134" t="s">
        <v>4</v>
      </c>
      <c r="F28" s="136">
        <v>173</v>
      </c>
      <c r="G28" s="185">
        <v>2021</v>
      </c>
      <c r="H28" s="158">
        <f>IF(AND(ISNUMBER(D28), ISNUMBER(F28)),
    ROUNDDOWN(
        MIN(
            IF(OR(ISBLANK(I28), I28=""),
                EOMONTH(DATE(LOHNTABELLE!$G$3, $A$1, 1), 0), I28)
            - MAX(D28, DATE(LOHNTABELLE!$G$3, $A$1, 1)) + 1)
        / DAY(EOMONTH(DATE(LOHNTABELLE!$G$3, $A$1, 1), 0)) * F28,
        2
    ),
    ""
)</f>
        <v>173</v>
      </c>
      <c r="I28" s="155"/>
      <c r="J28" s="188"/>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401661</v>
      </c>
      <c r="C29" s="132" t="s">
        <v>288</v>
      </c>
      <c r="D29" s="133">
        <v>45261</v>
      </c>
      <c r="E29" s="134" t="s">
        <v>4</v>
      </c>
      <c r="F29" s="136">
        <v>173</v>
      </c>
      <c r="G29" s="185">
        <v>2021</v>
      </c>
      <c r="H29" s="158">
        <f>IF(AND(ISNUMBER(D29), ISNUMBER(F29)),
    ROUNDDOWN(
        MIN(
            IF(OR(ISBLANK(I29), I29=""),
                EOMONTH(DATE(LOHNTABELLE!$G$3, $A$1, 1), 0), I29)
            - MAX(D29, DATE(LOHNTABELLE!$G$3, $A$1, 1)) + 1)
        / DAY(EOMONTH(DATE(LOHNTABELLE!$G$3, $A$1, 1), 0)) * F29,
        2
    ),
    ""
)</f>
        <v>173</v>
      </c>
      <c r="I29" s="155"/>
      <c r="J29" s="188"/>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2" t="s">
        <v>102</v>
      </c>
      <c r="P29" s="283"/>
      <c r="Q29" s="284">
        <f>EINSTELLUNG!O6</f>
        <v>1</v>
      </c>
      <c r="R29" s="285"/>
    </row>
    <row r="30" spans="1:29" ht="16" customHeight="1">
      <c r="A30" s="130" t="s">
        <v>103</v>
      </c>
      <c r="B30" s="170">
        <v>401670</v>
      </c>
      <c r="C30" s="132" t="s">
        <v>289</v>
      </c>
      <c r="D30" s="133">
        <v>45358</v>
      </c>
      <c r="E30" s="134" t="s">
        <v>4</v>
      </c>
      <c r="F30" s="136">
        <v>173</v>
      </c>
      <c r="G30" s="185">
        <v>2021</v>
      </c>
      <c r="H30" s="158">
        <f>IF(AND(ISNUMBER(D30), ISNUMBER(F30)),
    ROUNDDOWN(
        MIN(
            IF(OR(ISBLANK(I30), I30=""),
                EOMONTH(DATE(LOHNTABELLE!$G$3, $A$1, 1), 0), I30)
            - MAX(D30, DATE(LOHNTABELLE!$G$3, $A$1, 1)) + 1)
        / DAY(EOMONTH(DATE(LOHNTABELLE!$G$3, $A$1, 1), 0)) * F30,
        2
    ),
    ""
)</f>
        <v>173</v>
      </c>
      <c r="I30" s="155"/>
      <c r="J30" s="188"/>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85">
        <v>2021</v>
      </c>
      <c r="H31" s="158">
        <f>IF(AND(ISNUMBER(D31), ISNUMBER(F31)),
    ROUNDDOWN(
        MIN(
            IF(OR(ISBLANK(I31), I31=""),
                EOMONTH(DATE(LOHNTABELLE!$G$3, $A$1, 1), 0), I31)
            - MAX(D31, DATE(LOHNTABELLE!$G$3, $A$1, 1)) + 1)
        / DAY(EOMONTH(DATE(LOHNTABELLE!$G$3, $A$1, 1), 0)) * F31,
        2
    ),
    ""
)</f>
        <v>173</v>
      </c>
      <c r="I31" s="155"/>
      <c r="J31" s="188"/>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1.9607843137254902E-2</v>
      </c>
      <c r="R31" s="301"/>
    </row>
    <row r="32" spans="1:29" ht="16" customHeight="1">
      <c r="A32" s="130" t="s">
        <v>106</v>
      </c>
      <c r="B32" s="170">
        <v>401691</v>
      </c>
      <c r="C32" s="132" t="s">
        <v>291</v>
      </c>
      <c r="D32" s="133">
        <v>45539</v>
      </c>
      <c r="E32" s="134" t="s">
        <v>4</v>
      </c>
      <c r="F32" s="136">
        <v>69.2</v>
      </c>
      <c r="G32" s="185">
        <v>808.4</v>
      </c>
      <c r="H32" s="158">
        <f>IF(AND(ISNUMBER(D32), ISNUMBER(F32)),
    ROUNDDOWN(
        MIN(
            IF(OR(ISBLANK(I32), I32=""),
                EOMONTH(DATE(LOHNTABELLE!$G$3, $A$1, 1), 0), I32)
            - MAX(D32, DATE(LOHNTABELLE!$G$3, $A$1, 1)) + 1)
        / DAY(EOMONTH(DATE(LOHNTABELLE!$G$3, $A$1, 1), 0)) * F32,
        2
    ),
    ""
)</f>
        <v>55.8</v>
      </c>
      <c r="I32" s="155">
        <v>46047</v>
      </c>
      <c r="J32" s="188">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55"/>
      <c r="J33" s="188"/>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268" t="s">
        <v>108</v>
      </c>
      <c r="R33" s="269"/>
      <c r="S33" s="272" t="s">
        <v>109</v>
      </c>
      <c r="T33" s="273"/>
      <c r="U33" s="272" t="s">
        <v>110</v>
      </c>
      <c r="V33" s="273"/>
    </row>
    <row r="34" spans="1:24" ht="16" customHeight="1">
      <c r="A34" s="130" t="s">
        <v>111</v>
      </c>
      <c r="B34" s="170">
        <v>401703</v>
      </c>
      <c r="C34" s="132" t="s">
        <v>293</v>
      </c>
      <c r="D34" s="13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55"/>
      <c r="J34" s="188"/>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270"/>
      <c r="R34" s="271"/>
      <c r="S34" s="274"/>
      <c r="T34" s="275"/>
      <c r="U34" s="274"/>
      <c r="V34" s="275"/>
    </row>
    <row r="35" spans="1:24" ht="16" customHeight="1">
      <c r="A35" s="130" t="s">
        <v>112</v>
      </c>
      <c r="B35" s="170">
        <v>401214</v>
      </c>
      <c r="C35" s="132" t="s">
        <v>294</v>
      </c>
      <c r="D35" s="133">
        <v>45636</v>
      </c>
      <c r="E35" s="134" t="s">
        <v>8</v>
      </c>
      <c r="F35" s="136">
        <v>173</v>
      </c>
      <c r="G35" s="185">
        <v>2082</v>
      </c>
      <c r="H35" s="158">
        <f>IF(AND(ISNUMBER(D35), ISNUMBER(F35)),
    ROUNDDOWN(
        MIN(
            IF(OR(ISBLANK(I35), I35=""),
                EOMONTH(DATE(LOHNTABELLE!$G$3, $A$1, 1), 0), I35)
            - MAX(D35, DATE(LOHNTABELLE!$G$3, $A$1, 1)) + 1)
        / DAY(EOMONTH(DATE(LOHNTABELLE!$G$3, $A$1, 1), 0)) * F35,
        2
    ),
    ""
)</f>
        <v>173</v>
      </c>
      <c r="I35" s="155"/>
      <c r="J35" s="188"/>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55" t="s">
        <v>113</v>
      </c>
      <c r="P35" s="256"/>
      <c r="Q35" s="257">
        <f>EINSTELLUNG!C6</f>
        <v>1</v>
      </c>
      <c r="R35" s="257"/>
      <c r="S35" s="257">
        <f>EINSTELLUNG!C22</f>
        <v>1</v>
      </c>
      <c r="T35" s="257"/>
      <c r="U35" s="258">
        <f>S35-Q35</f>
        <v>0</v>
      </c>
      <c r="V35" s="258"/>
    </row>
    <row r="36" spans="1:24" ht="16" customHeight="1">
      <c r="A36" s="130" t="s">
        <v>114</v>
      </c>
      <c r="B36" s="170">
        <v>401715</v>
      </c>
      <c r="C36" s="132" t="s">
        <v>295</v>
      </c>
      <c r="D36" s="13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55"/>
      <c r="J36" s="188"/>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EINSTELLUNG!D6</f>
        <v>1</v>
      </c>
      <c r="R36" s="257"/>
      <c r="S36" s="257" cm="1">
        <f t="array" ref="S36">SumMergedCells(Q17:R29)</f>
        <v>95107.828800000003</v>
      </c>
      <c r="T36" s="257"/>
      <c r="U36" s="258">
        <f t="shared" ref="U36:U41" si="2">S36-Q36</f>
        <v>95106.828800000003</v>
      </c>
      <c r="V36" s="258"/>
    </row>
    <row r="37" spans="1:24" ht="16" customHeight="1">
      <c r="A37" s="131" t="s">
        <v>116</v>
      </c>
      <c r="B37" s="170">
        <v>401716</v>
      </c>
      <c r="C37" s="132" t="s">
        <v>296</v>
      </c>
      <c r="D37" s="13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55"/>
      <c r="J37" s="188"/>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95107.828800000003</v>
      </c>
      <c r="T37" s="264"/>
      <c r="U37" s="265">
        <f t="shared" si="2"/>
        <v>95106.828800000003</v>
      </c>
      <c r="V37" s="265"/>
    </row>
    <row r="38" spans="1:24" ht="16" customHeight="1">
      <c r="A38" s="130" t="s">
        <v>118</v>
      </c>
      <c r="B38" s="170">
        <v>401717</v>
      </c>
      <c r="C38" s="132" t="s">
        <v>297</v>
      </c>
      <c r="D38" s="13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55"/>
      <c r="J38" s="188"/>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EINSTELLUNG!F6</f>
        <v>1</v>
      </c>
      <c r="R38" s="259"/>
      <c r="S38" s="259">
        <f>EINSTELLUNG!F22</f>
        <v>1</v>
      </c>
      <c r="T38" s="259"/>
      <c r="U38" s="260">
        <f t="shared" si="2"/>
        <v>0</v>
      </c>
      <c r="V38" s="260"/>
    </row>
    <row r="39" spans="1:24" ht="16" customHeight="1">
      <c r="A39" s="130" t="s">
        <v>120</v>
      </c>
      <c r="B39" s="170">
        <v>401722</v>
      </c>
      <c r="C39" s="132" t="s">
        <v>298</v>
      </c>
      <c r="D39" s="13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55"/>
      <c r="J39" s="188"/>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2" t="s">
        <v>299</v>
      </c>
      <c r="D40" s="13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55"/>
      <c r="J40" s="188"/>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1.3347927066926506E-4</v>
      </c>
      <c r="R40" s="257"/>
      <c r="S40" s="257">
        <f>IF(Q13=0, 0, S35/Q13)</f>
        <v>1.3347927066926506E-4</v>
      </c>
      <c r="T40" s="257"/>
      <c r="U40" s="258">
        <f t="shared" si="2"/>
        <v>0</v>
      </c>
      <c r="V40" s="258"/>
    </row>
    <row r="41" spans="1:24" ht="16" customHeight="1">
      <c r="A41" s="131" t="s">
        <v>124</v>
      </c>
      <c r="B41" s="170">
        <v>401726</v>
      </c>
      <c r="C41" s="132" t="s">
        <v>300</v>
      </c>
      <c r="D41" s="13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55"/>
      <c r="J41" s="188"/>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1.3347927066926506E-4</v>
      </c>
      <c r="R41" s="259"/>
      <c r="S41" s="259">
        <f>IF(Q13=0, 0, S38/Q13)</f>
        <v>1.3347927066926506E-4</v>
      </c>
      <c r="T41" s="259"/>
      <c r="U41" s="260">
        <f t="shared" si="2"/>
        <v>0</v>
      </c>
      <c r="V41" s="260"/>
    </row>
    <row r="42" spans="1:24" ht="16" customHeight="1">
      <c r="A42" s="130" t="s">
        <v>126</v>
      </c>
      <c r="B42" s="170">
        <v>401731</v>
      </c>
      <c r="C42" s="132" t="s">
        <v>301</v>
      </c>
      <c r="D42" s="13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55"/>
      <c r="J42" s="188"/>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12.022579497412114</v>
      </c>
      <c r="R42" s="262"/>
      <c r="S42" s="262"/>
      <c r="T42" s="262"/>
      <c r="U42" s="262"/>
      <c r="V42" s="263"/>
    </row>
    <row r="43" spans="1:24" ht="16" customHeight="1">
      <c r="A43" s="130" t="s">
        <v>128</v>
      </c>
      <c r="B43" s="170">
        <v>401730</v>
      </c>
      <c r="C43" s="132" t="s">
        <v>302</v>
      </c>
      <c r="D43" s="133">
        <v>45895</v>
      </c>
      <c r="E43" s="134" t="s">
        <v>4</v>
      </c>
      <c r="F43" s="136">
        <v>86.5</v>
      </c>
      <c r="G43" s="185">
        <v>1010.5</v>
      </c>
      <c r="H43" s="158">
        <f>IF(AND(ISNUMBER(D43), ISNUMBER(F43)),
    ROUNDDOWN(
        MIN(
            IF(OR(ISBLANK(I43), I43=""),
                EOMONTH(DATE(LOHNTABELLE!$G$3, $A$1, 1), 0), I43)
            - MAX(D43, DATE(LOHNTABELLE!$G$3, $A$1, 1)) + 1)
        / DAY(EOMONTH(DATE(LOHNTABELLE!$G$3, $A$1, 1), 0)) * F43,
        2
    ),
    ""
)</f>
        <v>86.5</v>
      </c>
      <c r="I43" s="155"/>
      <c r="J43" s="188"/>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55"/>
      <c r="J44" s="188"/>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55"/>
      <c r="J45" s="188"/>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55"/>
      <c r="J46" s="188"/>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55"/>
      <c r="J47" s="188"/>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55"/>
      <c r="J48" s="188"/>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55"/>
      <c r="J49" s="188"/>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55"/>
      <c r="J50" s="188"/>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85">
        <v>1010.5</v>
      </c>
      <c r="H51" s="158">
        <f>IF(AND(ISNUMBER(D51), ISNUMBER(F51)),
    ROUNDDOWN(
        MIN(
            IF(OR(ISBLANK(I51), I51=""),
                EOMONTH(DATE(LOHNTABELLE!$G$3, $A$1, 1), 0), I51)
            - MAX(D51, DATE(LOHNTABELLE!$G$3, $A$1, 1)) + 1)
        / DAY(EOMONTH(DATE(LOHNTABELLE!$G$3, $A$1, 1), 0)) * F51,
        2
    ),
    ""
)</f>
        <v>86.5</v>
      </c>
      <c r="I51" s="155"/>
      <c r="J51" s="188"/>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55"/>
      <c r="J52" s="188"/>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55"/>
      <c r="J53" s="188"/>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85">
        <v>1010.5</v>
      </c>
      <c r="H54" s="158">
        <f>IF(AND(ISNUMBER(D54), ISNUMBER(F54)),
    ROUNDDOWN(
        MIN(
            IF(OR(ISBLANK(I54), I54=""),
                EOMONTH(DATE(LOHNTABELLE!$G$3, $A$1, 1), 0), I54)
            - MAX(D54, DATE(LOHNTABELLE!$G$3, $A$1, 1)) + 1)
        / DAY(EOMONTH(DATE(LOHNTABELLE!$G$3, $A$1, 1), 0)) * F54,
        2
    ),
    ""
)</f>
        <v>86.5</v>
      </c>
      <c r="I54" s="155"/>
      <c r="J54" s="188"/>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85"/>
      <c r="H55" s="158" t="str">
        <f>IF(AND(ISNUMBER(D55), ISNUMBER(F55)),
    ROUNDDOWN(
        MIN(
            IF(OR(ISBLANK(I55), I55=""),
                EOMONTH(DATE(LOHNTABELLE!$G$3, $A$1, 1), 0), I55)
            - MAX(D55, DATE(LOHNTABELLE!$G$3, $A$1, 1)) + 1)
        / DAY(EOMONTH(DATE(LOHNTABELLE!$G$3, $A$1, 1), 0)) * F55,
        2
    ),
    ""
)</f>
        <v/>
      </c>
      <c r="I55" s="155"/>
      <c r="J55" s="188"/>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85"/>
      <c r="H56" s="158" t="str">
        <f>IF(AND(ISNUMBER(D56), ISNUMBER(F56)),
    ROUNDDOWN(
        MIN(
            IF(OR(ISBLANK(I56), I56=""),
                EOMONTH(DATE(LOHNTABELLE!$G$3, $A$1, 1), 0), I56)
            - MAX(D56, DATE(LOHNTABELLE!$G$3, $A$1, 1)) + 1)
        / DAY(EOMONTH(DATE(LOHNTABELLE!$G$3, $A$1, 1), 0)) * F56,
        2
    ),
    ""
)</f>
        <v/>
      </c>
      <c r="I56" s="155"/>
      <c r="J56" s="188"/>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85"/>
      <c r="H57" s="158" t="str">
        <f>IF(AND(ISNUMBER(D57), ISNUMBER(F57)),
    ROUNDDOWN(
        MIN(
            IF(OR(ISBLANK(I57), I57=""),
                EOMONTH(DATE(LOHNTABELLE!$G$3, $A$1, 1), 0), I57)
            - MAX(D57, DATE(LOHNTABELLE!$G$3, $A$1, 1)) + 1)
        / DAY(EOMONTH(DATE(LOHNTABELLE!$G$3, $A$1, 1), 0)) * F57,
        2
    ),
    ""
)</f>
        <v/>
      </c>
      <c r="I57" s="155"/>
      <c r="J57" s="188"/>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85"/>
      <c r="H58" s="158" t="str">
        <f>IF(AND(ISNUMBER(D58), ISNUMBER(F58)),
    ROUNDDOWN(
        MIN(
            IF(OR(ISBLANK(I58), I58=""),
                EOMONTH(DATE(LOHNTABELLE!$G$3, $A$1, 1), 0), I58)
            - MAX(D58, DATE(LOHNTABELLE!$G$3, $A$1, 1)) + 1)
        / DAY(EOMONTH(DATE(LOHNTABELLE!$G$3, $A$1, 1), 0)) * F58,
        2
    ),
    ""
)</f>
        <v/>
      </c>
      <c r="I58" s="155"/>
      <c r="J58" s="188"/>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85"/>
      <c r="H59" s="158" t="str">
        <f>IF(AND(ISNUMBER(D59), ISNUMBER(F59)),
    ROUNDDOWN(
        MIN(
            IF(OR(ISBLANK(I59), I59=""),
                EOMONTH(DATE(LOHNTABELLE!$G$3, $A$1, 1), 0), I59)
            - MAX(D59, DATE(LOHNTABELLE!$G$3, $A$1, 1)) + 1)
        / DAY(EOMONTH(DATE(LOHNTABELLE!$G$3, $A$1, 1), 0)) * F59,
        2
    ),
    ""
)</f>
        <v/>
      </c>
      <c r="I59" s="155"/>
      <c r="J59" s="188"/>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85"/>
      <c r="H60" s="158" t="str">
        <f>IF(AND(ISNUMBER(D60), ISNUMBER(F60)),
    ROUNDDOWN(
        MIN(
            IF(OR(ISBLANK(I60), I60=""),
                EOMONTH(DATE(LOHNTABELLE!$G$3, $A$1, 1), 0), I60)
            - MAX(D60, DATE(LOHNTABELLE!$G$3, $A$1, 1)) + 1)
        / DAY(EOMONTH(DATE(LOHNTABELLE!$G$3, $A$1, 1), 0)) * F60,
        2
    ),
    ""
)</f>
        <v/>
      </c>
      <c r="I60" s="155"/>
      <c r="J60" s="188"/>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85"/>
      <c r="H61" s="158" t="str">
        <f>IF(AND(ISNUMBER(D61), ISNUMBER(F61)),
    ROUNDDOWN(
        MIN(
            IF(OR(ISBLANK(I61), I61=""),
                EOMONTH(DATE(LOHNTABELLE!$G$3, $A$1, 1), 0), I61)
            - MAX(D61, DATE(LOHNTABELLE!$G$3, $A$1, 1)) + 1)
        / DAY(EOMONTH(DATE(LOHNTABELLE!$G$3, $A$1, 1), 0)) * F61,
        2
    ),
    ""
)</f>
        <v/>
      </c>
      <c r="I61" s="155"/>
      <c r="J61" s="188"/>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85"/>
      <c r="H62" s="158" t="str">
        <f>IF(AND(ISNUMBER(D62), ISNUMBER(F62)),
    ROUNDDOWN(
        MIN(
            IF(OR(ISBLANK(I62), I62=""),
                EOMONTH(DATE(LOHNTABELLE!$G$3, $A$1, 1), 0), I62)
            - MAX(D62, DATE(LOHNTABELLE!$G$3, $A$1, 1)) + 1)
        / DAY(EOMONTH(DATE(LOHNTABELLE!$G$3, $A$1, 1), 0)) * F62,
        2
    ),
    ""
)</f>
        <v/>
      </c>
      <c r="I62" s="155"/>
      <c r="J62" s="188"/>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85"/>
      <c r="H63" s="158" t="str">
        <f>IF(AND(ISNUMBER(D63), ISNUMBER(F63)),
    ROUNDDOWN(
        MIN(
            IF(OR(ISBLANK(I63), I63=""),
                EOMONTH(DATE(LOHNTABELLE!$G$3, $A$1, 1), 0), I63)
            - MAX(D63, DATE(LOHNTABELLE!$G$3, $A$1, 1)) + 1)
        / DAY(EOMONTH(DATE(LOHNTABELLE!$G$3, $A$1, 1), 0)) * F63,
        2
    ),
    ""
)</f>
        <v/>
      </c>
      <c r="I63" s="155"/>
      <c r="J63" s="188"/>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85"/>
      <c r="H64" s="158" t="str">
        <f>IF(AND(ISNUMBER(D64), ISNUMBER(F64)),
    ROUNDDOWN(
        MIN(
            IF(OR(ISBLANK(I64), I64=""),
                EOMONTH(DATE(LOHNTABELLE!$G$3, $A$1, 1), 0), I64)
            - MAX(D64, DATE(LOHNTABELLE!$G$3, $A$1, 1)) + 1)
        / DAY(EOMONTH(DATE(LOHNTABELLE!$G$3, $A$1, 1), 0)) * F64,
        2
    ),
    ""
)</f>
        <v/>
      </c>
      <c r="I64" s="155"/>
      <c r="J64" s="188"/>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85"/>
      <c r="H65" s="158" t="str">
        <f>IF(AND(ISNUMBER(D65), ISNUMBER(F65)),
    ROUNDDOWN(
        MIN(
            IF(OR(ISBLANK(I65), I65=""),
                EOMONTH(DATE(LOHNTABELLE!$G$3, $A$1, 1), 0), I65)
            - MAX(D65, DATE(LOHNTABELLE!$G$3, $A$1, 1)) + 1)
        / DAY(EOMONTH(DATE(LOHNTABELLE!$G$3, $A$1, 1), 0)) * F65,
        2
    ),
    ""
)</f>
        <v/>
      </c>
      <c r="I65" s="155"/>
      <c r="J65" s="188"/>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85"/>
      <c r="H66" s="158" t="str">
        <f>IF(AND(ISNUMBER(D66), ISNUMBER(F66)),
    ROUNDDOWN(
        MIN(
            IF(OR(ISBLANK(I66), I66=""),
                EOMONTH(DATE(LOHNTABELLE!$G$3, $A$1, 1), 0), I66)
            - MAX(D66, DATE(LOHNTABELLE!$G$3, $A$1, 1)) + 1)
        / DAY(EOMONTH(DATE(LOHNTABELLE!$G$3, $A$1, 1), 0)) * F66,
        2
    ),
    ""
)</f>
        <v/>
      </c>
      <c r="I66" s="155"/>
      <c r="J66" s="188"/>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85"/>
      <c r="H67" s="158" t="str">
        <f>IF(AND(ISNUMBER(D67), ISNUMBER(F67)),
    ROUNDDOWN(
        MIN(
            IF(OR(ISBLANK(I67), I67=""),
                EOMONTH(DATE(LOHNTABELLE!$G$3, $A$1, 1), 0), I67)
            - MAX(D67, DATE(LOHNTABELLE!$G$3, $A$1, 1)) + 1)
        / DAY(EOMONTH(DATE(LOHNTABELLE!$G$3, $A$1, 1), 0)) * F67,
        2
    ),
    ""
)</f>
        <v/>
      </c>
      <c r="I67" s="155"/>
      <c r="J67" s="188"/>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85"/>
      <c r="H68" s="158" t="str">
        <f>IF(AND(ISNUMBER(D68), ISNUMBER(F68)),
    ROUNDDOWN(
        MIN(
            IF(OR(ISBLANK(I68), I68=""),
                EOMONTH(DATE(LOHNTABELLE!$G$3, $A$1, 1), 0), I68)
            - MAX(D68, DATE(LOHNTABELLE!$G$3, $A$1, 1)) + 1)
        / DAY(EOMONTH(DATE(LOHNTABELLE!$G$3, $A$1, 1), 0)) * F68,
        2
    ),
    ""
)</f>
        <v/>
      </c>
      <c r="I68" s="155"/>
      <c r="J68" s="188"/>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85"/>
      <c r="H69" s="158" t="str">
        <f>IF(AND(ISNUMBER(D69), ISNUMBER(F69)),
    ROUNDDOWN(
        MIN(
            IF(OR(ISBLANK(I69), I69=""),
                EOMONTH(DATE(LOHNTABELLE!$G$3, $A$1, 1), 0), I69)
            - MAX(D69, DATE(LOHNTABELLE!$G$3, $A$1, 1)) + 1)
        / DAY(EOMONTH(DATE(LOHNTABELLE!$G$3, $A$1, 1), 0)) * F69,
        2
    ),
    ""
)</f>
        <v/>
      </c>
      <c r="I69" s="155"/>
      <c r="J69" s="188"/>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85"/>
      <c r="H70" s="158" t="str">
        <f>IF(AND(ISNUMBER(D70), ISNUMBER(F70)),
    ROUNDDOWN(
        MIN(
            IF(OR(ISBLANK(I70), I70=""),
                EOMONTH(DATE(LOHNTABELLE!$G$3, $A$1, 1), 0), I70)
            - MAX(D70, DATE(LOHNTABELLE!$G$3, $A$1, 1)) + 1)
        / DAY(EOMONTH(DATE(LOHNTABELLE!$G$3, $A$1, 1), 0)) * F70,
        2
    ),
    ""
)</f>
        <v/>
      </c>
      <c r="I70" s="155"/>
      <c r="J70" s="188"/>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85"/>
      <c r="H71" s="158" t="str">
        <f>IF(AND(ISNUMBER(D71), ISNUMBER(F71)),
    ROUNDDOWN(
        MIN(
            IF(OR(ISBLANK(I71), I71=""),
                EOMONTH(DATE(LOHNTABELLE!$G$3, $A$1, 1), 0), I71)
            - MAX(D71, DATE(LOHNTABELLE!$G$3, $A$1, 1)) + 1)
        / DAY(EOMONTH(DATE(LOHNTABELLE!$G$3, $A$1, 1), 0)) * F71,
        2
    ),
    ""
)</f>
        <v/>
      </c>
      <c r="I71" s="155"/>
      <c r="J71" s="188"/>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85"/>
      <c r="H72" s="158" t="str">
        <f>IF(AND(ISNUMBER(D72), ISNUMBER(F72)),
    ROUNDDOWN(
        MIN(
            IF(OR(ISBLANK(I72), I72=""),
                EOMONTH(DATE(LOHNTABELLE!$G$3, $A$1, 1), 0), I72)
            - MAX(D72, DATE(LOHNTABELLE!$G$3, $A$1, 1)) + 1)
        / DAY(EOMONTH(DATE(LOHNTABELLE!$G$3, $A$1, 1), 0)) * F72,
        2
    ),
    ""
)</f>
        <v/>
      </c>
      <c r="I72" s="155"/>
      <c r="J72" s="188"/>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85"/>
      <c r="H73" s="158" t="str">
        <f>IF(AND(ISNUMBER(D73), ISNUMBER(F73)),
    ROUNDDOWN(
        MIN(
            IF(OR(ISBLANK(I73), I73=""),
                EOMONTH(DATE(LOHNTABELLE!$G$3, $A$1, 1), 0), I73)
            - MAX(D73, DATE(LOHNTABELLE!$G$3, $A$1, 1)) + 1)
        / DAY(EOMONTH(DATE(LOHNTABELLE!$G$3, $A$1, 1), 0)) * F73,
        2
    ),
    ""
)</f>
        <v/>
      </c>
      <c r="I73" s="155"/>
      <c r="J73" s="188"/>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85"/>
      <c r="H74" s="158" t="str">
        <f>IF(AND(ISNUMBER(D74), ISNUMBER(F74)),
    ROUNDDOWN(
        MIN(
            IF(OR(ISBLANK(I74), I74=""),
                EOMONTH(DATE(LOHNTABELLE!$G$3, $A$1, 1), 0), I74)
            - MAX(D74, DATE(LOHNTABELLE!$G$3, $A$1, 1)) + 1)
        / DAY(EOMONTH(DATE(LOHNTABELLE!$G$3, $A$1, 1), 0)) * F74,
        2
    ),
    ""
)</f>
        <v/>
      </c>
      <c r="I74" s="155"/>
      <c r="J74" s="188"/>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85"/>
      <c r="H75" s="158" t="str">
        <f>IF(AND(ISNUMBER(D75), ISNUMBER(F75)),
    ROUNDDOWN(
        MIN(
            IF(OR(ISBLANK(I75), I75=""),
                EOMONTH(DATE(LOHNTABELLE!$G$3, $A$1, 1), 0), I75)
            - MAX(D75, DATE(LOHNTABELLE!$G$3, $A$1, 1)) + 1)
        / DAY(EOMONTH(DATE(LOHNTABELLE!$G$3, $A$1, 1), 0)) * F75,
        2
    ),
    ""
)</f>
        <v/>
      </c>
      <c r="I75" s="155"/>
      <c r="J75" s="188"/>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85"/>
      <c r="H76" s="158" t="str">
        <f>IF(AND(ISNUMBER(D76), ISNUMBER(F76)),
    ROUNDDOWN(
        MIN(
            IF(OR(ISBLANK(I76), I76=""),
                EOMONTH(DATE(LOHNTABELLE!$G$3, $A$1, 1), 0), I76)
            - MAX(D76, DATE(LOHNTABELLE!$G$3, $A$1, 1)) + 1)
        / DAY(EOMONTH(DATE(LOHNTABELLE!$G$3, $A$1, 1), 0)) * F76,
        2
    ),
    ""
)</f>
        <v/>
      </c>
      <c r="I76" s="155"/>
      <c r="J76" s="188"/>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85"/>
      <c r="H77" s="158" t="str">
        <f>IF(AND(ISNUMBER(D77), ISNUMBER(F77)),
    ROUNDDOWN(
        MIN(
            IF(OR(ISBLANK(I77), I77=""),
                EOMONTH(DATE(LOHNTABELLE!$G$3, $A$1, 1), 0), I77)
            - MAX(D77, DATE(LOHNTABELLE!$G$3, $A$1, 1)) + 1)
        / DAY(EOMONTH(DATE(LOHNTABELLE!$G$3, $A$1, 1), 0)) * F77,
        2
    ),
    ""
)</f>
        <v/>
      </c>
      <c r="I77" s="155"/>
      <c r="J77" s="188"/>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85"/>
      <c r="H78" s="158" t="str">
        <f>IF(AND(ISNUMBER(D78), ISNUMBER(F78)),
    ROUNDDOWN(
        MIN(
            IF(OR(ISBLANK(I78), I78=""),
                EOMONTH(DATE(LOHNTABELLE!$G$3, $A$1, 1), 0), I78)
            - MAX(D78, DATE(LOHNTABELLE!$G$3, $A$1, 1)) + 1)
        / DAY(EOMONTH(DATE(LOHNTABELLE!$G$3, $A$1, 1), 0)) * F78,
        2
    ),
    ""
)</f>
        <v/>
      </c>
      <c r="I78" s="155"/>
      <c r="J78" s="188"/>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85"/>
      <c r="H79" s="158" t="str">
        <f>IF(AND(ISNUMBER(D79), ISNUMBER(F79)),
    ROUNDDOWN(
        MIN(
            IF(OR(ISBLANK(I79), I79=""),
                EOMONTH(DATE(LOHNTABELLE!$G$3, $A$1, 1), 0), I79)
            - MAX(D79, DATE(LOHNTABELLE!$G$3, $A$1, 1)) + 1)
        / DAY(EOMONTH(DATE(LOHNTABELLE!$G$3, $A$1, 1), 0)) * F79,
        2
    ),
    ""
)</f>
        <v/>
      </c>
      <c r="I79" s="155"/>
      <c r="J79" s="188"/>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85"/>
      <c r="H80" s="158" t="str">
        <f>IF(AND(ISNUMBER(D80), ISNUMBER(F80)),
    ROUNDDOWN(
        MIN(
            IF(OR(ISBLANK(I80), I80=""),
                EOMONTH(DATE(LOHNTABELLE!$G$3, $A$1, 1), 0), I80)
            - MAX(D80, DATE(LOHNTABELLE!$G$3, $A$1, 1)) + 1)
        / DAY(EOMONTH(DATE(LOHNTABELLE!$G$3, $A$1, 1), 0)) * F80,
        2
    ),
    ""
)</f>
        <v/>
      </c>
      <c r="I80" s="155"/>
      <c r="J80" s="188"/>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85"/>
      <c r="H81" s="158" t="str">
        <f>IF(AND(ISNUMBER(D81), ISNUMBER(F81)),
    ROUNDDOWN(
        MIN(
            IF(OR(ISBLANK(I81), I81=""),
                EOMONTH(DATE(LOHNTABELLE!$G$3, $A$1, 1), 0), I81)
            - MAX(D81, DATE(LOHNTABELLE!$G$3, $A$1, 1)) + 1)
        / DAY(EOMONTH(DATE(LOHNTABELLE!$G$3, $A$1, 1), 0)) * F81,
        2
    ),
    ""
)</f>
        <v/>
      </c>
      <c r="I81" s="155"/>
      <c r="J81" s="188"/>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86"/>
      <c r="H82" s="159" t="str">
        <f>IF(AND(ISNUMBER(D82), ISNUMBER(F82)),
    ROUNDDOWN(
        MIN(
            IF(OR(ISBLANK(I82), I82=""),
                EOMONTH(DATE(LOHNTABELLE!$G$3, $A$1, 1), 0), I82)
            - MAX(D82, DATE(LOHNTABELLE!$G$3, $A$1, 1)) + 1)
        / DAY(EOMONTH(DATE(LOHNTABELLE!$G$3, $A$1, 1), 0)) * F82,
        2
    ),
    ""
)</f>
        <v/>
      </c>
      <c r="I82" s="156"/>
      <c r="J82" s="189"/>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04"/>
      <c r="L114" s="304"/>
      <c r="M114" s="304"/>
      <c r="N114" s="127"/>
    </row>
    <row r="115" spans="11:14" ht="16" customHeight="1">
      <c r="K115" s="304"/>
      <c r="L115" s="304"/>
      <c r="M115" s="304"/>
      <c r="N115" s="127"/>
    </row>
    <row r="116" spans="11:14" ht="16" customHeight="1">
      <c r="K116" s="278"/>
      <c r="L116" s="278"/>
      <c r="M116" s="78"/>
      <c r="N116" s="78"/>
    </row>
    <row r="117" spans="11:14" ht="16" customHeight="1">
      <c r="K117" s="278"/>
      <c r="L117" s="278"/>
      <c r="M117" s="78"/>
      <c r="N117" s="78"/>
    </row>
    <row r="118" spans="11:14" ht="16" customHeight="1">
      <c r="K118" s="305"/>
      <c r="L118" s="305"/>
      <c r="M118" s="79"/>
      <c r="N118" s="79"/>
    </row>
    <row r="119" spans="11:14" ht="16" customHeight="1">
      <c r="K119" s="279"/>
      <c r="L119" s="279"/>
      <c r="M119" s="80"/>
      <c r="N119" s="80"/>
    </row>
    <row r="120" spans="11:14" ht="16" customHeight="1">
      <c r="K120" s="278"/>
      <c r="L120" s="278"/>
      <c r="M120" s="78"/>
      <c r="N120" s="78"/>
    </row>
    <row r="121" spans="11:14" ht="16" customHeight="1">
      <c r="K121" s="278"/>
      <c r="L121" s="278"/>
      <c r="M121" s="78"/>
      <c r="N121" s="78"/>
    </row>
    <row r="122" spans="11:14" ht="16" customHeight="1">
      <c r="K122" s="279"/>
      <c r="L122" s="279"/>
      <c r="M122" s="80"/>
      <c r="N122" s="80"/>
    </row>
    <row r="123" spans="11:14" ht="16" customHeight="1">
      <c r="K123" s="81"/>
      <c r="L123" s="81"/>
      <c r="M123" s="81"/>
      <c r="N123" s="81"/>
    </row>
  </sheetData>
  <sheetProtection algorithmName="SHA-512" hashValue="8jktTrlALjwQwOYXWBqEzll4WJvnrTdcCL1+OCg2MEAbbcJs0/munyaj9EbcD1UgokTbR3xpOszx4oOx9u9C/A==" saltValue="I+tWgEj2qGfYtWwIP9Lc7g=="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O8+/1Jwvhm5HebRvl+QRu0BJgLQO4H3pEHhseX68wDrrH6Xx85uHVTE0m9RkNOCFnTzh9v8gIdsMgdIih3ZhlA==" saltValue="7RawqWYIA4ltSxxIE/6/8w=="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46054</v>
      </c>
    </row>
    <row r="2" spans="1:28" ht="16" customHeight="1" thickBot="1">
      <c r="A2" s="129"/>
      <c r="B2" s="302"/>
      <c r="C2" s="311"/>
      <c r="D2" s="309"/>
      <c r="E2" s="309"/>
      <c r="F2" s="309"/>
      <c r="G2" s="313"/>
      <c r="H2" s="315"/>
      <c r="I2" s="317"/>
      <c r="J2" s="319"/>
      <c r="K2" s="321"/>
      <c r="L2" s="323"/>
      <c r="M2" s="307"/>
      <c r="N2" s="303"/>
      <c r="AB2" s="41">
        <f>EOMONTH(DATE(LOHNTABELLE!$G$3, $A$1, 1), 0)</f>
        <v>46081</v>
      </c>
    </row>
    <row r="3" spans="1:28" ht="16" customHeight="1">
      <c r="A3" s="130" t="s">
        <v>60</v>
      </c>
      <c r="B3" s="169">
        <v>401006</v>
      </c>
      <c r="C3" s="166" t="s">
        <v>262</v>
      </c>
      <c r="D3" s="192">
        <v>38188</v>
      </c>
      <c r="E3" s="142" t="s">
        <v>24</v>
      </c>
      <c r="F3" s="167">
        <v>173</v>
      </c>
      <c r="G3" s="184">
        <v>2328</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2" t="s">
        <v>61</v>
      </c>
      <c r="P3" s="242" t="s">
        <v>62</v>
      </c>
      <c r="Q3" s="240" t="s">
        <v>63</v>
      </c>
      <c r="R3" s="280" t="s">
        <v>64</v>
      </c>
      <c r="AB3" s="43"/>
    </row>
    <row r="4" spans="1:28" ht="16" customHeight="1">
      <c r="A4" s="130" t="s">
        <v>65</v>
      </c>
      <c r="B4" s="170">
        <v>401010</v>
      </c>
      <c r="C4" s="137" t="s">
        <v>263</v>
      </c>
      <c r="D4" s="193">
        <v>39388</v>
      </c>
      <c r="E4" s="134" t="s">
        <v>12</v>
      </c>
      <c r="F4" s="136">
        <v>173</v>
      </c>
      <c r="G4" s="185">
        <v>2183</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3"/>
      <c r="P4" s="243"/>
      <c r="Q4" s="241"/>
      <c r="R4" s="281"/>
    </row>
    <row r="5" spans="1:28" ht="16" customHeight="1">
      <c r="A5" s="131" t="s">
        <v>66</v>
      </c>
      <c r="B5" s="170">
        <v>401047</v>
      </c>
      <c r="C5" s="137" t="s">
        <v>265</v>
      </c>
      <c r="D5" s="193">
        <v>41154</v>
      </c>
      <c r="E5" s="134" t="s">
        <v>10</v>
      </c>
      <c r="F5" s="136">
        <v>173</v>
      </c>
      <c r="G5" s="185">
        <v>2123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825.97482420928964</v>
      </c>
      <c r="P5" s="49">
        <f>EINSTELLUNG!I7</f>
        <v>2</v>
      </c>
      <c r="Q5" s="48">
        <f>P5-O5</f>
        <v>-823.97482420928964</v>
      </c>
      <c r="R5" s="52">
        <f>IFERROR(Q5*Q42, 0)</f>
        <v>-9968.3550406959002</v>
      </c>
    </row>
    <row r="6" spans="1:28" ht="16" customHeight="1">
      <c r="A6" s="130" t="s">
        <v>67</v>
      </c>
      <c r="B6" s="170">
        <v>401049</v>
      </c>
      <c r="C6" s="139"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3" t="str">
        <f>IF(Q5&lt;0, "Schlecht! Zu wenig Urlaub abgebaut.", IF(Q5&gt;0, "Gut! Mehr Urlaub abgebaut als aufgebaut.", ""))</f>
        <v>Schlecht! Zu wenig Urlaub abgebaut.</v>
      </c>
      <c r="P6" s="363"/>
      <c r="Q6" s="363"/>
      <c r="R6" s="363"/>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61" t="s">
        <v>70</v>
      </c>
      <c r="P8" s="245"/>
      <c r="Q8" s="359">
        <f>SUM(H3:H82)</f>
        <v>8559.1799999999985</v>
      </c>
      <c r="R8" s="360"/>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61" t="s">
        <v>72</v>
      </c>
      <c r="P9" s="245"/>
      <c r="Q9" s="359">
        <f>EINSTELLUNG!L23</f>
        <v>2</v>
      </c>
      <c r="R9" s="360"/>
      <c r="S9" s="53">
        <f>IFERROR(Q9/Q8, 0)</f>
        <v>2.3366724382475895E-4</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61" t="s">
        <v>74</v>
      </c>
      <c r="P10" s="245"/>
      <c r="Q10" s="359">
        <f>EINSTELLUNG!I23</f>
        <v>2</v>
      </c>
      <c r="R10" s="360"/>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61" t="s">
        <v>76</v>
      </c>
      <c r="P11" s="245"/>
      <c r="Q11" s="359">
        <f>P5</f>
        <v>2</v>
      </c>
      <c r="R11" s="360"/>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61" t="s">
        <v>80</v>
      </c>
      <c r="P12" s="245"/>
      <c r="Q12" s="359">
        <f>Q8-Q9-Q10-Q11</f>
        <v>8553.1799999999985</v>
      </c>
      <c r="R12" s="360"/>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61" t="s">
        <v>82</v>
      </c>
      <c r="P13" s="245"/>
      <c r="Q13" s="359">
        <f>EINSTELLUNG!L7</f>
        <v>2</v>
      </c>
      <c r="R13" s="360"/>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61" t="s">
        <v>84</v>
      </c>
      <c r="P14" s="245"/>
      <c r="Q14" s="359">
        <f>Q12-Q13</f>
        <v>8551.1799999999985</v>
      </c>
      <c r="R14" s="360"/>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2" t="str">
        <f>IF(Q14&lt;0, "Schlecht! Zu wenig Stunden für Dienstplan.", IF(Q14&gt;0, "Du hast mehr als genug Stunden für Dienstplan.", ""))</f>
        <v>Du hast mehr als genug Stunden für Dienstplan.</v>
      </c>
      <c r="P15" s="362"/>
      <c r="Q15" s="362"/>
      <c r="R15" s="362"/>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56" t="s">
        <v>87</v>
      </c>
      <c r="P17" s="253"/>
      <c r="Q17" s="357">
        <f>SUM(L3:L82)</f>
        <v>103548</v>
      </c>
      <c r="R17" s="358"/>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4"/>
      <c r="P18" s="335"/>
      <c r="Q18" s="336"/>
      <c r="R18" s="337"/>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34"/>
      <c r="P19" s="335"/>
      <c r="Q19" s="336"/>
      <c r="R19" s="337"/>
    </row>
    <row r="20" spans="1:29" ht="16" customHeight="1">
      <c r="A20" s="130"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34"/>
      <c r="P20" s="335"/>
      <c r="Q20" s="336"/>
      <c r="R20" s="337"/>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4" t="s">
        <v>357</v>
      </c>
      <c r="P21" s="335"/>
      <c r="Q21" s="336">
        <v>5000</v>
      </c>
      <c r="R21" s="337"/>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4"/>
      <c r="P22" s="335"/>
      <c r="Q22" s="336"/>
      <c r="R22" s="337"/>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34"/>
      <c r="P23" s="335"/>
      <c r="Q23" s="336"/>
      <c r="R23" s="337"/>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4"/>
      <c r="P24" s="335"/>
      <c r="Q24" s="336"/>
      <c r="R24" s="337"/>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9"/>
      <c r="P25" s="350"/>
      <c r="Q25" s="351"/>
      <c r="R25" s="352"/>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53"/>
      <c r="P26" s="296"/>
      <c r="Q26" s="354"/>
      <c r="R26" s="355"/>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45"/>
      <c r="P27" s="251"/>
      <c r="Q27" s="346"/>
      <c r="R27" s="347"/>
      <c r="S27" s="249" t="s">
        <v>99</v>
      </c>
      <c r="T27" s="250"/>
      <c r="U27" s="250"/>
      <c r="V27" s="250"/>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48"/>
      <c r="P28" s="290"/>
      <c r="Q28" s="328"/>
      <c r="R28" s="329"/>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30" t="s">
        <v>102</v>
      </c>
      <c r="P29" s="282"/>
      <c r="Q29" s="331">
        <f>EINSTELLUNG!O7</f>
        <v>2</v>
      </c>
      <c r="R29" s="332"/>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38">
        <v>0</v>
      </c>
      <c r="P31" s="339"/>
      <c r="Q31" s="340">
        <v>0</v>
      </c>
      <c r="R31" s="298"/>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1"/>
      <c r="P33" s="342"/>
      <c r="Q33" s="268" t="s">
        <v>108</v>
      </c>
      <c r="R33" s="269"/>
      <c r="S33" s="272" t="s">
        <v>109</v>
      </c>
      <c r="T33" s="273"/>
      <c r="U33" s="272" t="s">
        <v>110</v>
      </c>
      <c r="V33" s="273"/>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3"/>
      <c r="P34" s="344"/>
      <c r="Q34" s="270"/>
      <c r="R34" s="271"/>
      <c r="S34" s="274"/>
      <c r="T34" s="275"/>
      <c r="U34" s="274"/>
      <c r="V34" s="275"/>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33" t="s">
        <v>113</v>
      </c>
      <c r="P35" s="255"/>
      <c r="Q35" s="261">
        <f>EINSTELLUNG!C7</f>
        <v>2</v>
      </c>
      <c r="R35" s="263"/>
      <c r="S35" s="261">
        <f>EINSTELLUNG!C23</f>
        <v>2</v>
      </c>
      <c r="T35" s="263"/>
      <c r="U35" s="258">
        <f>S35-Q35</f>
        <v>0</v>
      </c>
      <c r="V35" s="258"/>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33" t="s">
        <v>115</v>
      </c>
      <c r="P36" s="255"/>
      <c r="Q36" s="261">
        <f>EINSTELLUNG!D7</f>
        <v>2</v>
      </c>
      <c r="R36" s="263"/>
      <c r="S36" s="257" cm="1">
        <f t="array" ref="S36">SumMergedCells(Q17:R29)</f>
        <v>108550</v>
      </c>
      <c r="T36" s="257"/>
      <c r="U36" s="258">
        <f t="shared" ref="U36:U41" si="2">S36-Q36</f>
        <v>108548</v>
      </c>
      <c r="V36" s="258"/>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33" t="s">
        <v>117</v>
      </c>
      <c r="P37" s="255"/>
      <c r="Q37" s="326">
        <f>IF(ISERROR(Q36/Q35), 0, Q36/Q35)</f>
        <v>1</v>
      </c>
      <c r="R37" s="327"/>
      <c r="S37" s="326">
        <f>IF(ISERROR(S36/S35), 0, S36/S35)</f>
        <v>54275</v>
      </c>
      <c r="T37" s="327"/>
      <c r="U37" s="265">
        <f t="shared" si="2"/>
        <v>54274</v>
      </c>
      <c r="V37" s="265"/>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33" t="s">
        <v>119</v>
      </c>
      <c r="P38" s="255"/>
      <c r="Q38" s="324">
        <f>EINSTELLUNG!F7</f>
        <v>2</v>
      </c>
      <c r="R38" s="325"/>
      <c r="S38" s="324">
        <f>EINSTELLUNG!F23</f>
        <v>2</v>
      </c>
      <c r="T38" s="325"/>
      <c r="U38" s="260">
        <f t="shared" si="2"/>
        <v>0</v>
      </c>
      <c r="V38" s="260"/>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33" t="s">
        <v>121</v>
      </c>
      <c r="P39" s="255"/>
      <c r="Q39" s="261">
        <f>IF(Q38=0, 0, Q35/Q38)</f>
        <v>1</v>
      </c>
      <c r="R39" s="263"/>
      <c r="S39" s="261">
        <f>IF(S38=0, 0, S35/S38)</f>
        <v>1</v>
      </c>
      <c r="T39" s="263"/>
      <c r="U39" s="258">
        <f t="shared" si="2"/>
        <v>0</v>
      </c>
      <c r="V39" s="258"/>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2.3383115987270236E-4</v>
      </c>
      <c r="R40" s="257"/>
      <c r="S40" s="257">
        <f>IF(Q12=0, 0, S35/Q12)</f>
        <v>2.3383115987270236E-4</v>
      </c>
      <c r="T40" s="257"/>
      <c r="U40" s="258">
        <f t="shared" si="2"/>
        <v>0</v>
      </c>
      <c r="V40" s="258"/>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2.3383115987270236E-4</v>
      </c>
      <c r="R41" s="259"/>
      <c r="S41" s="259">
        <f>IF(Q12=0, 0, S38/Q12)</f>
        <v>2.3383115987270236E-4</v>
      </c>
      <c r="T41" s="259"/>
      <c r="U41" s="260">
        <f t="shared" si="2"/>
        <v>0</v>
      </c>
      <c r="V41" s="260"/>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12.09788788178307</v>
      </c>
      <c r="R42" s="262"/>
      <c r="S42" s="262"/>
      <c r="T42" s="262"/>
      <c r="U42" s="262"/>
      <c r="V42" s="263"/>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193">
        <v>46014</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367</v>
      </c>
      <c r="D54" s="193">
        <v>46054</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368</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369</v>
      </c>
      <c r="D56" s="193">
        <v>42401</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370</v>
      </c>
      <c r="D57" s="193">
        <v>46054</v>
      </c>
      <c r="E57" s="134" t="s">
        <v>8</v>
      </c>
      <c r="F57" s="136">
        <v>138.4</v>
      </c>
      <c r="G57" s="185">
        <v>2021</v>
      </c>
      <c r="H57" s="158">
        <f>IF(AND(ISNUMBER(D57), ISNUMBER(F57)),
    ROUNDDOWN(
        MIN(
            IF(OR(ISBLANK(I57), I57=""),
                EOMONTH(DATE(LOHNTABELLE!$G$3, $A$1, 1), 0), I57)
            - MAX(D57, DATE(LOHNTABELLE!$G$3, $A$1, 1)) + 1)
        / DAY(EOMONTH(DATE(LOHNTABELLE!$G$3, $A$1, 1), 0)) * F57,
        2
    ),
    ""
)</f>
        <v>138.4</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371</v>
      </c>
      <c r="D58" s="193">
        <v>46054</v>
      </c>
      <c r="E58" s="134" t="s">
        <v>4</v>
      </c>
      <c r="F58" s="136">
        <v>138.4</v>
      </c>
      <c r="G58" s="185">
        <v>2021</v>
      </c>
      <c r="H58" s="158">
        <f>IF(AND(ISNUMBER(D58), ISNUMBER(F58)),
    ROUNDDOWN(
        MIN(
            IF(OR(ISBLANK(I58), I58=""),
                EOMONTH(DATE(LOHNTABELLE!$G$3, $A$1, 1), 0), I58)
            - MAX(D58, DATE(LOHNTABELLE!$G$3, $A$1, 1)) + 1)
        / DAY(EOMONTH(DATE(LOHNTABELLE!$G$3, $A$1, 1), 0)) * F58,
        2
    ),
    ""
)</f>
        <v>138.4</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372</v>
      </c>
      <c r="D59" s="193">
        <v>46054</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373</v>
      </c>
      <c r="D60" s="193">
        <v>46054</v>
      </c>
      <c r="E60" s="134" t="s">
        <v>4</v>
      </c>
      <c r="F60" s="136">
        <v>151.38</v>
      </c>
      <c r="G60" s="185">
        <v>2021</v>
      </c>
      <c r="H60" s="158">
        <f>IF(AND(ISNUMBER(D60), ISNUMBER(F60)),
    ROUNDDOWN(
        MIN(
            IF(OR(ISBLANK(I60), I60=""),
                EOMONTH(DATE(LOHNTABELLE!$G$3, $A$1, 1), 0), I60)
            - MAX(D60, DATE(LOHNTABELLE!$G$3, $A$1, 1)) + 1)
        / DAY(EOMONTH(DATE(LOHNTABELLE!$G$3, $A$1, 1), 0)) * F60,
        2
    ),
    ""
)</f>
        <v>151.38</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193"/>
      <c r="E61" s="134"/>
      <c r="F61" s="136"/>
      <c r="G61" s="185"/>
      <c r="H61" s="158" t="str">
        <f>IF(AND(ISNUMBER(D61), ISNUMBER(F61)),
    ROUNDDOWN(
        MIN(
            IF(OR(ISBLANK(I61), I61=""),
                EOMONTH(DATE(LOHNTABELLE!$G$3, $A$1, 1), 0), I61)
            - MAX(D61, DATE(LOHNTABELLE!$G$3, $A$1, 1)) + 1)
        / DAY(EOMONTH(DATE(LOHNTABELLE!$G$3, $A$1, 1), 0)) * F61,
        2
    ),
    ""
)</f>
        <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y2KZRp2C2WJBEta13AbsjTInI4AR1vdp8buCZGQuYsOeLQXvimgMzEqmhJTdVVkorSt6m5V1AEBtXjk6tpKaew==" saltValue="lApvV3paYGi6Wqs3y2NaKg=="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46082</v>
      </c>
    </row>
    <row r="2" spans="1:28" ht="16" customHeight="1" thickBot="1">
      <c r="A2" s="129"/>
      <c r="B2" s="302"/>
      <c r="C2" s="311"/>
      <c r="D2" s="309"/>
      <c r="E2" s="309"/>
      <c r="F2" s="309"/>
      <c r="G2" s="313"/>
      <c r="H2" s="315"/>
      <c r="I2" s="317"/>
      <c r="J2" s="319"/>
      <c r="K2" s="321"/>
      <c r="L2" s="323"/>
      <c r="M2" s="307"/>
      <c r="N2" s="303"/>
      <c r="AB2" s="41">
        <f>EOMONTH(DATE(LOHNTABELLE!$G$3, $A$1, 1), 0)</f>
        <v>46112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842.66960625479021</v>
      </c>
      <c r="P5" s="49">
        <f>EINSTELLUNG!I8</f>
        <v>3</v>
      </c>
      <c r="Q5" s="48">
        <f>P5-O5</f>
        <v>-839.66960625479021</v>
      </c>
      <c r="R5" s="52">
        <f>IFERROR(Q5*Q42, 0)</f>
        <v>-10080.44704645055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8687.5299999999988</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EINSTELLUNG!L24</f>
        <v>3</v>
      </c>
      <c r="R9" s="247"/>
      <c r="S9" s="53">
        <f>IFERROR(Q9/Q8, 0)</f>
        <v>3.4532254852645116E-4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EINSTELLUNG!I24</f>
        <v>3</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3</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-445</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9123.5299999999988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EINSTELLUNG!L8</f>
        <v>3</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9120.5299999999988</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104296.00580645162</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EINSTELLUNG!O8</f>
        <v>3</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1.9230769230769232E-2</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EINSTELLUNG!C8</f>
        <v>3</v>
      </c>
      <c r="R35" s="257"/>
      <c r="S35" s="257">
        <f>EINSTELLUNG!C24</f>
        <v>3</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EINSTELLUNG!D8</f>
        <v>3</v>
      </c>
      <c r="R36" s="257"/>
      <c r="S36" s="257" cm="1">
        <f t="array" ref="S36">SumMergedCells(Q17:R29)</f>
        <v>109299.0058</v>
      </c>
      <c r="T36" s="257"/>
      <c r="U36" s="258">
        <f t="shared" ref="U36:U41" si="2">S36-Q36</f>
        <v>109296.0058</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36433.001933333333</v>
      </c>
      <c r="T37" s="264"/>
      <c r="U37" s="265">
        <f t="shared" si="2"/>
        <v>36432.001933333333</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EINSTELLUNG!F8</f>
        <v>3</v>
      </c>
      <c r="R38" s="259"/>
      <c r="S38" s="259">
        <f>EINSTELLUNG!F24</f>
        <v>3</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3.2882009485363673E-4</v>
      </c>
      <c r="R40" s="257"/>
      <c r="S40" s="257">
        <f>IF(Q13=0, 0, S35/Q13)</f>
        <v>3.2882009485363673E-4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3.2882009485363673E-4</v>
      </c>
      <c r="R41" s="259"/>
      <c r="S41" s="259">
        <f>IF(Q13=0, 0, S38/Q13)</f>
        <v>3.2882009485363673E-4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12.005254175404474</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93">
        <v>46014</v>
      </c>
      <c r="E54" s="134" t="s">
        <v>4</v>
      </c>
      <c r="F54" s="136">
        <v>86.5</v>
      </c>
      <c r="G54" s="185">
        <v>1010.5</v>
      </c>
      <c r="H54" s="158">
        <f>IF(AND(ISNUMBER(D54), ISNUMBER(F54)),
    ROUNDDOWN(
        MIN(
            IF(OR(ISBLANK(I54), I54=""),
                EOMONTH(DATE(LOHNTABELLE!$G$3, $A$1, 1), 0), I54)
            - MAX(D54, DATE(LOHNTABELLE!$G$3, $A$1, 1)) + 1)
        / DAY(EOMONTH(DATE(LOHNTABELLE!$G$3, $A$1, 1), 0)) * F54,
        2
    ),
    ""
)</f>
        <v>41.85</v>
      </c>
      <c r="I54" s="19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356</v>
      </c>
      <c r="D55" s="193">
        <v>46082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373</v>
      </c>
      <c r="D61" s="193">
        <v>46054</v>
      </c>
      <c r="E61" s="134" t="s">
        <v>4</v>
      </c>
      <c r="F61" s="136">
        <v>151.38</v>
      </c>
      <c r="G61" s="185">
        <v>1768.38</v>
      </c>
      <c r="H61" s="158">
        <f>IF(AND(ISNUMBER(D61), ISNUMBER(F61)),
    ROUNDDOWN(
        MIN(
            IF(OR(ISBLANK(I61), I61=""),
                EOMONTH(DATE(LOHNTABELLE!$G$3, $A$1, 1), 0), I61)
            - MAX(D61, DATE(LOHNTABELLE!$G$3, $A$1, 1)) + 1)
        / DAY(EOMONTH(DATE(LOHNTABELLE!$G$3, $A$1, 1), 0)) * F61,
        2
    ),
    ""
)</f>
        <v>151.38</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IDn6yUgcf3jraQ0qg32czyga8koCD95EmbN6y5wA/lEthclQEGOtO8KrPXMfctdO24sc9wJiZYiRDhL3vkADkQ==" saltValue="SQVDyBHFEwR6yZOZ0qOgqQ=="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1">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46113</v>
      </c>
    </row>
    <row r="2" spans="1:28" ht="16" customHeight="1" thickBot="1">
      <c r="A2" s="129"/>
      <c r="B2" s="302"/>
      <c r="C2" s="311"/>
      <c r="D2" s="309"/>
      <c r="E2" s="309"/>
      <c r="F2" s="309"/>
      <c r="G2" s="313"/>
      <c r="H2" s="315"/>
      <c r="I2" s="317"/>
      <c r="J2" s="319"/>
      <c r="K2" s="321"/>
      <c r="L2" s="323"/>
      <c r="M2" s="307"/>
      <c r="N2" s="303"/>
      <c r="AB2" s="41">
        <f>EOMONTH(DATE(LOHNTABELLE!$G$3, $A$1, 1), 0)</f>
        <v>46142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851.01699727754055</v>
      </c>
      <c r="P5" s="49">
        <f>EINSTELLUNG!I9</f>
        <v>4</v>
      </c>
      <c r="Q5" s="48">
        <f>P5-O5</f>
        <v>-847.01699727754055</v>
      </c>
      <c r="R5" s="52">
        <f>IFERROR(Q5*Q42, 0)</f>
        <v>-10140.979254744389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8766.7799999999988</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EINSTELLUNG!L25</f>
        <v>4</v>
      </c>
      <c r="R9" s="247"/>
      <c r="S9" s="53">
        <f>IFERROR(Q9/Q8, 0)</f>
        <v>4.5626786573861789E-4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EINSTELLUNG!I25</f>
        <v>4</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4</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-255</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9009.7799999999988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EINSTELLUNG!L9</f>
        <v>4</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9005.7799999999988</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104960.98000000001</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EINSTELLUNG!O9</f>
        <v>4</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0</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EINSTELLUNG!C9</f>
        <v>4</v>
      </c>
      <c r="R35" s="257"/>
      <c r="S35" s="257">
        <f>EINSTELLUNG!C25</f>
        <v>4</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EINSTELLUNG!D9</f>
        <v>4</v>
      </c>
      <c r="R36" s="257"/>
      <c r="S36" s="257" cm="1">
        <f t="array" ref="S36">SumMergedCells(Q17:R29)</f>
        <v>109964.98</v>
      </c>
      <c r="T36" s="257"/>
      <c r="U36" s="258">
        <f t="shared" ref="U36:U41" si="2">S36-Q36</f>
        <v>109960.98</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27491.244999999999</v>
      </c>
      <c r="T37" s="264"/>
      <c r="U37" s="265">
        <f t="shared" si="2"/>
        <v>27490.244999999999</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EINSTELLUNG!F9</f>
        <v>4</v>
      </c>
      <c r="R38" s="259"/>
      <c r="S38" s="259">
        <f>EINSTELLUNG!F25</f>
        <v>4</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4.4396200573154957E-4</v>
      </c>
      <c r="R40" s="257"/>
      <c r="S40" s="257">
        <f>IF(Q13=0, 0, S35/Q13)</f>
        <v>4.4396200573154957E-4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4.4396200573154957E-4</v>
      </c>
      <c r="R41" s="259"/>
      <c r="S41" s="259">
        <f>IF(Q13=0, 0, S38/Q13)</f>
        <v>4.4396200573154957E-4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11.97258058260844</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121.1</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373</v>
      </c>
      <c r="D61" s="193">
        <v>46054</v>
      </c>
      <c r="E61" s="134" t="s">
        <v>4</v>
      </c>
      <c r="F61" s="136">
        <v>151.38</v>
      </c>
      <c r="G61" s="185">
        <v>1768.38</v>
      </c>
      <c r="H61" s="158">
        <f>IF(AND(ISNUMBER(D61), ISNUMBER(F61)),
    ROUNDDOWN(
        MIN(
            IF(OR(ISBLANK(I61), I61=""),
                EOMONTH(DATE(LOHNTABELLE!$G$3, $A$1, 1), 0), I61)
            - MAX(D61, DATE(LOHNTABELLE!$G$3, $A$1, 1)) + 1)
        / DAY(EOMONTH(DATE(LOHNTABELLE!$G$3, $A$1, 1), 0)) * F61,
        2
    ),
    ""
)</f>
        <v>151.38</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L1gy/bgQgNRw+uDy61rQGE6x3qsc30MxUivn4V3QSCdpQdvmRB00yThRw0mRFuoVnSBrYSNqPNR+g7W8qTkOUA==" saltValue="pRY15nB62QvevfdRt0Cbg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tabSelected="1" zoomScaleNormal="100" workbookViewId="0">
      <pane ySplit="2" topLeftCell="A3" activePane="bottomLeft" state="frozen"/>
      <selection activeCell="T24" sqref="T24"/>
      <selection pane="bottomLeft" activeCell="M18" sqref="M18"/>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46143</v>
      </c>
    </row>
    <row r="2" spans="1:28" ht="16" customHeight="1" thickBot="1">
      <c r="A2" s="129"/>
      <c r="B2" s="302"/>
      <c r="C2" s="311"/>
      <c r="D2" s="309"/>
      <c r="E2" s="309"/>
      <c r="F2" s="309"/>
      <c r="G2" s="313"/>
      <c r="H2" s="315"/>
      <c r="I2" s="317"/>
      <c r="J2" s="319"/>
      <c r="K2" s="321"/>
      <c r="L2" s="323"/>
      <c r="M2" s="307"/>
      <c r="N2" s="303"/>
      <c r="AB2" s="41">
        <f>EOMONTH(DATE(LOHNTABELLE!$G$3, $A$1, 1), 0)</f>
        <v>46173</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EINSTELLUNG!I10</f>
        <v>5</v>
      </c>
      <c r="Q5" s="48">
        <f>P5-O5</f>
        <v>-877.31923110470257</v>
      </c>
      <c r="R5" s="52">
        <f>IFERROR(Q5*Q42, 0)</f>
        <v>-10493.898494769082</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9120.7199999999993</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EINSTELLUNG!L26</f>
        <v>5</v>
      </c>
      <c r="R9" s="247"/>
      <c r="S9" s="53">
        <f>IFERROR(Q9/Q8, 0)</f>
        <v>5.4820233490338488E-4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EINSTELLUNG!I26</f>
        <v>5</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5</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9105.7199999999993</v>
      </c>
      <c r="R12" s="24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EINSTELLUNG!L10</f>
        <v>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9100.7199999999993</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109095.87580645162</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EINSTELLUNG!O10</f>
        <v>5</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0</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EINSTELLUNG!C10</f>
        <v>5</v>
      </c>
      <c r="R35" s="257"/>
      <c r="S35" s="257">
        <f>EINSTELLUNG!C26</f>
        <v>5</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EINSTELLUNG!D10</f>
        <v>5</v>
      </c>
      <c r="R36" s="257"/>
      <c r="S36" s="257" cm="1">
        <f t="array" ref="S36">SumMergedCells(Q17:R29)</f>
        <v>0</v>
      </c>
      <c r="T36" s="257"/>
      <c r="U36" s="258">
        <f t="shared" ref="U36:U41" si="2">S36-Q36</f>
        <v>-5</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0</v>
      </c>
      <c r="T37" s="264"/>
      <c r="U37" s="265">
        <f t="shared" si="2"/>
        <v>-1</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EINSTELLUNG!F10</f>
        <v>5</v>
      </c>
      <c r="R38" s="259"/>
      <c r="S38" s="259">
        <f>EINSTELLUNG!F26</f>
        <v>5</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5.4910539748641513E-4</v>
      </c>
      <c r="R40" s="257"/>
      <c r="S40" s="257">
        <f>IF(Q12=0, 0, S35/Q12)</f>
        <v>5.4910539748641513E-4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5.4910539748641513E-4</v>
      </c>
      <c r="R41" s="259"/>
      <c r="S41" s="259">
        <f>IF(Q12=0, 0, S38/Q12)</f>
        <v>5.4910539748641513E-4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11.961322769085294</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150.66999999999999</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1760.2258064516127</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373</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psYigGqQzI6OT4ACawO6lypjyWWmVwo5RfO3T+pfPbOW3UUggChrojY3IPSsZBYM8m+T8U5ILP4yf16WEia7HQ==" saltValue="9gBejiZX6WQg83Acc+QYn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46174</v>
      </c>
    </row>
    <row r="2" spans="1:28" ht="16" customHeight="1" thickBot="1">
      <c r="A2" s="129"/>
      <c r="B2" s="302"/>
      <c r="C2" s="311"/>
      <c r="D2" s="309"/>
      <c r="E2" s="309"/>
      <c r="F2" s="309"/>
      <c r="G2" s="313"/>
      <c r="H2" s="315"/>
      <c r="I2" s="317"/>
      <c r="J2" s="319"/>
      <c r="K2" s="321"/>
      <c r="L2" s="323"/>
      <c r="M2" s="307"/>
      <c r="N2" s="303"/>
      <c r="AB2" s="41">
        <f>EOMONTH(DATE(LOHNTABELLE!$G$3, $A$1, 1), 0)</f>
        <v>46203</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EINSTELLUNG!I11</f>
        <v>6</v>
      </c>
      <c r="Q5" s="48">
        <f>P5-O5</f>
        <v>-876.31923110470257</v>
      </c>
      <c r="R5" s="52">
        <f>IFERROR(Q5*Q42, 0)</f>
        <v>-10506.155921883201</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9004.65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EINSTELLUNG!L27</f>
        <v>6</v>
      </c>
      <c r="R9" s="247"/>
      <c r="S9" s="53">
        <f>IFERROR(Q9/Q8, 0)</f>
        <v>6.6632240009328512E-4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EINSTELLUNG!I27</f>
        <v>6</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6</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442</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8544.65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EINSTELLUNG!L11</f>
        <v>6</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8538.65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107956.38571428572</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EINSTELLUNG!O11</f>
        <v>6</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1.6666666666666666E-2</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EINSTELLUNG!C11</f>
        <v>6</v>
      </c>
      <c r="R35" s="257"/>
      <c r="S35" s="257">
        <f>EINSTELLUNG!C27</f>
        <v>6</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EINSTELLUNG!D11</f>
        <v>6</v>
      </c>
      <c r="R36" s="257"/>
      <c r="S36" s="257" cm="1">
        <f t="array" ref="S36">SumMergedCells(Q17:R29)</f>
        <v>0</v>
      </c>
      <c r="T36" s="257"/>
      <c r="U36" s="258">
        <f t="shared" ref="U36:U41" si="2">S36-Q36</f>
        <v>-6</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0</v>
      </c>
      <c r="T37" s="264"/>
      <c r="U37" s="265">
        <f t="shared" si="2"/>
        <v>-1</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EINSTELLUNG!F11</f>
        <v>6</v>
      </c>
      <c r="R38" s="259"/>
      <c r="S38" s="259">
        <f>EINSTELLUNG!F27</f>
        <v>6</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1.3574660633484163E-2</v>
      </c>
      <c r="R40" s="257"/>
      <c r="S40" s="257">
        <f>IF(Q12=0, 0, S35/Q12)</f>
        <v>1.3574660633484163E-2</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1.3574660633484163E-2</v>
      </c>
      <c r="R41" s="259"/>
      <c r="S41" s="259">
        <f>IF(Q12=0, 0, S38/Q12)</f>
        <v>1.3574660633484163E-2</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11.988959672423217</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373</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34.6</v>
      </c>
      <c r="I63" s="196">
        <v>46179</v>
      </c>
      <c r="J63" s="135">
        <v>3</v>
      </c>
      <c r="K63" s="161">
        <f t="shared" si="1"/>
        <v>216.53571428571428</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620.73571428571427</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5qU3zrEiv6XRQDRsb6vuOu37gIoZbuQarvkdHCBYahs+z4oXevJ7x2VHzrAPtVpHTt3XVuUWBWElyvo89ylFmw==" saltValue="23KB2wsbSc3nSs7oGZXQ1w=="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46204</v>
      </c>
    </row>
    <row r="2" spans="1:28" ht="16" customHeight="1" thickBot="1">
      <c r="A2" s="129"/>
      <c r="B2" s="302"/>
      <c r="C2" s="311"/>
      <c r="D2" s="309"/>
      <c r="E2" s="309"/>
      <c r="F2" s="309"/>
      <c r="G2" s="313"/>
      <c r="H2" s="315"/>
      <c r="I2" s="317"/>
      <c r="J2" s="319"/>
      <c r="K2" s="321"/>
      <c r="L2" s="323"/>
      <c r="M2" s="307"/>
      <c r="N2" s="303"/>
      <c r="AB2" s="41">
        <f>EOMONTH(DATE(LOHNTABELLE!$G$3, $A$1, 1), 0)</f>
        <v>46234</v>
      </c>
    </row>
    <row r="3" spans="1:28" ht="16" customHeight="1">
      <c r="A3" s="130" t="s">
        <v>60</v>
      </c>
      <c r="B3" s="169">
        <v>55</v>
      </c>
      <c r="C3" s="166" t="s">
        <v>368</v>
      </c>
      <c r="D3" s="192">
        <v>46054</v>
      </c>
      <c r="E3" s="142" t="s">
        <v>4</v>
      </c>
      <c r="F3" s="167">
        <v>173</v>
      </c>
      <c r="G3" s="184">
        <v>2900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2900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EINSTELLUNG!I12</f>
        <v>7</v>
      </c>
      <c r="Q5" s="48">
        <f>P5-O5</f>
        <v>-858.62444905920199</v>
      </c>
      <c r="R5" s="52">
        <f>IFERROR(Q5*Q42, 0)</f>
        <v>-12377.777784264003</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8970.0499999999993</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EINSTELLUNG!L28</f>
        <v>7</v>
      </c>
      <c r="R9" s="247"/>
      <c r="S9" s="53">
        <f>IFERROR(Q9/Q8, 0)</f>
        <v>7.8037469133393912E-4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EINSTELLUNG!I28</f>
        <v>7</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7</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39</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8910.0499999999993</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EINSTELLUNG!L12</f>
        <v>7</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8903.0499999999993</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2900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2900</v>
      </c>
      <c r="M17" s="164"/>
      <c r="N17" s="147"/>
      <c r="O17" s="253" t="s">
        <v>87</v>
      </c>
      <c r="P17" s="254"/>
      <c r="Q17" s="277">
        <f>SUM(L3:L82)</f>
        <v>129310.65000000001</v>
      </c>
      <c r="R17" s="277"/>
      <c r="W17" s="45"/>
    </row>
    <row r="18" spans="1:29" ht="16" customHeight="1">
      <c r="A18" s="130" t="s">
        <v>88</v>
      </c>
      <c r="B18" s="170">
        <v>401432</v>
      </c>
      <c r="C18" s="137" t="s">
        <v>274</v>
      </c>
      <c r="D18" s="193">
        <v>44441</v>
      </c>
      <c r="E18" s="134" t="s">
        <v>4</v>
      </c>
      <c r="F18" s="136">
        <v>173</v>
      </c>
      <c r="G18" s="185">
        <v>2900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2900</v>
      </c>
      <c r="M18" s="164"/>
      <c r="N18" s="147"/>
      <c r="O18" s="335"/>
      <c r="P18" s="366"/>
      <c r="Q18" s="367"/>
      <c r="R18" s="244"/>
    </row>
    <row r="19" spans="1:29" ht="16" customHeight="1">
      <c r="A19" s="130" t="s">
        <v>89</v>
      </c>
      <c r="B19" s="170">
        <v>401476</v>
      </c>
      <c r="C19" s="137" t="s">
        <v>276</v>
      </c>
      <c r="D19" s="193">
        <v>44504</v>
      </c>
      <c r="E19" s="134" t="s">
        <v>4</v>
      </c>
      <c r="F19" s="136">
        <v>173</v>
      </c>
      <c r="G19" s="185">
        <v>2900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2900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2900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2900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2900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2900</v>
      </c>
      <c r="M22" s="164"/>
      <c r="N22" s="147"/>
      <c r="O22" s="335"/>
      <c r="P22" s="366"/>
      <c r="Q22" s="367"/>
      <c r="R22" s="244"/>
    </row>
    <row r="23" spans="1:29" ht="16" customHeight="1">
      <c r="A23" s="130" t="s">
        <v>94</v>
      </c>
      <c r="B23" s="170">
        <v>401564</v>
      </c>
      <c r="C23" s="137" t="s">
        <v>279</v>
      </c>
      <c r="D23" s="193">
        <v>44824</v>
      </c>
      <c r="E23" s="134" t="s">
        <v>4</v>
      </c>
      <c r="F23" s="136">
        <v>173</v>
      </c>
      <c r="G23" s="185">
        <v>2900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2900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2900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2900</v>
      </c>
      <c r="M26" s="164"/>
      <c r="N26" s="147"/>
      <c r="O26" s="353"/>
      <c r="P26" s="296"/>
      <c r="Q26" s="287"/>
      <c r="R26" s="288"/>
    </row>
    <row r="27" spans="1:29" ht="16" customHeight="1">
      <c r="A27" s="130" t="s">
        <v>98</v>
      </c>
      <c r="B27" s="170">
        <v>401605</v>
      </c>
      <c r="C27" s="137" t="s">
        <v>284</v>
      </c>
      <c r="D27" s="193">
        <v>44986</v>
      </c>
      <c r="E27" s="134" t="s">
        <v>4</v>
      </c>
      <c r="F27" s="136">
        <v>173</v>
      </c>
      <c r="G27" s="185">
        <v>2900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2900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2900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2900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EINSTELLUNG!O12</f>
        <v>7</v>
      </c>
      <c r="R29" s="285"/>
    </row>
    <row r="30" spans="1:29" ht="16" customHeight="1">
      <c r="A30" s="130" t="s">
        <v>103</v>
      </c>
      <c r="B30" s="170">
        <v>401647</v>
      </c>
      <c r="C30" s="137" t="s">
        <v>287</v>
      </c>
      <c r="D30" s="193">
        <v>45182</v>
      </c>
      <c r="E30" s="134" t="s">
        <v>4</v>
      </c>
      <c r="F30" s="136">
        <v>173</v>
      </c>
      <c r="G30" s="185">
        <v>2900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2900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2900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2900</v>
      </c>
      <c r="M31" s="164"/>
      <c r="N31" s="147"/>
      <c r="O31" s="298">
        <v>0</v>
      </c>
      <c r="P31" s="299"/>
      <c r="Q31" s="300">
        <v>0</v>
      </c>
      <c r="R31" s="301"/>
    </row>
    <row r="32" spans="1:29" ht="16" customHeight="1">
      <c r="A32" s="130" t="s">
        <v>106</v>
      </c>
      <c r="B32" s="170">
        <v>401670</v>
      </c>
      <c r="C32" s="137" t="s">
        <v>289</v>
      </c>
      <c r="D32" s="193">
        <v>45358</v>
      </c>
      <c r="E32" s="134" t="s">
        <v>4</v>
      </c>
      <c r="F32" s="136">
        <v>173</v>
      </c>
      <c r="G32" s="185">
        <v>2900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2900</v>
      </c>
      <c r="M32" s="164"/>
      <c r="N32" s="147"/>
    </row>
    <row r="33" spans="1:24" ht="16" customHeight="1">
      <c r="A33" s="131" t="s">
        <v>107</v>
      </c>
      <c r="B33" s="170">
        <v>401678</v>
      </c>
      <c r="C33" s="137" t="s">
        <v>290</v>
      </c>
      <c r="D33" s="193">
        <v>45414</v>
      </c>
      <c r="E33" s="134" t="s">
        <v>4</v>
      </c>
      <c r="F33" s="136">
        <v>173</v>
      </c>
      <c r="G33" s="185">
        <v>2900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2900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2900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2900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2900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2900</v>
      </c>
      <c r="M35" s="164"/>
      <c r="N35" s="147"/>
      <c r="O35" s="255" t="s">
        <v>113</v>
      </c>
      <c r="P35" s="256"/>
      <c r="Q35" s="257">
        <f>EINSTELLUNG!C12</f>
        <v>7</v>
      </c>
      <c r="R35" s="257"/>
      <c r="S35" s="257">
        <f>EINSTELLUNG!C28</f>
        <v>7</v>
      </c>
      <c r="T35" s="257"/>
      <c r="U35" s="258">
        <f>S35-Q35</f>
        <v>0</v>
      </c>
      <c r="V35" s="258"/>
    </row>
    <row r="36" spans="1:24" ht="16" customHeight="1">
      <c r="A36" s="130" t="s">
        <v>114</v>
      </c>
      <c r="B36" s="170">
        <v>401715</v>
      </c>
      <c r="C36" s="137" t="s">
        <v>295</v>
      </c>
      <c r="D36" s="193">
        <v>45755</v>
      </c>
      <c r="E36" s="134" t="s">
        <v>4</v>
      </c>
      <c r="F36" s="136">
        <v>173</v>
      </c>
      <c r="G36" s="185">
        <v>2900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2900</v>
      </c>
      <c r="M36" s="164"/>
      <c r="N36" s="147"/>
      <c r="O36" s="255" t="s">
        <v>115</v>
      </c>
      <c r="P36" s="256"/>
      <c r="Q36" s="257">
        <f>EINSTELLUNG!D12</f>
        <v>7</v>
      </c>
      <c r="R36" s="257"/>
      <c r="S36" s="261" cm="1">
        <f t="array" ref="S36">SumMergedCells(Q17:R29)</f>
        <v>0</v>
      </c>
      <c r="T36" s="263"/>
      <c r="U36" s="258">
        <f t="shared" ref="U36:U41" si="2">S36-Q36</f>
        <v>-7</v>
      </c>
      <c r="V36" s="258"/>
    </row>
    <row r="37" spans="1:24" ht="16" customHeight="1">
      <c r="A37" s="131" t="s">
        <v>116</v>
      </c>
      <c r="B37" s="170">
        <v>401716</v>
      </c>
      <c r="C37" s="137" t="s">
        <v>296</v>
      </c>
      <c r="D37" s="193">
        <v>45800</v>
      </c>
      <c r="E37" s="134" t="s">
        <v>4</v>
      </c>
      <c r="F37" s="136">
        <v>173</v>
      </c>
      <c r="G37" s="185">
        <v>2900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2900</v>
      </c>
      <c r="M37" s="164"/>
      <c r="N37" s="147"/>
      <c r="O37" s="255" t="s">
        <v>117</v>
      </c>
      <c r="P37" s="256"/>
      <c r="Q37" s="264">
        <f>IF(ISERROR(Q36/Q35), 0, Q36/Q35)</f>
        <v>1</v>
      </c>
      <c r="R37" s="264"/>
      <c r="S37" s="264">
        <f>IF(ISERROR(S36/S35), 0, S36/S35)</f>
        <v>0</v>
      </c>
      <c r="T37" s="264"/>
      <c r="U37" s="265">
        <f t="shared" si="2"/>
        <v>-1</v>
      </c>
      <c r="V37" s="265"/>
    </row>
    <row r="38" spans="1:24" ht="16" customHeight="1">
      <c r="A38" s="130" t="s">
        <v>118</v>
      </c>
      <c r="B38" s="170">
        <v>401717</v>
      </c>
      <c r="C38" s="137" t="s">
        <v>297</v>
      </c>
      <c r="D38" s="193">
        <v>45814</v>
      </c>
      <c r="E38" s="134" t="s">
        <v>4</v>
      </c>
      <c r="F38" s="136">
        <v>173</v>
      </c>
      <c r="G38" s="185">
        <v>2900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2900</v>
      </c>
      <c r="M38" s="164"/>
      <c r="N38" s="147"/>
      <c r="O38" s="255" t="s">
        <v>119</v>
      </c>
      <c r="P38" s="256"/>
      <c r="Q38" s="259">
        <f>EINSTELLUNG!F12</f>
        <v>7</v>
      </c>
      <c r="R38" s="259"/>
      <c r="S38" s="259">
        <f>EINSTELLUNG!F28</f>
        <v>7</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7.8562971027098616E-4</v>
      </c>
      <c r="R40" s="257"/>
      <c r="S40" s="257">
        <f>IF(Q13=0, 0, S35/Q13)</f>
        <v>7.8562971027098616E-4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7.8562971027098616E-4</v>
      </c>
      <c r="R41" s="259"/>
      <c r="S41" s="259">
        <f>IF(Q13=0, 0, S38/Q13)</f>
        <v>7.8562971027098616E-4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14.415822654277292</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2900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2900</v>
      </c>
      <c r="M54" s="164"/>
      <c r="N54" s="147"/>
    </row>
    <row r="55" spans="1:14" ht="16" customHeight="1">
      <c r="A55" s="130" t="s">
        <v>141</v>
      </c>
      <c r="B55" s="170">
        <v>402000</v>
      </c>
      <c r="C55" s="137" t="s">
        <v>363</v>
      </c>
      <c r="D55" s="193">
        <v>46143</v>
      </c>
      <c r="E55" s="134" t="s">
        <v>4</v>
      </c>
      <c r="F55" s="136">
        <v>173</v>
      </c>
      <c r="G55" s="185">
        <v>2900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2900</v>
      </c>
      <c r="M55" s="164"/>
      <c r="N55" s="147"/>
    </row>
    <row r="56" spans="1:14" ht="16" customHeight="1">
      <c r="A56" s="130" t="s">
        <v>142</v>
      </c>
      <c r="B56" s="170">
        <v>402004</v>
      </c>
      <c r="C56" s="137" t="s">
        <v>365</v>
      </c>
      <c r="D56" s="193">
        <v>46122</v>
      </c>
      <c r="E56" s="134" t="s">
        <v>4</v>
      </c>
      <c r="F56" s="136">
        <v>173</v>
      </c>
      <c r="G56" s="185">
        <v>2900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2900</v>
      </c>
      <c r="M56" s="164"/>
      <c r="N56" s="147"/>
    </row>
    <row r="57" spans="1:14" ht="16" customHeight="1">
      <c r="A57" s="131" t="s">
        <v>143</v>
      </c>
      <c r="B57" s="170">
        <v>402405</v>
      </c>
      <c r="C57" s="137" t="s">
        <v>367</v>
      </c>
      <c r="D57" s="193">
        <v>46054</v>
      </c>
      <c r="E57" s="134" t="s">
        <v>4</v>
      </c>
      <c r="F57" s="136">
        <v>173</v>
      </c>
      <c r="G57" s="185">
        <v>2900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2900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2900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2900</v>
      </c>
      <c r="M59" s="164"/>
      <c r="N59" s="147"/>
    </row>
    <row r="60" spans="1:14" ht="16" customHeight="1">
      <c r="A60" s="130" t="s">
        <v>146</v>
      </c>
      <c r="B60" s="170">
        <v>503000</v>
      </c>
      <c r="C60" s="137" t="s">
        <v>369</v>
      </c>
      <c r="D60" s="193">
        <v>42401</v>
      </c>
      <c r="E60" s="134" t="s">
        <v>4</v>
      </c>
      <c r="F60" s="136">
        <v>173</v>
      </c>
      <c r="G60" s="185">
        <v>2900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2900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vNr8vNR9YgVcRVLx9JhuaohI2FPMA+YbWcu/clhOKIFyqqnFiiA477h8h6+rt1sUB1vA0dSEWYxJA+1ZPHGEsA==" saltValue="CD+G7Vj8s4DJpumqyrV3W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N32" sqref="N3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46235</v>
      </c>
    </row>
    <row r="2" spans="1:28" ht="16" customHeight="1" thickBot="1">
      <c r="A2" s="129"/>
      <c r="B2" s="302"/>
      <c r="C2" s="311"/>
      <c r="D2" s="309"/>
      <c r="E2" s="309"/>
      <c r="F2" s="309"/>
      <c r="G2" s="313"/>
      <c r="H2" s="315"/>
      <c r="I2" s="317"/>
      <c r="J2" s="319"/>
      <c r="K2" s="321"/>
      <c r="L2" s="323"/>
      <c r="M2" s="307"/>
      <c r="N2" s="303"/>
      <c r="AB2" s="41">
        <f>EOMONTH(DATE(LOHNTABELLE!$G$3, $A$1, 1), 0)</f>
        <v>46265</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EINSTELLUNG!I13</f>
        <v>8</v>
      </c>
      <c r="Q5" s="48">
        <f>P5-O5</f>
        <v>-857.62444905920199</v>
      </c>
      <c r="R5" s="52">
        <f>IFERROR(Q5*Q42, 0)</f>
        <v>-13816.417085114812</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8925.4</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EINSTELLUNG!L29</f>
        <v>8</v>
      </c>
      <c r="R9" s="247"/>
      <c r="S9" s="53">
        <f>IFERROR(Q9/Q8, 0)</f>
        <v>8.9631837228583595E-4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EINSTELLUNG!I29</f>
        <v>8</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8</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8901.4</v>
      </c>
      <c r="R12" s="24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EINSTELLUNG!L13</f>
        <v>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8893.4</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143789.10161290321</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EINSTELLUNG!O13</f>
        <v>8</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1.8518518518518517E-2</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EINSTELLUNG!C13</f>
        <v>8</v>
      </c>
      <c r="R35" s="257"/>
      <c r="S35" s="257">
        <f>EINSTELLUNG!C29</f>
        <v>8</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EINSTELLUNG!D13</f>
        <v>8</v>
      </c>
      <c r="R36" s="257"/>
      <c r="S36" s="261" cm="1">
        <f t="array" ref="S36">SumMergedCells(Q17:R29)</f>
        <v>148797.10159999999</v>
      </c>
      <c r="T36" s="263"/>
      <c r="U36" s="258">
        <f t="shared" ref="U36:U41" si="2">S36-Q36</f>
        <v>148789.10159999999</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326">
        <f>IF(ISERROR(S36/S35), 0, S36/S35)</f>
        <v>18599.637699999999</v>
      </c>
      <c r="T37" s="327"/>
      <c r="U37" s="265">
        <f t="shared" si="2"/>
        <v>18598.637699999999</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EINSTELLUNG!F13</f>
        <v>8</v>
      </c>
      <c r="R38" s="259"/>
      <c r="S38" s="259">
        <f>EINSTELLUNG!F29</f>
        <v>8</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8.987350304446492E-4</v>
      </c>
      <c r="R40" s="257"/>
      <c r="S40" s="257">
        <f>IF(Q12=0, 0, S35/Q12)</f>
        <v>8.987350304446492E-4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8.987350304446492E-4</v>
      </c>
      <c r="R41" s="259"/>
      <c r="S41" s="259">
        <f>IF(Q12=0, 0, S38/Q12)</f>
        <v>8.987350304446492E-4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16.11010168876501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41.85</v>
      </c>
      <c r="I49" s="19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9"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363</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365</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367</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369</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ED6yL7E76qTT8OcLIhca4Hpg15M702DUKWz1Q7Ua1hbgohKUMhfvg7Dz3pden9wnSBTnI96igl+3I6EqFtzdQ==" saltValue="cxBWVXLM1swTWXPdYoYkG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20"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46266</v>
      </c>
    </row>
    <row r="2" spans="1:28" ht="16" customHeight="1" thickBot="1">
      <c r="A2" s="129"/>
      <c r="B2" s="302"/>
      <c r="C2" s="311"/>
      <c r="D2" s="309"/>
      <c r="E2" s="309"/>
      <c r="F2" s="309"/>
      <c r="G2" s="313"/>
      <c r="H2" s="315"/>
      <c r="I2" s="317"/>
      <c r="J2" s="319"/>
      <c r="K2" s="321"/>
      <c r="L2" s="323"/>
      <c r="M2" s="307"/>
      <c r="N2" s="303"/>
      <c r="AB2" s="41">
        <f>EOMONTH(DATE(LOHNTABELLE!$G$3, $A$1, 1), 0)</f>
        <v>46295</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EINSTELLUNG!I14</f>
        <v>9</v>
      </c>
      <c r="Q5" s="48">
        <f>P5-O5</f>
        <v>-850.3643883002909</v>
      </c>
      <c r="R5" s="52">
        <f>IFERROR(Q5*Q42, 0)</f>
        <v>-14016.586584215618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EINSTELLUNG!L30</f>
        <v>9</v>
      </c>
      <c r="R9" s="247"/>
      <c r="S9" s="53">
        <f>IFERROR(Q9/Q8, 0)</f>
        <v>1.0106477353630137E-3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EINSTELLUNG!I30</f>
        <v>9</v>
      </c>
      <c r="R10" s="24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9</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167</v>
      </c>
      <c r="R12" s="276"/>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8711.1799999999985</v>
      </c>
      <c r="R13" s="24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EINSTELLUNG!L14</f>
        <v>9</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8702.1799999999985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68"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0"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1"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1"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EINSTELLUNG!O14</f>
        <v>9</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1"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1"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EINSTELLUNG!C14</f>
        <v>9</v>
      </c>
      <c r="R35" s="257"/>
      <c r="S35" s="257">
        <f>EINSTELLUNG!C30</f>
        <v>9</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EINSTELLUNG!D14</f>
        <v>9</v>
      </c>
      <c r="R36" s="257"/>
      <c r="S36" s="261" cm="1">
        <f t="array" ref="S36">SumMergedCells(Q17:R29)</f>
        <v>151793.4</v>
      </c>
      <c r="T36" s="263"/>
      <c r="U36" s="258">
        <f t="shared" ref="U36:U41" si="2">S36-Q36</f>
        <v>151784.4</v>
      </c>
      <c r="V36" s="258"/>
    </row>
    <row r="37" spans="1:24" ht="16" customHeight="1">
      <c r="A37" s="130"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16865.933333333334</v>
      </c>
      <c r="T37" s="264"/>
      <c r="U37" s="265">
        <f t="shared" si="2"/>
        <v>16864.933333333334</v>
      </c>
      <c r="V37" s="265"/>
    </row>
    <row r="38" spans="1:24" ht="16" customHeight="1">
      <c r="A38" s="131"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EINSTELLUNG!F14</f>
        <v>9</v>
      </c>
      <c r="R38" s="259"/>
      <c r="S38" s="259">
        <f>EINSTELLUNG!F30</f>
        <v>9</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1.0331550949469533E-3</v>
      </c>
      <c r="R40" s="257"/>
      <c r="S40" s="257">
        <f>IF(Q13=0, 0, S35/Q13)</f>
        <v>1.0331550949469533E-3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1.0331550949469533E-3</v>
      </c>
      <c r="R41" s="259"/>
      <c r="S41" s="259">
        <f>IF(Q13=0, 0, S38/Q13)</f>
        <v>1.0331550949469533E-3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W21m5GdpheJNXi0B6etvwZArjHlBq7m5eAktKjcvm8rWFGKBNf2qnz+3Cpv76AMZFB5vIKiHL7bhGrTSJgbFpQ==" saltValue="qWfqp+TZrbY4oWrEFATa1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 type="list" allowBlank="1" showInputMessage="1" showErrorMessage="1" sqref="F62" xr:uid="{CA888291-FFEC-884F-AE04-A4BBCE42294A}">
      <formula1>KV_DD_SEPTEMBER_62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46296</v>
      </c>
    </row>
    <row r="2" spans="1:28" ht="16" customHeight="1" thickBot="1">
      <c r="A2" s="129"/>
      <c r="B2" s="302"/>
      <c r="C2" s="311"/>
      <c r="D2" s="309"/>
      <c r="E2" s="309"/>
      <c r="F2" s="309"/>
      <c r="G2" s="313"/>
      <c r="H2" s="315"/>
      <c r="I2" s="317"/>
      <c r="J2" s="319"/>
      <c r="K2" s="321"/>
      <c r="L2" s="323"/>
      <c r="M2" s="307"/>
      <c r="N2" s="303"/>
      <c r="AB2" s="41">
        <f>EOMONTH(DATE(LOHNTABELLE!$G$3, $A$1, 1), 0)</f>
        <v>46326</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EINSTELLUNG!I15</f>
        <v>10</v>
      </c>
      <c r="Q5" s="48">
        <f>P5-O5</f>
        <v>-849.3643883002909</v>
      </c>
      <c r="R5" s="52">
        <f>IFERROR(Q5*Q42, 0)</f>
        <v>-14000.103548499328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EINSTELLUNG!L31</f>
        <v>10</v>
      </c>
      <c r="R9" s="247"/>
      <c r="S9" s="53">
        <f>IFERROR(Q9/Q8, 0)</f>
        <v>1.1229419281811263E-3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EINSTELLUNG!I31</f>
        <v>10</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10</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-121</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8996.1799999999985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EINSTELLUNG!L15</f>
        <v>10</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8986.1799999999985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EINSTELLUNG!O15</f>
        <v>10</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EINSTELLUNG!C15</f>
        <v>10</v>
      </c>
      <c r="R35" s="257"/>
      <c r="S35" s="257">
        <f>EINSTELLUNG!C31</f>
        <v>10</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EINSTELLUNG!D15</f>
        <v>10</v>
      </c>
      <c r="R36" s="257"/>
      <c r="S36" s="261" cm="1">
        <f t="array" ref="S36">SumMergedCells(Q17:R29)</f>
        <v>151794.4</v>
      </c>
      <c r="T36" s="263"/>
      <c r="U36" s="258">
        <f t="shared" ref="U36:U41" si="2">S36-Q36</f>
        <v>151784.4</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15179.439999999999</v>
      </c>
      <c r="T37" s="264"/>
      <c r="U37" s="265">
        <f t="shared" si="2"/>
        <v>15178.439999999999</v>
      </c>
      <c r="V37" s="265"/>
    </row>
    <row r="38" spans="1:24" ht="16" customHeight="1">
      <c r="A38" s="130"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EINSTELLUNG!F15</f>
        <v>10</v>
      </c>
      <c r="R38" s="259"/>
      <c r="S38" s="259">
        <f>EINSTELLUNG!F31</f>
        <v>10</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1.1115829163044762E-3</v>
      </c>
      <c r="R40" s="257"/>
      <c r="S40" s="257">
        <f>IF(Q13=0, 0, S35/Q13)</f>
        <v>1.1115829163044762E-3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1.1115829163044762E-3</v>
      </c>
      <c r="R41" s="259"/>
      <c r="S41" s="259">
        <f>IF(Q13=0, 0, S38/Q13)</f>
        <v>1.1115829163044762E-3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NmgZFW7CCw9ctDglFOFDAofiCkh2FPp5Jd2Y3ySJJ76mSfmSGR84Y22CRFmq8fVSKTgELg4auA3jA61cqhN7HQ==" saltValue="7dRUmEoNsTjRU1n04sYz9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46327</v>
      </c>
    </row>
    <row r="2" spans="1:28" ht="16" customHeight="1" thickBot="1">
      <c r="A2" s="129"/>
      <c r="B2" s="302"/>
      <c r="C2" s="311"/>
      <c r="D2" s="309"/>
      <c r="E2" s="309"/>
      <c r="F2" s="309"/>
      <c r="G2" s="313"/>
      <c r="H2" s="315"/>
      <c r="I2" s="317"/>
      <c r="J2" s="319"/>
      <c r="K2" s="321"/>
      <c r="L2" s="323"/>
      <c r="M2" s="307"/>
      <c r="N2" s="303"/>
      <c r="AB2" s="41">
        <f>EOMONTH(DATE(LOHNTABELLE!$G$3, $A$1, 1), 0)</f>
        <v>46356</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EINSTELLUNG!I16</f>
        <v>11</v>
      </c>
      <c r="Q5" s="48">
        <f>P5-O5</f>
        <v>-848.3643883002909</v>
      </c>
      <c r="R5" s="52">
        <f>IFERROR(Q5*Q42, 0)</f>
        <v>-13983.620512783036</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EINSTELLUNG!L32</f>
        <v>11</v>
      </c>
      <c r="R9" s="247"/>
      <c r="S9" s="53">
        <f>IFERROR(Q9/Q8, 0)</f>
        <v>1.2352361209992389E-3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EINSTELLUNG!I32</f>
        <v>11</v>
      </c>
      <c r="R10" s="24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11</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8872.1799999999985</v>
      </c>
      <c r="R12" s="247"/>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EINSTELLUNG!L16</f>
        <v>11</v>
      </c>
      <c r="R13" s="24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8861.1799999999985</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0"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1"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1"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EINSTELLUNG!O16</f>
        <v>11</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1"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1"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EINSTELLUNG!C16</f>
        <v>11</v>
      </c>
      <c r="R35" s="257"/>
      <c r="S35" s="257">
        <f>EINSTELLUNG!C32</f>
        <v>11</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EINSTELLUNG!D16</f>
        <v>11</v>
      </c>
      <c r="R36" s="257"/>
      <c r="S36" s="261" cm="1">
        <f t="array" ref="S36">SumMergedCells(Q17:R29)</f>
        <v>151795.4</v>
      </c>
      <c r="T36" s="263"/>
      <c r="U36" s="258">
        <f t="shared" ref="U36:U41" si="2">S36-Q36</f>
        <v>151784.4</v>
      </c>
      <c r="V36" s="258"/>
    </row>
    <row r="37" spans="1:24" ht="16" customHeight="1">
      <c r="A37" s="130"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13799.581818181818</v>
      </c>
      <c r="T37" s="264"/>
      <c r="U37" s="265">
        <f t="shared" si="2"/>
        <v>13798.581818181818</v>
      </c>
      <c r="V37" s="265"/>
    </row>
    <row r="38" spans="1:24" ht="16" customHeight="1">
      <c r="A38" s="131"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EINSTELLUNG!F16</f>
        <v>11</v>
      </c>
      <c r="R38" s="259"/>
      <c r="S38" s="259">
        <f>EINSTELLUNG!F32</f>
        <v>11</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1.2398305715168088E-3</v>
      </c>
      <c r="R40" s="257"/>
      <c r="S40" s="257">
        <f>IF(Q12=0, 0, S35/Q12)</f>
        <v>1.2398305715168088E-3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1.2398305715168088E-3</v>
      </c>
      <c r="R41" s="259"/>
      <c r="S41" s="259">
        <f>IF(Q12=0, 0, S38/Q12)</f>
        <v>1.2398305715168088E-3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OPf/2joHWORFG7yzXt9c+cg4iGhvbT3TTDfJJlJUDHGYG3KcIYpydsJJ8pFaGIByfL3WBqXCJZWXXGGUsqvng==" saltValue="3J7uMnBLINKVulhd+NMXt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46357</v>
      </c>
    </row>
    <row r="2" spans="1:28" ht="16" customHeight="1" thickBot="1">
      <c r="A2" s="129"/>
      <c r="B2" s="302"/>
      <c r="C2" s="311"/>
      <c r="D2" s="309"/>
      <c r="E2" s="309"/>
      <c r="F2" s="309"/>
      <c r="G2" s="313"/>
      <c r="H2" s="315"/>
      <c r="I2" s="317"/>
      <c r="J2" s="319"/>
      <c r="K2" s="321"/>
      <c r="L2" s="323"/>
      <c r="M2" s="307"/>
      <c r="N2" s="303"/>
      <c r="AB2" s="41">
        <f>EOMONTH(DATE(LOHNTABELLE!$G$3, $A$1, 1), 0)</f>
        <v>46387</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EINSTELLUNG!I17</f>
        <v>12</v>
      </c>
      <c r="Q5" s="48">
        <f>P5-O5</f>
        <v>-847.3643883002909</v>
      </c>
      <c r="R5" s="52">
        <f>IFERROR(Q5*Q42, 0)</f>
        <v>-13967.137477066746</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EINSTELLUNG!L33</f>
        <v>12</v>
      </c>
      <c r="R9" s="247"/>
      <c r="S9" s="53">
        <f>IFERROR(Q9/Q8, 0)</f>
        <v>1.3475303138173514E-3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EINSTELLUNG!I33</f>
        <v>12</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12</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-303</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9172.1799999999985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EINSTELLUNG!L17</f>
        <v>12</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9160.1799999999985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row>
    <row r="28" spans="1:29" ht="16" customHeigh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51"/>
      <c r="P28" s="252"/>
      <c r="Q28" s="244"/>
      <c r="R28" s="289"/>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71" t="s">
        <v>102</v>
      </c>
      <c r="P29" s="372"/>
      <c r="Q29" s="373">
        <f>EINSTELLUNG!O17</f>
        <v>12</v>
      </c>
      <c r="R29" s="374"/>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EINSTELLUNG!C17</f>
        <v>12</v>
      </c>
      <c r="R35" s="257"/>
      <c r="S35" s="257">
        <f>EINSTELLUNG!C33</f>
        <v>12</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EINSTELLUNG!D17</f>
        <v>12</v>
      </c>
      <c r="R36" s="257"/>
      <c r="S36" s="261" cm="1">
        <f t="array" ref="S36">SumMergedCells(Q17:R29)</f>
        <v>151796.4</v>
      </c>
      <c r="T36" s="263"/>
      <c r="U36" s="258">
        <f t="shared" ref="U36:U41" si="2">S36-Q36</f>
        <v>151784.4</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12649.699999999999</v>
      </c>
      <c r="T37" s="264"/>
      <c r="U37" s="265">
        <f t="shared" si="2"/>
        <v>12648.699999999999</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EINSTELLUNG!F17</f>
        <v>12</v>
      </c>
      <c r="R38" s="259"/>
      <c r="S38" s="259">
        <f>EINSTELLUNG!F33</f>
        <v>12</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1.3083040236890251E-3</v>
      </c>
      <c r="R40" s="257"/>
      <c r="S40" s="257">
        <f>IF(Q13=0, 0, S35/Q13)</f>
        <v>1.3083040236890251E-3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1.3083040236890251E-3</v>
      </c>
      <c r="R41" s="259"/>
      <c r="S41" s="259">
        <f>IF(Q13=0, 0, S38/Q13)</f>
        <v>1.3083040236890251E-3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A5b580FmMfQYSwyvVUq8+0p4PVovbqO2SoULpjtIhXAZwC68qXnoa7H/beYCC1BpKR5TUib1plDQOZv7fQal0A==" saltValue="RcL2tk2bYbAsgfcRJhm0sQ=="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76" t="str">
        <f>"FINANZIELL ÜBERSICHT "&amp;LOHNTABELLE!G3</f>
        <v>FINANZIELL ÜBERSICHT 2026</v>
      </c>
      <c r="C2" s="376"/>
      <c r="D2" s="376"/>
      <c r="E2" s="376"/>
      <c r="F2" s="376"/>
      <c r="G2" s="376"/>
      <c r="H2" s="376"/>
      <c r="I2" s="376"/>
      <c r="J2" s="376"/>
      <c r="K2" s="376"/>
      <c r="L2" s="376"/>
      <c r="M2" s="376"/>
      <c r="N2" s="376"/>
      <c r="O2" s="376"/>
      <c r="P2" s="376"/>
      <c r="Q2" s="376"/>
      <c r="R2" s="2"/>
    </row>
    <row r="3" spans="2:18" ht="15.75" customHeight="1">
      <c r="B3" s="376"/>
      <c r="C3" s="376"/>
      <c r="D3" s="376"/>
      <c r="E3" s="376"/>
      <c r="F3" s="376"/>
      <c r="G3" s="376"/>
      <c r="H3" s="376"/>
      <c r="I3" s="376"/>
      <c r="J3" s="376"/>
      <c r="K3" s="376"/>
      <c r="L3" s="376"/>
      <c r="M3" s="376"/>
      <c r="N3" s="376"/>
      <c r="O3" s="376"/>
      <c r="P3" s="376"/>
      <c r="Q3" s="376"/>
      <c r="R3" s="2"/>
    </row>
    <row r="4" spans="2:18" ht="30" customHeight="1">
      <c r="B4" s="378"/>
      <c r="C4" s="377" t="s">
        <v>30</v>
      </c>
      <c r="D4" s="377"/>
      <c r="E4" s="377"/>
      <c r="F4" s="377" t="s">
        <v>176</v>
      </c>
      <c r="G4" s="377"/>
      <c r="H4" s="377"/>
      <c r="I4" s="377" t="s">
        <v>177</v>
      </c>
      <c r="J4" s="377"/>
      <c r="K4" s="377"/>
      <c r="L4" s="377" t="s">
        <v>178</v>
      </c>
      <c r="M4" s="377" t="s">
        <v>179</v>
      </c>
      <c r="N4" s="379" t="s">
        <v>180</v>
      </c>
      <c r="O4" s="379"/>
      <c r="P4" s="379"/>
      <c r="Q4" s="379" t="s">
        <v>105</v>
      </c>
    </row>
    <row r="5" spans="2:18" ht="30" customHeight="1">
      <c r="B5" s="378"/>
      <c r="C5" s="377"/>
      <c r="D5" s="377"/>
      <c r="E5" s="377"/>
      <c r="F5" s="377"/>
      <c r="G5" s="377"/>
      <c r="H5" s="377"/>
      <c r="I5" s="377"/>
      <c r="J5" s="377"/>
      <c r="K5" s="377"/>
      <c r="L5" s="377"/>
      <c r="M5" s="377"/>
      <c r="N5" s="379"/>
      <c r="O5" s="379"/>
      <c r="P5" s="379"/>
      <c r="Q5" s="379"/>
    </row>
    <row r="6" spans="2:18" ht="30" customHeight="1">
      <c r="B6" s="378"/>
      <c r="C6" s="60" t="s">
        <v>181</v>
      </c>
      <c r="D6" s="60" t="s">
        <v>182</v>
      </c>
      <c r="E6" s="61" t="s">
        <v>183</v>
      </c>
      <c r="F6" s="60" t="s">
        <v>181</v>
      </c>
      <c r="G6" s="60" t="s">
        <v>182</v>
      </c>
      <c r="H6" s="61" t="s">
        <v>183</v>
      </c>
      <c r="I6" s="60" t="s">
        <v>181</v>
      </c>
      <c r="J6" s="60" t="s">
        <v>182</v>
      </c>
      <c r="K6" s="61" t="s">
        <v>183</v>
      </c>
      <c r="L6" s="377"/>
      <c r="M6" s="377"/>
      <c r="N6" s="60" t="s">
        <v>184</v>
      </c>
      <c r="O6" s="60" t="s">
        <v>185</v>
      </c>
      <c r="P6" s="61" t="s">
        <v>183</v>
      </c>
      <c r="Q6" s="379"/>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108550</v>
      </c>
      <c r="H8" s="83">
        <f>G8-F8</f>
        <v>108548</v>
      </c>
      <c r="I8" s="66">
        <f>EINSTELLUNG!E7</f>
        <v>1</v>
      </c>
      <c r="J8" s="66">
        <f>EINSTELLUNG!E23</f>
        <v>54275</v>
      </c>
      <c r="K8" s="67">
        <f t="shared" ref="K8:K22" si="0">J8-I8</f>
        <v>54274</v>
      </c>
      <c r="L8" s="65">
        <f>Februar!S40</f>
        <v>2.3383115987270236E-4</v>
      </c>
      <c r="M8" s="62">
        <f>Februar!S41</f>
        <v>2.3383115987270236E-4</v>
      </c>
      <c r="N8" s="62">
        <f>Februar!O5</f>
        <v>825.97482420928964</v>
      </c>
      <c r="O8" s="62">
        <f>Februar!P5</f>
        <v>2</v>
      </c>
      <c r="P8" s="85">
        <f t="shared" ref="P8:P23" si="1">O8-N8</f>
        <v>-823.97482420928964</v>
      </c>
      <c r="Q8" s="66">
        <f>Februar!Q31</f>
        <v>0</v>
      </c>
    </row>
    <row r="9" spans="2:18" ht="30" customHeight="1">
      <c r="B9" s="63" t="s">
        <v>188</v>
      </c>
      <c r="C9" s="65">
        <f>EINSTELLUNG!C8</f>
        <v>3</v>
      </c>
      <c r="D9" s="65">
        <f>EINSTELLUNG!C24</f>
        <v>3</v>
      </c>
      <c r="E9" s="83">
        <f>D9-C9</f>
        <v>0</v>
      </c>
      <c r="F9" s="65">
        <f>EINSTELLUNG!D8</f>
        <v>3</v>
      </c>
      <c r="G9" s="65">
        <f>Marz!$S$36</f>
        <v>109299.0058</v>
      </c>
      <c r="H9" s="83">
        <f>G9-F9</f>
        <v>109296.0058</v>
      </c>
      <c r="I9" s="66">
        <f>EINSTELLUNG!E8</f>
        <v>1</v>
      </c>
      <c r="J9" s="66">
        <f>EINSTELLUNG!E24</f>
        <v>36433.001933333333</v>
      </c>
      <c r="K9" s="67">
        <f>J9-I9</f>
        <v>36432.001933333333</v>
      </c>
      <c r="L9" s="65">
        <f>Marz!S40</f>
        <v>3.2882009485363673E-4</v>
      </c>
      <c r="M9" s="62">
        <f>Marz!S41</f>
        <v>3.2882009485363673E-4</v>
      </c>
      <c r="N9" s="62">
        <f>Marz!O5</f>
        <v>842.66960625479021</v>
      </c>
      <c r="O9" s="62">
        <f>Marz!P5</f>
        <v>3</v>
      </c>
      <c r="P9" s="85">
        <f t="shared" si="1"/>
        <v>-839.66960625479021</v>
      </c>
      <c r="Q9" s="66">
        <f>Marz!Q31</f>
        <v>1.9230769230769232E-2</v>
      </c>
    </row>
    <row r="10" spans="2:18" ht="30" customHeight="1">
      <c r="B10" s="68" t="s">
        <v>189</v>
      </c>
      <c r="C10" s="69">
        <f>SUM(C7:C9)</f>
        <v>6</v>
      </c>
      <c r="D10" s="69">
        <f>SUM(D7:D9)</f>
        <v>6</v>
      </c>
      <c r="E10" s="84">
        <f>D10-C10</f>
        <v>0</v>
      </c>
      <c r="F10" s="69">
        <f>SUM(F7:F9)</f>
        <v>6</v>
      </c>
      <c r="G10" s="69">
        <f>SUM(G7:G9)</f>
        <v>312956.8346</v>
      </c>
      <c r="H10" s="84">
        <f>G10-F10</f>
        <v>312950.8346</v>
      </c>
      <c r="I10" s="70">
        <f>AVERAGE(I7:I9)</f>
        <v>1</v>
      </c>
      <c r="J10" s="70">
        <f>AVERAGE(J7:J9)</f>
        <v>61938.610244444455</v>
      </c>
      <c r="K10" s="71">
        <f>J10-I10</f>
        <v>61937.610244444455</v>
      </c>
      <c r="L10" s="69">
        <f>AVERAGE(L7:L9)</f>
        <v>2.3204350846520139E-4</v>
      </c>
      <c r="M10" s="64">
        <f>AVERAGE(M7:M9)</f>
        <v>2.3204350846520139E-4</v>
      </c>
      <c r="N10" s="64">
        <f>SUM(N7:N9)</f>
        <v>2393.197971238802</v>
      </c>
      <c r="O10" s="64">
        <f>SUM(O7:O9)</f>
        <v>6</v>
      </c>
      <c r="P10" s="86">
        <f t="shared" si="1"/>
        <v>-2387.197971238802</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109964.98</v>
      </c>
      <c r="H11" s="83">
        <f>G11-F11</f>
        <v>109960.98</v>
      </c>
      <c r="I11" s="66">
        <f>EINSTELLUNG!E9</f>
        <v>1</v>
      </c>
      <c r="J11" s="66">
        <f>EINSTELLUNG!E25</f>
        <v>27491.244999999999</v>
      </c>
      <c r="K11" s="67">
        <f t="shared" si="0"/>
        <v>27490.244999999999</v>
      </c>
      <c r="L11" s="65">
        <f>April!S40</f>
        <v>4.4396200573154957E-4</v>
      </c>
      <c r="M11" s="62">
        <f>April!S41</f>
        <v>4.4396200573154957E-4</v>
      </c>
      <c r="N11" s="62">
        <f>April!O5</f>
        <v>851.01699727754055</v>
      </c>
      <c r="O11" s="62">
        <f>April!P5</f>
        <v>4</v>
      </c>
      <c r="P11" s="85">
        <f t="shared" si="1"/>
        <v>-847.01699727754055</v>
      </c>
      <c r="Q11" s="66">
        <f>April!Q31</f>
        <v>0</v>
      </c>
    </row>
    <row r="12" spans="2:18" ht="30" customHeight="1">
      <c r="B12" s="63" t="s">
        <v>191</v>
      </c>
      <c r="C12" s="65">
        <f>EINSTELLUNG!C10</f>
        <v>5</v>
      </c>
      <c r="D12" s="65">
        <f>EINSTELLUNG!C26</f>
        <v>5</v>
      </c>
      <c r="E12" s="83">
        <f t="shared" si="2"/>
        <v>0</v>
      </c>
      <c r="F12" s="65">
        <f>EINSTELLUNG!D10</f>
        <v>5</v>
      </c>
      <c r="G12" s="65">
        <f>Mai!$S$36</f>
        <v>0</v>
      </c>
      <c r="H12" s="83">
        <f t="shared" ref="H12:H23" si="3">G12-F12</f>
        <v>-5</v>
      </c>
      <c r="I12" s="66">
        <f>EINSTELLUNG!E10</f>
        <v>1</v>
      </c>
      <c r="J12" s="66">
        <f>EINSTELLUNG!E26</f>
        <v>0</v>
      </c>
      <c r="K12" s="67">
        <f t="shared" si="0"/>
        <v>-1</v>
      </c>
      <c r="L12" s="65">
        <f>Mai!S40</f>
        <v>5.4910539748641513E-4</v>
      </c>
      <c r="M12" s="62">
        <f>Mai!S41</f>
        <v>5.4910539748641513E-4</v>
      </c>
      <c r="N12" s="62">
        <f>Mai!O5</f>
        <v>882.31923110470257</v>
      </c>
      <c r="O12" s="62">
        <f>Mai!P5</f>
        <v>5</v>
      </c>
      <c r="P12" s="85">
        <f t="shared" si="1"/>
        <v>-877.31923110470257</v>
      </c>
      <c r="Q12" s="66">
        <f>Mai!Q31</f>
        <v>0</v>
      </c>
    </row>
    <row r="13" spans="2:18" ht="30" customHeight="1">
      <c r="B13" s="63" t="s">
        <v>192</v>
      </c>
      <c r="C13" s="65">
        <f>EINSTELLUNG!C11</f>
        <v>6</v>
      </c>
      <c r="D13" s="65">
        <f>EINSTELLUNG!C27</f>
        <v>6</v>
      </c>
      <c r="E13" s="83">
        <f t="shared" si="2"/>
        <v>0</v>
      </c>
      <c r="F13" s="65">
        <f>EINSTELLUNG!D11</f>
        <v>6</v>
      </c>
      <c r="G13" s="65">
        <f>Juni!$S$36</f>
        <v>0</v>
      </c>
      <c r="H13" s="83">
        <f t="shared" si="3"/>
        <v>-6</v>
      </c>
      <c r="I13" s="66">
        <f>EINSTELLUNG!E11</f>
        <v>1</v>
      </c>
      <c r="J13" s="66">
        <f>EINSTELLUNG!E27</f>
        <v>0</v>
      </c>
      <c r="K13" s="67">
        <f t="shared" si="0"/>
        <v>-1</v>
      </c>
      <c r="L13" s="65">
        <f>Juni!S40</f>
        <v>1.3574660633484163E-2</v>
      </c>
      <c r="M13" s="62">
        <f>Juni!S41</f>
        <v>1.3574660633484163E-2</v>
      </c>
      <c r="N13" s="62">
        <f>Juni!O5</f>
        <v>882.31923110470257</v>
      </c>
      <c r="O13" s="62">
        <f>Juni!P5</f>
        <v>6</v>
      </c>
      <c r="P13" s="85">
        <f t="shared" si="1"/>
        <v>-876.31923110470257</v>
      </c>
      <c r="Q13" s="66">
        <f>Juni!Q31</f>
        <v>1.6666666666666666E-2</v>
      </c>
    </row>
    <row r="14" spans="2:18" ht="30" customHeight="1">
      <c r="B14" s="68" t="s">
        <v>193</v>
      </c>
      <c r="C14" s="69">
        <f>SUM(C11:C13)</f>
        <v>15</v>
      </c>
      <c r="D14" s="69">
        <f>SUM(D11:D13)</f>
        <v>15</v>
      </c>
      <c r="E14" s="84">
        <f t="shared" si="2"/>
        <v>0</v>
      </c>
      <c r="F14" s="69">
        <f>SUM(F11:F13)</f>
        <v>15</v>
      </c>
      <c r="G14" s="69">
        <f>SUM(G11:G13)</f>
        <v>109964.98</v>
      </c>
      <c r="H14" s="84">
        <f t="shared" si="3"/>
        <v>109949.98</v>
      </c>
      <c r="I14" s="70">
        <f>AVERAGE(I11:I13)</f>
        <v>1</v>
      </c>
      <c r="J14" s="70">
        <f>AVERAGE(J11:J13)</f>
        <v>9163.748333333333</v>
      </c>
      <c r="K14" s="71">
        <f t="shared" si="0"/>
        <v>9162.748333333333</v>
      </c>
      <c r="L14" s="69">
        <f>AVERAGE(L11:L13)</f>
        <v>4.8559093455673762E-3</v>
      </c>
      <c r="M14" s="64">
        <f>AVERAGE(M11:M13)</f>
        <v>4.8559093455673762E-3</v>
      </c>
      <c r="N14" s="64">
        <f>SUM(N11:N13)</f>
        <v>2615.6554594869458</v>
      </c>
      <c r="O14" s="64">
        <f>SUM(O11:O13)</f>
        <v>15</v>
      </c>
      <c r="P14" s="86">
        <f t="shared" si="1"/>
        <v>-2600.6554594869458</v>
      </c>
      <c r="Q14" s="70">
        <f>AVERAGE(Q11:Q13)</f>
        <v>5.5555555555555558E-3</v>
      </c>
    </row>
    <row r="15" spans="2:18" ht="30" customHeight="1">
      <c r="B15" s="63" t="s">
        <v>194</v>
      </c>
      <c r="C15" s="65">
        <f>EINSTELLUNG!C12</f>
        <v>7</v>
      </c>
      <c r="D15" s="65">
        <f>EINSTELLUNG!C28</f>
        <v>7</v>
      </c>
      <c r="E15" s="83">
        <f t="shared" si="2"/>
        <v>0</v>
      </c>
      <c r="F15" s="65">
        <f>EINSTELLUNG!D12</f>
        <v>7</v>
      </c>
      <c r="G15" s="65">
        <f>Juli!$S$36</f>
        <v>0</v>
      </c>
      <c r="H15" s="83">
        <f t="shared" si="3"/>
        <v>-7</v>
      </c>
      <c r="I15" s="66">
        <f>EINSTELLUNG!E12</f>
        <v>1</v>
      </c>
      <c r="J15" s="66">
        <f>EINSTELLUNG!E28</f>
        <v>0</v>
      </c>
      <c r="K15" s="67">
        <f t="shared" si="0"/>
        <v>-1</v>
      </c>
      <c r="L15" s="65">
        <f>Juli!S40</f>
        <v>7.8562971027098616E-4</v>
      </c>
      <c r="M15" s="62">
        <f>Juli!S41</f>
        <v>7.8562971027098616E-4</v>
      </c>
      <c r="N15" s="62">
        <f>Juli!O5</f>
        <v>865.62444905920199</v>
      </c>
      <c r="O15" s="62">
        <f>Juli!P5</f>
        <v>7</v>
      </c>
      <c r="P15" s="85">
        <f t="shared" si="1"/>
        <v>-858.62444905920199</v>
      </c>
      <c r="Q15" s="66">
        <f>Juli!Q31</f>
        <v>0</v>
      </c>
    </row>
    <row r="16" spans="2:18" ht="30" customHeight="1">
      <c r="B16" s="63" t="s">
        <v>195</v>
      </c>
      <c r="C16" s="65">
        <f>EINSTELLUNG!C13</f>
        <v>8</v>
      </c>
      <c r="D16" s="65">
        <f>EINSTELLUNG!C29</f>
        <v>8</v>
      </c>
      <c r="E16" s="83">
        <f t="shared" si="2"/>
        <v>0</v>
      </c>
      <c r="F16" s="65">
        <f>EINSTELLUNG!D13</f>
        <v>8</v>
      </c>
      <c r="G16" s="65">
        <f>August!$S$36</f>
        <v>148797.10159999999</v>
      </c>
      <c r="H16" s="83">
        <f t="shared" si="3"/>
        <v>148789.10159999999</v>
      </c>
      <c r="I16" s="66">
        <f>EINSTELLUNG!E13</f>
        <v>1</v>
      </c>
      <c r="J16" s="66">
        <f>EINSTELLUNG!E29</f>
        <v>18599.637699999999</v>
      </c>
      <c r="K16" s="67">
        <f t="shared" si="0"/>
        <v>18598.637699999999</v>
      </c>
      <c r="L16" s="65">
        <f>August!S40</f>
        <v>8.987350304446492E-4</v>
      </c>
      <c r="M16" s="62">
        <f>August!S41</f>
        <v>8.987350304446492E-4</v>
      </c>
      <c r="N16" s="62">
        <f>August!O5</f>
        <v>865.62444905920199</v>
      </c>
      <c r="O16" s="62">
        <f>August!P5</f>
        <v>8</v>
      </c>
      <c r="P16" s="85">
        <f t="shared" si="1"/>
        <v>-857.62444905920199</v>
      </c>
      <c r="Q16" s="66">
        <f>August!Q31</f>
        <v>1.8518518518518517E-2</v>
      </c>
    </row>
    <row r="17" spans="2:17" ht="30" customHeight="1">
      <c r="B17" s="63" t="s">
        <v>196</v>
      </c>
      <c r="C17" s="65">
        <f>EINSTELLUNG!C14</f>
        <v>9</v>
      </c>
      <c r="D17" s="65">
        <f>EINSTELLUNG!C30</f>
        <v>9</v>
      </c>
      <c r="E17" s="83">
        <f t="shared" si="2"/>
        <v>0</v>
      </c>
      <c r="F17" s="65">
        <f>EINSTELLUNG!D14</f>
        <v>9</v>
      </c>
      <c r="G17" s="65">
        <f>September!$S$36</f>
        <v>151793.4</v>
      </c>
      <c r="H17" s="83">
        <f t="shared" si="3"/>
        <v>151784.4</v>
      </c>
      <c r="I17" s="66">
        <f>EINSTELLUNG!E14</f>
        <v>1</v>
      </c>
      <c r="J17" s="66">
        <f>EINSTELLUNG!E30</f>
        <v>16865.933333333334</v>
      </c>
      <c r="K17" s="67">
        <f t="shared" si="0"/>
        <v>16864.933333333334</v>
      </c>
      <c r="L17" s="65">
        <f>September!S40</f>
        <v>1.0331550949469533E-3</v>
      </c>
      <c r="M17" s="62">
        <f>September!S41</f>
        <v>1.0331550949469533E-3</v>
      </c>
      <c r="N17" s="62">
        <f>September!O5</f>
        <v>859.3643883002909</v>
      </c>
      <c r="O17" s="62">
        <f>September!P5</f>
        <v>9</v>
      </c>
      <c r="P17" s="85">
        <f t="shared" si="1"/>
        <v>-850.3643883002909</v>
      </c>
      <c r="Q17" s="66">
        <f>September!Q31</f>
        <v>0</v>
      </c>
    </row>
    <row r="18" spans="2:17" ht="30" customHeight="1">
      <c r="B18" s="68" t="s">
        <v>197</v>
      </c>
      <c r="C18" s="69">
        <f>SUM(C15:C17)</f>
        <v>24</v>
      </c>
      <c r="D18" s="69">
        <f>SUM(D15:D17)</f>
        <v>24</v>
      </c>
      <c r="E18" s="84">
        <f>D18-C18</f>
        <v>0</v>
      </c>
      <c r="F18" s="69">
        <f>SUM(F15:F17)</f>
        <v>24</v>
      </c>
      <c r="G18" s="69">
        <f>SUM(G15:G17)</f>
        <v>300590.50159999996</v>
      </c>
      <c r="H18" s="84">
        <f t="shared" si="3"/>
        <v>300566.50159999996</v>
      </c>
      <c r="I18" s="70">
        <f>AVERAGE(I15:I17)</f>
        <v>1</v>
      </c>
      <c r="J18" s="70">
        <f>AVERAGE(J15:J17)</f>
        <v>11821.857011111111</v>
      </c>
      <c r="K18" s="71">
        <f t="shared" si="0"/>
        <v>11820.857011111111</v>
      </c>
      <c r="L18" s="69">
        <f>AVERAGE(L15:L17)</f>
        <v>9.0583994522086281E-4</v>
      </c>
      <c r="M18" s="64">
        <f>AVERAGE(M15:M17)</f>
        <v>9.0583994522086281E-4</v>
      </c>
      <c r="N18" s="64">
        <f>SUM(N15:N17)</f>
        <v>2590.6132864186948</v>
      </c>
      <c r="O18" s="64">
        <f>SUM(O15:O17)</f>
        <v>24</v>
      </c>
      <c r="P18" s="86">
        <f t="shared" si="1"/>
        <v>-2566.6132864186948</v>
      </c>
      <c r="Q18" s="70">
        <f>AVERAGE(Q15:Q17)</f>
        <v>6.1728395061728392E-3</v>
      </c>
    </row>
    <row r="19" spans="2:17" ht="30" customHeight="1">
      <c r="B19" s="63" t="s">
        <v>198</v>
      </c>
      <c r="C19" s="65">
        <f>EINSTELLUNG!C15</f>
        <v>10</v>
      </c>
      <c r="D19" s="65">
        <f>EINSTELLUNG!C31</f>
        <v>10</v>
      </c>
      <c r="E19" s="83">
        <f>D19-C19</f>
        <v>0</v>
      </c>
      <c r="F19" s="65">
        <f>EINSTELLUNG!D15</f>
        <v>10</v>
      </c>
      <c r="G19" s="65">
        <f>Oktober!$S$36</f>
        <v>151794.4</v>
      </c>
      <c r="H19" s="83">
        <f t="shared" si="3"/>
        <v>151784.4</v>
      </c>
      <c r="I19" s="66">
        <f>EINSTELLUNG!E15</f>
        <v>1</v>
      </c>
      <c r="J19" s="66">
        <f>EINSTELLUNG!E31</f>
        <v>15179.439999999999</v>
      </c>
      <c r="K19" s="67">
        <f t="shared" si="0"/>
        <v>15178.439999999999</v>
      </c>
      <c r="L19" s="65">
        <f>Oktober!S40</f>
        <v>1.1115829163044762E-3</v>
      </c>
      <c r="M19" s="62">
        <f>Oktober!S41</f>
        <v>1.1115829163044762E-3</v>
      </c>
      <c r="N19" s="62">
        <f>Oktober!O5</f>
        <v>859.3643883002909</v>
      </c>
      <c r="O19" s="62">
        <f>Oktober!P5</f>
        <v>10</v>
      </c>
      <c r="P19" s="85">
        <f t="shared" si="1"/>
        <v>-849.3643883002909</v>
      </c>
      <c r="Q19" s="66">
        <f>Oktober!Q31</f>
        <v>0</v>
      </c>
    </row>
    <row r="20" spans="2:17" ht="30" customHeight="1">
      <c r="B20" s="63" t="s">
        <v>199</v>
      </c>
      <c r="C20" s="65">
        <f>EINSTELLUNG!C16</f>
        <v>11</v>
      </c>
      <c r="D20" s="65">
        <f>EINSTELLUNG!C32</f>
        <v>11</v>
      </c>
      <c r="E20" s="83">
        <f>D20-C20</f>
        <v>0</v>
      </c>
      <c r="F20" s="65">
        <f>EINSTELLUNG!D16</f>
        <v>11</v>
      </c>
      <c r="G20" s="65">
        <f>November!$S$36</f>
        <v>151795.4</v>
      </c>
      <c r="H20" s="83">
        <f t="shared" si="3"/>
        <v>151784.4</v>
      </c>
      <c r="I20" s="66">
        <f>EINSTELLUNG!E16</f>
        <v>1</v>
      </c>
      <c r="J20" s="66">
        <f>EINSTELLUNG!E32</f>
        <v>13799.581818181818</v>
      </c>
      <c r="K20" s="67">
        <f t="shared" si="0"/>
        <v>13798.581818181818</v>
      </c>
      <c r="L20" s="65">
        <f>November!S40</f>
        <v>1.2398305715168088E-3</v>
      </c>
      <c r="M20" s="62">
        <f>November!S41</f>
        <v>1.2398305715168088E-3</v>
      </c>
      <c r="N20" s="62">
        <f>November!O5</f>
        <v>859.3643883002909</v>
      </c>
      <c r="O20" s="62">
        <f>November!P5</f>
        <v>11</v>
      </c>
      <c r="P20" s="85">
        <f t="shared" si="1"/>
        <v>-848.3643883002909</v>
      </c>
      <c r="Q20" s="66">
        <f>November!Q31</f>
        <v>0</v>
      </c>
    </row>
    <row r="21" spans="2:17" ht="30" customHeight="1">
      <c r="B21" s="63" t="s">
        <v>200</v>
      </c>
      <c r="C21" s="65">
        <f>EINSTELLUNG!C17</f>
        <v>12</v>
      </c>
      <c r="D21" s="65">
        <f>EINSTELLUNG!C33</f>
        <v>12</v>
      </c>
      <c r="E21" s="83">
        <f t="shared" si="2"/>
        <v>0</v>
      </c>
      <c r="F21" s="65">
        <f>EINSTELLUNG!D17</f>
        <v>12</v>
      </c>
      <c r="G21" s="65">
        <f>Dezember!$S$36</f>
        <v>151796.4</v>
      </c>
      <c r="H21" s="83">
        <f t="shared" si="3"/>
        <v>151784.4</v>
      </c>
      <c r="I21" s="66">
        <f>EINSTELLUNG!E17</f>
        <v>1</v>
      </c>
      <c r="J21" s="66">
        <f>EINSTELLUNG!E33</f>
        <v>12649.699999999999</v>
      </c>
      <c r="K21" s="67">
        <f t="shared" si="0"/>
        <v>12648.699999999999</v>
      </c>
      <c r="L21" s="65">
        <f>Dezember!S40</f>
        <v>1.3083040236890251E-3</v>
      </c>
      <c r="M21" s="62">
        <f>Dezember!S41</f>
        <v>1.3083040236890251E-3</v>
      </c>
      <c r="N21" s="62">
        <f>Dezember!O5</f>
        <v>859.3643883002909</v>
      </c>
      <c r="O21" s="72">
        <f>Dezember!P5</f>
        <v>12</v>
      </c>
      <c r="P21" s="85">
        <f t="shared" si="1"/>
        <v>-847.3643883002909</v>
      </c>
      <c r="Q21" s="66">
        <f>Dezember!Q31</f>
        <v>0</v>
      </c>
    </row>
    <row r="22" spans="2:17" ht="30" customHeight="1">
      <c r="B22" s="68" t="s">
        <v>201</v>
      </c>
      <c r="C22" s="69">
        <f>SUM(C19:C21)</f>
        <v>33</v>
      </c>
      <c r="D22" s="69">
        <f>SUM(D19:D21)</f>
        <v>33</v>
      </c>
      <c r="E22" s="84">
        <f>D22-C22</f>
        <v>0</v>
      </c>
      <c r="F22" s="69">
        <f>SUM(F19:F21)</f>
        <v>33</v>
      </c>
      <c r="G22" s="69">
        <f>SUM(G19:G21)</f>
        <v>455386.19999999995</v>
      </c>
      <c r="H22" s="84">
        <f t="shared" si="3"/>
        <v>455353.19999999995</v>
      </c>
      <c r="I22" s="70">
        <f>AVERAGE(I19:I21)</f>
        <v>1</v>
      </c>
      <c r="J22" s="70">
        <f>AVERAGE(J19:J21)</f>
        <v>13876.240606060606</v>
      </c>
      <c r="K22" s="71">
        <f t="shared" si="0"/>
        <v>13875.240606060606</v>
      </c>
      <c r="L22" s="69">
        <f>AVERAGE(L19:L21)</f>
        <v>1.2199058371701035E-3</v>
      </c>
      <c r="M22" s="64">
        <f>AVERAGE(M19:M21)</f>
        <v>1.2199058371701035E-3</v>
      </c>
      <c r="N22" s="64">
        <f>SUM(N19:N21)</f>
        <v>2578.0931649008726</v>
      </c>
      <c r="O22" s="64">
        <f>SUM(O19:O21)</f>
        <v>33</v>
      </c>
      <c r="P22" s="86">
        <f>O22-N22</f>
        <v>-2545.0931649008726</v>
      </c>
      <c r="Q22" s="70">
        <f>AVERAGE(Q19:Q21)</f>
        <v>0</v>
      </c>
    </row>
    <row r="23" spans="2:17" ht="30" customHeight="1">
      <c r="B23" s="73">
        <f>LOHNTABELLE!G3</f>
        <v>2026</v>
      </c>
      <c r="C23" s="74">
        <f>SUM(C10,C14,C18,C22)</f>
        <v>78</v>
      </c>
      <c r="D23" s="74">
        <f>SUM(D10,D14,D18,D22)</f>
        <v>78</v>
      </c>
      <c r="E23" s="84">
        <f>D23-C23</f>
        <v>0</v>
      </c>
      <c r="F23" s="74">
        <f>SUM(F10,F14,F18,F22)</f>
        <v>78</v>
      </c>
      <c r="G23" s="74">
        <f>SUM(G10,G14,G18,G22)</f>
        <v>1178898.5162</v>
      </c>
      <c r="H23" s="84">
        <f t="shared" si="3"/>
        <v>1178820.5162</v>
      </c>
      <c r="I23" s="75">
        <f>AVERAGE(I10,I14,I18,I22)</f>
        <v>1</v>
      </c>
      <c r="J23" s="75">
        <f>AVERAGE(J10,J14,J18,J22)</f>
        <v>24200.114048737378</v>
      </c>
      <c r="K23" s="71">
        <f>J23-I23</f>
        <v>24199.114048737378</v>
      </c>
      <c r="L23" s="74">
        <f>AVERAGE(L22,L18,L14,L10)</f>
        <v>1.8034246591058861E-3</v>
      </c>
      <c r="M23" s="76">
        <f>AVERAGE(M10,M14,M18,M22)</f>
        <v>1.8034246591058861E-3</v>
      </c>
      <c r="N23" s="76">
        <f>SUM(N10,N14,N18,N22)</f>
        <v>10177.559882045316</v>
      </c>
      <c r="O23" s="76">
        <f>SUM(O10,O14,O18,O22)</f>
        <v>78</v>
      </c>
      <c r="P23" s="86">
        <f t="shared" si="1"/>
        <v>-10099.559882045316</v>
      </c>
      <c r="Q23" s="75">
        <f>AVERAGE(Q22,Q18,Q14,Q10)</f>
        <v>6.1686497961007773E-3</v>
      </c>
    </row>
    <row r="24" spans="2:17" ht="15">
      <c r="O24" s="4"/>
    </row>
    <row r="25" spans="2:17">
      <c r="B25" s="375" t="s">
        <v>204</v>
      </c>
      <c r="C25" s="375"/>
      <c r="D25" s="375"/>
      <c r="E25" s="375"/>
    </row>
    <row r="26" spans="2:17">
      <c r="B26" s="375"/>
      <c r="C26" s="375"/>
      <c r="D26" s="375"/>
      <c r="E26" s="375"/>
    </row>
    <row r="27" spans="2:17">
      <c r="B27" s="375"/>
      <c r="C27" s="375"/>
      <c r="D27" s="375"/>
      <c r="E27" s="375"/>
    </row>
  </sheetData>
  <sheetProtection algorithmName="SHA-512" hashValue="TpRzz9VoTxzAZ0I8WSW73Sm9UlF/IzWx8vgQ9y86v3/z/oUtSoW2KxoqCSaScWTXvi4PmaVptGiibmE6cG/FnA==" saltValue="87pi9e5CfKEbWRJ+vR3f8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5"/>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336</v>
      </c>
      <c r="G2">
        <v>509</v>
      </c>
      <c r="H2" s="182">
        <v>0.5</v>
      </c>
      <c r="I2" s="182">
        <v>1.25</v>
      </c>
      <c r="J2" s="182">
        <v>0.625</v>
      </c>
      <c r="K2" t="s">
        <v>318</v>
      </c>
    </row>
    <row r="3" spans="1:11">
      <c r="A3" t="s">
        <v>358</v>
      </c>
      <c r="B3">
        <v>401754</v>
      </c>
      <c r="C3" t="s">
        <v>313</v>
      </c>
      <c r="D3" s="180">
        <v>46014</v>
      </c>
      <c r="E3" s="180">
        <v>46096</v>
      </c>
      <c r="F3" t="s">
        <v>359</v>
      </c>
      <c r="G3">
        <v>83</v>
      </c>
      <c r="H3" s="182">
        <v>1</v>
      </c>
      <c r="I3" s="182">
        <v>0.5</v>
      </c>
      <c r="J3" s="182">
        <v>0.5</v>
      </c>
      <c r="K3" t="s">
        <v>256</v>
      </c>
    </row>
    <row r="4" spans="1:11">
      <c r="A4" t="s">
        <v>192</v>
      </c>
      <c r="B4">
        <v>600000</v>
      </c>
      <c r="C4" t="s">
        <v>373</v>
      </c>
      <c r="D4" s="180">
        <v>46054</v>
      </c>
      <c r="E4" s="180">
        <v>46179</v>
      </c>
      <c r="G4">
        <v>126</v>
      </c>
      <c r="H4" s="182">
        <v>0</v>
      </c>
      <c r="I4" s="182">
        <v>0.75</v>
      </c>
      <c r="J4" s="182">
        <v>0</v>
      </c>
      <c r="K4" t="s">
        <v>409</v>
      </c>
    </row>
    <row r="5" spans="1:11">
      <c r="A5" t="s">
        <v>195</v>
      </c>
      <c r="B5">
        <v>401746</v>
      </c>
      <c r="C5" t="s">
        <v>309</v>
      </c>
      <c r="D5" s="180">
        <v>45941</v>
      </c>
      <c r="E5" s="180">
        <v>46249</v>
      </c>
      <c r="F5" t="s">
        <v>359</v>
      </c>
      <c r="G5">
        <v>309</v>
      </c>
      <c r="H5" s="182">
        <v>1</v>
      </c>
      <c r="I5" s="182">
        <v>1</v>
      </c>
      <c r="J5" s="182">
        <v>1</v>
      </c>
      <c r="K5" t="s">
        <v>257</v>
      </c>
    </row>
  </sheetData>
  <sheetProtection algorithmName="SHA-512" hashValue="cXYU7jRMTmSWzNljynbQF+ObAhU0K0zpt/b4KUkBxY0RdkzpnRJbIjlEoXn8wpco9+Tr+Kqg7I+FLZ44p2Srrw==" saltValue="QSovZdcDt7G6j9k6NgVei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3"/>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4" customWidth="1"/>
    <col min="2" max="5" width="16.83203125" style="204" customWidth="1"/>
    <col min="6" max="7" width="18.83203125" style="204" customWidth="1"/>
    <col min="8" max="8" width="22.83203125" style="204" customWidth="1"/>
    <col min="9" max="12" width="36.83203125" style="204" customWidth="1"/>
    <col min="13" max="16384" width="10.83203125" style="204"/>
  </cols>
  <sheetData>
    <row r="1" spans="1:12" ht="15" customHeight="1">
      <c r="A1" s="387" t="s">
        <v>237</v>
      </c>
      <c r="B1" s="383"/>
      <c r="C1" s="383"/>
      <c r="D1" s="383"/>
      <c r="E1" s="383"/>
      <c r="F1" s="215"/>
      <c r="G1" s="215"/>
      <c r="H1" s="215"/>
      <c r="I1" s="215"/>
      <c r="J1" s="215"/>
      <c r="K1" s="215"/>
      <c r="L1" s="215"/>
    </row>
    <row r="2" spans="1:12" ht="15" customHeight="1">
      <c r="A2" s="216" t="s">
        <v>238</v>
      </c>
      <c r="B2" s="216">
        <v>2026</v>
      </c>
      <c r="C2" s="215"/>
      <c r="D2" s="215"/>
      <c r="E2" s="215"/>
      <c r="F2" s="215"/>
      <c r="G2" s="215"/>
      <c r="H2" s="215"/>
      <c r="I2" s="215"/>
      <c r="J2" s="215"/>
      <c r="K2" s="215"/>
      <c r="L2" s="215"/>
    </row>
    <row r="3" spans="1:12" ht="15" customHeight="1">
      <c r="A3" s="215"/>
      <c r="B3" s="215"/>
      <c r="C3" s="215"/>
      <c r="D3" s="215"/>
      <c r="E3" s="215"/>
      <c r="F3" s="215"/>
      <c r="G3" s="215"/>
      <c r="H3" s="215"/>
      <c r="I3" s="215"/>
      <c r="J3" s="215"/>
      <c r="K3" s="215"/>
      <c r="L3" s="215"/>
    </row>
    <row r="4" spans="1:12" ht="15" customHeight="1">
      <c r="A4" s="388" t="s">
        <v>246</v>
      </c>
      <c r="B4" s="389"/>
      <c r="C4" s="389"/>
      <c r="D4" s="389"/>
      <c r="E4" s="389"/>
      <c r="F4" s="215"/>
      <c r="G4" s="215"/>
      <c r="H4" s="215"/>
      <c r="I4" s="215"/>
      <c r="J4" s="215"/>
      <c r="K4" s="215"/>
      <c r="L4" s="215"/>
    </row>
    <row r="5" spans="1:12" ht="42" customHeight="1">
      <c r="A5" s="390" t="s">
        <v>337</v>
      </c>
      <c r="B5" s="390"/>
      <c r="C5" s="390"/>
      <c r="D5" s="390"/>
      <c r="E5" s="390"/>
      <c r="F5" s="215"/>
      <c r="G5" s="215"/>
      <c r="H5" s="215"/>
      <c r="I5" s="215"/>
      <c r="J5" s="215"/>
      <c r="K5" s="215"/>
      <c r="L5" s="215"/>
    </row>
    <row r="6" spans="1:12" ht="42" customHeight="1">
      <c r="A6" s="390"/>
      <c r="B6" s="390"/>
      <c r="C6" s="390"/>
      <c r="D6" s="390"/>
      <c r="E6" s="390"/>
      <c r="F6" s="215"/>
      <c r="G6" s="215"/>
      <c r="H6" s="215"/>
      <c r="I6" s="215"/>
      <c r="J6" s="215"/>
      <c r="K6" s="215"/>
      <c r="L6" s="215"/>
    </row>
    <row r="7" spans="1:12" ht="15" customHeight="1">
      <c r="A7" s="215"/>
      <c r="B7" s="215"/>
      <c r="C7" s="215"/>
      <c r="D7" s="215"/>
      <c r="E7" s="215"/>
      <c r="F7" s="215"/>
      <c r="G7" s="215"/>
      <c r="H7" s="215"/>
      <c r="I7" s="215"/>
      <c r="J7" s="215"/>
      <c r="K7" s="215"/>
      <c r="L7" s="215"/>
    </row>
    <row r="8" spans="1:12" ht="15" customHeight="1">
      <c r="A8" s="217" t="s">
        <v>239</v>
      </c>
      <c r="B8" s="217" t="s">
        <v>240</v>
      </c>
      <c r="C8" s="217" t="s">
        <v>338</v>
      </c>
      <c r="D8" s="217"/>
      <c r="E8" s="217"/>
      <c r="F8" s="215"/>
      <c r="G8" s="215"/>
      <c r="H8" s="215"/>
      <c r="I8" s="215"/>
      <c r="J8" s="215"/>
      <c r="K8" s="215"/>
      <c r="L8" s="215"/>
    </row>
    <row r="9" spans="1:12" ht="15" customHeight="1">
      <c r="A9" s="218" t="s">
        <v>241</v>
      </c>
      <c r="B9" s="205">
        <v>4</v>
      </c>
      <c r="C9" s="380" t="s">
        <v>247</v>
      </c>
      <c r="D9" s="380"/>
      <c r="E9" s="380"/>
      <c r="F9" s="215"/>
      <c r="G9" s="215"/>
      <c r="H9" s="215"/>
      <c r="I9" s="215"/>
      <c r="J9" s="215"/>
      <c r="K9" s="215"/>
      <c r="L9" s="215"/>
    </row>
    <row r="10" spans="1:12" ht="15" customHeight="1">
      <c r="A10" s="218" t="s">
        <v>258</v>
      </c>
      <c r="B10" s="213">
        <v>3.484320557491289E-2</v>
      </c>
      <c r="C10" s="380" t="s">
        <v>259</v>
      </c>
      <c r="D10" s="380"/>
      <c r="E10" s="380"/>
      <c r="F10" s="215"/>
      <c r="G10" s="215"/>
      <c r="H10" s="215"/>
      <c r="I10" s="215"/>
      <c r="J10" s="215"/>
      <c r="K10" s="215"/>
      <c r="L10" s="215"/>
    </row>
    <row r="11" spans="1:12" ht="15" customHeight="1">
      <c r="A11" s="218" t="s">
        <v>244</v>
      </c>
      <c r="B11" s="214">
        <v>2.125</v>
      </c>
      <c r="C11" s="380" t="s">
        <v>339</v>
      </c>
      <c r="D11" s="380"/>
      <c r="E11" s="380"/>
      <c r="F11" s="215"/>
      <c r="G11" s="215"/>
      <c r="H11" s="215"/>
      <c r="I11" s="215"/>
      <c r="J11" s="215"/>
      <c r="K11" s="215"/>
      <c r="L11" s="215"/>
    </row>
    <row r="12" spans="1:12" ht="15" customHeight="1">
      <c r="A12" s="218" t="s">
        <v>314</v>
      </c>
      <c r="B12" s="214">
        <v>0.53125</v>
      </c>
      <c r="C12" s="380" t="s">
        <v>248</v>
      </c>
      <c r="D12" s="380"/>
      <c r="E12" s="380"/>
      <c r="F12" s="215"/>
      <c r="G12" s="215"/>
      <c r="H12" s="215"/>
      <c r="I12" s="215"/>
      <c r="J12" s="215"/>
      <c r="K12" s="215"/>
      <c r="L12" s="215"/>
    </row>
    <row r="13" spans="1:12" ht="15" customHeight="1">
      <c r="A13" s="218" t="s">
        <v>249</v>
      </c>
      <c r="B13" s="205">
        <v>1</v>
      </c>
      <c r="C13" s="380" t="s">
        <v>250</v>
      </c>
      <c r="D13" s="380"/>
      <c r="E13" s="380"/>
      <c r="F13" s="215"/>
      <c r="G13" s="215"/>
      <c r="H13" s="215"/>
      <c r="I13" s="215"/>
      <c r="J13" s="215"/>
      <c r="K13" s="215"/>
      <c r="L13" s="215"/>
    </row>
    <row r="14" spans="1:12" ht="15" customHeight="1">
      <c r="A14" s="218" t="s">
        <v>245</v>
      </c>
      <c r="B14" s="205">
        <v>0</v>
      </c>
      <c r="C14" s="380" t="s">
        <v>251</v>
      </c>
      <c r="D14" s="380"/>
      <c r="E14" s="380"/>
      <c r="F14" s="215"/>
      <c r="G14" s="215"/>
      <c r="H14" s="215"/>
      <c r="I14" s="215"/>
      <c r="J14" s="215"/>
      <c r="K14" s="215"/>
      <c r="L14" s="215"/>
    </row>
    <row r="15" spans="1:12" ht="15" customHeight="1">
      <c r="A15" s="218" t="s">
        <v>252</v>
      </c>
      <c r="B15" s="205">
        <v>1</v>
      </c>
      <c r="C15" s="380" t="s">
        <v>340</v>
      </c>
      <c r="D15" s="380"/>
      <c r="E15" s="380"/>
      <c r="F15" s="215"/>
      <c r="G15" s="215"/>
      <c r="H15" s="215"/>
      <c r="I15" s="215"/>
      <c r="J15" s="215"/>
      <c r="K15" s="215"/>
      <c r="L15" s="215"/>
    </row>
    <row r="16" spans="1:12" ht="15" customHeight="1">
      <c r="A16" s="218" t="s">
        <v>242</v>
      </c>
      <c r="B16" s="205">
        <v>0</v>
      </c>
      <c r="C16" s="380" t="s">
        <v>341</v>
      </c>
      <c r="D16" s="380"/>
      <c r="E16" s="380"/>
      <c r="F16" s="215"/>
      <c r="G16" s="215"/>
      <c r="H16" s="215"/>
      <c r="I16" s="215"/>
      <c r="J16" s="215"/>
      <c r="K16" s="215"/>
      <c r="L16" s="215"/>
    </row>
    <row r="17" spans="1:12" ht="15" customHeight="1">
      <c r="A17" s="218" t="s">
        <v>342</v>
      </c>
      <c r="B17" s="205">
        <v>1</v>
      </c>
      <c r="C17" s="380" t="s">
        <v>315</v>
      </c>
      <c r="D17" s="380"/>
      <c r="E17" s="380"/>
      <c r="F17" s="215"/>
      <c r="G17" s="215"/>
      <c r="H17" s="215"/>
      <c r="I17" s="215"/>
      <c r="J17" s="215"/>
      <c r="K17" s="215"/>
      <c r="L17" s="215"/>
    </row>
    <row r="18" spans="1:12" ht="15" customHeight="1" thickBot="1">
      <c r="A18" s="215"/>
      <c r="B18" s="215"/>
      <c r="C18" s="215"/>
      <c r="D18" s="215"/>
      <c r="E18" s="215"/>
      <c r="F18" s="215"/>
      <c r="G18" s="215"/>
      <c r="H18" s="215"/>
      <c r="I18" s="215"/>
      <c r="J18" s="215"/>
      <c r="K18" s="215"/>
      <c r="L18" s="215"/>
    </row>
    <row r="19" spans="1:12" ht="24" customHeight="1" thickBot="1">
      <c r="A19" s="207" t="s">
        <v>343</v>
      </c>
      <c r="B19" s="208" t="s">
        <v>410</v>
      </c>
      <c r="C19" s="215"/>
      <c r="D19" s="215"/>
      <c r="E19" s="215"/>
      <c r="F19" s="215"/>
      <c r="G19" s="215"/>
      <c r="H19" s="215"/>
      <c r="I19" s="215"/>
      <c r="J19" s="215"/>
      <c r="K19" s="215"/>
      <c r="L19" s="215"/>
    </row>
    <row r="20" spans="1:12" ht="15" customHeight="1">
      <c r="A20" s="215"/>
      <c r="B20" s="215"/>
      <c r="C20" s="215"/>
      <c r="D20" s="215"/>
      <c r="E20" s="215"/>
      <c r="F20" s="215"/>
      <c r="G20" s="215"/>
      <c r="H20" s="215"/>
      <c r="I20" s="215"/>
      <c r="J20" s="215"/>
      <c r="K20" s="215"/>
      <c r="L20" s="215"/>
    </row>
    <row r="21" spans="1:12" ht="48" customHeight="1">
      <c r="A21" s="386" t="s">
        <v>253</v>
      </c>
      <c r="B21" s="381" t="s">
        <v>411</v>
      </c>
      <c r="C21" s="381"/>
      <c r="D21" s="381"/>
      <c r="E21" s="381"/>
      <c r="F21" s="215"/>
      <c r="G21" s="215"/>
      <c r="H21" s="215"/>
      <c r="I21" s="215"/>
      <c r="J21" s="215"/>
      <c r="K21" s="215"/>
      <c r="L21" s="215"/>
    </row>
    <row r="22" spans="1:12" ht="48" customHeight="1">
      <c r="A22" s="385"/>
      <c r="B22" s="381"/>
      <c r="C22" s="381"/>
      <c r="D22" s="381"/>
      <c r="E22" s="381"/>
      <c r="F22" s="215"/>
      <c r="G22" s="215"/>
      <c r="H22" s="215"/>
      <c r="I22" s="215"/>
      <c r="J22" s="215"/>
      <c r="K22" s="215"/>
      <c r="L22" s="215"/>
    </row>
    <row r="23" spans="1:12" ht="15" customHeight="1">
      <c r="A23" s="215"/>
      <c r="B23" s="215"/>
      <c r="C23" s="215"/>
      <c r="D23" s="215"/>
      <c r="E23" s="215"/>
      <c r="F23" s="215"/>
      <c r="G23" s="215"/>
      <c r="H23" s="215"/>
      <c r="I23" s="215"/>
      <c r="J23" s="215"/>
      <c r="K23" s="215"/>
      <c r="L23" s="215"/>
    </row>
    <row r="24" spans="1:12" ht="15" customHeight="1">
      <c r="A24" s="215"/>
      <c r="B24" s="215"/>
      <c r="C24" s="215"/>
      <c r="D24" s="215"/>
      <c r="E24" s="215"/>
      <c r="F24" s="215"/>
      <c r="G24" s="215"/>
      <c r="H24" s="215"/>
      <c r="I24" s="215"/>
      <c r="J24" s="215"/>
      <c r="K24" s="215"/>
      <c r="L24" s="215"/>
    </row>
    <row r="25" spans="1:12" ht="15" customHeight="1">
      <c r="A25" s="382" t="s">
        <v>344</v>
      </c>
      <c r="B25" s="383"/>
      <c r="C25" s="383"/>
      <c r="D25" s="383"/>
      <c r="E25" s="383"/>
      <c r="F25" s="383"/>
      <c r="G25" s="383"/>
      <c r="H25" s="383"/>
      <c r="I25" s="383"/>
      <c r="J25" s="383"/>
      <c r="K25" s="383"/>
      <c r="L25" s="383"/>
    </row>
    <row r="26" spans="1:12" ht="15" customHeight="1">
      <c r="A26" s="215"/>
      <c r="B26" s="215"/>
      <c r="C26" s="215"/>
      <c r="D26" s="215"/>
      <c r="E26" s="215"/>
      <c r="F26" s="215"/>
      <c r="G26" s="215"/>
      <c r="H26" s="215"/>
      <c r="I26" s="215"/>
      <c r="J26" s="215"/>
      <c r="K26" s="215"/>
      <c r="L26" s="215"/>
    </row>
    <row r="27" spans="1:12" ht="15" customHeight="1">
      <c r="A27" s="209" t="s">
        <v>231</v>
      </c>
      <c r="B27" s="209" t="s">
        <v>255</v>
      </c>
      <c r="C27" s="209" t="s">
        <v>260</v>
      </c>
      <c r="D27" s="209" t="s">
        <v>244</v>
      </c>
      <c r="E27" s="209" t="s">
        <v>316</v>
      </c>
      <c r="F27" s="209" t="s">
        <v>360</v>
      </c>
      <c r="G27" s="209" t="s">
        <v>252</v>
      </c>
      <c r="H27" s="209" t="s">
        <v>412</v>
      </c>
      <c r="I27" s="209" t="s">
        <v>345</v>
      </c>
      <c r="J27" s="209" t="s">
        <v>335</v>
      </c>
      <c r="K27" s="209"/>
      <c r="L27" s="209"/>
    </row>
    <row r="28" spans="1:12" ht="42" customHeight="1">
      <c r="A28" s="210" t="s">
        <v>317</v>
      </c>
      <c r="B28" s="210">
        <v>1</v>
      </c>
      <c r="C28" s="211">
        <v>1.9607843137254902E-2</v>
      </c>
      <c r="D28" s="212">
        <v>0.625</v>
      </c>
      <c r="E28" s="212">
        <v>0.625</v>
      </c>
      <c r="F28" s="210">
        <v>0</v>
      </c>
      <c r="G28" s="210">
        <v>0</v>
      </c>
      <c r="H28" s="210">
        <v>0</v>
      </c>
      <c r="I28" s="206" t="s">
        <v>346</v>
      </c>
      <c r="J28" s="380" t="s">
        <v>319</v>
      </c>
      <c r="K28" s="380"/>
      <c r="L28" s="380"/>
    </row>
    <row r="29" spans="1:12" ht="42" customHeight="1">
      <c r="A29" s="210" t="s">
        <v>358</v>
      </c>
      <c r="B29" s="210">
        <v>1</v>
      </c>
      <c r="C29" s="211">
        <v>1.7241379310344827E-2</v>
      </c>
      <c r="D29" s="212">
        <v>0.5</v>
      </c>
      <c r="E29" s="212">
        <v>0.5</v>
      </c>
      <c r="F29" s="210">
        <v>1</v>
      </c>
      <c r="G29" s="210">
        <v>0</v>
      </c>
      <c r="H29" s="210">
        <v>0</v>
      </c>
      <c r="I29" s="206" t="s">
        <v>361</v>
      </c>
      <c r="J29" s="380" t="s">
        <v>362</v>
      </c>
      <c r="K29" s="380"/>
      <c r="L29" s="380"/>
    </row>
    <row r="30" spans="1:12" ht="42" customHeight="1">
      <c r="A30" s="210" t="s">
        <v>192</v>
      </c>
      <c r="B30" s="210">
        <v>1</v>
      </c>
      <c r="C30" s="211">
        <v>1.6666666666666666E-2</v>
      </c>
      <c r="D30" s="212">
        <v>0</v>
      </c>
      <c r="E30" s="212">
        <v>0</v>
      </c>
      <c r="F30" s="210">
        <v>0</v>
      </c>
      <c r="G30" s="210">
        <v>0</v>
      </c>
      <c r="H30" s="210">
        <v>1</v>
      </c>
      <c r="I30" s="206" t="s">
        <v>413</v>
      </c>
      <c r="J30" s="380" t="s">
        <v>414</v>
      </c>
      <c r="K30" s="380"/>
      <c r="L30" s="380"/>
    </row>
    <row r="31" spans="1:12" ht="42" customHeight="1">
      <c r="A31" s="210" t="s">
        <v>195</v>
      </c>
      <c r="B31" s="210">
        <v>1</v>
      </c>
      <c r="C31" s="211">
        <v>1.6949152542372881E-2</v>
      </c>
      <c r="D31" s="212">
        <v>1</v>
      </c>
      <c r="E31" s="212">
        <v>1</v>
      </c>
      <c r="F31" s="210">
        <v>0</v>
      </c>
      <c r="G31" s="210">
        <v>1</v>
      </c>
      <c r="H31" s="210">
        <v>0</v>
      </c>
      <c r="I31" s="206" t="s">
        <v>361</v>
      </c>
      <c r="J31" s="380" t="s">
        <v>364</v>
      </c>
      <c r="K31" s="380"/>
      <c r="L31" s="380"/>
    </row>
    <row r="32" spans="1:12" ht="15" customHeight="1">
      <c r="A32" s="215"/>
      <c r="B32" s="215"/>
      <c r="C32" s="215"/>
      <c r="D32" s="215"/>
      <c r="E32" s="215"/>
      <c r="F32" s="215"/>
      <c r="G32" s="215"/>
      <c r="H32" s="215"/>
      <c r="I32" s="215"/>
      <c r="J32" s="215"/>
      <c r="K32" s="215"/>
      <c r="L32" s="215"/>
    </row>
    <row r="33" spans="1:12" ht="15" customHeight="1">
      <c r="A33" s="215"/>
      <c r="B33" s="215"/>
      <c r="C33" s="215"/>
      <c r="D33" s="215"/>
      <c r="E33" s="215"/>
      <c r="F33" s="215"/>
      <c r="G33" s="215"/>
      <c r="H33" s="215"/>
      <c r="I33" s="215"/>
      <c r="J33" s="215"/>
      <c r="K33" s="215"/>
      <c r="L33" s="215"/>
    </row>
    <row r="34" spans="1:12" ht="15" customHeight="1">
      <c r="A34" s="215"/>
      <c r="B34" s="215"/>
      <c r="C34" s="215"/>
      <c r="D34" s="215"/>
      <c r="E34" s="215"/>
      <c r="F34" s="215"/>
      <c r="G34" s="215"/>
      <c r="H34" s="215"/>
      <c r="I34" s="215"/>
      <c r="J34" s="215"/>
      <c r="K34" s="215"/>
      <c r="L34" s="215"/>
    </row>
    <row r="35" spans="1:12" ht="15" customHeight="1">
      <c r="A35" s="384" t="s">
        <v>347</v>
      </c>
      <c r="B35" s="385"/>
      <c r="C35" s="385"/>
      <c r="D35" s="385"/>
      <c r="E35" s="385"/>
      <c r="F35" s="215"/>
      <c r="G35" s="215"/>
      <c r="H35" s="215"/>
      <c r="I35" s="215"/>
      <c r="J35" s="215"/>
      <c r="K35" s="215"/>
      <c r="L35" s="215"/>
    </row>
    <row r="36" spans="1:12" ht="38" customHeight="1">
      <c r="A36" s="217" t="s">
        <v>258</v>
      </c>
      <c r="B36" s="381" t="s">
        <v>261</v>
      </c>
      <c r="C36" s="381"/>
      <c r="D36" s="381"/>
      <c r="E36" s="381"/>
      <c r="F36" s="215"/>
      <c r="G36" s="215"/>
      <c r="H36" s="215"/>
      <c r="I36" s="215"/>
      <c r="J36" s="215"/>
      <c r="K36" s="215"/>
      <c r="L36" s="215"/>
    </row>
    <row r="37" spans="1:12" ht="38" customHeight="1">
      <c r="A37" s="217" t="s">
        <v>244</v>
      </c>
      <c r="B37" s="381" t="s">
        <v>348</v>
      </c>
      <c r="C37" s="381"/>
      <c r="D37" s="381"/>
      <c r="E37" s="381"/>
      <c r="F37" s="215"/>
      <c r="G37" s="215"/>
      <c r="H37" s="215"/>
      <c r="I37" s="215"/>
      <c r="J37" s="215"/>
      <c r="K37" s="215"/>
      <c r="L37" s="215"/>
    </row>
    <row r="38" spans="1:12" ht="38" customHeight="1">
      <c r="A38" s="217" t="s">
        <v>314</v>
      </c>
      <c r="B38" s="381" t="s">
        <v>349</v>
      </c>
      <c r="C38" s="381"/>
      <c r="D38" s="381"/>
      <c r="E38" s="381"/>
      <c r="F38" s="215"/>
      <c r="G38" s="215"/>
      <c r="H38" s="215"/>
      <c r="I38" s="215"/>
      <c r="J38" s="215"/>
      <c r="K38" s="215"/>
      <c r="L38" s="215"/>
    </row>
    <row r="39" spans="1:12" ht="38" customHeight="1">
      <c r="A39" s="217" t="s">
        <v>256</v>
      </c>
      <c r="B39" s="381" t="s">
        <v>350</v>
      </c>
      <c r="C39" s="381"/>
      <c r="D39" s="381"/>
      <c r="E39" s="381"/>
      <c r="F39" s="215"/>
      <c r="G39" s="215"/>
      <c r="H39" s="215"/>
      <c r="I39" s="215"/>
      <c r="J39" s="215"/>
      <c r="K39" s="215"/>
      <c r="L39" s="215"/>
    </row>
    <row r="40" spans="1:12" ht="38" customHeight="1">
      <c r="A40" s="217" t="s">
        <v>245</v>
      </c>
      <c r="B40" s="381" t="s">
        <v>351</v>
      </c>
      <c r="C40" s="381"/>
      <c r="D40" s="381"/>
      <c r="E40" s="381"/>
      <c r="F40" s="215"/>
      <c r="G40" s="215"/>
      <c r="H40" s="215"/>
      <c r="I40" s="215"/>
      <c r="J40" s="215"/>
      <c r="K40" s="215"/>
      <c r="L40" s="215"/>
    </row>
    <row r="41" spans="1:12" ht="38" customHeight="1">
      <c r="A41" s="217" t="s">
        <v>257</v>
      </c>
      <c r="B41" s="381" t="s">
        <v>352</v>
      </c>
      <c r="C41" s="381"/>
      <c r="D41" s="381"/>
      <c r="E41" s="381"/>
      <c r="F41" s="215"/>
      <c r="G41" s="215"/>
      <c r="H41" s="215"/>
      <c r="I41" s="215"/>
      <c r="J41" s="215"/>
      <c r="K41" s="215"/>
      <c r="L41" s="215"/>
    </row>
    <row r="42" spans="1:12" ht="38" customHeight="1">
      <c r="A42" s="217" t="s">
        <v>254</v>
      </c>
      <c r="B42" s="381" t="s">
        <v>353</v>
      </c>
      <c r="C42" s="381"/>
      <c r="D42" s="381"/>
      <c r="E42" s="381"/>
      <c r="F42" s="215"/>
      <c r="G42" s="215"/>
      <c r="H42" s="215"/>
      <c r="I42" s="215"/>
      <c r="J42" s="215"/>
      <c r="K42" s="215"/>
      <c r="L42" s="215"/>
    </row>
    <row r="43" spans="1:12" ht="38" customHeight="1">
      <c r="A43" s="217" t="s">
        <v>354</v>
      </c>
      <c r="B43" s="381" t="s">
        <v>355</v>
      </c>
      <c r="C43" s="381"/>
      <c r="D43" s="381"/>
      <c r="E43" s="381"/>
      <c r="F43" s="215"/>
      <c r="G43" s="215"/>
      <c r="H43" s="215"/>
      <c r="I43" s="215"/>
      <c r="J43" s="215"/>
      <c r="K43" s="215"/>
      <c r="L43" s="215"/>
    </row>
  </sheetData>
  <sheetProtection algorithmName="SHA-512" hashValue="hNRpT4I1Pqhs4kMXm03H5kODO9BmMZXUxd8S4c765N5J6x1pTnw7PAfp1J6/KDoc1VGuJJzIvIDtDwbMUN3MfQ==" saltValue="e/dORgq6AywvnW2576n3Lg==" spinCount="100000" sheet="1" objects="1" scenarios="1" sort="0" autoFilter="0"/>
  <mergeCells count="28">
    <mergeCell ref="C11:E11"/>
    <mergeCell ref="C12:E12"/>
    <mergeCell ref="C13:E13"/>
    <mergeCell ref="C16:E16"/>
    <mergeCell ref="C17:E17"/>
    <mergeCell ref="C14:E14"/>
    <mergeCell ref="C15:E15"/>
    <mergeCell ref="A1:E1"/>
    <mergeCell ref="A4:E4"/>
    <mergeCell ref="A5:E6"/>
    <mergeCell ref="C9:E9"/>
    <mergeCell ref="C10:E10"/>
    <mergeCell ref="J31:L31"/>
    <mergeCell ref="B43:E43"/>
    <mergeCell ref="A25:L25"/>
    <mergeCell ref="A35:E35"/>
    <mergeCell ref="A21:A22"/>
    <mergeCell ref="B21:E22"/>
    <mergeCell ref="B42:E42"/>
    <mergeCell ref="B41:E41"/>
    <mergeCell ref="B39:E39"/>
    <mergeCell ref="B40:E40"/>
    <mergeCell ref="B37:E37"/>
    <mergeCell ref="B38:E38"/>
    <mergeCell ref="B36:E36"/>
    <mergeCell ref="J28:L28"/>
    <mergeCell ref="J29:L29"/>
    <mergeCell ref="J30:L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0FIf9K+yrK6bYunX/I72sYxgojBRPVMP13j52YgbiW1JnLmHn8qWsbNtWFITLX2bOkzmebYMyX+d6xio32KCGw==" saltValue="BdNAFIfykDGx3UknEPfGe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ZX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ZX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ZX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ZX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ZX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ZX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ZX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ZX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ZX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ZX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ZX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ZX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ZX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pkkEIAUg3saK830nxSPjMlw+mu8rybVpK1EFbMTLRiUT9yOOvLBSG+04W+f87YiMcjEdu4MmMxMReOK4/bVFcg==" saltValue="TZ7OAQHSrt8DBQO1ZF6pG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2"/>
  <sheetViews>
    <sheetView workbookViewId="0"/>
  </sheetViews>
  <sheetFormatPr baseColWidth="10" defaultRowHeight="15"/>
  <sheetData>
    <row r="1" spans="1:5">
      <c r="A1" t="s">
        <v>374</v>
      </c>
      <c r="B1" t="s">
        <v>375</v>
      </c>
      <c r="C1" t="s">
        <v>376</v>
      </c>
      <c r="D1" t="s">
        <v>377</v>
      </c>
      <c r="E1" t="s">
        <v>378</v>
      </c>
    </row>
    <row r="2" spans="1:5">
      <c r="A2">
        <v>2026</v>
      </c>
      <c r="B2">
        <v>5</v>
      </c>
      <c r="C2" t="s">
        <v>422</v>
      </c>
      <c r="D2" t="s">
        <v>379</v>
      </c>
      <c r="E2">
        <v>173</v>
      </c>
    </row>
  </sheetData>
  <sheetProtection algorithmName="SHA-512" hashValue="UlIGYSWLyc29eyb0PPPHCy/WWU66qD1RTBDd+kuBUvEJYX1wQCElO/MIr4wx1GgV9+3uW8gIkvNic+JnOR4UTQ==" saltValue="VGqrSjVu6Ffpz3WB945DNA=="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6EB2C-0C12-6E47-9899-BDF82CBE42E8}">
  <sheetPr codeName="Tabelle23"/>
  <dimension ref="A1:E9"/>
  <sheetViews>
    <sheetView workbookViewId="0"/>
  </sheetViews>
  <sheetFormatPr baseColWidth="10" defaultRowHeight="15"/>
  <cols>
    <col min="1" max="1" width="40.83203125" customWidth="1"/>
    <col min="2" max="2" width="12.83203125" customWidth="1"/>
    <col min="3" max="3" width="58.83203125" customWidth="1"/>
    <col min="4" max="4" width="22.83203125" customWidth="1"/>
    <col min="5" max="5" width="70.83203125" customWidth="1"/>
  </cols>
  <sheetData>
    <row r="1" spans="1:5">
      <c r="A1" s="198" t="s">
        <v>380</v>
      </c>
      <c r="B1" s="198" t="s">
        <v>328</v>
      </c>
      <c r="C1" s="198" t="s">
        <v>381</v>
      </c>
      <c r="D1" s="198" t="s">
        <v>382</v>
      </c>
      <c r="E1" s="198" t="s">
        <v>383</v>
      </c>
    </row>
    <row r="2" spans="1:5" ht="32">
      <c r="A2" s="199" t="s">
        <v>384</v>
      </c>
      <c r="B2" s="200" t="s">
        <v>385</v>
      </c>
      <c r="C2" s="202" t="s">
        <v>386</v>
      </c>
      <c r="D2" s="203">
        <v>46162.581770833334</v>
      </c>
      <c r="E2" s="202" t="s">
        <v>387</v>
      </c>
    </row>
    <row r="3" spans="1:5" ht="32">
      <c r="A3" s="199" t="s">
        <v>388</v>
      </c>
      <c r="B3" s="200" t="s">
        <v>385</v>
      </c>
      <c r="C3" s="202" t="s">
        <v>389</v>
      </c>
      <c r="D3" s="203">
        <v>46162.581770833334</v>
      </c>
      <c r="E3" s="202" t="s">
        <v>390</v>
      </c>
    </row>
    <row r="4" spans="1:5" ht="32">
      <c r="A4" s="199" t="s">
        <v>391</v>
      </c>
      <c r="B4" s="200" t="s">
        <v>385</v>
      </c>
      <c r="C4" s="202" t="s">
        <v>392</v>
      </c>
      <c r="D4" s="203">
        <v>46162.581770833334</v>
      </c>
      <c r="E4" s="202" t="s">
        <v>393</v>
      </c>
    </row>
    <row r="5" spans="1:5" ht="32">
      <c r="A5" s="199" t="s">
        <v>394</v>
      </c>
      <c r="B5" s="200" t="s">
        <v>385</v>
      </c>
      <c r="C5" s="202" t="s">
        <v>395</v>
      </c>
      <c r="D5" s="203">
        <v>46162.581770833334</v>
      </c>
      <c r="E5" s="202" t="s">
        <v>396</v>
      </c>
    </row>
    <row r="6" spans="1:5" ht="32">
      <c r="A6" s="199" t="s">
        <v>397</v>
      </c>
      <c r="B6" s="200" t="s">
        <v>385</v>
      </c>
      <c r="C6" s="202" t="s">
        <v>398</v>
      </c>
      <c r="D6" s="203">
        <v>46162.581770833334</v>
      </c>
      <c r="E6" s="202" t="s">
        <v>399</v>
      </c>
    </row>
    <row r="7" spans="1:5" ht="32">
      <c r="A7" s="199" t="s">
        <v>400</v>
      </c>
      <c r="B7" s="200" t="s">
        <v>385</v>
      </c>
      <c r="C7" s="202" t="s">
        <v>401</v>
      </c>
      <c r="D7" s="203">
        <v>46162.581770833334</v>
      </c>
      <c r="E7" s="202" t="s">
        <v>402</v>
      </c>
    </row>
    <row r="8" spans="1:5" ht="16">
      <c r="A8" s="199" t="s">
        <v>403</v>
      </c>
      <c r="B8" s="201" t="s">
        <v>404</v>
      </c>
      <c r="C8" s="202" t="s">
        <v>405</v>
      </c>
      <c r="D8" s="203">
        <v>46162.581782407404</v>
      </c>
      <c r="E8" s="202" t="s">
        <v>406</v>
      </c>
    </row>
    <row r="9" spans="1:5" ht="16">
      <c r="A9" s="199" t="s">
        <v>407</v>
      </c>
      <c r="B9" s="201" t="s">
        <v>404</v>
      </c>
      <c r="C9" s="202" t="s">
        <v>408</v>
      </c>
      <c r="D9" s="203">
        <v>46162.581782407404</v>
      </c>
      <c r="E9" s="202" t="s">
        <v>406</v>
      </c>
    </row>
  </sheetData>
  <sheetProtection algorithmName="SHA-512" hashValue="a2QKBfo/c97/GC9CPFqeIVP/7eX3W2kcwHRRrzvkUMUfwyt/0/vb1zBPRNzhRIrnP/p+0bu7ov2ToZYrsFCI+A==" saltValue="ALEUKGwbwQnrB9VSOYEIpQ=="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18</vt:i4>
      </vt:variant>
      <vt:variant>
        <vt:lpstr>Benannte Bereiche</vt:lpstr>
      </vt:variant>
      <vt:variant>
        <vt:i4>717</vt:i4>
      </vt:variant>
    </vt:vector>
  </HeadingPairs>
  <TitlesOfParts>
    <vt:vector size="73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2026-05-20T12:59:03Z</dcterms:modified>
  <cp:category/>
  <cp:contentStatus/>
</cp:coreProperties>
</file>
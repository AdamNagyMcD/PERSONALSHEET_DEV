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D3279CA1-D53E-E549-9732-FEFB352EA770}" xr6:coauthVersionLast="47" xr6:coauthVersionMax="47" xr10:uidLastSave="{00000000-0000-0000-0000-000000000000}"/>
  <bookViews>
    <workbookView xWindow="80" yWindow="780" windowWidth="34040" windowHeight="19900" tabRatio="677" activeTab="5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5" l="1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K41" i="25" s="1"/>
  <c r="L41" i="25" s="1"/>
  <c r="G42" i="25"/>
  <c r="G43" i="25"/>
  <c r="G44" i="25"/>
  <c r="K44" i="25" s="1"/>
  <c r="L44" i="25" s="1"/>
  <c r="G45" i="25"/>
  <c r="K45" i="25" s="1"/>
  <c r="L45" i="25" s="1"/>
  <c r="G46" i="25"/>
  <c r="G47" i="25"/>
  <c r="K47" i="25" s="1"/>
  <c r="L47" i="25" s="1"/>
  <c r="G48" i="25"/>
  <c r="G49" i="25"/>
  <c r="K49" i="25" s="1"/>
  <c r="L49" i="25" s="1"/>
  <c r="G50" i="25"/>
  <c r="G51" i="25"/>
  <c r="G52" i="25"/>
  <c r="G53" i="25"/>
  <c r="K53" i="25" s="1"/>
  <c r="L53" i="25" s="1"/>
  <c r="G54" i="25"/>
  <c r="K54" i="25" s="1"/>
  <c r="L54" i="25" s="1"/>
  <c r="G55" i="25"/>
  <c r="K55" i="25" s="1"/>
  <c r="L55" i="25" s="1"/>
  <c r="G56" i="25"/>
  <c r="G57" i="25"/>
  <c r="K57" i="25" s="1"/>
  <c r="L57" i="25" s="1"/>
  <c r="G58" i="25"/>
  <c r="G59" i="25"/>
  <c r="G60" i="25"/>
  <c r="G61" i="25"/>
  <c r="K61" i="25" s="1"/>
  <c r="L61" i="25" s="1"/>
  <c r="G62" i="25"/>
  <c r="G63" i="25"/>
  <c r="K63" i="25" s="1"/>
  <c r="L63" i="25" s="1"/>
  <c r="G64" i="25"/>
  <c r="G65" i="25"/>
  <c r="K65" i="25" s="1"/>
  <c r="L65" i="25" s="1"/>
  <c r="G66" i="25"/>
  <c r="G67" i="25"/>
  <c r="G68" i="25"/>
  <c r="G69" i="25"/>
  <c r="K69" i="25" s="1"/>
  <c r="L69" i="25" s="1"/>
  <c r="G70" i="25"/>
  <c r="G71" i="25"/>
  <c r="K71" i="25" s="1"/>
  <c r="L71" i="25" s="1"/>
  <c r="G72" i="25"/>
  <c r="G73" i="25"/>
  <c r="K73" i="25" s="1"/>
  <c r="L73" i="25" s="1"/>
  <c r="G74" i="25"/>
  <c r="G75" i="25"/>
  <c r="G76" i="25"/>
  <c r="G77" i="25"/>
  <c r="K77" i="25" s="1"/>
  <c r="L77" i="25" s="1"/>
  <c r="G78" i="25"/>
  <c r="G79" i="25"/>
  <c r="K79" i="25" s="1"/>
  <c r="L79" i="25" s="1"/>
  <c r="G80" i="25"/>
  <c r="G81" i="25"/>
  <c r="K81" i="25" s="1"/>
  <c r="L81" i="25" s="1"/>
  <c r="G82" i="25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K26" i="31" s="1"/>
  <c r="L26" i="31" s="1"/>
  <c r="G27" i="31"/>
  <c r="G28" i="31"/>
  <c r="G29" i="31"/>
  <c r="G30" i="31"/>
  <c r="G31" i="31"/>
  <c r="G32" i="31"/>
  <c r="G33" i="31"/>
  <c r="K33" i="31" s="1"/>
  <c r="G34" i="31"/>
  <c r="G35" i="31"/>
  <c r="G36" i="31"/>
  <c r="G37" i="31"/>
  <c r="G38" i="31"/>
  <c r="G39" i="31"/>
  <c r="K39" i="31" s="1"/>
  <c r="L39" i="31" s="1"/>
  <c r="G40" i="31"/>
  <c r="G41" i="31"/>
  <c r="K41" i="31" s="1"/>
  <c r="L41" i="31" s="1"/>
  <c r="G42" i="31"/>
  <c r="K42" i="31" s="1"/>
  <c r="L42" i="31" s="1"/>
  <c r="G43" i="31"/>
  <c r="G44" i="31"/>
  <c r="G45" i="31"/>
  <c r="G46" i="31"/>
  <c r="G47" i="31"/>
  <c r="K47" i="31" s="1"/>
  <c r="G48" i="31"/>
  <c r="G49" i="31"/>
  <c r="K49" i="31" s="1"/>
  <c r="L49" i="31" s="1"/>
  <c r="G50" i="31"/>
  <c r="G51" i="31"/>
  <c r="G52" i="31"/>
  <c r="G53" i="31"/>
  <c r="G54" i="31"/>
  <c r="G55" i="31"/>
  <c r="G56" i="31"/>
  <c r="G57" i="31"/>
  <c r="G58" i="31"/>
  <c r="G59" i="31"/>
  <c r="L59" i="31" s="1"/>
  <c r="G60" i="31"/>
  <c r="G61" i="31"/>
  <c r="K61" i="31" s="1"/>
  <c r="L61" i="31" s="1"/>
  <c r="G62" i="31"/>
  <c r="L62" i="31" s="1"/>
  <c r="G63" i="31"/>
  <c r="L63" i="31" s="1"/>
  <c r="G64" i="31"/>
  <c r="G65" i="31"/>
  <c r="K65" i="31" s="1"/>
  <c r="L65" i="31" s="1"/>
  <c r="G66" i="31"/>
  <c r="K66" i="31" s="1"/>
  <c r="L66" i="31" s="1"/>
  <c r="G67" i="31"/>
  <c r="L67" i="31" s="1"/>
  <c r="G68" i="31"/>
  <c r="G69" i="31"/>
  <c r="K69" i="31" s="1"/>
  <c r="L69" i="31" s="1"/>
  <c r="G70" i="31"/>
  <c r="L70" i="31" s="1"/>
  <c r="G71" i="31"/>
  <c r="L71" i="31" s="1"/>
  <c r="G72" i="31"/>
  <c r="G73" i="31"/>
  <c r="K73" i="31" s="1"/>
  <c r="G74" i="31"/>
  <c r="K74" i="31" s="1"/>
  <c r="G75" i="31"/>
  <c r="G76" i="31"/>
  <c r="L76" i="31" s="1"/>
  <c r="G77" i="31"/>
  <c r="K77" i="31" s="1"/>
  <c r="L77" i="31" s="1"/>
  <c r="G78" i="31"/>
  <c r="G79" i="31"/>
  <c r="G80" i="31"/>
  <c r="G81" i="31"/>
  <c r="K81" i="31" s="1"/>
  <c r="L81" i="31" s="1"/>
  <c r="G82" i="31"/>
  <c r="K82" i="31" s="1"/>
  <c r="L82" i="31" s="1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K31" i="30" s="1"/>
  <c r="L31" i="30" s="1"/>
  <c r="G32" i="30"/>
  <c r="G33" i="30"/>
  <c r="G34" i="30"/>
  <c r="G35" i="30"/>
  <c r="K35" i="30" s="1"/>
  <c r="L35" i="30" s="1"/>
  <c r="G36" i="30"/>
  <c r="G37" i="30"/>
  <c r="G38" i="30"/>
  <c r="G39" i="30"/>
  <c r="K39" i="30" s="1"/>
  <c r="L39" i="30" s="1"/>
  <c r="G40" i="30"/>
  <c r="G41" i="30"/>
  <c r="G42" i="30"/>
  <c r="G43" i="30"/>
  <c r="K43" i="30" s="1"/>
  <c r="L43" i="30" s="1"/>
  <c r="G44" i="30"/>
  <c r="G45" i="30"/>
  <c r="K45" i="30" s="1"/>
  <c r="L45" i="30" s="1"/>
  <c r="G46" i="30"/>
  <c r="K46" i="30" s="1"/>
  <c r="L46" i="30" s="1"/>
  <c r="G47" i="30"/>
  <c r="K47" i="30" s="1"/>
  <c r="L47" i="30" s="1"/>
  <c r="G48" i="30"/>
  <c r="G49" i="30"/>
  <c r="G50" i="30"/>
  <c r="G51" i="30"/>
  <c r="K51" i="30" s="1"/>
  <c r="L51" i="30" s="1"/>
  <c r="G52" i="30"/>
  <c r="G53" i="30"/>
  <c r="K53" i="30" s="1"/>
  <c r="L53" i="30" s="1"/>
  <c r="G54" i="30"/>
  <c r="K54" i="30" s="1"/>
  <c r="L54" i="30" s="1"/>
  <c r="G55" i="30"/>
  <c r="K55" i="30" s="1"/>
  <c r="L55" i="30" s="1"/>
  <c r="G56" i="30"/>
  <c r="G57" i="30"/>
  <c r="G58" i="30"/>
  <c r="G59" i="30"/>
  <c r="K59" i="30" s="1"/>
  <c r="L59" i="30" s="1"/>
  <c r="G60" i="30"/>
  <c r="G61" i="30"/>
  <c r="K61" i="30" s="1"/>
  <c r="L61" i="30" s="1"/>
  <c r="G62" i="30"/>
  <c r="K62" i="30" s="1"/>
  <c r="L62" i="30" s="1"/>
  <c r="G63" i="30"/>
  <c r="K63" i="30" s="1"/>
  <c r="L63" i="30" s="1"/>
  <c r="G64" i="30"/>
  <c r="G65" i="30"/>
  <c r="G66" i="30"/>
  <c r="G67" i="30"/>
  <c r="K67" i="30" s="1"/>
  <c r="L67" i="30" s="1"/>
  <c r="G68" i="30"/>
  <c r="G69" i="30"/>
  <c r="K69" i="30" s="1"/>
  <c r="L69" i="30" s="1"/>
  <c r="G70" i="30"/>
  <c r="K70" i="30" s="1"/>
  <c r="L70" i="30" s="1"/>
  <c r="G71" i="30"/>
  <c r="K71" i="30" s="1"/>
  <c r="L71" i="30" s="1"/>
  <c r="G72" i="30"/>
  <c r="G73" i="30"/>
  <c r="G74" i="30"/>
  <c r="G75" i="30"/>
  <c r="K75" i="30" s="1"/>
  <c r="L75" i="30" s="1"/>
  <c r="G76" i="30"/>
  <c r="G77" i="30"/>
  <c r="K77" i="30" s="1"/>
  <c r="L77" i="30" s="1"/>
  <c r="G78" i="30"/>
  <c r="K78" i="30" s="1"/>
  <c r="L78" i="30" s="1"/>
  <c r="G79" i="30"/>
  <c r="G80" i="30"/>
  <c r="G81" i="30"/>
  <c r="G82" i="30"/>
  <c r="L82" i="30" s="1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K36" i="37" s="1"/>
  <c r="L36" i="37" s="1"/>
  <c r="G37" i="37"/>
  <c r="G38" i="37"/>
  <c r="G39" i="37"/>
  <c r="K39" i="37" s="1"/>
  <c r="L39" i="37" s="1"/>
  <c r="G40" i="37"/>
  <c r="G41" i="37"/>
  <c r="G42" i="37"/>
  <c r="G43" i="37"/>
  <c r="G44" i="37"/>
  <c r="G45" i="37"/>
  <c r="G46" i="37"/>
  <c r="G47" i="37"/>
  <c r="K47" i="37" s="1"/>
  <c r="L47" i="37" s="1"/>
  <c r="G48" i="37"/>
  <c r="G49" i="37"/>
  <c r="G50" i="37"/>
  <c r="G51" i="37"/>
  <c r="G52" i="37"/>
  <c r="K52" i="37" s="1"/>
  <c r="L52" i="37" s="1"/>
  <c r="G53" i="37"/>
  <c r="G54" i="37"/>
  <c r="G55" i="37"/>
  <c r="K55" i="37" s="1"/>
  <c r="L55" i="37" s="1"/>
  <c r="G56" i="37"/>
  <c r="K56" i="37" s="1"/>
  <c r="L56" i="37" s="1"/>
  <c r="G57" i="37"/>
  <c r="G58" i="37"/>
  <c r="K58" i="37" s="1"/>
  <c r="L58" i="37" s="1"/>
  <c r="G59" i="37"/>
  <c r="K59" i="37" s="1"/>
  <c r="L59" i="37" s="1"/>
  <c r="G60" i="37"/>
  <c r="K60" i="37" s="1"/>
  <c r="L60" i="37" s="1"/>
  <c r="G61" i="37"/>
  <c r="G62" i="37"/>
  <c r="G63" i="37"/>
  <c r="K63" i="37" s="1"/>
  <c r="L63" i="37" s="1"/>
  <c r="G64" i="37"/>
  <c r="K64" i="37" s="1"/>
  <c r="L64" i="37" s="1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K21" i="28" s="1"/>
  <c r="L21" i="28" s="1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K34" i="28" s="1"/>
  <c r="L34" i="28" s="1"/>
  <c r="G35" i="28"/>
  <c r="G36" i="28"/>
  <c r="G37" i="28"/>
  <c r="K37" i="28" s="1"/>
  <c r="L37" i="28" s="1"/>
  <c r="G38" i="28"/>
  <c r="G39" i="28"/>
  <c r="G40" i="28"/>
  <c r="G41" i="28"/>
  <c r="G42" i="28"/>
  <c r="K42" i="28" s="1"/>
  <c r="L42" i="28" s="1"/>
  <c r="G43" i="28"/>
  <c r="G44" i="28"/>
  <c r="G45" i="28"/>
  <c r="K45" i="28" s="1"/>
  <c r="L45" i="28" s="1"/>
  <c r="G46" i="28"/>
  <c r="K46" i="28" s="1"/>
  <c r="L46" i="28" s="1"/>
  <c r="G47" i="28"/>
  <c r="G48" i="28"/>
  <c r="G49" i="28"/>
  <c r="G50" i="28"/>
  <c r="K50" i="28" s="1"/>
  <c r="L50" i="28" s="1"/>
  <c r="G51" i="28"/>
  <c r="G52" i="28"/>
  <c r="G53" i="28"/>
  <c r="K53" i="28" s="1"/>
  <c r="L53" i="28" s="1"/>
  <c r="G54" i="28"/>
  <c r="K54" i="28" s="1"/>
  <c r="L54" i="28" s="1"/>
  <c r="G55" i="28"/>
  <c r="G56" i="28"/>
  <c r="G57" i="28"/>
  <c r="G58" i="28"/>
  <c r="K58" i="28" s="1"/>
  <c r="L58" i="28" s="1"/>
  <c r="G59" i="28"/>
  <c r="G60" i="28"/>
  <c r="G61" i="28"/>
  <c r="K61" i="28" s="1"/>
  <c r="L61" i="28" s="1"/>
  <c r="G62" i="28"/>
  <c r="K62" i="28" s="1"/>
  <c r="L62" i="28" s="1"/>
  <c r="G63" i="28"/>
  <c r="K63" i="28" s="1"/>
  <c r="L63" i="28" s="1"/>
  <c r="G64" i="28"/>
  <c r="G65" i="28"/>
  <c r="G66" i="28"/>
  <c r="K66" i="28" s="1"/>
  <c r="L66" i="28" s="1"/>
  <c r="G67" i="28"/>
  <c r="G68" i="28"/>
  <c r="G69" i="28"/>
  <c r="G70" i="28"/>
  <c r="K70" i="28" s="1"/>
  <c r="L70" i="28" s="1"/>
  <c r="G71" i="28"/>
  <c r="K71" i="28" s="1"/>
  <c r="L71" i="28" s="1"/>
  <c r="G72" i="28"/>
  <c r="G73" i="28"/>
  <c r="G74" i="28"/>
  <c r="K74" i="28" s="1"/>
  <c r="L74" i="28" s="1"/>
  <c r="G75" i="28"/>
  <c r="G76" i="28"/>
  <c r="G77" i="28"/>
  <c r="G78" i="28"/>
  <c r="K78" i="28" s="1"/>
  <c r="L78" i="28" s="1"/>
  <c r="G79" i="28"/>
  <c r="K79" i="28" s="1"/>
  <c r="L79" i="28" s="1"/>
  <c r="G80" i="28"/>
  <c r="G81" i="28"/>
  <c r="G82" i="28"/>
  <c r="K82" i="28" s="1"/>
  <c r="L82" i="28" s="1"/>
  <c r="G3" i="26"/>
  <c r="G4" i="26"/>
  <c r="G5" i="26"/>
  <c r="G6" i="26"/>
  <c r="K6" i="26" s="1"/>
  <c r="L6" i="26" s="1"/>
  <c r="G7" i="26"/>
  <c r="G8" i="26"/>
  <c r="G9" i="26"/>
  <c r="G10" i="26"/>
  <c r="G11" i="26"/>
  <c r="G12" i="26"/>
  <c r="G13" i="26"/>
  <c r="G14" i="26"/>
  <c r="K14" i="26" s="1"/>
  <c r="L14" i="26" s="1"/>
  <c r="G15" i="26"/>
  <c r="G16" i="26"/>
  <c r="G17" i="26"/>
  <c r="G18" i="26"/>
  <c r="G19" i="26"/>
  <c r="G20" i="26"/>
  <c r="G21" i="26"/>
  <c r="G22" i="26"/>
  <c r="K22" i="26" s="1"/>
  <c r="L22" i="26" s="1"/>
  <c r="G23" i="26"/>
  <c r="G24" i="26"/>
  <c r="G25" i="26"/>
  <c r="G26" i="26"/>
  <c r="G27" i="26"/>
  <c r="G28" i="26"/>
  <c r="G29" i="26"/>
  <c r="G30" i="26"/>
  <c r="K30" i="26" s="1"/>
  <c r="L30" i="26" s="1"/>
  <c r="G31" i="26"/>
  <c r="G32" i="26"/>
  <c r="G33" i="26"/>
  <c r="G34" i="26"/>
  <c r="G35" i="26"/>
  <c r="G36" i="26"/>
  <c r="G37" i="26"/>
  <c r="G38" i="26"/>
  <c r="K38" i="26" s="1"/>
  <c r="L38" i="26" s="1"/>
  <c r="G39" i="26"/>
  <c r="K39" i="26" s="1"/>
  <c r="L39" i="26" s="1"/>
  <c r="G40" i="26"/>
  <c r="G41" i="26"/>
  <c r="G42" i="26"/>
  <c r="K42" i="26" s="1"/>
  <c r="L42" i="26" s="1"/>
  <c r="G43" i="26"/>
  <c r="G44" i="26"/>
  <c r="G45" i="26"/>
  <c r="G46" i="26"/>
  <c r="K46" i="26" s="1"/>
  <c r="L46" i="26" s="1"/>
  <c r="G47" i="26"/>
  <c r="K47" i="26" s="1"/>
  <c r="L47" i="26" s="1"/>
  <c r="G48" i="26"/>
  <c r="K48" i="26" s="1"/>
  <c r="L48" i="26" s="1"/>
  <c r="G49" i="26"/>
  <c r="G50" i="26"/>
  <c r="G51" i="26"/>
  <c r="G52" i="26"/>
  <c r="G53" i="26"/>
  <c r="G54" i="26"/>
  <c r="K54" i="26" s="1"/>
  <c r="L54" i="26" s="1"/>
  <c r="G55" i="26"/>
  <c r="K55" i="26" s="1"/>
  <c r="L55" i="26" s="1"/>
  <c r="G56" i="26"/>
  <c r="K56" i="26" s="1"/>
  <c r="L56" i="26" s="1"/>
  <c r="G57" i="26"/>
  <c r="G58" i="26"/>
  <c r="G59" i="26"/>
  <c r="G60" i="26"/>
  <c r="K60" i="26" s="1"/>
  <c r="L60" i="26" s="1"/>
  <c r="G61" i="26"/>
  <c r="G62" i="26"/>
  <c r="K62" i="26" s="1"/>
  <c r="L62" i="26" s="1"/>
  <c r="G63" i="26"/>
  <c r="K63" i="26" s="1"/>
  <c r="L63" i="26" s="1"/>
  <c r="G64" i="26"/>
  <c r="K64" i="26" s="1"/>
  <c r="L64" i="26" s="1"/>
  <c r="G65" i="26"/>
  <c r="G66" i="26"/>
  <c r="G67" i="26"/>
  <c r="G68" i="26"/>
  <c r="K68" i="26" s="1"/>
  <c r="L68" i="26" s="1"/>
  <c r="G69" i="26"/>
  <c r="G70" i="26"/>
  <c r="K70" i="26" s="1"/>
  <c r="L70" i="26" s="1"/>
  <c r="G71" i="26"/>
  <c r="K71" i="26" s="1"/>
  <c r="L71" i="26" s="1"/>
  <c r="G72" i="26"/>
  <c r="K72" i="26" s="1"/>
  <c r="L72" i="26" s="1"/>
  <c r="G73" i="26"/>
  <c r="G74" i="26"/>
  <c r="G75" i="26"/>
  <c r="G76" i="26"/>
  <c r="K76" i="26" s="1"/>
  <c r="L76" i="26" s="1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G82" i="26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K22" i="27" s="1"/>
  <c r="L22" i="27" s="1"/>
  <c r="G23" i="27"/>
  <c r="G24" i="27"/>
  <c r="G25" i="27"/>
  <c r="G26" i="27"/>
  <c r="G27" i="27"/>
  <c r="G28" i="27"/>
  <c r="G29" i="27"/>
  <c r="G30" i="27"/>
  <c r="K30" i="27" s="1"/>
  <c r="L30" i="27" s="1"/>
  <c r="G31" i="27"/>
  <c r="G32" i="27"/>
  <c r="G33" i="27"/>
  <c r="G34" i="27"/>
  <c r="G35" i="27"/>
  <c r="G36" i="27"/>
  <c r="G37" i="27"/>
  <c r="G38" i="27"/>
  <c r="K38" i="27" s="1"/>
  <c r="L38" i="27" s="1"/>
  <c r="G39" i="27"/>
  <c r="G40" i="27"/>
  <c r="G41" i="27"/>
  <c r="G42" i="27"/>
  <c r="G43" i="27"/>
  <c r="G44" i="27"/>
  <c r="K44" i="27" s="1"/>
  <c r="L44" i="27" s="1"/>
  <c r="G45" i="27"/>
  <c r="G46" i="27"/>
  <c r="K46" i="27" s="1"/>
  <c r="L46" i="27" s="1"/>
  <c r="G47" i="27"/>
  <c r="G48" i="27"/>
  <c r="G49" i="27"/>
  <c r="G50" i="27"/>
  <c r="G51" i="27"/>
  <c r="G52" i="27"/>
  <c r="K52" i="27" s="1"/>
  <c r="L52" i="27" s="1"/>
  <c r="G53" i="27"/>
  <c r="G54" i="27"/>
  <c r="K54" i="27" s="1"/>
  <c r="L54" i="27" s="1"/>
  <c r="G55" i="27"/>
  <c r="K55" i="27" s="1"/>
  <c r="L55" i="27" s="1"/>
  <c r="G56" i="27"/>
  <c r="G57" i="27"/>
  <c r="G58" i="27"/>
  <c r="K58" i="27" s="1"/>
  <c r="L58" i="27" s="1"/>
  <c r="G59" i="27"/>
  <c r="G60" i="27"/>
  <c r="K60" i="27" s="1"/>
  <c r="L60" i="27" s="1"/>
  <c r="G61" i="27"/>
  <c r="G62" i="27"/>
  <c r="K62" i="27" s="1"/>
  <c r="L62" i="27" s="1"/>
  <c r="G63" i="27"/>
  <c r="K63" i="27" s="1"/>
  <c r="L63" i="27" s="1"/>
  <c r="G64" i="27"/>
  <c r="G65" i="27"/>
  <c r="G66" i="27"/>
  <c r="K66" i="27" s="1"/>
  <c r="L66" i="27" s="1"/>
  <c r="G67" i="27"/>
  <c r="G68" i="27"/>
  <c r="K68" i="27" s="1"/>
  <c r="L68" i="27" s="1"/>
  <c r="G69" i="27"/>
  <c r="G70" i="27"/>
  <c r="K70" i="27" s="1"/>
  <c r="L70" i="27" s="1"/>
  <c r="G71" i="27"/>
  <c r="K71" i="27" s="1"/>
  <c r="L71" i="27" s="1"/>
  <c r="G72" i="27"/>
  <c r="G73" i="27"/>
  <c r="G74" i="27"/>
  <c r="K74" i="27" s="1"/>
  <c r="L74" i="27" s="1"/>
  <c r="G75" i="27"/>
  <c r="G76" i="27"/>
  <c r="K76" i="27" s="1"/>
  <c r="L76" i="27" s="1"/>
  <c r="G77" i="27"/>
  <c r="G78" i="27"/>
  <c r="K78" i="27" s="1"/>
  <c r="L78" i="27" s="1"/>
  <c r="G79" i="27"/>
  <c r="K79" i="27" s="1"/>
  <c r="L79" i="27" s="1"/>
  <c r="G80" i="27"/>
  <c r="G81" i="27"/>
  <c r="G82" i="27"/>
  <c r="K82" i="27" s="1"/>
  <c r="L82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3" i="35"/>
  <c r="K4" i="35"/>
  <c r="K5" i="35"/>
  <c r="K6" i="35"/>
  <c r="L6" i="35" s="1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L16" i="35" s="1"/>
  <c r="K17" i="35"/>
  <c r="K18" i="35"/>
  <c r="K19" i="35"/>
  <c r="K20" i="35"/>
  <c r="K21" i="35"/>
  <c r="K22" i="35"/>
  <c r="L22" i="35" s="1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L63" i="35" s="1"/>
  <c r="K64" i="35"/>
  <c r="L64" i="35" s="1"/>
  <c r="K65" i="35"/>
  <c r="K66" i="35"/>
  <c r="L66" i="35" s="1"/>
  <c r="K67" i="35"/>
  <c r="K68" i="35"/>
  <c r="L68" i="35" s="1"/>
  <c r="K69" i="35"/>
  <c r="K70" i="35"/>
  <c r="K71" i="35"/>
  <c r="L71" i="35" s="1"/>
  <c r="K72" i="35"/>
  <c r="L72" i="35" s="1"/>
  <c r="K73" i="35"/>
  <c r="L73" i="35" s="1"/>
  <c r="K74" i="35"/>
  <c r="L74" i="35" s="1"/>
  <c r="K75" i="35"/>
  <c r="K76" i="35"/>
  <c r="K77" i="35"/>
  <c r="K78" i="35"/>
  <c r="K79" i="35"/>
  <c r="L79" i="35" s="1"/>
  <c r="K80" i="35"/>
  <c r="L80" i="35" s="1"/>
  <c r="K81" i="35"/>
  <c r="L81" i="35" s="1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L7" i="36" s="1"/>
  <c r="K8" i="36"/>
  <c r="L8" i="36" s="1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L23" i="36" s="1"/>
  <c r="K24" i="36"/>
  <c r="L24" i="36" s="1"/>
  <c r="K25" i="36"/>
  <c r="K26" i="36"/>
  <c r="K27" i="36"/>
  <c r="K28" i="36"/>
  <c r="K29" i="36"/>
  <c r="K30" i="36"/>
  <c r="L30" i="36" s="1"/>
  <c r="K31" i="36"/>
  <c r="L31" i="36" s="1"/>
  <c r="K32" i="36"/>
  <c r="L32" i="36" s="1"/>
  <c r="K33" i="36"/>
  <c r="K34" i="36"/>
  <c r="L34" i="36" s="1"/>
  <c r="K35" i="36"/>
  <c r="K36" i="36"/>
  <c r="K37" i="36"/>
  <c r="K38" i="36"/>
  <c r="L38" i="36" s="1"/>
  <c r="K39" i="36"/>
  <c r="K40" i="36"/>
  <c r="K41" i="36"/>
  <c r="L41" i="36" s="1"/>
  <c r="K42" i="36"/>
  <c r="K43" i="36"/>
  <c r="K44" i="36"/>
  <c r="K45" i="36"/>
  <c r="K46" i="36"/>
  <c r="K47" i="36"/>
  <c r="L47" i="36" s="1"/>
  <c r="K48" i="36"/>
  <c r="L48" i="36" s="1"/>
  <c r="K49" i="36"/>
  <c r="L49" i="36" s="1"/>
  <c r="K50" i="36"/>
  <c r="K51" i="36"/>
  <c r="K52" i="36"/>
  <c r="K53" i="36"/>
  <c r="K54" i="36"/>
  <c r="L54" i="36" s="1"/>
  <c r="K55" i="36"/>
  <c r="L55" i="36" s="1"/>
  <c r="K56" i="36"/>
  <c r="L56" i="36" s="1"/>
  <c r="K57" i="36"/>
  <c r="L57" i="36" s="1"/>
  <c r="K58" i="36"/>
  <c r="L58" i="36" s="1"/>
  <c r="K59" i="36"/>
  <c r="K60" i="36"/>
  <c r="K61" i="36"/>
  <c r="K62" i="36"/>
  <c r="K63" i="36"/>
  <c r="K64" i="36"/>
  <c r="L64" i="36" s="1"/>
  <c r="K65" i="36"/>
  <c r="L65" i="36" s="1"/>
  <c r="K66" i="36"/>
  <c r="K67" i="36"/>
  <c r="K68" i="36"/>
  <c r="K69" i="36"/>
  <c r="K70" i="36"/>
  <c r="L70" i="36" s="1"/>
  <c r="K71" i="36"/>
  <c r="L71" i="36" s="1"/>
  <c r="K72" i="36"/>
  <c r="K73" i="36"/>
  <c r="L73" i="36" s="1"/>
  <c r="K74" i="36"/>
  <c r="K75" i="36"/>
  <c r="K76" i="36"/>
  <c r="K77" i="36"/>
  <c r="K78" i="36"/>
  <c r="L78" i="36" s="1"/>
  <c r="K79" i="36"/>
  <c r="L79" i="36" s="1"/>
  <c r="K80" i="36"/>
  <c r="L80" i="36" s="1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L8" i="33" s="1"/>
  <c r="K9" i="33"/>
  <c r="K10" i="33"/>
  <c r="K11" i="33"/>
  <c r="K12" i="33"/>
  <c r="K13" i="33"/>
  <c r="L13" i="33" s="1"/>
  <c r="K14" i="33"/>
  <c r="L14" i="33" s="1"/>
  <c r="K15" i="33"/>
  <c r="L15" i="33" s="1"/>
  <c r="K16" i="33"/>
  <c r="L16" i="33" s="1"/>
  <c r="K17" i="33"/>
  <c r="L17" i="33" s="1"/>
  <c r="K18" i="33"/>
  <c r="K19" i="33"/>
  <c r="K20" i="33"/>
  <c r="K21" i="33"/>
  <c r="K22" i="33"/>
  <c r="L22" i="33" s="1"/>
  <c r="K23" i="33"/>
  <c r="L23" i="33" s="1"/>
  <c r="K24" i="33"/>
  <c r="L24" i="33" s="1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L48" i="33" s="1"/>
  <c r="K49" i="33"/>
  <c r="L49" i="33" s="1"/>
  <c r="K50" i="33"/>
  <c r="L50" i="33" s="1"/>
  <c r="K51" i="33"/>
  <c r="K52" i="33"/>
  <c r="K53" i="33"/>
  <c r="K54" i="33"/>
  <c r="L54" i="33" s="1"/>
  <c r="K55" i="33"/>
  <c r="L55" i="33" s="1"/>
  <c r="K56" i="33"/>
  <c r="K57" i="33"/>
  <c r="L57" i="33" s="1"/>
  <c r="K58" i="33"/>
  <c r="L58" i="33" s="1"/>
  <c r="K59" i="33"/>
  <c r="K60" i="33"/>
  <c r="K61" i="33"/>
  <c r="K62" i="33"/>
  <c r="K63" i="33"/>
  <c r="K64" i="33"/>
  <c r="L64" i="33" s="1"/>
  <c r="K65" i="33"/>
  <c r="K66" i="33"/>
  <c r="K67" i="33"/>
  <c r="K68" i="33"/>
  <c r="K69" i="33"/>
  <c r="K70" i="33"/>
  <c r="K71" i="33"/>
  <c r="K72" i="33"/>
  <c r="L72" i="33" s="1"/>
  <c r="K73" i="33"/>
  <c r="L73" i="33" s="1"/>
  <c r="K74" i="33"/>
  <c r="K75" i="33"/>
  <c r="K76" i="33"/>
  <c r="K77" i="33"/>
  <c r="K78" i="33"/>
  <c r="L78" i="33" s="1"/>
  <c r="K79" i="33"/>
  <c r="L79" i="33" s="1"/>
  <c r="K80" i="33"/>
  <c r="L80" i="33" s="1"/>
  <c r="K81" i="33"/>
  <c r="K82" i="33"/>
  <c r="L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L6" i="32" s="1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L66" i="32" s="1"/>
  <c r="K67" i="32"/>
  <c r="K68" i="32"/>
  <c r="K69" i="32"/>
  <c r="K70" i="32"/>
  <c r="L70" i="32" s="1"/>
  <c r="K71" i="32"/>
  <c r="L71" i="32" s="1"/>
  <c r="K72" i="32"/>
  <c r="L72" i="32" s="1"/>
  <c r="K73" i="32"/>
  <c r="L73" i="32" s="1"/>
  <c r="K74" i="32"/>
  <c r="L74" i="32" s="1"/>
  <c r="K75" i="32"/>
  <c r="K76" i="32"/>
  <c r="K77" i="32"/>
  <c r="K78" i="32"/>
  <c r="L78" i="32" s="1"/>
  <c r="K79" i="32"/>
  <c r="K80" i="32"/>
  <c r="L80" i="32" s="1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L4" i="31" s="1"/>
  <c r="K5" i="31"/>
  <c r="K6" i="31"/>
  <c r="L6" i="31" s="1"/>
  <c r="K7" i="31"/>
  <c r="L7" i="31" s="1"/>
  <c r="K8" i="31"/>
  <c r="L8" i="31" s="1"/>
  <c r="K9" i="31"/>
  <c r="L9" i="31" s="1"/>
  <c r="K10" i="31"/>
  <c r="L10" i="31" s="1"/>
  <c r="K11" i="31"/>
  <c r="K12" i="31"/>
  <c r="L12" i="31" s="1"/>
  <c r="K13" i="31"/>
  <c r="K14" i="31"/>
  <c r="L14" i="31" s="1"/>
  <c r="K15" i="31"/>
  <c r="L15" i="31" s="1"/>
  <c r="K16" i="31"/>
  <c r="K17" i="31"/>
  <c r="L17" i="31" s="1"/>
  <c r="K18" i="31"/>
  <c r="L18" i="31" s="1"/>
  <c r="K19" i="31"/>
  <c r="L19" i="31" s="1"/>
  <c r="K20" i="31"/>
  <c r="K21" i="31"/>
  <c r="K22" i="31"/>
  <c r="L22" i="31" s="1"/>
  <c r="K23" i="31"/>
  <c r="L23" i="31" s="1"/>
  <c r="K24" i="31"/>
  <c r="K25" i="31"/>
  <c r="K27" i="31"/>
  <c r="L27" i="31" s="1"/>
  <c r="K28" i="31"/>
  <c r="L28" i="31" s="1"/>
  <c r="K29" i="31"/>
  <c r="L29" i="31" s="1"/>
  <c r="K30" i="31"/>
  <c r="L30" i="31" s="1"/>
  <c r="K31" i="31"/>
  <c r="L31" i="31" s="1"/>
  <c r="K32" i="31"/>
  <c r="L32" i="31" s="1"/>
  <c r="K35" i="31"/>
  <c r="K36" i="31"/>
  <c r="L36" i="31" s="1"/>
  <c r="K37" i="31"/>
  <c r="K38" i="31"/>
  <c r="L38" i="31" s="1"/>
  <c r="K40" i="31"/>
  <c r="L40" i="31" s="1"/>
  <c r="K43" i="31"/>
  <c r="L43" i="31" s="1"/>
  <c r="K44" i="31"/>
  <c r="L44" i="31" s="1"/>
  <c r="K45" i="31"/>
  <c r="K46" i="31"/>
  <c r="L46" i="31" s="1"/>
  <c r="K48" i="31"/>
  <c r="K51" i="31"/>
  <c r="L51" i="31" s="1"/>
  <c r="K52" i="31"/>
  <c r="K53" i="31"/>
  <c r="K54" i="31"/>
  <c r="L54" i="31" s="1"/>
  <c r="K55" i="31"/>
  <c r="L55" i="31" s="1"/>
  <c r="K56" i="31"/>
  <c r="L56" i="31" s="1"/>
  <c r="K59" i="31"/>
  <c r="K60" i="31"/>
  <c r="L60" i="31" s="1"/>
  <c r="K62" i="31"/>
  <c r="K63" i="31"/>
  <c r="K64" i="31"/>
  <c r="L64" i="31" s="1"/>
  <c r="K67" i="31"/>
  <c r="K68" i="31"/>
  <c r="K70" i="31"/>
  <c r="K71" i="31"/>
  <c r="K72" i="31"/>
  <c r="L72" i="31" s="1"/>
  <c r="K75" i="31"/>
  <c r="K76" i="31"/>
  <c r="K78" i="31"/>
  <c r="L78" i="31" s="1"/>
  <c r="K79" i="31"/>
  <c r="L79" i="31" s="1"/>
  <c r="K80" i="31"/>
  <c r="L80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8" i="35"/>
  <c r="L9" i="35"/>
  <c r="L10" i="35"/>
  <c r="L11" i="35"/>
  <c r="L12" i="35"/>
  <c r="L13" i="35"/>
  <c r="L14" i="35"/>
  <c r="L17" i="35"/>
  <c r="L18" i="35"/>
  <c r="L19" i="35"/>
  <c r="L20" i="35"/>
  <c r="L21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5" i="35"/>
  <c r="L67" i="35"/>
  <c r="L69" i="35"/>
  <c r="L70" i="35"/>
  <c r="L75" i="35"/>
  <c r="L76" i="35"/>
  <c r="L77" i="35"/>
  <c r="L78" i="35"/>
  <c r="L82" i="35"/>
  <c r="L3" i="36"/>
  <c r="L4" i="36"/>
  <c r="L5" i="36"/>
  <c r="L6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5" i="36"/>
  <c r="L26" i="36"/>
  <c r="L27" i="36"/>
  <c r="L28" i="36"/>
  <c r="L29" i="36"/>
  <c r="L33" i="36"/>
  <c r="L35" i="36"/>
  <c r="L36" i="36"/>
  <c r="L37" i="36"/>
  <c r="L39" i="36"/>
  <c r="L40" i="36"/>
  <c r="L42" i="36"/>
  <c r="L43" i="36"/>
  <c r="L44" i="36"/>
  <c r="L45" i="36"/>
  <c r="L46" i="36"/>
  <c r="L50" i="36"/>
  <c r="L51" i="36"/>
  <c r="L52" i="36"/>
  <c r="L53" i="36"/>
  <c r="L59" i="36"/>
  <c r="L60" i="36"/>
  <c r="L61" i="36"/>
  <c r="L62" i="36"/>
  <c r="L63" i="36"/>
  <c r="L66" i="36"/>
  <c r="L67" i="36"/>
  <c r="L68" i="36"/>
  <c r="L69" i="36"/>
  <c r="L72" i="36"/>
  <c r="L74" i="36"/>
  <c r="L75" i="36"/>
  <c r="L76" i="36"/>
  <c r="L77" i="36"/>
  <c r="L81" i="36"/>
  <c r="L82" i="36"/>
  <c r="L3" i="33"/>
  <c r="L4" i="33"/>
  <c r="L5" i="33"/>
  <c r="L7" i="33"/>
  <c r="L9" i="33"/>
  <c r="L10" i="33"/>
  <c r="L11" i="33"/>
  <c r="L12" i="33"/>
  <c r="L18" i="33"/>
  <c r="L19" i="33"/>
  <c r="L20" i="33"/>
  <c r="L21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51" i="33"/>
  <c r="L52" i="33"/>
  <c r="L53" i="33"/>
  <c r="L56" i="33"/>
  <c r="L59" i="33"/>
  <c r="L60" i="33"/>
  <c r="L61" i="33"/>
  <c r="L62" i="33"/>
  <c r="L63" i="33"/>
  <c r="L65" i="33"/>
  <c r="L66" i="33"/>
  <c r="L67" i="33"/>
  <c r="L68" i="33"/>
  <c r="L69" i="33"/>
  <c r="L70" i="33"/>
  <c r="L71" i="33"/>
  <c r="L74" i="33"/>
  <c r="L75" i="33"/>
  <c r="L76" i="33"/>
  <c r="L77" i="33"/>
  <c r="L81" i="33"/>
  <c r="L3" i="32"/>
  <c r="L4" i="32"/>
  <c r="L5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7" i="32"/>
  <c r="L68" i="32"/>
  <c r="L69" i="32"/>
  <c r="L75" i="32"/>
  <c r="L76" i="32"/>
  <c r="L77" i="32"/>
  <c r="L79" i="32"/>
  <c r="L81" i="32"/>
  <c r="L82" i="32"/>
  <c r="L20" i="31"/>
  <c r="L21" i="31"/>
  <c r="L24" i="31"/>
  <c r="L25" i="31"/>
  <c r="L52" i="31"/>
  <c r="L53" i="31"/>
  <c r="L3" i="31"/>
  <c r="L5" i="31"/>
  <c r="L11" i="31"/>
  <c r="L13" i="31"/>
  <c r="L16" i="31"/>
  <c r="L35" i="31"/>
  <c r="L37" i="31"/>
  <c r="L45" i="31"/>
  <c r="L48" i="31"/>
  <c r="L68" i="31"/>
  <c r="L75" i="31"/>
  <c r="L5" i="30"/>
  <c r="K3" i="30"/>
  <c r="L3" i="30" s="1"/>
  <c r="K4" i="30"/>
  <c r="L4" i="30" s="1"/>
  <c r="K5" i="30"/>
  <c r="K6" i="30"/>
  <c r="L6" i="30" s="1"/>
  <c r="K7" i="30"/>
  <c r="L7" i="30" s="1"/>
  <c r="K8" i="30"/>
  <c r="L8" i="30" s="1"/>
  <c r="K9" i="30"/>
  <c r="L9" i="30" s="1"/>
  <c r="K10" i="30"/>
  <c r="L10" i="30" s="1"/>
  <c r="K11" i="30"/>
  <c r="L11" i="30" s="1"/>
  <c r="K12" i="30"/>
  <c r="L12" i="30" s="1"/>
  <c r="K13" i="30"/>
  <c r="L13" i="30" s="1"/>
  <c r="K14" i="30"/>
  <c r="L14" i="30" s="1"/>
  <c r="K15" i="30"/>
  <c r="L15" i="30" s="1"/>
  <c r="K16" i="30"/>
  <c r="L16" i="30" s="1"/>
  <c r="K17" i="30"/>
  <c r="L17" i="30" s="1"/>
  <c r="K18" i="30"/>
  <c r="L18" i="30" s="1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L26" i="30" s="1"/>
  <c r="K27" i="30"/>
  <c r="L27" i="30" s="1"/>
  <c r="K28" i="30"/>
  <c r="L28" i="30" s="1"/>
  <c r="K29" i="30"/>
  <c r="L29" i="30" s="1"/>
  <c r="K30" i="30"/>
  <c r="L30" i="30" s="1"/>
  <c r="K32" i="30"/>
  <c r="L32" i="30" s="1"/>
  <c r="K33" i="30"/>
  <c r="L33" i="30" s="1"/>
  <c r="K34" i="30"/>
  <c r="L34" i="30" s="1"/>
  <c r="K36" i="30"/>
  <c r="L36" i="30" s="1"/>
  <c r="K37" i="30"/>
  <c r="L37" i="30" s="1"/>
  <c r="K38" i="30"/>
  <c r="L38" i="30" s="1"/>
  <c r="K40" i="30"/>
  <c r="L40" i="30" s="1"/>
  <c r="K41" i="30"/>
  <c r="L41" i="30" s="1"/>
  <c r="K42" i="30"/>
  <c r="L42" i="30" s="1"/>
  <c r="K44" i="30"/>
  <c r="L44" i="30" s="1"/>
  <c r="K48" i="30"/>
  <c r="L48" i="30" s="1"/>
  <c r="K49" i="30"/>
  <c r="L49" i="30" s="1"/>
  <c r="K50" i="30"/>
  <c r="L50" i="30" s="1"/>
  <c r="K52" i="30"/>
  <c r="L52" i="30" s="1"/>
  <c r="K56" i="30"/>
  <c r="L56" i="30" s="1"/>
  <c r="K57" i="30"/>
  <c r="L57" i="30" s="1"/>
  <c r="K58" i="30"/>
  <c r="L58" i="30" s="1"/>
  <c r="K60" i="30"/>
  <c r="L60" i="30" s="1"/>
  <c r="K64" i="30"/>
  <c r="L64" i="30" s="1"/>
  <c r="K65" i="30"/>
  <c r="L65" i="30" s="1"/>
  <c r="K66" i="30"/>
  <c r="L66" i="30" s="1"/>
  <c r="K68" i="30"/>
  <c r="L68" i="30" s="1"/>
  <c r="K72" i="30"/>
  <c r="L72" i="30" s="1"/>
  <c r="K73" i="30"/>
  <c r="L73" i="30" s="1"/>
  <c r="K74" i="30"/>
  <c r="L74" i="30" s="1"/>
  <c r="K76" i="30"/>
  <c r="L76" i="30" s="1"/>
  <c r="K80" i="30"/>
  <c r="L80" i="30" s="1"/>
  <c r="K81" i="30"/>
  <c r="L81" i="30" s="1"/>
  <c r="K82" i="30"/>
  <c r="L65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L10" i="37" s="1"/>
  <c r="K11" i="37"/>
  <c r="L11" i="37" s="1"/>
  <c r="K12" i="37"/>
  <c r="L12" i="37" s="1"/>
  <c r="K13" i="37"/>
  <c r="L13" i="37" s="1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L19" i="37" s="1"/>
  <c r="K20" i="37"/>
  <c r="L20" i="37" s="1"/>
  <c r="K21" i="37"/>
  <c r="L21" i="37" s="1"/>
  <c r="K22" i="37"/>
  <c r="L22" i="37" s="1"/>
  <c r="K23" i="37"/>
  <c r="L23" i="37" s="1"/>
  <c r="K24" i="37"/>
  <c r="L24" i="37" s="1"/>
  <c r="K25" i="37"/>
  <c r="L25" i="37" s="1"/>
  <c r="K26" i="37"/>
  <c r="L26" i="37" s="1"/>
  <c r="K27" i="37"/>
  <c r="L27" i="37" s="1"/>
  <c r="K28" i="37"/>
  <c r="L28" i="37" s="1"/>
  <c r="K29" i="37"/>
  <c r="L29" i="37" s="1"/>
  <c r="K30" i="37"/>
  <c r="L30" i="37" s="1"/>
  <c r="K31" i="37"/>
  <c r="L31" i="37" s="1"/>
  <c r="K32" i="37"/>
  <c r="L32" i="37" s="1"/>
  <c r="K33" i="37"/>
  <c r="L33" i="37" s="1"/>
  <c r="K34" i="37"/>
  <c r="L34" i="37" s="1"/>
  <c r="K35" i="37"/>
  <c r="L35" i="37" s="1"/>
  <c r="K37" i="37"/>
  <c r="L37" i="37" s="1"/>
  <c r="K38" i="37"/>
  <c r="L38" i="37" s="1"/>
  <c r="K40" i="37"/>
  <c r="L40" i="37" s="1"/>
  <c r="K41" i="37"/>
  <c r="L41" i="37" s="1"/>
  <c r="K42" i="37"/>
  <c r="L42" i="37" s="1"/>
  <c r="K43" i="37"/>
  <c r="L43" i="37" s="1"/>
  <c r="K44" i="37"/>
  <c r="L44" i="37" s="1"/>
  <c r="K45" i="37"/>
  <c r="L45" i="37" s="1"/>
  <c r="K46" i="37"/>
  <c r="L46" i="37" s="1"/>
  <c r="K48" i="37"/>
  <c r="L48" i="37" s="1"/>
  <c r="K49" i="37"/>
  <c r="L49" i="37" s="1"/>
  <c r="K50" i="37"/>
  <c r="L50" i="37" s="1"/>
  <c r="K51" i="37"/>
  <c r="L51" i="37" s="1"/>
  <c r="K53" i="37"/>
  <c r="L53" i="37" s="1"/>
  <c r="K54" i="37"/>
  <c r="L54" i="37" s="1"/>
  <c r="K57" i="37"/>
  <c r="L57" i="37" s="1"/>
  <c r="K61" i="37"/>
  <c r="L61" i="37" s="1"/>
  <c r="K62" i="37"/>
  <c r="L62" i="37" s="1"/>
  <c r="K65" i="37"/>
  <c r="K66" i="37"/>
  <c r="L66" i="37" s="1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L77" i="37" s="1"/>
  <c r="K78" i="37"/>
  <c r="L78" i="37" s="1"/>
  <c r="K79" i="37"/>
  <c r="L79" i="37" s="1"/>
  <c r="K80" i="37"/>
  <c r="L80" i="37" s="1"/>
  <c r="K81" i="37"/>
  <c r="L81" i="37" s="1"/>
  <c r="K82" i="37"/>
  <c r="L82" i="37" s="1"/>
  <c r="K3" i="28"/>
  <c r="L3" i="28" s="1"/>
  <c r="K4" i="28"/>
  <c r="L4" i="28" s="1"/>
  <c r="K5" i="28"/>
  <c r="L5" i="28" s="1"/>
  <c r="K6" i="28"/>
  <c r="L6" i="28" s="1"/>
  <c r="K7" i="28"/>
  <c r="L7" i="28" s="1"/>
  <c r="K8" i="28"/>
  <c r="L8" i="28" s="1"/>
  <c r="K9" i="28"/>
  <c r="L9" i="28" s="1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5" i="28"/>
  <c r="L35" i="28" s="1"/>
  <c r="K36" i="28"/>
  <c r="L36" i="28" s="1"/>
  <c r="K38" i="28"/>
  <c r="L38" i="28" s="1"/>
  <c r="K39" i="28"/>
  <c r="L39" i="28" s="1"/>
  <c r="K40" i="28"/>
  <c r="L40" i="28" s="1"/>
  <c r="K41" i="28"/>
  <c r="L41" i="28" s="1"/>
  <c r="K43" i="28"/>
  <c r="L43" i="28" s="1"/>
  <c r="K44" i="28"/>
  <c r="L44" i="28" s="1"/>
  <c r="K47" i="28"/>
  <c r="L47" i="28" s="1"/>
  <c r="K48" i="28"/>
  <c r="L48" i="28" s="1"/>
  <c r="K49" i="28"/>
  <c r="L49" i="28" s="1"/>
  <c r="K51" i="28"/>
  <c r="L51" i="28" s="1"/>
  <c r="K52" i="28"/>
  <c r="L52" i="28" s="1"/>
  <c r="K55" i="28"/>
  <c r="L55" i="28" s="1"/>
  <c r="K56" i="28"/>
  <c r="L56" i="28" s="1"/>
  <c r="K57" i="28"/>
  <c r="L57" i="28" s="1"/>
  <c r="K59" i="28"/>
  <c r="L59" i="28" s="1"/>
  <c r="K60" i="28"/>
  <c r="L60" i="28" s="1"/>
  <c r="K64" i="28"/>
  <c r="L64" i="28" s="1"/>
  <c r="K65" i="28"/>
  <c r="L65" i="28" s="1"/>
  <c r="K67" i="28"/>
  <c r="L67" i="28" s="1"/>
  <c r="K68" i="28"/>
  <c r="L68" i="28" s="1"/>
  <c r="K69" i="28"/>
  <c r="L69" i="28" s="1"/>
  <c r="K72" i="28"/>
  <c r="L72" i="28" s="1"/>
  <c r="K73" i="28"/>
  <c r="L73" i="28" s="1"/>
  <c r="K75" i="28"/>
  <c r="L75" i="28" s="1"/>
  <c r="K76" i="28"/>
  <c r="L76" i="28" s="1"/>
  <c r="K77" i="28"/>
  <c r="L77" i="28" s="1"/>
  <c r="K80" i="28"/>
  <c r="L80" i="28" s="1"/>
  <c r="K81" i="28"/>
  <c r="L81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9" i="27"/>
  <c r="L39" i="27" s="1"/>
  <c r="K40" i="27"/>
  <c r="L40" i="27" s="1"/>
  <c r="K41" i="27"/>
  <c r="L41" i="27" s="1"/>
  <c r="K42" i="27"/>
  <c r="L42" i="27" s="1"/>
  <c r="K43" i="27"/>
  <c r="L43" i="27" s="1"/>
  <c r="K45" i="27"/>
  <c r="L45" i="27" s="1"/>
  <c r="K47" i="27"/>
  <c r="L47" i="27" s="1"/>
  <c r="K48" i="27"/>
  <c r="L48" i="27" s="1"/>
  <c r="K49" i="27"/>
  <c r="L49" i="27" s="1"/>
  <c r="K50" i="27"/>
  <c r="L50" i="27" s="1"/>
  <c r="K51" i="27"/>
  <c r="L51" i="27" s="1"/>
  <c r="K53" i="27"/>
  <c r="L53" i="27" s="1"/>
  <c r="K56" i="27"/>
  <c r="L56" i="27" s="1"/>
  <c r="K57" i="27"/>
  <c r="L57" i="27" s="1"/>
  <c r="K59" i="27"/>
  <c r="L59" i="27" s="1"/>
  <c r="K61" i="27"/>
  <c r="L61" i="27" s="1"/>
  <c r="K64" i="27"/>
  <c r="L64" i="27" s="1"/>
  <c r="K65" i="27"/>
  <c r="L65" i="27" s="1"/>
  <c r="K67" i="27"/>
  <c r="L67" i="27" s="1"/>
  <c r="K69" i="27"/>
  <c r="L69" i="27" s="1"/>
  <c r="K72" i="27"/>
  <c r="L72" i="27" s="1"/>
  <c r="K73" i="27"/>
  <c r="L73" i="27" s="1"/>
  <c r="K75" i="27"/>
  <c r="L75" i="27" s="1"/>
  <c r="K77" i="27"/>
  <c r="L77" i="27" s="1"/>
  <c r="K80" i="27"/>
  <c r="L80" i="27" s="1"/>
  <c r="K81" i="27"/>
  <c r="L81" i="27" s="1"/>
  <c r="L77" i="26"/>
  <c r="K3" i="26"/>
  <c r="L3" i="26" s="1"/>
  <c r="K4" i="26"/>
  <c r="L4" i="26" s="1"/>
  <c r="K5" i="26"/>
  <c r="L5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40" i="26"/>
  <c r="L40" i="26" s="1"/>
  <c r="K41" i="26"/>
  <c r="L41" i="26" s="1"/>
  <c r="K43" i="26"/>
  <c r="L43" i="26" s="1"/>
  <c r="K44" i="26"/>
  <c r="L44" i="26" s="1"/>
  <c r="K45" i="26"/>
  <c r="L45" i="26" s="1"/>
  <c r="K49" i="26"/>
  <c r="L49" i="26" s="1"/>
  <c r="K50" i="26"/>
  <c r="L50" i="26" s="1"/>
  <c r="K51" i="26"/>
  <c r="L51" i="26" s="1"/>
  <c r="K52" i="26"/>
  <c r="L52" i="26" s="1"/>
  <c r="K53" i="26"/>
  <c r="L53" i="26" s="1"/>
  <c r="K57" i="26"/>
  <c r="L57" i="26" s="1"/>
  <c r="K58" i="26"/>
  <c r="L58" i="26" s="1"/>
  <c r="K59" i="26"/>
  <c r="L59" i="26" s="1"/>
  <c r="K61" i="26"/>
  <c r="L61" i="26" s="1"/>
  <c r="K65" i="26"/>
  <c r="L65" i="26" s="1"/>
  <c r="K66" i="26"/>
  <c r="L66" i="26" s="1"/>
  <c r="K67" i="26"/>
  <c r="L67" i="26" s="1"/>
  <c r="K69" i="26"/>
  <c r="L69" i="26" s="1"/>
  <c r="K73" i="26"/>
  <c r="L73" i="26" s="1"/>
  <c r="K74" i="26"/>
  <c r="L74" i="26" s="1"/>
  <c r="K75" i="26"/>
  <c r="L75" i="26" s="1"/>
  <c r="K77" i="26"/>
  <c r="K81" i="26"/>
  <c r="L81" i="26" s="1"/>
  <c r="K82" i="26"/>
  <c r="L82" i="26" s="1"/>
  <c r="K3" i="25"/>
  <c r="L3" i="25" s="1"/>
  <c r="K4" i="25"/>
  <c r="L4" i="25" s="1"/>
  <c r="K5" i="25"/>
  <c r="L5" i="25" s="1"/>
  <c r="K6" i="25"/>
  <c r="L6" i="25" s="1"/>
  <c r="K7" i="25"/>
  <c r="L7" i="25" s="1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L22" i="25" s="1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L38" i="25" s="1"/>
  <c r="K39" i="25"/>
  <c r="L39" i="25" s="1"/>
  <c r="K40" i="25"/>
  <c r="L40" i="25" s="1"/>
  <c r="K42" i="25"/>
  <c r="L42" i="25" s="1"/>
  <c r="K43" i="25"/>
  <c r="L43" i="25" s="1"/>
  <c r="K46" i="25"/>
  <c r="L46" i="25" s="1"/>
  <c r="K48" i="25"/>
  <c r="L48" i="25" s="1"/>
  <c r="K50" i="25"/>
  <c r="L50" i="25" s="1"/>
  <c r="K51" i="25"/>
  <c r="L51" i="25" s="1"/>
  <c r="K52" i="25"/>
  <c r="L52" i="25" s="1"/>
  <c r="K56" i="25"/>
  <c r="L56" i="25" s="1"/>
  <c r="K58" i="25"/>
  <c r="L58" i="25" s="1"/>
  <c r="K59" i="25"/>
  <c r="L59" i="25" s="1"/>
  <c r="K60" i="25"/>
  <c r="L60" i="25" s="1"/>
  <c r="K62" i="25"/>
  <c r="L62" i="25" s="1"/>
  <c r="K64" i="25"/>
  <c r="L64" i="25" s="1"/>
  <c r="K66" i="25"/>
  <c r="L66" i="25" s="1"/>
  <c r="K67" i="25"/>
  <c r="L67" i="25" s="1"/>
  <c r="K68" i="25"/>
  <c r="L68" i="25" s="1"/>
  <c r="K70" i="25"/>
  <c r="L70" i="25" s="1"/>
  <c r="K72" i="25"/>
  <c r="L72" i="25" s="1"/>
  <c r="K74" i="25"/>
  <c r="L74" i="25" s="1"/>
  <c r="K75" i="25"/>
  <c r="L75" i="25" s="1"/>
  <c r="K76" i="25"/>
  <c r="L76" i="25" s="1"/>
  <c r="K78" i="25"/>
  <c r="L78" i="25" s="1"/>
  <c r="K80" i="25"/>
  <c r="L80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L50" i="31" l="1"/>
  <c r="L47" i="31"/>
  <c r="L73" i="31"/>
  <c r="L74" i="31"/>
  <c r="L33" i="31"/>
  <c r="K58" i="31"/>
  <c r="L58" i="31" s="1"/>
  <c r="K50" i="3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5" a="1"/>
  <c r="S36" i="33" a="1"/>
  <c r="S36" i="30" a="1"/>
  <c r="S36" i="28" a="1"/>
  <c r="S36" i="36" a="1"/>
  <c r="S36" i="32" a="1"/>
  <c r="S36" i="31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<sst xmlns="http://schemas.openxmlformats.org/spreadsheetml/2006/main" count="3961" uniqueCount="484">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</sst>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94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48" fillId="0" borderId="0" xfId="0" applyFont="1" applyAlignment="1">
      <alignment horizontal="center" vertical="center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6" fillId="0" borderId="20" xfId="0" applyFont="1" applyFill="1" applyBorder="1" applyAlignment="1">
      <alignment horizontal="left" vertical="center" wrapText="1"/>
    </xf>
    <xf numFmtId="0" fontId="56" fillId="0" borderId="0" xfId="0" applyFont="1" applyFill="1" applyAlignment="1">
      <alignment vertical="center"/>
    </xf>
    <xf numFmtId="0" fontId="58" fillId="0" borderId="0" xfId="0" applyFont="1" applyFill="1" applyAlignment="1">
      <alignment vertical="center" wrapText="1"/>
    </xf>
    <xf numFmtId="0" fontId="56" fillId="0" borderId="0" xfId="0" applyFont="1" applyFill="1" applyAlignment="1">
      <alignment vertical="center" wrapText="1"/>
    </xf>
    <xf numFmtId="0" fontId="59" fillId="0" borderId="0" xfId="0" applyFont="1"/>
    <xf numFmtId="0" fontId="56" fillId="0" borderId="0" xfId="0" applyFont="1" applyFill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Fill="1" applyBorder="1" applyAlignment="1">
      <alignment horizontal="left" vertical="center"/>
    </xf>
    <xf numFmtId="2" fontId="56" fillId="0" borderId="59" xfId="0" applyNumberFormat="1" applyFont="1" applyFill="1" applyBorder="1" applyAlignment="1">
      <alignment horizontal="right" vertical="center"/>
    </xf>
    <xf numFmtId="0" fontId="56" fillId="0" borderId="59" xfId="0" applyFont="1" applyFill="1" applyBorder="1" applyAlignment="1">
      <alignment horizontal="left" vertical="center" wrapText="1"/>
    </xf>
    <xf numFmtId="0" fontId="57" fillId="0" borderId="0" xfId="0" applyFont="1" applyFill="1" applyAlignment="1">
      <alignment horizontal="left" vertical="center"/>
    </xf>
    <xf numFmtId="0" fontId="56" fillId="0" borderId="0" xfId="0" applyFont="1" applyFill="1" applyAlignment="1">
      <alignment horizontal="left" vertical="center"/>
    </xf>
    <xf numFmtId="0" fontId="58" fillId="0" borderId="0" xfId="0" applyFont="1" applyFill="1" applyAlignment="1">
      <alignment horizontal="left" vertical="center" wrapText="1"/>
    </xf>
    <xf numFmtId="0" fontId="56" fillId="0" borderId="0" xfId="0" applyFont="1" applyFill="1" applyAlignment="1">
      <alignment horizontal="left" vertical="center" wrapText="1"/>
    </xf>
    <xf numFmtId="0" fontId="38" fillId="0" borderId="59" xfId="0" applyFont="1" applyFill="1" applyBorder="1" applyAlignment="1">
      <alignment horizontal="center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21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50800</xdr:rowOff>
    </xdr:from>
    <xdr:to>
      <xdr:col>9</xdr:col>
      <xdr:colOff>1879600</xdr:colOff>
      <xdr:row>1</xdr:row>
      <xdr:rowOff>241300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D9AB0E6B-AD38-33AE-2672-CEB1B755088B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266700</xdr:rowOff>
    </xdr:from>
    <xdr:to>
      <xdr:col>9</xdr:col>
      <xdr:colOff>1879600</xdr:colOff>
      <xdr:row>1</xdr:row>
      <xdr:rowOff>457200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1181376D-42A5-C9BB-0DCD-5B8A45E3E04F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482600</xdr:rowOff>
    </xdr:from>
    <xdr:to>
      <xdr:col>9</xdr:col>
      <xdr:colOff>1879600</xdr:colOff>
      <xdr:row>1</xdr:row>
      <xdr:rowOff>673100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423C9C13-D08F-4D1B-7E15-E90AEBA482FC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C012D2EA-3E72-125D-A232-D845DBABB7A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00" t="s">
        <v>292</v>
      </c>
      <c r="B1" s="200"/>
      <c r="C1" s="200"/>
      <c r="D1" s="200"/>
      <c r="E1" s="200"/>
      <c r="F1" s="200"/>
      <c r="G1" s="200"/>
      <c r="H1" s="200"/>
      <c r="I1" s="200"/>
      <c r="J1" s="200"/>
    </row>
    <row r="2" spans="1:10" ht="74" customHeight="1">
      <c r="A2" s="207" t="s">
        <v>352</v>
      </c>
      <c r="B2" s="207"/>
      <c r="C2" s="207"/>
      <c r="D2" s="207"/>
      <c r="E2" s="207"/>
      <c r="F2" s="207"/>
      <c r="G2" s="207"/>
      <c r="H2" s="207"/>
      <c r="I2" s="379"/>
      <c r="J2" s="379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201" t="s">
        <v>346</v>
      </c>
      <c r="B4" s="202"/>
      <c r="C4" s="202"/>
      <c r="D4" s="203"/>
      <c r="E4" s="203"/>
      <c r="F4" s="203"/>
      <c r="G4" s="204"/>
      <c r="H4" s="205"/>
      <c r="I4" s="203"/>
      <c r="J4" s="206"/>
    </row>
    <row r="5" spans="1:10" ht="24" customHeight="1">
      <c r="A5" s="160" t="s">
        <v>305</v>
      </c>
      <c r="B5" s="146">
        <v>45778</v>
      </c>
      <c r="C5" s="146">
        <v>46142</v>
      </c>
      <c r="D5" s="147" t="s">
        <v>302</v>
      </c>
      <c r="E5" s="147" t="s">
        <v>2</v>
      </c>
      <c r="F5" s="147" t="s">
        <v>293</v>
      </c>
      <c r="G5" s="130">
        <v>173</v>
      </c>
      <c r="H5" s="131">
        <v>2021</v>
      </c>
      <c r="I5" s="14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7" t="str">
        <f t="shared" ref="J5:J36" si="1">IF($G5="","",IF(COUNTIFS($A:$A,$A5,$D:$D,$D5,$G:$G,$G5)&gt;1,"Doppelte Monatsstunden",""))</f>
        <v/>
      </c>
    </row>
    <row r="6" spans="1:10" ht="24" customHeight="1">
      <c r="A6" s="161" t="s">
        <v>305</v>
      </c>
      <c r="B6" s="148">
        <v>45778</v>
      </c>
      <c r="C6" s="148">
        <v>46142</v>
      </c>
      <c r="D6" s="149" t="s">
        <v>302</v>
      </c>
      <c r="E6" s="149" t="s">
        <v>2</v>
      </c>
      <c r="F6" s="149" t="s">
        <v>293</v>
      </c>
      <c r="G6" s="132">
        <v>151.38</v>
      </c>
      <c r="H6" s="133">
        <v>1768.38</v>
      </c>
      <c r="I6" s="149" t="str">
        <f t="shared" si="0"/>
        <v>OK</v>
      </c>
      <c r="J6" s="168" t="str">
        <f t="shared" si="1"/>
        <v/>
      </c>
    </row>
    <row r="7" spans="1:10" ht="24" customHeight="1">
      <c r="A7" s="161" t="s">
        <v>305</v>
      </c>
      <c r="B7" s="148">
        <v>45778</v>
      </c>
      <c r="C7" s="148">
        <v>46142</v>
      </c>
      <c r="D7" s="149" t="s">
        <v>302</v>
      </c>
      <c r="E7" s="149" t="s">
        <v>2</v>
      </c>
      <c r="F7" s="149" t="s">
        <v>293</v>
      </c>
      <c r="G7" s="132">
        <v>138.4</v>
      </c>
      <c r="H7" s="133">
        <v>1616.8</v>
      </c>
      <c r="I7" s="149" t="str">
        <f t="shared" si="0"/>
        <v>OK</v>
      </c>
      <c r="J7" s="168" t="str">
        <f t="shared" si="1"/>
        <v/>
      </c>
    </row>
    <row r="8" spans="1:10" ht="24" customHeight="1">
      <c r="A8" s="161" t="s">
        <v>305</v>
      </c>
      <c r="B8" s="148">
        <v>45778</v>
      </c>
      <c r="C8" s="148">
        <v>46142</v>
      </c>
      <c r="D8" s="149" t="s">
        <v>302</v>
      </c>
      <c r="E8" s="149" t="s">
        <v>2</v>
      </c>
      <c r="F8" s="149" t="s">
        <v>293</v>
      </c>
      <c r="G8" s="132">
        <v>129.75</v>
      </c>
      <c r="H8" s="133">
        <v>1515.75</v>
      </c>
      <c r="I8" s="149" t="str">
        <f t="shared" si="0"/>
        <v>OK</v>
      </c>
      <c r="J8" s="168" t="str">
        <f t="shared" si="1"/>
        <v/>
      </c>
    </row>
    <row r="9" spans="1:10" ht="24" customHeight="1">
      <c r="A9" s="161" t="s">
        <v>305</v>
      </c>
      <c r="B9" s="148">
        <v>45778</v>
      </c>
      <c r="C9" s="148">
        <v>46142</v>
      </c>
      <c r="D9" s="149" t="s">
        <v>302</v>
      </c>
      <c r="E9" s="149" t="s">
        <v>2</v>
      </c>
      <c r="F9" s="149" t="s">
        <v>293</v>
      </c>
      <c r="G9" s="132">
        <v>108.13</v>
      </c>
      <c r="H9" s="133">
        <v>1263.1300000000001</v>
      </c>
      <c r="I9" s="149" t="str">
        <f t="shared" si="0"/>
        <v>OK</v>
      </c>
      <c r="J9" s="168" t="str">
        <f t="shared" si="1"/>
        <v/>
      </c>
    </row>
    <row r="10" spans="1:10" ht="24" customHeight="1">
      <c r="A10" s="161" t="s">
        <v>305</v>
      </c>
      <c r="B10" s="148">
        <v>45778</v>
      </c>
      <c r="C10" s="148">
        <v>46142</v>
      </c>
      <c r="D10" s="149" t="s">
        <v>302</v>
      </c>
      <c r="E10" s="149" t="s">
        <v>2</v>
      </c>
      <c r="F10" s="149" t="s">
        <v>293</v>
      </c>
      <c r="G10" s="132">
        <v>103.8</v>
      </c>
      <c r="H10" s="133">
        <v>1212.5999999999999</v>
      </c>
      <c r="I10" s="149" t="str">
        <f t="shared" si="0"/>
        <v>OK</v>
      </c>
      <c r="J10" s="168" t="str">
        <f t="shared" si="1"/>
        <v/>
      </c>
    </row>
    <row r="11" spans="1:10" ht="24" customHeight="1">
      <c r="A11" s="161" t="s">
        <v>305</v>
      </c>
      <c r="B11" s="148">
        <v>45778</v>
      </c>
      <c r="C11" s="148">
        <v>46142</v>
      </c>
      <c r="D11" s="149" t="s">
        <v>302</v>
      </c>
      <c r="E11" s="149" t="s">
        <v>2</v>
      </c>
      <c r="F11" s="149" t="s">
        <v>293</v>
      </c>
      <c r="G11" s="132">
        <v>86.5</v>
      </c>
      <c r="H11" s="133">
        <v>1010.5</v>
      </c>
      <c r="I11" s="149" t="str">
        <f t="shared" si="0"/>
        <v>OK</v>
      </c>
      <c r="J11" s="168" t="str">
        <f t="shared" si="1"/>
        <v/>
      </c>
    </row>
    <row r="12" spans="1:10" ht="24" customHeight="1">
      <c r="A12" s="161" t="s">
        <v>305</v>
      </c>
      <c r="B12" s="148">
        <v>45778</v>
      </c>
      <c r="C12" s="148">
        <v>46142</v>
      </c>
      <c r="D12" s="149" t="s">
        <v>302</v>
      </c>
      <c r="E12" s="149" t="s">
        <v>2</v>
      </c>
      <c r="F12" s="149" t="s">
        <v>293</v>
      </c>
      <c r="G12" s="132">
        <v>69.2</v>
      </c>
      <c r="H12" s="133">
        <v>808.4</v>
      </c>
      <c r="I12" s="149" t="str">
        <f t="shared" si="0"/>
        <v>OK</v>
      </c>
      <c r="J12" s="168" t="str">
        <f t="shared" si="1"/>
        <v/>
      </c>
    </row>
    <row r="13" spans="1:10" ht="24" customHeight="1">
      <c r="A13" s="161" t="s">
        <v>305</v>
      </c>
      <c r="B13" s="148">
        <v>45778</v>
      </c>
      <c r="C13" s="148">
        <v>46142</v>
      </c>
      <c r="D13" s="149" t="s">
        <v>302</v>
      </c>
      <c r="E13" s="149" t="s">
        <v>2</v>
      </c>
      <c r="F13" s="149" t="s">
        <v>293</v>
      </c>
      <c r="G13" s="132">
        <v>64</v>
      </c>
      <c r="H13" s="133">
        <v>1000</v>
      </c>
      <c r="I13" s="149" t="str">
        <f t="shared" si="0"/>
        <v>OK</v>
      </c>
      <c r="J13" s="168" t="str">
        <f t="shared" si="1"/>
        <v/>
      </c>
    </row>
    <row r="14" spans="1:10" ht="24" customHeight="1">
      <c r="A14" s="161" t="s">
        <v>305</v>
      </c>
      <c r="B14" s="148">
        <v>45778</v>
      </c>
      <c r="C14" s="148">
        <v>46142</v>
      </c>
      <c r="D14" s="149" t="s">
        <v>302</v>
      </c>
      <c r="E14" s="149" t="s">
        <v>2</v>
      </c>
      <c r="F14" s="149" t="s">
        <v>293</v>
      </c>
      <c r="G14" s="132">
        <v>51.9</v>
      </c>
      <c r="H14" s="133">
        <v>606.29999999999995</v>
      </c>
      <c r="I14" s="149" t="str">
        <f t="shared" si="0"/>
        <v>OK</v>
      </c>
      <c r="J14" s="168" t="str">
        <f t="shared" si="1"/>
        <v/>
      </c>
    </row>
    <row r="15" spans="1:10" ht="24" customHeight="1">
      <c r="A15" s="161" t="s">
        <v>305</v>
      </c>
      <c r="B15" s="148">
        <v>45778</v>
      </c>
      <c r="C15" s="148">
        <v>46142</v>
      </c>
      <c r="D15" s="149" t="s">
        <v>302</v>
      </c>
      <c r="E15" s="149" t="s">
        <v>2</v>
      </c>
      <c r="F15" s="149" t="s">
        <v>293</v>
      </c>
      <c r="G15" s="132">
        <v>47.58</v>
      </c>
      <c r="H15" s="133">
        <v>555.78</v>
      </c>
      <c r="I15" s="149" t="str">
        <f t="shared" si="0"/>
        <v>OK</v>
      </c>
      <c r="J15" s="168" t="str">
        <f t="shared" si="1"/>
        <v/>
      </c>
    </row>
    <row r="16" spans="1:10" ht="24" customHeight="1">
      <c r="A16" s="161" t="s">
        <v>305</v>
      </c>
      <c r="B16" s="148">
        <v>45778</v>
      </c>
      <c r="C16" s="148">
        <v>46142</v>
      </c>
      <c r="D16" s="149" t="s">
        <v>302</v>
      </c>
      <c r="E16" s="149" t="s">
        <v>2</v>
      </c>
      <c r="F16" s="149" t="s">
        <v>293</v>
      </c>
      <c r="G16" s="132">
        <v>43.25</v>
      </c>
      <c r="H16" s="133">
        <v>505.25</v>
      </c>
      <c r="I16" s="149" t="str">
        <f t="shared" si="0"/>
        <v>OK</v>
      </c>
      <c r="J16" s="168" t="str">
        <f t="shared" si="1"/>
        <v/>
      </c>
    </row>
    <row r="17" spans="1:10" ht="24" customHeight="1">
      <c r="A17" s="161" t="s">
        <v>305</v>
      </c>
      <c r="B17" s="148">
        <v>45778</v>
      </c>
      <c r="C17" s="148">
        <v>46142</v>
      </c>
      <c r="D17" s="149" t="s">
        <v>302</v>
      </c>
      <c r="E17" s="149" t="s">
        <v>2</v>
      </c>
      <c r="F17" s="149" t="s">
        <v>293</v>
      </c>
      <c r="G17" s="132">
        <v>34.6</v>
      </c>
      <c r="H17" s="133">
        <v>404.2</v>
      </c>
      <c r="I17" s="149" t="str">
        <f t="shared" si="0"/>
        <v>OK</v>
      </c>
      <c r="J17" s="168" t="str">
        <f t="shared" si="1"/>
        <v/>
      </c>
    </row>
    <row r="18" spans="1:10" ht="24" customHeight="1">
      <c r="A18" s="161" t="s">
        <v>305</v>
      </c>
      <c r="B18" s="148">
        <v>45778</v>
      </c>
      <c r="C18" s="148">
        <v>46142</v>
      </c>
      <c r="D18" s="149" t="s">
        <v>302</v>
      </c>
      <c r="E18" s="149" t="s">
        <v>2</v>
      </c>
      <c r="F18" s="149" t="s">
        <v>293</v>
      </c>
      <c r="G18" s="132">
        <v>32.01</v>
      </c>
      <c r="H18" s="133">
        <v>373.89</v>
      </c>
      <c r="I18" s="149" t="str">
        <f t="shared" si="0"/>
        <v>OK</v>
      </c>
      <c r="J18" s="168" t="str">
        <f t="shared" si="1"/>
        <v/>
      </c>
    </row>
    <row r="19" spans="1:10" ht="24" customHeight="1" thickBot="1">
      <c r="A19" s="161" t="s">
        <v>305</v>
      </c>
      <c r="B19" s="148">
        <v>45778</v>
      </c>
      <c r="C19" s="148">
        <v>46142</v>
      </c>
      <c r="D19" s="149" t="s">
        <v>302</v>
      </c>
      <c r="E19" s="149" t="s">
        <v>2</v>
      </c>
      <c r="F19" s="149" t="s">
        <v>293</v>
      </c>
      <c r="G19" s="132">
        <v>10</v>
      </c>
      <c r="H19" s="133">
        <v>60</v>
      </c>
      <c r="I19" s="149" t="str">
        <f t="shared" si="0"/>
        <v>OK</v>
      </c>
      <c r="J19" s="168" t="str">
        <f t="shared" si="1"/>
        <v/>
      </c>
    </row>
    <row r="20" spans="1:10" ht="24" customHeight="1">
      <c r="A20" s="162" t="s">
        <v>305</v>
      </c>
      <c r="B20" s="150">
        <v>45778</v>
      </c>
      <c r="C20" s="150">
        <v>46142</v>
      </c>
      <c r="D20" s="151" t="s">
        <v>3</v>
      </c>
      <c r="E20" s="151" t="s">
        <v>2</v>
      </c>
      <c r="F20" s="151" t="s">
        <v>294</v>
      </c>
      <c r="G20" s="134">
        <v>173</v>
      </c>
      <c r="H20" s="135">
        <v>2082</v>
      </c>
      <c r="I20" s="151" t="str">
        <f t="shared" si="0"/>
        <v>OK</v>
      </c>
      <c r="J20" s="169" t="str">
        <f t="shared" si="1"/>
        <v/>
      </c>
    </row>
    <row r="21" spans="1:10" ht="24" customHeight="1">
      <c r="A21" s="161" t="s">
        <v>305</v>
      </c>
      <c r="B21" s="148">
        <v>45778</v>
      </c>
      <c r="C21" s="148">
        <v>46142</v>
      </c>
      <c r="D21" s="149" t="s">
        <v>3</v>
      </c>
      <c r="E21" s="149" t="s">
        <v>2</v>
      </c>
      <c r="F21" s="149" t="s">
        <v>294</v>
      </c>
      <c r="G21" s="132">
        <v>151.38</v>
      </c>
      <c r="H21" s="133">
        <v>1821.75</v>
      </c>
      <c r="I21" s="149" t="str">
        <f t="shared" si="0"/>
        <v>OK</v>
      </c>
      <c r="J21" s="168" t="str">
        <f t="shared" si="1"/>
        <v/>
      </c>
    </row>
    <row r="22" spans="1:10" ht="24" customHeight="1">
      <c r="A22" s="161" t="s">
        <v>305</v>
      </c>
      <c r="B22" s="148">
        <v>45778</v>
      </c>
      <c r="C22" s="148">
        <v>46142</v>
      </c>
      <c r="D22" s="149" t="s">
        <v>3</v>
      </c>
      <c r="E22" s="149" t="s">
        <v>2</v>
      </c>
      <c r="F22" s="149" t="s">
        <v>294</v>
      </c>
      <c r="G22" s="132">
        <v>138.4</v>
      </c>
      <c r="H22" s="133">
        <v>1665.6</v>
      </c>
      <c r="I22" s="149" t="str">
        <f t="shared" si="0"/>
        <v>OK</v>
      </c>
      <c r="J22" s="168" t="str">
        <f t="shared" si="1"/>
        <v/>
      </c>
    </row>
    <row r="23" spans="1:10" ht="24" customHeight="1">
      <c r="A23" s="161" t="s">
        <v>305</v>
      </c>
      <c r="B23" s="148">
        <v>45778</v>
      </c>
      <c r="C23" s="148">
        <v>46142</v>
      </c>
      <c r="D23" s="149" t="s">
        <v>3</v>
      </c>
      <c r="E23" s="149" t="s">
        <v>2</v>
      </c>
      <c r="F23" s="149" t="s">
        <v>294</v>
      </c>
      <c r="G23" s="132">
        <v>129.75</v>
      </c>
      <c r="H23" s="133">
        <v>1561.5</v>
      </c>
      <c r="I23" s="149" t="str">
        <f t="shared" si="0"/>
        <v>OK</v>
      </c>
      <c r="J23" s="168" t="str">
        <f t="shared" si="1"/>
        <v/>
      </c>
    </row>
    <row r="24" spans="1:10" ht="24" customHeight="1">
      <c r="A24" s="161" t="s">
        <v>305</v>
      </c>
      <c r="B24" s="148">
        <v>45778</v>
      </c>
      <c r="C24" s="148">
        <v>46142</v>
      </c>
      <c r="D24" s="149" t="s">
        <v>3</v>
      </c>
      <c r="E24" s="149" t="s">
        <v>2</v>
      </c>
      <c r="F24" s="149" t="s">
        <v>294</v>
      </c>
      <c r="G24" s="132">
        <v>108.13</v>
      </c>
      <c r="H24" s="133">
        <v>1301.25</v>
      </c>
      <c r="I24" s="149" t="str">
        <f t="shared" si="0"/>
        <v>OK</v>
      </c>
      <c r="J24" s="168" t="str">
        <f t="shared" si="1"/>
        <v/>
      </c>
    </row>
    <row r="25" spans="1:10" ht="24" customHeight="1">
      <c r="A25" s="161" t="s">
        <v>305</v>
      </c>
      <c r="B25" s="148">
        <v>45778</v>
      </c>
      <c r="C25" s="148">
        <v>46142</v>
      </c>
      <c r="D25" s="149" t="s">
        <v>3</v>
      </c>
      <c r="E25" s="149" t="s">
        <v>2</v>
      </c>
      <c r="F25" s="149" t="s">
        <v>294</v>
      </c>
      <c r="G25" s="132">
        <v>103.8</v>
      </c>
      <c r="H25" s="133">
        <v>1249.2</v>
      </c>
      <c r="I25" s="149" t="str">
        <f t="shared" si="0"/>
        <v>OK</v>
      </c>
      <c r="J25" s="168" t="str">
        <f t="shared" si="1"/>
        <v/>
      </c>
    </row>
    <row r="26" spans="1:10" ht="24" customHeight="1">
      <c r="A26" s="161" t="s">
        <v>305</v>
      </c>
      <c r="B26" s="148">
        <v>45778</v>
      </c>
      <c r="C26" s="148">
        <v>46142</v>
      </c>
      <c r="D26" s="149" t="s">
        <v>3</v>
      </c>
      <c r="E26" s="149" t="s">
        <v>2</v>
      </c>
      <c r="F26" s="149" t="s">
        <v>294</v>
      </c>
      <c r="G26" s="132">
        <v>100</v>
      </c>
      <c r="H26" s="133">
        <v>2000</v>
      </c>
      <c r="I26" s="149" t="str">
        <f t="shared" si="0"/>
        <v>OK</v>
      </c>
      <c r="J26" s="168" t="str">
        <f t="shared" si="1"/>
        <v/>
      </c>
    </row>
    <row r="27" spans="1:10" ht="24" customHeight="1">
      <c r="A27" s="161" t="s">
        <v>305</v>
      </c>
      <c r="B27" s="148">
        <v>45778</v>
      </c>
      <c r="C27" s="148">
        <v>46142</v>
      </c>
      <c r="D27" s="149" t="s">
        <v>3</v>
      </c>
      <c r="E27" s="149" t="s">
        <v>2</v>
      </c>
      <c r="F27" s="149" t="s">
        <v>294</v>
      </c>
      <c r="G27" s="132">
        <v>86.5</v>
      </c>
      <c r="H27" s="133">
        <v>1041.2</v>
      </c>
      <c r="I27" s="149" t="str">
        <f t="shared" si="0"/>
        <v>OK</v>
      </c>
      <c r="J27" s="168" t="str">
        <f t="shared" si="1"/>
        <v/>
      </c>
    </row>
    <row r="28" spans="1:10" ht="24" customHeight="1">
      <c r="A28" s="161" t="s">
        <v>305</v>
      </c>
      <c r="B28" s="148">
        <v>45778</v>
      </c>
      <c r="C28" s="148">
        <v>46142</v>
      </c>
      <c r="D28" s="149" t="s">
        <v>3</v>
      </c>
      <c r="E28" s="149" t="s">
        <v>2</v>
      </c>
      <c r="F28" s="149" t="s">
        <v>294</v>
      </c>
      <c r="G28" s="132">
        <v>69.2</v>
      </c>
      <c r="H28" s="133">
        <v>832.8</v>
      </c>
      <c r="I28" s="149" t="str">
        <f t="shared" si="0"/>
        <v>OK</v>
      </c>
      <c r="J28" s="168" t="str">
        <f t="shared" si="1"/>
        <v/>
      </c>
    </row>
    <row r="29" spans="1:10" ht="24" customHeight="1">
      <c r="A29" s="161" t="s">
        <v>305</v>
      </c>
      <c r="B29" s="148">
        <v>45778</v>
      </c>
      <c r="C29" s="148">
        <v>46142</v>
      </c>
      <c r="D29" s="149" t="s">
        <v>3</v>
      </c>
      <c r="E29" s="149" t="s">
        <v>2</v>
      </c>
      <c r="F29" s="149" t="s">
        <v>294</v>
      </c>
      <c r="G29" s="132">
        <v>51.9</v>
      </c>
      <c r="H29" s="133">
        <v>624.6</v>
      </c>
      <c r="I29" s="149" t="str">
        <f t="shared" si="0"/>
        <v>OK</v>
      </c>
      <c r="J29" s="168" t="str">
        <f t="shared" si="1"/>
        <v/>
      </c>
    </row>
    <row r="30" spans="1:10" ht="24" customHeight="1">
      <c r="A30" s="161" t="s">
        <v>305</v>
      </c>
      <c r="B30" s="148">
        <v>45778</v>
      </c>
      <c r="C30" s="148">
        <v>46142</v>
      </c>
      <c r="D30" s="149" t="s">
        <v>3</v>
      </c>
      <c r="E30" s="149" t="s">
        <v>2</v>
      </c>
      <c r="F30" s="149" t="s">
        <v>294</v>
      </c>
      <c r="G30" s="132">
        <v>47.58</v>
      </c>
      <c r="H30" s="133">
        <v>575.54999999999995</v>
      </c>
      <c r="I30" s="149" t="str">
        <f t="shared" si="0"/>
        <v>OK</v>
      </c>
      <c r="J30" s="168" t="str">
        <f t="shared" si="1"/>
        <v/>
      </c>
    </row>
    <row r="31" spans="1:10" ht="24" customHeight="1">
      <c r="A31" s="161" t="s">
        <v>305</v>
      </c>
      <c r="B31" s="148">
        <v>45778</v>
      </c>
      <c r="C31" s="148">
        <v>46142</v>
      </c>
      <c r="D31" s="149" t="s">
        <v>3</v>
      </c>
      <c r="E31" s="149" t="s">
        <v>2</v>
      </c>
      <c r="F31" s="149" t="s">
        <v>294</v>
      </c>
      <c r="G31" s="132">
        <v>43.25</v>
      </c>
      <c r="H31" s="133">
        <v>520.5</v>
      </c>
      <c r="I31" s="149" t="str">
        <f t="shared" si="0"/>
        <v>OK</v>
      </c>
      <c r="J31" s="168" t="str">
        <f t="shared" si="1"/>
        <v/>
      </c>
    </row>
    <row r="32" spans="1:10" ht="24" customHeight="1">
      <c r="A32" s="161" t="s">
        <v>305</v>
      </c>
      <c r="B32" s="148">
        <v>45778</v>
      </c>
      <c r="C32" s="148">
        <v>46142</v>
      </c>
      <c r="D32" s="149" t="s">
        <v>3</v>
      </c>
      <c r="E32" s="149" t="s">
        <v>2</v>
      </c>
      <c r="F32" s="149" t="s">
        <v>294</v>
      </c>
      <c r="G32" s="132">
        <v>34.6</v>
      </c>
      <c r="H32" s="133">
        <v>416.4</v>
      </c>
      <c r="I32" s="149" t="str">
        <f t="shared" si="0"/>
        <v>OK</v>
      </c>
      <c r="J32" s="168" t="str">
        <f t="shared" si="1"/>
        <v/>
      </c>
    </row>
    <row r="33" spans="1:10" ht="24" customHeight="1" thickBot="1">
      <c r="A33" s="161" t="s">
        <v>305</v>
      </c>
      <c r="B33" s="148">
        <v>45778</v>
      </c>
      <c r="C33" s="148">
        <v>46142</v>
      </c>
      <c r="D33" s="149" t="s">
        <v>3</v>
      </c>
      <c r="E33" s="149" t="s">
        <v>2</v>
      </c>
      <c r="F33" s="149" t="s">
        <v>294</v>
      </c>
      <c r="G33" s="132">
        <v>32.01</v>
      </c>
      <c r="H33" s="133">
        <v>385.17</v>
      </c>
      <c r="I33" s="149" t="str">
        <f t="shared" si="0"/>
        <v>OK</v>
      </c>
      <c r="J33" s="168" t="str">
        <f t="shared" si="1"/>
        <v/>
      </c>
    </row>
    <row r="34" spans="1:10" ht="24" customHeight="1">
      <c r="A34" s="162" t="s">
        <v>305</v>
      </c>
      <c r="B34" s="150">
        <v>45778</v>
      </c>
      <c r="C34" s="150">
        <v>46142</v>
      </c>
      <c r="D34" s="151" t="s">
        <v>4</v>
      </c>
      <c r="E34" s="151" t="s">
        <v>2</v>
      </c>
      <c r="F34" s="151" t="s">
        <v>295</v>
      </c>
      <c r="G34" s="134">
        <v>173</v>
      </c>
      <c r="H34" s="135">
        <v>2123</v>
      </c>
      <c r="I34" s="151" t="str">
        <f t="shared" si="0"/>
        <v>OK</v>
      </c>
      <c r="J34" s="169" t="str">
        <f t="shared" si="1"/>
        <v/>
      </c>
    </row>
    <row r="35" spans="1:10" ht="24" customHeight="1">
      <c r="A35" s="161" t="s">
        <v>305</v>
      </c>
      <c r="B35" s="148">
        <v>45778</v>
      </c>
      <c r="C35" s="148">
        <v>46142</v>
      </c>
      <c r="D35" s="149" t="s">
        <v>4</v>
      </c>
      <c r="E35" s="149" t="s">
        <v>2</v>
      </c>
      <c r="F35" s="149" t="s">
        <v>295</v>
      </c>
      <c r="G35" s="132">
        <v>151.38</v>
      </c>
      <c r="H35" s="133">
        <v>1857.63</v>
      </c>
      <c r="I35" s="149" t="str">
        <f t="shared" si="0"/>
        <v>OK</v>
      </c>
      <c r="J35" s="168" t="str">
        <f t="shared" si="1"/>
        <v/>
      </c>
    </row>
    <row r="36" spans="1:10" ht="24" customHeight="1">
      <c r="A36" s="161" t="s">
        <v>305</v>
      </c>
      <c r="B36" s="148">
        <v>45778</v>
      </c>
      <c r="C36" s="148">
        <v>46142</v>
      </c>
      <c r="D36" s="149" t="s">
        <v>4</v>
      </c>
      <c r="E36" s="149" t="s">
        <v>2</v>
      </c>
      <c r="F36" s="149" t="s">
        <v>295</v>
      </c>
      <c r="G36" s="132">
        <v>138.4</v>
      </c>
      <c r="H36" s="133">
        <v>1698.4</v>
      </c>
      <c r="I36" s="149" t="str">
        <f t="shared" si="0"/>
        <v>OK</v>
      </c>
      <c r="J36" s="168" t="str">
        <f t="shared" si="1"/>
        <v/>
      </c>
    </row>
    <row r="37" spans="1:10" ht="24" customHeight="1">
      <c r="A37" s="161" t="s">
        <v>305</v>
      </c>
      <c r="B37" s="148">
        <v>45778</v>
      </c>
      <c r="C37" s="148">
        <v>46142</v>
      </c>
      <c r="D37" s="149" t="s">
        <v>4</v>
      </c>
      <c r="E37" s="149" t="s">
        <v>2</v>
      </c>
      <c r="F37" s="149" t="s">
        <v>295</v>
      </c>
      <c r="G37" s="132">
        <v>129.75</v>
      </c>
      <c r="H37" s="133">
        <v>1592.25</v>
      </c>
      <c r="I37" s="149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8" t="str">
        <f t="shared" ref="J37:J68" si="3">IF($G37="","",IF(COUNTIFS($A:$A,$A37,$D:$D,$D37,$G:$G,$G37)&gt;1,"Doppelte Monatsstunden",""))</f>
        <v/>
      </c>
    </row>
    <row r="38" spans="1:10" ht="24" customHeight="1">
      <c r="A38" s="161" t="s">
        <v>305</v>
      </c>
      <c r="B38" s="148">
        <v>45778</v>
      </c>
      <c r="C38" s="148">
        <v>46142</v>
      </c>
      <c r="D38" s="149" t="s">
        <v>4</v>
      </c>
      <c r="E38" s="149" t="s">
        <v>2</v>
      </c>
      <c r="F38" s="149" t="s">
        <v>295</v>
      </c>
      <c r="G38" s="132">
        <v>108.13</v>
      </c>
      <c r="H38" s="133">
        <v>1326.88</v>
      </c>
      <c r="I38" s="149" t="str">
        <f t="shared" si="2"/>
        <v>OK</v>
      </c>
      <c r="J38" s="168" t="str">
        <f t="shared" si="3"/>
        <v/>
      </c>
    </row>
    <row r="39" spans="1:10" ht="24" customHeight="1">
      <c r="A39" s="161" t="s">
        <v>305</v>
      </c>
      <c r="B39" s="148">
        <v>45778</v>
      </c>
      <c r="C39" s="148">
        <v>46142</v>
      </c>
      <c r="D39" s="149" t="s">
        <v>4</v>
      </c>
      <c r="E39" s="149" t="s">
        <v>2</v>
      </c>
      <c r="F39" s="149" t="s">
        <v>295</v>
      </c>
      <c r="G39" s="132">
        <v>103.8</v>
      </c>
      <c r="H39" s="133">
        <v>1273.8</v>
      </c>
      <c r="I39" s="149" t="str">
        <f t="shared" si="2"/>
        <v>OK</v>
      </c>
      <c r="J39" s="168" t="str">
        <f t="shared" si="3"/>
        <v/>
      </c>
    </row>
    <row r="40" spans="1:10" ht="24" customHeight="1">
      <c r="A40" s="161" t="s">
        <v>305</v>
      </c>
      <c r="B40" s="148">
        <v>45778</v>
      </c>
      <c r="C40" s="148">
        <v>46142</v>
      </c>
      <c r="D40" s="149" t="s">
        <v>4</v>
      </c>
      <c r="E40" s="149" t="s">
        <v>2</v>
      </c>
      <c r="F40" s="149" t="s">
        <v>295</v>
      </c>
      <c r="G40" s="132">
        <v>86.5</v>
      </c>
      <c r="H40" s="133">
        <v>1061.5</v>
      </c>
      <c r="I40" s="149" t="str">
        <f t="shared" si="2"/>
        <v>OK</v>
      </c>
      <c r="J40" s="168" t="str">
        <f t="shared" si="3"/>
        <v/>
      </c>
    </row>
    <row r="41" spans="1:10" ht="24" customHeight="1">
      <c r="A41" s="161" t="s">
        <v>305</v>
      </c>
      <c r="B41" s="148">
        <v>45778</v>
      </c>
      <c r="C41" s="148">
        <v>46142</v>
      </c>
      <c r="D41" s="149" t="s">
        <v>4</v>
      </c>
      <c r="E41" s="149" t="s">
        <v>2</v>
      </c>
      <c r="F41" s="149" t="s">
        <v>295</v>
      </c>
      <c r="G41" s="132">
        <v>69.2</v>
      </c>
      <c r="H41" s="133">
        <v>849.2</v>
      </c>
      <c r="I41" s="149" t="str">
        <f t="shared" si="2"/>
        <v>OK</v>
      </c>
      <c r="J41" s="168" t="str">
        <f t="shared" si="3"/>
        <v/>
      </c>
    </row>
    <row r="42" spans="1:10" ht="24" customHeight="1">
      <c r="A42" s="161" t="s">
        <v>305</v>
      </c>
      <c r="B42" s="148">
        <v>45778</v>
      </c>
      <c r="C42" s="148">
        <v>46142</v>
      </c>
      <c r="D42" s="149" t="s">
        <v>4</v>
      </c>
      <c r="E42" s="149" t="s">
        <v>2</v>
      </c>
      <c r="F42" s="149" t="s">
        <v>295</v>
      </c>
      <c r="G42" s="132">
        <v>51.9</v>
      </c>
      <c r="H42" s="133">
        <v>636.9</v>
      </c>
      <c r="I42" s="149" t="str">
        <f t="shared" si="2"/>
        <v>OK</v>
      </c>
      <c r="J42" s="168" t="str">
        <f t="shared" si="3"/>
        <v/>
      </c>
    </row>
    <row r="43" spans="1:10" ht="24" customHeight="1">
      <c r="A43" s="161" t="s">
        <v>305</v>
      </c>
      <c r="B43" s="148">
        <v>45778</v>
      </c>
      <c r="C43" s="148">
        <v>46142</v>
      </c>
      <c r="D43" s="149" t="s">
        <v>4</v>
      </c>
      <c r="E43" s="149" t="s">
        <v>2</v>
      </c>
      <c r="F43" s="149" t="s">
        <v>295</v>
      </c>
      <c r="G43" s="132">
        <v>47.58</v>
      </c>
      <c r="H43" s="133">
        <v>583.83000000000004</v>
      </c>
      <c r="I43" s="149" t="str">
        <f t="shared" si="2"/>
        <v>OK</v>
      </c>
      <c r="J43" s="168" t="str">
        <f t="shared" si="3"/>
        <v/>
      </c>
    </row>
    <row r="44" spans="1:10" ht="24" customHeight="1">
      <c r="A44" s="161" t="s">
        <v>305</v>
      </c>
      <c r="B44" s="148">
        <v>45778</v>
      </c>
      <c r="C44" s="148">
        <v>46142</v>
      </c>
      <c r="D44" s="149" t="s">
        <v>4</v>
      </c>
      <c r="E44" s="149" t="s">
        <v>2</v>
      </c>
      <c r="F44" s="149" t="s">
        <v>295</v>
      </c>
      <c r="G44" s="132">
        <v>43.25</v>
      </c>
      <c r="H44" s="133">
        <v>530.75</v>
      </c>
      <c r="I44" s="149" t="str">
        <f t="shared" si="2"/>
        <v>OK</v>
      </c>
      <c r="J44" s="168" t="str">
        <f t="shared" si="3"/>
        <v/>
      </c>
    </row>
    <row r="45" spans="1:10" ht="24" customHeight="1">
      <c r="A45" s="161" t="s">
        <v>305</v>
      </c>
      <c r="B45" s="148">
        <v>45778</v>
      </c>
      <c r="C45" s="148">
        <v>46142</v>
      </c>
      <c r="D45" s="149" t="s">
        <v>4</v>
      </c>
      <c r="E45" s="149" t="s">
        <v>2</v>
      </c>
      <c r="F45" s="149" t="s">
        <v>295</v>
      </c>
      <c r="G45" s="132">
        <v>34.6</v>
      </c>
      <c r="H45" s="133">
        <v>424.6</v>
      </c>
      <c r="I45" s="149" t="str">
        <f t="shared" si="2"/>
        <v>OK</v>
      </c>
      <c r="J45" s="168" t="str">
        <f t="shared" si="3"/>
        <v/>
      </c>
    </row>
    <row r="46" spans="1:10" ht="24" customHeight="1" thickBot="1">
      <c r="A46" s="161" t="s">
        <v>305</v>
      </c>
      <c r="B46" s="148">
        <v>45778</v>
      </c>
      <c r="C46" s="148">
        <v>46142</v>
      </c>
      <c r="D46" s="149" t="s">
        <v>4</v>
      </c>
      <c r="E46" s="149" t="s">
        <v>2</v>
      </c>
      <c r="F46" s="149" t="s">
        <v>295</v>
      </c>
      <c r="G46" s="132">
        <v>32.01</v>
      </c>
      <c r="H46" s="133">
        <v>392.76</v>
      </c>
      <c r="I46" s="149" t="str">
        <f t="shared" si="2"/>
        <v>OK</v>
      </c>
      <c r="J46" s="168" t="str">
        <f t="shared" si="3"/>
        <v/>
      </c>
    </row>
    <row r="47" spans="1:10" ht="24" customHeight="1">
      <c r="A47" s="162" t="s">
        <v>305</v>
      </c>
      <c r="B47" s="150">
        <v>45778</v>
      </c>
      <c r="C47" s="150">
        <v>46142</v>
      </c>
      <c r="D47" s="151" t="s">
        <v>5</v>
      </c>
      <c r="E47" s="151" t="s">
        <v>2</v>
      </c>
      <c r="F47" s="151" t="s">
        <v>296</v>
      </c>
      <c r="G47" s="134">
        <v>173</v>
      </c>
      <c r="H47" s="135">
        <v>2183</v>
      </c>
      <c r="I47" s="151" t="str">
        <f t="shared" si="2"/>
        <v>OK</v>
      </c>
      <c r="J47" s="169" t="str">
        <f t="shared" si="3"/>
        <v/>
      </c>
    </row>
    <row r="48" spans="1:10" ht="24" customHeight="1">
      <c r="A48" s="161" t="s">
        <v>305</v>
      </c>
      <c r="B48" s="148">
        <v>45778</v>
      </c>
      <c r="C48" s="148">
        <v>46142</v>
      </c>
      <c r="D48" s="149" t="s">
        <v>5</v>
      </c>
      <c r="E48" s="149" t="s">
        <v>2</v>
      </c>
      <c r="F48" s="149" t="s">
        <v>296</v>
      </c>
      <c r="G48" s="132">
        <v>151.38</v>
      </c>
      <c r="H48" s="133">
        <v>1910.13</v>
      </c>
      <c r="I48" s="149" t="str">
        <f t="shared" si="2"/>
        <v>OK</v>
      </c>
      <c r="J48" s="168" t="str">
        <f t="shared" si="3"/>
        <v/>
      </c>
    </row>
    <row r="49" spans="1:10" ht="24" customHeight="1">
      <c r="A49" s="161" t="s">
        <v>305</v>
      </c>
      <c r="B49" s="148">
        <v>45778</v>
      </c>
      <c r="C49" s="148">
        <v>46142</v>
      </c>
      <c r="D49" s="149" t="s">
        <v>5</v>
      </c>
      <c r="E49" s="149" t="s">
        <v>2</v>
      </c>
      <c r="F49" s="149" t="s">
        <v>296</v>
      </c>
      <c r="G49" s="132">
        <v>138.4</v>
      </c>
      <c r="H49" s="133">
        <v>1746.4</v>
      </c>
      <c r="I49" s="149" t="str">
        <f t="shared" si="2"/>
        <v>OK</v>
      </c>
      <c r="J49" s="168" t="str">
        <f t="shared" si="3"/>
        <v/>
      </c>
    </row>
    <row r="50" spans="1:10" ht="24" customHeight="1">
      <c r="A50" s="161" t="s">
        <v>305</v>
      </c>
      <c r="B50" s="148">
        <v>45778</v>
      </c>
      <c r="C50" s="148">
        <v>46142</v>
      </c>
      <c r="D50" s="149" t="s">
        <v>5</v>
      </c>
      <c r="E50" s="149" t="s">
        <v>2</v>
      </c>
      <c r="F50" s="149" t="s">
        <v>296</v>
      </c>
      <c r="G50" s="132">
        <v>129.75</v>
      </c>
      <c r="H50" s="133">
        <v>1637.25</v>
      </c>
      <c r="I50" s="149" t="str">
        <f t="shared" si="2"/>
        <v>OK</v>
      </c>
      <c r="J50" s="168" t="str">
        <f t="shared" si="3"/>
        <v/>
      </c>
    </row>
    <row r="51" spans="1:10" ht="24" customHeight="1">
      <c r="A51" s="161" t="s">
        <v>305</v>
      </c>
      <c r="B51" s="148">
        <v>45778</v>
      </c>
      <c r="C51" s="148">
        <v>46142</v>
      </c>
      <c r="D51" s="149" t="s">
        <v>5</v>
      </c>
      <c r="E51" s="149" t="s">
        <v>2</v>
      </c>
      <c r="F51" s="149" t="s">
        <v>296</v>
      </c>
      <c r="G51" s="132">
        <v>108.13</v>
      </c>
      <c r="H51" s="133">
        <v>1364.38</v>
      </c>
      <c r="I51" s="149" t="str">
        <f t="shared" si="2"/>
        <v>OK</v>
      </c>
      <c r="J51" s="168" t="str">
        <f t="shared" si="3"/>
        <v/>
      </c>
    </row>
    <row r="52" spans="1:10" ht="24" customHeight="1">
      <c r="A52" s="161" t="s">
        <v>305</v>
      </c>
      <c r="B52" s="148">
        <v>45778</v>
      </c>
      <c r="C52" s="148">
        <v>46142</v>
      </c>
      <c r="D52" s="149" t="s">
        <v>5</v>
      </c>
      <c r="E52" s="149" t="s">
        <v>2</v>
      </c>
      <c r="F52" s="149" t="s">
        <v>296</v>
      </c>
      <c r="G52" s="132">
        <v>103.8</v>
      </c>
      <c r="H52" s="133">
        <v>1309.8</v>
      </c>
      <c r="I52" s="149" t="str">
        <f t="shared" si="2"/>
        <v>OK</v>
      </c>
      <c r="J52" s="168" t="str">
        <f t="shared" si="3"/>
        <v/>
      </c>
    </row>
    <row r="53" spans="1:10" ht="24" customHeight="1">
      <c r="A53" s="161" t="s">
        <v>305</v>
      </c>
      <c r="B53" s="148">
        <v>45778</v>
      </c>
      <c r="C53" s="148">
        <v>46142</v>
      </c>
      <c r="D53" s="149" t="s">
        <v>5</v>
      </c>
      <c r="E53" s="149" t="s">
        <v>2</v>
      </c>
      <c r="F53" s="149" t="s">
        <v>296</v>
      </c>
      <c r="G53" s="132">
        <v>86.5</v>
      </c>
      <c r="H53" s="133">
        <v>1091.5</v>
      </c>
      <c r="I53" s="149" t="str">
        <f t="shared" si="2"/>
        <v>OK</v>
      </c>
      <c r="J53" s="168" t="str">
        <f t="shared" si="3"/>
        <v/>
      </c>
    </row>
    <row r="54" spans="1:10" ht="24" customHeight="1">
      <c r="A54" s="161" t="s">
        <v>305</v>
      </c>
      <c r="B54" s="148">
        <v>45778</v>
      </c>
      <c r="C54" s="148">
        <v>46142</v>
      </c>
      <c r="D54" s="149" t="s">
        <v>5</v>
      </c>
      <c r="E54" s="149" t="s">
        <v>2</v>
      </c>
      <c r="F54" s="149" t="s">
        <v>296</v>
      </c>
      <c r="G54" s="132">
        <v>69.2</v>
      </c>
      <c r="H54" s="133">
        <v>873.2</v>
      </c>
      <c r="I54" s="149" t="str">
        <f t="shared" si="2"/>
        <v>OK</v>
      </c>
      <c r="J54" s="168" t="str">
        <f t="shared" si="3"/>
        <v/>
      </c>
    </row>
    <row r="55" spans="1:10" ht="24" customHeight="1">
      <c r="A55" s="161" t="s">
        <v>305</v>
      </c>
      <c r="B55" s="148">
        <v>45778</v>
      </c>
      <c r="C55" s="148">
        <v>46142</v>
      </c>
      <c r="D55" s="149" t="s">
        <v>5</v>
      </c>
      <c r="E55" s="149" t="s">
        <v>2</v>
      </c>
      <c r="F55" s="149" t="s">
        <v>296</v>
      </c>
      <c r="G55" s="132">
        <v>51.9</v>
      </c>
      <c r="H55" s="133">
        <v>654.9</v>
      </c>
      <c r="I55" s="149" t="str">
        <f t="shared" si="2"/>
        <v>OK</v>
      </c>
      <c r="J55" s="168" t="str">
        <f t="shared" si="3"/>
        <v/>
      </c>
    </row>
    <row r="56" spans="1:10" ht="24" customHeight="1">
      <c r="A56" s="161" t="s">
        <v>305</v>
      </c>
      <c r="B56" s="148">
        <v>45778</v>
      </c>
      <c r="C56" s="148">
        <v>46142</v>
      </c>
      <c r="D56" s="149" t="s">
        <v>5</v>
      </c>
      <c r="E56" s="149" t="s">
        <v>2</v>
      </c>
      <c r="F56" s="149" t="s">
        <v>296</v>
      </c>
      <c r="G56" s="132">
        <v>47.58</v>
      </c>
      <c r="H56" s="133">
        <v>600.33000000000004</v>
      </c>
      <c r="I56" s="149" t="str">
        <f t="shared" si="2"/>
        <v>OK</v>
      </c>
      <c r="J56" s="168" t="str">
        <f t="shared" si="3"/>
        <v/>
      </c>
    </row>
    <row r="57" spans="1:10" ht="24" customHeight="1">
      <c r="A57" s="161" t="s">
        <v>305</v>
      </c>
      <c r="B57" s="148">
        <v>45778</v>
      </c>
      <c r="C57" s="148">
        <v>46142</v>
      </c>
      <c r="D57" s="149" t="s">
        <v>5</v>
      </c>
      <c r="E57" s="149" t="s">
        <v>2</v>
      </c>
      <c r="F57" s="149" t="s">
        <v>296</v>
      </c>
      <c r="G57" s="132">
        <v>43.25</v>
      </c>
      <c r="H57" s="133">
        <v>545.75</v>
      </c>
      <c r="I57" s="149" t="str">
        <f t="shared" si="2"/>
        <v>OK</v>
      </c>
      <c r="J57" s="168" t="str">
        <f t="shared" si="3"/>
        <v/>
      </c>
    </row>
    <row r="58" spans="1:10" ht="24" customHeight="1">
      <c r="A58" s="161" t="s">
        <v>305</v>
      </c>
      <c r="B58" s="148">
        <v>45778</v>
      </c>
      <c r="C58" s="148">
        <v>46142</v>
      </c>
      <c r="D58" s="149" t="s">
        <v>5</v>
      </c>
      <c r="E58" s="149" t="s">
        <v>2</v>
      </c>
      <c r="F58" s="149" t="s">
        <v>296</v>
      </c>
      <c r="G58" s="132">
        <v>34.6</v>
      </c>
      <c r="H58" s="133">
        <v>436.6</v>
      </c>
      <c r="I58" s="149" t="str">
        <f t="shared" si="2"/>
        <v>OK</v>
      </c>
      <c r="J58" s="168" t="str">
        <f t="shared" si="3"/>
        <v/>
      </c>
    </row>
    <row r="59" spans="1:10" ht="24" customHeight="1" thickBot="1">
      <c r="A59" s="161" t="s">
        <v>305</v>
      </c>
      <c r="B59" s="148">
        <v>45778</v>
      </c>
      <c r="C59" s="148">
        <v>46142</v>
      </c>
      <c r="D59" s="149" t="s">
        <v>5</v>
      </c>
      <c r="E59" s="149" t="s">
        <v>2</v>
      </c>
      <c r="F59" s="149" t="s">
        <v>296</v>
      </c>
      <c r="G59" s="132">
        <v>32.01</v>
      </c>
      <c r="H59" s="133">
        <v>403.86</v>
      </c>
      <c r="I59" s="149" t="str">
        <f t="shared" si="2"/>
        <v>OK</v>
      </c>
      <c r="J59" s="168" t="str">
        <f t="shared" si="3"/>
        <v/>
      </c>
    </row>
    <row r="60" spans="1:10" ht="24" customHeight="1">
      <c r="A60" s="163" t="s">
        <v>305</v>
      </c>
      <c r="B60" s="152">
        <v>45778</v>
      </c>
      <c r="C60" s="152">
        <v>46142</v>
      </c>
      <c r="D60" s="153" t="s">
        <v>303</v>
      </c>
      <c r="E60" s="153" t="s">
        <v>6</v>
      </c>
      <c r="F60" s="153" t="s">
        <v>293</v>
      </c>
      <c r="G60" s="136">
        <v>173</v>
      </c>
      <c r="H60" s="137">
        <v>2160</v>
      </c>
      <c r="I60" s="153" t="str">
        <f t="shared" si="2"/>
        <v>OK</v>
      </c>
      <c r="J60" s="170" t="str">
        <f t="shared" si="3"/>
        <v/>
      </c>
    </row>
    <row r="61" spans="1:10" ht="24" customHeight="1">
      <c r="A61" s="164" t="s">
        <v>305</v>
      </c>
      <c r="B61" s="154">
        <v>45778</v>
      </c>
      <c r="C61" s="154">
        <v>46142</v>
      </c>
      <c r="D61" s="155" t="s">
        <v>303</v>
      </c>
      <c r="E61" s="155" t="s">
        <v>6</v>
      </c>
      <c r="F61" s="155" t="s">
        <v>293</v>
      </c>
      <c r="G61" s="138">
        <v>151.38</v>
      </c>
      <c r="H61" s="139">
        <v>1890</v>
      </c>
      <c r="I61" s="155" t="str">
        <f t="shared" si="2"/>
        <v>OK</v>
      </c>
      <c r="J61" s="171" t="str">
        <f t="shared" si="3"/>
        <v/>
      </c>
    </row>
    <row r="62" spans="1:10" ht="24" customHeight="1">
      <c r="A62" s="164" t="s">
        <v>305</v>
      </c>
      <c r="B62" s="154">
        <v>45778</v>
      </c>
      <c r="C62" s="154">
        <v>46142</v>
      </c>
      <c r="D62" s="155" t="s">
        <v>303</v>
      </c>
      <c r="E62" s="155" t="s">
        <v>6</v>
      </c>
      <c r="F62" s="155" t="s">
        <v>293</v>
      </c>
      <c r="G62" s="138">
        <v>138.4</v>
      </c>
      <c r="H62" s="139">
        <v>1728</v>
      </c>
      <c r="I62" s="155" t="str">
        <f t="shared" si="2"/>
        <v>OK</v>
      </c>
      <c r="J62" s="171" t="str">
        <f t="shared" si="3"/>
        <v/>
      </c>
    </row>
    <row r="63" spans="1:10" ht="24" customHeight="1">
      <c r="A63" s="164" t="s">
        <v>305</v>
      </c>
      <c r="B63" s="154">
        <v>45778</v>
      </c>
      <c r="C63" s="154">
        <v>46142</v>
      </c>
      <c r="D63" s="155" t="s">
        <v>303</v>
      </c>
      <c r="E63" s="155" t="s">
        <v>6</v>
      </c>
      <c r="F63" s="155" t="s">
        <v>293</v>
      </c>
      <c r="G63" s="138">
        <v>129.75</v>
      </c>
      <c r="H63" s="139">
        <v>1620</v>
      </c>
      <c r="I63" s="155" t="str">
        <f t="shared" si="2"/>
        <v>OK</v>
      </c>
      <c r="J63" s="171" t="str">
        <f t="shared" si="3"/>
        <v/>
      </c>
    </row>
    <row r="64" spans="1:10" ht="24" customHeight="1">
      <c r="A64" s="164" t="s">
        <v>305</v>
      </c>
      <c r="B64" s="154">
        <v>45778</v>
      </c>
      <c r="C64" s="154">
        <v>46142</v>
      </c>
      <c r="D64" s="155" t="s">
        <v>303</v>
      </c>
      <c r="E64" s="155" t="s">
        <v>6</v>
      </c>
      <c r="F64" s="155" t="s">
        <v>293</v>
      </c>
      <c r="G64" s="138">
        <v>108.13</v>
      </c>
      <c r="H64" s="139">
        <v>1350</v>
      </c>
      <c r="I64" s="155" t="str">
        <f t="shared" si="2"/>
        <v>OK</v>
      </c>
      <c r="J64" s="171" t="str">
        <f t="shared" si="3"/>
        <v/>
      </c>
    </row>
    <row r="65" spans="1:10" ht="24" customHeight="1">
      <c r="A65" s="164" t="s">
        <v>305</v>
      </c>
      <c r="B65" s="154">
        <v>45778</v>
      </c>
      <c r="C65" s="154">
        <v>46142</v>
      </c>
      <c r="D65" s="155" t="s">
        <v>303</v>
      </c>
      <c r="E65" s="155" t="s">
        <v>6</v>
      </c>
      <c r="F65" s="155" t="s">
        <v>293</v>
      </c>
      <c r="G65" s="138">
        <v>103.8</v>
      </c>
      <c r="H65" s="139">
        <v>1296</v>
      </c>
      <c r="I65" s="155" t="str">
        <f t="shared" si="2"/>
        <v>OK</v>
      </c>
      <c r="J65" s="171" t="str">
        <f t="shared" si="3"/>
        <v/>
      </c>
    </row>
    <row r="66" spans="1:10" ht="24" customHeight="1">
      <c r="A66" s="164" t="s">
        <v>305</v>
      </c>
      <c r="B66" s="154">
        <v>45778</v>
      </c>
      <c r="C66" s="154">
        <v>46142</v>
      </c>
      <c r="D66" s="155" t="s">
        <v>303</v>
      </c>
      <c r="E66" s="155" t="s">
        <v>6</v>
      </c>
      <c r="F66" s="155" t="s">
        <v>293</v>
      </c>
      <c r="G66" s="138">
        <v>86.5</v>
      </c>
      <c r="H66" s="139">
        <v>1080</v>
      </c>
      <c r="I66" s="155" t="str">
        <f t="shared" si="2"/>
        <v>OK</v>
      </c>
      <c r="J66" s="171" t="str">
        <f t="shared" si="3"/>
        <v/>
      </c>
    </row>
    <row r="67" spans="1:10" ht="24" customHeight="1">
      <c r="A67" s="164" t="s">
        <v>305</v>
      </c>
      <c r="B67" s="154">
        <v>45778</v>
      </c>
      <c r="C67" s="154">
        <v>46142</v>
      </c>
      <c r="D67" s="155" t="s">
        <v>303</v>
      </c>
      <c r="E67" s="155" t="s">
        <v>6</v>
      </c>
      <c r="F67" s="155" t="s">
        <v>293</v>
      </c>
      <c r="G67" s="138">
        <v>69.2</v>
      </c>
      <c r="H67" s="139">
        <v>864</v>
      </c>
      <c r="I67" s="155" t="str">
        <f t="shared" si="2"/>
        <v>OK</v>
      </c>
      <c r="J67" s="171" t="str">
        <f t="shared" si="3"/>
        <v/>
      </c>
    </row>
    <row r="68" spans="1:10" ht="24" customHeight="1">
      <c r="A68" s="164" t="s">
        <v>305</v>
      </c>
      <c r="B68" s="154">
        <v>45778</v>
      </c>
      <c r="C68" s="154">
        <v>46142</v>
      </c>
      <c r="D68" s="155" t="s">
        <v>303</v>
      </c>
      <c r="E68" s="155" t="s">
        <v>6</v>
      </c>
      <c r="F68" s="155" t="s">
        <v>293</v>
      </c>
      <c r="G68" s="138">
        <v>51.9</v>
      </c>
      <c r="H68" s="139">
        <v>648</v>
      </c>
      <c r="I68" s="155" t="str">
        <f t="shared" si="2"/>
        <v>OK</v>
      </c>
      <c r="J68" s="171" t="str">
        <f t="shared" si="3"/>
        <v/>
      </c>
    </row>
    <row r="69" spans="1:10" ht="24" customHeight="1">
      <c r="A69" s="164" t="s">
        <v>305</v>
      </c>
      <c r="B69" s="154">
        <v>45778</v>
      </c>
      <c r="C69" s="154">
        <v>46142</v>
      </c>
      <c r="D69" s="155" t="s">
        <v>303</v>
      </c>
      <c r="E69" s="155" t="s">
        <v>6</v>
      </c>
      <c r="F69" s="155" t="s">
        <v>293</v>
      </c>
      <c r="G69" s="138">
        <v>47.58</v>
      </c>
      <c r="H69" s="139">
        <v>594</v>
      </c>
      <c r="I69" s="155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54">
        <v>45778</v>
      </c>
      <c r="C70" s="154">
        <v>46142</v>
      </c>
      <c r="D70" s="155" t="s">
        <v>303</v>
      </c>
      <c r="E70" s="155" t="s">
        <v>6</v>
      </c>
      <c r="F70" s="155" t="s">
        <v>293</v>
      </c>
      <c r="G70" s="138">
        <v>43.25</v>
      </c>
      <c r="H70" s="139">
        <v>540</v>
      </c>
      <c r="I70" s="155" t="str">
        <f t="shared" si="4"/>
        <v>OK</v>
      </c>
      <c r="J70" s="171" t="str">
        <f t="shared" si="5"/>
        <v/>
      </c>
    </row>
    <row r="71" spans="1:10" ht="24" customHeight="1">
      <c r="A71" s="164" t="s">
        <v>305</v>
      </c>
      <c r="B71" s="154">
        <v>45778</v>
      </c>
      <c r="C71" s="154">
        <v>46142</v>
      </c>
      <c r="D71" s="155" t="s">
        <v>303</v>
      </c>
      <c r="E71" s="155" t="s">
        <v>6</v>
      </c>
      <c r="F71" s="155" t="s">
        <v>293</v>
      </c>
      <c r="G71" s="138">
        <v>34.6</v>
      </c>
      <c r="H71" s="139">
        <v>432</v>
      </c>
      <c r="I71" s="155" t="str">
        <f t="shared" si="4"/>
        <v>OK</v>
      </c>
      <c r="J71" s="171" t="str">
        <f t="shared" si="5"/>
        <v/>
      </c>
    </row>
    <row r="72" spans="1:10" ht="24" customHeight="1" thickBot="1">
      <c r="A72" s="164" t="s">
        <v>305</v>
      </c>
      <c r="B72" s="154">
        <v>45778</v>
      </c>
      <c r="C72" s="154">
        <v>46142</v>
      </c>
      <c r="D72" s="155" t="s">
        <v>303</v>
      </c>
      <c r="E72" s="155" t="s">
        <v>6</v>
      </c>
      <c r="F72" s="155" t="s">
        <v>293</v>
      </c>
      <c r="G72" s="138">
        <v>32.01</v>
      </c>
      <c r="H72" s="139">
        <v>399.6</v>
      </c>
      <c r="I72" s="155" t="str">
        <f t="shared" si="4"/>
        <v>OK</v>
      </c>
      <c r="J72" s="171" t="str">
        <f t="shared" si="5"/>
        <v/>
      </c>
    </row>
    <row r="73" spans="1:10" ht="24" customHeight="1">
      <c r="A73" s="163" t="s">
        <v>305</v>
      </c>
      <c r="B73" s="152">
        <v>45778</v>
      </c>
      <c r="C73" s="152">
        <v>46142</v>
      </c>
      <c r="D73" s="153" t="s">
        <v>7</v>
      </c>
      <c r="E73" s="153" t="s">
        <v>6</v>
      </c>
      <c r="F73" s="153" t="s">
        <v>294</v>
      </c>
      <c r="G73" s="136">
        <v>173</v>
      </c>
      <c r="H73" s="137">
        <v>2160</v>
      </c>
      <c r="I73" s="153" t="str">
        <f t="shared" si="4"/>
        <v>OK</v>
      </c>
      <c r="J73" s="170" t="str">
        <f t="shared" si="5"/>
        <v/>
      </c>
    </row>
    <row r="74" spans="1:10" ht="24" customHeight="1">
      <c r="A74" s="164" t="s">
        <v>305</v>
      </c>
      <c r="B74" s="154">
        <v>45778</v>
      </c>
      <c r="C74" s="154">
        <v>46142</v>
      </c>
      <c r="D74" s="155" t="s">
        <v>7</v>
      </c>
      <c r="E74" s="155" t="s">
        <v>6</v>
      </c>
      <c r="F74" s="155" t="s">
        <v>294</v>
      </c>
      <c r="G74" s="138">
        <v>151.38</v>
      </c>
      <c r="H74" s="139">
        <v>1890</v>
      </c>
      <c r="I74" s="155" t="str">
        <f t="shared" si="4"/>
        <v>OK</v>
      </c>
      <c r="J74" s="171" t="str">
        <f t="shared" si="5"/>
        <v/>
      </c>
    </row>
    <row r="75" spans="1:10" ht="24" customHeight="1">
      <c r="A75" s="164" t="s">
        <v>305</v>
      </c>
      <c r="B75" s="154">
        <v>45778</v>
      </c>
      <c r="C75" s="154">
        <v>46142</v>
      </c>
      <c r="D75" s="155" t="s">
        <v>7</v>
      </c>
      <c r="E75" s="155" t="s">
        <v>6</v>
      </c>
      <c r="F75" s="155" t="s">
        <v>294</v>
      </c>
      <c r="G75" s="138">
        <v>138.4</v>
      </c>
      <c r="H75" s="139">
        <v>1728</v>
      </c>
      <c r="I75" s="155" t="str">
        <f t="shared" si="4"/>
        <v>OK</v>
      </c>
      <c r="J75" s="171" t="str">
        <f t="shared" si="5"/>
        <v/>
      </c>
    </row>
    <row r="76" spans="1:10" ht="24" customHeight="1">
      <c r="A76" s="164" t="s">
        <v>305</v>
      </c>
      <c r="B76" s="154">
        <v>45778</v>
      </c>
      <c r="C76" s="154">
        <v>46142</v>
      </c>
      <c r="D76" s="155" t="s">
        <v>7</v>
      </c>
      <c r="E76" s="155" t="s">
        <v>6</v>
      </c>
      <c r="F76" s="155" t="s">
        <v>294</v>
      </c>
      <c r="G76" s="138">
        <v>129.75</v>
      </c>
      <c r="H76" s="139">
        <v>1620</v>
      </c>
      <c r="I76" s="155" t="str">
        <f t="shared" si="4"/>
        <v>OK</v>
      </c>
      <c r="J76" s="171" t="str">
        <f t="shared" si="5"/>
        <v/>
      </c>
    </row>
    <row r="77" spans="1:10" ht="24" customHeight="1">
      <c r="A77" s="164" t="s">
        <v>305</v>
      </c>
      <c r="B77" s="154">
        <v>45778</v>
      </c>
      <c r="C77" s="154">
        <v>46142</v>
      </c>
      <c r="D77" s="155" t="s">
        <v>7</v>
      </c>
      <c r="E77" s="155" t="s">
        <v>6</v>
      </c>
      <c r="F77" s="155" t="s">
        <v>294</v>
      </c>
      <c r="G77" s="138">
        <v>108.13</v>
      </c>
      <c r="H77" s="139">
        <v>1350</v>
      </c>
      <c r="I77" s="155" t="str">
        <f t="shared" si="4"/>
        <v>OK</v>
      </c>
      <c r="J77" s="171" t="str">
        <f t="shared" si="5"/>
        <v/>
      </c>
    </row>
    <row r="78" spans="1:10" ht="24" customHeight="1">
      <c r="A78" s="164" t="s">
        <v>305</v>
      </c>
      <c r="B78" s="154">
        <v>45778</v>
      </c>
      <c r="C78" s="154">
        <v>46142</v>
      </c>
      <c r="D78" s="155" t="s">
        <v>7</v>
      </c>
      <c r="E78" s="155" t="s">
        <v>6</v>
      </c>
      <c r="F78" s="155" t="s">
        <v>294</v>
      </c>
      <c r="G78" s="138">
        <v>103.8</v>
      </c>
      <c r="H78" s="139">
        <v>1296</v>
      </c>
      <c r="I78" s="155" t="str">
        <f t="shared" si="4"/>
        <v>OK</v>
      </c>
      <c r="J78" s="171" t="str">
        <f t="shared" si="5"/>
        <v/>
      </c>
    </row>
    <row r="79" spans="1:10" ht="24" customHeight="1">
      <c r="A79" s="164" t="s">
        <v>305</v>
      </c>
      <c r="B79" s="154">
        <v>45778</v>
      </c>
      <c r="C79" s="154">
        <v>46142</v>
      </c>
      <c r="D79" s="155" t="s">
        <v>7</v>
      </c>
      <c r="E79" s="155" t="s">
        <v>6</v>
      </c>
      <c r="F79" s="155" t="s">
        <v>294</v>
      </c>
      <c r="G79" s="138">
        <v>86.5</v>
      </c>
      <c r="H79" s="139">
        <v>1080</v>
      </c>
      <c r="I79" s="155" t="str">
        <f t="shared" si="4"/>
        <v>OK</v>
      </c>
      <c r="J79" s="171" t="str">
        <f t="shared" si="5"/>
        <v/>
      </c>
    </row>
    <row r="80" spans="1:10" ht="24" customHeight="1">
      <c r="A80" s="164" t="s">
        <v>305</v>
      </c>
      <c r="B80" s="154">
        <v>45778</v>
      </c>
      <c r="C80" s="154">
        <v>46142</v>
      </c>
      <c r="D80" s="155" t="s">
        <v>7</v>
      </c>
      <c r="E80" s="155" t="s">
        <v>6</v>
      </c>
      <c r="F80" s="155" t="s">
        <v>294</v>
      </c>
      <c r="G80" s="138">
        <v>69.2</v>
      </c>
      <c r="H80" s="139">
        <v>864</v>
      </c>
      <c r="I80" s="155" t="str">
        <f t="shared" si="4"/>
        <v>OK</v>
      </c>
      <c r="J80" s="171" t="str">
        <f t="shared" si="5"/>
        <v/>
      </c>
    </row>
    <row r="81" spans="1:10" ht="24" customHeight="1">
      <c r="A81" s="164" t="s">
        <v>305</v>
      </c>
      <c r="B81" s="154">
        <v>45778</v>
      </c>
      <c r="C81" s="154">
        <v>46142</v>
      </c>
      <c r="D81" s="155" t="s">
        <v>7</v>
      </c>
      <c r="E81" s="155" t="s">
        <v>6</v>
      </c>
      <c r="F81" s="155" t="s">
        <v>294</v>
      </c>
      <c r="G81" s="138">
        <v>51.9</v>
      </c>
      <c r="H81" s="139">
        <v>648</v>
      </c>
      <c r="I81" s="155" t="str">
        <f t="shared" si="4"/>
        <v>OK</v>
      </c>
      <c r="J81" s="171" t="str">
        <f t="shared" si="5"/>
        <v/>
      </c>
    </row>
    <row r="82" spans="1:10" ht="24" customHeight="1">
      <c r="A82" s="164" t="s">
        <v>305</v>
      </c>
      <c r="B82" s="154">
        <v>45778</v>
      </c>
      <c r="C82" s="154">
        <v>46142</v>
      </c>
      <c r="D82" s="155" t="s">
        <v>7</v>
      </c>
      <c r="E82" s="155" t="s">
        <v>6</v>
      </c>
      <c r="F82" s="155" t="s">
        <v>294</v>
      </c>
      <c r="G82" s="138">
        <v>47.58</v>
      </c>
      <c r="H82" s="139">
        <v>594</v>
      </c>
      <c r="I82" s="155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54">
        <v>45778</v>
      </c>
      <c r="C83" s="154">
        <v>46142</v>
      </c>
      <c r="D83" s="155" t="s">
        <v>7</v>
      </c>
      <c r="E83" s="155" t="s">
        <v>6</v>
      </c>
      <c r="F83" s="155" t="s">
        <v>294</v>
      </c>
      <c r="G83" s="138">
        <v>43.25</v>
      </c>
      <c r="H83" s="139">
        <v>540</v>
      </c>
      <c r="I83" s="155" t="str">
        <f t="shared" si="4"/>
        <v>OK</v>
      </c>
      <c r="J83" s="171" t="str">
        <f t="shared" si="5"/>
        <v/>
      </c>
    </row>
    <row r="84" spans="1:10" ht="24" customHeight="1">
      <c r="A84" s="164" t="s">
        <v>305</v>
      </c>
      <c r="B84" s="154">
        <v>45778</v>
      </c>
      <c r="C84" s="154">
        <v>46142</v>
      </c>
      <c r="D84" s="155" t="s">
        <v>7</v>
      </c>
      <c r="E84" s="155" t="s">
        <v>6</v>
      </c>
      <c r="F84" s="155" t="s">
        <v>294</v>
      </c>
      <c r="G84" s="138">
        <v>34.6</v>
      </c>
      <c r="H84" s="139">
        <v>432</v>
      </c>
      <c r="I84" s="155" t="str">
        <f t="shared" si="4"/>
        <v>OK</v>
      </c>
      <c r="J84" s="171" t="str">
        <f t="shared" si="5"/>
        <v/>
      </c>
    </row>
    <row r="85" spans="1:10" ht="24" customHeight="1" thickBot="1">
      <c r="A85" s="164" t="s">
        <v>305</v>
      </c>
      <c r="B85" s="154">
        <v>45778</v>
      </c>
      <c r="C85" s="154">
        <v>46142</v>
      </c>
      <c r="D85" s="155" t="s">
        <v>7</v>
      </c>
      <c r="E85" s="155" t="s">
        <v>6</v>
      </c>
      <c r="F85" s="155" t="s">
        <v>294</v>
      </c>
      <c r="G85" s="138">
        <v>32.01</v>
      </c>
      <c r="H85" s="139">
        <v>399.6</v>
      </c>
      <c r="I85" s="155" t="str">
        <f t="shared" si="4"/>
        <v>OK</v>
      </c>
      <c r="J85" s="171" t="str">
        <f t="shared" si="5"/>
        <v/>
      </c>
    </row>
    <row r="86" spans="1:10" ht="24" customHeight="1">
      <c r="A86" s="163" t="s">
        <v>305</v>
      </c>
      <c r="B86" s="152">
        <v>45778</v>
      </c>
      <c r="C86" s="152">
        <v>46142</v>
      </c>
      <c r="D86" s="153" t="s">
        <v>8</v>
      </c>
      <c r="E86" s="153" t="s">
        <v>6</v>
      </c>
      <c r="F86" s="153" t="s">
        <v>295</v>
      </c>
      <c r="G86" s="136">
        <v>173</v>
      </c>
      <c r="H86" s="137">
        <v>2163</v>
      </c>
      <c r="I86" s="153" t="str">
        <f t="shared" si="4"/>
        <v>OK</v>
      </c>
      <c r="J86" s="170" t="str">
        <f t="shared" si="5"/>
        <v/>
      </c>
    </row>
    <row r="87" spans="1:10" ht="24" customHeight="1">
      <c r="A87" s="164" t="s">
        <v>305</v>
      </c>
      <c r="B87" s="154">
        <v>45778</v>
      </c>
      <c r="C87" s="154">
        <v>46142</v>
      </c>
      <c r="D87" s="155" t="s">
        <v>8</v>
      </c>
      <c r="E87" s="155" t="s">
        <v>6</v>
      </c>
      <c r="F87" s="155" t="s">
        <v>295</v>
      </c>
      <c r="G87" s="138">
        <v>151.38</v>
      </c>
      <c r="H87" s="139">
        <v>1892.63</v>
      </c>
      <c r="I87" s="155" t="str">
        <f t="shared" si="4"/>
        <v>OK</v>
      </c>
      <c r="J87" s="171" t="str">
        <f t="shared" si="5"/>
        <v/>
      </c>
    </row>
    <row r="88" spans="1:10" ht="24" customHeight="1">
      <c r="A88" s="164" t="s">
        <v>305</v>
      </c>
      <c r="B88" s="154">
        <v>45778</v>
      </c>
      <c r="C88" s="154">
        <v>46142</v>
      </c>
      <c r="D88" s="155" t="s">
        <v>8</v>
      </c>
      <c r="E88" s="155" t="s">
        <v>6</v>
      </c>
      <c r="F88" s="155" t="s">
        <v>295</v>
      </c>
      <c r="G88" s="138">
        <v>138.4</v>
      </c>
      <c r="H88" s="139">
        <v>1730.4</v>
      </c>
      <c r="I88" s="155" t="str">
        <f t="shared" si="4"/>
        <v>OK</v>
      </c>
      <c r="J88" s="171" t="str">
        <f t="shared" si="5"/>
        <v/>
      </c>
    </row>
    <row r="89" spans="1:10" ht="24" customHeight="1">
      <c r="A89" s="164" t="s">
        <v>305</v>
      </c>
      <c r="B89" s="154">
        <v>45778</v>
      </c>
      <c r="C89" s="154">
        <v>46142</v>
      </c>
      <c r="D89" s="155" t="s">
        <v>8</v>
      </c>
      <c r="E89" s="155" t="s">
        <v>6</v>
      </c>
      <c r="F89" s="155" t="s">
        <v>295</v>
      </c>
      <c r="G89" s="138">
        <v>129.75</v>
      </c>
      <c r="H89" s="139">
        <v>1622.25</v>
      </c>
      <c r="I89" s="155" t="str">
        <f t="shared" si="4"/>
        <v>OK</v>
      </c>
      <c r="J89" s="171" t="str">
        <f t="shared" si="5"/>
        <v/>
      </c>
    </row>
    <row r="90" spans="1:10" ht="24" customHeight="1">
      <c r="A90" s="164" t="s">
        <v>305</v>
      </c>
      <c r="B90" s="154">
        <v>45778</v>
      </c>
      <c r="C90" s="154">
        <v>46142</v>
      </c>
      <c r="D90" s="155" t="s">
        <v>8</v>
      </c>
      <c r="E90" s="155" t="s">
        <v>6</v>
      </c>
      <c r="F90" s="155" t="s">
        <v>295</v>
      </c>
      <c r="G90" s="138">
        <v>108.13</v>
      </c>
      <c r="H90" s="139">
        <v>1351.88</v>
      </c>
      <c r="I90" s="155" t="str">
        <f t="shared" si="4"/>
        <v>OK</v>
      </c>
      <c r="J90" s="171" t="str">
        <f t="shared" si="5"/>
        <v/>
      </c>
    </row>
    <row r="91" spans="1:10" ht="24" customHeight="1">
      <c r="A91" s="164" t="s">
        <v>305</v>
      </c>
      <c r="B91" s="154">
        <v>45778</v>
      </c>
      <c r="C91" s="154">
        <v>46142</v>
      </c>
      <c r="D91" s="155" t="s">
        <v>8</v>
      </c>
      <c r="E91" s="155" t="s">
        <v>6</v>
      </c>
      <c r="F91" s="155" t="s">
        <v>295</v>
      </c>
      <c r="G91" s="138">
        <v>103.8</v>
      </c>
      <c r="H91" s="139">
        <v>1297.8</v>
      </c>
      <c r="I91" s="155" t="str">
        <f t="shared" si="4"/>
        <v>OK</v>
      </c>
      <c r="J91" s="171" t="str">
        <f t="shared" si="5"/>
        <v/>
      </c>
    </row>
    <row r="92" spans="1:10" ht="24" customHeight="1">
      <c r="A92" s="164" t="s">
        <v>305</v>
      </c>
      <c r="B92" s="154">
        <v>45778</v>
      </c>
      <c r="C92" s="154">
        <v>46142</v>
      </c>
      <c r="D92" s="155" t="s">
        <v>8</v>
      </c>
      <c r="E92" s="155" t="s">
        <v>6</v>
      </c>
      <c r="F92" s="155" t="s">
        <v>295</v>
      </c>
      <c r="G92" s="138">
        <v>86.5</v>
      </c>
      <c r="H92" s="139">
        <v>1081.5</v>
      </c>
      <c r="I92" s="155" t="str">
        <f t="shared" si="4"/>
        <v>OK</v>
      </c>
      <c r="J92" s="171" t="str">
        <f t="shared" si="5"/>
        <v/>
      </c>
    </row>
    <row r="93" spans="1:10" ht="24" customHeight="1">
      <c r="A93" s="164" t="s">
        <v>305</v>
      </c>
      <c r="B93" s="154">
        <v>45778</v>
      </c>
      <c r="C93" s="154">
        <v>46142</v>
      </c>
      <c r="D93" s="155" t="s">
        <v>8</v>
      </c>
      <c r="E93" s="155" t="s">
        <v>6</v>
      </c>
      <c r="F93" s="155" t="s">
        <v>295</v>
      </c>
      <c r="G93" s="138">
        <v>69.2</v>
      </c>
      <c r="H93" s="139">
        <v>865.2</v>
      </c>
      <c r="I93" s="155" t="str">
        <f t="shared" si="4"/>
        <v>OK</v>
      </c>
      <c r="J93" s="171" t="str">
        <f t="shared" si="5"/>
        <v/>
      </c>
    </row>
    <row r="94" spans="1:10" ht="24" customHeight="1">
      <c r="A94" s="164" t="s">
        <v>305</v>
      </c>
      <c r="B94" s="154">
        <v>45778</v>
      </c>
      <c r="C94" s="154">
        <v>46142</v>
      </c>
      <c r="D94" s="155" t="s">
        <v>8</v>
      </c>
      <c r="E94" s="155" t="s">
        <v>6</v>
      </c>
      <c r="F94" s="155" t="s">
        <v>295</v>
      </c>
      <c r="G94" s="138">
        <v>51.9</v>
      </c>
      <c r="H94" s="139">
        <v>648.9</v>
      </c>
      <c r="I94" s="155" t="str">
        <f t="shared" si="4"/>
        <v>OK</v>
      </c>
      <c r="J94" s="171" t="str">
        <f t="shared" si="5"/>
        <v/>
      </c>
    </row>
    <row r="95" spans="1:10" ht="24" customHeight="1">
      <c r="A95" s="164" t="s">
        <v>305</v>
      </c>
      <c r="B95" s="154">
        <v>45778</v>
      </c>
      <c r="C95" s="154">
        <v>46142</v>
      </c>
      <c r="D95" s="155" t="s">
        <v>8</v>
      </c>
      <c r="E95" s="155" t="s">
        <v>6</v>
      </c>
      <c r="F95" s="155" t="s">
        <v>295</v>
      </c>
      <c r="G95" s="138">
        <v>47.58</v>
      </c>
      <c r="H95" s="139">
        <v>594.83000000000004</v>
      </c>
      <c r="I95" s="155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54">
        <v>45778</v>
      </c>
      <c r="C96" s="154">
        <v>46142</v>
      </c>
      <c r="D96" s="155" t="s">
        <v>8</v>
      </c>
      <c r="E96" s="155" t="s">
        <v>6</v>
      </c>
      <c r="F96" s="155" t="s">
        <v>295</v>
      </c>
      <c r="G96" s="138">
        <v>43.25</v>
      </c>
      <c r="H96" s="139">
        <v>540.75</v>
      </c>
      <c r="I96" s="155" t="str">
        <f t="shared" si="4"/>
        <v>OK</v>
      </c>
      <c r="J96" s="171" t="str">
        <f t="shared" si="5"/>
        <v/>
      </c>
    </row>
    <row r="97" spans="1:10" ht="24" customHeight="1">
      <c r="A97" s="164" t="s">
        <v>305</v>
      </c>
      <c r="B97" s="154">
        <v>45778</v>
      </c>
      <c r="C97" s="154">
        <v>46142</v>
      </c>
      <c r="D97" s="155" t="s">
        <v>8</v>
      </c>
      <c r="E97" s="155" t="s">
        <v>6</v>
      </c>
      <c r="F97" s="155" t="s">
        <v>295</v>
      </c>
      <c r="G97" s="138">
        <v>34.6</v>
      </c>
      <c r="H97" s="139">
        <v>432.6</v>
      </c>
      <c r="I97" s="155" t="str">
        <f t="shared" si="4"/>
        <v>OK</v>
      </c>
      <c r="J97" s="171" t="str">
        <f t="shared" si="5"/>
        <v/>
      </c>
    </row>
    <row r="98" spans="1:10" ht="24" customHeight="1" thickBot="1">
      <c r="A98" s="164" t="s">
        <v>305</v>
      </c>
      <c r="B98" s="154">
        <v>45778</v>
      </c>
      <c r="C98" s="154">
        <v>46142</v>
      </c>
      <c r="D98" s="155" t="s">
        <v>8</v>
      </c>
      <c r="E98" s="155" t="s">
        <v>6</v>
      </c>
      <c r="F98" s="155" t="s">
        <v>295</v>
      </c>
      <c r="G98" s="138">
        <v>32.01</v>
      </c>
      <c r="H98" s="139">
        <v>400.16</v>
      </c>
      <c r="I98" s="155" t="str">
        <f t="shared" si="4"/>
        <v>OK</v>
      </c>
      <c r="J98" s="171" t="str">
        <f t="shared" si="5"/>
        <v/>
      </c>
    </row>
    <row r="99" spans="1:10" ht="24" customHeight="1">
      <c r="A99" s="163" t="s">
        <v>305</v>
      </c>
      <c r="B99" s="152">
        <v>45778</v>
      </c>
      <c r="C99" s="152">
        <v>46142</v>
      </c>
      <c r="D99" s="153" t="s">
        <v>9</v>
      </c>
      <c r="E99" s="153" t="s">
        <v>6</v>
      </c>
      <c r="F99" s="153" t="s">
        <v>296</v>
      </c>
      <c r="G99" s="136">
        <v>173</v>
      </c>
      <c r="H99" s="137">
        <v>2225</v>
      </c>
      <c r="I99" s="153" t="str">
        <f t="shared" si="4"/>
        <v>OK</v>
      </c>
      <c r="J99" s="170" t="str">
        <f t="shared" si="5"/>
        <v/>
      </c>
    </row>
    <row r="100" spans="1:10" ht="24" customHeight="1">
      <c r="A100" s="164" t="s">
        <v>305</v>
      </c>
      <c r="B100" s="154">
        <v>45778</v>
      </c>
      <c r="C100" s="154">
        <v>46142</v>
      </c>
      <c r="D100" s="155" t="s">
        <v>9</v>
      </c>
      <c r="E100" s="155" t="s">
        <v>6</v>
      </c>
      <c r="F100" s="155" t="s">
        <v>296</v>
      </c>
      <c r="G100" s="138">
        <v>151.38</v>
      </c>
      <c r="H100" s="139">
        <v>1946.88</v>
      </c>
      <c r="I100" s="155" t="str">
        <f t="shared" si="4"/>
        <v>OK</v>
      </c>
      <c r="J100" s="171" t="str">
        <f t="shared" si="5"/>
        <v/>
      </c>
    </row>
    <row r="101" spans="1:10" ht="24" customHeight="1">
      <c r="A101" s="164" t="s">
        <v>305</v>
      </c>
      <c r="B101" s="154">
        <v>45778</v>
      </c>
      <c r="C101" s="154">
        <v>46142</v>
      </c>
      <c r="D101" s="155" t="s">
        <v>9</v>
      </c>
      <c r="E101" s="155" t="s">
        <v>6</v>
      </c>
      <c r="F101" s="155" t="s">
        <v>296</v>
      </c>
      <c r="G101" s="138">
        <v>138.4</v>
      </c>
      <c r="H101" s="139">
        <v>1780</v>
      </c>
      <c r="I101" s="155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4" t="s">
        <v>305</v>
      </c>
      <c r="B102" s="154">
        <v>45778</v>
      </c>
      <c r="C102" s="154">
        <v>46142</v>
      </c>
      <c r="D102" s="155" t="s">
        <v>9</v>
      </c>
      <c r="E102" s="155" t="s">
        <v>6</v>
      </c>
      <c r="F102" s="155" t="s">
        <v>296</v>
      </c>
      <c r="G102" s="138">
        <v>129.75</v>
      </c>
      <c r="H102" s="139">
        <v>1668.75</v>
      </c>
      <c r="I102" s="155" t="str">
        <f t="shared" si="6"/>
        <v>OK</v>
      </c>
      <c r="J102" s="171" t="str">
        <f t="shared" si="7"/>
        <v/>
      </c>
    </row>
    <row r="103" spans="1:10" ht="24" customHeight="1">
      <c r="A103" s="164" t="s">
        <v>305</v>
      </c>
      <c r="B103" s="154">
        <v>45778</v>
      </c>
      <c r="C103" s="154">
        <v>46142</v>
      </c>
      <c r="D103" s="155" t="s">
        <v>9</v>
      </c>
      <c r="E103" s="155" t="s">
        <v>6</v>
      </c>
      <c r="F103" s="155" t="s">
        <v>296</v>
      </c>
      <c r="G103" s="138">
        <v>108.13</v>
      </c>
      <c r="H103" s="139">
        <v>1390.63</v>
      </c>
      <c r="I103" s="155" t="str">
        <f t="shared" si="6"/>
        <v>OK</v>
      </c>
      <c r="J103" s="171" t="str">
        <f t="shared" si="7"/>
        <v/>
      </c>
    </row>
    <row r="104" spans="1:10" ht="24" customHeight="1">
      <c r="A104" s="164" t="s">
        <v>305</v>
      </c>
      <c r="B104" s="154">
        <v>45778</v>
      </c>
      <c r="C104" s="154">
        <v>46142</v>
      </c>
      <c r="D104" s="155" t="s">
        <v>9</v>
      </c>
      <c r="E104" s="155" t="s">
        <v>6</v>
      </c>
      <c r="F104" s="155" t="s">
        <v>296</v>
      </c>
      <c r="G104" s="138">
        <v>103.8</v>
      </c>
      <c r="H104" s="139">
        <v>1335</v>
      </c>
      <c r="I104" s="155" t="str">
        <f t="shared" si="6"/>
        <v>OK</v>
      </c>
      <c r="J104" s="171" t="str">
        <f t="shared" si="7"/>
        <v/>
      </c>
    </row>
    <row r="105" spans="1:10" ht="24" customHeight="1">
      <c r="A105" s="164" t="s">
        <v>305</v>
      </c>
      <c r="B105" s="154">
        <v>45778</v>
      </c>
      <c r="C105" s="154">
        <v>46142</v>
      </c>
      <c r="D105" s="155" t="s">
        <v>9</v>
      </c>
      <c r="E105" s="155" t="s">
        <v>6</v>
      </c>
      <c r="F105" s="155" t="s">
        <v>296</v>
      </c>
      <c r="G105" s="138">
        <v>86.5</v>
      </c>
      <c r="H105" s="139">
        <v>1112.5</v>
      </c>
      <c r="I105" s="155" t="str">
        <f t="shared" si="6"/>
        <v>OK</v>
      </c>
      <c r="J105" s="171" t="str">
        <f t="shared" si="7"/>
        <v/>
      </c>
    </row>
    <row r="106" spans="1:10" ht="24" customHeight="1">
      <c r="A106" s="164" t="s">
        <v>305</v>
      </c>
      <c r="B106" s="154">
        <v>45778</v>
      </c>
      <c r="C106" s="154">
        <v>46142</v>
      </c>
      <c r="D106" s="155" t="s">
        <v>9</v>
      </c>
      <c r="E106" s="155" t="s">
        <v>6</v>
      </c>
      <c r="F106" s="155" t="s">
        <v>296</v>
      </c>
      <c r="G106" s="138">
        <v>69.2</v>
      </c>
      <c r="H106" s="139">
        <v>890</v>
      </c>
      <c r="I106" s="155" t="str">
        <f t="shared" si="6"/>
        <v>OK</v>
      </c>
      <c r="J106" s="171" t="str">
        <f t="shared" si="7"/>
        <v/>
      </c>
    </row>
    <row r="107" spans="1:10" ht="24" customHeight="1">
      <c r="A107" s="164" t="s">
        <v>305</v>
      </c>
      <c r="B107" s="154">
        <v>45778</v>
      </c>
      <c r="C107" s="154">
        <v>46142</v>
      </c>
      <c r="D107" s="155" t="s">
        <v>9</v>
      </c>
      <c r="E107" s="155" t="s">
        <v>6</v>
      </c>
      <c r="F107" s="155" t="s">
        <v>296</v>
      </c>
      <c r="G107" s="138">
        <v>51.9</v>
      </c>
      <c r="H107" s="139">
        <v>667.5</v>
      </c>
      <c r="I107" s="155" t="str">
        <f t="shared" si="6"/>
        <v>OK</v>
      </c>
      <c r="J107" s="171" t="str">
        <f t="shared" si="7"/>
        <v/>
      </c>
    </row>
    <row r="108" spans="1:10" ht="24" customHeight="1">
      <c r="A108" s="164" t="s">
        <v>305</v>
      </c>
      <c r="B108" s="154">
        <v>45778</v>
      </c>
      <c r="C108" s="154">
        <v>46142</v>
      </c>
      <c r="D108" s="155" t="s">
        <v>9</v>
      </c>
      <c r="E108" s="155" t="s">
        <v>6</v>
      </c>
      <c r="F108" s="155" t="s">
        <v>296</v>
      </c>
      <c r="G108" s="138">
        <v>47.58</v>
      </c>
      <c r="H108" s="139">
        <v>611.88</v>
      </c>
      <c r="I108" s="155" t="str">
        <f t="shared" si="6"/>
        <v>OK</v>
      </c>
      <c r="J108" s="171" t="str">
        <f t="shared" si="7"/>
        <v/>
      </c>
    </row>
    <row r="109" spans="1:10" ht="24" customHeight="1">
      <c r="A109" s="164" t="s">
        <v>305</v>
      </c>
      <c r="B109" s="154">
        <v>45778</v>
      </c>
      <c r="C109" s="154">
        <v>46142</v>
      </c>
      <c r="D109" s="155" t="s">
        <v>9</v>
      </c>
      <c r="E109" s="155" t="s">
        <v>6</v>
      </c>
      <c r="F109" s="155" t="s">
        <v>296</v>
      </c>
      <c r="G109" s="138">
        <v>43.25</v>
      </c>
      <c r="H109" s="139">
        <v>556.25</v>
      </c>
      <c r="I109" s="155" t="str">
        <f t="shared" si="6"/>
        <v>OK</v>
      </c>
      <c r="J109" s="171" t="str">
        <f t="shared" si="7"/>
        <v/>
      </c>
    </row>
    <row r="110" spans="1:10" ht="24" customHeight="1">
      <c r="A110" s="164" t="s">
        <v>305</v>
      </c>
      <c r="B110" s="154">
        <v>45778</v>
      </c>
      <c r="C110" s="154">
        <v>46142</v>
      </c>
      <c r="D110" s="155" t="s">
        <v>9</v>
      </c>
      <c r="E110" s="155" t="s">
        <v>6</v>
      </c>
      <c r="F110" s="155" t="s">
        <v>296</v>
      </c>
      <c r="G110" s="138">
        <v>34.6</v>
      </c>
      <c r="H110" s="139">
        <v>445</v>
      </c>
      <c r="I110" s="155" t="str">
        <f t="shared" si="6"/>
        <v>OK</v>
      </c>
      <c r="J110" s="171" t="str">
        <f t="shared" si="7"/>
        <v/>
      </c>
    </row>
    <row r="111" spans="1:10" ht="24" customHeight="1" thickBot="1">
      <c r="A111" s="164" t="s">
        <v>305</v>
      </c>
      <c r="B111" s="154">
        <v>45778</v>
      </c>
      <c r="C111" s="154">
        <v>46142</v>
      </c>
      <c r="D111" s="155" t="s">
        <v>9</v>
      </c>
      <c r="E111" s="155" t="s">
        <v>6</v>
      </c>
      <c r="F111" s="155" t="s">
        <v>296</v>
      </c>
      <c r="G111" s="138">
        <v>32.01</v>
      </c>
      <c r="H111" s="139">
        <v>411.63</v>
      </c>
      <c r="I111" s="155" t="str">
        <f t="shared" si="6"/>
        <v>OK</v>
      </c>
      <c r="J111" s="171" t="str">
        <f t="shared" si="7"/>
        <v/>
      </c>
    </row>
    <row r="112" spans="1:10" ht="24" customHeight="1">
      <c r="A112" s="165" t="s">
        <v>305</v>
      </c>
      <c r="B112" s="156">
        <v>45778</v>
      </c>
      <c r="C112" s="156">
        <v>46142</v>
      </c>
      <c r="D112" s="157" t="s">
        <v>304</v>
      </c>
      <c r="E112" s="157" t="s">
        <v>10</v>
      </c>
      <c r="F112" s="157" t="s">
        <v>293</v>
      </c>
      <c r="G112" s="140">
        <v>173</v>
      </c>
      <c r="H112" s="141">
        <v>2300</v>
      </c>
      <c r="I112" s="157" t="str">
        <f t="shared" si="6"/>
        <v>OK</v>
      </c>
      <c r="J112" s="172" t="str">
        <f t="shared" si="7"/>
        <v/>
      </c>
    </row>
    <row r="113" spans="1:10" ht="24" customHeight="1">
      <c r="A113" s="166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42">
        <v>151.38</v>
      </c>
      <c r="H113" s="143">
        <v>2012.5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6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42">
        <v>138.4</v>
      </c>
      <c r="H114" s="143">
        <v>1840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6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42">
        <v>129.75</v>
      </c>
      <c r="H115" s="143">
        <v>1725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6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42">
        <v>108.13</v>
      </c>
      <c r="H116" s="143">
        <v>1437.5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6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42">
        <v>103.8</v>
      </c>
      <c r="H117" s="143">
        <v>1380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6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42">
        <v>86.5</v>
      </c>
      <c r="H118" s="143">
        <v>1150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6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42">
        <v>69.2</v>
      </c>
      <c r="H119" s="143">
        <v>920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6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42">
        <v>51.9</v>
      </c>
      <c r="H120" s="143">
        <v>690</v>
      </c>
      <c r="I120" s="159" t="str">
        <f t="shared" si="6"/>
        <v>OK</v>
      </c>
      <c r="J120" s="173" t="str">
        <f t="shared" si="7"/>
        <v/>
      </c>
    </row>
    <row r="121" spans="1:10" ht="24" customHeight="1">
      <c r="A121" s="166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42">
        <v>47.58</v>
      </c>
      <c r="H121" s="143">
        <v>632.5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8">
        <v>45778</v>
      </c>
      <c r="C122" s="158">
        <v>46142</v>
      </c>
      <c r="D122" s="159" t="s">
        <v>304</v>
      </c>
      <c r="E122" s="159" t="s">
        <v>10</v>
      </c>
      <c r="F122" s="159" t="s">
        <v>293</v>
      </c>
      <c r="G122" s="142">
        <v>43.25</v>
      </c>
      <c r="H122" s="143">
        <v>575</v>
      </c>
      <c r="I122" s="159" t="str">
        <f t="shared" si="6"/>
        <v>OK</v>
      </c>
      <c r="J122" s="173" t="str">
        <f t="shared" si="7"/>
        <v/>
      </c>
    </row>
    <row r="123" spans="1:10" ht="24" customHeight="1">
      <c r="A123" s="166" t="s">
        <v>305</v>
      </c>
      <c r="B123" s="158">
        <v>45778</v>
      </c>
      <c r="C123" s="158">
        <v>46142</v>
      </c>
      <c r="D123" s="159" t="s">
        <v>304</v>
      </c>
      <c r="E123" s="159" t="s">
        <v>10</v>
      </c>
      <c r="F123" s="159" t="s">
        <v>293</v>
      </c>
      <c r="G123" s="142">
        <v>34.6</v>
      </c>
      <c r="H123" s="143">
        <v>460</v>
      </c>
      <c r="I123" s="159" t="str">
        <f t="shared" si="6"/>
        <v>OK</v>
      </c>
      <c r="J123" s="173" t="str">
        <f t="shared" si="7"/>
        <v/>
      </c>
    </row>
    <row r="124" spans="1:10" ht="24" customHeight="1" thickBot="1">
      <c r="A124" s="166" t="s">
        <v>305</v>
      </c>
      <c r="B124" s="158">
        <v>45778</v>
      </c>
      <c r="C124" s="158">
        <v>46142</v>
      </c>
      <c r="D124" s="159" t="s">
        <v>304</v>
      </c>
      <c r="E124" s="159" t="s">
        <v>10</v>
      </c>
      <c r="F124" s="159" t="s">
        <v>293</v>
      </c>
      <c r="G124" s="142">
        <v>32.01</v>
      </c>
      <c r="H124" s="143">
        <v>425.5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5" t="s">
        <v>305</v>
      </c>
      <c r="B125" s="156">
        <v>45778</v>
      </c>
      <c r="C125" s="156">
        <v>46142</v>
      </c>
      <c r="D125" s="157" t="s">
        <v>11</v>
      </c>
      <c r="E125" s="157" t="s">
        <v>10</v>
      </c>
      <c r="F125" s="157" t="s">
        <v>294</v>
      </c>
      <c r="G125" s="140">
        <v>173</v>
      </c>
      <c r="H125" s="141">
        <v>2300</v>
      </c>
      <c r="I125" s="157" t="str">
        <f t="shared" si="6"/>
        <v>OK</v>
      </c>
      <c r="J125" s="172" t="str">
        <f t="shared" si="7"/>
        <v/>
      </c>
    </row>
    <row r="126" spans="1:10" ht="24" customHeight="1">
      <c r="A126" s="166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42">
        <v>151.38</v>
      </c>
      <c r="H126" s="143">
        <v>2012.5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6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42">
        <v>138.4</v>
      </c>
      <c r="H127" s="143">
        <v>1840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6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42">
        <v>129.75</v>
      </c>
      <c r="H128" s="143">
        <v>1725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6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42">
        <v>108.13</v>
      </c>
      <c r="H129" s="143">
        <v>1437.5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6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42">
        <v>103.8</v>
      </c>
      <c r="H130" s="143">
        <v>1380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6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42">
        <v>86.5</v>
      </c>
      <c r="H131" s="143">
        <v>1150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6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42">
        <v>69.2</v>
      </c>
      <c r="H132" s="143">
        <v>920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6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42">
        <v>51.9</v>
      </c>
      <c r="H133" s="143">
        <v>690</v>
      </c>
      <c r="I133" s="159" t="str">
        <f t="shared" ref="I133:I163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3" si="9">IF($G133="","",IF(COUNTIFS($A:$A,$A133,$D:$D,$D133,$G:$G,$G133)&gt;1,"Doppelte Monatsstunden",""))</f>
        <v/>
      </c>
    </row>
    <row r="134" spans="1:10" ht="24" customHeight="1">
      <c r="A134" s="166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42">
        <v>47.58</v>
      </c>
      <c r="H134" s="143">
        <v>632.5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8">
        <v>45778</v>
      </c>
      <c r="C135" s="158">
        <v>46142</v>
      </c>
      <c r="D135" s="159" t="s">
        <v>11</v>
      </c>
      <c r="E135" s="159" t="s">
        <v>10</v>
      </c>
      <c r="F135" s="159" t="s">
        <v>294</v>
      </c>
      <c r="G135" s="142">
        <v>43.25</v>
      </c>
      <c r="H135" s="143">
        <v>575</v>
      </c>
      <c r="I135" s="159" t="str">
        <f t="shared" si="8"/>
        <v>OK</v>
      </c>
      <c r="J135" s="173" t="str">
        <f t="shared" si="9"/>
        <v/>
      </c>
    </row>
    <row r="136" spans="1:10" ht="24" customHeight="1">
      <c r="A136" s="166" t="s">
        <v>305</v>
      </c>
      <c r="B136" s="158">
        <v>45778</v>
      </c>
      <c r="C136" s="158">
        <v>46142</v>
      </c>
      <c r="D136" s="159" t="s">
        <v>11</v>
      </c>
      <c r="E136" s="159" t="s">
        <v>10</v>
      </c>
      <c r="F136" s="159" t="s">
        <v>294</v>
      </c>
      <c r="G136" s="142">
        <v>34.6</v>
      </c>
      <c r="H136" s="143">
        <v>460</v>
      </c>
      <c r="I136" s="159" t="str">
        <f t="shared" si="8"/>
        <v>OK</v>
      </c>
      <c r="J136" s="173" t="str">
        <f t="shared" si="9"/>
        <v/>
      </c>
    </row>
    <row r="137" spans="1:10" ht="24" customHeight="1" thickBot="1">
      <c r="A137" s="166" t="s">
        <v>305</v>
      </c>
      <c r="B137" s="158">
        <v>45778</v>
      </c>
      <c r="C137" s="158">
        <v>46142</v>
      </c>
      <c r="D137" s="159" t="s">
        <v>11</v>
      </c>
      <c r="E137" s="159" t="s">
        <v>10</v>
      </c>
      <c r="F137" s="159" t="s">
        <v>294</v>
      </c>
      <c r="G137" s="142">
        <v>32.01</v>
      </c>
      <c r="H137" s="143">
        <v>425.5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5" t="s">
        <v>305</v>
      </c>
      <c r="B138" s="156">
        <v>45778</v>
      </c>
      <c r="C138" s="156">
        <v>46142</v>
      </c>
      <c r="D138" s="157" t="s">
        <v>12</v>
      </c>
      <c r="E138" s="157" t="s">
        <v>10</v>
      </c>
      <c r="F138" s="157" t="s">
        <v>295</v>
      </c>
      <c r="G138" s="140">
        <v>173</v>
      </c>
      <c r="H138" s="141">
        <v>2300</v>
      </c>
      <c r="I138" s="157" t="str">
        <f t="shared" si="8"/>
        <v>OK</v>
      </c>
      <c r="J138" s="172" t="str">
        <f t="shared" si="9"/>
        <v/>
      </c>
    </row>
    <row r="139" spans="1:10" ht="24" customHeight="1">
      <c r="A139" s="166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42">
        <v>151.38</v>
      </c>
      <c r="H139" s="143">
        <v>2012.5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6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42">
        <v>138.4</v>
      </c>
      <c r="H140" s="143">
        <v>1840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6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42">
        <v>129.75</v>
      </c>
      <c r="H141" s="143">
        <v>1725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6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42">
        <v>108.13</v>
      </c>
      <c r="H142" s="143">
        <v>1437.5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6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42">
        <v>103.8</v>
      </c>
      <c r="H143" s="143">
        <v>1380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6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42">
        <v>86.5</v>
      </c>
      <c r="H144" s="143">
        <v>1150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6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42">
        <v>69.2</v>
      </c>
      <c r="H145" s="143">
        <v>920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6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42">
        <v>51.9</v>
      </c>
      <c r="H146" s="143">
        <v>690</v>
      </c>
      <c r="I146" s="159" t="str">
        <f t="shared" si="8"/>
        <v>OK</v>
      </c>
      <c r="J146" s="173" t="str">
        <f t="shared" si="9"/>
        <v/>
      </c>
    </row>
    <row r="147" spans="1:10" ht="24" customHeight="1">
      <c r="A147" s="166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42">
        <v>47.58</v>
      </c>
      <c r="H147" s="143">
        <v>632.5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8">
        <v>45778</v>
      </c>
      <c r="C148" s="158">
        <v>46142</v>
      </c>
      <c r="D148" s="159" t="s">
        <v>12</v>
      </c>
      <c r="E148" s="159" t="s">
        <v>10</v>
      </c>
      <c r="F148" s="159" t="s">
        <v>295</v>
      </c>
      <c r="G148" s="142">
        <v>43.25</v>
      </c>
      <c r="H148" s="143">
        <v>575</v>
      </c>
      <c r="I148" s="159" t="str">
        <f t="shared" si="8"/>
        <v>OK</v>
      </c>
      <c r="J148" s="173" t="str">
        <f t="shared" si="9"/>
        <v/>
      </c>
    </row>
    <row r="149" spans="1:10" ht="24" customHeight="1">
      <c r="A149" s="166" t="s">
        <v>305</v>
      </c>
      <c r="B149" s="158">
        <v>45778</v>
      </c>
      <c r="C149" s="158">
        <v>46142</v>
      </c>
      <c r="D149" s="159" t="s">
        <v>12</v>
      </c>
      <c r="E149" s="159" t="s">
        <v>10</v>
      </c>
      <c r="F149" s="159" t="s">
        <v>295</v>
      </c>
      <c r="G149" s="142">
        <v>34.6</v>
      </c>
      <c r="H149" s="143">
        <v>460</v>
      </c>
      <c r="I149" s="159" t="str">
        <f t="shared" si="8"/>
        <v>OK</v>
      </c>
      <c r="J149" s="173" t="str">
        <f t="shared" si="9"/>
        <v/>
      </c>
    </row>
    <row r="150" spans="1:10" ht="24" customHeight="1" thickBot="1">
      <c r="A150" s="166" t="s">
        <v>305</v>
      </c>
      <c r="B150" s="158">
        <v>45778</v>
      </c>
      <c r="C150" s="158">
        <v>46142</v>
      </c>
      <c r="D150" s="159" t="s">
        <v>12</v>
      </c>
      <c r="E150" s="159" t="s">
        <v>10</v>
      </c>
      <c r="F150" s="159" t="s">
        <v>295</v>
      </c>
      <c r="G150" s="142">
        <v>32.01</v>
      </c>
      <c r="H150" s="143">
        <v>425.5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5" t="s">
        <v>305</v>
      </c>
      <c r="B151" s="156">
        <v>45778</v>
      </c>
      <c r="C151" s="156">
        <v>46142</v>
      </c>
      <c r="D151" s="157" t="s">
        <v>13</v>
      </c>
      <c r="E151" s="157" t="s">
        <v>10</v>
      </c>
      <c r="F151" s="157" t="s">
        <v>296</v>
      </c>
      <c r="G151" s="140">
        <v>173</v>
      </c>
      <c r="H151" s="141">
        <v>2328</v>
      </c>
      <c r="I151" s="157" t="str">
        <f t="shared" si="8"/>
        <v>OK</v>
      </c>
      <c r="J151" s="172" t="str">
        <f t="shared" si="9"/>
        <v/>
      </c>
    </row>
    <row r="152" spans="1:10" ht="24" customHeight="1">
      <c r="A152" s="166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42">
        <v>151.38</v>
      </c>
      <c r="H152" s="143">
        <v>2037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6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42">
        <v>138.4</v>
      </c>
      <c r="H153" s="143">
        <v>1862.4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6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42">
        <v>129.75</v>
      </c>
      <c r="H154" s="143">
        <v>1476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6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42">
        <v>108.13</v>
      </c>
      <c r="H155" s="143">
        <v>1455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6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42">
        <v>103.8</v>
      </c>
      <c r="H156" s="143">
        <v>1396.8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6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42">
        <v>86.5</v>
      </c>
      <c r="H157" s="143">
        <v>1164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6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42">
        <v>69.2</v>
      </c>
      <c r="H158" s="143">
        <v>931.2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6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42">
        <v>51.9</v>
      </c>
      <c r="H159" s="143">
        <v>698.4</v>
      </c>
      <c r="I159" s="159" t="str">
        <f t="shared" si="8"/>
        <v>OK</v>
      </c>
      <c r="J159" s="173" t="str">
        <f t="shared" si="9"/>
        <v/>
      </c>
    </row>
    <row r="160" spans="1:10" ht="24" customHeight="1">
      <c r="A160" s="166" t="s">
        <v>305</v>
      </c>
      <c r="B160" s="158">
        <v>45778</v>
      </c>
      <c r="C160" s="158">
        <v>46142</v>
      </c>
      <c r="D160" s="159" t="s">
        <v>13</v>
      </c>
      <c r="E160" s="159" t="s">
        <v>10</v>
      </c>
      <c r="F160" s="159" t="s">
        <v>296</v>
      </c>
      <c r="G160" s="142">
        <v>47.58</v>
      </c>
      <c r="H160" s="143">
        <v>640</v>
      </c>
      <c r="I160" s="159" t="str">
        <f t="shared" si="8"/>
        <v>OK</v>
      </c>
      <c r="J160" s="173" t="str">
        <f t="shared" si="9"/>
        <v/>
      </c>
    </row>
    <row r="161" spans="1:10" ht="24" customHeight="1">
      <c r="A161" s="166" t="s">
        <v>305</v>
      </c>
      <c r="B161" s="158">
        <v>45778</v>
      </c>
      <c r="C161" s="158">
        <v>46142</v>
      </c>
      <c r="D161" s="159" t="s">
        <v>13</v>
      </c>
      <c r="E161" s="159" t="s">
        <v>10</v>
      </c>
      <c r="F161" s="159" t="s">
        <v>296</v>
      </c>
      <c r="G161" s="142">
        <v>43.25</v>
      </c>
      <c r="H161" s="143">
        <v>582</v>
      </c>
      <c r="I161" s="159" t="str">
        <f t="shared" si="8"/>
        <v>OK</v>
      </c>
      <c r="J161" s="173" t="str">
        <f t="shared" si="9"/>
        <v/>
      </c>
    </row>
    <row r="162" spans="1:10" ht="24" customHeight="1">
      <c r="A162" s="166" t="s">
        <v>305</v>
      </c>
      <c r="B162" s="158">
        <v>45778</v>
      </c>
      <c r="C162" s="158">
        <v>46142</v>
      </c>
      <c r="D162" s="159" t="s">
        <v>13</v>
      </c>
      <c r="E162" s="159" t="s">
        <v>10</v>
      </c>
      <c r="F162" s="159" t="s">
        <v>296</v>
      </c>
      <c r="G162" s="142">
        <v>34.6</v>
      </c>
      <c r="H162" s="143">
        <v>465.6</v>
      </c>
      <c r="I162" s="159" t="str">
        <f t="shared" si="8"/>
        <v>OK</v>
      </c>
      <c r="J162" s="173" t="str">
        <f t="shared" si="9"/>
        <v/>
      </c>
    </row>
    <row r="163" spans="1:10" ht="24" customHeight="1" thickBot="1">
      <c r="A163" s="174" t="s">
        <v>305</v>
      </c>
      <c r="B163" s="175">
        <v>45778</v>
      </c>
      <c r="C163" s="175">
        <v>46142</v>
      </c>
      <c r="D163" s="176" t="s">
        <v>13</v>
      </c>
      <c r="E163" s="176" t="s">
        <v>10</v>
      </c>
      <c r="F163" s="176" t="s">
        <v>296</v>
      </c>
      <c r="G163" s="144">
        <v>32.01</v>
      </c>
      <c r="H163" s="145">
        <v>430.68</v>
      </c>
      <c r="I163" s="176" t="str">
        <f t="shared" si="8"/>
        <v>OK</v>
      </c>
      <c r="J163" s="177" t="str">
        <f t="shared" si="9"/>
        <v/>
      </c>
    </row>
  </sheetData>
  <sheetProtection algorithmName="SHA-512" hashValue="WN/Cbx0RL0k2+S7VptGPSTPALIJFY1v4dIY/FRpky6i6CaTY5jcK+F+8SCQ8ViEUn7wRRrZXkaaYHR+woTbLaA==" saltValue="6C5rFBl2sHa8sf5UtlNZcQ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81"/>
      <c r="C1" s="180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</row>
    <row r="2" spans="2:15" ht="17.25" customHeight="1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</row>
    <row r="3" spans="2:15" ht="18" customHeight="1">
      <c r="B3" s="212" t="s">
        <v>14</v>
      </c>
      <c r="C3" s="212"/>
      <c r="D3" s="212"/>
      <c r="E3" s="212"/>
      <c r="F3" s="212"/>
      <c r="H3" s="209" t="s">
        <v>15</v>
      </c>
      <c r="I3" s="209"/>
      <c r="K3" s="211" t="s">
        <v>16</v>
      </c>
      <c r="L3" s="211"/>
      <c r="N3" s="209" t="s">
        <v>17</v>
      </c>
      <c r="O3" s="209"/>
    </row>
    <row r="4" spans="2:15" ht="15" customHeight="1">
      <c r="B4" s="212"/>
      <c r="C4" s="212"/>
      <c r="D4" s="212"/>
      <c r="E4" s="212"/>
      <c r="F4" s="212"/>
      <c r="H4" s="209"/>
      <c r="I4" s="209"/>
      <c r="K4" s="211"/>
      <c r="L4" s="211"/>
      <c r="N4" s="209"/>
      <c r="O4" s="20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10" t="s">
        <v>22</v>
      </c>
      <c r="I5" s="210"/>
      <c r="K5" s="210" t="s">
        <v>22</v>
      </c>
      <c r="L5" s="210"/>
      <c r="N5" s="210" t="s">
        <v>23</v>
      </c>
      <c r="O5" s="21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208" t="s">
        <v>37</v>
      </c>
      <c r="C19" s="208"/>
      <c r="D19" s="208"/>
      <c r="E19" s="208"/>
      <c r="F19" s="208"/>
      <c r="H19" s="209" t="s">
        <v>38</v>
      </c>
      <c r="I19" s="209"/>
      <c r="K19" s="211" t="s">
        <v>39</v>
      </c>
      <c r="L19" s="211"/>
      <c r="N19" s="178"/>
      <c r="O19" s="178"/>
      <c r="P19" s="178"/>
      <c r="Q19" s="178"/>
      <c r="R19" s="178"/>
      <c r="S19" s="178"/>
      <c r="T19" s="178"/>
      <c r="U19" s="178"/>
    </row>
    <row r="20" spans="2:21">
      <c r="B20" s="208"/>
      <c r="C20" s="208"/>
      <c r="D20" s="208"/>
      <c r="E20" s="208"/>
      <c r="F20" s="208"/>
      <c r="H20" s="209"/>
      <c r="I20" s="209"/>
      <c r="K20" s="211"/>
      <c r="L20" s="211"/>
      <c r="N20" s="178"/>
      <c r="O20" s="178"/>
      <c r="P20" s="178"/>
      <c r="Q20" s="178"/>
      <c r="R20" s="178"/>
      <c r="S20" s="178"/>
      <c r="T20" s="178"/>
      <c r="U20" s="178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10" t="s">
        <v>22</v>
      </c>
      <c r="I21" s="210"/>
      <c r="K21" s="210" t="s">
        <v>22</v>
      </c>
      <c r="L21" s="210"/>
      <c r="N21" s="178"/>
      <c r="O21" s="178"/>
      <c r="P21" s="178"/>
      <c r="Q21" s="178"/>
      <c r="R21" s="178"/>
      <c r="S21" s="178"/>
      <c r="T21" s="178"/>
      <c r="U21" s="178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78"/>
      <c r="O22" s="178"/>
      <c r="P22" s="178"/>
      <c r="Q22" s="178"/>
      <c r="R22" s="178"/>
      <c r="S22" s="178"/>
      <c r="T22" s="178"/>
      <c r="U22" s="178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78"/>
      <c r="O23" s="178"/>
      <c r="P23" s="178"/>
      <c r="Q23" s="178"/>
      <c r="R23" s="178"/>
      <c r="S23" s="178"/>
      <c r="T23" s="178"/>
      <c r="U23" s="178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78"/>
      <c r="O24" s="178"/>
      <c r="P24" s="178"/>
      <c r="Q24" s="178"/>
      <c r="R24" s="178"/>
      <c r="S24" s="178"/>
      <c r="T24" s="178"/>
      <c r="U24" s="178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78"/>
      <c r="O25" s="178"/>
      <c r="P25" s="178"/>
      <c r="Q25" s="178"/>
      <c r="R25" s="178"/>
      <c r="S25" s="178"/>
      <c r="T25" s="178"/>
      <c r="U25" s="178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78"/>
      <c r="O26" s="178"/>
      <c r="P26" s="178"/>
      <c r="Q26" s="178"/>
      <c r="R26" s="178"/>
      <c r="S26" s="178"/>
      <c r="T26" s="178"/>
      <c r="U26" s="178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78"/>
      <c r="O27" s="178"/>
      <c r="P27" s="178"/>
      <c r="Q27" s="178"/>
      <c r="R27" s="178"/>
      <c r="S27" s="178"/>
      <c r="T27" s="178"/>
      <c r="U27" s="178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78"/>
      <c r="O28" s="178"/>
      <c r="P28" s="178"/>
      <c r="Q28" s="178"/>
      <c r="R28" s="178"/>
      <c r="S28" s="178"/>
      <c r="T28" s="178"/>
      <c r="U28" s="178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78"/>
      <c r="O29" s="178"/>
      <c r="P29" s="178"/>
      <c r="Q29" s="178"/>
      <c r="R29" s="178"/>
      <c r="S29" s="178"/>
      <c r="T29" s="178"/>
      <c r="U29" s="178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78"/>
      <c r="O30" s="178"/>
      <c r="P30" s="178"/>
      <c r="Q30" s="178"/>
      <c r="R30" s="178"/>
      <c r="S30" s="178"/>
      <c r="T30" s="178"/>
      <c r="U30" s="178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78"/>
      <c r="O31" s="178"/>
      <c r="P31" s="178"/>
      <c r="Q31" s="178"/>
      <c r="R31" s="178"/>
      <c r="S31" s="178"/>
      <c r="T31" s="178"/>
      <c r="U31" s="178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78"/>
      <c r="O32" s="178"/>
      <c r="P32" s="178"/>
      <c r="Q32" s="178"/>
      <c r="R32" s="178"/>
      <c r="S32" s="178"/>
      <c r="T32" s="178"/>
      <c r="U32" s="178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78"/>
      <c r="O33" s="178"/>
      <c r="P33" s="178"/>
      <c r="Q33" s="178"/>
      <c r="R33" s="178"/>
      <c r="S33" s="178"/>
      <c r="T33" s="178"/>
      <c r="U33" s="178"/>
    </row>
    <row r="34" spans="2:21">
      <c r="N34" s="178"/>
      <c r="O34" s="178"/>
      <c r="P34" s="178"/>
      <c r="Q34" s="178"/>
      <c r="R34" s="178"/>
      <c r="S34" s="178"/>
      <c r="T34" s="178"/>
      <c r="U34" s="178"/>
    </row>
    <row r="35" spans="2:21" ht="14.5" customHeight="1">
      <c r="B35" s="182" t="s">
        <v>353</v>
      </c>
      <c r="C35" s="16">
        <v>2026</v>
      </c>
      <c r="D35" s="57"/>
      <c r="E35" s="57"/>
      <c r="N35" s="178"/>
      <c r="O35" s="178"/>
      <c r="P35" s="178"/>
      <c r="Q35" s="178"/>
      <c r="R35" s="178"/>
      <c r="S35" s="178"/>
      <c r="T35" s="178"/>
      <c r="U35" s="178"/>
    </row>
    <row r="36" spans="2:21">
      <c r="B36" s="57"/>
      <c r="C36" s="57"/>
      <c r="D36" s="57"/>
      <c r="N36" s="178"/>
      <c r="O36" s="178"/>
      <c r="P36" s="178"/>
      <c r="Q36" s="178"/>
      <c r="R36" s="178"/>
      <c r="S36" s="178"/>
      <c r="T36" s="178"/>
      <c r="U36" s="178"/>
    </row>
    <row r="37" spans="2:21" ht="16" hidden="1">
      <c r="B37" s="108" t="s">
        <v>194</v>
      </c>
      <c r="C37" s="108" t="s">
        <v>198</v>
      </c>
      <c r="N37" s="178"/>
      <c r="O37" s="178"/>
      <c r="P37" s="178"/>
      <c r="Q37" s="178"/>
      <c r="R37" s="178"/>
      <c r="S37" s="178"/>
      <c r="T37" s="178"/>
      <c r="U37" s="178"/>
    </row>
    <row r="38" spans="2:21" ht="17" hidden="1">
      <c r="B38" s="183" t="s">
        <v>199</v>
      </c>
      <c r="C38" s="106">
        <v>0</v>
      </c>
      <c r="N38" s="178"/>
      <c r="O38" s="178"/>
      <c r="P38" s="178"/>
      <c r="Q38" s="178"/>
      <c r="R38" s="178"/>
      <c r="S38" s="178"/>
      <c r="T38" s="178"/>
      <c r="U38" s="178"/>
    </row>
    <row r="39" spans="2:21" ht="17" hidden="1">
      <c r="B39" s="183" t="s">
        <v>200</v>
      </c>
      <c r="C39" s="106">
        <v>0</v>
      </c>
      <c r="N39" s="178"/>
      <c r="O39" s="178"/>
      <c r="P39" s="178"/>
      <c r="Q39" s="178"/>
      <c r="R39" s="178"/>
      <c r="S39" s="178"/>
      <c r="T39" s="178"/>
      <c r="U39" s="178"/>
    </row>
    <row r="40" spans="2:21" ht="17" hidden="1">
      <c r="B40" s="183" t="s">
        <v>196</v>
      </c>
      <c r="C40" s="106">
        <v>0</v>
      </c>
      <c r="N40" s="178"/>
      <c r="O40" s="178"/>
      <c r="P40" s="178"/>
      <c r="Q40" s="178"/>
      <c r="R40" s="178"/>
      <c r="S40" s="178"/>
      <c r="T40" s="178"/>
      <c r="U40" s="178"/>
    </row>
    <row r="41" spans="2:21" ht="17" hidden="1">
      <c r="B41" s="183" t="s">
        <v>201</v>
      </c>
      <c r="C41" s="106">
        <v>0</v>
      </c>
      <c r="N41" s="178"/>
      <c r="O41" s="178"/>
      <c r="P41" s="178"/>
      <c r="Q41" s="178"/>
      <c r="R41" s="178"/>
      <c r="S41" s="178"/>
      <c r="T41" s="178"/>
      <c r="U41" s="178"/>
    </row>
    <row r="42" spans="2:21" ht="17" hidden="1">
      <c r="B42" s="183" t="s">
        <v>202</v>
      </c>
      <c r="C42" s="106">
        <v>0.35</v>
      </c>
      <c r="N42" s="178"/>
      <c r="O42" s="178"/>
      <c r="P42" s="178"/>
      <c r="Q42" s="178"/>
      <c r="R42" s="178"/>
      <c r="S42" s="178"/>
      <c r="T42" s="178"/>
      <c r="U42" s="178"/>
    </row>
    <row r="43" spans="2:21" ht="17" hidden="1">
      <c r="B43" s="183" t="s">
        <v>203</v>
      </c>
      <c r="C43" s="106">
        <v>0.35</v>
      </c>
    </row>
    <row r="44" spans="2:21" ht="34" hidden="1">
      <c r="B44" s="183" t="s">
        <v>197</v>
      </c>
      <c r="C44" s="106">
        <v>0.5</v>
      </c>
    </row>
    <row r="45" spans="2:21" ht="34" hidden="1">
      <c r="B45" s="183" t="s">
        <v>204</v>
      </c>
      <c r="C45" s="106">
        <v>0.6</v>
      </c>
    </row>
    <row r="46" spans="2:21" ht="34" hidden="1">
      <c r="B46" s="183" t="s">
        <v>195</v>
      </c>
      <c r="C46" s="106">
        <v>0.75</v>
      </c>
    </row>
    <row r="47" spans="2:21" ht="34" hidden="1">
      <c r="B47" s="183" t="s">
        <v>205</v>
      </c>
      <c r="C47" s="106">
        <v>1</v>
      </c>
    </row>
    <row r="48" spans="2:21" ht="34" hidden="1">
      <c r="B48" s="183" t="s">
        <v>206</v>
      </c>
      <c r="C48" s="106">
        <v>1.1000000000000001</v>
      </c>
    </row>
    <row r="49" spans="2:3" ht="17" hidden="1">
      <c r="B49" s="183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hIJIKRxP2NV1cPAhqr8+DthtC3m2CALdF1TblzooRvYsBPRVOlSOG7HPugM3VoS6pPg66+amTbo8DTZIzCtMBQ==" saltValue="6npSnPNT9doC41Ly+KcsNQ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14" t="s">
        <v>395</v>
      </c>
      <c r="B1" s="215"/>
      <c r="C1" s="215"/>
      <c r="D1" s="215"/>
    </row>
    <row r="2" spans="1:4">
      <c r="A2" s="181" t="s">
        <v>364</v>
      </c>
      <c r="B2" s="181" t="s">
        <v>365</v>
      </c>
    </row>
    <row r="3" spans="1:4" ht="36" customHeight="1">
      <c r="A3" s="213" t="s">
        <v>396</v>
      </c>
      <c r="B3" s="213"/>
      <c r="C3" s="213"/>
      <c r="D3" s="213"/>
    </row>
    <row r="4" spans="1:4">
      <c r="A4" s="197" t="s">
        <v>222</v>
      </c>
      <c r="B4" s="197" t="s">
        <v>397</v>
      </c>
      <c r="C4" s="197" t="s">
        <v>398</v>
      </c>
      <c r="D4" s="197" t="s">
        <v>399</v>
      </c>
    </row>
    <row r="5" spans="1:4" ht="32">
      <c r="A5" s="197" t="s">
        <v>400</v>
      </c>
      <c r="B5" s="198" t="s">
        <v>401</v>
      </c>
      <c r="C5" s="199" t="s">
        <v>402</v>
      </c>
      <c r="D5" s="199" t="s">
        <v>403</v>
      </c>
    </row>
    <row r="6" spans="1:4" ht="32">
      <c r="A6" s="197" t="s">
        <v>400</v>
      </c>
      <c r="B6" s="198" t="s">
        <v>404</v>
      </c>
      <c r="C6" s="199" t="s">
        <v>405</v>
      </c>
      <c r="D6" s="199" t="s">
        <v>406</v>
      </c>
    </row>
    <row r="7" spans="1:4" ht="28" customHeight="1">
      <c r="A7" s="197" t="s">
        <v>400</v>
      </c>
      <c r="B7" s="198" t="s">
        <v>407</v>
      </c>
      <c r="C7" s="199" t="s">
        <v>408</v>
      </c>
      <c r="D7" s="199" t="s">
        <v>409</v>
      </c>
    </row>
    <row r="8" spans="1:4" ht="32">
      <c r="A8" s="197" t="s">
        <v>410</v>
      </c>
      <c r="B8" s="198" t="s">
        <v>411</v>
      </c>
      <c r="C8" s="199" t="s">
        <v>412</v>
      </c>
      <c r="D8" s="199" t="s">
        <v>413</v>
      </c>
    </row>
    <row r="9" spans="1:4" ht="28" customHeight="1">
      <c r="A9" s="197" t="s">
        <v>414</v>
      </c>
      <c r="B9" s="198" t="s">
        <v>415</v>
      </c>
      <c r="C9" s="199" t="s">
        <v>416</v>
      </c>
      <c r="D9" s="199" t="s">
        <v>417</v>
      </c>
    </row>
    <row r="10" spans="1:4" ht="32">
      <c r="A10" s="197" t="s">
        <v>414</v>
      </c>
      <c r="B10" s="198" t="s">
        <v>418</v>
      </c>
      <c r="C10" s="199" t="s">
        <v>419</v>
      </c>
      <c r="D10" s="199" t="s">
        <v>420</v>
      </c>
    </row>
    <row r="11" spans="1:4" ht="28" customHeight="1">
      <c r="A11" s="197" t="s">
        <v>414</v>
      </c>
      <c r="B11" s="198" t="s">
        <v>421</v>
      </c>
      <c r="C11" s="199" t="s">
        <v>422</v>
      </c>
      <c r="D11" s="199" t="s">
        <v>417</v>
      </c>
    </row>
    <row r="12" spans="1:4" ht="28" customHeight="1">
      <c r="A12" s="197" t="s">
        <v>414</v>
      </c>
      <c r="B12" s="198" t="s">
        <v>423</v>
      </c>
      <c r="C12" s="199" t="s">
        <v>424</v>
      </c>
      <c r="D12" s="199" t="s">
        <v>425</v>
      </c>
    </row>
    <row r="13" spans="1:4" ht="32">
      <c r="A13" s="197" t="s">
        <v>426</v>
      </c>
      <c r="B13" s="198" t="s">
        <v>427</v>
      </c>
      <c r="C13" s="199" t="s">
        <v>428</v>
      </c>
      <c r="D13" s="199" t="s">
        <v>429</v>
      </c>
    </row>
    <row r="14" spans="1:4" ht="28" customHeight="1">
      <c r="A14" s="197" t="s">
        <v>426</v>
      </c>
      <c r="B14" s="198" t="s">
        <v>430</v>
      </c>
      <c r="C14" s="199" t="s">
        <v>431</v>
      </c>
      <c r="D14" s="199" t="s">
        <v>429</v>
      </c>
    </row>
    <row r="15" spans="1:4" ht="32">
      <c r="A15" s="197" t="s">
        <v>426</v>
      </c>
      <c r="B15" s="198" t="s">
        <v>432</v>
      </c>
      <c r="C15" s="199" t="s">
        <v>433</v>
      </c>
      <c r="D15" s="199" t="s">
        <v>434</v>
      </c>
    </row>
    <row r="16" spans="1:4" ht="28" customHeight="1">
      <c r="A16" s="197" t="s">
        <v>435</v>
      </c>
      <c r="B16" s="198" t="s">
        <v>436</v>
      </c>
      <c r="C16" s="199" t="s">
        <v>437</v>
      </c>
      <c r="D16" s="199" t="s">
        <v>438</v>
      </c>
    </row>
    <row r="17" spans="1:4" ht="28" customHeight="1">
      <c r="A17" s="197" t="s">
        <v>435</v>
      </c>
      <c r="B17" s="198" t="s">
        <v>439</v>
      </c>
      <c r="C17" s="199" t="s">
        <v>440</v>
      </c>
      <c r="D17" s="199" t="s">
        <v>441</v>
      </c>
    </row>
    <row r="18" spans="1:4" ht="28" customHeight="1">
      <c r="A18" s="197" t="s">
        <v>442</v>
      </c>
      <c r="B18" s="198" t="s">
        <v>443</v>
      </c>
      <c r="C18" s="199" t="s">
        <v>444</v>
      </c>
      <c r="D18" s="199" t="s">
        <v>445</v>
      </c>
    </row>
    <row r="19" spans="1:4" ht="32">
      <c r="A19" s="197" t="s">
        <v>446</v>
      </c>
      <c r="B19" s="198" t="s">
        <v>447</v>
      </c>
      <c r="C19" s="199" t="s">
        <v>448</v>
      </c>
      <c r="D19" s="199" t="s">
        <v>449</v>
      </c>
    </row>
    <row r="20" spans="1:4" ht="28" customHeight="1">
      <c r="A20" s="197" t="s">
        <v>446</v>
      </c>
      <c r="B20" s="198" t="s">
        <v>450</v>
      </c>
      <c r="C20" s="199" t="s">
        <v>451</v>
      </c>
      <c r="D20" s="199" t="s">
        <v>452</v>
      </c>
    </row>
    <row r="21" spans="1:4" ht="28" customHeight="1">
      <c r="A21" s="197" t="s">
        <v>453</v>
      </c>
      <c r="B21" s="198" t="s">
        <v>454</v>
      </c>
      <c r="C21" s="199" t="s">
        <v>455</v>
      </c>
      <c r="D21" s="199" t="s">
        <v>456</v>
      </c>
    </row>
    <row r="22" spans="1:4" ht="32">
      <c r="A22" s="197" t="s">
        <v>457</v>
      </c>
      <c r="B22" s="198" t="s">
        <v>458</v>
      </c>
      <c r="C22" s="199" t="s">
        <v>459</v>
      </c>
      <c r="D22" s="199" t="s">
        <v>460</v>
      </c>
    </row>
  </sheetData>
  <sheetProtection algorithmName="SHA-512" hashValue="AqXeI2CiummRmGdGHFw7PqNS5bwdfXAFSaIUz8cphOMYMAMipEqh+mPKP3XuBeplJmrnFeuJLdq6KpYhs6WWXw==" saltValue="QsqQ+VcO7BDohUs8Q/9S6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46023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7494.8</v>
      </c>
      <c r="R8" s="248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EINSTELLUNG!L22</f>
        <v>1</v>
      </c>
      <c r="R9" s="248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EINSTELLUNG!I22</f>
        <v>1</v>
      </c>
      <c r="R10" s="248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</v>
      </c>
      <c r="R11" s="248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/>
      <c r="R12" s="282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7491.8</v>
      </c>
      <c r="R13" s="248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EINSTELLUNG!L6</f>
        <v>1</v>
      </c>
      <c r="R14" s="248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7490.8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6"/>
      <c r="P18" s="257"/>
      <c r="Q18" s="258"/>
      <c r="R18" s="258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6"/>
      <c r="P19" s="257"/>
      <c r="Q19" s="258"/>
      <c r="R19" s="258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6"/>
      <c r="P20" s="257"/>
      <c r="Q20" s="258"/>
      <c r="R20" s="258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6" t="s">
        <v>320</v>
      </c>
      <c r="P21" s="257"/>
      <c r="Q21" s="258">
        <v>5000</v>
      </c>
      <c r="R21" s="258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6"/>
      <c r="P22" s="257"/>
      <c r="Q22" s="258"/>
      <c r="R22" s="258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6"/>
      <c r="P23" s="257"/>
      <c r="Q23" s="258"/>
      <c r="R23" s="258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6"/>
      <c r="P24" s="257"/>
      <c r="Q24" s="258"/>
      <c r="R24" s="258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4"/>
      <c r="P25" s="265"/>
      <c r="Q25" s="253"/>
      <c r="R25" s="253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EINSTELLUNG!O6</f>
        <v>1</v>
      </c>
      <c r="R29" s="252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1.9607843137254902E-2</v>
      </c>
      <c r="R31" s="271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274" t="s">
        <v>96</v>
      </c>
      <c r="R33" s="275"/>
      <c r="S33" s="278" t="s">
        <v>97</v>
      </c>
      <c r="T33" s="279"/>
      <c r="U33" s="278" t="s">
        <v>98</v>
      </c>
      <c r="V33" s="279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276"/>
      <c r="R34" s="277"/>
      <c r="S34" s="280"/>
      <c r="T34" s="281"/>
      <c r="U34" s="280"/>
      <c r="V34" s="281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EINSTELLUNG!C6</f>
        <v>1</v>
      </c>
      <c r="R35" s="244"/>
      <c r="S35" s="244">
        <f>EINSTELLUNG!C22</f>
        <v>1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EINSTELLUNG!D6</f>
        <v>1</v>
      </c>
      <c r="R36" s="244"/>
      <c r="S36" s="244" cm="1">
        <f t="array" ref="S36">SumMergedCells(Q17:R29)</f>
        <v>5001</v>
      </c>
      <c r="T36" s="244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5001</v>
      </c>
      <c r="T37" s="284"/>
      <c r="U37" s="285">
        <f t="shared" si="2"/>
        <v>5000</v>
      </c>
      <c r="V37" s="285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EINSTELLUNG!F6</f>
        <v>1</v>
      </c>
      <c r="R38" s="286"/>
      <c r="S38" s="286">
        <f>EINSTELLUNG!F22</f>
        <v>1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1.3347927066926506E-4</v>
      </c>
      <c r="R40" s="244"/>
      <c r="S40" s="244">
        <f>IF(Q13=0, 0, S35/Q13)</f>
        <v>1.3347927066926506E-4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1.3347927066926506E-4</v>
      </c>
      <c r="R41" s="286"/>
      <c r="S41" s="286">
        <f>IF(Q13=0, 0, S38/Q13)</f>
        <v>1.3347927066926506E-4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18"/>
      <c r="L114" s="218"/>
      <c r="M114" s="218"/>
      <c r="N114" s="58"/>
    </row>
    <row r="115" spans="11:14" ht="16" customHeight="1">
      <c r="K115" s="218"/>
      <c r="L115" s="218"/>
      <c r="M115" s="218"/>
      <c r="N115" s="58"/>
    </row>
    <row r="116" spans="11:14" ht="16" customHeight="1">
      <c r="K116" s="219"/>
      <c r="L116" s="219"/>
      <c r="M116" s="43"/>
      <c r="N116" s="43"/>
    </row>
    <row r="117" spans="11:14" ht="16" customHeight="1">
      <c r="K117" s="219"/>
      <c r="L117" s="219"/>
      <c r="M117" s="43"/>
      <c r="N117" s="43"/>
    </row>
    <row r="118" spans="11:14" ht="16" customHeight="1">
      <c r="K118" s="220"/>
      <c r="L118" s="220"/>
      <c r="M118" s="44"/>
      <c r="N118" s="44"/>
    </row>
    <row r="119" spans="11:14" ht="16" customHeight="1">
      <c r="K119" s="221"/>
      <c r="L119" s="221"/>
      <c r="M119" s="45"/>
      <c r="N119" s="45"/>
    </row>
    <row r="120" spans="11:14" ht="16" customHeight="1">
      <c r="K120" s="219"/>
      <c r="L120" s="219"/>
      <c r="M120" s="43"/>
      <c r="N120" s="43"/>
    </row>
    <row r="121" spans="11:14" ht="16" customHeight="1">
      <c r="K121" s="219"/>
      <c r="L121" s="219"/>
      <c r="M121" s="43"/>
      <c r="N121" s="43"/>
    </row>
    <row r="122" spans="11:14" ht="16" customHeight="1">
      <c r="K122" s="221"/>
      <c r="L122" s="221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JeJOjVO11fK/KfWVuAQ9Fa8raHrRzchZ/BPUEIVbBxs1NobG0hniGqSxT2t6/2soyfr16r//3mE2419f1d+YBQ==" saltValue="t+dyiA8I5PJQYjcZ8NlnPQ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JFLHo/mqXR2S5eNV8rO9U3Y+7bJ8MRWwzVoL6D9F465oOqF/hDYx5YckzGeMlwAWBoBjXVnH9MPrB3nGcSlJsA==" saltValue="rJTfagVOhnj9vVjyqUiPS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46054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12" t="str">
        <f>IF(Q5&lt;0, "Schlecht! Zu wenig Urlaub abgebaut.", IF(Q5&gt;0, "Gut! Mehr Urlaub abgebaut als aufgebaut.", ""))</f>
        <v>Schlecht! Zu wenig Urlaub abgebaut.</v>
      </c>
      <c r="P6" s="312"/>
      <c r="Q6" s="312"/>
      <c r="R6" s="312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08" t="s">
        <v>58</v>
      </c>
      <c r="P8" s="246"/>
      <c r="Q8" s="309">
        <f>SUM(H3:H82)</f>
        <v>8643.5099999999984</v>
      </c>
      <c r="R8" s="310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08" t="s">
        <v>60</v>
      </c>
      <c r="P9" s="246"/>
      <c r="Q9" s="309">
        <f>EINSTELLUNG!L23</f>
        <v>2</v>
      </c>
      <c r="R9" s="310"/>
      <c r="S9" s="19">
        <f>IFERROR(Q9/Q8, 0)</f>
        <v>2.313874803176025E-4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08" t="s">
        <v>62</v>
      </c>
      <c r="P10" s="246"/>
      <c r="Q10" s="309">
        <f>EINSTELLUNG!I23</f>
        <v>2</v>
      </c>
      <c r="R10" s="310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08" t="s">
        <v>64</v>
      </c>
      <c r="P11" s="246"/>
      <c r="Q11" s="309">
        <f>P5</f>
        <v>2</v>
      </c>
      <c r="R11" s="310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08" t="s">
        <v>68</v>
      </c>
      <c r="P12" s="246"/>
      <c r="Q12" s="309">
        <f>Q8-Q9-Q10-Q11</f>
        <v>8637.5099999999984</v>
      </c>
      <c r="R12" s="310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08" t="s">
        <v>70</v>
      </c>
      <c r="P13" s="246"/>
      <c r="Q13" s="309">
        <f>EINSTELLUNG!L7</f>
        <v>2</v>
      </c>
      <c r="R13" s="310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08" t="s">
        <v>72</v>
      </c>
      <c r="P14" s="246"/>
      <c r="Q14" s="309">
        <f>Q12-Q13</f>
        <v>8635.5099999999984</v>
      </c>
      <c r="R14" s="310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11" t="str">
        <f>IF(Q14&lt;0, "Schlecht! Zu wenig Stunden für Dienstplan.", IF(Q14&gt;0, "Du hast mehr als genug Stunden für Dienstplan.", ""))</f>
        <v>Du hast mehr als genug Stunden für Dienstplan.</v>
      </c>
      <c r="P15" s="311"/>
      <c r="Q15" s="311"/>
      <c r="R15" s="311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20" t="s">
        <v>75</v>
      </c>
      <c r="P17" s="301"/>
      <c r="Q17" s="321">
        <f>SUM(L3:L82)</f>
        <v>0</v>
      </c>
      <c r="R17" s="322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3"/>
      <c r="P18" s="324"/>
      <c r="Q18" s="325"/>
      <c r="R18" s="32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3"/>
      <c r="P19" s="324"/>
      <c r="Q19" s="325"/>
      <c r="R19" s="32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3"/>
      <c r="P20" s="324"/>
      <c r="Q20" s="325"/>
      <c r="R20" s="326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3" t="s">
        <v>320</v>
      </c>
      <c r="P21" s="324"/>
      <c r="Q21" s="325">
        <v>5000</v>
      </c>
      <c r="R21" s="32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3"/>
      <c r="P22" s="324"/>
      <c r="Q22" s="325"/>
      <c r="R22" s="326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3"/>
      <c r="P23" s="324"/>
      <c r="Q23" s="325"/>
      <c r="R23" s="326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3"/>
      <c r="P24" s="324"/>
      <c r="Q24" s="325"/>
      <c r="R24" s="326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3"/>
      <c r="P25" s="314"/>
      <c r="Q25" s="315"/>
      <c r="R25" s="316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7"/>
      <c r="P26" s="266"/>
      <c r="Q26" s="318"/>
      <c r="R26" s="319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34"/>
      <c r="P27" s="256"/>
      <c r="Q27" s="335"/>
      <c r="R27" s="336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37"/>
      <c r="P28" s="260"/>
      <c r="Q28" s="338"/>
      <c r="R28" s="339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40" t="s">
        <v>90</v>
      </c>
      <c r="P29" s="249"/>
      <c r="Q29" s="341">
        <f>EINSTELLUNG!O7</f>
        <v>2</v>
      </c>
      <c r="R29" s="34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27">
        <v>0</v>
      </c>
      <c r="P31" s="328"/>
      <c r="Q31" s="329">
        <v>1.7241379310344827E-2</v>
      </c>
      <c r="R31" s="268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30"/>
      <c r="P33" s="331"/>
      <c r="Q33" s="274" t="s">
        <v>96</v>
      </c>
      <c r="R33" s="275"/>
      <c r="S33" s="278" t="s">
        <v>97</v>
      </c>
      <c r="T33" s="279"/>
      <c r="U33" s="278" t="s">
        <v>98</v>
      </c>
      <c r="V33" s="27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32"/>
      <c r="P34" s="333"/>
      <c r="Q34" s="276"/>
      <c r="R34" s="277"/>
      <c r="S34" s="280"/>
      <c r="T34" s="281"/>
      <c r="U34" s="280"/>
      <c r="V34" s="28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03" t="s">
        <v>101</v>
      </c>
      <c r="P35" s="242"/>
      <c r="Q35" s="288">
        <f>EINSTELLUNG!C7</f>
        <v>2</v>
      </c>
      <c r="R35" s="290"/>
      <c r="S35" s="288">
        <f>EINSTELLUNG!C23</f>
        <v>2</v>
      </c>
      <c r="T35" s="290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03" t="s">
        <v>103</v>
      </c>
      <c r="P36" s="242"/>
      <c r="Q36" s="288">
        <f>EINSTELLUNG!D7</f>
        <v>2</v>
      </c>
      <c r="R36" s="290"/>
      <c r="S36" s="244" cm="1">
        <f t="array" ref="S36">SumMergedCells(Q17:R29)</f>
        <v>5002</v>
      </c>
      <c r="T36" s="244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03" t="s">
        <v>105</v>
      </c>
      <c r="P37" s="242"/>
      <c r="Q37" s="304">
        <f>IF(ISERROR(Q36/Q35), 0, Q36/Q35)</f>
        <v>1</v>
      </c>
      <c r="R37" s="305"/>
      <c r="S37" s="304">
        <f>IF(ISERROR(S36/S35), 0, S36/S35)</f>
        <v>2501</v>
      </c>
      <c r="T37" s="305"/>
      <c r="U37" s="285">
        <f t="shared" si="2"/>
        <v>2500</v>
      </c>
      <c r="V37" s="28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03" t="s">
        <v>107</v>
      </c>
      <c r="P38" s="242"/>
      <c r="Q38" s="306">
        <f>EINSTELLUNG!F7</f>
        <v>2</v>
      </c>
      <c r="R38" s="307"/>
      <c r="S38" s="306">
        <f>EINSTELLUNG!F23</f>
        <v>2</v>
      </c>
      <c r="T38" s="307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03" t="s">
        <v>109</v>
      </c>
      <c r="P39" s="242"/>
      <c r="Q39" s="288">
        <f>IF(Q38=0, 0, Q35/Q38)</f>
        <v>1</v>
      </c>
      <c r="R39" s="290"/>
      <c r="S39" s="288">
        <f>IF(S38=0, 0, S35/S38)</f>
        <v>1</v>
      </c>
      <c r="T39" s="290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2.3154821238991334E-4</v>
      </c>
      <c r="R40" s="244"/>
      <c r="S40" s="244">
        <f>IF(Q12=0, 0, S35/Q12)</f>
        <v>2.3154821238991334E-4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2.3154821238991334E-4</v>
      </c>
      <c r="R41" s="286"/>
      <c r="S41" s="286">
        <f>IF(Q12=0, 0, S38/Q12)</f>
        <v>2.3154821238991334E-4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138.4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1616.8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 t="str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/>
      </c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yIChrUIRwK577UzoOpBlglrjbeYT/+DZcYY5rLSyoH+k1DiaemcLZjkDXzMu6bFmMW5417toavP9ZgaZWI3fdg==" saltValue="fBDr8YmZ+NW3rcfQkyJ0m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46082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8920.8000000000011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EINSTELLUNG!L24</f>
        <v>3</v>
      </c>
      <c r="R9" s="248"/>
      <c r="S9" s="19">
        <f>IFERROR(Q9/Q8, 0)</f>
        <v>3.3629270917406509E-4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EINSTELLUNG!I24</f>
        <v>3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3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-445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9356.8000000000011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EINSTELLUNG!L8</f>
        <v>3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9353.8000000000011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EINSTELLUNG!O8</f>
        <v>3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1.6949152542372881E-2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EINSTELLUNG!C8</f>
        <v>3</v>
      </c>
      <c r="R35" s="244"/>
      <c r="S35" s="244">
        <f>EINSTELLUNG!C24</f>
        <v>3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EINSTELLUNG!D8</f>
        <v>3</v>
      </c>
      <c r="R36" s="244"/>
      <c r="S36" s="244" cm="1">
        <f t="array" ref="S36">SumMergedCells(Q17:R29)</f>
        <v>5003</v>
      </c>
      <c r="T36" s="244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1667.6666666666667</v>
      </c>
      <c r="T37" s="284"/>
      <c r="U37" s="285">
        <f t="shared" si="2"/>
        <v>1666.6666666666667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EINSTELLUNG!F8</f>
        <v>3</v>
      </c>
      <c r="R38" s="286"/>
      <c r="S38" s="286">
        <f>EINSTELLUNG!F24</f>
        <v>3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3.2062243502051978E-4</v>
      </c>
      <c r="R40" s="244"/>
      <c r="S40" s="244">
        <f>IF(Q13=0, 0, S35/Q13)</f>
        <v>3.2062243502051978E-4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3.2062243502051978E-4</v>
      </c>
      <c r="R41" s="286"/>
      <c r="S41" s="286">
        <f>IF(Q13=0, 0, S38/Q13)</f>
        <v>3.2062243502051978E-4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151.38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1768.38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138.4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1616.8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ajwVx6bwEJ9fqFRy1WmCFHY65JQuMShhPAoRtQ+f86ujBIoJo32oOy0PvWNEm0Wx3qK7Zi/5gObLlyjyN61Gnw==" saltValue="Emk4Rsot1JjHzZYjOpH8w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46113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8796.1799999999985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EINSTELLUNG!L25</f>
        <v>4</v>
      </c>
      <c r="R9" s="248"/>
      <c r="S9" s="19">
        <f>IFERROR(Q9/Q8, 0)</f>
        <v>4.5474285428447357E-4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EINSTELLUNG!I25</f>
        <v>4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4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-255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9039.1799999999985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EINSTELLUNG!L9</f>
        <v>4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9035.1799999999985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151.38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1890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EINSTELLUNG!O9</f>
        <v>4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EINSTELLUNG!C9</f>
        <v>4</v>
      </c>
      <c r="R35" s="244"/>
      <c r="S35" s="244">
        <f>EINSTELLUNG!C25</f>
        <v>4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EINSTELLUNG!D9</f>
        <v>4</v>
      </c>
      <c r="R36" s="244"/>
      <c r="S36" s="244" cm="1">
        <f t="array" ref="S36">SumMergedCells(Q17:R29)</f>
        <v>5004</v>
      </c>
      <c r="T36" s="244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1251</v>
      </c>
      <c r="T37" s="284"/>
      <c r="U37" s="285">
        <f t="shared" si="2"/>
        <v>1250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EINSTELLUNG!F9</f>
        <v>4</v>
      </c>
      <c r="R38" s="286"/>
      <c r="S38" s="286">
        <f>EINSTELLUNG!F25</f>
        <v>4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4.4251801601472707E-4</v>
      </c>
      <c r="R40" s="244"/>
      <c r="S40" s="244">
        <f>IF(Q13=0, 0, S35/Q13)</f>
        <v>4.4251801601472707E-4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4.4251801601472707E-4</v>
      </c>
      <c r="R41" s="286"/>
      <c r="S41" s="286">
        <f>IF(Q13=0, 0, S38/Q13)</f>
        <v>4.4251801601472707E-4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 t="str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/>
      </c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5NoBH7C/bEXpK2xQbbqcFRgslQt1ErAf6n7teKkUhX2SsLUoQjXcZ+lc3RhSkCqFiiXU650UknLIL7uUiTZM+A==" saltValue="kL1tt1q9ZOPfUPgCO/8Z4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46143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9293.7199999999993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EINSTELLUNG!L26</f>
        <v>5</v>
      </c>
      <c r="R9" s="248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EINSTELLUNG!I26</f>
        <v>5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5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9278.7199999999993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EINSTELLUNG!L10</f>
        <v>9300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-21.280000000000655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Schlecht! Zu wenig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EINSTELLUNG!O10</f>
        <v>5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EINSTELLUNG!C10</f>
        <v>5</v>
      </c>
      <c r="R35" s="244"/>
      <c r="S35" s="244">
        <f>EINSTELLUNG!C26</f>
        <v>5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EINSTELLUNG!D10</f>
        <v>5</v>
      </c>
      <c r="R36" s="244"/>
      <c r="S36" s="244" cm="1">
        <f t="array" ref="S36">SumMergedCells(Q17:R29)</f>
        <v>5005</v>
      </c>
      <c r="T36" s="244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1001</v>
      </c>
      <c r="T37" s="284"/>
      <c r="U37" s="285">
        <f t="shared" si="2"/>
        <v>1000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EINSTELLUNG!F10</f>
        <v>5</v>
      </c>
      <c r="R38" s="286"/>
      <c r="S38" s="286">
        <f>EINSTELLUNG!F26</f>
        <v>5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5.3886742999034352E-4</v>
      </c>
      <c r="R40" s="244"/>
      <c r="S40" s="244">
        <f>IF(Q12=0, 0, S35/Q12)</f>
        <v>5.3886742999034352E-4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5.3886742999034352E-4</v>
      </c>
      <c r="R41" s="286"/>
      <c r="S41" s="286">
        <f>IF(Q12=0, 0, S38/Q12)</f>
        <v>5.3886742999034352E-4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N7NrOMBiDUkJKl7Zg/OQzY/6pJjNrOXIQYRswRYfP82qK+wk4kvxDQoZXKMmsG5XsA5VjfmEaDn4dVWAqO6bLw==" saltValue="12YdQhJ/wih5jI6tvUErW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46174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9359.2999999999993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EINSTELLUNG!L27</f>
        <v>6</v>
      </c>
      <c r="R9" s="248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EINSTELLUNG!I27</f>
        <v>6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6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21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9320.2999999999993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EINSTELLUNG!L11</f>
        <v>9300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20.299999999999272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EINSTELLUNG!O11</f>
        <v>6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1.6666666666666666E-2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EINSTELLUNG!C11</f>
        <v>6</v>
      </c>
      <c r="R35" s="244"/>
      <c r="S35" s="244">
        <f>EINSTELLUNG!C27</f>
        <v>6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EINSTELLUNG!D11</f>
        <v>6</v>
      </c>
      <c r="R36" s="244"/>
      <c r="S36" s="244" cm="1">
        <f t="array" ref="S36">SumMergedCells(Q17:R29)</f>
        <v>5006</v>
      </c>
      <c r="T36" s="244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834.33333333333337</v>
      </c>
      <c r="T37" s="284"/>
      <c r="U37" s="285">
        <f t="shared" si="2"/>
        <v>833.33333333333337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EINSTELLUNG!F11</f>
        <v>6</v>
      </c>
      <c r="R38" s="286"/>
      <c r="S38" s="286">
        <f>EINSTELLUNG!F27</f>
        <v>6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0.2857142857142857</v>
      </c>
      <c r="R40" s="244"/>
      <c r="S40" s="244">
        <f>IF(Q12=0, 0, S35/Q12)</f>
        <v>0.2857142857142857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0.2857142857142857</v>
      </c>
      <c r="R41" s="286"/>
      <c r="S41" s="286">
        <f>IF(Q12=0, 0, S38/Q12)</f>
        <v>0.2857142857142857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HkFEtcNbLsvk/yF2Fo/J4bPHsmRyIEZdrEMlwMD4XQe9zTtAlq+dKbi65TyAVxoEXlDAdEnXWT75FBxqAaFrJw==" saltValue="pZXxeRDBfSNqIF3R+UjoS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46204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9225.3599999999988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EINSTELLUNG!L28</f>
        <v>7</v>
      </c>
      <c r="R9" s="248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EINSTELLUNG!I28</f>
        <v>7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7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-20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9224.3599999999988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EINSTELLUNG!L12</f>
        <v>9300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-75.640000000001237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Schlecht! Zu wenig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7"/>
      <c r="P26" s="266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EINSTELLUNG!O12</f>
        <v>7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1.6393442622950821E-2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EINSTELLUNG!C12</f>
        <v>7</v>
      </c>
      <c r="R35" s="244"/>
      <c r="S35" s="244">
        <f>EINSTELLUNG!C28</f>
        <v>7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EINSTELLUNG!D12</f>
        <v>7</v>
      </c>
      <c r="R36" s="244"/>
      <c r="S36" s="288" cm="1">
        <f t="array" ref="S36">SumMergedCells(Q17:R29)</f>
        <v>5007</v>
      </c>
      <c r="T36" s="290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715.28571428571433</v>
      </c>
      <c r="T37" s="284"/>
      <c r="U37" s="285">
        <f t="shared" si="2"/>
        <v>714.28571428571433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EINSTELLUNG!F12</f>
        <v>7</v>
      </c>
      <c r="R38" s="286"/>
      <c r="S38" s="286">
        <f>EINSTELLUNG!F28</f>
        <v>7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7.5886023529003646E-4</v>
      </c>
      <c r="R40" s="244"/>
      <c r="S40" s="244">
        <f>IF(Q13=0, 0, S35/Q13)</f>
        <v>7.5886023529003646E-4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7.5886023529003646E-4</v>
      </c>
      <c r="R41" s="286"/>
      <c r="S41" s="286">
        <f>IF(Q13=0, 0, S38/Q13)</f>
        <v>7.5886023529003646E-4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lL+pISjNhkzG4A2sJePYNwvgEojl+fzuwavdUyQ98z5BJpMx5+qNsK0ytr4mYV3HQxVMOiwAc7YWwL4OVlJ9+A==" saltValue="D1dn44oTEyPslx9IiWhzc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46235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138.4</v>
      </c>
      <c r="G3" s="115">
        <f>IF(OR(E3="",F3=""),"",IFERROR(INDEX(LOHNTABELLE!$H$4:$H$500,MATCH(1,INDEX((TRIM(IF(ISERROR(FIND("|",LOHNTABELLE!$A$4:$A$500)),LOHNTABELLE!$A$4:$A$500,LEFT(LOHNTABELLE!$A$4:$A$500,FIND("|",LOHNTABELLE!$A$4:$A$500)-1)))=IF($A$1&lt;=4,"KV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="","",IF(OR(E3="BG1",E3="BG1_Basis",E3="BG1_BASIS"),"BG1_Basis",IF(OR(E3="BG2",E3="BG2_Basis",E3="BG2_BASIS"),"BG2_Basis",IF(OR(E3="BG3",E3="BG3_Basis",E3="BG3_BASIS"),"BG3_Basis",SUBSTITUTE(SUBSTITUTE(E3,"-","_")," ","_"))))))*(ABS(LOHNTABELLE!$G$4:$G$500-F3)&lt;0.001),0),0)),"Nicht gefunden")))</f>
        <v>1616.8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f>IF(OR(E4="",F4=""),"",IFERROR(INDEX(LOHNTABELLE!$H$4:$H$500,MATCH(1,INDEX((TRIM(IF(ISERROR(FIND("|",LOHNTABELLE!$A$4:$A$500)),LOHNTABELLE!$A$4:$A$500,LEFT(LOHNTABELLE!$A$4:$A$500,FIND("|",LOHNTABELLE!$A$4:$A$500)-1)))=IF($A$1&lt;=4,"KV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="","",IF(OR(E4="BG1",E4="BG1_Basis",E4="BG1_BASIS"),"BG1_Basis",IF(OR(E4="BG2",E4="BG2_Basis",E4="BG2_BASIS"),"BG2_Basis",IF(OR(E4="BG3",E4="BG3_Basis",E4="BG3_BASIS"),"BG3_Basis",SUBSTITUTE(SUBSTITUTE(E4,"-","_")," ","_"))))))*(ABS(LOHNTABELLE!$G$4:$G$500-F4)&lt;0.001),0),0)),"Nicht gefunden")))</f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f>IF(OR(E5="",F5=""),"",IFERROR(INDEX(LOHNTABELLE!$H$4:$H$500,MATCH(1,INDEX((TRIM(IF(ISERROR(FIND("|",LOHNTABELLE!$A$4:$A$500)),LOHNTABELLE!$A$4:$A$500,LEFT(LOHNTABELLE!$A$4:$A$500,FIND("|",LOHNTABELLE!$A$4:$A$500)-1)))=IF($A$1&lt;=4,"KV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="","",IF(OR(E5="BG1",E5="BG1_Basis",E5="BG1_BASIS"),"BG1_Basis",IF(OR(E5="BG2",E5="BG2_Basis",E5="BG2_BASIS"),"BG2_Basis",IF(OR(E5="BG3",E5="BG3_Basis",E5="BG3_BASIS"),"BG3_Basis",SUBSTITUTE(SUBSTITUTE(E5,"-","_")," ","_"))))))*(ABS(LOHNTABELLE!$G$4:$G$500-F5)&lt;0.001),0),0)),"Nicht gefunden")))</f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f>IF(OR(E6="",F6=""),"",IFERROR(INDEX(LOHNTABELLE!$H$4:$H$500,MATCH(1,INDEX((TRIM(IF(ISERROR(FIND("|",LOHNTABELLE!$A$4:$A$500)),LOHNTABELLE!$A$4:$A$500,LEFT(LOHNTABELLE!$A$4:$A$500,FIND("|",LOHNTABELLE!$A$4:$A$500)-1)))=IF($A$1&lt;=4,"KV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="","",IF(OR(E6="BG1",E6="BG1_Basis",E6="BG1_BASIS"),"BG1_Basis",IF(OR(E6="BG2",E6="BG2_Basis",E6="BG2_BASIS"),"BG2_Basis",IF(OR(E6="BG3",E6="BG3_Basis",E6="BG3_BASIS"),"BG3_Basis",SUBSTITUTE(SUBSTITUTE(E6,"-","_")," ","_"))))))*(ABS(LOHNTABELLE!$G$4:$G$500-F6)&lt;0.001),0),0)),"Nicht gefunden")))</f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f>IF(OR(E7="",F7=""),"",IFERROR(INDEX(LOHNTABELLE!$H$4:$H$500,MATCH(1,INDEX((TRIM(IF(ISERROR(FIND("|",LOHNTABELLE!$A$4:$A$500)),LOHNTABELLE!$A$4:$A$500,LEFT(LOHNTABELLE!$A$4:$A$500,FIND("|",LOHNTABELLE!$A$4:$A$500)-1)))=IF($A$1&lt;=4,"KV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="","",IF(OR(E7="BG1",E7="BG1_Basis",E7="BG1_BASIS"),"BG1_Basis",IF(OR(E7="BG2",E7="BG2_Basis",E7="BG2_BASIS"),"BG2_Basis",IF(OR(E7="BG3",E7="BG3_Basis",E7="BG3_BASIS"),"BG3_Basis",SUBSTITUTE(SUBSTITUTE(E7,"-","_")," ","_"))))))*(ABS(LOHNTABELLE!$G$4:$G$500-F7)&lt;0.001),0),0)),"Nicht gefunden")))</f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f>IF(OR(E8="",F8=""),"",IFERROR(INDEX(LOHNTABELLE!$H$4:$H$500,MATCH(1,INDEX((TRIM(IF(ISERROR(FIND("|",LOHNTABELLE!$A$4:$A$500)),LOHNTABELLE!$A$4:$A$500,LEFT(LOHNTABELLE!$A$4:$A$500,FIND("|",LOHNTABELLE!$A$4:$A$500)-1)))=IF($A$1&lt;=4,"KV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="","",IF(OR(E8="BG1",E8="BG1_Basis",E8="BG1_BASIS"),"BG1_Basis",IF(OR(E8="BG2",E8="BG2_Basis",E8="BG2_BASIS"),"BG2_Basis",IF(OR(E8="BG3",E8="BG3_Basis",E8="BG3_BASIS"),"BG3_Basis",SUBSTITUTE(SUBSTITUTE(E8,"-","_")," ","_"))))))*(ABS(LOHNTABELLE!$G$4:$G$500-F8)&lt;0.001),0),0)),"Nicht gefunden")))</f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9065.1899999999987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f>IF(OR(E9="",F9=""),"",IFERROR(INDEX(LOHNTABELLE!$H$4:$H$500,MATCH(1,INDEX((TRIM(IF(ISERROR(FIND("|",LOHNTABELLE!$A$4:$A$500)),LOHNTABELLE!$A$4:$A$500,LEFT(LOHNTABELLE!$A$4:$A$500,FIND("|",LOHNTABELLE!$A$4:$A$500)-1)))=IF($A$1&lt;=4,"KV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9="","",IF(OR(E9="BG1",E9="BG1_Basis",E9="BG1_BASIS"),"BG1_Basis",IF(OR(E9="BG2",E9="BG2_Basis",E9="BG2_BASIS"),"BG2_Basis",IF(OR(E9="BG3",E9="BG3_Basis",E9="BG3_BASIS"),"BG3_Basis",SUBSTITUTE(SUBSTITUTE(E9,"-","_")," ","_"))))))*(ABS(LOHNTABELLE!$G$4:$G$500-F9)&lt;0.001),0),0)),"Nicht gefunden")))</f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EINSTELLUNG!L29</f>
        <v>8</v>
      </c>
      <c r="R9" s="248"/>
      <c r="S9" s="19">
        <f>IFERROR(Q9/Q8, 0)</f>
        <v>8.8249667133286796E-4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f>IF(OR(E10="",F10=""),"",IFERROR(INDEX(LOHNTABELLE!$H$4:$H$500,MATCH(1,INDEX((TRIM(IF(ISERROR(FIND("|",LOHNTABELLE!$A$4:$A$500)),LOHNTABELLE!$A$4:$A$500,LEFT(LOHNTABELLE!$A$4:$A$500,FIND("|",LOHNTABELLE!$A$4:$A$500)-1)))=IF($A$1&lt;=4,"KV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10="","",IF(OR(E10="BG1",E10="BG1_Basis",E10="BG1_BASIS"),"BG1_Basis",IF(OR(E10="BG2",E10="BG2_Basis",E10="BG2_BASIS"),"BG2_Basis",IF(OR(E10="BG3",E10="BG3_Basis",E10="BG3_BASIS"),"BG3_Basis",SUBSTITUTE(SUBSTITUTE(E10,"-","_")," ","_"))))))*(ABS(LOHNTABELLE!$G$4:$G$500-F10)&lt;0.001),0),0)),"Nicht gefunden")))</f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EINSTELLUNG!I29</f>
        <v>8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f>IF(OR(E11="",F11=""),"",IFERROR(INDEX(LOHNTABELLE!$H$4:$H$500,MATCH(1,INDEX((TRIM(IF(ISERROR(FIND("|",LOHNTABELLE!$A$4:$A$500)),LOHNTABELLE!$A$4:$A$500,LEFT(LOHNTABELLE!$A$4:$A$500,FIND("|",LOHNTABELLE!$A$4:$A$500)-1)))=IF($A$1&lt;=4,"KV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11="","",IF(OR(E11="BG1",E11="BG1_Basis",E11="BG1_BASIS"),"BG1_Basis",IF(OR(E11="BG2",E11="BG2_Basis",E11="BG2_BASIS"),"BG2_Basis",IF(OR(E11="BG3",E11="BG3_Basis",E11="BG3_BASIS"),"BG3_Basis",SUBSTITUTE(SUBSTITUTE(E11,"-","_")," ","_"))))))*(ABS(LOHNTABELLE!$G$4:$G$500-F11)&lt;0.001),0),0)),"Nicht gefunden")))</f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8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f>IF(OR(E12="",F12=""),"",IFERROR(INDEX(LOHNTABELLE!$H$4:$H$500,MATCH(1,INDEX((TRIM(IF(ISERROR(FIND("|",LOHNTABELLE!$A$4:$A$500)),LOHNTABELLE!$A$4:$A$500,LEFT(LOHNTABELLE!$A$4:$A$500,FIND("|",LOHNTABELLE!$A$4:$A$500)-1)))=IF($A$1&lt;=4,"KV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12="","",IF(OR(E12="BG1",E12="BG1_Basis",E12="BG1_BASIS"),"BG1_Basis",IF(OR(E12="BG2",E12="BG2_Basis",E12="BG2_BASIS"),"BG2_Basis",IF(OR(E12="BG3",E12="BG3_Basis",E12="BG3_BASIS"),"BG3_Basis",SUBSTITUTE(SUBSTITUTE(E12,"-","_")," ","_"))))))*(ABS(LOHNTABELLE!$G$4:$G$500-F12)&lt;0.001),0),0)),"Nicht gefunden")))</f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9041.1899999999987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f>IF(OR(E13="",F13=""),"",IFERROR(INDEX(LOHNTABELLE!$H$4:$H$500,MATCH(1,INDEX((TRIM(IF(ISERROR(FIND("|",LOHNTABELLE!$A$4:$A$500)),LOHNTABELLE!$A$4:$A$500,LEFT(LOHNTABELLE!$A$4:$A$500,FIND("|",LOHNTABELLE!$A$4:$A$500)-1)))=IF($A$1&lt;=4,"KV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13="","",IF(OR(E13="BG1",E13="BG1_Basis",E13="BG1_BASIS"),"BG1_Basis",IF(OR(E13="BG2",E13="BG2_Basis",E13="BG2_BASIS"),"BG2_Basis",IF(OR(E13="BG3",E13="BG3_Basis",E13="BG3_BASIS"),"BG3_Basis",SUBSTITUTE(SUBSTITUTE(E13,"-","_")," ","_"))))))*(ABS(LOHNTABELLE!$G$4:$G$500-F13)&lt;0.001),0),0)),"Nicht gefunden")))</f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EINSTELLUNG!L13</f>
        <v>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f>IF(OR(E14="",F14=""),"",IFERROR(INDEX(LOHNTABELLE!$H$4:$H$500,MATCH(1,INDEX((TRIM(IF(ISERROR(FIND("|",LOHNTABELLE!$A$4:$A$500)),LOHNTABELLE!$A$4:$A$500,LEFT(LOHNTABELLE!$A$4:$A$500,FIND("|",LOHNTABELLE!$A$4:$A$500)-1)))=IF($A$1&lt;=4,"KV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14="","",IF(OR(E14="BG1",E14="BG1_Basis",E14="BG1_BASIS"),"BG1_Basis",IF(OR(E14="BG2",E14="BG2_Basis",E14="BG2_BASIS"),"BG2_Basis",IF(OR(E14="BG3",E14="BG3_Basis",E14="BG3_BASIS"),"BG3_Basis",SUBSTITUTE(SUBSTITUTE(E14,"-","_")," ","_"))))))*(ABS(LOHNTABELLE!$G$4:$G$500-F14)&lt;0.001),0),0)),"Nicht gefunden")))</f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9033.1899999999987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f>IF(OR(E15="",F15=""),"",IFERROR(INDEX(LOHNTABELLE!$H$4:$H$500,MATCH(1,INDEX((TRIM(IF(ISERROR(FIND("|",LOHNTABELLE!$A$4:$A$500)),LOHNTABELLE!$A$4:$A$500,LEFT(LOHNTABELLE!$A$4:$A$500,FIND("|",LOHNTABELLE!$A$4:$A$500)-1)))=IF($A$1&lt;=4,"KV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15="","",IF(OR(E15="BG1",E15="BG1_Basis",E15="BG1_BASIS"),"BG1_Basis",IF(OR(E15="BG2",E15="BG2_Basis",E15="BG2_BASIS"),"BG2_Basis",IF(OR(E15="BG3",E15="BG3_Basis",E15="BG3_BASIS"),"BG3_Basis",SUBSTITUTE(SUBSTITUTE(E15,"-","_")," ","_"))))))*(ABS(LOHNTABELLE!$G$4:$G$500-F15)&lt;0.001),0),0)),"Nicht gefunden")))</f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f>IF(OR(E16="",F16=""),"",IFERROR(INDEX(LOHNTABELLE!$H$4:$H$500,MATCH(1,INDEX((TRIM(IF(ISERROR(FIND("|",LOHNTABELLE!$A$4:$A$500)),LOHNTABELLE!$A$4:$A$500,LEFT(LOHNTABELLE!$A$4:$A$500,FIND("|",LOHNTABELLE!$A$4:$A$500)-1)))=IF($A$1&lt;=4,"KV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16="","",IF(OR(E16="BG1",E16="BG1_Basis",E16="BG1_BASIS"),"BG1_Basis",IF(OR(E16="BG2",E16="BG2_Basis",E16="BG2_BASIS"),"BG2_Basis",IF(OR(E16="BG3",E16="BG3_Basis",E16="BG3_BASIS"),"BG3_Basis",SUBSTITUTE(SUBSTITUTE(E16,"-","_")," ","_"))))))*(ABS(LOHNTABELLE!$G$4:$G$500-F16)&lt;0.001),0),0)),"Nicht gefunden")))</f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f>IF(OR(E17="",F17=""),"",IFERROR(INDEX(LOHNTABELLE!$H$4:$H$500,MATCH(1,INDEX((TRIM(IF(ISERROR(FIND("|",LOHNTABELLE!$A$4:$A$500)),LOHNTABELLE!$A$4:$A$500,LEFT(LOHNTABELLE!$A$4:$A$500,FIND("|",LOHNTABELLE!$A$4:$A$500)-1)))=IF($A$1&lt;=4,"KV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17="","",IF(OR(E17="BG1",E17="BG1_Basis",E17="BG1_BASIS"),"BG1_Basis",IF(OR(E17="BG2",E17="BG2_Basis",E17="BG2_BASIS"),"BG2_Basis",IF(OR(E17="BG3",E17="BG3_Basis",E17="BG3_BASIS"),"BG3_Basis",SUBSTITUTE(SUBSTITUTE(E17,"-","_")," ","_"))))))*(ABS(LOHNTABELLE!$G$4:$G$500-F17)&lt;0.001),0),0)),"Nicht gefunden")))</f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f>IF(OR(E18="",F18=""),"",IFERROR(INDEX(LOHNTABELLE!$H$4:$H$500,MATCH(1,INDEX((TRIM(IF(ISERROR(FIND("|",LOHNTABELLE!$A$4:$A$500)),LOHNTABELLE!$A$4:$A$500,LEFT(LOHNTABELLE!$A$4:$A$500,FIND("|",LOHNTABELLE!$A$4:$A$500)-1)))=IF($A$1&lt;=4,"KV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18="","",IF(OR(E18="BG1",E18="BG1_Basis",E18="BG1_BASIS"),"BG1_Basis",IF(OR(E18="BG2",E18="BG2_Basis",E18="BG2_BASIS"),"BG2_Basis",IF(OR(E18="BG3",E18="BG3_Basis",E18="BG3_BASIS"),"BG3_Basis",SUBSTITUTE(SUBSTITUTE(E18,"-","_")," ","_"))))))*(ABS(LOHNTABELLE!$G$4:$G$500-F18)&lt;0.001),0),0)),"Nicht gefunden")))</f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f>IF(OR(E19="",F19=""),"",IFERROR(INDEX(LOHNTABELLE!$H$4:$H$500,MATCH(1,INDEX((TRIM(IF(ISERROR(FIND("|",LOHNTABELLE!$A$4:$A$500)),LOHNTABELLE!$A$4:$A$500,LEFT(LOHNTABELLE!$A$4:$A$500,FIND("|",LOHNTABELLE!$A$4:$A$500)-1)))=IF($A$1&lt;=4,"KV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19="","",IF(OR(E19="BG1",E19="BG1_Basis",E19="BG1_BASIS"),"BG1_Basis",IF(OR(E19="BG2",E19="BG2_Basis",E19="BG2_BASIS"),"BG2_Basis",IF(OR(E19="BG3",E19="BG3_Basis",E19="BG3_BASIS"),"BG3_Basis",SUBSTITUTE(SUBSTITUTE(E19,"-","_")," ","_"))))))*(ABS(LOHNTABELLE!$G$4:$G$500-F19)&lt;0.001),0),0)),"Nicht gefunden")))</f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f>IF(OR(E20="",F20=""),"",IFERROR(INDEX(LOHNTABELLE!$H$4:$H$500,MATCH(1,INDEX((TRIM(IF(ISERROR(FIND("|",LOHNTABELLE!$A$4:$A$500)),LOHNTABELLE!$A$4:$A$500,LEFT(LOHNTABELLE!$A$4:$A$500,FIND("|",LOHNTABELLE!$A$4:$A$500)-1)))=IF($A$1&lt;=4,"KV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20="","",IF(OR(E20="BG1",E20="BG1_Basis",E20="BG1_BASIS"),"BG1_Basis",IF(OR(E20="BG2",E20="BG2_Basis",E20="BG2_BASIS"),"BG2_Basis",IF(OR(E20="BG3",E20="BG3_Basis",E20="BG3_BASIS"),"BG3_Basis",SUBSTITUTE(SUBSTITUTE(E20,"-","_")," ","_"))))))*(ABS(LOHNTABELLE!$G$4:$G$500-F20)&lt;0.001),0),0)),"Nicht gefunden")))</f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f>IF(OR(E21="",F21=""),"",IFERROR(INDEX(LOHNTABELLE!$H$4:$H$500,MATCH(1,INDEX((TRIM(IF(ISERROR(FIND("|",LOHNTABELLE!$A$4:$A$500)),LOHNTABELLE!$A$4:$A$500,LEFT(LOHNTABELLE!$A$4:$A$500,FIND("|",LOHNTABELLE!$A$4:$A$500)-1)))=IF($A$1&lt;=4,"KV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21="","",IF(OR(E21="BG1",E21="BG1_Basis",E21="BG1_BASIS"),"BG1_Basis",IF(OR(E21="BG2",E21="BG2_Basis",E21="BG2_BASIS"),"BG2_Basis",IF(OR(E21="BG3",E21="BG3_Basis",E21="BG3_BASIS"),"BG3_Basis",SUBSTITUTE(SUBSTITUTE(E21,"-","_")," ","_"))))))*(ABS(LOHNTABELLE!$G$4:$G$500-F21)&lt;0.001),0),0)),"Nicht gefunden")))</f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f>IF(OR(E22="",F22=""),"",IFERROR(INDEX(LOHNTABELLE!$H$4:$H$500,MATCH(1,INDEX((TRIM(IF(ISERROR(FIND("|",LOHNTABELLE!$A$4:$A$500)),LOHNTABELLE!$A$4:$A$500,LEFT(LOHNTABELLE!$A$4:$A$500,FIND("|",LOHNTABELLE!$A$4:$A$500)-1)))=IF($A$1&lt;=4,"KV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22="","",IF(OR(E22="BG1",E22="BG1_Basis",E22="BG1_BASIS"),"BG1_Basis",IF(OR(E22="BG2",E22="BG2_Basis",E22="BG2_BASIS"),"BG2_Basis",IF(OR(E22="BG3",E22="BG3_Basis",E22="BG3_BASIS"),"BG3_Basis",SUBSTITUTE(SUBSTITUTE(E22,"-","_")," ","_"))))))*(ABS(LOHNTABELLE!$G$4:$G$500-F22)&lt;0.001),0),0)),"Nicht gefunden")))</f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f>IF(OR(E23="",F23=""),"",IFERROR(INDEX(LOHNTABELLE!$H$4:$H$500,MATCH(1,INDEX((TRIM(IF(ISERROR(FIND("|",LOHNTABELLE!$A$4:$A$500)),LOHNTABELLE!$A$4:$A$500,LEFT(LOHNTABELLE!$A$4:$A$500,FIND("|",LOHNTABELLE!$A$4:$A$500)-1)))=IF($A$1&lt;=4,"KV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23="","",IF(OR(E23="BG1",E23="BG1_Basis",E23="BG1_BASIS"),"BG1_Basis",IF(OR(E23="BG2",E23="BG2_Basis",E23="BG2_BASIS"),"BG2_Basis",IF(OR(E23="BG3",E23="BG3_Basis",E23="BG3_BASIS"),"BG3_Basis",SUBSTITUTE(SUBSTITUTE(E23,"-","_")," ","_"))))))*(ABS(LOHNTABELLE!$G$4:$G$500-F23)&lt;0.001),0),0)),"Nicht gefunden")))</f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f>IF(OR(E24="",F24=""),"",IFERROR(INDEX(LOHNTABELLE!$H$4:$H$500,MATCH(1,INDEX((TRIM(IF(ISERROR(FIND("|",LOHNTABELLE!$A$4:$A$500)),LOHNTABELLE!$A$4:$A$500,LEFT(LOHNTABELLE!$A$4:$A$500,FIND("|",LOHNTABELLE!$A$4:$A$500)-1)))=IF($A$1&lt;=4,"KV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24="","",IF(OR(E24="BG1",E24="BG1_Basis",E24="BG1_BASIS"),"BG1_Basis",IF(OR(E24="BG2",E24="BG2_Basis",E24="BG2_BASIS"),"BG2_Basis",IF(OR(E24="BG3",E24="BG3_Basis",E24="BG3_BASIS"),"BG3_Basis",SUBSTITUTE(SUBSTITUTE(E24,"-","_")," ","_"))))))*(ABS(LOHNTABELLE!$G$4:$G$500-F24)&lt;0.001),0),0)),"Nicht gefunden")))</f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f>IF(OR(E25="",F25=""),"",IFERROR(INDEX(LOHNTABELLE!$H$4:$H$500,MATCH(1,INDEX((TRIM(IF(ISERROR(FIND("|",LOHNTABELLE!$A$4:$A$500)),LOHNTABELLE!$A$4:$A$500,LEFT(LOHNTABELLE!$A$4:$A$500,FIND("|",LOHNTABELLE!$A$4:$A$500)-1)))=IF($A$1&lt;=4,"KV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25="","",IF(OR(E25="BG1",E25="BG1_Basis",E25="BG1_BASIS"),"BG1_Basis",IF(OR(E25="BG2",E25="BG2_Basis",E25="BG2_BASIS"),"BG2_Basis",IF(OR(E25="BG3",E25="BG3_Basis",E25="BG3_BASIS"),"BG3_Basis",SUBSTITUTE(SUBSTITUTE(E25,"-","_")," ","_"))))))*(ABS(LOHNTABELLE!$G$4:$G$500-F25)&lt;0.001),0),0)),"Nicht gefunden")))</f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f>IF(OR(E26="",F26=""),"",IFERROR(INDEX(LOHNTABELLE!$H$4:$H$500,MATCH(1,INDEX((TRIM(IF(ISERROR(FIND("|",LOHNTABELLE!$A$4:$A$500)),LOHNTABELLE!$A$4:$A$500,LEFT(LOHNTABELLE!$A$4:$A$500,FIND("|",LOHNTABELLE!$A$4:$A$500)-1)))=IF($A$1&lt;=4,"KV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26="","",IF(OR(E26="BG1",E26="BG1_Basis",E26="BG1_BASIS"),"BG1_Basis",IF(OR(E26="BG2",E26="BG2_Basis",E26="BG2_BASIS"),"BG2_Basis",IF(OR(E26="BG3",E26="BG3_Basis",E26="BG3_BASIS"),"BG3_Basis",SUBSTITUTE(SUBSTITUTE(E26,"-","_")," ","_"))))))*(ABS(LOHNTABELLE!$G$4:$G$500-F26)&lt;0.001),0),0)),"Nicht gefunden")))</f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f>IF(OR(E27="",F27=""),"",IFERROR(INDEX(LOHNTABELLE!$H$4:$H$500,MATCH(1,INDEX((TRIM(IF(ISERROR(FIND("|",LOHNTABELLE!$A$4:$A$500)),LOHNTABELLE!$A$4:$A$500,LEFT(LOHNTABELLE!$A$4:$A$500,FIND("|",LOHNTABELLE!$A$4:$A$500)-1)))=IF($A$1&lt;=4,"KV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27="","",IF(OR(E27="BG1",E27="BG1_Basis",E27="BG1_BASIS"),"BG1_Basis",IF(OR(E27="BG2",E27="BG2_Basis",E27="BG2_BASIS"),"BG2_Basis",IF(OR(E27="BG3",E27="BG3_Basis",E27="BG3_BASIS"),"BG3_Basis",SUBSTITUTE(SUBSTITUTE(E27,"-","_")," ","_"))))))*(ABS(LOHNTABELLE!$G$4:$G$500-F27)&lt;0.001),0),0)),"Nicht gefunden")))</f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f>IF(OR(E28="",F28=""),"",IFERROR(INDEX(LOHNTABELLE!$H$4:$H$500,MATCH(1,INDEX((TRIM(IF(ISERROR(FIND("|",LOHNTABELLE!$A$4:$A$500)),LOHNTABELLE!$A$4:$A$500,LEFT(LOHNTABELLE!$A$4:$A$500,FIND("|",LOHNTABELLE!$A$4:$A$500)-1)))=IF($A$1&lt;=4,"KV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28="","",IF(OR(E28="BG1",E28="BG1_Basis",E28="BG1_BASIS"),"BG1_Basis",IF(OR(E28="BG2",E28="BG2_Basis",E28="BG2_BASIS"),"BG2_Basis",IF(OR(E28="BG3",E28="BG3_Basis",E28="BG3_BASIS"),"BG3_Basis",SUBSTITUTE(SUBSTITUTE(E28,"-","_")," ","_"))))))*(ABS(LOHNTABELLE!$G$4:$G$500-F28)&lt;0.001),0),0)),"Nicht gefunden")))</f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f>IF(OR(E29="",F29=""),"",IFERROR(INDEX(LOHNTABELLE!$H$4:$H$500,MATCH(1,INDEX((TRIM(IF(ISERROR(FIND("|",LOHNTABELLE!$A$4:$A$500)),LOHNTABELLE!$A$4:$A$500,LEFT(LOHNTABELLE!$A$4:$A$500,FIND("|",LOHNTABELLE!$A$4:$A$500)-1)))=IF($A$1&lt;=4,"KV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29="","",IF(OR(E29="BG1",E29="BG1_Basis",E29="BG1_BASIS"),"BG1_Basis",IF(OR(E29="BG2",E29="BG2_Basis",E29="BG2_BASIS"),"BG2_Basis",IF(OR(E29="BG3",E29="BG3_Basis",E29="BG3_BASIS"),"BG3_Basis",SUBSTITUTE(SUBSTITUTE(E29,"-","_")," ","_"))))))*(ABS(LOHNTABELLE!$G$4:$G$500-F29)&lt;0.001),0),0)),"Nicht gefunden")))</f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EINSTELLUNG!O13</f>
        <v>8</v>
      </c>
      <c r="R29" s="25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f>IF(OR(E30="",F30=""),"",IFERROR(INDEX(LOHNTABELLE!$H$4:$H$500,MATCH(1,INDEX((TRIM(IF(ISERROR(FIND("|",LOHNTABELLE!$A$4:$A$500)),LOHNTABELLE!$A$4:$A$500,LEFT(LOHNTABELLE!$A$4:$A$500,FIND("|",LOHNTABELLE!$A$4:$A$500)-1)))=IF($A$1&lt;=4,"KV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30="","",IF(OR(E30="BG1",E30="BG1_Basis",E30="BG1_BASIS"),"BG1_Basis",IF(OR(E30="BG2",E30="BG2_Basis",E30="BG2_BASIS"),"BG2_Basis",IF(OR(E30="BG3",E30="BG3_Basis",E30="BG3_BASIS"),"BG3_Basis",SUBSTITUTE(SUBSTITUTE(E30,"-","_")," ","_"))))))*(ABS(LOHNTABELLE!$G$4:$G$500-F30)&lt;0.001),0),0)),"Nicht gefunden")))</f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f>IF(OR(E31="",F31=""),"",IFERROR(INDEX(LOHNTABELLE!$H$4:$H$500,MATCH(1,INDEX((TRIM(IF(ISERROR(FIND("|",LOHNTABELLE!$A$4:$A$500)),LOHNTABELLE!$A$4:$A$500,LEFT(LOHNTABELLE!$A$4:$A$500,FIND("|",LOHNTABELLE!$A$4:$A$500)-1)))=IF($A$1&lt;=4,"KV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31="","",IF(OR(E31="BG1",E31="BG1_Basis",E31="BG1_BASIS"),"BG1_Basis",IF(OR(E31="BG2",E31="BG2_Basis",E31="BG2_BASIS"),"BG2_Basis",IF(OR(E31="BG3",E31="BG3_Basis",E31="BG3_BASIS"),"BG3_Basis",SUBSTITUTE(SUBSTITUTE(E31,"-","_")," ","_"))))))*(ABS(LOHNTABELLE!$G$4:$G$500-F31)&lt;0.001),0),0)),"Nicht gefunden")))</f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1.8518518518518517E-2</v>
      </c>
      <c r="R31" s="271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f>IF(OR(E32="",F32=""),"",IFERROR(INDEX(LOHNTABELLE!$H$4:$H$500,MATCH(1,INDEX((TRIM(IF(ISERROR(FIND("|",LOHNTABELLE!$A$4:$A$500)),LOHNTABELLE!$A$4:$A$500,LEFT(LOHNTABELLE!$A$4:$A$500,FIND("|",LOHNTABELLE!$A$4:$A$500)-1)))=IF($A$1&lt;=4,"KV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32="","",IF(OR(E32="BG1",E32="BG1_Basis",E32="BG1_BASIS"),"BG1_Basis",IF(OR(E32="BG2",E32="BG2_Basis",E32="BG2_BASIS"),"BG2_Basis",IF(OR(E32="BG3",E32="BG3_Basis",E32="BG3_BASIS"),"BG3_Basis",SUBSTITUTE(SUBSTITUTE(E32,"-","_")," ","_"))))))*(ABS(LOHNTABELLE!$G$4:$G$500-F32)&lt;0.001),0),0)),"Nicht gefunden")))</f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f>IF(OR(E33="",F33=""),"",IFERROR(INDEX(LOHNTABELLE!$H$4:$H$500,MATCH(1,INDEX((TRIM(IF(ISERROR(FIND("|",LOHNTABELLE!$A$4:$A$500)),LOHNTABELLE!$A$4:$A$500,LEFT(LOHNTABELLE!$A$4:$A$500,FIND("|",LOHNTABELLE!$A$4:$A$500)-1)))=IF($A$1&lt;=4,"KV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33="","",IF(OR(E33="BG1",E33="BG1_Basis",E33="BG1_BASIS"),"BG1_Basis",IF(OR(E33="BG2",E33="BG2_Basis",E33="BG2_BASIS"),"BG2_Basis",IF(OR(E33="BG3",E33="BG3_Basis",E33="BG3_BASIS"),"BG3_Basis",SUBSTITUTE(SUBSTITUTE(E33,"-","_")," ","_"))))))*(ABS(LOHNTABELLE!$G$4:$G$500-F33)&lt;0.001),0),0)),"Nicht gefunden")))</f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f>IF(OR(E34="",F34=""),"",IFERROR(INDEX(LOHNTABELLE!$H$4:$H$500,MATCH(1,INDEX((TRIM(IF(ISERROR(FIND("|",LOHNTABELLE!$A$4:$A$500)),LOHNTABELLE!$A$4:$A$500,LEFT(LOHNTABELLE!$A$4:$A$500,FIND("|",LOHNTABELLE!$A$4:$A$500)-1)))=IF($A$1&lt;=4,"KV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34="","",IF(OR(E34="BG1",E34="BG1_Basis",E34="BG1_BASIS"),"BG1_Basis",IF(OR(E34="BG2",E34="BG2_Basis",E34="BG2_BASIS"),"BG2_Basis",IF(OR(E34="BG3",E34="BG3_Basis",E34="BG3_BASIS"),"BG3_Basis",SUBSTITUTE(SUBSTITUTE(E34,"-","_")," ","_"))))))*(ABS(LOHNTABELLE!$G$4:$G$500-F34)&lt;0.001),0),0)),"Nicht gefunden")))</f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f>IF(OR(E35="",F35=""),"",IFERROR(INDEX(LOHNTABELLE!$H$4:$H$500,MATCH(1,INDEX((TRIM(IF(ISERROR(FIND("|",LOHNTABELLE!$A$4:$A$500)),LOHNTABELLE!$A$4:$A$500,LEFT(LOHNTABELLE!$A$4:$A$500,FIND("|",LOHNTABELLE!$A$4:$A$500)-1)))=IF($A$1&lt;=4,"KV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35="","",IF(OR(E35="BG1",E35="BG1_Basis",E35="BG1_BASIS"),"BG1_Basis",IF(OR(E35="BG2",E35="BG2_Basis",E35="BG2_BASIS"),"BG2_Basis",IF(OR(E35="BG3",E35="BG3_Basis",E35="BG3_BASIS"),"BG3_Basis",SUBSTITUTE(SUBSTITUTE(E35,"-","_")," ","_"))))))*(ABS(LOHNTABELLE!$G$4:$G$500-F35)&lt;0.001),0),0)),"Nicht gefunden")))</f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EINSTELLUNG!C13</f>
        <v>8</v>
      </c>
      <c r="R35" s="244"/>
      <c r="S35" s="244">
        <f>EINSTELLUNG!C29</f>
        <v>8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f>IF(OR(E36="",F36=""),"",IFERROR(INDEX(LOHNTABELLE!$H$4:$H$500,MATCH(1,INDEX((TRIM(IF(ISERROR(FIND("|",LOHNTABELLE!$A$4:$A$500)),LOHNTABELLE!$A$4:$A$500,LEFT(LOHNTABELLE!$A$4:$A$500,FIND("|",LOHNTABELLE!$A$4:$A$500)-1)))=IF($A$1&lt;=4,"KV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36="","",IF(OR(E36="BG1",E36="BG1_Basis",E36="BG1_BASIS"),"BG1_Basis",IF(OR(E36="BG2",E36="BG2_Basis",E36="BG2_BASIS"),"BG2_Basis",IF(OR(E36="BG3",E36="BG3_Basis",E36="BG3_BASIS"),"BG3_Basis",SUBSTITUTE(SUBSTITUTE(E36,"-","_")," ","_"))))))*(ABS(LOHNTABELLE!$G$4:$G$500-F36)&lt;0.001),0),0)),"Nicht gefunden")))</f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EINSTELLUNG!D13</f>
        <v>8</v>
      </c>
      <c r="R36" s="244"/>
      <c r="S36" s="288" cm="1">
        <f t="array" ref="S36">SumMergedCells(Q17:R29)</f>
        <v>5008</v>
      </c>
      <c r="T36" s="290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f>IF(OR(E37="",F37=""),"",IFERROR(INDEX(LOHNTABELLE!$H$4:$H$500,MATCH(1,INDEX((TRIM(IF(ISERROR(FIND("|",LOHNTABELLE!$A$4:$A$500)),LOHNTABELLE!$A$4:$A$500,LEFT(LOHNTABELLE!$A$4:$A$500,FIND("|",LOHNTABELLE!$A$4:$A$500)-1)))=IF($A$1&lt;=4,"KV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37="","",IF(OR(E37="BG1",E37="BG1_Basis",E37="BG1_BASIS"),"BG1_Basis",IF(OR(E37="BG2",E37="BG2_Basis",E37="BG2_BASIS"),"BG2_Basis",IF(OR(E37="BG3",E37="BG3_Basis",E37="BG3_BASIS"),"BG3_Basis",SUBSTITUTE(SUBSTITUTE(E37,"-","_")," ","_"))))))*(ABS(LOHNTABELLE!$G$4:$G$500-F37)&lt;0.001),0),0)),"Nicht gefunden")))</f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304">
        <f>IF(ISERROR(S36/S35), 0, S36/S35)</f>
        <v>626</v>
      </c>
      <c r="T37" s="305"/>
      <c r="U37" s="285">
        <f t="shared" si="2"/>
        <v>625</v>
      </c>
      <c r="V37" s="28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f>IF(OR(E38="",F38=""),"",IFERROR(INDEX(LOHNTABELLE!$H$4:$H$500,MATCH(1,INDEX((TRIM(IF(ISERROR(FIND("|",LOHNTABELLE!$A$4:$A$500)),LOHNTABELLE!$A$4:$A$500,LEFT(LOHNTABELLE!$A$4:$A$500,FIND("|",LOHNTABELLE!$A$4:$A$500)-1)))=IF($A$1&lt;=4,"KV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38="","",IF(OR(E38="BG1",E38="BG1_Basis",E38="BG1_BASIS"),"BG1_Basis",IF(OR(E38="BG2",E38="BG2_Basis",E38="BG2_BASIS"),"BG2_Basis",IF(OR(E38="BG3",E38="BG3_Basis",E38="BG3_BASIS"),"BG3_Basis",SUBSTITUTE(SUBSTITUTE(E38,"-","_")," ","_"))))))*(ABS(LOHNTABELLE!$G$4:$G$500-F38)&lt;0.001),0),0)),"Nicht gefunden")))</f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EINSTELLUNG!F13</f>
        <v>8</v>
      </c>
      <c r="R38" s="286"/>
      <c r="S38" s="286">
        <f>EINSTELLUNG!F29</f>
        <v>8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f>IF(OR(E39="",F39=""),"",IFERROR(INDEX(LOHNTABELLE!$H$4:$H$500,MATCH(1,INDEX((TRIM(IF(ISERROR(FIND("|",LOHNTABELLE!$A$4:$A$500)),LOHNTABELLE!$A$4:$A$500,LEFT(LOHNTABELLE!$A$4:$A$500,FIND("|",LOHNTABELLE!$A$4:$A$500)-1)))=IF($A$1&lt;=4,"KV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39="","",IF(OR(E39="BG1",E39="BG1_Basis",E39="BG1_BASIS"),"BG1_Basis",IF(OR(E39="BG2",E39="BG2_Basis",E39="BG2_BASIS"),"BG2_Basis",IF(OR(E39="BG3",E39="BG3_Basis",E39="BG3_BASIS"),"BG3_Basis",SUBSTITUTE(SUBSTITUTE(E39,"-","_")," ","_"))))))*(ABS(LOHNTABELLE!$G$4:$G$500-F39)&lt;0.001),0),0)),"Nicht gefunden")))</f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f>IF(OR(E40="",F40=""),"",IFERROR(INDEX(LOHNTABELLE!$H$4:$H$500,MATCH(1,INDEX((TRIM(IF(ISERROR(FIND("|",LOHNTABELLE!$A$4:$A$500)),LOHNTABELLE!$A$4:$A$500,LEFT(LOHNTABELLE!$A$4:$A$500,FIND("|",LOHNTABELLE!$A$4:$A$500)-1)))=IF($A$1&lt;=4,"KV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40="","",IF(OR(E40="BG1",E40="BG1_Basis",E40="BG1_BASIS"),"BG1_Basis",IF(OR(E40="BG2",E40="BG2_Basis",E40="BG2_BASIS"),"BG2_Basis",IF(OR(E40="BG3",E40="BG3_Basis",E40="BG3_BASIS"),"BG3_Basis",SUBSTITUTE(SUBSTITUTE(E40,"-","_")," ","_"))))))*(ABS(LOHNTABELLE!$G$4:$G$500-F40)&lt;0.001),0),0)),"Nicht gefunden")))</f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8.8483927447603706E-4</v>
      </c>
      <c r="R40" s="244"/>
      <c r="S40" s="244">
        <f>IF(Q12=0, 0, S35/Q12)</f>
        <v>8.8483927447603706E-4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f>IF(OR(E41="",F41=""),"",IFERROR(INDEX(LOHNTABELLE!$H$4:$H$500,MATCH(1,INDEX((TRIM(IF(ISERROR(FIND("|",LOHNTABELLE!$A$4:$A$500)),LOHNTABELLE!$A$4:$A$500,LEFT(LOHNTABELLE!$A$4:$A$500,FIND("|",LOHNTABELLE!$A$4:$A$500)-1)))=IF($A$1&lt;=4,"KV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41="","",IF(OR(E41="BG1",E41="BG1_Basis",E41="BG1_BASIS"),"BG1_Basis",IF(OR(E41="BG2",E41="BG2_Basis",E41="BG2_BASIS"),"BG2_Basis",IF(OR(E41="BG3",E41="BG3_Basis",E41="BG3_BASIS"),"BG3_Basis",SUBSTITUTE(SUBSTITUTE(E41,"-","_")," ","_"))))))*(ABS(LOHNTABELLE!$G$4:$G$500-F41)&lt;0.001),0),0)),"Nicht gefunden")))</f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8.8483927447603706E-4</v>
      </c>
      <c r="R41" s="286"/>
      <c r="S41" s="286">
        <f>IF(Q12=0, 0, S38/Q12)</f>
        <v>8.8483927447603706E-4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f>IF(OR(E42="",F42=""),"",IFERROR(INDEX(LOHNTABELLE!$H$4:$H$500,MATCH(1,INDEX((TRIM(IF(ISERROR(FIND("|",LOHNTABELLE!$A$4:$A$500)),LOHNTABELLE!$A$4:$A$500,LEFT(LOHNTABELLE!$A$4:$A$500,FIND("|",LOHNTABELLE!$A$4:$A$500)-1)))=IF($A$1&lt;=4,"KV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42="","",IF(OR(E42="BG1",E42="BG1_Basis",E42="BG1_BASIS"),"BG1_Basis",IF(OR(E42="BG2",E42="BG2_Basis",E42="BG2_BASIS"),"BG2_Basis",IF(OR(E42="BG3",E42="BG3_Basis",E42="BG3_BASIS"),"BG3_Basis",SUBSTITUTE(SUBSTITUTE(E42,"-","_")," ","_"))))))*(ABS(LOHNTABELLE!$G$4:$G$500-F42)&lt;0.001),0),0)),"Nicht gefunden")))</f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f>IF(OR(E43="",F43=""),"",IFERROR(INDEX(LOHNTABELLE!$H$4:$H$500,MATCH(1,INDEX((TRIM(IF(ISERROR(FIND("|",LOHNTABELLE!$A$4:$A$500)),LOHNTABELLE!$A$4:$A$500,LEFT(LOHNTABELLE!$A$4:$A$500,FIND("|",LOHNTABELLE!$A$4:$A$500)-1)))=IF($A$1&lt;=4,"KV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43="","",IF(OR(E43="BG1",E43="BG1_Basis",E43="BG1_BASIS"),"BG1_Basis",IF(OR(E43="BG2",E43="BG2_Basis",E43="BG2_BASIS"),"BG2_Basis",IF(OR(E43="BG3",E43="BG3_Basis",E43="BG3_BASIS"),"BG3_Basis",SUBSTITUTE(SUBSTITUTE(E43,"-","_")," ","_"))))))*(ABS(LOHNTABELLE!$G$4:$G$500-F43)&lt;0.001),0),0)),"Nicht gefunden")))</f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f>IF(OR(E44="",F44=""),"",IFERROR(INDEX(LOHNTABELLE!$H$4:$H$500,MATCH(1,INDEX((TRIM(IF(ISERROR(FIND("|",LOHNTABELLE!$A$4:$A$500)),LOHNTABELLE!$A$4:$A$500,LEFT(LOHNTABELLE!$A$4:$A$500,FIND("|",LOHNTABELLE!$A$4:$A$500)-1)))=IF($A$1&lt;=4,"KV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44="","",IF(OR(E44="BG1",E44="BG1_Basis",E44="BG1_BASIS"),"BG1_Basis",IF(OR(E44="BG2",E44="BG2_Basis",E44="BG2_BASIS"),"BG2_Basis",IF(OR(E44="BG3",E44="BG3_Basis",E44="BG3_BASIS"),"BG3_Basis",SUBSTITUTE(SUBSTITUTE(E44,"-","_")," ","_"))))))*(ABS(LOHNTABELLE!$G$4:$G$500-F44)&lt;0.001),0),0)),"Nicht gefunden")))</f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f>IF(OR(E45="",F45=""),"",IFERROR(INDEX(LOHNTABELLE!$H$4:$H$500,MATCH(1,INDEX((TRIM(IF(ISERROR(FIND("|",LOHNTABELLE!$A$4:$A$500)),LOHNTABELLE!$A$4:$A$500,LEFT(LOHNTABELLE!$A$4:$A$500,FIND("|",LOHNTABELLE!$A$4:$A$500)-1)))=IF($A$1&lt;=4,"KV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45="","",IF(OR(E45="BG1",E45="BG1_Basis",E45="BG1_BASIS"),"BG1_Basis",IF(OR(E45="BG2",E45="BG2_Basis",E45="BG2_BASIS"),"BG2_Basis",IF(OR(E45="BG3",E45="BG3_Basis",E45="BG3_BASIS"),"BG3_Basis",SUBSTITUTE(SUBSTITUTE(E45,"-","_")," ","_"))))))*(ABS(LOHNTABELLE!$G$4:$G$500-F45)&lt;0.001),0),0)),"Nicht gefunden")))</f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f>IF(OR(E46="",F46=""),"",IFERROR(INDEX(LOHNTABELLE!$H$4:$H$500,MATCH(1,INDEX((TRIM(IF(ISERROR(FIND("|",LOHNTABELLE!$A$4:$A$500)),LOHNTABELLE!$A$4:$A$500,LEFT(LOHNTABELLE!$A$4:$A$500,FIND("|",LOHNTABELLE!$A$4:$A$500)-1)))=IF($A$1&lt;=4,"KV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46="","",IF(OR(E46="BG1",E46="BG1_Basis",E46="BG1_BASIS"),"BG1_Basis",IF(OR(E46="BG2",E46="BG2_Basis",E46="BG2_BASIS"),"BG2_Basis",IF(OR(E46="BG3",E46="BG3_Basis",E46="BG3_BASIS"),"BG3_Basis",SUBSTITUTE(SUBSTITUTE(E46,"-","_")," ","_"))))))*(ABS(LOHNTABELLE!$G$4:$G$500-F46)&lt;0.001),0),0)),"Nicht gefunden")))</f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f>IF(OR(E47="",F47=""),"",IFERROR(INDEX(LOHNTABELLE!$H$4:$H$500,MATCH(1,INDEX((TRIM(IF(ISERROR(FIND("|",LOHNTABELLE!$A$4:$A$500)),LOHNTABELLE!$A$4:$A$500,LEFT(LOHNTABELLE!$A$4:$A$500,FIND("|",LOHNTABELLE!$A$4:$A$500)-1)))=IF($A$1&lt;=4,"KV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47="","",IF(OR(E47="BG1",E47="BG1_Basis",E47="BG1_BASIS"),"BG1_Basis",IF(OR(E47="BG2",E47="BG2_Basis",E47="BG2_BASIS"),"BG2_Basis",IF(OR(E47="BG3",E47="BG3_Basis",E47="BG3_BASIS"),"BG3_Basis",SUBSTITUTE(SUBSTITUTE(E47,"-","_")," ","_"))))))*(ABS(LOHNTABELLE!$G$4:$G$500-F47)&lt;0.001),0),0)),"Nicht gefunden")))</f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f>IF(OR(E48="",F48=""),"",IFERROR(INDEX(LOHNTABELLE!$H$4:$H$500,MATCH(1,INDEX((TRIM(IF(ISERROR(FIND("|",LOHNTABELLE!$A$4:$A$500)),LOHNTABELLE!$A$4:$A$500,LEFT(LOHNTABELLE!$A$4:$A$500,FIND("|",LOHNTABELLE!$A$4:$A$500)-1)))=IF($A$1&lt;=4,"KV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48="","",IF(OR(E48="BG1",E48="BG1_Basis",E48="BG1_BASIS"),"BG1_Basis",IF(OR(E48="BG2",E48="BG2_Basis",E48="BG2_BASIS"),"BG2_Basis",IF(OR(E48="BG3",E48="BG3_Basis",E48="BG3_BASIS"),"BG3_Basis",SUBSTITUTE(SUBSTITUTE(E48,"-","_")," ","_"))))))*(ABS(LOHNTABELLE!$G$4:$G$500-F48)&lt;0.001),0),0)),"Nicht gefunden")))</f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f>IF(OR(E49="",F49=""),"",IFERROR(INDEX(LOHNTABELLE!$H$4:$H$500,MATCH(1,INDEX((TRIM(IF(ISERROR(FIND("|",LOHNTABELLE!$A$4:$A$500)),LOHNTABELLE!$A$4:$A$500,LEFT(LOHNTABELLE!$A$4:$A$500,FIND("|",LOHNTABELLE!$A$4:$A$500)-1)))=IF($A$1&lt;=4,"KV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49="","",IF(OR(E49="BG1",E49="BG1_Basis",E49="BG1_BASIS"),"BG1_Basis",IF(OR(E49="BG2",E49="BG2_Basis",E49="BG2_BASIS"),"BG2_Basis",IF(OR(E49="BG3",E49="BG3_Basis",E49="BG3_BASIS"),"BG3_Basis",SUBSTITUTE(SUBSTITUTE(E49,"-","_")," ","_"))))))*(ABS(LOHNTABELLE!$G$4:$G$500-F49)&lt;0.001),0),0)),"Nicht gefunden")))</f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f>IF(OR(E50="",F50=""),"",IFERROR(INDEX(LOHNTABELLE!$H$4:$H$500,MATCH(1,INDEX((TRIM(IF(ISERROR(FIND("|",LOHNTABELLE!$A$4:$A$500)),LOHNTABELLE!$A$4:$A$500,LEFT(LOHNTABELLE!$A$4:$A$500,FIND("|",LOHNTABELLE!$A$4:$A$500)-1)))=IF($A$1&lt;=4,"KV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50="","",IF(OR(E50="BG1",E50="BG1_Basis",E50="BG1_BASIS"),"BG1_Basis",IF(OR(E50="BG2",E50="BG2_Basis",E50="BG2_BASIS"),"BG2_Basis",IF(OR(E50="BG3",E50="BG3_Basis",E50="BG3_BASIS"),"BG3_Basis",SUBSTITUTE(SUBSTITUTE(E50,"-","_")," ","_"))))))*(ABS(LOHNTABELLE!$G$4:$G$500-F50)&lt;0.001),0),0)),"Nicht gefunden")))</f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f>IF(OR(E51="",F51=""),"",IFERROR(INDEX(LOHNTABELLE!$H$4:$H$500,MATCH(1,INDEX((TRIM(IF(ISERROR(FIND("|",LOHNTABELLE!$A$4:$A$500)),LOHNTABELLE!$A$4:$A$500,LEFT(LOHNTABELLE!$A$4:$A$500,FIND("|",LOHNTABELLE!$A$4:$A$500)-1)))=IF($A$1&lt;=4,"KV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51="","",IF(OR(E51="BG1",E51="BG1_Basis",E51="BG1_BASIS"),"BG1_Basis",IF(OR(E51="BG2",E51="BG2_Basis",E51="BG2_BASIS"),"BG2_Basis",IF(OR(E51="BG3",E51="BG3_Basis",E51="BG3_BASIS"),"BG3_Basis",SUBSTITUTE(SUBSTITUTE(E51,"-","_")," ","_"))))))*(ABS(LOHNTABELLE!$G$4:$G$500-F51)&lt;0.001),0),0)),"Nicht gefunden")))</f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f>IF(OR(E52="",F52=""),"",IFERROR(INDEX(LOHNTABELLE!$H$4:$H$500,MATCH(1,INDEX((TRIM(IF(ISERROR(FIND("|",LOHNTABELLE!$A$4:$A$500)),LOHNTABELLE!$A$4:$A$500,LEFT(LOHNTABELLE!$A$4:$A$500,FIND("|",LOHNTABELLE!$A$4:$A$500)-1)))=IF($A$1&lt;=4,"KV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52="","",IF(OR(E52="BG1",E52="BG1_Basis",E52="BG1_BASIS"),"BG1_Basis",IF(OR(E52="BG2",E52="BG2_Basis",E52="BG2_BASIS"),"BG2_Basis",IF(OR(E52="BG3",E52="BG3_Basis",E52="BG3_BASIS"),"BG3_Basis",SUBSTITUTE(SUBSTITUTE(E52,"-","_")," ","_"))))))*(ABS(LOHNTABELLE!$G$4:$G$500-F52)&lt;0.001),0),0)),"Nicht gefunden")))</f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>
        <f>IF(OR(E53="",F53=""),"",IFERROR(INDEX(LOHNTABELLE!$H$4:$H$500,MATCH(1,INDEX((TRIM(IF(ISERROR(FIND("|",LOHNTABELLE!$A$4:$A$500)),LOHNTABELLE!$A$4:$A$500,LEFT(LOHNTABELLE!$A$4:$A$500,FIND("|",LOHNTABELLE!$A$4:$A$500)-1)))=IF($A$1&lt;=4,"KV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53="","",IF(OR(E53="BG1",E53="BG1_Basis",E53="BG1_BASIS"),"BG1_Basis",IF(OR(E53="BG2",E53="BG2_Basis",E53="BG2_BASIS"),"BG2_Basis",IF(OR(E53="BG3",E53="BG3_Basis",E53="BG3_BASIS"),"BG3_Basis",SUBSTITUTE(SUBSTITUTE(E53,"-","_")," ","_"))))))*(ABS(LOHNTABELLE!$G$4:$G$500-F53)&lt;0.001),0),0)),"Nicht gefunden")))</f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>
        <f>IF(OR(E54="",F54=""),"",IFERROR(INDEX(LOHNTABELLE!$H$4:$H$500,MATCH(1,INDEX((TRIM(IF(ISERROR(FIND("|",LOHNTABELLE!$A$4:$A$500)),LOHNTABELLE!$A$4:$A$500,LEFT(LOHNTABELLE!$A$4:$A$500,FIND("|",LOHNTABELLE!$A$4:$A$500)-1)))=IF($A$1&lt;=4,"KV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54="","",IF(OR(E54="BG1",E54="BG1_Basis",E54="BG1_BASIS"),"BG1_Basis",IF(OR(E54="BG2",E54="BG2_Basis",E54="BG2_BASIS"),"BG2_Basis",IF(OR(E54="BG3",E54="BG3_Basis",E54="BG3_BASIS"),"BG3_Basis",SUBSTITUTE(SUBSTITUTE(E54,"-","_")," ","_"))))))*(ABS(LOHNTABELLE!$G$4:$G$500-F54)&lt;0.001),0),0)),"Nicht gefunden")))</f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f>IF(OR(E55="",F55=""),"",IFERROR(INDEX(LOHNTABELLE!$H$4:$H$500,MATCH(1,INDEX((TRIM(IF(ISERROR(FIND("|",LOHNTABELLE!$A$4:$A$500)),LOHNTABELLE!$A$4:$A$500,LEFT(LOHNTABELLE!$A$4:$A$500,FIND("|",LOHNTABELLE!$A$4:$A$500)-1)))=IF($A$1&lt;=4,"KV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55="","",IF(OR(E55="BG1",E55="BG1_Basis",E55="BG1_BASIS"),"BG1_Basis",IF(OR(E55="BG2",E55="BG2_Basis",E55="BG2_BASIS"),"BG2_Basis",IF(OR(E55="BG3",E55="BG3_Basis",E55="BG3_BASIS"),"BG3_Basis",SUBSTITUTE(SUBSTITUTE(E55,"-","_")," ","_"))))))*(ABS(LOHNTABELLE!$G$4:$G$500-F55)&lt;0.001),0),0)),"Nicht gefunden")))</f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f>IF(OR(E56="",F56=""),"",IFERROR(INDEX(LOHNTABELLE!$H$4:$H$500,MATCH(1,INDEX((TRIM(IF(ISERROR(FIND("|",LOHNTABELLE!$A$4:$A$500)),LOHNTABELLE!$A$4:$A$500,LEFT(LOHNTABELLE!$A$4:$A$500,FIND("|",LOHNTABELLE!$A$4:$A$500)-1)))=IF($A$1&lt;=4,"KV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56="","",IF(OR(E56="BG1",E56="BG1_Basis",E56="BG1_BASIS"),"BG1_Basis",IF(OR(E56="BG2",E56="BG2_Basis",E56="BG2_BASIS"),"BG2_Basis",IF(OR(E56="BG3",E56="BG3_Basis",E56="BG3_BASIS"),"BG3_Basis",SUBSTITUTE(SUBSTITUTE(E56,"-","_")," ","_"))))))*(ABS(LOHNTABELLE!$G$4:$G$500-F56)&lt;0.001),0),0)),"Nicht gefunden")))</f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f>IF(OR(E57="",F57=""),"",IFERROR(INDEX(LOHNTABELLE!$H$4:$H$500,MATCH(1,INDEX((TRIM(IF(ISERROR(FIND("|",LOHNTABELLE!$A$4:$A$500)),LOHNTABELLE!$A$4:$A$500,LEFT(LOHNTABELLE!$A$4:$A$500,FIND("|",LOHNTABELLE!$A$4:$A$500)-1)))=IF($A$1&lt;=4,"KV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57="","",IF(OR(E57="BG1",E57="BG1_Basis",E57="BG1_BASIS"),"BG1_Basis",IF(OR(E57="BG2",E57="BG2_Basis",E57="BG2_BASIS"),"BG2_Basis",IF(OR(E57="BG3",E57="BG3_Basis",E57="BG3_BASIS"),"BG3_Basis",SUBSTITUTE(SUBSTITUTE(E57,"-","_")," ","_"))))))*(ABS(LOHNTABELLE!$G$4:$G$500-F57)&lt;0.001),0),0)),"Nicht gefunden")))</f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>
        <f>IF(OR(E58="",F58=""),"",IFERROR(INDEX(LOHNTABELLE!$H$4:$H$500,MATCH(1,INDEX((TRIM(IF(ISERROR(FIND("|",LOHNTABELLE!$A$4:$A$500)),LOHNTABELLE!$A$4:$A$500,LEFT(LOHNTABELLE!$A$4:$A$500,FIND("|",LOHNTABELLE!$A$4:$A$500)-1)))=IF($A$1&lt;=4,"KV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58="","",IF(OR(E58="BG1",E58="BG1_Basis",E58="BG1_BASIS"),"BG1_Basis",IF(OR(E58="BG2",E58="BG2_Basis",E58="BG2_BASIS"),"BG2_Basis",IF(OR(E58="BG3",E58="BG3_Basis",E58="BG3_BASIS"),"BG3_Basis",SUBSTITUTE(SUBSTITUTE(E58,"-","_")," ","_"))))))*(ABS(LOHNTABELLE!$G$4:$G$500-F58)&lt;0.001),0),0)),"Nicht gefunden")))</f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>
        <f>IF(OR(E59="",F59=""),"",IFERROR(INDEX(LOHNTABELLE!$H$4:$H$500,MATCH(1,INDEX((TRIM(IF(ISERROR(FIND("|",LOHNTABELLE!$A$4:$A$500)),LOHNTABELLE!$A$4:$A$500,LEFT(LOHNTABELLE!$A$4:$A$500,FIND("|",LOHNTABELLE!$A$4:$A$500)-1)))=IF($A$1&lt;=4,"KV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59="","",IF(OR(E59="BG1",E59="BG1_Basis",E59="BG1_BASIS"),"BG1_Basis",IF(OR(E59="BG2",E59="BG2_Basis",E59="BG2_BASIS"),"BG2_Basis",IF(OR(E59="BG3",E59="BG3_Basis",E59="BG3_BASIS"),"BG3_Basis",SUBSTITUTE(SUBSTITUTE(E59,"-","_")," ","_"))))))*(ABS(LOHNTABELLE!$G$4:$G$500-F59)&lt;0.001),0),0)),"Nicht gefunden")))</f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>
        <f>IF(OR(E60="",F60=""),"",IFERROR(INDEX(LOHNTABELLE!$H$4:$H$500,MATCH(1,INDEX((TRIM(IF(ISERROR(FIND("|",LOHNTABELLE!$A$4:$A$500)),LOHNTABELLE!$A$4:$A$500,LEFT(LOHNTABELLE!$A$4:$A$500,FIND("|",LOHNTABELLE!$A$4:$A$500)-1)))=IF($A$1&lt;=4,"KV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60="","",IF(OR(E60="BG1",E60="BG1_Basis",E60="BG1_BASIS"),"BG1_Basis",IF(OR(E60="BG2",E60="BG2_Basis",E60="BG2_BASIS"),"BG2_Basis",IF(OR(E60="BG3",E60="BG3_Basis",E60="BG3_BASIS"),"BG3_Basis",SUBSTITUTE(SUBSTITUTE(E60,"-","_")," ","_"))))))*(ABS(LOHNTABELLE!$G$4:$G$500-F60)&lt;0.001),0),0)),"Nicht gefunden")))</f>
        <v>1665.6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>
        <f>IF(OR(E61="",F61=""),"",IFERROR(INDEX(LOHNTABELLE!$H$4:$H$500,MATCH(1,INDEX((TRIM(IF(ISERROR(FIND("|",LOHNTABELLE!$A$4:$A$500)),LOHNTABELLE!$A$4:$A$500,LEFT(LOHNTABELLE!$A$4:$A$500,FIND("|",LOHNTABELLE!$A$4:$A$500)-1)))=IF($A$1&lt;=4,"KV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61="","",IF(OR(E61="BG1",E61="BG1_Basis",E61="BG1_BASIS"),"BG1_Basis",IF(OR(E61="BG2",E61="BG2_Basis",E61="BG2_BASIS"),"BG2_Basis",IF(OR(E61="BG3",E61="BG3_Basis",E61="BG3_BASIS"),"BG3_Basis",SUBSTITUTE(SUBSTITUTE(E61,"-","_")," ","_"))))))*(ABS(LOHNTABELLE!$G$4:$G$500-F61)&lt;0.001),0),0)),"Nicht gefunden")))</f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>
        <f>IF(OR(E62="",F62=""),"",IFERROR(INDEX(LOHNTABELLE!$H$4:$H$500,MATCH(1,INDEX((TRIM(IF(ISERROR(FIND("|",LOHNTABELLE!$A$4:$A$500)),LOHNTABELLE!$A$4:$A$500,LEFT(LOHNTABELLE!$A$4:$A$500,FIND("|",LOHNTABELLE!$A$4:$A$500)-1)))=IF($A$1&lt;=4,"KV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62="","",IF(OR(E62="BG1",E62="BG1_Basis",E62="BG1_BASIS"),"BG1_Basis",IF(OR(E62="BG2",E62="BG2_Basis",E62="BG2_BASIS"),"BG2_Basis",IF(OR(E62="BG3",E62="BG3_Basis",E62="BG3_BASIS"),"BG3_Basis",SUBSTITUTE(SUBSTITUTE(E62,"-","_")," ","_"))))))*(ABS(LOHNTABELLE!$G$4:$G$500-F62)&lt;0.001),0),0)),"Nicht gefunden")))</f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>
        <f>IF(OR(E63="",F63=""),"",IFERROR(INDEX(LOHNTABELLE!$H$4:$H$500,MATCH(1,INDEX((TRIM(IF(ISERROR(FIND("|",LOHNTABELLE!$A$4:$A$500)),LOHNTABELLE!$A$4:$A$500,LEFT(LOHNTABELLE!$A$4:$A$500,FIND("|",LOHNTABELLE!$A$4:$A$500)-1)))=IF($A$1&lt;=4,"KV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63="","",IF(OR(E63="BG1",E63="BG1_Basis",E63="BG1_BASIS"),"BG1_Basis",IF(OR(E63="BG2",E63="BG2_Basis",E63="BG2_BASIS"),"BG2_Basis",IF(OR(E63="BG3",E63="BG3_Basis",E63="BG3_BASIS"),"BG3_Basis",SUBSTITUTE(SUBSTITUTE(E63,"-","_")," ","_"))))))*(ABS(LOHNTABELLE!$G$4:$G$500-F63)&lt;0.001),0),0)),"Nicht gefunden")))</f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 t="str">
        <f>IF(OR(E64="",F64=""),"",IFERROR(INDEX(LOHNTABELLE!$H$4:$H$500,MATCH(1,INDEX((TRIM(IF(ISERROR(FIND("|",LOHNTABELLE!$A$4:$A$500)),LOHNTABELLE!$A$4:$A$500,LEFT(LOHNTABELLE!$A$4:$A$500,FIND("|",LOHNTABELLE!$A$4:$A$500)-1)))=IF($A$1&lt;=4,"KV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64="","",IF(OR(E64="BG1",E64="BG1_Basis",E64="BG1_BASIS"),"BG1_Basis",IF(OR(E64="BG2",E64="BG2_Basis",E64="BG2_BASIS"),"BG2_Basis",IF(OR(E64="BG3",E64="BG3_Basis",E64="BG3_BASIS"),"BG3_Basis",SUBSTITUTE(SUBSTITUTE(E64,"-","_")," ","_"))))))*(ABS(LOHNTABELLE!$G$4:$G$500-F64)&lt;0.001),0),0)),"Nicht gefunden")))</f>
        <v/>
      </c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 t="str">
        <f>IF(OR(E65="",F65=""),"",IFERROR(INDEX(LOHNTABELLE!$H$4:$H$500,MATCH(1,INDEX((TRIM(IF(ISERROR(FIND("|",LOHNTABELLE!$A$4:$A$500)),LOHNTABELLE!$A$4:$A$500,LEFT(LOHNTABELLE!$A$4:$A$500,FIND("|",LOHNTABELLE!$A$4:$A$500)-1)))=IF($A$1&lt;=4,"KV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65="","",IF(OR(E65="BG1",E65="BG1_Basis",E65="BG1_BASIS"),"BG1_Basis",IF(OR(E65="BG2",E65="BG2_Basis",E65="BG2_BASIS"),"BG2_Basis",IF(OR(E65="BG3",E65="BG3_Basis",E65="BG3_BASIS"),"BG3_Basis",SUBSTITUTE(SUBSTITUTE(E65,"-","_")," ","_"))))))*(ABS(LOHNTABELLE!$G$4:$G$500-F65)&lt;0.001),0),0)),"Nicht gefunden")))</f>
        <v/>
      </c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 t="str">
        <f>IF(OR(E66="",F66=""),"",IFERROR(INDEX(LOHNTABELLE!$H$4:$H$500,MATCH(1,INDEX((TRIM(IF(ISERROR(FIND("|",LOHNTABELLE!$A$4:$A$500)),LOHNTABELLE!$A$4:$A$500,LEFT(LOHNTABELLE!$A$4:$A$500,FIND("|",LOHNTABELLE!$A$4:$A$500)-1)))=IF($A$1&lt;=4,"KV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66="","",IF(OR(E66="BG1",E66="BG1_Basis",E66="BG1_BASIS"),"BG1_Basis",IF(OR(E66="BG2",E66="BG2_Basis",E66="BG2_BASIS"),"BG2_Basis",IF(OR(E66="BG3",E66="BG3_Basis",E66="BG3_BASIS"),"BG3_Basis",SUBSTITUTE(SUBSTITUTE(E66,"-","_")," ","_"))))))*(ABS(LOHNTABELLE!$G$4:$G$500-F66)&lt;0.001),0),0)),"Nicht gefunden")))</f>
        <v/>
      </c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 t="str">
        <f>IF(OR(E67="",F67=""),"",IFERROR(INDEX(LOHNTABELLE!$H$4:$H$500,MATCH(1,INDEX((TRIM(IF(ISERROR(FIND("|",LOHNTABELLE!$A$4:$A$500)),LOHNTABELLE!$A$4:$A$500,LEFT(LOHNTABELLE!$A$4:$A$500,FIND("|",LOHNTABELLE!$A$4:$A$500)-1)))=IF($A$1&lt;=4,"KV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67="","",IF(OR(E67="BG1",E67="BG1_Basis",E67="BG1_BASIS"),"BG1_Basis",IF(OR(E67="BG2",E67="BG2_Basis",E67="BG2_BASIS"),"BG2_Basis",IF(OR(E67="BG3",E67="BG3_Basis",E67="BG3_BASIS"),"BG3_Basis",SUBSTITUTE(SUBSTITUTE(E67,"-","_")," ","_"))))))*(ABS(LOHNTABELLE!$G$4:$G$500-F67)&lt;0.001),0),0)),"Nicht gefunden")))</f>
        <v/>
      </c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 t="str">
        <f>IF(OR(E68="",F68=""),"",IFERROR(INDEX(LOHNTABELLE!$H$4:$H$500,MATCH(1,INDEX((TRIM(IF(ISERROR(FIND("|",LOHNTABELLE!$A$4:$A$500)),LOHNTABELLE!$A$4:$A$500,LEFT(LOHNTABELLE!$A$4:$A$500,FIND("|",LOHNTABELLE!$A$4:$A$500)-1)))=IF($A$1&lt;=4,"KV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68="","",IF(OR(E68="BG1",E68="BG1_Basis",E68="BG1_BASIS"),"BG1_Basis",IF(OR(E68="BG2",E68="BG2_Basis",E68="BG2_BASIS"),"BG2_Basis",IF(OR(E68="BG3",E68="BG3_Basis",E68="BG3_BASIS"),"BG3_Basis",SUBSTITUTE(SUBSTITUTE(E68,"-","_")," ","_"))))))*(ABS(LOHNTABELLE!$G$4:$G$500-F68)&lt;0.001),0),0)),"Nicht gefunden")))</f>
        <v/>
      </c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 t="str">
        <f>IF(OR(E69="",F69=""),"",IFERROR(INDEX(LOHNTABELLE!$H$4:$H$500,MATCH(1,INDEX((TRIM(IF(ISERROR(FIND("|",LOHNTABELLE!$A$4:$A$500)),LOHNTABELLE!$A$4:$A$500,LEFT(LOHNTABELLE!$A$4:$A$500,FIND("|",LOHNTABELLE!$A$4:$A$500)-1)))=IF($A$1&lt;=4,"KV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69="","",IF(OR(E69="BG1",E69="BG1_Basis",E69="BG1_BASIS"),"BG1_Basis",IF(OR(E69="BG2",E69="BG2_Basis",E69="BG2_BASIS"),"BG2_Basis",IF(OR(E69="BG3",E69="BG3_Basis",E69="BG3_BASIS"),"BG3_Basis",SUBSTITUTE(SUBSTITUTE(E69,"-","_")," ","_"))))))*(ABS(LOHNTABELLE!$G$4:$G$500-F69)&lt;0.001),0),0)),"Nicht gefunden")))</f>
        <v/>
      </c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 t="str">
        <f>IF(OR(E70="",F70=""),"",IFERROR(INDEX(LOHNTABELLE!$H$4:$H$500,MATCH(1,INDEX((TRIM(IF(ISERROR(FIND("|",LOHNTABELLE!$A$4:$A$500)),LOHNTABELLE!$A$4:$A$500,LEFT(LOHNTABELLE!$A$4:$A$500,FIND("|",LOHNTABELLE!$A$4:$A$500)-1)))=IF($A$1&lt;=4,"KV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70="","",IF(OR(E70="BG1",E70="BG1_Basis",E70="BG1_BASIS"),"BG1_Basis",IF(OR(E70="BG2",E70="BG2_Basis",E70="BG2_BASIS"),"BG2_Basis",IF(OR(E70="BG3",E70="BG3_Basis",E70="BG3_BASIS"),"BG3_Basis",SUBSTITUTE(SUBSTITUTE(E70,"-","_")," ","_"))))))*(ABS(LOHNTABELLE!$G$4:$G$500-F70)&lt;0.001),0),0)),"Nicht gefunden")))</f>
        <v/>
      </c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 t="str">
        <f>IF(OR(E71="",F71=""),"",IFERROR(INDEX(LOHNTABELLE!$H$4:$H$500,MATCH(1,INDEX((TRIM(IF(ISERROR(FIND("|",LOHNTABELLE!$A$4:$A$500)),LOHNTABELLE!$A$4:$A$500,LEFT(LOHNTABELLE!$A$4:$A$500,FIND("|",LOHNTABELLE!$A$4:$A$500)-1)))=IF($A$1&lt;=4,"KV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71="","",IF(OR(E71="BG1",E71="BG1_Basis",E71="BG1_BASIS"),"BG1_Basis",IF(OR(E71="BG2",E71="BG2_Basis",E71="BG2_BASIS"),"BG2_Basis",IF(OR(E71="BG3",E71="BG3_Basis",E71="BG3_BASIS"),"BG3_Basis",SUBSTITUTE(SUBSTITUTE(E71,"-","_")," ","_"))))))*(ABS(LOHNTABELLE!$G$4:$G$500-F71)&lt;0.001),0),0)),"Nicht gefunden")))</f>
        <v/>
      </c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 t="str">
        <f>IF(OR(E72="",F72=""),"",IFERROR(INDEX(LOHNTABELLE!$H$4:$H$500,MATCH(1,INDEX((TRIM(IF(ISERROR(FIND("|",LOHNTABELLE!$A$4:$A$500)),LOHNTABELLE!$A$4:$A$500,LEFT(LOHNTABELLE!$A$4:$A$500,FIND("|",LOHNTABELLE!$A$4:$A$500)-1)))=IF($A$1&lt;=4,"KV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72="","",IF(OR(E72="BG1",E72="BG1_Basis",E72="BG1_BASIS"),"BG1_Basis",IF(OR(E72="BG2",E72="BG2_Basis",E72="BG2_BASIS"),"BG2_Basis",IF(OR(E72="BG3",E72="BG3_Basis",E72="BG3_BASIS"),"BG3_Basis",SUBSTITUTE(SUBSTITUTE(E72,"-","_")," ","_"))))))*(ABS(LOHNTABELLE!$G$4:$G$500-F72)&lt;0.001),0),0)),"Nicht gefunden")))</f>
        <v/>
      </c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 t="str">
        <f>IF(OR(E73="",F73=""),"",IFERROR(INDEX(LOHNTABELLE!$H$4:$H$500,MATCH(1,INDEX((TRIM(IF(ISERROR(FIND("|",LOHNTABELLE!$A$4:$A$500)),LOHNTABELLE!$A$4:$A$500,LEFT(LOHNTABELLE!$A$4:$A$500,FIND("|",LOHNTABELLE!$A$4:$A$500)-1)))=IF($A$1&lt;=4,"KV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73="","",IF(OR(E73="BG1",E73="BG1_Basis",E73="BG1_BASIS"),"BG1_Basis",IF(OR(E73="BG2",E73="BG2_Basis",E73="BG2_BASIS"),"BG2_Basis",IF(OR(E73="BG3",E73="BG3_Basis",E73="BG3_BASIS"),"BG3_Basis",SUBSTITUTE(SUBSTITUTE(E73,"-","_")," ","_"))))))*(ABS(LOHNTABELLE!$G$4:$G$500-F73)&lt;0.001),0),0)),"Nicht gefunden")))</f>
        <v/>
      </c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 t="str">
        <f>IF(OR(E74="",F74=""),"",IFERROR(INDEX(LOHNTABELLE!$H$4:$H$500,MATCH(1,INDEX((TRIM(IF(ISERROR(FIND("|",LOHNTABELLE!$A$4:$A$500)),LOHNTABELLE!$A$4:$A$500,LEFT(LOHNTABELLE!$A$4:$A$500,FIND("|",LOHNTABELLE!$A$4:$A$500)-1)))=IF($A$1&lt;=4,"KV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74="","",IF(OR(E74="BG1",E74="BG1_Basis",E74="BG1_BASIS"),"BG1_Basis",IF(OR(E74="BG2",E74="BG2_Basis",E74="BG2_BASIS"),"BG2_Basis",IF(OR(E74="BG3",E74="BG3_Basis",E74="BG3_BASIS"),"BG3_Basis",SUBSTITUTE(SUBSTITUTE(E74,"-","_")," ","_"))))))*(ABS(LOHNTABELLE!$G$4:$G$500-F74)&lt;0.001),0),0)),"Nicht gefunden")))</f>
        <v/>
      </c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 t="str">
        <f>IF(OR(E75="",F75=""),"",IFERROR(INDEX(LOHNTABELLE!$H$4:$H$500,MATCH(1,INDEX((TRIM(IF(ISERROR(FIND("|",LOHNTABELLE!$A$4:$A$500)),LOHNTABELLE!$A$4:$A$500,LEFT(LOHNTABELLE!$A$4:$A$500,FIND("|",LOHNTABELLE!$A$4:$A$500)-1)))=IF($A$1&lt;=4,"KV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75="","",IF(OR(E75="BG1",E75="BG1_Basis",E75="BG1_BASIS"),"BG1_Basis",IF(OR(E75="BG2",E75="BG2_Basis",E75="BG2_BASIS"),"BG2_Basis",IF(OR(E75="BG3",E75="BG3_Basis",E75="BG3_BASIS"),"BG3_Basis",SUBSTITUTE(SUBSTITUTE(E75,"-","_")," ","_"))))))*(ABS(LOHNTABELLE!$G$4:$G$500-F75)&lt;0.001),0),0)),"Nicht gefunden")))</f>
        <v/>
      </c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 t="str">
        <f>IF(OR(E76="",F76=""),"",IFERROR(INDEX(LOHNTABELLE!$H$4:$H$500,MATCH(1,INDEX((TRIM(IF(ISERROR(FIND("|",LOHNTABELLE!$A$4:$A$500)),LOHNTABELLE!$A$4:$A$500,LEFT(LOHNTABELLE!$A$4:$A$500,FIND("|",LOHNTABELLE!$A$4:$A$500)-1)))=IF($A$1&lt;=4,"KV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76="","",IF(OR(E76="BG1",E76="BG1_Basis",E76="BG1_BASIS"),"BG1_Basis",IF(OR(E76="BG2",E76="BG2_Basis",E76="BG2_BASIS"),"BG2_Basis",IF(OR(E76="BG3",E76="BG3_Basis",E76="BG3_BASIS"),"BG3_Basis",SUBSTITUTE(SUBSTITUTE(E76,"-","_")," ","_"))))))*(ABS(LOHNTABELLE!$G$4:$G$500-F76)&lt;0.001),0),0)),"Nicht gefunden")))</f>
        <v/>
      </c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 t="str">
        <f>IF(OR(E77="",F77=""),"",IFERROR(INDEX(LOHNTABELLE!$H$4:$H$500,MATCH(1,INDEX((TRIM(IF(ISERROR(FIND("|",LOHNTABELLE!$A$4:$A$500)),LOHNTABELLE!$A$4:$A$500,LEFT(LOHNTABELLE!$A$4:$A$500,FIND("|",LOHNTABELLE!$A$4:$A$500)-1)))=IF($A$1&lt;=4,"KV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77="","",IF(OR(E77="BG1",E77="BG1_Basis",E77="BG1_BASIS"),"BG1_Basis",IF(OR(E77="BG2",E77="BG2_Basis",E77="BG2_BASIS"),"BG2_Basis",IF(OR(E77="BG3",E77="BG3_Basis",E77="BG3_BASIS"),"BG3_Basis",SUBSTITUTE(SUBSTITUTE(E77,"-","_")," ","_"))))))*(ABS(LOHNTABELLE!$G$4:$G$500-F77)&lt;0.001),0),0)),"Nicht gefunden")))</f>
        <v/>
      </c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 t="str">
        <f>IF(OR(E78="",F78=""),"",IFERROR(INDEX(LOHNTABELLE!$H$4:$H$500,MATCH(1,INDEX((TRIM(IF(ISERROR(FIND("|",LOHNTABELLE!$A$4:$A$500)),LOHNTABELLE!$A$4:$A$500,LEFT(LOHNTABELLE!$A$4:$A$500,FIND("|",LOHNTABELLE!$A$4:$A$500)-1)))=IF($A$1&lt;=4,"KV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78="","",IF(OR(E78="BG1",E78="BG1_Basis",E78="BG1_BASIS"),"BG1_Basis",IF(OR(E78="BG2",E78="BG2_Basis",E78="BG2_BASIS"),"BG2_Basis",IF(OR(E78="BG3",E78="BG3_Basis",E78="BG3_BASIS"),"BG3_Basis",SUBSTITUTE(SUBSTITUTE(E78,"-","_")," ","_"))))))*(ABS(LOHNTABELLE!$G$4:$G$500-F78)&lt;0.001),0),0)),"Nicht gefunden")))</f>
        <v/>
      </c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 t="str">
        <f>IF(OR(E79="",F79=""),"",IFERROR(INDEX(LOHNTABELLE!$H$4:$H$500,MATCH(1,INDEX((TRIM(IF(ISERROR(FIND("|",LOHNTABELLE!$A$4:$A$500)),LOHNTABELLE!$A$4:$A$500,LEFT(LOHNTABELLE!$A$4:$A$500,FIND("|",LOHNTABELLE!$A$4:$A$500)-1)))=IF($A$1&lt;=4,"KV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79="","",IF(OR(E79="BG1",E79="BG1_Basis",E79="BG1_BASIS"),"BG1_Basis",IF(OR(E79="BG2",E79="BG2_Basis",E79="BG2_BASIS"),"BG2_Basis",IF(OR(E79="BG3",E79="BG3_Basis",E79="BG3_BASIS"),"BG3_Basis",SUBSTITUTE(SUBSTITUTE(E79,"-","_")," ","_"))))))*(ABS(LOHNTABELLE!$G$4:$G$500-F79)&lt;0.001),0),0)),"Nicht gefunden")))</f>
        <v/>
      </c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 t="str">
        <f>IF(OR(E80="",F80=""),"",IFERROR(INDEX(LOHNTABELLE!$H$4:$H$500,MATCH(1,INDEX((TRIM(IF(ISERROR(FIND("|",LOHNTABELLE!$A$4:$A$500)),LOHNTABELLE!$A$4:$A$500,LEFT(LOHNTABELLE!$A$4:$A$500,FIND("|",LOHNTABELLE!$A$4:$A$500)-1)))=IF($A$1&lt;=4,"KV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80="","",IF(OR(E80="BG1",E80="BG1_Basis",E80="BG1_BASIS"),"BG1_Basis",IF(OR(E80="BG2",E80="BG2_Basis",E80="BG2_BASIS"),"BG2_Basis",IF(OR(E80="BG3",E80="BG3_Basis",E80="BG3_BASIS"),"BG3_Basis",SUBSTITUTE(SUBSTITUTE(E80,"-","_")," ","_"))))))*(ABS(LOHNTABELLE!$G$4:$G$500-F80)&lt;0.001),0),0)),"Nicht gefunden")))</f>
        <v/>
      </c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 t="str">
        <f>IF(OR(E81="",F81=""),"",IFERROR(INDEX(LOHNTABELLE!$H$4:$H$500,MATCH(1,INDEX((TRIM(IF(ISERROR(FIND("|",LOHNTABELLE!$A$4:$A$500)),LOHNTABELLE!$A$4:$A$500,LEFT(LOHNTABELLE!$A$4:$A$500,FIND("|",LOHNTABELLE!$A$4:$A$500)-1)))=IF($A$1&lt;=4,"KV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81="","",IF(OR(E81="BG1",E81="BG1_Basis",E81="BG1_BASIS"),"BG1_Basis",IF(OR(E81="BG2",E81="BG2_Basis",E81="BG2_BASIS"),"BG2_Basis",IF(OR(E81="BG3",E81="BG3_Basis",E81="BG3_BASIS"),"BG3_Basis",SUBSTITUTE(SUBSTITUTE(E81,"-","_")," ","_"))))))*(ABS(LOHNTABELLE!$G$4:$G$500-F81)&lt;0.001),0),0)),"Nicht gefunden")))</f>
        <v/>
      </c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 t="str">
        <f>IF(OR(E82="",F82=""),"",IFERROR(INDEX(LOHNTABELLE!$H$4:$H$500,MATCH(1,INDEX((TRIM(IF(ISERROR(FIND("|",LOHNTABELLE!$A$4:$A$500)),LOHNTABELLE!$A$4:$A$500,LEFT(LOHNTABELLE!$A$4:$A$500,FIND("|",LOHNTABELLE!$A$4:$A$500)-1)))=IF($A$1&lt;=4,"KV "&amp;(EINSTELLUNG!$C$35-1)&amp;"/"&amp;EINSTELLUNG!$C$35,"KV "&amp;EINSTELLUNG!$C$35&amp;"/"&amp;(EINSTELLUNG!$C$35+1)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","_"))))))*(ABS(LOHNTABELLE!$G$4:$G$500-F82)&lt;0.001),0),0)),IFERROR(INDEX(LOHNTABELLE!$H$4:$H$500,MATCH(1,INDEX((TRIM(IF(ISERROR(FIND("|",LOHNTABELLE!$A$4:$A$500)),LOHNTABELLE!$A$4:$A$500,LEFT(LOHNTABELLE!$A$4:$A$500,FIND("|",LOHNTABELLE!$A$4:$A$500)-1)))=IF($A$1&lt;=4,"KV "&amp;(EINSTELLUNG!$C$35-2)&amp;"/"&amp;(EINSTELLUNG!$C$35-1),"KV "&amp;(EINSTELLUNG!$C$35-1)&amp;"/"&amp;EINSTELLUNG!$C$35))*(LOHNTABELLE!$D$4:$D$500=IF(E82="","",IF(OR(E82="BG1",E82="BG1_Basis",E82="BG1_BASIS"),"BG1_Basis",IF(OR(E82="BG2",E82="BG2_Basis",E82="BG2_BASIS"),"BG2_Basis",IF(OR(E82="BG3",E82="BG3_Basis",E82="BG3_BASIS"),"BG3_Basis",SUBSTITUTE(SUBSTITUTE(E82,"-","_")," ","_"))))))*(ABS(LOHNTABELLE!$G$4:$G$500-F82)&lt;0.001),0),0)),"Nicht gefunden")))</f>
        <v/>
      </c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c8diFTmLwBQFO6BUndQfJ2hijUDcu0aloytFXPpgeS/7ye64HiCrKP3pjvifcMxNJ7/Qk4WvrWQ9QY4sGpAumg==" saltValue="BlBzM6pxwkIJZZtzSSw6z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46266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8897.9599999999991</v>
      </c>
      <c r="R8" s="248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EINSTELLUNG!L30</f>
        <v>9</v>
      </c>
      <c r="R9" s="248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EINSTELLUNG!I30</f>
        <v>9</v>
      </c>
      <c r="R10" s="248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9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167</v>
      </c>
      <c r="R12" s="282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8703.9599999999991</v>
      </c>
      <c r="R13" s="248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EINSTELLUNG!L14</f>
        <v>9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8694.9599999999991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269.46666666666664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EINSTELLUNG!O14</f>
        <v>9</v>
      </c>
      <c r="R29" s="25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1.6949152542372881E-2</v>
      </c>
      <c r="R31" s="271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EINSTELLUNG!C14</f>
        <v>9</v>
      </c>
      <c r="R35" s="244"/>
      <c r="S35" s="244">
        <f>EINSTELLUNG!C30</f>
        <v>9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EINSTELLUNG!D14</f>
        <v>9</v>
      </c>
      <c r="R36" s="244"/>
      <c r="S36" s="288" cm="1">
        <f t="array" ref="S36">SumMergedCells(Q17:R29)</f>
        <v>5009</v>
      </c>
      <c r="T36" s="290"/>
      <c r="U36" s="245">
        <f t="shared" ref="U36:U41" si="2">S36-Q36</f>
        <v>5000</v>
      </c>
      <c r="V36" s="245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556.55555555555554</v>
      </c>
      <c r="T37" s="284"/>
      <c r="U37" s="285">
        <f t="shared" si="2"/>
        <v>555.55555555555554</v>
      </c>
      <c r="V37" s="285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EINSTELLUNG!F14</f>
        <v>9</v>
      </c>
      <c r="R38" s="286"/>
      <c r="S38" s="286">
        <f>EINSTELLUNG!F30</f>
        <v>9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1.0340121048350408E-3</v>
      </c>
      <c r="R40" s="244"/>
      <c r="S40" s="244">
        <f>IF(Q13=0, 0, S35/Q13)</f>
        <v>1.0340121048350408E-3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1.0340121048350408E-3</v>
      </c>
      <c r="R41" s="286"/>
      <c r="S41" s="286">
        <f>IF(Q13=0, 0, S38/Q13)</f>
        <v>1.0340121048350408E-3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>
        <v>1665.6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>
        <v>1616.8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uGuzajCMecBS3h7r0TH/PWXfG5JxbdXxfaKBvCiyjCgkV9JM/dvzjaDECxEbPqPt043ny6997zbKHeRdl1w2SQ==" saltValue="NIl5Oz6oaz3gYaofW3Fw9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46296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8723.1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EINSTELLUNG!L31</f>
        <v>10</v>
      </c>
      <c r="R9" s="248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EINSTELLUNG!I31</f>
        <v>10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10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-121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8814.1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EINSTELLUNG!L15</f>
        <v>10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8804.1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EINSTELLUNG!O15</f>
        <v>10</v>
      </c>
      <c r="R29" s="252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1.6666666666666666E-2</v>
      </c>
      <c r="R31" s="271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EINSTELLUNG!C15</f>
        <v>10</v>
      </c>
      <c r="R35" s="244"/>
      <c r="S35" s="244">
        <f>EINSTELLUNG!C31</f>
        <v>10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EINSTELLUNG!D15</f>
        <v>10</v>
      </c>
      <c r="R36" s="244"/>
      <c r="S36" s="288" cm="1">
        <f t="array" ref="S36">SumMergedCells(Q17:R29)</f>
        <v>5010</v>
      </c>
      <c r="T36" s="290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>
        <v>1010.5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501</v>
      </c>
      <c r="T37" s="284"/>
      <c r="U37" s="285">
        <f t="shared" si="2"/>
        <v>500</v>
      </c>
      <c r="V37" s="285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EINSTELLUNG!F15</f>
        <v>10</v>
      </c>
      <c r="R38" s="286"/>
      <c r="S38" s="286">
        <f>EINSTELLUNG!F31</f>
        <v>10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1.1345457845951374E-3</v>
      </c>
      <c r="R40" s="244"/>
      <c r="S40" s="244">
        <f>IF(Q13=0, 0, S35/Q13)</f>
        <v>1.1345457845951374E-3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1.1345457845951374E-3</v>
      </c>
      <c r="R41" s="286"/>
      <c r="S41" s="286">
        <f>IF(Q13=0, 0, S38/Q13)</f>
        <v>1.1345457845951374E-3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>
        <v>2021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c/+fCKUh+dEPRNwcWUSSraHP7C8KbgfvTufTFkwwo8eOqM5Uqljg4DSCG3QLZPQDTsNOi3CVjMlix4FkPdfSHA==" saltValue="ueRM+N7cu1HzNVs9Rtt7z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46327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8551.9599999999991</v>
      </c>
      <c r="R8" s="248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EINSTELLUNG!L32</f>
        <v>11</v>
      </c>
      <c r="R9" s="248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EINSTELLUNG!I32</f>
        <v>11</v>
      </c>
      <c r="R10" s="248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11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8518.9599999999991</v>
      </c>
      <c r="R12" s="248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EINSTELLUNG!L16</f>
        <v>11</v>
      </c>
      <c r="R13" s="248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8507.9599999999991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EINSTELLUNG!O16</f>
        <v>11</v>
      </c>
      <c r="R29" s="252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1.7857142857142856E-2</v>
      </c>
      <c r="R31" s="271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EINSTELLUNG!C16</f>
        <v>11</v>
      </c>
      <c r="R35" s="244"/>
      <c r="S35" s="244">
        <f>EINSTELLUNG!C32</f>
        <v>11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v>1010.5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EINSTELLUNG!D16</f>
        <v>11</v>
      </c>
      <c r="R36" s="244"/>
      <c r="S36" s="288" cm="1">
        <f t="array" ref="S36">SumMergedCells(Q17:R29)</f>
        <v>5011</v>
      </c>
      <c r="T36" s="290"/>
      <c r="U36" s="245">
        <f t="shared" ref="U36:U41" si="2">S36-Q36</f>
        <v>5000</v>
      </c>
      <c r="V36" s="245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v>1010.5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455.54545454545456</v>
      </c>
      <c r="T37" s="284"/>
      <c r="U37" s="285">
        <f t="shared" si="2"/>
        <v>454.54545454545456</v>
      </c>
      <c r="V37" s="285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EINSTELLUNG!F16</f>
        <v>11</v>
      </c>
      <c r="R38" s="286"/>
      <c r="S38" s="286">
        <f>EINSTELLUNG!F32</f>
        <v>11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1.2912374280428598E-3</v>
      </c>
      <c r="R40" s="244"/>
      <c r="S40" s="244">
        <f>IF(Q12=0, 0, S35/Q12)</f>
        <v>1.2912374280428598E-3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1.2912374280428598E-3</v>
      </c>
      <c r="R41" s="286"/>
      <c r="S41" s="286">
        <f>IF(Q12=0, 0, S38/Q12)</f>
        <v>1.2912374280428598E-3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v>2021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v>2021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tWiOBc5m2bC0WvJScldxDQe2lRkk4m/Z9hmVBI0Kr7IAErmtlFMvIW9HeO0DS51a13vbuk1OQvdUlk84mMHKyw==" saltValue="joUo2lPd1nqhA8ub3aEEx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46357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8494.2999999999993</v>
      </c>
      <c r="R8" s="24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EINSTELLUNG!L33</f>
        <v>12</v>
      </c>
      <c r="R9" s="248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EINSTELLUNG!I33</f>
        <v>12</v>
      </c>
      <c r="R10" s="24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12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-303</v>
      </c>
      <c r="R12" s="282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8761.2999999999993</v>
      </c>
      <c r="R13" s="24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EINSTELLUNG!L17</f>
        <v>12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8749.2999999999993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>
        <v>2300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>
        <v>2300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6"/>
      <c r="P28" s="257"/>
      <c r="Q28" s="258"/>
      <c r="R28" s="259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50" t="s">
        <v>90</v>
      </c>
      <c r="P29" s="351"/>
      <c r="Q29" s="352">
        <f>EINSTELLUNG!O17</f>
        <v>12</v>
      </c>
      <c r="R29" s="353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EINSTELLUNG!C17</f>
        <v>12</v>
      </c>
      <c r="R35" s="244"/>
      <c r="S35" s="244">
        <f>EINSTELLUNG!C33</f>
        <v>12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>
        <v>1010.5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EINSTELLUNG!D17</f>
        <v>12</v>
      </c>
      <c r="R36" s="244"/>
      <c r="S36" s="288" cm="1">
        <f t="array" ref="S36">SumMergedCells(Q17:R29)</f>
        <v>5012</v>
      </c>
      <c r="T36" s="290"/>
      <c r="U36" s="245">
        <f t="shared" ref="U36:U41" si="2">S36-Q36</f>
        <v>5000</v>
      </c>
      <c r="V36" s="245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>
        <v>1010.5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417.66666666666669</v>
      </c>
      <c r="T37" s="284"/>
      <c r="U37" s="285">
        <f t="shared" si="2"/>
        <v>416.66666666666669</v>
      </c>
      <c r="V37" s="285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EINSTELLUNG!F17</f>
        <v>12</v>
      </c>
      <c r="R38" s="286"/>
      <c r="S38" s="286">
        <f>EINSTELLUNG!F33</f>
        <v>12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1.369659753689521E-3</v>
      </c>
      <c r="R40" s="244"/>
      <c r="S40" s="244">
        <f>IF(Q13=0, 0, S35/Q13)</f>
        <v>1.369659753689521E-3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1.369659753689521E-3</v>
      </c>
      <c r="R41" s="286"/>
      <c r="S41" s="286">
        <f>IF(Q13=0, 0, S38/Q13)</f>
        <v>1.369659753689521E-3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>
        <v>2021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>
        <v>2021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>
        <v>2021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>
        <v>2021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>
        <v>2021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>
        <v>1665.6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>
        <v>1616.8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RQADXNCImUFkmK7aPEC1r6CKFAPkzsrl9YRn81BhjKmSQEwjgVi8nW1Rs2AcuEEZ9p65vgnLlDNZACMbeBilpg==" saltValue="7kHYjdMGGM/2PMFFEQ2q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55" t="e">
        <f>"FINANZIELL ÜBERSICHT "&amp;#REF!</f>
        <v>#REF!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2"/>
    </row>
    <row r="3" spans="2:18" ht="15.75" customHeight="1"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2"/>
    </row>
    <row r="4" spans="2:18" ht="30" customHeight="1">
      <c r="B4" s="357"/>
      <c r="C4" s="356" t="s">
        <v>18</v>
      </c>
      <c r="D4" s="356"/>
      <c r="E4" s="356"/>
      <c r="F4" s="356" t="s">
        <v>164</v>
      </c>
      <c r="G4" s="356"/>
      <c r="H4" s="356"/>
      <c r="I4" s="356" t="s">
        <v>165</v>
      </c>
      <c r="J4" s="356"/>
      <c r="K4" s="356"/>
      <c r="L4" s="356" t="s">
        <v>166</v>
      </c>
      <c r="M4" s="356" t="s">
        <v>167</v>
      </c>
      <c r="N4" s="358" t="s">
        <v>168</v>
      </c>
      <c r="O4" s="358"/>
      <c r="P4" s="358"/>
      <c r="Q4" s="358" t="s">
        <v>93</v>
      </c>
    </row>
    <row r="5" spans="2:18" ht="30" customHeight="1">
      <c r="B5" s="357"/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8"/>
      <c r="O5" s="358"/>
      <c r="P5" s="358"/>
      <c r="Q5" s="358"/>
    </row>
    <row r="6" spans="2:18" ht="30" customHeight="1">
      <c r="B6" s="357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56"/>
      <c r="M6" s="356"/>
      <c r="N6" s="25" t="s">
        <v>172</v>
      </c>
      <c r="O6" s="25" t="s">
        <v>173</v>
      </c>
      <c r="P6" s="26" t="s">
        <v>171</v>
      </c>
      <c r="Q6" s="358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54" t="s">
        <v>190</v>
      </c>
      <c r="C25" s="354"/>
      <c r="D25" s="354"/>
      <c r="E25" s="354"/>
    </row>
    <row r="26" spans="2:17">
      <c r="B26" s="354"/>
      <c r="C26" s="354"/>
      <c r="D26" s="354"/>
      <c r="E26" s="354"/>
    </row>
    <row r="27" spans="2:17">
      <c r="B27" s="354"/>
      <c r="C27" s="354"/>
      <c r="D27" s="354"/>
      <c r="E27" s="354"/>
    </row>
    <row r="28" spans="2:17" ht="20" customHeight="1">
      <c r="B28" s="389" t="str">
        <f xml:space="preserve"> "DURCHRECHNUNGSSTUNDEN - " &amp; EINSTELLUNG!C35</f>
        <v>DURCHRECHNUNGSSTUNDEN - 2026</v>
      </c>
      <c r="C28" s="390"/>
      <c r="D28" s="390"/>
      <c r="E28" s="390"/>
      <c r="F28" s="390"/>
      <c r="G28" s="390"/>
      <c r="H28" s="390"/>
      <c r="I28" s="390"/>
    </row>
    <row r="29" spans="2:17" ht="36" customHeight="1">
      <c r="B29" s="391" t="s">
        <v>461</v>
      </c>
      <c r="C29" s="392"/>
      <c r="D29" s="392"/>
      <c r="E29" s="392"/>
      <c r="F29" s="392"/>
      <c r="G29" s="392"/>
      <c r="H29" s="392"/>
      <c r="I29" s="392"/>
    </row>
    <row r="30" spans="2:17" ht="20" customHeight="1">
      <c r="B30" s="384" t="s">
        <v>462</v>
      </c>
      <c r="C30" s="385" t="s">
        <v>477</v>
      </c>
      <c r="D30" s="384" t="s">
        <v>463</v>
      </c>
      <c r="E30" s="385"/>
      <c r="F30" s="384" t="s">
        <v>464</v>
      </c>
      <c r="G30" s="385"/>
      <c r="H30" s="380"/>
      <c r="I30" s="380"/>
    </row>
    <row r="31" spans="2:17" s="383" customFormat="1" ht="30" customHeight="1">
      <c r="B31" s="393" t="s">
        <v>465</v>
      </c>
      <c r="C31" s="393" t="s">
        <v>466</v>
      </c>
      <c r="D31" s="393" t="s">
        <v>467</v>
      </c>
      <c r="E31" s="393" t="s">
        <v>468</v>
      </c>
      <c r="F31" s="393" t="s">
        <v>98</v>
      </c>
      <c r="G31" s="393" t="s">
        <v>469</v>
      </c>
      <c r="H31" s="393" t="s">
        <v>470</v>
      </c>
      <c r="I31" s="393" t="s">
        <v>300</v>
      </c>
    </row>
    <row r="32" spans="2:17" ht="34" customHeight="1">
      <c r="B32" s="386" t="s">
        <v>471</v>
      </c>
      <c r="C32" s="386" t="s">
        <v>178</v>
      </c>
      <c r="D32" s="387">
        <f>Februar!Q12+Marz!Q13+April!Q13</f>
        <v>27033.489999999998</v>
      </c>
      <c r="E32" s="387">
        <f>EINSTELLUNG!L7+EINSTELLUNG!L8+EINSTELLUNG!L9</f>
        <v>9</v>
      </c>
      <c r="F32" s="387">
        <f>April!Q15</f>
        <v>9035.1799999999985</v>
      </c>
      <c r="G32" s="387">
        <f>MAX(0,-F32)</f>
        <v>0</v>
      </c>
      <c r="H32" s="387" t="str">
        <f>IF(OR($C$30="",G32=0),"",G32*$C$30*3/2)</f>
        <v/>
      </c>
      <c r="I32" s="388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386" t="s">
        <v>472</v>
      </c>
      <c r="C33" s="386" t="s">
        <v>182</v>
      </c>
      <c r="D33" s="387">
        <f>Mai!Q12+Juni!Q13+Juli!Q13</f>
        <v>27823.379999999997</v>
      </c>
      <c r="E33" s="387">
        <f>EINSTELLUNG!L10+EINSTELLUNG!L11+EINSTELLUNG!L12</f>
        <v>27900</v>
      </c>
      <c r="F33" s="387">
        <f>Juli!Q15</f>
        <v>-75.640000000001237</v>
      </c>
      <c r="G33" s="387">
        <f>MAX(0,-F33)</f>
        <v>75.640000000001237</v>
      </c>
      <c r="H33" s="387" t="e">
        <f>IF(OR($C$30="",G33=0),"",G33*$C$30*3/2)</f>
        <v>#VALUE!</v>
      </c>
      <c r="I33" s="388" t="str">
        <f>IF(F33&lt;0,"ACHTUNG: Ueberstunden-Risiko",IF(F33&gt;0,"Hinweis: Reserve / Minus-Stunden moeglich","OK"))</f>
        <v>ACHTUNG: Ueberstunden-Risiko</v>
      </c>
    </row>
    <row r="34" spans="2:9" ht="34" customHeight="1">
      <c r="B34" s="386" t="s">
        <v>473</v>
      </c>
      <c r="C34" s="386" t="s">
        <v>186</v>
      </c>
      <c r="D34" s="387">
        <f>August!Q12+September!Q13+Oktober!Q13</f>
        <v>26559.25</v>
      </c>
      <c r="E34" s="387">
        <f>EINSTELLUNG!L13+EINSTELLUNG!L14+EINSTELLUNG!L15</f>
        <v>27</v>
      </c>
      <c r="F34" s="387">
        <f>Oktober!Q15</f>
        <v>8804.1</v>
      </c>
      <c r="G34" s="387">
        <f>MAX(0,-F34)</f>
        <v>0</v>
      </c>
      <c r="H34" s="387" t="str">
        <f>IF(OR($C$30="",G34=0),"",G34*$C$30*3/2)</f>
        <v/>
      </c>
      <c r="I34" s="388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386" t="s">
        <v>474</v>
      </c>
      <c r="C35" s="386" t="s">
        <v>475</v>
      </c>
      <c r="D35" s="387">
        <f>November!Q12+Dezember!Q13+E30</f>
        <v>17280.259999999998</v>
      </c>
      <c r="E35" s="387">
        <f>EINSTELLUNG!L16+EINSTELLUNG!L17+G30</f>
        <v>23</v>
      </c>
      <c r="F35" s="387">
        <f>D35-E35</f>
        <v>17257.259999999998</v>
      </c>
      <c r="G35" s="387">
        <f>MAX(0,-F35)</f>
        <v>0</v>
      </c>
      <c r="H35" s="387" t="str">
        <f>IF(OR($C$30="",G35=0),"",G35*$C$30*3/2)</f>
        <v/>
      </c>
      <c r="I35" s="388" t="str">
        <f>IF(F35&lt;0,"ACHTUNG: Ueberstunden-Risiko",IF(F35&gt;0,"Hinweis: Reserve / Minus-Stunden moeglich","OK"))</f>
        <v>Hinweis: Reserve / Minus-Stunden moeglich</v>
      </c>
    </row>
    <row r="36" spans="2:9">
      <c r="B36" s="381" t="s">
        <v>476</v>
      </c>
      <c r="C36" s="382"/>
      <c r="D36" s="382"/>
      <c r="E36" s="382"/>
      <c r="F36" s="382"/>
      <c r="G36" s="382"/>
      <c r="H36" s="382"/>
      <c r="I36" s="382"/>
    </row>
    <row r="37" spans="2:9">
      <c r="B37" s="380"/>
      <c r="C37" s="380"/>
      <c r="D37" s="380"/>
      <c r="E37" s="380"/>
      <c r="F37" s="380"/>
      <c r="G37" s="380"/>
      <c r="H37" s="380"/>
      <c r="I37" s="380"/>
    </row>
    <row r="38" spans="2:9" ht="40" customHeight="1">
      <c r="B38" s="380"/>
      <c r="C38" s="380"/>
      <c r="D38" s="380"/>
      <c r="E38" s="380"/>
      <c r="F38" s="380"/>
      <c r="G38" s="380"/>
      <c r="H38" s="380"/>
      <c r="I38" s="380"/>
    </row>
  </sheetData>
  <sheetProtection algorithmName="SHA-512" hashValue="5agY95sZge34/HOroVzsForzVk+ik9PiUqCXbKNdzmpb+zSWhnoIQlw7URBLHVMzEbGrXvQqGQCj6WAHJ9xDDg==" saltValue="wB9z8Pyhy47zUJ8sa3+xe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DaplqkhUYse3rRx7p+Wk2ia/Y8C3+ukxAIUWmlZBHwzJmTcgB02He9tB0B2DJTJUnX3V5O0b+Qdpu8kACkXuug==" saltValue="UuDOKgC6nOPCIvsbYkYHT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89" customWidth="1"/>
    <col min="2" max="2" width="20.83203125" style="189" customWidth="1"/>
    <col min="3" max="5" width="26.83203125" style="189" customWidth="1"/>
    <col min="6" max="7" width="18.83203125" style="189" customWidth="1"/>
    <col min="8" max="8" width="22.83203125" style="189" customWidth="1"/>
    <col min="9" max="12" width="36.83203125" style="189" customWidth="1"/>
    <col min="13" max="15" width="10.83203125" style="189"/>
    <col min="16" max="19" width="2.83203125" style="189" customWidth="1"/>
    <col min="20" max="16384" width="10.83203125" style="189"/>
  </cols>
  <sheetData>
    <row r="1" spans="1:17" ht="44" customHeight="1">
      <c r="A1" s="366" t="s">
        <v>362</v>
      </c>
      <c r="B1" s="361"/>
      <c r="C1" s="361"/>
      <c r="D1" s="361"/>
      <c r="E1" s="361"/>
      <c r="P1" s="189" t="s">
        <v>217</v>
      </c>
      <c r="Q1" s="189" t="s">
        <v>229</v>
      </c>
    </row>
    <row r="2" spans="1:17" ht="15" customHeight="1">
      <c r="A2" s="190" t="s">
        <v>363</v>
      </c>
      <c r="B2" s="190">
        <v>2026</v>
      </c>
      <c r="C2" s="190" t="s">
        <v>364</v>
      </c>
      <c r="D2" s="193" t="s">
        <v>365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367" t="s">
        <v>366</v>
      </c>
      <c r="B4" s="368"/>
      <c r="C4" s="368"/>
      <c r="D4" s="368"/>
      <c r="E4" s="368"/>
      <c r="P4" s="189" t="s">
        <v>321</v>
      </c>
      <c r="Q4" s="189">
        <v>1</v>
      </c>
    </row>
    <row r="5" spans="1:17" ht="30" customHeight="1">
      <c r="A5" s="375" t="s">
        <v>300</v>
      </c>
      <c r="B5" s="377" t="s">
        <v>360</v>
      </c>
      <c r="C5" s="369" t="s">
        <v>367</v>
      </c>
      <c r="D5" s="370"/>
      <c r="E5" s="371"/>
      <c r="P5" s="189" t="s">
        <v>182</v>
      </c>
      <c r="Q5" s="189">
        <v>1</v>
      </c>
    </row>
    <row r="6" spans="1:17" ht="30" customHeight="1" thickBot="1">
      <c r="A6" s="376"/>
      <c r="B6" s="376"/>
      <c r="C6" s="372"/>
      <c r="D6" s="373"/>
      <c r="E6" s="374"/>
      <c r="P6" s="189" t="s">
        <v>183</v>
      </c>
      <c r="Q6" s="189">
        <v>2</v>
      </c>
    </row>
    <row r="7" spans="1:17" ht="15" customHeight="1">
      <c r="P7" s="189" t="s">
        <v>184</v>
      </c>
      <c r="Q7" s="189">
        <v>1</v>
      </c>
    </row>
    <row r="8" spans="1:17" ht="30" customHeight="1">
      <c r="A8" s="196" t="s">
        <v>223</v>
      </c>
      <c r="B8" s="196" t="s">
        <v>368</v>
      </c>
      <c r="C8" s="196" t="s">
        <v>225</v>
      </c>
      <c r="D8" s="196" t="s">
        <v>369</v>
      </c>
      <c r="E8" s="196" t="s">
        <v>370</v>
      </c>
      <c r="P8" s="189" t="s">
        <v>186</v>
      </c>
      <c r="Q8" s="189">
        <v>1</v>
      </c>
    </row>
    <row r="9" spans="1:17" ht="22" customHeight="1">
      <c r="A9" s="185">
        <v>9</v>
      </c>
      <c r="B9" s="194">
        <v>5.1724137931034482E-2</v>
      </c>
      <c r="C9" s="195">
        <v>8.25</v>
      </c>
      <c r="D9" s="185">
        <v>6</v>
      </c>
      <c r="E9" s="185">
        <v>0</v>
      </c>
      <c r="P9" s="189" t="s">
        <v>187</v>
      </c>
      <c r="Q9" s="189">
        <v>1</v>
      </c>
    </row>
    <row r="11" spans="1:17" ht="15" customHeight="1">
      <c r="A11" s="191" t="s">
        <v>371</v>
      </c>
    </row>
    <row r="12" spans="1:17" ht="22" customHeight="1">
      <c r="A12" s="192" t="s">
        <v>372</v>
      </c>
      <c r="B12" s="192" t="s">
        <v>373</v>
      </c>
      <c r="C12" s="192" t="s">
        <v>374</v>
      </c>
      <c r="D12" s="378" t="s">
        <v>375</v>
      </c>
      <c r="E12" s="378"/>
    </row>
    <row r="13" spans="1:17" ht="57.25" customHeight="1">
      <c r="A13" s="185">
        <v>1</v>
      </c>
      <c r="B13" s="184" t="s">
        <v>230</v>
      </c>
      <c r="C13" s="184" t="s">
        <v>389</v>
      </c>
      <c r="D13" s="364" t="s">
        <v>376</v>
      </c>
      <c r="E13" s="364"/>
    </row>
    <row r="14" spans="1:17" ht="73" customHeight="1">
      <c r="A14" s="185">
        <v>2</v>
      </c>
      <c r="B14" s="184" t="s">
        <v>230</v>
      </c>
      <c r="C14" s="184" t="s">
        <v>390</v>
      </c>
      <c r="D14" s="364" t="s">
        <v>376</v>
      </c>
      <c r="E14" s="364"/>
    </row>
    <row r="15" spans="1:17" ht="73" customHeight="1">
      <c r="A15" s="185">
        <v>3</v>
      </c>
      <c r="B15" s="184" t="s">
        <v>377</v>
      </c>
      <c r="C15" s="184" t="s">
        <v>391</v>
      </c>
      <c r="D15" s="364" t="s">
        <v>378</v>
      </c>
      <c r="E15" s="364"/>
    </row>
    <row r="16" spans="1:17" ht="57.25" customHeight="1">
      <c r="A16" s="185">
        <v>4</v>
      </c>
      <c r="B16" s="184" t="s">
        <v>231</v>
      </c>
      <c r="C16" s="184" t="s">
        <v>392</v>
      </c>
      <c r="D16" s="364" t="s">
        <v>379</v>
      </c>
      <c r="E16" s="364"/>
    </row>
    <row r="17" spans="1:17" ht="57.25" customHeight="1">
      <c r="A17" s="185">
        <v>5</v>
      </c>
      <c r="B17" s="184" t="s">
        <v>377</v>
      </c>
      <c r="C17" s="184" t="s">
        <v>393</v>
      </c>
      <c r="D17" s="364" t="s">
        <v>378</v>
      </c>
      <c r="E17" s="364"/>
    </row>
    <row r="18" spans="1:17" ht="57.25" customHeight="1">
      <c r="A18" s="185">
        <v>6</v>
      </c>
      <c r="B18" s="184" t="s">
        <v>231</v>
      </c>
      <c r="C18" s="184" t="s">
        <v>394</v>
      </c>
      <c r="D18" s="364" t="s">
        <v>379</v>
      </c>
      <c r="E18" s="364"/>
    </row>
    <row r="20" spans="1:17" ht="15" customHeight="1">
      <c r="P20" s="189" t="s">
        <v>222</v>
      </c>
      <c r="Q20" s="189" t="s">
        <v>385</v>
      </c>
    </row>
    <row r="21" spans="1:17" ht="15" customHeight="1">
      <c r="A21" s="191" t="s">
        <v>380</v>
      </c>
      <c r="P21" s="189" t="s">
        <v>323</v>
      </c>
      <c r="Q21" s="189">
        <v>2</v>
      </c>
    </row>
    <row r="22" spans="1:17" ht="41.5" customHeight="1">
      <c r="A22" s="185">
        <v>1</v>
      </c>
      <c r="B22" s="364" t="s">
        <v>381</v>
      </c>
      <c r="C22" s="364"/>
      <c r="D22" s="364"/>
      <c r="E22" s="364"/>
      <c r="P22" s="189" t="s">
        <v>350</v>
      </c>
      <c r="Q22" s="189">
        <v>2</v>
      </c>
    </row>
    <row r="23" spans="1:17" ht="41.5" customHeight="1">
      <c r="A23" s="185">
        <v>2</v>
      </c>
      <c r="B23" s="364" t="s">
        <v>382</v>
      </c>
      <c r="C23" s="364"/>
      <c r="D23" s="364"/>
      <c r="E23" s="364"/>
      <c r="P23" s="189" t="s">
        <v>227</v>
      </c>
      <c r="Q23" s="189">
        <v>2</v>
      </c>
    </row>
    <row r="24" spans="1:17" ht="41.5" customHeight="1">
      <c r="A24" s="185">
        <v>3</v>
      </c>
      <c r="B24" s="364" t="s">
        <v>383</v>
      </c>
      <c r="C24" s="364"/>
      <c r="D24" s="364"/>
      <c r="E24" s="364"/>
      <c r="P24" s="189" t="s">
        <v>386</v>
      </c>
      <c r="Q24" s="189">
        <v>3</v>
      </c>
    </row>
    <row r="25" spans="1:17" ht="41.5" customHeight="1">
      <c r="A25" s="185">
        <v>4</v>
      </c>
      <c r="B25" s="364" t="s">
        <v>384</v>
      </c>
      <c r="C25" s="364"/>
      <c r="D25" s="364"/>
      <c r="E25" s="364"/>
    </row>
    <row r="27" spans="1:17" ht="15" customHeight="1">
      <c r="A27" s="365" t="s">
        <v>387</v>
      </c>
      <c r="B27" s="365"/>
      <c r="C27" s="365"/>
      <c r="D27" s="365"/>
      <c r="E27" s="365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385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4</v>
      </c>
    </row>
    <row r="44" spans="18:19" ht="18" customHeight="1">
      <c r="R44" s="189" t="s">
        <v>206</v>
      </c>
      <c r="S44" s="189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60" t="s">
        <v>388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</row>
    <row r="63" spans="1:12" ht="15" customHeight="1">
      <c r="A63" s="185" t="s">
        <v>217</v>
      </c>
      <c r="B63" s="185" t="s">
        <v>229</v>
      </c>
      <c r="C63" s="185" t="s">
        <v>233</v>
      </c>
      <c r="D63" s="185" t="s">
        <v>225</v>
      </c>
      <c r="E63" s="185" t="s">
        <v>288</v>
      </c>
      <c r="F63" s="185" t="s">
        <v>323</v>
      </c>
      <c r="G63" s="185" t="s">
        <v>350</v>
      </c>
      <c r="H63" s="185" t="s">
        <v>227</v>
      </c>
      <c r="I63" s="185" t="s">
        <v>308</v>
      </c>
      <c r="J63" s="185" t="s">
        <v>306</v>
      </c>
      <c r="K63" s="185"/>
      <c r="L63" s="185"/>
    </row>
    <row r="64" spans="1:12" ht="42" customHeight="1">
      <c r="A64" s="186" t="s">
        <v>289</v>
      </c>
      <c r="B64" s="186">
        <v>1</v>
      </c>
      <c r="C64" s="187">
        <v>1.9607843137254902E-2</v>
      </c>
      <c r="D64" s="188">
        <v>0.625</v>
      </c>
      <c r="E64" s="188">
        <v>0.625</v>
      </c>
      <c r="F64" s="186">
        <v>0</v>
      </c>
      <c r="G64" s="186">
        <v>0</v>
      </c>
      <c r="H64" s="186">
        <v>0</v>
      </c>
      <c r="I64" s="184" t="s">
        <v>309</v>
      </c>
      <c r="J64" s="364" t="s">
        <v>291</v>
      </c>
      <c r="K64" s="364"/>
      <c r="L64" s="364"/>
    </row>
    <row r="65" spans="1:12" ht="42" customHeight="1">
      <c r="A65" s="186" t="s">
        <v>349</v>
      </c>
      <c r="B65" s="186">
        <v>1</v>
      </c>
      <c r="C65" s="187">
        <v>1.7241379310344827E-2</v>
      </c>
      <c r="D65" s="188">
        <v>0.22499999999999998</v>
      </c>
      <c r="E65" s="188">
        <v>0.22499999999999998</v>
      </c>
      <c r="F65" s="186">
        <v>1</v>
      </c>
      <c r="G65" s="186">
        <v>0</v>
      </c>
      <c r="H65" s="186">
        <v>0</v>
      </c>
      <c r="I65" s="184" t="s">
        <v>361</v>
      </c>
      <c r="J65" s="364" t="s">
        <v>325</v>
      </c>
      <c r="K65" s="364"/>
      <c r="L65" s="364"/>
    </row>
    <row r="66" spans="1:12" ht="42" customHeight="1">
      <c r="A66" s="186" t="s">
        <v>321</v>
      </c>
      <c r="B66" s="186">
        <v>1</v>
      </c>
      <c r="C66" s="187">
        <v>1.6949152542372881E-2</v>
      </c>
      <c r="D66" s="188">
        <v>0.5</v>
      </c>
      <c r="E66" s="188">
        <v>0.5</v>
      </c>
      <c r="F66" s="186">
        <v>1</v>
      </c>
      <c r="G66" s="186">
        <v>0</v>
      </c>
      <c r="H66" s="186">
        <v>0</v>
      </c>
      <c r="I66" s="184" t="s">
        <v>324</v>
      </c>
      <c r="J66" s="364" t="s">
        <v>325</v>
      </c>
      <c r="K66" s="364"/>
      <c r="L66" s="364"/>
    </row>
    <row r="67" spans="1:12" ht="42" customHeight="1">
      <c r="A67" s="186" t="s">
        <v>182</v>
      </c>
      <c r="B67" s="186">
        <v>1</v>
      </c>
      <c r="C67" s="187">
        <v>1.6393442622950821E-2</v>
      </c>
      <c r="D67" s="188">
        <v>1.6500000000000001</v>
      </c>
      <c r="E67" s="188">
        <v>1.6500000000000001</v>
      </c>
      <c r="F67" s="186">
        <v>0</v>
      </c>
      <c r="G67" s="186">
        <v>1</v>
      </c>
      <c r="H67" s="186">
        <v>0</v>
      </c>
      <c r="I67" s="184" t="s">
        <v>359</v>
      </c>
      <c r="J67" s="364" t="s">
        <v>351</v>
      </c>
      <c r="K67" s="364"/>
      <c r="L67" s="364"/>
    </row>
    <row r="68" spans="1:12" ht="42" customHeight="1">
      <c r="A68" s="186" t="s">
        <v>183</v>
      </c>
      <c r="B68" s="186">
        <v>2</v>
      </c>
      <c r="C68" s="187">
        <v>3.3898305084745763E-2</v>
      </c>
      <c r="D68" s="188">
        <v>1.5</v>
      </c>
      <c r="E68" s="188">
        <v>0.75</v>
      </c>
      <c r="F68" s="186">
        <v>0</v>
      </c>
      <c r="G68" s="186">
        <v>0</v>
      </c>
      <c r="H68" s="186">
        <v>1</v>
      </c>
      <c r="I68" s="184" t="s">
        <v>355</v>
      </c>
      <c r="J68" s="364" t="s">
        <v>327</v>
      </c>
      <c r="K68" s="364"/>
      <c r="L68" s="364"/>
    </row>
    <row r="69" spans="1:12" ht="42" customHeight="1">
      <c r="A69" s="186" t="s">
        <v>184</v>
      </c>
      <c r="B69" s="186">
        <v>1</v>
      </c>
      <c r="C69" s="187">
        <v>1.7241379310344827E-2</v>
      </c>
      <c r="D69" s="188">
        <v>0.75</v>
      </c>
      <c r="E69" s="188">
        <v>0.75</v>
      </c>
      <c r="F69" s="186">
        <v>0</v>
      </c>
      <c r="G69" s="186">
        <v>0</v>
      </c>
      <c r="H69" s="186">
        <v>0</v>
      </c>
      <c r="I69" s="184" t="s">
        <v>309</v>
      </c>
      <c r="J69" s="364" t="s">
        <v>291</v>
      </c>
      <c r="K69" s="364"/>
      <c r="L69" s="364"/>
    </row>
    <row r="70" spans="1:12" ht="42" customHeight="1">
      <c r="A70" s="186" t="s">
        <v>186</v>
      </c>
      <c r="B70" s="186">
        <v>1</v>
      </c>
      <c r="C70" s="187">
        <v>1.7543859649122806E-2</v>
      </c>
      <c r="D70" s="188">
        <v>2</v>
      </c>
      <c r="E70" s="188">
        <v>2</v>
      </c>
      <c r="F70" s="186">
        <v>0</v>
      </c>
      <c r="G70" s="186">
        <v>1</v>
      </c>
      <c r="H70" s="186">
        <v>0</v>
      </c>
      <c r="I70" s="184" t="s">
        <v>324</v>
      </c>
      <c r="J70" s="364" t="s">
        <v>351</v>
      </c>
      <c r="K70" s="364"/>
      <c r="L70" s="364"/>
    </row>
    <row r="71" spans="1:12" ht="42" customHeight="1">
      <c r="A71" s="186" t="s">
        <v>187</v>
      </c>
      <c r="B71" s="186">
        <v>1</v>
      </c>
      <c r="C71" s="187">
        <v>1.7857142857142856E-2</v>
      </c>
      <c r="D71" s="188">
        <v>1</v>
      </c>
      <c r="E71" s="188">
        <v>1</v>
      </c>
      <c r="F71" s="186">
        <v>0</v>
      </c>
      <c r="G71" s="186">
        <v>0</v>
      </c>
      <c r="H71" s="186">
        <v>1</v>
      </c>
      <c r="I71" s="184" t="s">
        <v>324</v>
      </c>
      <c r="J71" s="364" t="s">
        <v>327</v>
      </c>
      <c r="K71" s="364"/>
      <c r="L71" s="364"/>
    </row>
    <row r="75" spans="1:12" ht="15" customHeight="1">
      <c r="A75" s="362" t="s">
        <v>310</v>
      </c>
      <c r="B75" s="363"/>
      <c r="C75" s="363"/>
      <c r="D75" s="363"/>
      <c r="E75" s="363"/>
    </row>
    <row r="76" spans="1:12" ht="41.5" customHeight="1">
      <c r="A76" s="192" t="s">
        <v>232</v>
      </c>
      <c r="B76" s="359" t="s">
        <v>234</v>
      </c>
      <c r="C76" s="359"/>
      <c r="D76" s="359"/>
      <c r="E76" s="359"/>
    </row>
    <row r="77" spans="1:12" ht="41.5" customHeight="1">
      <c r="A77" s="192" t="s">
        <v>225</v>
      </c>
      <c r="B77" s="359" t="s">
        <v>311</v>
      </c>
      <c r="C77" s="359"/>
      <c r="D77" s="359"/>
      <c r="E77" s="359"/>
    </row>
    <row r="78" spans="1:12" ht="41.5" customHeight="1">
      <c r="A78" s="192" t="s">
        <v>287</v>
      </c>
      <c r="B78" s="359" t="s">
        <v>312</v>
      </c>
      <c r="C78" s="359"/>
      <c r="D78" s="359"/>
      <c r="E78" s="359"/>
    </row>
    <row r="79" spans="1:12" ht="41.5" customHeight="1">
      <c r="A79" s="192" t="s">
        <v>230</v>
      </c>
      <c r="B79" s="359" t="s">
        <v>313</v>
      </c>
      <c r="C79" s="359"/>
      <c r="D79" s="359"/>
      <c r="E79" s="359"/>
    </row>
    <row r="80" spans="1:12" ht="41.5" customHeight="1">
      <c r="A80" s="192" t="s">
        <v>226</v>
      </c>
      <c r="B80" s="359" t="s">
        <v>314</v>
      </c>
      <c r="C80" s="359"/>
      <c r="D80" s="359"/>
      <c r="E80" s="359"/>
    </row>
    <row r="81" spans="1:5" ht="41.5" customHeight="1">
      <c r="A81" s="192" t="s">
        <v>231</v>
      </c>
      <c r="B81" s="359" t="s">
        <v>315</v>
      </c>
      <c r="C81" s="359"/>
      <c r="D81" s="359"/>
      <c r="E81" s="359"/>
    </row>
    <row r="82" spans="1:5" ht="28" customHeight="1">
      <c r="A82" s="192" t="s">
        <v>228</v>
      </c>
      <c r="B82" s="359" t="s">
        <v>316</v>
      </c>
      <c r="C82" s="359"/>
      <c r="D82" s="359"/>
      <c r="E82" s="359"/>
    </row>
    <row r="83" spans="1:5" ht="28" customHeight="1">
      <c r="A83" s="192" t="s">
        <v>317</v>
      </c>
      <c r="B83" s="359" t="s">
        <v>318</v>
      </c>
      <c r="C83" s="359"/>
      <c r="D83" s="359"/>
      <c r="E83" s="359"/>
    </row>
  </sheetData>
  <sheetProtection algorithmName="SHA-512" hashValue="aJZJZ1olCS7JqXl1wbD0Ps1Fjtec0a+ib8CsvB6Uy+8LXKBUspGGVhsokEqe73jXkluyzfhXvL3v0g65V7Gx3g==" saltValue="Si7WekKvxYWJAyKUskFG1Q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zdWOfxdxGvD6XJTMQ0+pnK+6DN1rx56Iaoi8KQY7euxGcIPUanXYALPZz7zeSGnPI8CQib/H5FxN6ZpHNE6Ag==" saltValue="sy8Uw62C1pHAw3kNb43I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gN9E4QLrU9zAcEBbIz+cvoX0FBteq9Ow6F3CKtpX0hA0d1gu2kns+NM6xa/y6QWdKuDhpDTyscID1wBnhA4I6w==" saltValue="v8aPRpO1fML2RmZY8N6nV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0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</sheetData>
  <sheetProtection algorithmName="SHA-512" hashValue="LYVjl5mX88PTd0+aWPK9UK6yGZCYmg41irzAoz5ItRMqCBkZOZ4AK4mDyYMlgf2kbzFsWO2uYfmtdlbH0TI5pw==" saltValue="hHsiRu99+YmIWSiWVvrQA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2026-05-22T08:06:50Z</dcterms:modified>
  <cp:category/>
  <cp:contentStatus/>
</cp:coreProperties>
</file>
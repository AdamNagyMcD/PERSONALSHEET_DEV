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062BD6C0-9A0E-464B-B806-54F29047F523}" xr6:coauthVersionLast="47" xr6:coauthVersionMax="47" xr10:uidLastSave="{00000000-0000-0000-0000-000000000000}"/>
  <bookViews>
    <workbookView xWindow="80" yWindow="780" windowWidth="34040" windowHeight="19900" tabRatio="677" activeTab="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G79" i="37"/>
  <c r="G80" i="37"/>
  <c r="K80" i="37" s="1"/>
  <c r="L80" i="37" s="1"/>
  <c r="G81" i="37"/>
  <c r="K81" i="37" s="1"/>
  <c r="L81" i="37" s="1"/>
  <c r="G82" i="37"/>
  <c r="G65" i="28"/>
  <c r="G66" i="28"/>
  <c r="K66" i="28" s="1"/>
  <c r="L66" i="28" s="1"/>
  <c r="G67" i="28"/>
  <c r="K67" i="28" s="1"/>
  <c r="L67" i="28" s="1"/>
  <c r="G68" i="28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G81" i="28"/>
  <c r="K81" i="28" s="1"/>
  <c r="L81" i="28" s="1"/>
  <c r="G82" i="28"/>
  <c r="G63" i="27"/>
  <c r="G64" i="27"/>
  <c r="G65" i="27"/>
  <c r="G66" i="27"/>
  <c r="K66" i="27" s="1"/>
  <c r="L66" i="27" s="1"/>
  <c r="G67" i="27"/>
  <c r="K67" i="27" s="1"/>
  <c r="L67" i="27" s="1"/>
  <c r="G68" i="27"/>
  <c r="G69" i="27"/>
  <c r="K69" i="27" s="1"/>
  <c r="L69" i="27" s="1"/>
  <c r="G70" i="27"/>
  <c r="G71" i="27"/>
  <c r="K71" i="27" s="1"/>
  <c r="L71" i="27" s="1"/>
  <c r="G72" i="27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K77" i="27" s="1"/>
  <c r="L77" i="27" s="1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G71" i="26"/>
  <c r="K71" i="26" s="1"/>
  <c r="L71" i="26" s="1"/>
  <c r="G72" i="26"/>
  <c r="G73" i="26"/>
  <c r="K73" i="26" s="1"/>
  <c r="L73" i="26" s="1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G66" i="25"/>
  <c r="K66" i="25" s="1"/>
  <c r="L66" i="25" s="1"/>
  <c r="G67" i="25"/>
  <c r="G68" i="25"/>
  <c r="K68" i="25" s="1"/>
  <c r="L68" i="25" s="1"/>
  <c r="G69" i="25"/>
  <c r="G70" i="25"/>
  <c r="G71" i="25"/>
  <c r="G72" i="25"/>
  <c r="G73" i="25"/>
  <c r="K73" i="25" s="1"/>
  <c r="L73" i="25" s="1"/>
  <c r="G74" i="25"/>
  <c r="K74" i="25" s="1"/>
  <c r="L74" i="25" s="1"/>
  <c r="G75" i="25"/>
  <c r="G76" i="25"/>
  <c r="K76" i="25" s="1"/>
  <c r="L76" i="25" s="1"/>
  <c r="G77" i="25"/>
  <c r="G78" i="25"/>
  <c r="G79" i="25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9" i="28"/>
  <c r="L69" i="28" s="1"/>
  <c r="K75" i="28"/>
  <c r="L75" i="28" s="1"/>
  <c r="K80" i="28"/>
  <c r="L80" i="28" s="1"/>
  <c r="K82" i="28"/>
  <c r="L82" i="28" s="1"/>
  <c r="K65" i="27"/>
  <c r="L65" i="27" s="1"/>
  <c r="K70" i="27"/>
  <c r="L70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82" i="35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69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69" i="31"/>
  <c r="L69" i="31" s="1"/>
  <c r="K71" i="31"/>
  <c r="L71" i="31" s="1"/>
  <c r="K75" i="31"/>
  <c r="L75" i="31" s="1"/>
  <c r="K77" i="31"/>
  <c r="L77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72" i="27"/>
  <c r="L72" i="27" s="1"/>
  <c r="K67" i="26"/>
  <c r="L67" i="26" s="1"/>
  <c r="K69" i="26"/>
  <c r="L69" i="26" s="1"/>
  <c r="K72" i="26"/>
  <c r="L72" i="26" s="1"/>
  <c r="K75" i="26"/>
  <c r="L75" i="26" s="1"/>
  <c r="K77" i="26"/>
  <c r="L77" i="26" s="1"/>
  <c r="K63" i="25"/>
  <c r="L63" i="25" s="1"/>
  <c r="K65" i="25"/>
  <c r="L65" i="25" s="1"/>
  <c r="K69" i="25"/>
  <c r="L69" i="25" s="1"/>
  <c r="K71" i="25"/>
  <c r="L71" i="25" s="1"/>
  <c r="K72" i="25"/>
  <c r="L72" i="25" s="1"/>
  <c r="K75" i="25"/>
  <c r="L75" i="25" s="1"/>
  <c r="K77" i="25"/>
  <c r="L77" i="25" s="1"/>
  <c r="K79" i="25"/>
  <c r="L79" i="25" s="1"/>
  <c r="K73" i="31"/>
  <c r="K81" i="31"/>
  <c r="L81" i="31" s="1"/>
  <c r="K71" i="30"/>
  <c r="L71" i="30" s="1"/>
  <c r="K78" i="30"/>
  <c r="L78" i="30" s="1"/>
  <c r="K68" i="26"/>
  <c r="L68" i="26" s="1"/>
  <c r="K70" i="26"/>
  <c r="L70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L62" i="32" s="1"/>
  <c r="K64" i="32"/>
  <c r="K68" i="32"/>
  <c r="L68" i="32" s="1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K68" i="30"/>
  <c r="L68" i="30" s="1"/>
  <c r="K72" i="30"/>
  <c r="L72" i="30" s="1"/>
  <c r="K76" i="30"/>
  <c r="L76" i="30" s="1"/>
  <c r="K66" i="37"/>
  <c r="L66" i="37" s="1"/>
  <c r="K68" i="37"/>
  <c r="L68" i="37" s="1"/>
  <c r="K70" i="37"/>
  <c r="L70" i="37" s="1"/>
  <c r="K75" i="37"/>
  <c r="L75" i="37" s="1"/>
  <c r="K76" i="37"/>
  <c r="L76" i="37" s="1"/>
  <c r="K78" i="37"/>
  <c r="L78" i="37" s="1"/>
  <c r="K82" i="37"/>
  <c r="L82" i="37" s="1"/>
  <c r="K68" i="28"/>
  <c r="L68" i="28" s="1"/>
  <c r="K64" i="27"/>
  <c r="L64" i="27" s="1"/>
  <c r="K80" i="27"/>
  <c r="L80" i="27" s="1"/>
  <c r="K62" i="25"/>
  <c r="L62" i="25" s="1"/>
  <c r="K64" i="25"/>
  <c r="L64" i="25" s="1"/>
  <c r="K67" i="25"/>
  <c r="L67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54" i="35"/>
  <c r="G9" i="36"/>
  <c r="G9" i="33"/>
  <c r="G42" i="32"/>
  <c r="G3" i="30"/>
  <c r="G19" i="37"/>
  <c r="G35" i="28"/>
  <c r="G59" i="27"/>
  <c r="G35" i="35"/>
  <c r="G36" i="36"/>
  <c r="G13" i="33"/>
  <c r="G61" i="32"/>
  <c r="G6" i="35"/>
  <c r="G16" i="36"/>
  <c r="G24" i="33"/>
  <c r="G49" i="32"/>
  <c r="G51" i="36"/>
  <c r="G36" i="33"/>
  <c r="G13" i="32"/>
  <c r="G37" i="31"/>
  <c r="G6" i="30"/>
  <c r="G46" i="37"/>
  <c r="G62" i="28"/>
  <c r="G62" i="27"/>
  <c r="G14" i="26"/>
  <c r="G40" i="25"/>
  <c r="G26" i="3"/>
  <c r="G22" i="35"/>
  <c r="G32" i="36"/>
  <c r="G40" i="33"/>
  <c r="G10" i="32"/>
  <c r="G42" i="31"/>
  <c r="G58" i="30"/>
  <c r="G3" i="28"/>
  <c r="G27" i="27"/>
  <c r="G59" i="26"/>
  <c r="G28" i="25"/>
  <c r="G21" i="3"/>
  <c r="G7" i="27"/>
  <c r="G30" i="26"/>
  <c r="G56" i="25"/>
  <c r="G42" i="3"/>
  <c r="G41" i="35"/>
  <c r="G22" i="36"/>
  <c r="G46" i="33"/>
  <c r="G55" i="32"/>
  <c r="G24" i="31"/>
  <c r="G8" i="30"/>
  <c r="G64" i="37"/>
  <c r="G25" i="28"/>
  <c r="G27" i="31"/>
  <c r="G37" i="30"/>
  <c r="G8" i="37"/>
  <c r="G15" i="27"/>
  <c r="G38" i="35"/>
  <c r="G48" i="36"/>
  <c r="G57" i="33"/>
  <c r="G34" i="35"/>
  <c r="G38" i="36"/>
  <c r="G50" i="33"/>
  <c r="G18" i="31"/>
  <c r="G56" i="28"/>
  <c r="G42" i="26"/>
  <c r="G33" i="3"/>
  <c r="G43" i="28"/>
  <c r="G50" i="26"/>
  <c r="G45" i="3"/>
  <c r="G6" i="3"/>
  <c r="G44" i="3"/>
  <c r="G23" i="25"/>
  <c r="G61" i="26"/>
  <c r="G40" i="31"/>
  <c r="G46" i="28"/>
  <c r="G15" i="26"/>
  <c r="G8" i="3"/>
  <c r="G46" i="27"/>
  <c r="G19" i="3"/>
  <c r="G54" i="28"/>
  <c r="G24" i="3"/>
  <c r="G39" i="27"/>
  <c r="G9" i="31"/>
  <c r="G39" i="28"/>
  <c r="G14" i="3"/>
  <c r="G17" i="25"/>
  <c r="G16" i="32"/>
  <c r="G16" i="37"/>
  <c r="G60" i="26"/>
  <c r="G27" i="3"/>
  <c r="G33" i="31"/>
  <c r="G25" i="30"/>
  <c r="G10" i="37"/>
  <c r="G12" i="31"/>
  <c r="G9" i="37"/>
  <c r="G24" i="27"/>
  <c r="G31" i="35"/>
  <c r="G34" i="36"/>
  <c r="G51" i="32"/>
  <c r="G33" i="35"/>
  <c r="G44" i="25"/>
  <c r="G16" i="3"/>
  <c r="G47" i="35"/>
  <c r="G50" i="36"/>
  <c r="G3" i="32"/>
  <c r="G43" i="31"/>
  <c r="G9" i="30"/>
  <c r="G29" i="37"/>
  <c r="G36" i="28"/>
  <c r="G44" i="27"/>
  <c r="G28" i="35"/>
  <c r="G45" i="36"/>
  <c r="G14" i="33"/>
  <c r="G23" i="32"/>
  <c r="G10" i="35"/>
  <c r="G10" i="36"/>
  <c r="G25" i="33"/>
  <c r="G51" i="35"/>
  <c r="G52" i="36"/>
  <c r="G29" i="33"/>
  <c r="G6" i="32"/>
  <c r="G62" i="31"/>
  <c r="G41" i="30"/>
  <c r="G47" i="37"/>
  <c r="G8" i="28"/>
  <c r="G55" i="27"/>
  <c r="G48" i="26"/>
  <c r="G49" i="25"/>
  <c r="G44" i="32"/>
  <c r="G15" i="35"/>
  <c r="G17" i="36"/>
  <c r="G41" i="33"/>
  <c r="G11" i="31"/>
  <c r="G35" i="30"/>
  <c r="G51" i="37"/>
  <c r="G4" i="28"/>
  <c r="G12" i="27"/>
  <c r="G28" i="26"/>
  <c r="G29" i="25"/>
  <c r="G30" i="3"/>
  <c r="G16" i="27"/>
  <c r="G26" i="26"/>
  <c r="G10" i="25"/>
  <c r="G3" i="33"/>
  <c r="G45" i="35"/>
  <c r="G31" i="36"/>
  <c r="G47" i="33"/>
  <c r="G9" i="32"/>
  <c r="G34" i="28"/>
  <c r="G30" i="30"/>
  <c r="G47" i="36"/>
  <c r="G18" i="33"/>
  <c r="G5" i="30"/>
  <c r="G4" i="30"/>
  <c r="G54" i="27"/>
  <c r="G5" i="3"/>
  <c r="G40" i="35"/>
  <c r="G19" i="33"/>
  <c r="G30" i="32"/>
  <c r="G28" i="31"/>
  <c r="G60" i="30"/>
  <c r="G44" i="37"/>
  <c r="G37" i="28"/>
  <c r="G29" i="27"/>
  <c r="G13" i="35"/>
  <c r="G54" i="36"/>
  <c r="G15" i="33"/>
  <c r="G32" i="32"/>
  <c r="G17" i="35"/>
  <c r="G57" i="36"/>
  <c r="G19" i="32"/>
  <c r="G44" i="35"/>
  <c r="G6" i="36"/>
  <c r="G30" i="33"/>
  <c r="G39" i="32"/>
  <c r="G8" i="31"/>
  <c r="G63" i="30"/>
  <c r="G48" i="37"/>
  <c r="G9" i="28"/>
  <c r="G9" i="27"/>
  <c r="G47" i="26"/>
  <c r="G58" i="25"/>
  <c r="G61" i="31"/>
  <c r="G8" i="35"/>
  <c r="G58" i="36"/>
  <c r="G35" i="32"/>
  <c r="G55" i="31"/>
  <c r="G28" i="30"/>
  <c r="G12" i="37"/>
  <c r="G5" i="28"/>
  <c r="G34" i="27"/>
  <c r="G21" i="26"/>
  <c r="G30" i="25"/>
  <c r="G39" i="3"/>
  <c r="G25" i="27"/>
  <c r="G16" i="26"/>
  <c r="G11" i="3"/>
  <c r="G3" i="37"/>
  <c r="G30" i="35"/>
  <c r="G40" i="36"/>
  <c r="G48" i="33"/>
  <c r="G18" i="32"/>
  <c r="G50" i="31"/>
  <c r="G17" i="30"/>
  <c r="G11" i="28"/>
  <c r="G35" i="27"/>
  <c r="G47" i="31"/>
  <c r="G23" i="30"/>
  <c r="G19" i="28"/>
  <c r="G33" i="27"/>
  <c r="G24" i="35"/>
  <c r="G42" i="33"/>
  <c r="G28" i="37"/>
  <c r="G46" i="35"/>
  <c r="G56" i="36"/>
  <c r="G10" i="33"/>
  <c r="G47" i="30"/>
  <c r="G37" i="27"/>
  <c r="G6" i="25"/>
  <c r="G11" i="30"/>
  <c r="G64" i="28"/>
  <c r="G3" i="25"/>
  <c r="G41" i="3"/>
  <c r="G10" i="3"/>
  <c r="G32" i="3"/>
  <c r="G34" i="32"/>
  <c r="G45" i="25"/>
  <c r="G61" i="30"/>
  <c r="G50" i="27"/>
  <c r="G60" i="25"/>
  <c r="G56" i="31"/>
  <c r="G23" i="26"/>
  <c r="G18" i="3"/>
  <c r="G41" i="27"/>
  <c r="G59" i="31"/>
  <c r="G24" i="26"/>
  <c r="G38" i="30"/>
  <c r="G12" i="26"/>
  <c r="G49" i="31"/>
  <c r="G42" i="37"/>
  <c r="G23" i="31"/>
  <c r="G45" i="28"/>
  <c r="G62" i="26"/>
  <c r="G7" i="3"/>
  <c r="G19" i="30"/>
  <c r="G49" i="3"/>
  <c r="G28" i="27"/>
  <c r="G45" i="32"/>
  <c r="G52" i="30"/>
  <c r="G36" i="31"/>
  <c r="G50" i="37"/>
  <c r="G27" i="36"/>
  <c r="G12" i="33"/>
  <c r="G60" i="32"/>
  <c r="G13" i="31"/>
  <c r="G53" i="30"/>
  <c r="G22" i="37"/>
  <c r="G38" i="28"/>
  <c r="G38" i="27"/>
  <c r="G58" i="35"/>
  <c r="G8" i="36"/>
  <c r="G16" i="33"/>
  <c r="G41" i="32"/>
  <c r="G56" i="35"/>
  <c r="G35" i="33"/>
  <c r="G12" i="32"/>
  <c r="G29" i="35"/>
  <c r="G15" i="36"/>
  <c r="G31" i="33"/>
  <c r="G48" i="32"/>
  <c r="G17" i="31"/>
  <c r="G56" i="30"/>
  <c r="G49" i="37"/>
  <c r="G18" i="28"/>
  <c r="G42" i="27"/>
  <c r="G19" i="25"/>
  <c r="G4" i="3"/>
  <c r="G51" i="30"/>
  <c r="G26" i="35"/>
  <c r="G51" i="33"/>
  <c r="G28" i="32"/>
  <c r="G60" i="31"/>
  <c r="G21" i="30"/>
  <c r="G37" i="37"/>
  <c r="G6" i="28"/>
  <c r="G6" i="27"/>
  <c r="G40" i="26"/>
  <c r="G39" i="25"/>
  <c r="G9" i="3"/>
  <c r="G3" i="26"/>
  <c r="G35" i="25"/>
  <c r="G20" i="3"/>
  <c r="G18" i="37"/>
  <c r="G23" i="35"/>
  <c r="G49" i="36"/>
  <c r="G49" i="33"/>
  <c r="G19" i="31"/>
  <c r="G43" i="30"/>
  <c r="G59" i="37"/>
  <c r="G12" i="28"/>
  <c r="G37" i="32"/>
  <c r="G7" i="31"/>
  <c r="G16" i="30"/>
  <c r="G21" i="28"/>
  <c r="G11" i="26"/>
  <c r="G11" i="36"/>
  <c r="G60" i="33"/>
  <c r="G20" i="28"/>
  <c r="G39" i="35"/>
  <c r="G18" i="36"/>
  <c r="G58" i="33"/>
  <c r="G11" i="37"/>
  <c r="G32" i="27"/>
  <c r="G8" i="25"/>
  <c r="G45" i="30"/>
  <c r="G10" i="27"/>
  <c r="G52" i="25"/>
  <c r="G45" i="26"/>
  <c r="G36" i="27"/>
  <c r="G23" i="28"/>
  <c r="G5" i="31"/>
  <c r="G36" i="37"/>
  <c r="G24" i="30"/>
  <c r="G30" i="27"/>
  <c r="G46" i="25"/>
  <c r="G57" i="30"/>
  <c r="G54" i="25"/>
  <c r="G35" i="31"/>
  <c r="G6" i="26"/>
  <c r="G15" i="25"/>
  <c r="G54" i="26"/>
  <c r="G48" i="30"/>
  <c r="G53" i="26"/>
  <c r="G53" i="37"/>
  <c r="G18" i="30"/>
  <c r="G26" i="31"/>
  <c r="G40" i="28"/>
  <c r="G57" i="26"/>
  <c r="G25" i="3"/>
  <c r="G51" i="27"/>
  <c r="G46" i="3"/>
  <c r="G46" i="26"/>
  <c r="G41" i="28"/>
  <c r="G11" i="25"/>
  <c r="G40" i="3"/>
  <c r="G19" i="26"/>
  <c r="G27" i="35"/>
  <c r="G28" i="36"/>
  <c r="G5" i="33"/>
  <c r="G53" i="32"/>
  <c r="G38" i="31"/>
  <c r="G46" i="30"/>
  <c r="G23" i="37"/>
  <c r="G47" i="28"/>
  <c r="G31" i="27"/>
  <c r="G25" i="35"/>
  <c r="G41" i="36"/>
  <c r="G17" i="33"/>
  <c r="G50" i="32"/>
  <c r="G43" i="36"/>
  <c r="G28" i="33"/>
  <c r="G5" i="32"/>
  <c r="G14" i="35"/>
  <c r="G24" i="36"/>
  <c r="G32" i="33"/>
  <c r="G57" i="32"/>
  <c r="G34" i="31"/>
  <c r="G50" i="30"/>
  <c r="G58" i="37"/>
  <c r="G19" i="27"/>
  <c r="G51" i="26"/>
  <c r="G20" i="25"/>
  <c r="G13" i="3"/>
  <c r="G41" i="26"/>
  <c r="G59" i="36"/>
  <c r="G44" i="33"/>
  <c r="G21" i="32"/>
  <c r="G45" i="31"/>
  <c r="G14" i="30"/>
  <c r="G54" i="37"/>
  <c r="G7" i="28"/>
  <c r="G26" i="27"/>
  <c r="G22" i="26"/>
  <c r="G48" i="25"/>
  <c r="G34" i="3"/>
  <c r="G9" i="26"/>
  <c r="G36" i="25"/>
  <c r="G29" i="3"/>
  <c r="G22" i="28"/>
  <c r="G16" i="35"/>
  <c r="G33" i="36"/>
  <c r="G43" i="32"/>
  <c r="G4" i="31"/>
  <c r="G36" i="30"/>
  <c r="G20" i="37"/>
  <c r="G13" i="28"/>
  <c r="G54" i="32"/>
  <c r="G32" i="31"/>
  <c r="G10" i="30"/>
  <c r="G31" i="28"/>
  <c r="G11" i="35"/>
  <c r="G12" i="36"/>
  <c r="G53" i="33"/>
  <c r="G33" i="28"/>
  <c r="G32" i="35"/>
  <c r="G11" i="33"/>
  <c r="G59" i="32"/>
  <c r="G60" i="37"/>
  <c r="G43" i="26"/>
  <c r="G41" i="25"/>
  <c r="G55" i="30"/>
  <c r="G45" i="27"/>
  <c r="G14" i="25"/>
  <c r="G43" i="25"/>
  <c r="G46" i="31"/>
  <c r="G54" i="31"/>
  <c r="G57" i="27"/>
  <c r="G53" i="25"/>
  <c r="G35" i="37"/>
  <c r="G56" i="27"/>
  <c r="G24" i="25"/>
  <c r="G21" i="37"/>
  <c r="G10" i="28"/>
  <c r="G29" i="31"/>
  <c r="G5" i="25"/>
  <c r="G34" i="30"/>
  <c r="G4" i="25"/>
  <c r="G45" i="37"/>
  <c r="G38" i="26"/>
  <c r="G26" i="37"/>
  <c r="G44" i="26"/>
  <c r="G49" i="30"/>
  <c r="G11" i="27"/>
  <c r="G12" i="25"/>
  <c r="G54" i="30"/>
  <c r="G3" i="27"/>
  <c r="G15" i="37"/>
  <c r="G31" i="26"/>
  <c r="G52" i="28"/>
  <c r="G25" i="25"/>
  <c r="G31" i="30"/>
  <c r="G21" i="27"/>
  <c r="G31" i="3"/>
  <c r="G56" i="37"/>
  <c r="G17" i="28"/>
  <c r="G17" i="27"/>
  <c r="G55" i="26"/>
  <c r="G3" i="3"/>
  <c r="G5" i="27"/>
  <c r="G20" i="36"/>
  <c r="G44" i="31"/>
  <c r="G62" i="30"/>
  <c r="G47" i="27"/>
  <c r="G53" i="3"/>
  <c r="G57" i="28"/>
  <c r="G17" i="26"/>
  <c r="G14" i="31"/>
  <c r="G44" i="28"/>
  <c r="G42" i="25"/>
  <c r="G23" i="27"/>
  <c r="G20" i="31"/>
  <c r="G35" i="26"/>
  <c r="G23" i="3"/>
  <c r="G20" i="35"/>
  <c r="G37" i="36"/>
  <c r="G6" i="33"/>
  <c r="G15" i="32"/>
  <c r="G31" i="31"/>
  <c r="G39" i="30"/>
  <c r="G24" i="37"/>
  <c r="G48" i="28"/>
  <c r="G40" i="27"/>
  <c r="G55" i="35"/>
  <c r="G25" i="36"/>
  <c r="G11" i="32"/>
  <c r="G43" i="35"/>
  <c r="G44" i="36"/>
  <c r="G21" i="33"/>
  <c r="G22" i="32"/>
  <c r="G7" i="35"/>
  <c r="G42" i="36"/>
  <c r="G33" i="33"/>
  <c r="G3" i="31"/>
  <c r="G27" i="30"/>
  <c r="G43" i="37"/>
  <c r="G59" i="28"/>
  <c r="G4" i="27"/>
  <c r="G20" i="26"/>
  <c r="G21" i="25"/>
  <c r="G22" i="3"/>
  <c r="G49" i="35"/>
  <c r="G5" i="36"/>
  <c r="G37" i="33"/>
  <c r="G38" i="32"/>
  <c r="G15" i="31"/>
  <c r="G7" i="30"/>
  <c r="G55" i="37"/>
  <c r="G16" i="28"/>
  <c r="G8" i="27"/>
  <c r="G33" i="26"/>
  <c r="G57" i="25"/>
  <c r="G20" i="27"/>
  <c r="G36" i="26"/>
  <c r="G37" i="25"/>
  <c r="G38" i="3"/>
  <c r="G42" i="28"/>
  <c r="G3" i="36"/>
  <c r="G59" i="33"/>
  <c r="G36" i="32"/>
  <c r="G22" i="31"/>
  <c r="G29" i="30"/>
  <c r="G61" i="37"/>
  <c r="G14" i="28"/>
  <c r="G8" i="32"/>
  <c r="G41" i="31"/>
  <c r="G5" i="37"/>
  <c r="G32" i="28"/>
  <c r="G4" i="35"/>
  <c r="G21" i="36"/>
  <c r="G54" i="33"/>
  <c r="G13" i="27"/>
  <c r="G19" i="36"/>
  <c r="G4" i="33"/>
  <c r="G25" i="32"/>
  <c r="G32" i="37"/>
  <c r="G34" i="26"/>
  <c r="G35" i="3"/>
  <c r="G27" i="37"/>
  <c r="G48" i="27"/>
  <c r="G16" i="25"/>
  <c r="G32" i="25"/>
  <c r="G52" i="27"/>
  <c r="G10" i="31"/>
  <c r="G51" i="25"/>
  <c r="G52" i="3"/>
  <c r="G30" i="37"/>
  <c r="G18" i="26"/>
  <c r="G26" i="25"/>
  <c r="G33" i="37"/>
  <c r="G59" i="30"/>
  <c r="G7" i="25"/>
  <c r="G29" i="28"/>
  <c r="G52" i="32"/>
  <c r="G61" i="25"/>
  <c r="G31" i="37"/>
  <c r="G22" i="25"/>
  <c r="G52" i="35"/>
  <c r="G14" i="36"/>
  <c r="G38" i="25"/>
  <c r="G47" i="3"/>
  <c r="G3" i="35"/>
  <c r="G4" i="36"/>
  <c r="G52" i="33"/>
  <c r="G29" i="32"/>
  <c r="G53" i="31"/>
  <c r="G22" i="30"/>
  <c r="G62" i="37"/>
  <c r="G15" i="28"/>
  <c r="G58" i="31"/>
  <c r="G6" i="37"/>
  <c r="G43" i="27"/>
  <c r="G57" i="35"/>
  <c r="G30" i="36"/>
  <c r="G55" i="33"/>
  <c r="G19" i="35"/>
  <c r="G34" i="33"/>
  <c r="G37" i="3"/>
  <c r="G14" i="37"/>
  <c r="G28" i="28"/>
  <c r="G52" i="26"/>
  <c r="G40" i="30"/>
  <c r="G9" i="25"/>
  <c r="G63" i="28"/>
  <c r="G51" i="31"/>
  <c r="G41" i="37"/>
  <c r="G13" i="25"/>
  <c r="G50" i="28"/>
  <c r="G7" i="32"/>
  <c r="G42" i="30"/>
  <c r="G55" i="25"/>
  <c r="G30" i="28"/>
  <c r="G54" i="3"/>
  <c r="G5" i="35"/>
  <c r="G46" i="36"/>
  <c r="G7" i="33"/>
  <c r="G24" i="32"/>
  <c r="G48" i="31"/>
  <c r="G32" i="30"/>
  <c r="G25" i="37"/>
  <c r="G49" i="28"/>
  <c r="G49" i="27"/>
  <c r="G48" i="35"/>
  <c r="G27" i="33"/>
  <c r="G4" i="32"/>
  <c r="G36" i="35"/>
  <c r="G53" i="36"/>
  <c r="G22" i="33"/>
  <c r="G31" i="32"/>
  <c r="G50" i="35"/>
  <c r="G26" i="36"/>
  <c r="G27" i="32"/>
  <c r="G30" i="31"/>
  <c r="G20" i="30"/>
  <c r="G4" i="37"/>
  <c r="G60" i="28"/>
  <c r="G61" i="27"/>
  <c r="G13" i="26"/>
  <c r="G38" i="33"/>
  <c r="G47" i="32"/>
  <c r="G16" i="31"/>
  <c r="G33" i="30"/>
  <c r="G29" i="26"/>
  <c r="G17" i="32"/>
  <c r="G27" i="28"/>
  <c r="G10" i="26"/>
  <c r="G49" i="26"/>
  <c r="G18" i="25"/>
  <c r="G34" i="25"/>
  <c r="G59" i="25"/>
  <c r="G12" i="30"/>
  <c r="G58" i="32"/>
  <c r="G17" i="37"/>
  <c r="G37" i="26"/>
  <c r="G51" i="3"/>
  <c r="G55" i="28"/>
  <c r="G52" i="37"/>
  <c r="G33" i="25"/>
  <c r="G39" i="26"/>
  <c r="G63" i="31"/>
  <c r="G25" i="26"/>
  <c r="G18" i="35"/>
  <c r="G55" i="36"/>
  <c r="G8" i="33"/>
  <c r="G33" i="32"/>
  <c r="G57" i="31"/>
  <c r="G26" i="30"/>
  <c r="G34" i="37"/>
  <c r="G58" i="28"/>
  <c r="G27" i="26"/>
  <c r="G35" i="36"/>
  <c r="G20" i="33"/>
  <c r="G14" i="32"/>
  <c r="G21" i="35"/>
  <c r="G7" i="36"/>
  <c r="G23" i="33"/>
  <c r="G40" i="32"/>
  <c r="G9" i="35"/>
  <c r="G43" i="33"/>
  <c r="G20" i="32"/>
  <c r="G52" i="31"/>
  <c r="G13" i="30"/>
  <c r="G13" i="37"/>
  <c r="G61" i="28"/>
  <c r="G53" i="27"/>
  <c r="G32" i="26"/>
  <c r="G31" i="25"/>
  <c r="G48" i="3"/>
  <c r="G37" i="35"/>
  <c r="G23" i="36"/>
  <c r="G39" i="33"/>
  <c r="G56" i="32"/>
  <c r="G25" i="31"/>
  <c r="G64" i="30"/>
  <c r="G57" i="37"/>
  <c r="G26" i="28"/>
  <c r="G58" i="27"/>
  <c r="G27" i="25"/>
  <c r="G12" i="3"/>
  <c r="G14" i="27"/>
  <c r="G56" i="26"/>
  <c r="G47" i="25"/>
  <c r="G17" i="3"/>
  <c r="G42" i="35"/>
  <c r="G13" i="36"/>
  <c r="G45" i="33"/>
  <c r="G46" i="32"/>
  <c r="G6" i="31"/>
  <c r="G15" i="30"/>
  <c r="G63" i="37"/>
  <c r="G24" i="28"/>
  <c r="G26" i="32"/>
  <c r="G44" i="30"/>
  <c r="G7" i="37"/>
  <c r="G22" i="27"/>
  <c r="G53" i="35"/>
  <c r="G39" i="36"/>
  <c r="G56" i="33"/>
  <c r="G12" i="35"/>
  <c r="G29" i="36"/>
  <c r="G26" i="33"/>
  <c r="G39" i="31"/>
  <c r="G53" i="28"/>
  <c r="G8" i="26"/>
  <c r="G15" i="3"/>
  <c r="G40" i="37"/>
  <c r="G5" i="26"/>
  <c r="G43" i="3"/>
  <c r="G28" i="3"/>
  <c r="G50" i="25"/>
  <c r="G39" i="37"/>
  <c r="G18" i="27"/>
  <c r="G21" i="31"/>
  <c r="G51" i="28"/>
  <c r="G58" i="26"/>
  <c r="G38" i="37"/>
  <c r="G36" i="3"/>
  <c r="G60" i="27"/>
  <c r="G7" i="26"/>
  <c r="G4" i="26"/>
  <c r="G50" i="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K33" i="35"/>
  <c r="L33" i="35" s="1"/>
  <c r="K53" i="35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L53" i="36"/>
  <c r="K53" i="36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L51" i="36"/>
  <c r="K51" i="36"/>
  <c r="K43" i="36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L33" i="33"/>
  <c r="K33" i="33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K43" i="32"/>
  <c r="K35" i="32"/>
  <c r="L35" i="32" s="1"/>
  <c r="K27" i="32"/>
  <c r="K19" i="32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43" i="36"/>
  <c r="L63" i="32"/>
  <c r="L5" i="31"/>
  <c r="L53" i="32"/>
  <c r="L61" i="35"/>
  <c r="K39" i="32"/>
  <c r="L39" i="32" s="1"/>
  <c r="K55" i="35"/>
  <c r="L55" i="35" s="1"/>
  <c r="K41" i="35"/>
  <c r="L41" i="35" s="1"/>
  <c r="L60" i="32"/>
  <c r="L57" i="35"/>
  <c r="L3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K17" i="35"/>
  <c r="L17" i="35" s="1"/>
  <c r="L67" i="35"/>
  <c r="L82" i="35"/>
  <c r="L53" i="35"/>
  <c r="L18" i="35"/>
  <c r="L75" i="35"/>
  <c r="L59" i="35"/>
  <c r="L51" i="35"/>
  <c r="L50" i="35"/>
  <c r="L42" i="35"/>
  <c r="L34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1" i="32"/>
  <c r="L43" i="32"/>
  <c r="L27" i="32"/>
  <c r="L19" i="32"/>
  <c r="L67" i="32"/>
  <c r="L16" i="31"/>
  <c r="K63" i="31"/>
  <c r="L63" i="31" s="1"/>
  <c r="L13" i="31"/>
  <c r="L21" i="31"/>
  <c r="K37" i="31"/>
  <c r="L37" i="31" s="1"/>
  <c r="L53" i="31"/>
  <c r="K82" i="30"/>
  <c r="L82" i="30" s="1"/>
  <c r="L73" i="31"/>
  <c r="L74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1" a="1"/>
  <c r="S36" i="28" a="1"/>
  <c r="S36" i="33" a="1"/>
  <c r="S36" i="32" a="1"/>
  <c r="S36" i="30" a="1"/>
  <c r="S36" i="35" a="1"/>
  <c r="S36" i="36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<sst xmlns="http://schemas.openxmlformats.org/spreadsheetml/2006/main" count="4712" uniqueCount="494">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</sst>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horizontal="left" vertical="center" wrapText="1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6" t="s">
        <v>292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74" customHeight="1">
      <c r="A2" s="303" t="s">
        <v>352</v>
      </c>
      <c r="B2" s="303"/>
      <c r="C2" s="303"/>
      <c r="D2" s="303"/>
      <c r="E2" s="303"/>
      <c r="F2" s="303"/>
      <c r="G2" s="303"/>
      <c r="H2" s="303"/>
      <c r="I2" s="214"/>
      <c r="J2" s="214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4" t="s">
        <v>487</v>
      </c>
      <c r="B4" s="305"/>
      <c r="C4" s="305"/>
      <c r="D4" s="306"/>
      <c r="E4" s="306"/>
      <c r="F4" s="306"/>
      <c r="G4" s="307"/>
      <c r="H4" s="308"/>
      <c r="I4" s="306"/>
      <c r="J4" s="309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7" t="s">
        <v>346</v>
      </c>
      <c r="B185" s="298"/>
      <c r="C185" s="298"/>
      <c r="D185" s="299"/>
      <c r="E185" s="299"/>
      <c r="F185" s="299"/>
      <c r="G185" s="300"/>
      <c r="H185" s="301"/>
      <c r="I185" s="299"/>
      <c r="J185" s="302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2" t="s">
        <v>14</v>
      </c>
      <c r="C3" s="312"/>
      <c r="D3" s="312"/>
      <c r="E3" s="312"/>
      <c r="F3" s="312"/>
      <c r="H3" s="310" t="s">
        <v>15</v>
      </c>
      <c r="I3" s="310"/>
      <c r="K3" s="314" t="s">
        <v>16</v>
      </c>
      <c r="L3" s="314"/>
      <c r="N3" s="310" t="s">
        <v>17</v>
      </c>
      <c r="O3" s="310"/>
    </row>
    <row r="4" spans="2:15" ht="15" customHeight="1">
      <c r="B4" s="312"/>
      <c r="C4" s="312"/>
      <c r="D4" s="312"/>
      <c r="E4" s="312"/>
      <c r="F4" s="312"/>
      <c r="H4" s="310"/>
      <c r="I4" s="310"/>
      <c r="K4" s="314"/>
      <c r="L4" s="314"/>
      <c r="N4" s="310"/>
      <c r="O4" s="31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1" t="s">
        <v>22</v>
      </c>
      <c r="I5" s="311"/>
      <c r="K5" s="311" t="s">
        <v>22</v>
      </c>
      <c r="L5" s="311"/>
      <c r="N5" s="311" t="s">
        <v>23</v>
      </c>
      <c r="O5" s="311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13" t="s">
        <v>37</v>
      </c>
      <c r="C19" s="313"/>
      <c r="D19" s="313"/>
      <c r="E19" s="313"/>
      <c r="F19" s="313"/>
      <c r="H19" s="310" t="s">
        <v>38</v>
      </c>
      <c r="I19" s="310"/>
      <c r="K19" s="314" t="s">
        <v>39</v>
      </c>
      <c r="L19" s="314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13"/>
      <c r="C20" s="313"/>
      <c r="D20" s="313"/>
      <c r="E20" s="313"/>
      <c r="F20" s="313"/>
      <c r="H20" s="310"/>
      <c r="I20" s="310"/>
      <c r="K20" s="314"/>
      <c r="L20" s="314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1" t="s">
        <v>22</v>
      </c>
      <c r="I21" s="311"/>
      <c r="K21" s="311" t="s">
        <v>22</v>
      </c>
      <c r="L21" s="311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6" t="s">
        <v>395</v>
      </c>
      <c r="B1" s="317"/>
      <c r="C1" s="317"/>
      <c r="D1" s="317"/>
    </row>
    <row r="2" spans="1:4">
      <c r="A2" s="149" t="s">
        <v>364</v>
      </c>
      <c r="B2" s="149" t="s">
        <v>365</v>
      </c>
    </row>
    <row r="3" spans="1:4" ht="36" customHeight="1">
      <c r="A3" s="315" t="s">
        <v>396</v>
      </c>
      <c r="B3" s="315"/>
      <c r="C3" s="315"/>
      <c r="D3" s="315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G21" sqref="G21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46023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7494.8</v>
      </c>
      <c r="R8" s="248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EINSTELLUNG!L22</f>
        <v>1</v>
      </c>
      <c r="R9" s="248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EINSTELLUNG!I22</f>
        <v>1</v>
      </c>
      <c r="R10" s="248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</v>
      </c>
      <c r="R11" s="248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/>
      <c r="R12" s="252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f>IF(OR(E13="",F13=""),"",PID_KVLohnLookup($A$1,E13,F13,LOHNTABELLE!$H$4))</f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7491.8</v>
      </c>
      <c r="R13" s="248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f>IF(OR(E14="",F14=""),"",PID_KVLohnLookup($A$1,E14,F14,LOHNTABELLE!$H$4))</f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EINSTELLUNG!L6</f>
        <v>1</v>
      </c>
      <c r="R14" s="248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f>IF(OR(E15="",F15=""),"",PID_KVLohnLookup($A$1,E15,F15,LOHNTABELLE!$H$4))</f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7490.8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20"/>
      <c r="P18" s="221"/>
      <c r="Q18" s="243"/>
      <c r="R18" s="243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20"/>
      <c r="P19" s="221"/>
      <c r="Q19" s="243"/>
      <c r="R19" s="243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20"/>
      <c r="P20" s="221"/>
      <c r="Q20" s="243"/>
      <c r="R20" s="243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f>IF(OR(E21="",F21=""),"",PID_KVLohnLookup($A$1,E21,F21,LOHNTABELLE!$H$4))</f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20" t="s">
        <v>320</v>
      </c>
      <c r="P21" s="221"/>
      <c r="Q21" s="243">
        <v>5000</v>
      </c>
      <c r="R21" s="243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20"/>
      <c r="P22" s="221"/>
      <c r="Q22" s="243"/>
      <c r="R22" s="243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20"/>
      <c r="P23" s="221"/>
      <c r="Q23" s="243"/>
      <c r="R23" s="243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f>IF(OR(E24="",F24=""),"",PID_KVLohnLookup($A$1,E24,F24,LOHNTABELLE!$H$4))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20"/>
      <c r="P24" s="221"/>
      <c r="Q24" s="243"/>
      <c r="R24" s="243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29"/>
      <c r="Q25" s="260"/>
      <c r="R25" s="260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EINSTELLUNG!O6</f>
        <v>1</v>
      </c>
      <c r="R29" s="231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1.9607843137254902E-2</v>
      </c>
      <c r="R31" s="235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f>IF(OR(E32="",F32=""),"",PID_KVLohnLookup($A$1,E32,F32,LOHNTABELLE!$H$4))</f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318" t="s">
        <v>96</v>
      </c>
      <c r="R33" s="319"/>
      <c r="S33" s="322" t="s">
        <v>97</v>
      </c>
      <c r="T33" s="323"/>
      <c r="U33" s="322" t="s">
        <v>98</v>
      </c>
      <c r="V33" s="323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320"/>
      <c r="R34" s="321"/>
      <c r="S34" s="324"/>
      <c r="T34" s="325"/>
      <c r="U34" s="324"/>
      <c r="V34" s="325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f>IF(OR(E35="",F35=""),"",PID_KVLohnLookup($A$1,E35,F35,LOHNTABELLE!$H$4))</f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EINSTELLUNG!C6</f>
        <v>1</v>
      </c>
      <c r="R35" s="218"/>
      <c r="S35" s="218">
        <f>EINSTELLUNG!C22</f>
        <v>1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EINSTELLUNG!D6</f>
        <v>1</v>
      </c>
      <c r="R36" s="218"/>
      <c r="S36" s="218" cm="1">
        <f t="array" ref="S36">SumMergedCells(Q17:R29)</f>
        <v>5001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5001</v>
      </c>
      <c r="T37" s="226"/>
      <c r="U37" s="227">
        <f t="shared" si="2"/>
        <v>5000</v>
      </c>
      <c r="V37" s="227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EINSTELLUNG!F6</f>
        <v>1</v>
      </c>
      <c r="R38" s="219"/>
      <c r="S38" s="219">
        <f>EINSTELLUNG!F22</f>
        <v>1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1.3347927066926506E-4</v>
      </c>
      <c r="R40" s="218"/>
      <c r="S40" s="218">
        <f>IF(Q13=0, 0, S35/Q13)</f>
        <v>1.3347927066926506E-4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1.3347927066926506E-4</v>
      </c>
      <c r="R41" s="219"/>
      <c r="S41" s="219">
        <f>IF(Q13=0, 0, S38/Q13)</f>
        <v>1.3347927066926506E-4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 t="str">
        <f>IF(OR(E55="",F55=""),"",PID_KVLohnLookup($A$1,E55,F55,LOHNTABELLE!$H$4))</f>
        <v/>
      </c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 t="str">
        <f>IF(OR(E56="",F56=""),"",PID_KVLohnLookup($A$1,E56,F56,LOHNTABELLE!$H$4))</f>
        <v/>
      </c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 t="str">
        <f>IF(OR(E57="",F57=""),"",PID_KVLohnLookup($A$1,E57,F57,LOHNTABELLE!$H$4))</f>
        <v/>
      </c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 t="str">
        <f>IF(OR(E58="",F58=""),"",PID_KVLohnLookup($A$1,E58,F58,LOHNTABELLE!$H$4))</f>
        <v/>
      </c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330"/>
      <c r="L114" s="330"/>
      <c r="M114" s="330"/>
      <c r="N114" s="58"/>
    </row>
    <row r="115" spans="11:14" ht="16" customHeight="1">
      <c r="K115" s="330"/>
      <c r="L115" s="330"/>
      <c r="M115" s="330"/>
      <c r="N115" s="58"/>
    </row>
    <row r="116" spans="11:14" ht="16" customHeight="1">
      <c r="K116" s="326"/>
      <c r="L116" s="326"/>
      <c r="M116" s="43"/>
      <c r="N116" s="43"/>
    </row>
    <row r="117" spans="11:14" ht="16" customHeight="1">
      <c r="K117" s="326"/>
      <c r="L117" s="326"/>
      <c r="M117" s="43"/>
      <c r="N117" s="43"/>
    </row>
    <row r="118" spans="11:14" ht="16" customHeight="1">
      <c r="K118" s="331"/>
      <c r="L118" s="331"/>
      <c r="M118" s="44"/>
      <c r="N118" s="44"/>
    </row>
    <row r="119" spans="11:14" ht="16" customHeight="1">
      <c r="K119" s="327"/>
      <c r="L119" s="327"/>
      <c r="M119" s="45"/>
      <c r="N119" s="45"/>
    </row>
    <row r="120" spans="11:14" ht="16" customHeight="1">
      <c r="K120" s="326"/>
      <c r="L120" s="326"/>
      <c r="M120" s="43"/>
      <c r="N120" s="43"/>
    </row>
    <row r="121" spans="11:14" ht="16" customHeight="1">
      <c r="K121" s="326"/>
      <c r="L121" s="326"/>
      <c r="M121" s="43"/>
      <c r="N121" s="43"/>
    </row>
    <row r="122" spans="11:14" ht="16" customHeight="1">
      <c r="K122" s="327"/>
      <c r="L122" s="327"/>
      <c r="M122" s="45"/>
      <c r="N122" s="45"/>
    </row>
    <row r="123" spans="11:14" ht="16" customHeight="1">
      <c r="K123" s="46"/>
      <c r="L123" s="46"/>
      <c r="M123" s="46"/>
      <c r="N123" s="46"/>
    </row>
  </sheetData>
  <sheetProtection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46054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69" t="str">
        <f>IF(Q5&lt;0, "Schlecht! Zu wenig Urlaub abgebaut.", IF(Q5&gt;0, "Gut! Mehr Urlaub abgebaut als aufgebaut.", ""))</f>
        <v>Schlecht! Zu wenig Urlaub abgebaut.</v>
      </c>
      <c r="P6" s="369"/>
      <c r="Q6" s="369"/>
      <c r="R6" s="36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67" t="s">
        <v>58</v>
      </c>
      <c r="P8" s="246"/>
      <c r="Q8" s="365">
        <f>SUM(H3:H82)</f>
        <v>8643.5099999999984</v>
      </c>
      <c r="R8" s="366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67" t="s">
        <v>60</v>
      </c>
      <c r="P9" s="246"/>
      <c r="Q9" s="365">
        <f>EINSTELLUNG!L23</f>
        <v>2</v>
      </c>
      <c r="R9" s="366"/>
      <c r="S9" s="19">
        <f>IFERROR(Q9/Q8, 0)</f>
        <v>2.313874803176025E-4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67" t="s">
        <v>62</v>
      </c>
      <c r="P10" s="246"/>
      <c r="Q10" s="365">
        <f>EINSTELLUNG!I23</f>
        <v>2</v>
      </c>
      <c r="R10" s="366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67" t="s">
        <v>64</v>
      </c>
      <c r="P11" s="246"/>
      <c r="Q11" s="365">
        <f>P5</f>
        <v>2</v>
      </c>
      <c r="R11" s="366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67" t="s">
        <v>68</v>
      </c>
      <c r="P12" s="246"/>
      <c r="Q12" s="365">
        <f>Q8-Q9-Q10-Q11</f>
        <v>8637.5099999999984</v>
      </c>
      <c r="R12" s="366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67" t="s">
        <v>70</v>
      </c>
      <c r="P13" s="246"/>
      <c r="Q13" s="365">
        <f>EINSTELLUNG!L7</f>
        <v>2</v>
      </c>
      <c r="R13" s="366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67" t="s">
        <v>72</v>
      </c>
      <c r="P14" s="246"/>
      <c r="Q14" s="365">
        <f>Q12-Q13</f>
        <v>8635.5099999999984</v>
      </c>
      <c r="R14" s="366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8" t="str">
        <f>IF(Q14&lt;0, "Schlecht! Zu wenig Stunden für Dienstplan.", IF(Q14&gt;0, "Du hast mehr als genug Stunden für Dienstplan.", ""))</f>
        <v>Du hast mehr als genug Stunden für Dienstplan.</v>
      </c>
      <c r="P15" s="368"/>
      <c r="Q15" s="368"/>
      <c r="R15" s="36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62" t="s">
        <v>75</v>
      </c>
      <c r="P17" s="249"/>
      <c r="Q17" s="363">
        <f>SUM(L3:L82)</f>
        <v>0</v>
      </c>
      <c r="R17" s="364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42"/>
      <c r="P18" s="240"/>
      <c r="Q18" s="343"/>
      <c r="R18" s="344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42"/>
      <c r="P19" s="240"/>
      <c r="Q19" s="343"/>
      <c r="R19" s="344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42"/>
      <c r="P20" s="240"/>
      <c r="Q20" s="343"/>
      <c r="R20" s="344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42" t="s">
        <v>320</v>
      </c>
      <c r="P21" s="240"/>
      <c r="Q21" s="343">
        <v>5000</v>
      </c>
      <c r="R21" s="344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42"/>
      <c r="P22" s="240"/>
      <c r="Q22" s="343"/>
      <c r="R22" s="344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42"/>
      <c r="P23" s="240"/>
      <c r="Q23" s="343"/>
      <c r="R23" s="344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42"/>
      <c r="P24" s="240"/>
      <c r="Q24" s="343"/>
      <c r="R24" s="344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56"/>
      <c r="P25" s="257"/>
      <c r="Q25" s="357"/>
      <c r="R25" s="358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59"/>
      <c r="P26" s="261"/>
      <c r="Q26" s="360"/>
      <c r="R26" s="361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52"/>
      <c r="P27" s="220"/>
      <c r="Q27" s="353"/>
      <c r="R27" s="3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55"/>
      <c r="P28" s="253"/>
      <c r="Q28" s="336"/>
      <c r="R28" s="337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38" t="s">
        <v>90</v>
      </c>
      <c r="P29" s="228"/>
      <c r="Q29" s="339">
        <f>EINSTELLUNG!O7</f>
        <v>2</v>
      </c>
      <c r="R29" s="340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45">
        <v>0</v>
      </c>
      <c r="P31" s="346"/>
      <c r="Q31" s="347">
        <v>1.7241379310344827E-2</v>
      </c>
      <c r="R31" s="232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48"/>
      <c r="P33" s="349"/>
      <c r="Q33" s="318" t="s">
        <v>96</v>
      </c>
      <c r="R33" s="319"/>
      <c r="S33" s="322" t="s">
        <v>97</v>
      </c>
      <c r="T33" s="323"/>
      <c r="U33" s="322" t="s">
        <v>98</v>
      </c>
      <c r="V33" s="323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50"/>
      <c r="P34" s="351"/>
      <c r="Q34" s="320"/>
      <c r="R34" s="321"/>
      <c r="S34" s="324"/>
      <c r="T34" s="325"/>
      <c r="U34" s="324"/>
      <c r="V34" s="325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41" t="s">
        <v>101</v>
      </c>
      <c r="P35" s="244"/>
      <c r="Q35" s="215">
        <f>EINSTELLUNG!C7</f>
        <v>2</v>
      </c>
      <c r="R35" s="217"/>
      <c r="S35" s="215">
        <f>EINSTELLUNG!C23</f>
        <v>2</v>
      </c>
      <c r="T35" s="217"/>
      <c r="U35" s="222">
        <f>S35-Q35</f>
        <v>0</v>
      </c>
      <c r="V35" s="22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41" t="s">
        <v>103</v>
      </c>
      <c r="P36" s="244"/>
      <c r="Q36" s="215">
        <f>EINSTELLUNG!D7</f>
        <v>2</v>
      </c>
      <c r="R36" s="217"/>
      <c r="S36" s="218" cm="1">
        <f t="array" ref="S36">SumMergedCells(Q17:R29)</f>
        <v>5002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41" t="s">
        <v>105</v>
      </c>
      <c r="P37" s="244"/>
      <c r="Q37" s="334">
        <f>IF(ISERROR(Q36/Q35), 0, Q36/Q35)</f>
        <v>1</v>
      </c>
      <c r="R37" s="335"/>
      <c r="S37" s="334">
        <f>IF(ISERROR(S36/S35), 0, S36/S35)</f>
        <v>2501</v>
      </c>
      <c r="T37" s="335"/>
      <c r="U37" s="227">
        <f t="shared" si="2"/>
        <v>2500</v>
      </c>
      <c r="V37" s="227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41" t="s">
        <v>107</v>
      </c>
      <c r="P38" s="244"/>
      <c r="Q38" s="332">
        <f>EINSTELLUNG!F7</f>
        <v>2</v>
      </c>
      <c r="R38" s="333"/>
      <c r="S38" s="332">
        <f>EINSTELLUNG!F23</f>
        <v>2</v>
      </c>
      <c r="T38" s="333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41" t="s">
        <v>109</v>
      </c>
      <c r="P39" s="244"/>
      <c r="Q39" s="215">
        <f>IF(Q38=0, 0, Q35/Q38)</f>
        <v>1</v>
      </c>
      <c r="R39" s="217"/>
      <c r="S39" s="215">
        <f>IF(S38=0, 0, S35/S38)</f>
        <v>1</v>
      </c>
      <c r="T39" s="217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IF(Q12=0, 0, Q35/Q12)</f>
        <v>2.3154821238991334E-4</v>
      </c>
      <c r="R40" s="218"/>
      <c r="S40" s="218">
        <f>IF(Q12=0, 0, S35/Q12)</f>
        <v>2.3154821238991334E-4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IF(Q12=0, 0, Q38/Q12)</f>
        <v>2.3154821238991334E-4</v>
      </c>
      <c r="R41" s="219"/>
      <c r="S41" s="219">
        <f>IF(Q12=0, 0, S38/Q12)</f>
        <v>2.3154821238991334E-4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138.4</v>
      </c>
      <c r="G49" s="116">
        <f>IF(OR(E49="",F49=""),"",PID_KVLohnLookup($A$1,E49,F49,LOHNTABELLE!$H$4))</f>
        <v>1616.8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f>IF(OR(E60="",F60=""),"",PID_KVLohnLookup($A$1,E60,F60,LOHNTABELLE!$H$4))</f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+zAC+nA05jdn7CoodMsfGwHnvoyFtHEehCl6mr5O5chVy4sDQNXBnY0ip5Eczu9H3itDghmt7Z6xdnQYrWjSFQ==" saltValue="R6c5bkmPLTj+ADQy56ffi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23" sqref="E2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46082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8920.8000000000011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EINSTELLUNG!L24</f>
        <v>3</v>
      </c>
      <c r="R9" s="248"/>
      <c r="S9" s="19">
        <f>IFERROR(Q9/Q8, 0)</f>
        <v>3.3629270917406509E-4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EINSTELLUNG!I24</f>
        <v>3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3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-445</v>
      </c>
      <c r="R12" s="25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9356.8000000000011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EINSTELLUNG!L8</f>
        <v>3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9353.8000000000011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EINSTELLUNG!O8</f>
        <v>3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1.6949152542372881E-2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EINSTELLUNG!C8</f>
        <v>3</v>
      </c>
      <c r="R35" s="218"/>
      <c r="S35" s="218">
        <f>EINSTELLUNG!C24</f>
        <v>3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EINSTELLUNG!D8</f>
        <v>3</v>
      </c>
      <c r="R36" s="218"/>
      <c r="S36" s="218" cm="1">
        <f t="array" ref="S36">SumMergedCells(Q17:R29)</f>
        <v>5003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1667.6666666666667</v>
      </c>
      <c r="T37" s="226"/>
      <c r="U37" s="227">
        <f t="shared" si="2"/>
        <v>1666.6666666666667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EINSTELLUNG!F8</f>
        <v>3</v>
      </c>
      <c r="R38" s="219"/>
      <c r="S38" s="219">
        <f>EINSTELLUNG!F24</f>
        <v>3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3.2062243502051978E-4</v>
      </c>
      <c r="R40" s="218"/>
      <c r="S40" s="218">
        <f>IF(Q13=0, 0, S35/Q13)</f>
        <v>3.2062243502051978E-4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3.2062243502051978E-4</v>
      </c>
      <c r="R41" s="219"/>
      <c r="S41" s="219">
        <f>IF(Q13=0, 0, S38/Q13)</f>
        <v>3.2062243502051978E-4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151.38</v>
      </c>
      <c r="G42" s="116">
        <f>IF(OR(E42="",F42=""),"",PID_KVLohnLookup($A$1,E42,F42,LOHNTABELLE!$H$4))</f>
        <v>1768.38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138.4</v>
      </c>
      <c r="G44" s="116">
        <f>IF(OR(E44="",F44=""),"",PID_KVLohnLookup($A$1,E44,F44,LOHNTABELLE!$H$4))</f>
        <v>1616.8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f>IF(OR(E62="",F62=""),"",PID_KVLohnLookup($A$1,E62,F62,LOHNTABELLE!$H$4))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mXIXKG30k4b2GKoYC4YoiDPb7LSP4PpnPf8nEfyp0kdZqwgngH5R0o7S8yM2eog3bYJqOrZuQS9AeXWLMvZBhg==" saltValue="9zlsDIue5AiBKP7E1bZHo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L9" sqref="L9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46113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8796.1799999999985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EINSTELLUNG!L25</f>
        <v>4</v>
      </c>
      <c r="R9" s="248"/>
      <c r="S9" s="19">
        <f>IFERROR(Q9/Q8, 0)</f>
        <v>4.5474285428447357E-4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EINSTELLUNG!I25</f>
        <v>4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4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-255</v>
      </c>
      <c r="R12" s="25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9039.1799999999985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EINSTELLUNG!L9</f>
        <v>4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9035.1799999999985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151.38</v>
      </c>
      <c r="G20" s="116">
        <f>IF(OR(E20="",F20=""),"",PID_KVLohnLookup($A$1,E20,F20,LOHNTABELLE!$H$4))</f>
        <v>1890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EINSTELLUNG!O9</f>
        <v>4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0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EINSTELLUNG!C9</f>
        <v>4</v>
      </c>
      <c r="R35" s="218"/>
      <c r="S35" s="218">
        <f>EINSTELLUNG!C25</f>
        <v>4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EINSTELLUNG!D9</f>
        <v>4</v>
      </c>
      <c r="R36" s="218"/>
      <c r="S36" s="218" cm="1">
        <f t="array" ref="S36">SumMergedCells(Q17:R29)</f>
        <v>5004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1251</v>
      </c>
      <c r="T37" s="226"/>
      <c r="U37" s="227">
        <f t="shared" si="2"/>
        <v>1250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EINSTELLUNG!F9</f>
        <v>4</v>
      </c>
      <c r="R38" s="219"/>
      <c r="S38" s="219">
        <f>EINSTELLUNG!F25</f>
        <v>4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4.4251801601472707E-4</v>
      </c>
      <c r="R40" s="218"/>
      <c r="S40" s="218">
        <f>IF(Q13=0, 0, S35/Q13)</f>
        <v>4.4251801601472707E-4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4.4251801601472707E-4</v>
      </c>
      <c r="R41" s="219"/>
      <c r="S41" s="219">
        <f>IF(Q13=0, 0, S38/Q13)</f>
        <v>4.4251801601472707E-4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f>IF(OR(E62="",F62=""),"",PID_KVLohnLookup($A$1,E62,F62,LOHNTABELLE!$H$4))</f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pAPg/96e8KStGh/xYaoWfUBNNjigjwikg/hYBu3p/P1C8RyeF70lLVfyHNSOGsgOcWGa5fDwS3eM0l60wGZrzw==" saltValue="a3jwR7poh375yoOGEbTAG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L8" sqref="L8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46143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3</v>
      </c>
      <c r="F4" s="67">
        <v>173</v>
      </c>
      <c r="G4" s="116">
        <f>IF(OR(E4="",F4=""),"",PID_KVLohnLookup($A$1,E4,F4,LOHNTABELLE!$H$4))</f>
        <v>2082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9293.7199999999993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EINSTELLUNG!L26</f>
        <v>5</v>
      </c>
      <c r="R9" s="248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EINSTELLUNG!I26</f>
        <v>5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5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9278.7199999999993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EINSTELLUNG!L10</f>
        <v>9300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-21.280000000000655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f>IF(OR(E15="",F15=""),"",PID_KVLohnLookup($A$1,E15,F15,LOHNTABELLE!$H$4))</f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Schlecht! Zu wenig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EINSTELLUNG!O10</f>
        <v>5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0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EINSTELLUNG!C10</f>
        <v>5</v>
      </c>
      <c r="R35" s="218"/>
      <c r="S35" s="218">
        <f>EINSTELLUNG!C26</f>
        <v>5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EINSTELLUNG!D10</f>
        <v>5</v>
      </c>
      <c r="R36" s="218"/>
      <c r="S36" s="218" cm="1">
        <f t="array" ref="S36">SumMergedCells(Q17:R29)</f>
        <v>5005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1001</v>
      </c>
      <c r="T37" s="226"/>
      <c r="U37" s="227">
        <f t="shared" si="2"/>
        <v>1000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EINSTELLUNG!F10</f>
        <v>5</v>
      </c>
      <c r="R38" s="219"/>
      <c r="S38" s="219">
        <f>EINSTELLUNG!F26</f>
        <v>5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IF(Q12=0, 0, Q35/Q12)</f>
        <v>5.3886742999034352E-4</v>
      </c>
      <c r="R40" s="218"/>
      <c r="S40" s="218">
        <f>IF(Q12=0, 0, S35/Q12)</f>
        <v>5.3886742999034352E-4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IF(Q12=0, 0, Q38/Q12)</f>
        <v>5.3886742999034352E-4</v>
      </c>
      <c r="R41" s="219"/>
      <c r="S41" s="219">
        <f>IF(Q12=0, 0, S38/Q12)</f>
        <v>5.3886742999034352E-4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XaElY0NxPyI/saVb7WeJ8vSbZVFVMdMJLcTRoKGj7Q/hQYX0xC5hirG7fL9TPhLuEmyXtOE+cH9mC/SEgEAX6A==" saltValue="2zPDQtAaL7HH/To0B1y6h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46174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9359.2999999999993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EINSTELLUNG!L27</f>
        <v>6</v>
      </c>
      <c r="R9" s="248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EINSTELLUNG!I27</f>
        <v>6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6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21</v>
      </c>
      <c r="R12" s="25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9320.2999999999993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EINSTELLUNG!L11</f>
        <v>9300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20.299999999999272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EINSTELLUNG!O11</f>
        <v>6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1.6666666666666666E-2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EINSTELLUNG!C11</f>
        <v>6</v>
      </c>
      <c r="R35" s="218"/>
      <c r="S35" s="218">
        <f>EINSTELLUNG!C27</f>
        <v>6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EINSTELLUNG!D11</f>
        <v>6</v>
      </c>
      <c r="R36" s="218"/>
      <c r="S36" s="218" cm="1">
        <f t="array" ref="S36">SumMergedCells(Q17:R29)</f>
        <v>5006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834.33333333333337</v>
      </c>
      <c r="T37" s="226"/>
      <c r="U37" s="227">
        <f t="shared" si="2"/>
        <v>833.33333333333337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EINSTELLUNG!F11</f>
        <v>6</v>
      </c>
      <c r="R38" s="219"/>
      <c r="S38" s="219">
        <f>EINSTELLUNG!F27</f>
        <v>6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IF(Q12=0, 0, Q35/Q12)</f>
        <v>0.2857142857142857</v>
      </c>
      <c r="R40" s="218"/>
      <c r="S40" s="218">
        <f>IF(Q12=0, 0, S35/Q12)</f>
        <v>0.2857142857142857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IF(Q12=0, 0, Q38/Q12)</f>
        <v>0.2857142857142857</v>
      </c>
      <c r="R41" s="219"/>
      <c r="S41" s="219">
        <f>IF(Q12=0, 0, S38/Q12)</f>
        <v>0.2857142857142857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cFpKz7dt7+hmDqvJKHq8tC6jObnSflMqIARAVG4kLFjP3nVMaaAFQGAjVegF1pOBuMaGTHA88OC5zUReULnGqA==" saltValue="tlfSfREbmMsSc97kbP9YP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46204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9225.3599999999988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EINSTELLUNG!L28</f>
        <v>7</v>
      </c>
      <c r="R9" s="248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EINSTELLUNG!I28</f>
        <v>7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7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-20</v>
      </c>
      <c r="R12" s="25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9224.3599999999988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EINSTELLUNG!L12</f>
        <v>9300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-75.640000000001237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Schlecht! Zu wenig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40"/>
      <c r="P19" s="241"/>
      <c r="Q19" s="242"/>
      <c r="R19" s="243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59"/>
      <c r="P26" s="261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EINSTELLUNG!O12</f>
        <v>7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1.6393442622950821E-2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EINSTELLUNG!C12</f>
        <v>7</v>
      </c>
      <c r="R35" s="218"/>
      <c r="S35" s="218">
        <f>EINSTELLUNG!C28</f>
        <v>7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EINSTELLUNG!D12</f>
        <v>7</v>
      </c>
      <c r="R36" s="218"/>
      <c r="S36" s="215" cm="1">
        <f t="array" ref="S36">SumMergedCells(Q17:R29)</f>
        <v>5007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715.28571428571433</v>
      </c>
      <c r="T37" s="226"/>
      <c r="U37" s="227">
        <f t="shared" si="2"/>
        <v>714.28571428571433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EINSTELLUNG!F12</f>
        <v>7</v>
      </c>
      <c r="R38" s="219"/>
      <c r="S38" s="219">
        <f>EINSTELLUNG!F28</f>
        <v>7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7.5886023529003646E-4</v>
      </c>
      <c r="R40" s="218"/>
      <c r="S40" s="218">
        <f>IF(Q13=0, 0, S35/Q13)</f>
        <v>7.5886023529003646E-4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7.5886023529003646E-4</v>
      </c>
      <c r="R41" s="219"/>
      <c r="S41" s="219">
        <f>IF(Q13=0, 0, S38/Q13)</f>
        <v>7.5886023529003646E-4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wKPYH1v4q28JpenI8ddLF392U/z7lS8tyYHI6mFCznLZXTjSTck1eFo/22LLiNRpy4rFkFfzDZlmDdgNfDiuQ==" saltValue="z03eqblewKgHMbBjc9jM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46235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138.4</v>
      </c>
      <c r="G3" s="115">
        <f>IF(OR(E3="",F3=""),"",PID_KVLohnLookup($A$1,E3,F3,LOHNTABELLE!$H$4))</f>
        <v>1616.8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9065.1899999999987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EINSTELLUNG!L29</f>
        <v>8</v>
      </c>
      <c r="R9" s="248"/>
      <c r="S9" s="19">
        <f>IFERROR(Q9/Q8, 0)</f>
        <v>8.8249667133286796E-4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EINSTELLUNG!I29</f>
        <v>8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8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9041.1899999999987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EINSTELLUNG!L13</f>
        <v>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9033.1899999999987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Du hast mehr als genug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EINSTELLUNG!O13</f>
        <v>8</v>
      </c>
      <c r="R29" s="23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1.8518518518518517E-2</v>
      </c>
      <c r="R31" s="235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EINSTELLUNG!C13</f>
        <v>8</v>
      </c>
      <c r="R35" s="218"/>
      <c r="S35" s="218">
        <f>EINSTELLUNG!C29</f>
        <v>8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EINSTELLUNG!D13</f>
        <v>8</v>
      </c>
      <c r="R36" s="218"/>
      <c r="S36" s="215" cm="1">
        <f t="array" ref="S36">SumMergedCells(Q17:R29)</f>
        <v>5008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334">
        <f>IF(ISERROR(S36/S35), 0, S36/S35)</f>
        <v>626</v>
      </c>
      <c r="T37" s="335"/>
      <c r="U37" s="227">
        <f t="shared" si="2"/>
        <v>625</v>
      </c>
      <c r="V37" s="227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EINSTELLUNG!F13</f>
        <v>8</v>
      </c>
      <c r="R38" s="219"/>
      <c r="S38" s="219">
        <f>EINSTELLUNG!F29</f>
        <v>8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IF(Q12=0, 0, Q35/Q12)</f>
        <v>8.8483927447603706E-4</v>
      </c>
      <c r="R40" s="218"/>
      <c r="S40" s="218">
        <f>IF(Q12=0, 0, S35/Q12)</f>
        <v>8.8483927447603706E-4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IF(Q12=0, 0, Q38/Q12)</f>
        <v>8.8483927447603706E-4</v>
      </c>
      <c r="R41" s="219"/>
      <c r="S41" s="219">
        <f>IF(Q12=0, 0, S38/Q12)</f>
        <v>8.8483927447603706E-4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>
        <f>IF(OR(E60="",F60=""),"",PID_KVLohnLookup($A$1,E60,F60,LOHNTABELLE!$H$4))</f>
        <v>1665.6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>
        <f>IF(OR(E62="",F62=""),"",PID_KVLohnLookup($A$1,E62,F62,LOHNTABELLE!$H$4))</f>
        <v>2200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sCt3NASJFjAp5JkXH9Pk+igpgL5SRG/Rol0ThyEj6St7ADHsKew1Ho8PMw5zuA6lZCBrg9OwH88H12VkWsMVWg==" saltValue="RRr9X4tOrw4MVlkU/ghv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46266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8897.9599999999991</v>
      </c>
      <c r="R8" s="248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EINSTELLUNG!L30</f>
        <v>9</v>
      </c>
      <c r="R9" s="248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EINSTELLUNG!I30</f>
        <v>9</v>
      </c>
      <c r="R10" s="248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9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167</v>
      </c>
      <c r="R12" s="252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8703.9599999999991</v>
      </c>
      <c r="R13" s="248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EINSTELLUNG!L14</f>
        <v>9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8694.9599999999991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293.33333333333331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EINSTELLUNG!O14</f>
        <v>9</v>
      </c>
      <c r="R29" s="23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1.6949152542372881E-2</v>
      </c>
      <c r="R31" s="235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EINSTELLUNG!C14</f>
        <v>9</v>
      </c>
      <c r="R35" s="218"/>
      <c r="S35" s="218">
        <f>EINSTELLUNG!C30</f>
        <v>9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EINSTELLUNG!D14</f>
        <v>9</v>
      </c>
      <c r="R36" s="218"/>
      <c r="S36" s="215" cm="1">
        <f t="array" ref="S36">SumMergedCells(Q17:R29)</f>
        <v>5009</v>
      </c>
      <c r="T36" s="217"/>
      <c r="U36" s="222">
        <f t="shared" ref="U36:U41" si="2">S36-Q36</f>
        <v>5000</v>
      </c>
      <c r="V36" s="222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556.55555555555554</v>
      </c>
      <c r="T37" s="226"/>
      <c r="U37" s="227">
        <f t="shared" si="2"/>
        <v>555.55555555555554</v>
      </c>
      <c r="V37" s="227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EINSTELLUNG!F14</f>
        <v>9</v>
      </c>
      <c r="R38" s="219"/>
      <c r="S38" s="219">
        <f>EINSTELLUNG!F30</f>
        <v>9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1.0340121048350408E-3</v>
      </c>
      <c r="R40" s="218"/>
      <c r="S40" s="218">
        <f>IF(Q13=0, 0, S35/Q13)</f>
        <v>1.0340121048350408E-3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1.0340121048350408E-3</v>
      </c>
      <c r="R41" s="219"/>
      <c r="S41" s="219">
        <f>IF(Q13=0, 0, S38/Q13)</f>
        <v>1.0340121048350408E-3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>
        <f>IF(OR(E58="",F58=""),"",PID_KVLohnLookup($A$1,E58,F58,LOHNTABELLE!$H$4))</f>
        <v>1665.6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>
        <f>IF(OR(E59="",F59=""),"",PID_KVLohnLookup($A$1,E59,F59,LOHNTABELLE!$H$4))</f>
        <v>1616.8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>
        <f>IF(OR(E61="",F61=""),"",PID_KVLohnLookup($A$1,E61,F61,LOHNTABELLE!$H$4))</f>
        <v>2200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s1qQEUEZ2Intdkz9zH1eV928eJyPflB81y7ertYSumBIXryw6FGtSvW5AGpSwxAvfHafd4NlFRFk9720hHAkA==" saltValue="jsHWyGmb6k+dhMFsTumzW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46296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8723.1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EINSTELLUNG!L31</f>
        <v>10</v>
      </c>
      <c r="R9" s="248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EINSTELLUNG!I31</f>
        <v>10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10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-121</v>
      </c>
      <c r="R12" s="25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8814.1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EINSTELLUNG!L15</f>
        <v>10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8804.1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EINSTELLUNG!O15</f>
        <v>10</v>
      </c>
      <c r="R29" s="231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1.6666666666666666E-2</v>
      </c>
      <c r="R31" s="235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EINSTELLUNG!C15</f>
        <v>10</v>
      </c>
      <c r="R35" s="218"/>
      <c r="S35" s="218">
        <f>EINSTELLUNG!C31</f>
        <v>10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EINSTELLUNG!D15</f>
        <v>10</v>
      </c>
      <c r="R36" s="218"/>
      <c r="S36" s="215" cm="1">
        <f t="array" ref="S36">SumMergedCells(Q17:R29)</f>
        <v>5010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501</v>
      </c>
      <c r="T37" s="226"/>
      <c r="U37" s="227">
        <f t="shared" si="2"/>
        <v>500</v>
      </c>
      <c r="V37" s="227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EINSTELLUNG!F15</f>
        <v>10</v>
      </c>
      <c r="R38" s="219"/>
      <c r="S38" s="219">
        <f>EINSTELLUNG!F31</f>
        <v>10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1.1345457845951374E-3</v>
      </c>
      <c r="R40" s="218"/>
      <c r="S40" s="218">
        <f>IF(Q13=0, 0, S35/Q13)</f>
        <v>1.1345457845951374E-3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1.1345457845951374E-3</v>
      </c>
      <c r="R41" s="219"/>
      <c r="S41" s="219">
        <f>IF(Q13=0, 0, S38/Q13)</f>
        <v>1.1345457845951374E-3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vKCSoNpKHQ+sEiDU+bD4MX3w+jEcG14YEPjGkn54YE8mZw3pYMaJvSAs83m8PkcC47oZui/R8whpYXYFCSqFnQ==" saltValue="2wDIla1YxaIOcdkLPYDLt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46327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8551.9599999999991</v>
      </c>
      <c r="R8" s="248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EINSTELLUNG!L32</f>
        <v>11</v>
      </c>
      <c r="R9" s="248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EINSTELLUNG!I32</f>
        <v>11</v>
      </c>
      <c r="R10" s="248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11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8518.9599999999991</v>
      </c>
      <c r="R12" s="248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EINSTELLUNG!L16</f>
        <v>11</v>
      </c>
      <c r="R13" s="248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8507.9599999999991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Du hast mehr als genug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EINSTELLUNG!O16</f>
        <v>11</v>
      </c>
      <c r="R29" s="231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1.7857142857142856E-2</v>
      </c>
      <c r="R31" s="235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EINSTELLUNG!C16</f>
        <v>11</v>
      </c>
      <c r="R35" s="218"/>
      <c r="S35" s="218">
        <f>EINSTELLUNG!C32</f>
        <v>11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EINSTELLUNG!D16</f>
        <v>11</v>
      </c>
      <c r="R36" s="218"/>
      <c r="S36" s="215" cm="1">
        <f t="array" ref="S36">SumMergedCells(Q17:R29)</f>
        <v>5011</v>
      </c>
      <c r="T36" s="217"/>
      <c r="U36" s="222">
        <f t="shared" ref="U36:U41" si="2">S36-Q36</f>
        <v>5000</v>
      </c>
      <c r="V36" s="222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455.54545454545456</v>
      </c>
      <c r="T37" s="226"/>
      <c r="U37" s="227">
        <f t="shared" si="2"/>
        <v>454.54545454545456</v>
      </c>
      <c r="V37" s="227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EINSTELLUNG!F16</f>
        <v>11</v>
      </c>
      <c r="R38" s="219"/>
      <c r="S38" s="219">
        <f>EINSTELLUNG!F32</f>
        <v>11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IF(Q12=0, 0, Q35/Q12)</f>
        <v>1.2912374280428598E-3</v>
      </c>
      <c r="R40" s="218"/>
      <c r="S40" s="218">
        <f>IF(Q12=0, 0, S35/Q12)</f>
        <v>1.2912374280428598E-3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IF(Q12=0, 0, Q38/Q12)</f>
        <v>1.2912374280428598E-3</v>
      </c>
      <c r="R41" s="219"/>
      <c r="S41" s="219">
        <f>IF(Q12=0, 0, S38/Q12)</f>
        <v>1.2912374280428598E-3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zxzG8hC5g+5PwjuRT3Fa/A9tiZvmBEEoEzHhydGt4ywqZezmcIU/l2feiIHYVIVaLr6DORnMTNMjod7m1/QwZQ==" saltValue="6YoSQIVjK8UjyRZJudFsF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82" t="s">
        <v>191</v>
      </c>
      <c r="C1" s="294" t="s">
        <v>40</v>
      </c>
      <c r="D1" s="266" t="s">
        <v>192</v>
      </c>
      <c r="E1" s="266" t="s">
        <v>0</v>
      </c>
      <c r="F1" s="266" t="s">
        <v>41</v>
      </c>
      <c r="G1" s="268" t="s">
        <v>42</v>
      </c>
      <c r="H1" s="285" t="s">
        <v>43</v>
      </c>
      <c r="I1" s="270" t="s">
        <v>193</v>
      </c>
      <c r="J1" s="272" t="s">
        <v>44</v>
      </c>
      <c r="K1" s="274" t="s">
        <v>45</v>
      </c>
      <c r="L1" s="276" t="s">
        <v>46</v>
      </c>
      <c r="M1" s="278" t="s">
        <v>47</v>
      </c>
      <c r="N1" s="283" t="s">
        <v>194</v>
      </c>
      <c r="AB1" s="8">
        <f>DATE(EINSTELLUNG!$C$35,$A$1,1)</f>
        <v>46357</v>
      </c>
    </row>
    <row r="2" spans="1:28" ht="16" customHeight="1" thickBot="1">
      <c r="A2" s="60"/>
      <c r="B2" s="282"/>
      <c r="C2" s="295"/>
      <c r="D2" s="267"/>
      <c r="E2" s="267"/>
      <c r="F2" s="267"/>
      <c r="G2" s="269"/>
      <c r="H2" s="286"/>
      <c r="I2" s="271"/>
      <c r="J2" s="273"/>
      <c r="K2" s="275"/>
      <c r="L2" s="277"/>
      <c r="M2" s="279"/>
      <c r="N2" s="283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80" t="s">
        <v>49</v>
      </c>
      <c r="P3" s="280" t="s">
        <v>50</v>
      </c>
      <c r="Q3" s="287" t="s">
        <v>51</v>
      </c>
      <c r="R3" s="28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81"/>
      <c r="P4" s="281"/>
      <c r="Q4" s="288"/>
      <c r="R4" s="29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8494.2999999999993</v>
      </c>
      <c r="R8" s="24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EINSTELLUNG!L33</f>
        <v>12</v>
      </c>
      <c r="R9" s="248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EINSTELLUNG!I33</f>
        <v>12</v>
      </c>
      <c r="R10" s="24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12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52">
        <v>-303</v>
      </c>
      <c r="R12" s="252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8761.2999999999993</v>
      </c>
      <c r="R13" s="24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EINSTELLUNG!L17</f>
        <v>12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8749.2999999999993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4" t="str">
        <f>IF(Q15&lt;0, "Schlecht! Zu wenig Stunden für Dienstplan.", IF(Q15&gt;0, "Du hast mehr als genug Stunden für Dienstplan.", ""))</f>
        <v>Du hast mehr als genug Stunden für Dienstplan.</v>
      </c>
      <c r="P16" s="284"/>
      <c r="Q16" s="284"/>
      <c r="R16" s="284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49" t="s">
        <v>75</v>
      </c>
      <c r="P17" s="250"/>
      <c r="Q17" s="251">
        <f>SUM(L3:L82)</f>
        <v>0</v>
      </c>
      <c r="R17" s="251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0"/>
      <c r="P18" s="241"/>
      <c r="Q18" s="242"/>
      <c r="R18" s="243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0"/>
      <c r="P19" s="241"/>
      <c r="Q19" s="242"/>
      <c r="R19" s="243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0"/>
      <c r="P20" s="241"/>
      <c r="Q20" s="242"/>
      <c r="R20" s="243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0" t="s">
        <v>320</v>
      </c>
      <c r="P21" s="241"/>
      <c r="Q21" s="242">
        <v>5000</v>
      </c>
      <c r="R21" s="243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0"/>
      <c r="P22" s="241"/>
      <c r="Q22" s="242"/>
      <c r="R22" s="243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0"/>
      <c r="P23" s="241"/>
      <c r="Q23" s="242"/>
      <c r="R23" s="243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0"/>
      <c r="P24" s="241"/>
      <c r="Q24" s="242"/>
      <c r="R24" s="243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3"/>
      <c r="R27" s="265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0"/>
      <c r="P28" s="221"/>
      <c r="Q28" s="243"/>
      <c r="R28" s="265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71" t="s">
        <v>90</v>
      </c>
      <c r="P29" s="372"/>
      <c r="Q29" s="373">
        <f>EINSTELLUNG!O17</f>
        <v>12</v>
      </c>
      <c r="R29" s="374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0</v>
      </c>
      <c r="R31" s="235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4" t="s">
        <v>101</v>
      </c>
      <c r="P35" s="245"/>
      <c r="Q35" s="218">
        <f>EINSTELLUNG!C17</f>
        <v>12</v>
      </c>
      <c r="R35" s="218"/>
      <c r="S35" s="218">
        <f>EINSTELLUNG!C33</f>
        <v>12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4" t="s">
        <v>103</v>
      </c>
      <c r="P36" s="245"/>
      <c r="Q36" s="218">
        <f>EINSTELLUNG!D17</f>
        <v>12</v>
      </c>
      <c r="R36" s="218"/>
      <c r="S36" s="215" cm="1">
        <f t="array" ref="S36">SumMergedCells(Q17:R29)</f>
        <v>5012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4" t="s">
        <v>105</v>
      </c>
      <c r="P37" s="245"/>
      <c r="Q37" s="226">
        <f>IF(ISERROR(Q36/Q35), 0, Q36/Q35)</f>
        <v>1</v>
      </c>
      <c r="R37" s="226"/>
      <c r="S37" s="226">
        <f>IF(ISERROR(S36/S35), 0, S36/S35)</f>
        <v>417.66666666666669</v>
      </c>
      <c r="T37" s="226"/>
      <c r="U37" s="227">
        <f t="shared" si="2"/>
        <v>416.66666666666669</v>
      </c>
      <c r="V37" s="227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4" t="s">
        <v>107</v>
      </c>
      <c r="P38" s="245"/>
      <c r="Q38" s="219">
        <f>EINSTELLUNG!F17</f>
        <v>12</v>
      </c>
      <c r="R38" s="219"/>
      <c r="S38" s="219">
        <f>EINSTELLUNG!F33</f>
        <v>12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4" t="s">
        <v>109</v>
      </c>
      <c r="P39" s="245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4" t="s">
        <v>111</v>
      </c>
      <c r="P40" s="245"/>
      <c r="Q40" s="218">
        <f>IF(Q13=0, 0, Q35/Q13)</f>
        <v>1.369659753689521E-3</v>
      </c>
      <c r="R40" s="218"/>
      <c r="S40" s="218">
        <f>IF(Q13=0, 0, S35/Q13)</f>
        <v>1.369659753689521E-3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4" t="s">
        <v>113</v>
      </c>
      <c r="P41" s="245"/>
      <c r="Q41" s="219">
        <f>IF(Q13=0, 0, Q38/Q13)</f>
        <v>1.369659753689521E-3</v>
      </c>
      <c r="R41" s="219"/>
      <c r="S41" s="219">
        <f>IF(Q13=0, 0, S38/Q13)</f>
        <v>1.369659753689521E-3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4" t="s">
        <v>115</v>
      </c>
      <c r="P42" s="245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BJmwynUSuC9URe4n4Ae5WKq1oo0lvDKzGRgHmunDnt8JQTpae+i+2D73Hugpk5OIY4/TpwtYeMXFMrFUi970zw==" saltValue="PEZ2+tcPKa69q2JFW0+i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2" t="e">
        <f>"FINANZIELL ÜBERSICHT "&amp;#REF!</f>
        <v>#REF!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2"/>
    </row>
    <row r="3" spans="2:18" ht="15.75" customHeight="1"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2"/>
    </row>
    <row r="4" spans="2:18" ht="30" customHeight="1">
      <c r="B4" s="384"/>
      <c r="C4" s="383" t="s">
        <v>18</v>
      </c>
      <c r="D4" s="383"/>
      <c r="E4" s="383"/>
      <c r="F4" s="383" t="s">
        <v>164</v>
      </c>
      <c r="G4" s="383"/>
      <c r="H4" s="383"/>
      <c r="I4" s="383" t="s">
        <v>165</v>
      </c>
      <c r="J4" s="383"/>
      <c r="K4" s="383"/>
      <c r="L4" s="383" t="s">
        <v>166</v>
      </c>
      <c r="M4" s="383" t="s">
        <v>167</v>
      </c>
      <c r="N4" s="385" t="s">
        <v>168</v>
      </c>
      <c r="O4" s="385"/>
      <c r="P4" s="385"/>
      <c r="Q4" s="385" t="s">
        <v>93</v>
      </c>
    </row>
    <row r="5" spans="2:18" ht="30" customHeight="1">
      <c r="B5" s="384"/>
      <c r="C5" s="383"/>
      <c r="D5" s="383"/>
      <c r="E5" s="383"/>
      <c r="F5" s="383"/>
      <c r="G5" s="383"/>
      <c r="H5" s="383"/>
      <c r="I5" s="383"/>
      <c r="J5" s="383"/>
      <c r="K5" s="383"/>
      <c r="L5" s="383"/>
      <c r="M5" s="383"/>
      <c r="N5" s="385"/>
      <c r="O5" s="385"/>
      <c r="P5" s="385"/>
      <c r="Q5" s="385"/>
    </row>
    <row r="6" spans="2:18" ht="30" customHeight="1">
      <c r="B6" s="38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3"/>
      <c r="M6" s="383"/>
      <c r="N6" s="25" t="s">
        <v>172</v>
      </c>
      <c r="O6" s="25" t="s">
        <v>173</v>
      </c>
      <c r="P6" s="26" t="s">
        <v>171</v>
      </c>
      <c r="Q6" s="38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1" t="s">
        <v>190</v>
      </c>
      <c r="C25" s="381"/>
      <c r="D25" s="381"/>
      <c r="E25" s="381"/>
    </row>
    <row r="26" spans="2:17">
      <c r="B26" s="381"/>
      <c r="C26" s="381"/>
      <c r="D26" s="381"/>
      <c r="E26" s="381"/>
    </row>
    <row r="27" spans="2:17">
      <c r="B27" s="381"/>
      <c r="C27" s="381"/>
      <c r="D27" s="381"/>
      <c r="E27" s="381"/>
    </row>
    <row r="28" spans="2:17" ht="20" customHeight="1">
      <c r="B28" s="375" t="str">
        <f xml:space="preserve"> "DURCHRECHNUNGSSTUNDEN - " &amp; EINSTELLUNG!C35</f>
        <v>DURCHRECHNUNGSSTUNDEN - 2026</v>
      </c>
      <c r="C28" s="376"/>
      <c r="D28" s="376"/>
      <c r="E28" s="376"/>
      <c r="F28" s="376"/>
      <c r="G28" s="376"/>
      <c r="H28" s="376"/>
      <c r="I28" s="376"/>
    </row>
    <row r="29" spans="2:17" ht="36" customHeight="1">
      <c r="B29" s="377" t="s">
        <v>461</v>
      </c>
      <c r="C29" s="378"/>
      <c r="D29" s="378"/>
      <c r="E29" s="378"/>
      <c r="F29" s="378"/>
      <c r="G29" s="378"/>
      <c r="H29" s="378"/>
      <c r="I29" s="378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9" t="s">
        <v>476</v>
      </c>
      <c r="C36" s="380"/>
      <c r="D36" s="380"/>
      <c r="E36" s="380"/>
      <c r="F36" s="380"/>
      <c r="G36" s="380"/>
      <c r="H36" s="380"/>
      <c r="I36" s="380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87" t="s">
        <v>362</v>
      </c>
      <c r="B1" s="388"/>
      <c r="C1" s="388"/>
      <c r="D1" s="388"/>
      <c r="E1" s="388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89" t="s">
        <v>366</v>
      </c>
      <c r="B4" s="390"/>
      <c r="C4" s="390"/>
      <c r="D4" s="390"/>
      <c r="E4" s="390"/>
      <c r="P4" s="157" t="s">
        <v>321</v>
      </c>
      <c r="Q4" s="157">
        <v>1</v>
      </c>
    </row>
    <row r="5" spans="1:17" ht="30" customHeight="1">
      <c r="A5" s="397" t="s">
        <v>300</v>
      </c>
      <c r="B5" s="399" t="s">
        <v>360</v>
      </c>
      <c r="C5" s="391" t="s">
        <v>367</v>
      </c>
      <c r="D5" s="392"/>
      <c r="E5" s="393"/>
      <c r="P5" s="157" t="s">
        <v>182</v>
      </c>
      <c r="Q5" s="157">
        <v>1</v>
      </c>
    </row>
    <row r="6" spans="1:17" ht="30" customHeight="1" thickBot="1">
      <c r="A6" s="398"/>
      <c r="B6" s="398"/>
      <c r="C6" s="394"/>
      <c r="D6" s="395"/>
      <c r="E6" s="396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0" t="s">
        <v>375</v>
      </c>
      <c r="E12" s="400"/>
    </row>
    <row r="13" spans="1:17" ht="57.25" customHeight="1">
      <c r="A13" s="153">
        <v>1</v>
      </c>
      <c r="B13" s="152" t="s">
        <v>230</v>
      </c>
      <c r="C13" s="152" t="s">
        <v>389</v>
      </c>
      <c r="D13" s="386" t="s">
        <v>376</v>
      </c>
      <c r="E13" s="386"/>
    </row>
    <row r="14" spans="1:17" ht="73" customHeight="1">
      <c r="A14" s="153">
        <v>2</v>
      </c>
      <c r="B14" s="152" t="s">
        <v>230</v>
      </c>
      <c r="C14" s="152" t="s">
        <v>390</v>
      </c>
      <c r="D14" s="386" t="s">
        <v>376</v>
      </c>
      <c r="E14" s="386"/>
    </row>
    <row r="15" spans="1:17" ht="73" customHeight="1">
      <c r="A15" s="153">
        <v>3</v>
      </c>
      <c r="B15" s="152" t="s">
        <v>377</v>
      </c>
      <c r="C15" s="152" t="s">
        <v>391</v>
      </c>
      <c r="D15" s="386" t="s">
        <v>378</v>
      </c>
      <c r="E15" s="386"/>
    </row>
    <row r="16" spans="1:17" ht="57.25" customHeight="1">
      <c r="A16" s="153">
        <v>4</v>
      </c>
      <c r="B16" s="152" t="s">
        <v>231</v>
      </c>
      <c r="C16" s="152" t="s">
        <v>392</v>
      </c>
      <c r="D16" s="386" t="s">
        <v>379</v>
      </c>
      <c r="E16" s="386"/>
    </row>
    <row r="17" spans="1:17" ht="57.25" customHeight="1">
      <c r="A17" s="153">
        <v>5</v>
      </c>
      <c r="B17" s="152" t="s">
        <v>377</v>
      </c>
      <c r="C17" s="152" t="s">
        <v>393</v>
      </c>
      <c r="D17" s="386" t="s">
        <v>378</v>
      </c>
      <c r="E17" s="386"/>
    </row>
    <row r="18" spans="1:17" ht="57.25" customHeight="1">
      <c r="A18" s="153">
        <v>6</v>
      </c>
      <c r="B18" s="152" t="s">
        <v>231</v>
      </c>
      <c r="C18" s="152" t="s">
        <v>394</v>
      </c>
      <c r="D18" s="386" t="s">
        <v>379</v>
      </c>
      <c r="E18" s="386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86" t="s">
        <v>381</v>
      </c>
      <c r="C22" s="386"/>
      <c r="D22" s="386"/>
      <c r="E22" s="386"/>
      <c r="P22" s="157" t="s">
        <v>350</v>
      </c>
      <c r="Q22" s="157">
        <v>2</v>
      </c>
    </row>
    <row r="23" spans="1:17" ht="41.5" customHeight="1">
      <c r="A23" s="153">
        <v>2</v>
      </c>
      <c r="B23" s="386" t="s">
        <v>382</v>
      </c>
      <c r="C23" s="386"/>
      <c r="D23" s="386"/>
      <c r="E23" s="386"/>
      <c r="P23" s="157" t="s">
        <v>227</v>
      </c>
      <c r="Q23" s="157">
        <v>2</v>
      </c>
    </row>
    <row r="24" spans="1:17" ht="41.5" customHeight="1">
      <c r="A24" s="153">
        <v>3</v>
      </c>
      <c r="B24" s="386" t="s">
        <v>383</v>
      </c>
      <c r="C24" s="386"/>
      <c r="D24" s="386"/>
      <c r="E24" s="386"/>
      <c r="P24" s="157" t="s">
        <v>386</v>
      </c>
      <c r="Q24" s="157">
        <v>3</v>
      </c>
    </row>
    <row r="25" spans="1:17" ht="41.5" customHeight="1">
      <c r="A25" s="153">
        <v>4</v>
      </c>
      <c r="B25" s="386" t="s">
        <v>384</v>
      </c>
      <c r="C25" s="386"/>
      <c r="D25" s="386"/>
      <c r="E25" s="386"/>
    </row>
    <row r="27" spans="1:17" ht="15" customHeight="1">
      <c r="A27" s="401" t="s">
        <v>387</v>
      </c>
      <c r="B27" s="401"/>
      <c r="C27" s="401"/>
      <c r="D27" s="401"/>
      <c r="E27" s="401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403" t="s">
        <v>388</v>
      </c>
      <c r="B61" s="388"/>
      <c r="C61" s="388"/>
      <c r="D61" s="388"/>
      <c r="E61" s="388"/>
      <c r="F61" s="388"/>
      <c r="G61" s="388"/>
      <c r="H61" s="388"/>
      <c r="I61" s="388"/>
      <c r="J61" s="388"/>
      <c r="K61" s="388"/>
      <c r="L61" s="388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86" t="s">
        <v>291</v>
      </c>
      <c r="K64" s="386"/>
      <c r="L64" s="386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86" t="s">
        <v>325</v>
      </c>
      <c r="K65" s="386"/>
      <c r="L65" s="386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86" t="s">
        <v>325</v>
      </c>
      <c r="K66" s="386"/>
      <c r="L66" s="386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86" t="s">
        <v>351</v>
      </c>
      <c r="K67" s="386"/>
      <c r="L67" s="386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86" t="s">
        <v>327</v>
      </c>
      <c r="K68" s="386"/>
      <c r="L68" s="386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86" t="s">
        <v>291</v>
      </c>
      <c r="K69" s="386"/>
      <c r="L69" s="386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86" t="s">
        <v>351</v>
      </c>
      <c r="K70" s="386"/>
      <c r="L70" s="386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86" t="s">
        <v>327</v>
      </c>
      <c r="K71" s="386"/>
      <c r="L71" s="386"/>
    </row>
    <row r="75" spans="1:12" ht="15" customHeight="1">
      <c r="A75" s="404" t="s">
        <v>310</v>
      </c>
      <c r="B75" s="405"/>
      <c r="C75" s="405"/>
      <c r="D75" s="405"/>
      <c r="E75" s="405"/>
    </row>
    <row r="76" spans="1:12" ht="41.5" customHeight="1">
      <c r="A76" s="160" t="s">
        <v>232</v>
      </c>
      <c r="B76" s="402" t="s">
        <v>234</v>
      </c>
      <c r="C76" s="402"/>
      <c r="D76" s="402"/>
      <c r="E76" s="402"/>
    </row>
    <row r="77" spans="1:12" ht="41.5" customHeight="1">
      <c r="A77" s="160" t="s">
        <v>225</v>
      </c>
      <c r="B77" s="402" t="s">
        <v>311</v>
      </c>
      <c r="C77" s="402"/>
      <c r="D77" s="402"/>
      <c r="E77" s="402"/>
    </row>
    <row r="78" spans="1:12" ht="41.5" customHeight="1">
      <c r="A78" s="160" t="s">
        <v>287</v>
      </c>
      <c r="B78" s="402" t="s">
        <v>312</v>
      </c>
      <c r="C78" s="402"/>
      <c r="D78" s="402"/>
      <c r="E78" s="402"/>
    </row>
    <row r="79" spans="1:12" ht="41.5" customHeight="1">
      <c r="A79" s="160" t="s">
        <v>230</v>
      </c>
      <c r="B79" s="402" t="s">
        <v>313</v>
      </c>
      <c r="C79" s="402"/>
      <c r="D79" s="402"/>
      <c r="E79" s="402"/>
    </row>
    <row r="80" spans="1:12" ht="41.5" customHeight="1">
      <c r="A80" s="160" t="s">
        <v>226</v>
      </c>
      <c r="B80" s="402" t="s">
        <v>314</v>
      </c>
      <c r="C80" s="402"/>
      <c r="D80" s="402"/>
      <c r="E80" s="402"/>
    </row>
    <row r="81" spans="1:5" ht="41.5" customHeight="1">
      <c r="A81" s="160" t="s">
        <v>231</v>
      </c>
      <c r="B81" s="402" t="s">
        <v>315</v>
      </c>
      <c r="C81" s="402"/>
      <c r="D81" s="402"/>
      <c r="E81" s="402"/>
    </row>
    <row r="82" spans="1:5" ht="28" customHeight="1">
      <c r="A82" s="160" t="s">
        <v>228</v>
      </c>
      <c r="B82" s="402" t="s">
        <v>316</v>
      </c>
      <c r="C82" s="402"/>
      <c r="D82" s="402"/>
      <c r="E82" s="402"/>
    </row>
    <row r="83" spans="1:5" ht="28" customHeight="1">
      <c r="A83" s="160" t="s">
        <v>317</v>
      </c>
      <c r="B83" s="402" t="s">
        <v>318</v>
      </c>
      <c r="C83" s="402"/>
      <c r="D83" s="402"/>
      <c r="E83" s="402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  <c r="AJY1" t="s">
        <v>2</v>
      </c>
    </row>
    <row r="2" spans="1:961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  <c r="AJY2" t="s">
        <v>3</v>
      </c>
    </row>
    <row r="3" spans="1:961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  <c r="AJY3" t="s">
        <v>4</v>
      </c>
    </row>
    <row r="4" spans="1:961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  <c r="AJY4" t="s">
        <v>5</v>
      </c>
    </row>
    <row r="5" spans="1:961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  <c r="AJY5" t="s">
        <v>6</v>
      </c>
    </row>
    <row r="6" spans="1:961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  <c r="AJY6" t="s">
        <v>7</v>
      </c>
    </row>
    <row r="7" spans="1:961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  <c r="AJY7" t="s">
        <v>8</v>
      </c>
    </row>
    <row r="8" spans="1:961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  <c r="AJY8" t="s">
        <v>9</v>
      </c>
    </row>
    <row r="9" spans="1:961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  <c r="AJY9" t="s">
        <v>10</v>
      </c>
    </row>
    <row r="10" spans="1:961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  <c r="AJY10" t="s">
        <v>11</v>
      </c>
    </row>
    <row r="11" spans="1:961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  <c r="AJY11" t="s">
        <v>12</v>
      </c>
    </row>
    <row r="12" spans="1:961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  <c r="AJY12" t="s">
        <v>13</v>
      </c>
    </row>
    <row r="13" spans="1:961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61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61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2026-05-22T10:22:04Z</dcterms:modified>
  <cp:category/>
  <cp:contentStatus/>
</cp:coreProperties>
</file>
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774A761E-0A86-4B34-90B8-98AFDAC1E61C}" xr6:coauthVersionLast="47" xr6:coauthVersionMax="47" xr10:uidLastSave="{00000000-0000-0000-0000-000000000000}"/>
  <bookViews>
    <workbookView xWindow="-110" yWindow="-110" windowWidth="38620" windowHeight="21100" tabRatio="677" activeTab="8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K70" i="35" s="1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G68" i="27"/>
  <c r="K68" i="27" s="1"/>
  <c r="G69" i="27"/>
  <c r="G70" i="27"/>
  <c r="G71" i="27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9" i="36"/>
  <c r="K76" i="36"/>
  <c r="K78" i="36"/>
  <c r="K70" i="33"/>
  <c r="K73" i="33"/>
  <c r="K65" i="32"/>
  <c r="K68" i="31"/>
  <c r="K78" i="30"/>
  <c r="K81" i="30"/>
  <c r="K74" i="37"/>
  <c r="K77" i="28"/>
  <c r="K67" i="27"/>
  <c r="K71" i="27"/>
  <c r="K79" i="25"/>
  <c r="K81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28" i="31"/>
  <c r="G12" i="36"/>
  <c r="G42" i="27"/>
  <c r="G29" i="37"/>
  <c r="G38" i="27"/>
  <c r="G41" i="37"/>
  <c r="G52" i="33"/>
  <c r="G38" i="3"/>
  <c r="G4" i="31"/>
  <c r="G35" i="35"/>
  <c r="G17" i="31"/>
  <c r="G25" i="3"/>
  <c r="G19" i="32"/>
  <c r="G52" i="27"/>
  <c r="G20" i="26"/>
  <c r="G13" i="33"/>
  <c r="G49" i="26"/>
  <c r="G21" i="35"/>
  <c r="G43" i="26"/>
  <c r="G50" i="33"/>
  <c r="G11" i="31"/>
  <c r="G22" i="31"/>
  <c r="G57" i="25"/>
  <c r="G12" i="3"/>
  <c r="G31" i="35"/>
  <c r="G12" i="33"/>
  <c r="G4" i="36"/>
  <c r="G24" i="36"/>
  <c r="G26" i="3"/>
  <c r="G53" i="37"/>
  <c r="G40" i="32"/>
  <c r="G36" i="31"/>
  <c r="G13" i="3"/>
  <c r="G41" i="35"/>
  <c r="G3" i="25"/>
  <c r="G16" i="26"/>
  <c r="G31" i="36"/>
  <c r="G6" i="26"/>
  <c r="G57" i="30"/>
  <c r="G44" i="31"/>
  <c r="G54" i="25"/>
  <c r="G42" i="3"/>
  <c r="G7" i="35"/>
  <c r="G37" i="27"/>
  <c r="G36" i="30"/>
  <c r="G28" i="26"/>
  <c r="G23" i="32"/>
  <c r="G55" i="31"/>
  <c r="G23" i="30"/>
  <c r="G49" i="25"/>
  <c r="G20" i="3"/>
  <c r="G23" i="27"/>
  <c r="G49" i="30"/>
  <c r="G37" i="36"/>
  <c r="G42" i="33"/>
  <c r="G35" i="27"/>
  <c r="G59" i="27"/>
  <c r="G37" i="35"/>
  <c r="G41" i="36"/>
  <c r="G43" i="33"/>
  <c r="G19" i="33"/>
  <c r="G51" i="32"/>
  <c r="G44" i="26"/>
  <c r="G55" i="37"/>
  <c r="G27" i="26"/>
  <c r="G45" i="36"/>
  <c r="G42" i="30"/>
  <c r="G52" i="30"/>
  <c r="G52" i="37"/>
  <c r="G32" i="36"/>
  <c r="G57" i="36"/>
  <c r="G45" i="32"/>
  <c r="G5" i="33"/>
  <c r="G34" i="37"/>
  <c r="G16" i="27"/>
  <c r="G16" i="3"/>
  <c r="G10" i="25"/>
  <c r="G61" i="26"/>
  <c r="G56" i="33"/>
  <c r="G60" i="31"/>
  <c r="G40" i="31"/>
  <c r="G39" i="35"/>
  <c r="G37" i="26"/>
  <c r="G30" i="32"/>
  <c r="G42" i="35"/>
  <c r="G56" i="27"/>
  <c r="G56" i="26"/>
  <c r="G19" i="37"/>
  <c r="G22" i="32"/>
  <c r="G25" i="35"/>
  <c r="G62" i="31"/>
  <c r="G38" i="30"/>
  <c r="G37" i="3"/>
  <c r="G58" i="35"/>
  <c r="G52" i="25"/>
  <c r="G9" i="35"/>
  <c r="G26" i="31"/>
  <c r="G39" i="26"/>
  <c r="G45" i="35"/>
  <c r="G54" i="33"/>
  <c r="G51" i="36"/>
  <c r="G46" i="37"/>
  <c r="G56" i="25"/>
  <c r="G38" i="25"/>
  <c r="G7" i="36"/>
  <c r="G32" i="31"/>
  <c r="G17" i="30"/>
  <c r="G13" i="32"/>
  <c r="G62" i="26"/>
  <c r="G6" i="37"/>
  <c r="G44" i="32"/>
  <c r="G34" i="30"/>
  <c r="G47" i="25"/>
  <c r="G60" i="32"/>
  <c r="G47" i="31"/>
  <c r="G57" i="37"/>
  <c r="G45" i="26"/>
  <c r="G25" i="26"/>
  <c r="G24" i="30"/>
  <c r="G39" i="36"/>
  <c r="G31" i="26"/>
  <c r="G42" i="31"/>
  <c r="G53" i="3"/>
  <c r="G18" i="35"/>
  <c r="G51" i="37"/>
  <c r="G23" i="26"/>
  <c r="G7" i="25"/>
  <c r="G35" i="25"/>
  <c r="G35" i="3"/>
  <c r="G47" i="3"/>
  <c r="G45" i="27"/>
  <c r="G32" i="3"/>
  <c r="G30" i="33"/>
  <c r="G31" i="31"/>
  <c r="G11" i="33"/>
  <c r="G57" i="26"/>
  <c r="G11" i="32"/>
  <c r="G33" i="30"/>
  <c r="G59" i="37"/>
  <c r="G11" i="30"/>
  <c r="G29" i="32"/>
  <c r="G32" i="33"/>
  <c r="G39" i="27"/>
  <c r="G25" i="32"/>
  <c r="G37" i="33"/>
  <c r="G37" i="32"/>
  <c r="G33" i="27"/>
  <c r="G31" i="32"/>
  <c r="G50" i="27"/>
  <c r="G12" i="26"/>
  <c r="G48" i="3"/>
  <c r="G46" i="35"/>
  <c r="G38" i="31"/>
  <c r="G46" i="32"/>
  <c r="G27" i="25"/>
  <c r="G53" i="27"/>
  <c r="G7" i="31"/>
  <c r="G44" i="35"/>
  <c r="G38" i="37"/>
  <c r="G39" i="3"/>
  <c r="G4" i="35"/>
  <c r="G16" i="25"/>
  <c r="G20" i="33"/>
  <c r="G27" i="37"/>
  <c r="G12" i="25"/>
  <c r="G49" i="33"/>
  <c r="G30" i="36"/>
  <c r="G57" i="35"/>
  <c r="G43" i="25"/>
  <c r="G52" i="26"/>
  <c r="G35" i="37"/>
  <c r="G42" i="32"/>
  <c r="G18" i="33"/>
  <c r="G58" i="30"/>
  <c r="G35" i="30"/>
  <c r="G52" i="3"/>
  <c r="G5" i="3"/>
  <c r="G54" i="32"/>
  <c r="G13" i="37"/>
  <c r="G39" i="25"/>
  <c r="G41" i="32"/>
  <c r="G5" i="31"/>
  <c r="G8" i="36"/>
  <c r="G21" i="37"/>
  <c r="G36" i="33"/>
  <c r="G52" i="32"/>
  <c r="G19" i="35"/>
  <c r="G51" i="35"/>
  <c r="G53" i="26"/>
  <c r="G53" i="25"/>
  <c r="G55" i="32"/>
  <c r="G47" i="26"/>
  <c r="G33" i="26"/>
  <c r="G58" i="33"/>
  <c r="G46" i="27"/>
  <c r="G17" i="3"/>
  <c r="G8" i="31"/>
  <c r="G30" i="31"/>
  <c r="G36" i="26"/>
  <c r="G3" i="27"/>
  <c r="G19" i="26"/>
  <c r="G59" i="33"/>
  <c r="G15" i="35"/>
  <c r="G57" i="32"/>
  <c r="G14" i="3"/>
  <c r="G6" i="27"/>
  <c r="G32" i="25"/>
  <c r="G22" i="25"/>
  <c r="G37" i="37"/>
  <c r="G54" i="3"/>
  <c r="G52" i="31"/>
  <c r="G4" i="30"/>
  <c r="G55" i="36"/>
  <c r="G55" i="33"/>
  <c r="G8" i="27"/>
  <c r="G33" i="37"/>
  <c r="G3" i="30"/>
  <c r="G44" i="3"/>
  <c r="G16" i="31"/>
  <c r="G55" i="27"/>
  <c r="G10" i="37"/>
  <c r="G62" i="27"/>
  <c r="G10" i="27"/>
  <c r="G46" i="3"/>
  <c r="G24" i="33"/>
  <c r="G22" i="30"/>
  <c r="G45" i="3"/>
  <c r="G18" i="31"/>
  <c r="G40" i="35"/>
  <c r="G3" i="32"/>
  <c r="G8" i="37"/>
  <c r="G26" i="36"/>
  <c r="G46" i="30"/>
  <c r="G14" i="27"/>
  <c r="G9" i="3"/>
  <c r="G26" i="30"/>
  <c r="G51" i="26"/>
  <c r="G51" i="25"/>
  <c r="G28" i="36"/>
  <c r="G34" i="31"/>
  <c r="G25" i="30"/>
  <c r="G20" i="36"/>
  <c r="G25" i="37"/>
  <c r="G24" i="32"/>
  <c r="G41" i="27"/>
  <c r="G55" i="35"/>
  <c r="G8" i="30"/>
  <c r="G41" i="25"/>
  <c r="G41" i="3"/>
  <c r="G59" i="30"/>
  <c r="G31" i="25"/>
  <c r="G38" i="36"/>
  <c r="G32" i="35"/>
  <c r="G36" i="3"/>
  <c r="G29" i="33"/>
  <c r="G45" i="31"/>
  <c r="G18" i="36"/>
  <c r="G53" i="36"/>
  <c r="G53" i="33"/>
  <c r="G45" i="37"/>
  <c r="G44" i="36"/>
  <c r="G58" i="26"/>
  <c r="G21" i="30"/>
  <c r="G26" i="25"/>
  <c r="G43" i="35"/>
  <c r="G59" i="36"/>
  <c r="G56" i="31"/>
  <c r="G43" i="36"/>
  <c r="G59" i="32"/>
  <c r="G35" i="33"/>
  <c r="G44" i="25"/>
  <c r="G35" i="31"/>
  <c r="G39" i="30"/>
  <c r="G17" i="26"/>
  <c r="G38" i="32"/>
  <c r="G16" i="32"/>
  <c r="G14" i="25"/>
  <c r="G60" i="27"/>
  <c r="G51" i="31"/>
  <c r="G54" i="30"/>
  <c r="G54" i="37"/>
  <c r="G50" i="31"/>
  <c r="G61" i="37"/>
  <c r="G28" i="32"/>
  <c r="G22" i="26"/>
  <c r="G12" i="32"/>
  <c r="G60" i="30"/>
  <c r="G44" i="37"/>
  <c r="G57" i="27"/>
  <c r="G28" i="37"/>
  <c r="G44" i="27"/>
  <c r="G36" i="37"/>
  <c r="G30" i="30"/>
  <c r="G36" i="27"/>
  <c r="G51" i="30"/>
  <c r="G16" i="36"/>
  <c r="G40" i="3"/>
  <c r="G34" i="35"/>
  <c r="G64" i="30"/>
  <c r="G31" i="27"/>
  <c r="G20" i="25"/>
  <c r="G55" i="26"/>
  <c r="G55" i="25"/>
  <c r="G3" i="3"/>
  <c r="G47" i="36"/>
  <c r="G13" i="27"/>
  <c r="G56" i="36"/>
  <c r="G29" i="27"/>
  <c r="G45" i="25"/>
  <c r="G14" i="35"/>
  <c r="G11" i="36"/>
  <c r="G47" i="30"/>
  <c r="G46" i="33"/>
  <c r="G37" i="25"/>
  <c r="G31" i="3"/>
  <c r="G38" i="35"/>
  <c r="G56" i="32"/>
  <c r="G41" i="33"/>
  <c r="G57" i="33"/>
  <c r="G5" i="32"/>
  <c r="G49" i="32"/>
  <c r="G47" i="33"/>
  <c r="G9" i="37"/>
  <c r="G10" i="3"/>
  <c r="G63" i="30"/>
  <c r="G47" i="37"/>
  <c r="G44" i="30"/>
  <c r="G18" i="3"/>
  <c r="G47" i="27"/>
  <c r="G39" i="33"/>
  <c r="G35" i="32"/>
  <c r="G39" i="31"/>
  <c r="G54" i="36"/>
  <c r="G36" i="25"/>
  <c r="G27" i="27"/>
  <c r="G5" i="35"/>
  <c r="G3" i="26"/>
  <c r="G59" i="31"/>
  <c r="G7" i="27"/>
  <c r="G6" i="30"/>
  <c r="G60" i="26"/>
  <c r="G33" i="3"/>
  <c r="G12" i="35"/>
  <c r="G58" i="37"/>
  <c r="G18" i="32"/>
  <c r="G26" i="33"/>
  <c r="G32" i="26"/>
  <c r="G42" i="25"/>
  <c r="G13" i="26"/>
  <c r="G49" i="35"/>
  <c r="G17" i="33"/>
  <c r="G61" i="25"/>
  <c r="G40" i="30"/>
  <c r="G49" i="31"/>
  <c r="G10" i="35"/>
  <c r="G20" i="27"/>
  <c r="G24" i="26"/>
  <c r="G55" i="30"/>
  <c r="G38" i="33"/>
  <c r="G13" i="36"/>
  <c r="G6" i="31"/>
  <c r="G5" i="36"/>
  <c r="G15" i="26"/>
  <c r="G62" i="37"/>
  <c r="G23" i="31"/>
  <c r="G43" i="37"/>
  <c r="G48" i="36"/>
  <c r="G25" i="36"/>
  <c r="G7" i="26"/>
  <c r="G61" i="30"/>
  <c r="G11" i="3"/>
  <c r="G50" i="32"/>
  <c r="G51" i="3"/>
  <c r="G50" i="37"/>
  <c r="G12" i="31"/>
  <c r="G47" i="32"/>
  <c r="G18" i="25"/>
  <c r="G34" i="3"/>
  <c r="G15" i="30"/>
  <c r="G41" i="26"/>
  <c r="G35" i="36"/>
  <c r="G43" i="31"/>
  <c r="G22" i="35"/>
  <c r="G10" i="33"/>
  <c r="G8" i="25"/>
  <c r="G39" i="37"/>
  <c r="G26" i="32"/>
  <c r="G24" i="3"/>
  <c r="G30" i="3"/>
  <c r="G61" i="31"/>
  <c r="G18" i="30"/>
  <c r="G53" i="32"/>
  <c r="G52" i="35"/>
  <c r="G29" i="26"/>
  <c r="G34" i="27"/>
  <c r="G4" i="32"/>
  <c r="G20" i="31"/>
  <c r="G17" i="36"/>
  <c r="G27" i="33"/>
  <c r="G20" i="37"/>
  <c r="G20" i="30"/>
  <c r="G9" i="33"/>
  <c r="G48" i="37"/>
  <c r="G46" i="26"/>
  <c r="G5" i="30"/>
  <c r="G8" i="35"/>
  <c r="G53" i="31"/>
  <c r="G15" i="31"/>
  <c r="G18" i="26"/>
  <c r="G6" i="3"/>
  <c r="G21" i="27"/>
  <c r="G34" i="25"/>
  <c r="G60" i="37"/>
  <c r="G21" i="25"/>
  <c r="G14" i="31"/>
  <c r="G24" i="27"/>
  <c r="G13" i="35"/>
  <c r="G29" i="36"/>
  <c r="G10" i="31"/>
  <c r="G34" i="32"/>
  <c r="G48" i="30"/>
  <c r="G9" i="30"/>
  <c r="G41" i="31"/>
  <c r="G54" i="27"/>
  <c r="G48" i="25"/>
  <c r="G14" i="36"/>
  <c r="G8" i="32"/>
  <c r="G23" i="35"/>
  <c r="G33" i="32"/>
  <c r="G17" i="32"/>
  <c r="G23" i="33"/>
  <c r="G15" i="25"/>
  <c r="G3" i="31"/>
  <c r="G14" i="37"/>
  <c r="G16" i="33"/>
  <c r="G43" i="27"/>
  <c r="G54" i="31"/>
  <c r="G11" i="25"/>
  <c r="G30" i="27"/>
  <c r="G49" i="37"/>
  <c r="G24" i="37"/>
  <c r="G17" i="37"/>
  <c r="G4" i="27"/>
  <c r="G17" i="25"/>
  <c r="G45" i="33"/>
  <c r="G48" i="32"/>
  <c r="G19" i="25"/>
  <c r="G34" i="33"/>
  <c r="G10" i="26"/>
  <c r="G26" i="26"/>
  <c r="G56" i="35"/>
  <c r="G18" i="27"/>
  <c r="G60" i="25"/>
  <c r="G20" i="32"/>
  <c r="G24" i="31"/>
  <c r="G5" i="26"/>
  <c r="G48" i="35"/>
  <c r="G15" i="3"/>
  <c r="G13" i="31"/>
  <c r="G32" i="30"/>
  <c r="G21" i="33"/>
  <c r="G47" i="35"/>
  <c r="G28" i="33"/>
  <c r="G44" i="33"/>
  <c r="G57" i="31"/>
  <c r="G36" i="36"/>
  <c r="G4" i="33"/>
  <c r="G22" i="3"/>
  <c r="G25" i="27"/>
  <c r="G9" i="26"/>
  <c r="G19" i="36"/>
  <c r="G25" i="25"/>
  <c r="G51" i="33"/>
  <c r="G6" i="35"/>
  <c r="G49" i="27"/>
  <c r="G22" i="37"/>
  <c r="G7" i="3"/>
  <c r="G15" i="36"/>
  <c r="G15" i="33"/>
  <c r="G58" i="27"/>
  <c r="G37" i="30"/>
  <c r="G5" i="37"/>
  <c r="G23" i="25"/>
  <c r="G9" i="32"/>
  <c r="G32" i="27"/>
  <c r="G48" i="27"/>
  <c r="G50" i="30"/>
  <c r="G38" i="26"/>
  <c r="G6" i="25"/>
  <c r="G9" i="27"/>
  <c r="G12" i="30"/>
  <c r="G49" i="36"/>
  <c r="G21" i="26"/>
  <c r="G30" i="35"/>
  <c r="G7" i="32"/>
  <c r="G40" i="27"/>
  <c r="G4" i="26"/>
  <c r="G22" i="33"/>
  <c r="G23" i="36"/>
  <c r="G63" i="37"/>
  <c r="G58" i="36"/>
  <c r="G6" i="36"/>
  <c r="G3" i="37"/>
  <c r="G51" i="27"/>
  <c r="G25" i="33"/>
  <c r="G43" i="3"/>
  <c r="G60" i="33"/>
  <c r="G18" i="37"/>
  <c r="G31" i="33"/>
  <c r="G40" i="36"/>
  <c r="G40" i="33"/>
  <c r="G27" i="36"/>
  <c r="G26" i="37"/>
  <c r="G13" i="30"/>
  <c r="G24" i="25"/>
  <c r="G20" i="35"/>
  <c r="G48" i="26"/>
  <c r="G41" i="30"/>
  <c r="G11" i="35"/>
  <c r="G12" i="37"/>
  <c r="G63" i="31"/>
  <c r="G31" i="37"/>
  <c r="G56" i="30"/>
  <c r="G46" i="31"/>
  <c r="G43" i="32"/>
  <c r="G11" i="37"/>
  <c r="G7" i="30"/>
  <c r="G4" i="25"/>
  <c r="G4" i="3"/>
  <c r="G59" i="26"/>
  <c r="G53" i="35"/>
  <c r="G59" i="25"/>
  <c r="G30" i="25"/>
  <c r="G14" i="30"/>
  <c r="G21" i="31"/>
  <c r="G58" i="25"/>
  <c r="G42" i="26"/>
  <c r="G28" i="30"/>
  <c r="G29" i="3"/>
  <c r="G33" i="35"/>
  <c r="G33" i="33"/>
  <c r="G9" i="25"/>
  <c r="G3" i="33"/>
  <c r="G28" i="27"/>
  <c r="G28" i="3"/>
  <c r="G8" i="26"/>
  <c r="G6" i="33"/>
  <c r="G6" i="32"/>
  <c r="G61" i="32"/>
  <c r="G58" i="31"/>
  <c r="G42" i="37"/>
  <c r="G7" i="37"/>
  <c r="G8" i="3"/>
  <c r="G30" i="26"/>
  <c r="G11" i="26"/>
  <c r="G27" i="3"/>
  <c r="G58" i="32"/>
  <c r="G50" i="35"/>
  <c r="G3" i="36"/>
  <c r="G29" i="31"/>
  <c r="G32" i="37"/>
  <c r="G19" i="3"/>
  <c r="G22" i="27"/>
  <c r="G61" i="27"/>
  <c r="G52" i="36"/>
  <c r="G13" i="25"/>
  <c r="G15" i="37"/>
  <c r="G50" i="26"/>
  <c r="G50" i="3"/>
  <c r="G27" i="32"/>
  <c r="G4" i="37"/>
  <c r="G46" i="36"/>
  <c r="G62" i="30"/>
  <c r="G10" i="36"/>
  <c r="G9" i="36"/>
  <c r="G46" i="25"/>
  <c r="G19" i="30"/>
  <c r="G19" i="27"/>
  <c r="G21" i="3"/>
  <c r="G48" i="33"/>
  <c r="G35" i="26"/>
  <c r="G14" i="26"/>
  <c r="G28" i="35"/>
  <c r="G21" i="32"/>
  <c r="G24" i="35"/>
  <c r="G15" i="32"/>
  <c r="G53" i="30"/>
  <c r="G31" i="30"/>
  <c r="G33" i="36"/>
  <c r="G26" i="35"/>
  <c r="G56" i="37"/>
  <c r="G12" i="27"/>
  <c r="G5" i="25"/>
  <c r="G33" i="31"/>
  <c r="G16" i="35"/>
  <c r="G43" i="30"/>
  <c r="G40" i="25"/>
  <c r="G10" i="32"/>
  <c r="G48" i="31"/>
  <c r="G49" i="3"/>
  <c r="G29" i="30"/>
  <c r="G17" i="35"/>
  <c r="G39" i="32"/>
  <c r="G7" i="33"/>
  <c r="G27" i="30"/>
  <c r="G28" i="25"/>
  <c r="G11" i="27"/>
  <c r="G10" i="30"/>
  <c r="G16" i="37"/>
  <c r="G5" i="27"/>
  <c r="G54" i="35"/>
  <c r="G33" i="25"/>
  <c r="G27" i="35"/>
  <c r="G16" i="30"/>
  <c r="G45" i="30"/>
  <c r="G23" i="3"/>
  <c r="G25" i="31"/>
  <c r="G36" i="35"/>
  <c r="G54" i="26"/>
  <c r="G50" i="25"/>
  <c r="G42" i="36"/>
  <c r="G14" i="33"/>
  <c r="G17" i="27"/>
  <c r="G29" i="35"/>
  <c r="G30" i="37"/>
  <c r="G22" i="36"/>
  <c r="G23" i="37"/>
  <c r="G14" i="32"/>
  <c r="G32" i="32"/>
  <c r="G21" i="36"/>
  <c r="G34" i="36"/>
  <c r="G29" i="25"/>
  <c r="G50" i="36"/>
  <c r="G64" i="37"/>
  <c r="G9" i="31"/>
  <c r="G26" i="27"/>
  <c r="G37" i="31"/>
  <c r="G8" i="33"/>
  <c r="G34" i="26"/>
  <c r="G36" i="32"/>
  <c r="G3" i="35"/>
  <c r="G27" i="31"/>
  <c r="G15" i="27"/>
  <c r="G40" i="37"/>
  <c r="G40" i="26"/>
  <c r="G19" i="31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28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7"/>
  <c r="S36" i="26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1"/>
  <c r="S36" i="35"/>
  <c r="S36" i="33"/>
  <c r="S36" i="32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<sst xmlns="http://schemas.openxmlformats.org/spreadsheetml/2006/main" count="4882" uniqueCount="562">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</sst>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6" fillId="14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3" xfId="0" applyFont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40" fillId="0" borderId="57" xfId="0" applyFont="1" applyBorder="1" applyAlignment="1">
      <alignment horizontal="left" vertical="center" wrapText="1"/>
    </xf>
    <xf numFmtId="0" fontId="4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3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5" t="s">
        <v>292</v>
      </c>
      <c r="B1" s="315"/>
      <c r="C1" s="315"/>
      <c r="D1" s="315"/>
      <c r="E1" s="315"/>
      <c r="F1" s="315"/>
      <c r="G1" s="315"/>
      <c r="H1" s="315"/>
      <c r="I1" s="315"/>
      <c r="J1" s="315"/>
    </row>
    <row r="2" spans="1:10" ht="74" customHeight="1">
      <c r="A2" s="322" t="s">
        <v>352</v>
      </c>
      <c r="B2" s="322"/>
      <c r="C2" s="322"/>
      <c r="D2" s="322"/>
      <c r="E2" s="322"/>
      <c r="F2" s="322"/>
      <c r="G2" s="322"/>
      <c r="H2" s="322"/>
      <c r="I2" s="449"/>
      <c r="J2" s="449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3" t="s">
        <v>470</v>
      </c>
      <c r="B4" s="324"/>
      <c r="C4" s="324"/>
      <c r="D4" s="325"/>
      <c r="E4" s="325"/>
      <c r="F4" s="325"/>
      <c r="G4" s="326"/>
      <c r="H4" s="327"/>
      <c r="I4" s="325"/>
      <c r="J4" s="328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2950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6" t="s">
        <v>346</v>
      </c>
      <c r="B185" s="317"/>
      <c r="C185" s="317"/>
      <c r="D185" s="318"/>
      <c r="E185" s="318"/>
      <c r="F185" s="318"/>
      <c r="G185" s="319"/>
      <c r="H185" s="320"/>
      <c r="I185" s="318"/>
      <c r="J185" s="321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AiQuoFC8PqPsgddYFv/ZxFxB1iBXrR7rKNoHASV9hK6m4siPWtShpKXCcxPKf1pstVP+peFxlUQFxhJlPKxCMA==" saltValue="Pte3407X9+Oi5Uqi8gUF7w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1" t="s">
        <v>14</v>
      </c>
      <c r="C3" s="331"/>
      <c r="D3" s="331"/>
      <c r="E3" s="331"/>
      <c r="F3" s="331"/>
      <c r="H3" s="329" t="s">
        <v>15</v>
      </c>
      <c r="I3" s="329"/>
      <c r="K3" s="333" t="s">
        <v>16</v>
      </c>
      <c r="L3" s="333"/>
      <c r="N3" s="329" t="s">
        <v>17</v>
      </c>
      <c r="O3" s="329"/>
    </row>
    <row r="4" spans="2:15" ht="15" customHeight="1">
      <c r="B4" s="331"/>
      <c r="C4" s="331"/>
      <c r="D4" s="331"/>
      <c r="E4" s="331"/>
      <c r="F4" s="331"/>
      <c r="H4" s="329"/>
      <c r="I4" s="329"/>
      <c r="K4" s="333"/>
      <c r="L4" s="333"/>
      <c r="N4" s="329"/>
      <c r="O4" s="32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0" t="s">
        <v>22</v>
      </c>
      <c r="I5" s="330"/>
      <c r="K5" s="330" t="s">
        <v>22</v>
      </c>
      <c r="L5" s="330"/>
      <c r="N5" s="330" t="s">
        <v>23</v>
      </c>
      <c r="O5" s="330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32" t="s">
        <v>37</v>
      </c>
      <c r="C19" s="332"/>
      <c r="D19" s="332"/>
      <c r="E19" s="332"/>
      <c r="F19" s="332"/>
      <c r="H19" s="329" t="s">
        <v>38</v>
      </c>
      <c r="I19" s="329"/>
      <c r="K19" s="333" t="s">
        <v>39</v>
      </c>
      <c r="L19" s="333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32"/>
      <c r="C20" s="332"/>
      <c r="D20" s="332"/>
      <c r="E20" s="332"/>
      <c r="F20" s="332"/>
      <c r="H20" s="329"/>
      <c r="I20" s="329"/>
      <c r="K20" s="333"/>
      <c r="L20" s="333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0" t="s">
        <v>22</v>
      </c>
      <c r="I21" s="330"/>
      <c r="K21" s="330" t="s">
        <v>22</v>
      </c>
      <c r="L21" s="330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uOslHoTmaNuFTaw26MxrPIFZNlA4eyhhT2e+uidOFYXcbJYqc7V9tPQudVf2WO9F5QrmFLcH6ivZyeeOIQKTIg==" saltValue="A+40ZGLjRA9YzVmXPgINuw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5" t="s">
        <v>392</v>
      </c>
      <c r="B1" s="336"/>
      <c r="C1" s="336"/>
      <c r="D1" s="336"/>
    </row>
    <row r="2" spans="1:4">
      <c r="A2" s="122" t="s">
        <v>363</v>
      </c>
      <c r="B2" s="122" t="s">
        <v>364</v>
      </c>
    </row>
    <row r="3" spans="1:4" ht="36" customHeight="1">
      <c r="A3" s="334" t="s">
        <v>393</v>
      </c>
      <c r="B3" s="334"/>
      <c r="C3" s="334"/>
      <c r="D3" s="334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46023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7469.83</v>
      </c>
      <c r="R8" s="279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EINSTELLUNG!L22</f>
        <v>1</v>
      </c>
      <c r="R9" s="279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77" t="s">
        <v>62</v>
      </c>
      <c r="P10" s="278"/>
      <c r="Q10" s="279">
        <f>EINSTELLUNG!I22</f>
        <v>150</v>
      </c>
      <c r="R10" s="279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/>
      <c r="R12" s="346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77" t="s">
        <v>68</v>
      </c>
      <c r="P13" s="278"/>
      <c r="Q13" s="279">
        <f>Q8-Q9-Q10-Q11-Q12</f>
        <v>6718.83</v>
      </c>
      <c r="R13" s="279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77" t="s">
        <v>70</v>
      </c>
      <c r="P14" s="278"/>
      <c r="Q14" s="279">
        <f>EINSTELLUNG!L6</f>
        <v>9300</v>
      </c>
      <c r="R14" s="279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77" t="s">
        <v>72</v>
      </c>
      <c r="P15" s="278"/>
      <c r="Q15" s="279">
        <f>Q13-Q14</f>
        <v>-2581.17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81" t="s">
        <v>75</v>
      </c>
      <c r="P17" s="282"/>
      <c r="Q17" s="283">
        <f>SUM(L3:L82)</f>
        <v>89361.986021505378</v>
      </c>
      <c r="R17" s="283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49"/>
      <c r="P18" s="250"/>
      <c r="Q18" s="258"/>
      <c r="R18" s="258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49"/>
      <c r="P19" s="250"/>
      <c r="Q19" s="258"/>
      <c r="R19" s="258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49"/>
      <c r="P20" s="250"/>
      <c r="Q20" s="258">
        <v>500</v>
      </c>
      <c r="R20" s="258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49" t="s">
        <v>320</v>
      </c>
      <c r="P21" s="250"/>
      <c r="Q21" s="258">
        <v>5000</v>
      </c>
      <c r="R21" s="258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49"/>
      <c r="P22" s="250"/>
      <c r="Q22" s="258"/>
      <c r="R22" s="258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49"/>
      <c r="P23" s="250"/>
      <c r="Q23" s="258"/>
      <c r="R23" s="258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249"/>
      <c r="P24" s="250"/>
      <c r="Q24" s="258"/>
      <c r="R24" s="258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9"/>
      <c r="P25" s="350"/>
      <c r="Q25" s="271"/>
      <c r="R25" s="271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53" t="s">
        <v>90</v>
      </c>
      <c r="P29" s="254"/>
      <c r="Q29" s="255">
        <f>EINSTELLUNG!O6</f>
        <v>1250</v>
      </c>
      <c r="R29" s="256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59">
        <v>0</v>
      </c>
      <c r="P31" s="260"/>
      <c r="Q31" s="261">
        <v>1.9607843137254902E-2</v>
      </c>
      <c r="R31" s="262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63"/>
      <c r="P33" s="264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63"/>
      <c r="P34" s="264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44" t="s">
        <v>101</v>
      </c>
      <c r="P35" s="245"/>
      <c r="Q35" s="235">
        <f>EINSTELLUNG!C6</f>
        <v>400000</v>
      </c>
      <c r="R35" s="235"/>
      <c r="S35" s="235">
        <f>EINSTELLUNG!C22</f>
        <v>425000</v>
      </c>
      <c r="T35" s="235"/>
      <c r="U35" s="236">
        <f>S35-Q35</f>
        <v>25000</v>
      </c>
      <c r="V35" s="236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44" t="s">
        <v>103</v>
      </c>
      <c r="P36" s="245"/>
      <c r="Q36" s="235">
        <f>EINSTELLUNG!D6</f>
        <v>100000</v>
      </c>
      <c r="R36" s="235"/>
      <c r="S36" s="235">
        <f ca="1">SumMergedCells(Q17:R29)</f>
        <v>96111.986000000004</v>
      </c>
      <c r="T36" s="235"/>
      <c r="U36" s="236">
        <f t="shared" ref="U36:U41" ca="1" si="2">S36-Q36</f>
        <v>-3888.0139999999956</v>
      </c>
      <c r="V36" s="236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0.22614584941176472</v>
      </c>
      <c r="T37" s="246"/>
      <c r="U37" s="247">
        <f t="shared" ca="1" si="2"/>
        <v>-2.3854150588235284E-2</v>
      </c>
      <c r="V37" s="247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44" t="s">
        <v>107</v>
      </c>
      <c r="P38" s="245"/>
      <c r="Q38" s="237">
        <f>EINSTELLUNG!F6</f>
        <v>30000</v>
      </c>
      <c r="R38" s="237"/>
      <c r="S38" s="237">
        <f>EINSTELLUNG!F22</f>
        <v>29000</v>
      </c>
      <c r="T38" s="237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14.655172413793103</v>
      </c>
      <c r="T39" s="235"/>
      <c r="U39" s="236">
        <f t="shared" si="2"/>
        <v>1.3218390804597693</v>
      </c>
      <c r="V39" s="236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44" t="s">
        <v>111</v>
      </c>
      <c r="P40" s="245"/>
      <c r="Q40" s="235">
        <f>IF(Q13=0, 0, Q35/Q13)</f>
        <v>59.534174848894821</v>
      </c>
      <c r="R40" s="235"/>
      <c r="S40" s="235">
        <f>IF(Q13=0, 0, S35/Q13)</f>
        <v>63.255060776950749</v>
      </c>
      <c r="T40" s="235"/>
      <c r="U40" s="236">
        <f t="shared" si="2"/>
        <v>3.7208859280559281</v>
      </c>
      <c r="V40" s="236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44" t="s">
        <v>113</v>
      </c>
      <c r="P41" s="245"/>
      <c r="Q41" s="237">
        <f>IF(Q13=0, 0, Q38/Q13)</f>
        <v>4.4650631136671119</v>
      </c>
      <c r="R41" s="237"/>
      <c r="S41" s="237">
        <f>IF(Q13=0, 0, S38/Q13)</f>
        <v>4.3162276765448748</v>
      </c>
      <c r="T41" s="237"/>
      <c r="U41" s="238">
        <f t="shared" si="2"/>
        <v>-0.14883543712223712</v>
      </c>
      <c r="V41" s="238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44" t="s">
        <v>115</v>
      </c>
      <c r="P42" s="245"/>
      <c r="Q42" s="239">
        <f>IFERROR(Q17/Q8, 0)</f>
        <v>11.963054851516752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51"/>
      <c r="L114" s="351"/>
      <c r="M114" s="351"/>
      <c r="N114" s="37"/>
    </row>
    <row r="115" spans="11:14" ht="16" customHeight="1">
      <c r="K115" s="351"/>
      <c r="L115" s="351"/>
      <c r="M115" s="351"/>
      <c r="N115" s="37"/>
    </row>
    <row r="116" spans="11:14" ht="16" customHeight="1">
      <c r="K116" s="347"/>
      <c r="L116" s="347"/>
      <c r="M116" s="26"/>
      <c r="N116" s="26"/>
    </row>
    <row r="117" spans="11:14" ht="16" customHeight="1">
      <c r="K117" s="347"/>
      <c r="L117" s="347"/>
      <c r="M117" s="26"/>
      <c r="N117" s="26"/>
    </row>
    <row r="118" spans="11:14" ht="16" customHeight="1">
      <c r="K118" s="352"/>
      <c r="L118" s="352"/>
      <c r="M118" s="27"/>
      <c r="N118" s="27"/>
    </row>
    <row r="119" spans="11:14" ht="16" customHeight="1">
      <c r="K119" s="348"/>
      <c r="L119" s="348"/>
      <c r="M119" s="28"/>
      <c r="N119" s="28"/>
    </row>
    <row r="120" spans="11:14" ht="16" customHeight="1">
      <c r="K120" s="347"/>
      <c r="L120" s="347"/>
      <c r="M120" s="26"/>
      <c r="N120" s="26"/>
    </row>
    <row r="121" spans="11:14" ht="16" customHeight="1">
      <c r="K121" s="347"/>
      <c r="L121" s="347"/>
      <c r="M121" s="26"/>
      <c r="N121" s="26"/>
    </row>
    <row r="122" spans="11:14" ht="16" customHeight="1">
      <c r="K122" s="348"/>
      <c r="L122" s="348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46054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90" t="str">
        <f>IF(Q5&lt;0, "Schlecht! Zu wenig Urlaub abgebaut.", IF(Q5&gt;0, "Gut! Mehr Urlaub abgebaut als aufgebaut.", ""))</f>
        <v>Schlecht! Zu wenig Urlaub abgebaut.</v>
      </c>
      <c r="P6" s="390"/>
      <c r="Q6" s="390"/>
      <c r="R6" s="390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88" t="s">
        <v>58</v>
      </c>
      <c r="P8" s="277"/>
      <c r="Q8" s="386">
        <f>SUM(H3:H82)</f>
        <v>8643.5099999999984</v>
      </c>
      <c r="R8" s="387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88" t="s">
        <v>60</v>
      </c>
      <c r="P9" s="277"/>
      <c r="Q9" s="386">
        <f>EINSTELLUNG!L23</f>
        <v>2</v>
      </c>
      <c r="R9" s="387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88" t="s">
        <v>62</v>
      </c>
      <c r="P10" s="277"/>
      <c r="Q10" s="386">
        <f>EINSTELLUNG!I23</f>
        <v>0</v>
      </c>
      <c r="R10" s="387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88" t="s">
        <v>64</v>
      </c>
      <c r="P11" s="277"/>
      <c r="Q11" s="386">
        <f>P5</f>
        <v>600</v>
      </c>
      <c r="R11" s="387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88" t="s">
        <v>68</v>
      </c>
      <c r="P12" s="277"/>
      <c r="Q12" s="386">
        <f>Q8-Q9-Q10-Q11</f>
        <v>8041.5099999999984</v>
      </c>
      <c r="R12" s="387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88" t="s">
        <v>70</v>
      </c>
      <c r="P13" s="277"/>
      <c r="Q13" s="386">
        <f>EINSTELLUNG!L7</f>
        <v>9300</v>
      </c>
      <c r="R13" s="387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88" t="s">
        <v>72</v>
      </c>
      <c r="P14" s="277"/>
      <c r="Q14" s="386">
        <f>Q12-Q13</f>
        <v>-1258.4900000000016</v>
      </c>
      <c r="R14" s="387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89" t="str">
        <f>IF(Q14&lt;0, "Schlecht! Zu wenig Stunden für Dienstplan.", IF(Q14&gt;0, "Du hast mehr als genug Stunden für Dienstplan.", ""))</f>
        <v>Schlecht! Zu wenig Stunden für Dienstplan.</v>
      </c>
      <c r="P15" s="389"/>
      <c r="Q15" s="389"/>
      <c r="R15" s="389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83" t="s">
        <v>75</v>
      </c>
      <c r="P17" s="281"/>
      <c r="Q17" s="384">
        <f>SUM(L3:L82)</f>
        <v>103521.01285714286</v>
      </c>
      <c r="R17" s="385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63"/>
      <c r="P18" s="266"/>
      <c r="Q18" s="364"/>
      <c r="R18" s="36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63"/>
      <c r="P19" s="266"/>
      <c r="Q19" s="364"/>
      <c r="R19" s="365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63"/>
      <c r="P20" s="266"/>
      <c r="Q20" s="364"/>
      <c r="R20" s="365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63" t="s">
        <v>320</v>
      </c>
      <c r="P21" s="266"/>
      <c r="Q21" s="364">
        <v>5000</v>
      </c>
      <c r="R21" s="365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63"/>
      <c r="P22" s="266"/>
      <c r="Q22" s="364"/>
      <c r="R22" s="365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63"/>
      <c r="P23" s="266"/>
      <c r="Q23" s="364"/>
      <c r="R23" s="365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63"/>
      <c r="P24" s="266"/>
      <c r="Q24" s="364"/>
      <c r="R24" s="365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77"/>
      <c r="P25" s="268"/>
      <c r="Q25" s="378"/>
      <c r="R25" s="379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80"/>
      <c r="P26" s="272"/>
      <c r="Q26" s="381"/>
      <c r="R26" s="382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73"/>
      <c r="P27" s="249"/>
      <c r="Q27" s="374"/>
      <c r="R27" s="375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76"/>
      <c r="P28" s="296"/>
      <c r="Q28" s="357"/>
      <c r="R28" s="358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59" t="s">
        <v>90</v>
      </c>
      <c r="P29" s="253"/>
      <c r="Q29" s="360">
        <f>EINSTELLUNG!O7</f>
        <v>1250</v>
      </c>
      <c r="R29" s="36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66">
        <v>0</v>
      </c>
      <c r="P31" s="367"/>
      <c r="Q31" s="368">
        <v>1.7241379310344827E-2</v>
      </c>
      <c r="R31" s="259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69"/>
      <c r="P33" s="370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71"/>
      <c r="P34" s="372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62" t="s">
        <v>101</v>
      </c>
      <c r="P35" s="244"/>
      <c r="Q35" s="239">
        <f>EINSTELLUNG!C7</f>
        <v>400000</v>
      </c>
      <c r="R35" s="241"/>
      <c r="S35" s="239">
        <f>EINSTELLUNG!C23</f>
        <v>425000</v>
      </c>
      <c r="T35" s="241"/>
      <c r="U35" s="236">
        <f>S35-Q35</f>
        <v>25000</v>
      </c>
      <c r="V35" s="236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62" t="s">
        <v>103</v>
      </c>
      <c r="P36" s="244"/>
      <c r="Q36" s="239">
        <f>EINSTELLUNG!D7</f>
        <v>100000</v>
      </c>
      <c r="R36" s="241"/>
      <c r="S36" s="235">
        <f ca="1">SumMergedCells(Q17:R29)</f>
        <v>109771.0129</v>
      </c>
      <c r="T36" s="235"/>
      <c r="U36" s="236">
        <f t="shared" ref="U36:U41" ca="1" si="2">S36-Q36</f>
        <v>9771.0129000000015</v>
      </c>
      <c r="V36" s="236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62" t="s">
        <v>105</v>
      </c>
      <c r="P37" s="244"/>
      <c r="Q37" s="355">
        <f>IF(ISERROR(Q36/Q35), 0, Q36/Q35)</f>
        <v>0.25</v>
      </c>
      <c r="R37" s="356"/>
      <c r="S37" s="355">
        <f ca="1">IF(ISERROR(S36/S35), 0, S36/S35)</f>
        <v>0.25828473623529413</v>
      </c>
      <c r="T37" s="356"/>
      <c r="U37" s="247">
        <f t="shared" ca="1" si="2"/>
        <v>8.2847362352941323E-3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62" t="s">
        <v>107</v>
      </c>
      <c r="P38" s="244"/>
      <c r="Q38" s="353">
        <f>EINSTELLUNG!F7</f>
        <v>30000</v>
      </c>
      <c r="R38" s="354"/>
      <c r="S38" s="353">
        <f>EINSTELLUNG!F23</f>
        <v>29000</v>
      </c>
      <c r="T38" s="354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62" t="s">
        <v>109</v>
      </c>
      <c r="P39" s="244"/>
      <c r="Q39" s="239">
        <f>IF(Q38=0, 0, Q35/Q38)</f>
        <v>13.333333333333334</v>
      </c>
      <c r="R39" s="241"/>
      <c r="S39" s="239">
        <f>IF(S38=0, 0, S35/S38)</f>
        <v>14.655172413793103</v>
      </c>
      <c r="T39" s="241"/>
      <c r="U39" s="236">
        <f t="shared" si="2"/>
        <v>1.3218390804597693</v>
      </c>
      <c r="V39" s="236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44" t="s">
        <v>111</v>
      </c>
      <c r="P40" s="245"/>
      <c r="Q40" s="235">
        <f>IF(Q12=0, 0, Q35/Q12)</f>
        <v>49.74190170751514</v>
      </c>
      <c r="R40" s="235"/>
      <c r="S40" s="235">
        <f>IF(Q12=0, 0, S35/Q12)</f>
        <v>52.850770564234836</v>
      </c>
      <c r="T40" s="235"/>
      <c r="U40" s="236">
        <f t="shared" si="2"/>
        <v>3.1088688567196954</v>
      </c>
      <c r="V40" s="236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44" t="s">
        <v>113</v>
      </c>
      <c r="P41" s="245"/>
      <c r="Q41" s="237">
        <f>IF(Q12=0, 0, Q38/Q12)</f>
        <v>3.7306426280636353</v>
      </c>
      <c r="R41" s="237"/>
      <c r="S41" s="237">
        <f>IF(Q12=0, 0, S38/Q12)</f>
        <v>3.6062878737948476</v>
      </c>
      <c r="T41" s="237"/>
      <c r="U41" s="238">
        <f t="shared" si="2"/>
        <v>-0.12435475426878773</v>
      </c>
      <c r="V41" s="238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44" t="s">
        <v>115</v>
      </c>
      <c r="P42" s="245"/>
      <c r="Q42" s="239">
        <f>IFERROR(Q17/Q8, 0)</f>
        <v>11.976733162470209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46082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8920.8000000000011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EINSTELLUNG!L24</f>
        <v>3</v>
      </c>
      <c r="R9" s="279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EINSTELLUNG!I24</f>
        <v>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-445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8762.8000000000011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EINSTELLUNG!L8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-537.19999999999891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81" t="s">
        <v>75</v>
      </c>
      <c r="P17" s="282"/>
      <c r="Q17" s="283">
        <f>SUM(L3:L82)</f>
        <v>107021.09612903227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EINSTELLUNG!O8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9">
        <v>0</v>
      </c>
      <c r="P31" s="260"/>
      <c r="Q31" s="261">
        <v>1.6949152542372881E-2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44" t="s">
        <v>101</v>
      </c>
      <c r="P35" s="245"/>
      <c r="Q35" s="235">
        <f>EINSTELLUNG!C8</f>
        <v>400000</v>
      </c>
      <c r="R35" s="235"/>
      <c r="S35" s="235">
        <f>EINSTELLUNG!C24</f>
        <v>430000</v>
      </c>
      <c r="T35" s="235"/>
      <c r="U35" s="236">
        <f>S35-Q35</f>
        <v>30000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44" t="s">
        <v>103</v>
      </c>
      <c r="P36" s="245"/>
      <c r="Q36" s="235">
        <f>EINSTELLUNG!D8</f>
        <v>100000</v>
      </c>
      <c r="R36" s="235"/>
      <c r="S36" s="235">
        <f ca="1">SumMergedCells(Q17:R29)</f>
        <v>113271.0961</v>
      </c>
      <c r="T36" s="235"/>
      <c r="U36" s="236">
        <f t="shared" ref="U36:U41" ca="1" si="2">S36-Q36</f>
        <v>13271.096099999995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0.26342115372093022</v>
      </c>
      <c r="T37" s="246"/>
      <c r="U37" s="247">
        <f t="shared" ca="1" si="2"/>
        <v>1.3421153720930223E-2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44" t="s">
        <v>107</v>
      </c>
      <c r="P38" s="245"/>
      <c r="Q38" s="237">
        <f>EINSTELLUNG!F8</f>
        <v>30000</v>
      </c>
      <c r="R38" s="237"/>
      <c r="S38" s="237">
        <f>EINSTELLUNG!F24</f>
        <v>29000</v>
      </c>
      <c r="T38" s="237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14.827586206896552</v>
      </c>
      <c r="T39" s="235"/>
      <c r="U39" s="236">
        <f t="shared" si="2"/>
        <v>1.4942528735632177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44" t="s">
        <v>111</v>
      </c>
      <c r="P40" s="245"/>
      <c r="Q40" s="235">
        <f>IF(Q13=0, 0, Q35/Q13)</f>
        <v>45.647509928333406</v>
      </c>
      <c r="R40" s="235"/>
      <c r="S40" s="235">
        <f>IF(Q13=0, 0, S35/Q13)</f>
        <v>49.071073172958407</v>
      </c>
      <c r="T40" s="235"/>
      <c r="U40" s="236">
        <f t="shared" si="2"/>
        <v>3.4235632446250008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44" t="s">
        <v>113</v>
      </c>
      <c r="P41" s="245"/>
      <c r="Q41" s="237">
        <f>IF(Q13=0, 0, Q38/Q13)</f>
        <v>3.4235632446250053</v>
      </c>
      <c r="R41" s="237"/>
      <c r="S41" s="237">
        <f>IF(Q13=0, 0, S38/Q13)</f>
        <v>3.3094444698041716</v>
      </c>
      <c r="T41" s="237"/>
      <c r="U41" s="238">
        <f t="shared" si="2"/>
        <v>-0.11411877482083366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44" t="s">
        <v>115</v>
      </c>
      <c r="P42" s="245"/>
      <c r="Q42" s="239">
        <f>IFERROR(Q17/Q8, 0)</f>
        <v>11.996804785336771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46113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8796.1799999999985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EINSTELLUNG!L25</f>
        <v>4</v>
      </c>
      <c r="R9" s="279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EINSTELLUNG!I25</f>
        <v>150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-255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8297.1799999999985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EINSTELLUNG!L9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-1002.8200000000015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81" t="s">
        <v>75</v>
      </c>
      <c r="P17" s="282"/>
      <c r="Q17" s="283">
        <f>SUM(L3:L82)</f>
        <v>105600.40000000001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EINSTELLUNG!O9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9">
        <v>0</v>
      </c>
      <c r="P31" s="260"/>
      <c r="Q31" s="261">
        <v>0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44" t="s">
        <v>101</v>
      </c>
      <c r="P35" s="245"/>
      <c r="Q35" s="235">
        <f>EINSTELLUNG!C9</f>
        <v>400000</v>
      </c>
      <c r="R35" s="235"/>
      <c r="S35" s="235">
        <f>EINSTELLUNG!C25</f>
        <v>423000</v>
      </c>
      <c r="T35" s="235"/>
      <c r="U35" s="236">
        <f>S35-Q35</f>
        <v>23000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44" t="s">
        <v>103</v>
      </c>
      <c r="P36" s="245"/>
      <c r="Q36" s="235">
        <f>EINSTELLUNG!D9</f>
        <v>100000</v>
      </c>
      <c r="R36" s="235"/>
      <c r="S36" s="235">
        <f ca="1">SumMergedCells(Q17:R29)</f>
        <v>111850.4</v>
      </c>
      <c r="T36" s="235"/>
      <c r="U36" s="236">
        <f t="shared" ref="U36:U41" ca="1" si="2">S36-Q36</f>
        <v>11850.399999999994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0.26442174940898344</v>
      </c>
      <c r="T37" s="246"/>
      <c r="U37" s="247">
        <f t="shared" ca="1" si="2"/>
        <v>1.4421749408983442E-2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44" t="s">
        <v>107</v>
      </c>
      <c r="P38" s="245"/>
      <c r="Q38" s="237">
        <f>EINSTELLUNG!F9</f>
        <v>30000</v>
      </c>
      <c r="R38" s="237"/>
      <c r="S38" s="237">
        <f>EINSTELLUNG!F25</f>
        <v>29000</v>
      </c>
      <c r="T38" s="237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14.586206896551724</v>
      </c>
      <c r="T39" s="235"/>
      <c r="U39" s="236">
        <f t="shared" si="2"/>
        <v>1.2528735632183903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44" t="s">
        <v>111</v>
      </c>
      <c r="P40" s="245"/>
      <c r="Q40" s="235">
        <f>IF(Q13=0, 0, Q35/Q13)</f>
        <v>48.209150578871387</v>
      </c>
      <c r="R40" s="235"/>
      <c r="S40" s="235">
        <f>IF(Q13=0, 0, S35/Q13)</f>
        <v>50.981176737156488</v>
      </c>
      <c r="T40" s="235"/>
      <c r="U40" s="236">
        <f t="shared" si="2"/>
        <v>2.7720261582851009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44" t="s">
        <v>113</v>
      </c>
      <c r="P41" s="245"/>
      <c r="Q41" s="237">
        <f>IF(Q13=0, 0, Q38/Q13)</f>
        <v>3.615686293415354</v>
      </c>
      <c r="R41" s="237"/>
      <c r="S41" s="237">
        <f>IF(Q13=0, 0, S38/Q13)</f>
        <v>3.4951634169681753</v>
      </c>
      <c r="T41" s="237"/>
      <c r="U41" s="238">
        <f t="shared" si="2"/>
        <v>-0.12052287644717863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44" t="s">
        <v>115</v>
      </c>
      <c r="P42" s="245"/>
      <c r="Q42" s="239">
        <f>IFERROR(Q17/Q8, 0)</f>
        <v>12.005256827395531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F3" sqref="F3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46143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-4516.4071575341459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9110.2599999999984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EINSTELLUNG!L26</f>
        <v>5</v>
      </c>
      <c r="R9" s="279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EINSTELLUNG!I26</f>
        <v>450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68</v>
      </c>
      <c r="P12" s="278"/>
      <c r="Q12" s="279">
        <f>Q8-Q9-Q10-Q11</f>
        <v>8055.2599999999984</v>
      </c>
      <c r="R12" s="27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70</v>
      </c>
      <c r="P13" s="278"/>
      <c r="Q13" s="279">
        <f>EINSTELLUNG!L10</f>
        <v>9300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72</v>
      </c>
      <c r="P14" s="278"/>
      <c r="Q14" s="279">
        <f>Q12-Q13</f>
        <v>-1244.7400000000016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280" t="str">
        <f>IF(Q14&lt;0, "Schlecht! Zu wenig Stunden für Dienstplan.", IF(Q14&gt;0, "Du hast mehr als genug Stunden für Dienstplan.", ""))</f>
        <v>Schlecht! Zu wenig Stunden für Dienstplan.</v>
      </c>
      <c r="P15" s="280"/>
      <c r="Q15" s="280"/>
      <c r="R15" s="28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138571.27741935485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EINSTELLUNG!O10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59">
        <v>0</v>
      </c>
      <c r="P31" s="260"/>
      <c r="Q31" s="261">
        <v>1.6393442622950821E-2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190.32258064516128</v>
      </c>
      <c r="M35" s="71"/>
      <c r="N35" s="55" t="s">
        <v>205</v>
      </c>
      <c r="O35" s="244" t="s">
        <v>101</v>
      </c>
      <c r="P35" s="245"/>
      <c r="Q35" s="235">
        <f>EINSTELLUNG!C10</f>
        <v>400000</v>
      </c>
      <c r="R35" s="235"/>
      <c r="S35" s="235">
        <f>EINSTELLUNG!C26</f>
        <v>420000</v>
      </c>
      <c r="T35" s="235"/>
      <c r="U35" s="236">
        <f>S35-Q35</f>
        <v>20000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44" t="s">
        <v>103</v>
      </c>
      <c r="P36" s="245"/>
      <c r="Q36" s="235">
        <f>EINSTELLUNG!D10</f>
        <v>100000</v>
      </c>
      <c r="R36" s="235"/>
      <c r="S36" s="235">
        <f ca="1">SumMergedCells(Q17:R29)</f>
        <v>144821.27739999999</v>
      </c>
      <c r="T36" s="235"/>
      <c r="U36" s="236">
        <f t="shared" ref="U36:U41" ca="1" si="2">S36-Q36</f>
        <v>44821.277399999992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0.34481256523809523</v>
      </c>
      <c r="T37" s="246"/>
      <c r="U37" s="247">
        <f t="shared" ca="1" si="2"/>
        <v>9.4812565238095226E-2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2950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2950</v>
      </c>
      <c r="M38" s="71"/>
      <c r="N38" s="55"/>
      <c r="O38" s="244" t="s">
        <v>107</v>
      </c>
      <c r="P38" s="245"/>
      <c r="Q38" s="237">
        <f>EINSTELLUNG!F10</f>
        <v>30000</v>
      </c>
      <c r="R38" s="237"/>
      <c r="S38" s="237">
        <f>EINSTELLUNG!F26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13.548387096774194</v>
      </c>
      <c r="T39" s="235"/>
      <c r="U39" s="236">
        <f t="shared" si="2"/>
        <v>0.21505376344086002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49.656994311791308</v>
      </c>
      <c r="R40" s="235"/>
      <c r="S40" s="235">
        <f>IF(Q12=0, 0, S35/Q12)</f>
        <v>52.139844027380875</v>
      </c>
      <c r="T40" s="235"/>
      <c r="U40" s="236">
        <f t="shared" si="2"/>
        <v>2.4828497155895661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3.7242745733843483</v>
      </c>
      <c r="R41" s="237"/>
      <c r="S41" s="237">
        <f>IF(Q12=0, 0, S38/Q12)</f>
        <v>3.8484170591638267</v>
      </c>
      <c r="T41" s="237"/>
      <c r="U41" s="238">
        <f t="shared" si="2"/>
        <v>0.1241424857794784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15.210463523472972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2569.3548387096771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6EYJfhc6OOQReH6f+u4MX6z0HkRqJs4Tl0opYNOMjRQQTUyRHntQZUN6SmNVLgYdLscLYFDo35ebj7uuJPKkWw==" saltValue="d/c1iCwtupXs1L1UhoC5k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46174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-4641.3526968587275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9280.0099999999984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77" t="s">
        <v>60</v>
      </c>
      <c r="P9" s="278"/>
      <c r="Q9" s="279">
        <f>EINSTELLUNG!L27</f>
        <v>6</v>
      </c>
      <c r="R9" s="279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EINSTELLUNG!I27</f>
        <v>150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21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8503.0099999999984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77" t="s">
        <v>70</v>
      </c>
      <c r="P14" s="278"/>
      <c r="Q14" s="279">
        <f>EINSTELLUNG!L11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-796.9900000000016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143047.51666666666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EINSTELLUNG!O11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59">
        <v>0</v>
      </c>
      <c r="P31" s="260"/>
      <c r="Q31" s="261">
        <v>1.6393442622950821E-2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44" t="s">
        <v>101</v>
      </c>
      <c r="P35" s="245"/>
      <c r="Q35" s="235">
        <f>EINSTELLUNG!C11</f>
        <v>400000</v>
      </c>
      <c r="R35" s="235"/>
      <c r="S35" s="235">
        <f>EINSTELLUNG!C27</f>
        <v>435000</v>
      </c>
      <c r="T35" s="235"/>
      <c r="U35" s="236">
        <f>S35-Q35</f>
        <v>35000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44" t="s">
        <v>103</v>
      </c>
      <c r="P36" s="245"/>
      <c r="Q36" s="235">
        <f>EINSTELLUNG!D11</f>
        <v>100000</v>
      </c>
      <c r="R36" s="235"/>
      <c r="S36" s="235">
        <f ca="1">SumMergedCells(Q17:R29)</f>
        <v>149297.51670000001</v>
      </c>
      <c r="T36" s="235"/>
      <c r="U36" s="236">
        <f t="shared" ref="U36:U41" ca="1" si="2">S36-Q36</f>
        <v>49297.516700000007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0.34321268206896555</v>
      </c>
      <c r="T37" s="246"/>
      <c r="U37" s="247">
        <f t="shared" ca="1" si="2"/>
        <v>9.3212682068965547E-2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2950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2950</v>
      </c>
      <c r="M38" s="71"/>
      <c r="N38" s="55"/>
      <c r="O38" s="244" t="s">
        <v>107</v>
      </c>
      <c r="P38" s="245"/>
      <c r="Q38" s="237">
        <f>EINSTELLUNG!F11</f>
        <v>30000</v>
      </c>
      <c r="R38" s="237"/>
      <c r="S38" s="237">
        <f>EINSTELLUNG!F27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14.03225806451613</v>
      </c>
      <c r="T39" s="235"/>
      <c r="U39" s="236">
        <f t="shared" si="2"/>
        <v>0.69892473118279597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19047.619047619046</v>
      </c>
      <c r="R40" s="235"/>
      <c r="S40" s="235">
        <f>IF(Q12=0, 0, S35/Q12)</f>
        <v>20714.285714285714</v>
      </c>
      <c r="T40" s="235"/>
      <c r="U40" s="236">
        <f t="shared" si="2"/>
        <v>1666.6666666666679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1428.5714285714287</v>
      </c>
      <c r="R41" s="237"/>
      <c r="S41" s="237">
        <f>IF(Q12=0, 0, S38/Q12)</f>
        <v>1476.1904761904761</v>
      </c>
      <c r="T41" s="237"/>
      <c r="U41" s="238">
        <f t="shared" si="2"/>
        <v>47.619047619047478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15.414586478534687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oeUXO419mkopg+oXjlGdYxjXS9I21tRB5qoBYr7fAn6Kj3a9VVuY7HwrzO8l+FZjuuEox+i1x6g/kDxn+tIu5A==" saltValue="YrpVBcZHQ4SG4jgJRv1qZ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46204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-3030.0186746396303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8187.3599999999988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EINSTELLUNG!L28</f>
        <v>7</v>
      </c>
      <c r="R9" s="279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EINSTELLUNG!I28</f>
        <v>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-20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7600.3599999999988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EINSTELLUNG!L12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-1699.6400000000012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122194.72903225807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666.12903225806451</v>
      </c>
      <c r="M19" s="71"/>
      <c r="N19" s="55" t="s">
        <v>206</v>
      </c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80"/>
      <c r="P26" s="272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53" t="s">
        <v>90</v>
      </c>
      <c r="P29" s="254"/>
      <c r="Q29" s="255">
        <f>EINSTELLUNG!O12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59">
        <v>0</v>
      </c>
      <c r="P31" s="260"/>
      <c r="Q31" s="261">
        <v>1.6393442622950821E-2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44" t="s">
        <v>101</v>
      </c>
      <c r="P35" s="245"/>
      <c r="Q35" s="235">
        <f>EINSTELLUNG!C12</f>
        <v>400000</v>
      </c>
      <c r="R35" s="235"/>
      <c r="S35" s="235">
        <f>EINSTELLUNG!C28</f>
        <v>435000</v>
      </c>
      <c r="T35" s="235"/>
      <c r="U35" s="236">
        <f>S35-Q35</f>
        <v>35000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44" t="s">
        <v>103</v>
      </c>
      <c r="P36" s="245"/>
      <c r="Q36" s="235">
        <f>EINSTELLUNG!D12</f>
        <v>100000</v>
      </c>
      <c r="R36" s="235"/>
      <c r="S36" s="239">
        <f ca="1">SumMergedCells(Q17:R29)</f>
        <v>128444.72900000001</v>
      </c>
      <c r="T36" s="241"/>
      <c r="U36" s="236">
        <f t="shared" ref="U36:U41" ca="1" si="2">S36-Q36</f>
        <v>28444.729000000007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0.29527523908045977</v>
      </c>
      <c r="T37" s="246"/>
      <c r="U37" s="247">
        <f t="shared" ca="1" si="2"/>
        <v>4.5275239080459773E-2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EINSTELLUNG!F12</f>
        <v>30000</v>
      </c>
      <c r="R38" s="237"/>
      <c r="S38" s="237">
        <f>EINSTELLUNG!F28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14.03225806451613</v>
      </c>
      <c r="T39" s="235"/>
      <c r="U39" s="236">
        <f t="shared" si="2"/>
        <v>0.69892473118279597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52.629085990663611</v>
      </c>
      <c r="R40" s="235"/>
      <c r="S40" s="235">
        <f>IF(Q13=0, 0, S35/Q13)</f>
        <v>57.234131014846675</v>
      </c>
      <c r="T40" s="235"/>
      <c r="U40" s="236">
        <f t="shared" si="2"/>
        <v>4.6050450241830632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3.9471814492997708</v>
      </c>
      <c r="R41" s="237"/>
      <c r="S41" s="237">
        <f>IF(Q13=0, 0, S38/Q13)</f>
        <v>4.0787541642764298</v>
      </c>
      <c r="T41" s="237"/>
      <c r="U41" s="238">
        <f t="shared" si="2"/>
        <v>0.13157271497665901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14.924802260100702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M7B9lD2rdtttb+RZevTtOcYuS7L5WVf+O6Y+BXFKYqPRJFOteltHZEtbAwLzIAJFv4wJ3rKnNbRv8OZSez+oMw==" saltValue="irvAbZzgSz6CP4kI9JCJm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46235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-4020.0200982643287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9065.1899999999987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EINSTELLUNG!L29</f>
        <v>8</v>
      </c>
      <c r="R9" s="279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EINSTELLUNG!I29</f>
        <v>150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620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68</v>
      </c>
      <c r="P12" s="278"/>
      <c r="Q12" s="279">
        <f>Q8-Q9-Q10-Q11</f>
        <v>8287.1899999999987</v>
      </c>
      <c r="R12" s="27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70</v>
      </c>
      <c r="P13" s="278"/>
      <c r="Q13" s="279">
        <f>EINSTELLUNG!L13</f>
        <v>9300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72</v>
      </c>
      <c r="P14" s="278"/>
      <c r="Q14" s="279">
        <f>Q12-Q13</f>
        <v>-1012.8100000000013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80" t="str">
        <f>IF(Q14&lt;0, "Schlecht! Zu wenig Stunden für Dienstplan.", IF(Q14&gt;0, "Du hast mehr als genug Stunden für Dienstplan.", ""))</f>
        <v>Schlecht! Zu wenig Stunden für Dienstplan.</v>
      </c>
      <c r="P15" s="280"/>
      <c r="Q15" s="280"/>
      <c r="R15" s="28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138482.6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53" t="s">
        <v>90</v>
      </c>
      <c r="P29" s="254"/>
      <c r="Q29" s="255">
        <f>EINSTELLUNG!O13</f>
        <v>1250</v>
      </c>
      <c r="R29" s="256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59">
        <v>0</v>
      </c>
      <c r="P31" s="260"/>
      <c r="Q31" s="261">
        <v>3.3898305084745763E-2</v>
      </c>
      <c r="R31" s="262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44" t="s">
        <v>101</v>
      </c>
      <c r="P35" s="245"/>
      <c r="Q35" s="235">
        <f>EINSTELLUNG!C13</f>
        <v>400000</v>
      </c>
      <c r="R35" s="235"/>
      <c r="S35" s="235">
        <f>EINSTELLUNG!C29</f>
        <v>435000</v>
      </c>
      <c r="T35" s="235"/>
      <c r="U35" s="236">
        <f>S35-Q35</f>
        <v>35000</v>
      </c>
      <c r="V35" s="236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44" t="s">
        <v>103</v>
      </c>
      <c r="P36" s="245"/>
      <c r="Q36" s="235">
        <f>EINSTELLUNG!D13</f>
        <v>100000</v>
      </c>
      <c r="R36" s="235"/>
      <c r="S36" s="239">
        <f ca="1">SumMergedCells(Q17:R29)</f>
        <v>144732.6</v>
      </c>
      <c r="T36" s="241"/>
      <c r="U36" s="236">
        <f t="shared" ref="U36:U41" ca="1" si="2">S36-Q36</f>
        <v>44732.600000000006</v>
      </c>
      <c r="V36" s="236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355">
        <f ca="1">IF(ISERROR(S36/S35), 0, S36/S35)</f>
        <v>0.33271862068965519</v>
      </c>
      <c r="T37" s="356"/>
      <c r="U37" s="247">
        <f t="shared" ca="1" si="2"/>
        <v>8.2718620689655187E-2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EINSTELLUNG!F13</f>
        <v>30000</v>
      </c>
      <c r="R38" s="237"/>
      <c r="S38" s="237">
        <f>EINSTELLUNG!F29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14.03225806451613</v>
      </c>
      <c r="T39" s="235"/>
      <c r="U39" s="236">
        <f t="shared" si="2"/>
        <v>0.69892473118279597</v>
      </c>
      <c r="V39" s="236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48.267265502540674</v>
      </c>
      <c r="R40" s="235"/>
      <c r="S40" s="235">
        <f>IF(Q12=0, 0, S35/Q12)</f>
        <v>52.490651234012986</v>
      </c>
      <c r="T40" s="235"/>
      <c r="U40" s="236">
        <f t="shared" si="2"/>
        <v>4.2233857314723124</v>
      </c>
      <c r="V40" s="236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3.6200449126905507</v>
      </c>
      <c r="R41" s="237"/>
      <c r="S41" s="237">
        <f>IF(Q12=0, 0, S38/Q12)</f>
        <v>3.7407130764469025</v>
      </c>
      <c r="T41" s="237"/>
      <c r="U41" s="238">
        <f t="shared" si="2"/>
        <v>0.12066816375635181</v>
      </c>
      <c r="V41" s="238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15.276304192190128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2950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2950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46266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-4130.5640830531211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8897.9599999999991</v>
      </c>
      <c r="R8" s="279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EINSTELLUNG!L30</f>
        <v>9</v>
      </c>
      <c r="R9" s="279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EINSTELLUNG!I30</f>
        <v>0</v>
      </c>
      <c r="R10" s="279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167</v>
      </c>
      <c r="R12" s="346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8121.9599999999991</v>
      </c>
      <c r="R13" s="279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EINSTELLUNG!L14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-1178.0400000000009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136226.26666666666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6"/>
      <c r="P19" s="267"/>
      <c r="Q19" s="257"/>
      <c r="R19" s="258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66"/>
      <c r="P20" s="267"/>
      <c r="Q20" s="257"/>
      <c r="R20" s="258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393.33333333333331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1376.6666666666665</v>
      </c>
      <c r="M21" s="71"/>
      <c r="N21" s="55" t="s">
        <v>197</v>
      </c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66"/>
      <c r="P22" s="267"/>
      <c r="Q22" s="257"/>
      <c r="R22" s="258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68"/>
      <c r="P25" s="269"/>
      <c r="Q25" s="270"/>
      <c r="R25" s="271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53" t="s">
        <v>90</v>
      </c>
      <c r="P29" s="254"/>
      <c r="Q29" s="255">
        <f>EINSTELLUNG!O14</f>
        <v>1250</v>
      </c>
      <c r="R29" s="256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59">
        <v>0</v>
      </c>
      <c r="P31" s="260"/>
      <c r="Q31" s="261">
        <v>1.7241379310344827E-2</v>
      </c>
      <c r="R31" s="262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44" t="s">
        <v>101</v>
      </c>
      <c r="P35" s="245"/>
      <c r="Q35" s="235">
        <f>EINSTELLUNG!C14</f>
        <v>400000</v>
      </c>
      <c r="R35" s="235"/>
      <c r="S35" s="235">
        <f>EINSTELLUNG!C30</f>
        <v>450000</v>
      </c>
      <c r="T35" s="235"/>
      <c r="U35" s="236">
        <f>S35-Q35</f>
        <v>50000</v>
      </c>
      <c r="V35" s="236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44" t="s">
        <v>103</v>
      </c>
      <c r="P36" s="245"/>
      <c r="Q36" s="235">
        <f>EINSTELLUNG!D14</f>
        <v>100000</v>
      </c>
      <c r="R36" s="235"/>
      <c r="S36" s="239">
        <f ca="1">SumMergedCells(Q17:R29)</f>
        <v>142476.26670000001</v>
      </c>
      <c r="T36" s="241"/>
      <c r="U36" s="236">
        <f t="shared" ref="U36:U41" ca="1" si="2">S36-Q36</f>
        <v>42476.266700000007</v>
      </c>
      <c r="V36" s="236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0.31661392599999999</v>
      </c>
      <c r="T37" s="246"/>
      <c r="U37" s="247">
        <f t="shared" ca="1" si="2"/>
        <v>6.661392599999999E-2</v>
      </c>
      <c r="V37" s="247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EINSTELLUNG!F14</f>
        <v>30000</v>
      </c>
      <c r="R38" s="237"/>
      <c r="S38" s="237">
        <f>EINSTELLUNG!F30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14.516129032258064</v>
      </c>
      <c r="T39" s="235"/>
      <c r="U39" s="236">
        <f t="shared" si="2"/>
        <v>1.1827956989247301</v>
      </c>
      <c r="V39" s="236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49.249196006875195</v>
      </c>
      <c r="R40" s="235"/>
      <c r="S40" s="235">
        <f>IF(Q13=0, 0, S35/Q13)</f>
        <v>55.405345507734594</v>
      </c>
      <c r="T40" s="235"/>
      <c r="U40" s="236">
        <f t="shared" si="2"/>
        <v>6.1561495008593994</v>
      </c>
      <c r="V40" s="236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3.6936897005156393</v>
      </c>
      <c r="R41" s="237"/>
      <c r="S41" s="237">
        <f>IF(Q13=0, 0, S38/Q13)</f>
        <v>3.8168126905328275</v>
      </c>
      <c r="T41" s="237"/>
      <c r="U41" s="238">
        <f t="shared" si="2"/>
        <v>0.12312299001718818</v>
      </c>
      <c r="V41" s="238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15.309831317140858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2950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2950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46296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-3870.9729037529705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8723.1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EINSTELLUNG!L31</f>
        <v>10</v>
      </c>
      <c r="R9" s="279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EINSTELLUNG!I31</f>
        <v>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-121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8234.1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EINSTELLUNG!L15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-1065.8999999999996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133411.43870967743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53" t="s">
        <v>90</v>
      </c>
      <c r="P29" s="254"/>
      <c r="Q29" s="255">
        <f>EINSTELLUNG!O15</f>
        <v>1250</v>
      </c>
      <c r="R29" s="256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59">
        <v>0</v>
      </c>
      <c r="P31" s="260"/>
      <c r="Q31" s="261">
        <v>1.7543859649122806E-2</v>
      </c>
      <c r="R31" s="262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44" t="s">
        <v>101</v>
      </c>
      <c r="P35" s="245"/>
      <c r="Q35" s="235">
        <f>EINSTELLUNG!C15</f>
        <v>400000</v>
      </c>
      <c r="R35" s="235"/>
      <c r="S35" s="235">
        <f>EINSTELLUNG!C31</f>
        <v>401000</v>
      </c>
      <c r="T35" s="235"/>
      <c r="U35" s="236">
        <f>S35-Q35</f>
        <v>1000</v>
      </c>
      <c r="V35" s="236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244" t="s">
        <v>103</v>
      </c>
      <c r="P36" s="245"/>
      <c r="Q36" s="235">
        <f>EINSTELLUNG!D15</f>
        <v>100000</v>
      </c>
      <c r="R36" s="235"/>
      <c r="S36" s="239">
        <f ca="1">SumMergedCells(Q17:R29)</f>
        <v>139661.4387</v>
      </c>
      <c r="T36" s="241"/>
      <c r="U36" s="236">
        <f t="shared" ref="U36:U41" ca="1" si="2">S36-Q36</f>
        <v>39661.438699999999</v>
      </c>
      <c r="V36" s="236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0.34828288952618452</v>
      </c>
      <c r="T37" s="246"/>
      <c r="U37" s="247">
        <f t="shared" ca="1" si="2"/>
        <v>9.8282889526184525E-2</v>
      </c>
      <c r="V37" s="247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EINSTELLUNG!F15</f>
        <v>30000</v>
      </c>
      <c r="R38" s="237"/>
      <c r="S38" s="237">
        <f>EINSTELLUNG!F31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12.935483870967742</v>
      </c>
      <c r="T39" s="235"/>
      <c r="U39" s="236">
        <f t="shared" si="2"/>
        <v>-0.39784946236559193</v>
      </c>
      <c r="V39" s="236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48.578472449933813</v>
      </c>
      <c r="R40" s="235"/>
      <c r="S40" s="235">
        <f>IF(Q13=0, 0, S35/Q13)</f>
        <v>48.699918631058644</v>
      </c>
      <c r="T40" s="235"/>
      <c r="U40" s="236">
        <f t="shared" si="2"/>
        <v>0.1214461811248313</v>
      </c>
      <c r="V40" s="236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3.6433854337450358</v>
      </c>
      <c r="R41" s="237"/>
      <c r="S41" s="237">
        <f>IF(Q13=0, 0, S38/Q13)</f>
        <v>3.7648316148698702</v>
      </c>
      <c r="T41" s="237"/>
      <c r="U41" s="238">
        <f t="shared" si="2"/>
        <v>0.12144618112483441</v>
      </c>
      <c r="V41" s="238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15.294039814937054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46327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-3614.7000480518323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77" t="s">
        <v>58</v>
      </c>
      <c r="P8" s="278"/>
      <c r="Q8" s="279">
        <f>SUM(H3:H82)</f>
        <v>8551.9599999999991</v>
      </c>
      <c r="R8" s="279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77" t="s">
        <v>60</v>
      </c>
      <c r="P9" s="278"/>
      <c r="Q9" s="279">
        <f>EINSTELLUNG!L32</f>
        <v>11</v>
      </c>
      <c r="R9" s="279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77" t="s">
        <v>62</v>
      </c>
      <c r="P10" s="278"/>
      <c r="Q10" s="279">
        <f>EINSTELLUNG!I32</f>
        <v>150</v>
      </c>
      <c r="R10" s="279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68</v>
      </c>
      <c r="P12" s="278"/>
      <c r="Q12" s="279">
        <f>Q8-Q9-Q10-Q11</f>
        <v>7790.9599999999991</v>
      </c>
      <c r="R12" s="279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70</v>
      </c>
      <c r="P13" s="278"/>
      <c r="Q13" s="279">
        <f>EINSTELLUNG!L16</f>
        <v>9300</v>
      </c>
      <c r="R13" s="279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72</v>
      </c>
      <c r="P14" s="278"/>
      <c r="Q14" s="279">
        <f>Q12-Q13</f>
        <v>-1509.0400000000009</v>
      </c>
      <c r="R14" s="27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80" t="str">
        <f>IF(Q14&lt;0, "Schlecht! Zu wenig Stunden für Dienstplan.", IF(Q14&gt;0, "Du hast mehr als genug Stunden für Dienstplan.", ""))</f>
        <v>Schlecht! Zu wenig Stunden für Dienstplan.</v>
      </c>
      <c r="P15" s="280"/>
      <c r="Q15" s="280"/>
      <c r="R15" s="280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2950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2950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130759.93333333333</v>
      </c>
      <c r="R17" s="283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66"/>
      <c r="P19" s="267"/>
      <c r="Q19" s="257"/>
      <c r="R19" s="258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66"/>
      <c r="P20" s="267"/>
      <c r="Q20" s="257"/>
      <c r="R20" s="258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6"/>
      <c r="P22" s="267"/>
      <c r="Q22" s="257"/>
      <c r="R22" s="258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68"/>
      <c r="P25" s="269"/>
      <c r="Q25" s="270"/>
      <c r="R25" s="271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53" t="s">
        <v>90</v>
      </c>
      <c r="P29" s="254"/>
      <c r="Q29" s="255">
        <f>EINSTELLUNG!O16</f>
        <v>1250</v>
      </c>
      <c r="R29" s="256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59">
        <v>0</v>
      </c>
      <c r="P31" s="260"/>
      <c r="Q31" s="261">
        <v>1.7857142857142856E-2</v>
      </c>
      <c r="R31" s="262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44" t="s">
        <v>101</v>
      </c>
      <c r="P35" s="245"/>
      <c r="Q35" s="235">
        <f>EINSTELLUNG!C16</f>
        <v>400000</v>
      </c>
      <c r="R35" s="235"/>
      <c r="S35" s="235">
        <f>EINSTELLUNG!C32</f>
        <v>398000</v>
      </c>
      <c r="T35" s="235"/>
      <c r="U35" s="236">
        <f>S35-Q35</f>
        <v>-2000</v>
      </c>
      <c r="V35" s="236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44" t="s">
        <v>103</v>
      </c>
      <c r="P36" s="245"/>
      <c r="Q36" s="235">
        <f>EINSTELLUNG!D16</f>
        <v>100000</v>
      </c>
      <c r="R36" s="235"/>
      <c r="S36" s="239">
        <f ca="1">SumMergedCells(Q17:R29)</f>
        <v>137009.9333</v>
      </c>
      <c r="T36" s="241"/>
      <c r="U36" s="236">
        <f t="shared" ref="U36:U41" ca="1" si="2">S36-Q36</f>
        <v>37009.933300000004</v>
      </c>
      <c r="V36" s="236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0.34424606356783921</v>
      </c>
      <c r="T37" s="246"/>
      <c r="U37" s="247">
        <f t="shared" ca="1" si="2"/>
        <v>9.4246063567839211E-2</v>
      </c>
      <c r="V37" s="247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EINSTELLUNG!F16</f>
        <v>30000</v>
      </c>
      <c r="R38" s="237"/>
      <c r="S38" s="237">
        <f>EINSTELLUNG!F32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12.838709677419354</v>
      </c>
      <c r="T39" s="235"/>
      <c r="U39" s="236">
        <f t="shared" si="2"/>
        <v>-0.49462365591397983</v>
      </c>
      <c r="V39" s="236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51.341554827646405</v>
      </c>
      <c r="R40" s="235"/>
      <c r="S40" s="235">
        <f>IF(Q12=0, 0, S35/Q12)</f>
        <v>51.084847053508177</v>
      </c>
      <c r="T40" s="235"/>
      <c r="U40" s="236">
        <f t="shared" si="2"/>
        <v>-0.25670777413822776</v>
      </c>
      <c r="V40" s="236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3.8506166120734804</v>
      </c>
      <c r="R41" s="237"/>
      <c r="S41" s="237">
        <f>IF(Q12=0, 0, S38/Q12)</f>
        <v>3.9789704991425965</v>
      </c>
      <c r="T41" s="237"/>
      <c r="U41" s="238">
        <f t="shared" si="2"/>
        <v>0.1283538870691161</v>
      </c>
      <c r="V41" s="238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15.290054365704862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2950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2950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983.33333333333326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46357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-3356.8051203583173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77" t="s">
        <v>58</v>
      </c>
      <c r="P8" s="278"/>
      <c r="Q8" s="279">
        <f>SUM(H3:H82)</f>
        <v>8494.2999999999993</v>
      </c>
      <c r="R8" s="279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77" t="s">
        <v>60</v>
      </c>
      <c r="P9" s="278"/>
      <c r="Q9" s="279">
        <f>EINSTELLUNG!L33</f>
        <v>12</v>
      </c>
      <c r="R9" s="279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77" t="s">
        <v>62</v>
      </c>
      <c r="P10" s="278"/>
      <c r="Q10" s="279">
        <f>EINSTELLUNG!I33</f>
        <v>400</v>
      </c>
      <c r="R10" s="279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-303</v>
      </c>
      <c r="R12" s="346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7785.2999999999993</v>
      </c>
      <c r="R13" s="279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EINSTELLUNG!L17</f>
        <v>9300</v>
      </c>
      <c r="R14" s="27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77" t="s">
        <v>72</v>
      </c>
      <c r="P15" s="278"/>
      <c r="Q15" s="279">
        <f>Q13-Q14</f>
        <v>-1514.7000000000007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2950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2950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81" t="s">
        <v>75</v>
      </c>
      <c r="P17" s="282"/>
      <c r="Q17" s="283">
        <f>SUM(L3:L82)</f>
        <v>129776.6</v>
      </c>
      <c r="R17" s="283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49"/>
      <c r="P27" s="250"/>
      <c r="Q27" s="258"/>
      <c r="R27" s="276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49"/>
      <c r="P28" s="250"/>
      <c r="Q28" s="258"/>
      <c r="R28" s="276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391" t="s">
        <v>90</v>
      </c>
      <c r="P29" s="392"/>
      <c r="Q29" s="393">
        <f>EINSTELLUNG!O17</f>
        <v>1250</v>
      </c>
      <c r="R29" s="394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59">
        <v>0</v>
      </c>
      <c r="P31" s="260"/>
      <c r="Q31" s="261">
        <v>0</v>
      </c>
      <c r="R31" s="262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244" t="s">
        <v>101</v>
      </c>
      <c r="P35" s="245"/>
      <c r="Q35" s="235">
        <f>EINSTELLUNG!C17</f>
        <v>400000</v>
      </c>
      <c r="R35" s="235"/>
      <c r="S35" s="235">
        <f>EINSTELLUNG!C33</f>
        <v>390000</v>
      </c>
      <c r="T35" s="235"/>
      <c r="U35" s="236">
        <f>S35-Q35</f>
        <v>-10000</v>
      </c>
      <c r="V35" s="236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44" t="s">
        <v>103</v>
      </c>
      <c r="P36" s="245"/>
      <c r="Q36" s="235">
        <f>EINSTELLUNG!D17</f>
        <v>100000</v>
      </c>
      <c r="R36" s="235"/>
      <c r="S36" s="239">
        <f ca="1">SumMergedCells(Q17:R29)</f>
        <v>136026.6</v>
      </c>
      <c r="T36" s="241"/>
      <c r="U36" s="236">
        <f t="shared" ref="U36:U41" ca="1" si="2">S36-Q36</f>
        <v>36026.600000000006</v>
      </c>
      <c r="V36" s="236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0.34878615384615386</v>
      </c>
      <c r="T37" s="246"/>
      <c r="U37" s="247">
        <f t="shared" ca="1" si="2"/>
        <v>9.8786153846153857E-2</v>
      </c>
      <c r="V37" s="247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EINSTELLUNG!F17</f>
        <v>30000</v>
      </c>
      <c r="R38" s="237"/>
      <c r="S38" s="237">
        <f>EINSTELLUNG!F33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12.580645161290322</v>
      </c>
      <c r="T39" s="235"/>
      <c r="U39" s="236">
        <f t="shared" si="2"/>
        <v>-0.75268817204301186</v>
      </c>
      <c r="V39" s="236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51.378880711083717</v>
      </c>
      <c r="R40" s="235"/>
      <c r="S40" s="235">
        <f>IF(Q13=0, 0, S35/Q13)</f>
        <v>50.094408693306619</v>
      </c>
      <c r="T40" s="235"/>
      <c r="U40" s="236">
        <f t="shared" si="2"/>
        <v>-1.2844720177770981</v>
      </c>
      <c r="V40" s="236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3.8534160533312787</v>
      </c>
      <c r="R41" s="237"/>
      <c r="S41" s="237">
        <f>IF(Q13=0, 0, S38/Q13)</f>
        <v>3.9818632551089879</v>
      </c>
      <c r="T41" s="237"/>
      <c r="U41" s="238">
        <f t="shared" si="2"/>
        <v>0.12844720177770919</v>
      </c>
      <c r="V41" s="238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15.278080595222681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2950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2950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96" t="str">
        <f xml:space="preserve"> "FINANZIELL ÜBERSICHT " &amp; EINSTELLUNG!C35</f>
        <v>FINANZIELL ÜBERSICHT 2026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2"/>
    </row>
    <row r="3" spans="2:18" ht="18" customHeight="1" thickBot="1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2"/>
    </row>
    <row r="4" spans="2:18" ht="24" customHeight="1">
      <c r="B4" s="400"/>
      <c r="C4" s="398" t="s">
        <v>18</v>
      </c>
      <c r="D4" s="398"/>
      <c r="E4" s="398"/>
      <c r="F4" s="398" t="s">
        <v>164</v>
      </c>
      <c r="G4" s="398"/>
      <c r="H4" s="398"/>
      <c r="I4" s="398" t="s">
        <v>165</v>
      </c>
      <c r="J4" s="398"/>
      <c r="K4" s="398"/>
      <c r="L4" s="398" t="s">
        <v>166</v>
      </c>
      <c r="M4" s="398" t="s">
        <v>167</v>
      </c>
      <c r="N4" s="398" t="s">
        <v>168</v>
      </c>
      <c r="O4" s="398"/>
      <c r="P4" s="398"/>
      <c r="Q4" s="402" t="s">
        <v>93</v>
      </c>
    </row>
    <row r="5" spans="2:18" ht="30" customHeight="1"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403"/>
    </row>
    <row r="6" spans="2:18" ht="30" customHeight="1">
      <c r="B6" s="401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399"/>
      <c r="M6" s="399"/>
      <c r="N6" s="208" t="s">
        <v>172</v>
      </c>
      <c r="O6" s="208" t="s">
        <v>173</v>
      </c>
      <c r="P6" s="208" t="s">
        <v>171</v>
      </c>
      <c r="Q6" s="403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395" t="s">
        <v>190</v>
      </c>
      <c r="C25" s="395"/>
      <c r="D25" s="395"/>
      <c r="E25" s="395"/>
    </row>
    <row r="26" spans="2:17">
      <c r="B26" s="395"/>
      <c r="C26" s="395"/>
      <c r="D26" s="395"/>
      <c r="E26" s="395"/>
    </row>
    <row r="27" spans="2:17" ht="14.5" thickBot="1">
      <c r="B27" s="395"/>
      <c r="C27" s="395"/>
      <c r="D27" s="395"/>
      <c r="E27" s="395"/>
    </row>
    <row r="28" spans="2:17" ht="28" customHeight="1">
      <c r="B28" s="404" t="str">
        <f xml:space="preserve"> "DURCHRECHNUNGSSTUNDEN - " &amp; EINSTELLUNG!C35</f>
        <v>DURCHRECHNUNGSSTUNDEN - 2026</v>
      </c>
      <c r="C28" s="405"/>
      <c r="D28" s="405"/>
      <c r="E28" s="405"/>
      <c r="F28" s="405"/>
      <c r="G28" s="405"/>
      <c r="H28" s="405"/>
      <c r="I28" s="405"/>
      <c r="J28" s="405"/>
      <c r="K28" s="405"/>
      <c r="L28" s="405"/>
      <c r="M28" s="405"/>
      <c r="N28" s="405"/>
      <c r="O28" s="405"/>
      <c r="P28" s="405"/>
      <c r="Q28" s="406"/>
    </row>
    <row r="29" spans="2:17" ht="48" customHeight="1" thickBot="1">
      <c r="B29" s="407" t="s">
        <v>526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9"/>
    </row>
    <row r="30" spans="2:17" ht="40" customHeight="1" thickBot="1">
      <c r="B30" s="410" t="s">
        <v>527</v>
      </c>
      <c r="C30" s="411"/>
      <c r="D30" s="411"/>
      <c r="E30" s="188">
        <v>0</v>
      </c>
      <c r="F30" s="411" t="s">
        <v>528</v>
      </c>
      <c r="G30" s="411"/>
      <c r="H30" s="411"/>
      <c r="I30" s="188">
        <v>9000</v>
      </c>
      <c r="J30" s="427"/>
      <c r="K30" s="427"/>
      <c r="L30" s="427"/>
      <c r="M30" s="427"/>
      <c r="N30" s="427"/>
      <c r="O30" s="427"/>
      <c r="P30" s="427"/>
      <c r="Q30" s="428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15" t="s">
        <v>525</v>
      </c>
      <c r="K31" s="416"/>
      <c r="L31" s="416"/>
      <c r="M31" s="416"/>
      <c r="N31" s="416"/>
      <c r="O31" s="416"/>
      <c r="P31" s="416"/>
      <c r="Q31" s="417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18" t="str">
        <f>IF(F32&lt;0,"ACHTUNG: Überstunden",IF(F32&gt;0,"Reserve möglich","OK"))</f>
        <v>ACHTUNG: Überstunden</v>
      </c>
      <c r="K32" s="419"/>
      <c r="L32" s="419"/>
      <c r="M32" s="419"/>
      <c r="N32" s="419"/>
      <c r="O32" s="419"/>
      <c r="P32" s="419"/>
      <c r="Q32" s="420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14.924802260100702</v>
      </c>
      <c r="H33" s="184">
        <f>MAX(0,-F33)</f>
        <v>1699.6400000000012</v>
      </c>
      <c r="I33" s="206">
        <f>IF(OR(G33=0,H33=0),"",H33*G33*3/2)</f>
        <v>38050.186370036361</v>
      </c>
      <c r="J33" s="421" t="str">
        <f>IF(F33&lt;0,"ACHTUNG: Überstunden",IF(F33&gt;0,"Reserve möglich","OK"))</f>
        <v>ACHTUNG: Überstunden</v>
      </c>
      <c r="K33" s="422"/>
      <c r="L33" s="422"/>
      <c r="M33" s="422"/>
      <c r="N33" s="422"/>
      <c r="O33" s="422"/>
      <c r="P33" s="422"/>
      <c r="Q33" s="423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15.294039814937054</v>
      </c>
      <c r="H34" s="181">
        <f>MAX(0,-F34)</f>
        <v>1065.8999999999996</v>
      </c>
      <c r="I34" s="205">
        <f>IF(OR(G34=0,H34=0),"",H34*G34*3/2)</f>
        <v>24452.8755581121</v>
      </c>
      <c r="J34" s="418" t="str">
        <f>IF(F34&lt;0,"ACHTUNG: Überstunden",IF(F34&gt;0,"Reserve möglich","OK"))</f>
        <v>ACHTUNG: Überstunden</v>
      </c>
      <c r="K34" s="419"/>
      <c r="L34" s="419"/>
      <c r="M34" s="419"/>
      <c r="N34" s="419"/>
      <c r="O34" s="419"/>
      <c r="P34" s="419"/>
      <c r="Q34" s="420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15.278080595222681</v>
      </c>
      <c r="H35" s="187">
        <f>MAX(0,-F35)</f>
        <v>12023.740000000002</v>
      </c>
      <c r="I35" s="207">
        <f>IF(OR(G35=0,H35=0),"",H35*G35*3/2)</f>
        <v>275549.50316400419</v>
      </c>
      <c r="J35" s="424" t="str">
        <f>IF(F35&lt;0,"ACHTUNG: Überstunden",IF(F35&gt;0,"Reserve möglich","OK"))</f>
        <v>ACHTUNG: Überstunden</v>
      </c>
      <c r="K35" s="425"/>
      <c r="L35" s="425"/>
      <c r="M35" s="425"/>
      <c r="N35" s="425"/>
      <c r="O35" s="425"/>
      <c r="P35" s="425"/>
      <c r="Q35" s="426"/>
    </row>
    <row r="36" spans="2:17" ht="40" customHeight="1" thickBot="1">
      <c r="B36" s="412" t="s">
        <v>533</v>
      </c>
      <c r="C36" s="413"/>
      <c r="D36" s="413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4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NRvKVX2hMci5T6oVPW2aLuEUiuDz4U7ylnVISeuzzzIB8FA3bfQ8letx25uOSWDdu4AJscbl0NfM9g+1XncvWw==" saltValue="HJz5iNEpZo+7xzO/vu4ZBg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0" t="s">
        <v>361</v>
      </c>
      <c r="B1" s="431"/>
      <c r="C1" s="431"/>
      <c r="D1" s="431"/>
      <c r="E1" s="431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2" t="s">
        <v>365</v>
      </c>
      <c r="B4" s="433"/>
      <c r="C4" s="433"/>
      <c r="D4" s="433"/>
      <c r="E4" s="433"/>
      <c r="P4" s="189" t="s">
        <v>321</v>
      </c>
      <c r="Q4" s="189">
        <v>1</v>
      </c>
    </row>
    <row r="5" spans="1:17" ht="30" customHeight="1">
      <c r="A5" s="440" t="s">
        <v>300</v>
      </c>
      <c r="B5" s="442" t="s">
        <v>481</v>
      </c>
      <c r="C5" s="434" t="s">
        <v>487</v>
      </c>
      <c r="D5" s="435"/>
      <c r="E5" s="436"/>
      <c r="P5" s="189" t="s">
        <v>179</v>
      </c>
      <c r="Q5" s="189">
        <v>1</v>
      </c>
    </row>
    <row r="6" spans="1:17" ht="30" customHeight="1" thickBot="1">
      <c r="A6" s="441"/>
      <c r="B6" s="441"/>
      <c r="C6" s="437"/>
      <c r="D6" s="438"/>
      <c r="E6" s="439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3" t="s">
        <v>373</v>
      </c>
      <c r="E12" s="443"/>
    </row>
    <row r="13" spans="1:17" ht="57.25" customHeight="1">
      <c r="A13" s="194">
        <v>1</v>
      </c>
      <c r="B13" s="198" t="s">
        <v>230</v>
      </c>
      <c r="C13" s="198" t="s">
        <v>386</v>
      </c>
      <c r="D13" s="429" t="s">
        <v>374</v>
      </c>
      <c r="E13" s="429"/>
    </row>
    <row r="14" spans="1:17" ht="73" customHeight="1">
      <c r="A14" s="194">
        <v>2</v>
      </c>
      <c r="B14" s="198" t="s">
        <v>230</v>
      </c>
      <c r="C14" s="198" t="s">
        <v>387</v>
      </c>
      <c r="D14" s="429" t="s">
        <v>374</v>
      </c>
      <c r="E14" s="429"/>
    </row>
    <row r="15" spans="1:17" ht="57.25" customHeight="1">
      <c r="A15" s="194">
        <v>3</v>
      </c>
      <c r="B15" s="198" t="s">
        <v>231</v>
      </c>
      <c r="C15" s="198" t="s">
        <v>488</v>
      </c>
      <c r="D15" s="429" t="s">
        <v>377</v>
      </c>
      <c r="E15" s="429"/>
    </row>
    <row r="16" spans="1:17" ht="73" customHeight="1">
      <c r="A16" s="194">
        <v>4</v>
      </c>
      <c r="B16" s="198" t="s">
        <v>375</v>
      </c>
      <c r="C16" s="198" t="s">
        <v>388</v>
      </c>
      <c r="D16" s="429" t="s">
        <v>376</v>
      </c>
      <c r="E16" s="429"/>
    </row>
    <row r="17" spans="1:17" ht="57.25" customHeight="1">
      <c r="A17" s="194">
        <v>5</v>
      </c>
      <c r="B17" s="198" t="s">
        <v>231</v>
      </c>
      <c r="C17" s="198" t="s">
        <v>389</v>
      </c>
      <c r="D17" s="429" t="s">
        <v>377</v>
      </c>
      <c r="E17" s="429"/>
    </row>
    <row r="18" spans="1:17" ht="57.25" customHeight="1">
      <c r="A18" s="194">
        <v>6</v>
      </c>
      <c r="B18" s="198" t="s">
        <v>375</v>
      </c>
      <c r="C18" s="198" t="s">
        <v>390</v>
      </c>
      <c r="D18" s="429" t="s">
        <v>376</v>
      </c>
      <c r="E18" s="429"/>
    </row>
    <row r="19" spans="1:17" ht="57.25" customHeight="1">
      <c r="A19" s="194">
        <v>7</v>
      </c>
      <c r="B19" s="198" t="s">
        <v>231</v>
      </c>
      <c r="C19" s="198" t="s">
        <v>391</v>
      </c>
      <c r="D19" s="429" t="s">
        <v>377</v>
      </c>
      <c r="E19" s="429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29" t="s">
        <v>379</v>
      </c>
      <c r="C23" s="429"/>
      <c r="D23" s="429"/>
      <c r="E23" s="429"/>
      <c r="P23" s="189" t="s">
        <v>227</v>
      </c>
      <c r="Q23" s="189">
        <v>3</v>
      </c>
    </row>
    <row r="24" spans="1:17" ht="41.5" customHeight="1">
      <c r="A24" s="194">
        <v>2</v>
      </c>
      <c r="B24" s="429" t="s">
        <v>380</v>
      </c>
      <c r="C24" s="429"/>
      <c r="D24" s="429"/>
      <c r="E24" s="429"/>
      <c r="P24" s="189" t="s">
        <v>383</v>
      </c>
      <c r="Q24" s="189">
        <v>3</v>
      </c>
    </row>
    <row r="25" spans="1:17" ht="41.5" customHeight="1">
      <c r="A25" s="194">
        <v>3</v>
      </c>
      <c r="B25" s="429" t="s">
        <v>381</v>
      </c>
      <c r="C25" s="429"/>
      <c r="D25" s="429"/>
      <c r="E25" s="429"/>
      <c r="P25" s="189" t="s">
        <v>486</v>
      </c>
      <c r="Q25" s="189">
        <v>1</v>
      </c>
    </row>
    <row r="26" spans="1:17" ht="41.5" customHeight="1">
      <c r="A26" s="194">
        <v>4</v>
      </c>
      <c r="B26" s="429" t="s">
        <v>482</v>
      </c>
      <c r="C26" s="429"/>
      <c r="D26" s="429"/>
      <c r="E26" s="429"/>
    </row>
    <row r="28" spans="1:17" ht="15" customHeight="1">
      <c r="A28" s="444" t="s">
        <v>384</v>
      </c>
      <c r="B28" s="444"/>
      <c r="C28" s="444"/>
      <c r="D28" s="444"/>
      <c r="E28" s="444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45" t="s">
        <v>385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29" t="s">
        <v>291</v>
      </c>
      <c r="L65" s="429"/>
      <c r="M65" s="429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29" t="s">
        <v>325</v>
      </c>
      <c r="L66" s="429"/>
      <c r="M66" s="429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29" t="s">
        <v>325</v>
      </c>
      <c r="L67" s="429"/>
      <c r="M67" s="429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29" t="s">
        <v>327</v>
      </c>
      <c r="L68" s="429"/>
      <c r="M68" s="429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29" t="s">
        <v>485</v>
      </c>
      <c r="L69" s="429"/>
      <c r="M69" s="429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29" t="s">
        <v>351</v>
      </c>
      <c r="L70" s="429"/>
      <c r="M70" s="429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29" t="s">
        <v>327</v>
      </c>
      <c r="L71" s="429"/>
      <c r="M71" s="429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29" t="s">
        <v>291</v>
      </c>
      <c r="L72" s="429"/>
      <c r="M72" s="429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29" t="s">
        <v>351</v>
      </c>
      <c r="L73" s="429"/>
      <c r="M73" s="429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29" t="s">
        <v>327</v>
      </c>
      <c r="L74" s="429"/>
      <c r="M74" s="429"/>
    </row>
    <row r="78" spans="1:13" ht="15" customHeight="1">
      <c r="A78" s="447" t="s">
        <v>310</v>
      </c>
      <c r="B78" s="448"/>
      <c r="C78" s="448"/>
      <c r="D78" s="448"/>
      <c r="E78" s="448"/>
    </row>
    <row r="79" spans="1:13" ht="41.5" customHeight="1">
      <c r="A79" s="192" t="s">
        <v>232</v>
      </c>
      <c r="B79" s="446" t="s">
        <v>234</v>
      </c>
      <c r="C79" s="446"/>
      <c r="D79" s="446"/>
      <c r="E79" s="446"/>
    </row>
    <row r="80" spans="1:13" ht="41.5" customHeight="1">
      <c r="A80" s="192" t="s">
        <v>225</v>
      </c>
      <c r="B80" s="446" t="s">
        <v>311</v>
      </c>
      <c r="C80" s="446"/>
      <c r="D80" s="446"/>
      <c r="E80" s="446"/>
    </row>
    <row r="81" spans="1:5" ht="41.5" customHeight="1">
      <c r="A81" s="192" t="s">
        <v>287</v>
      </c>
      <c r="B81" s="446" t="s">
        <v>312</v>
      </c>
      <c r="C81" s="446"/>
      <c r="D81" s="446"/>
      <c r="E81" s="446"/>
    </row>
    <row r="82" spans="1:5" ht="41.5" customHeight="1">
      <c r="A82" s="192" t="s">
        <v>230</v>
      </c>
      <c r="B82" s="446" t="s">
        <v>313</v>
      </c>
      <c r="C82" s="446"/>
      <c r="D82" s="446"/>
      <c r="E82" s="446"/>
    </row>
    <row r="83" spans="1:5" ht="41.5" customHeight="1">
      <c r="A83" s="192" t="s">
        <v>226</v>
      </c>
      <c r="B83" s="446" t="s">
        <v>314</v>
      </c>
      <c r="C83" s="446"/>
      <c r="D83" s="446"/>
      <c r="E83" s="446"/>
    </row>
    <row r="84" spans="1:5" ht="41.5" customHeight="1">
      <c r="A84" s="192" t="s">
        <v>231</v>
      </c>
      <c r="B84" s="446" t="s">
        <v>315</v>
      </c>
      <c r="C84" s="446"/>
      <c r="D84" s="446"/>
      <c r="E84" s="446"/>
    </row>
    <row r="85" spans="1:5" ht="28" customHeight="1">
      <c r="A85" s="192" t="s">
        <v>228</v>
      </c>
      <c r="B85" s="446" t="s">
        <v>316</v>
      </c>
      <c r="C85" s="446"/>
      <c r="D85" s="446"/>
      <c r="E85" s="446"/>
    </row>
    <row r="86" spans="1:5" ht="28" customHeight="1">
      <c r="A86" s="192" t="s">
        <v>317</v>
      </c>
      <c r="B86" s="446" t="s">
        <v>318</v>
      </c>
      <c r="C86" s="446"/>
      <c r="D86" s="446"/>
      <c r="E86" s="446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6uFepKcoWoRsFwJPrGfkc+jbamx0UstEaBGuNVmC4H3O3ksxV4dg1HW+scNxTOhnbPlWcGpuhojhBpeWk/CtzA==" saltValue="geesMEZihR6XrOGlxTvN6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2026-05-22T17:48:10Z</dcterms:modified>
  <cp:category/>
  <cp:contentStatus/>
</cp:coreProperties>
</file>
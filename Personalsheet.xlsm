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FED03635-C0D7-404D-B6C8-9917BDAFD33C}" xr6:coauthVersionLast="47" xr6:coauthVersionMax="47" xr10:uidLastSave="{00000000-0000-0000-0000-000000000000}"/>
  <bookViews>
    <workbookView xWindow="80" yWindow="780" windowWidth="34040" windowHeight="19900" tabRatio="677" activeTab="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 name="SYSTEM_CHECK" sheetId="51"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63">KV_DROPDOWN_HELPER!$NQ$1:$NQ$13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11" i="30"/>
  <c r="L14" i="30"/>
  <c r="L22" i="30"/>
  <c r="L27" i="30"/>
  <c r="L30" i="30"/>
  <c r="L38" i="30"/>
  <c r="L43" i="30"/>
  <c r="L46" i="30"/>
  <c r="L54" i="30"/>
  <c r="L59" i="30"/>
  <c r="L62" i="30"/>
  <c r="L70" i="30"/>
  <c r="L75" i="30"/>
  <c r="L78" i="30"/>
  <c r="K3" i="30"/>
  <c r="L3" i="30" s="1"/>
  <c r="K4" i="30"/>
  <c r="L4" i="30" s="1"/>
  <c r="K5" i="30"/>
  <c r="L5" i="30" s="1"/>
  <c r="K6" i="30"/>
  <c r="L6" i="30" s="1"/>
  <c r="K7" i="30"/>
  <c r="L7" i="30" s="1"/>
  <c r="K8" i="30"/>
  <c r="L8" i="30" s="1"/>
  <c r="K9" i="30"/>
  <c r="L9" i="30" s="1"/>
  <c r="K10" i="30"/>
  <c r="L10" i="30" s="1"/>
  <c r="K11" i="30"/>
  <c r="K12" i="30"/>
  <c r="L12" i="30" s="1"/>
  <c r="K13" i="30"/>
  <c r="L13" i="30" s="1"/>
  <c r="K14" i="30"/>
  <c r="K15" i="30"/>
  <c r="L15" i="30" s="1"/>
  <c r="K16" i="30"/>
  <c r="L16" i="30" s="1"/>
  <c r="K17" i="30"/>
  <c r="L17" i="30" s="1"/>
  <c r="K18" i="30"/>
  <c r="L18" i="30" s="1"/>
  <c r="K19" i="30"/>
  <c r="L19" i="30" s="1"/>
  <c r="K20" i="30"/>
  <c r="L20" i="30" s="1"/>
  <c r="K21" i="30"/>
  <c r="L21" i="30" s="1"/>
  <c r="K22" i="30"/>
  <c r="K23" i="30"/>
  <c r="L23" i="30" s="1"/>
  <c r="K24" i="30"/>
  <c r="L24" i="30" s="1"/>
  <c r="K25" i="30"/>
  <c r="L25" i="30" s="1"/>
  <c r="K26" i="30"/>
  <c r="L26" i="30" s="1"/>
  <c r="K27" i="30"/>
  <c r="K28" i="30"/>
  <c r="L28" i="30" s="1"/>
  <c r="K29" i="30"/>
  <c r="L29" i="30" s="1"/>
  <c r="K30" i="30"/>
  <c r="K31" i="30"/>
  <c r="L31" i="30" s="1"/>
  <c r="K32" i="30"/>
  <c r="L32" i="30" s="1"/>
  <c r="K33" i="30"/>
  <c r="L33" i="30" s="1"/>
  <c r="K34" i="30"/>
  <c r="L34" i="30" s="1"/>
  <c r="K35" i="30"/>
  <c r="L35" i="30" s="1"/>
  <c r="K36" i="30"/>
  <c r="L36" i="30" s="1"/>
  <c r="K37" i="30"/>
  <c r="L37" i="30" s="1"/>
  <c r="K38" i="30"/>
  <c r="K39" i="30"/>
  <c r="L39" i="30" s="1"/>
  <c r="K40" i="30"/>
  <c r="L40" i="30" s="1"/>
  <c r="K41" i="30"/>
  <c r="L41" i="30" s="1"/>
  <c r="K42" i="30"/>
  <c r="L42" i="30" s="1"/>
  <c r="K43" i="30"/>
  <c r="K44" i="30"/>
  <c r="L44" i="30" s="1"/>
  <c r="K45" i="30"/>
  <c r="L45" i="30" s="1"/>
  <c r="K46" i="30"/>
  <c r="K47" i="30"/>
  <c r="L47" i="30" s="1"/>
  <c r="K48" i="30"/>
  <c r="L48" i="30" s="1"/>
  <c r="K49" i="30"/>
  <c r="L49" i="30" s="1"/>
  <c r="K50" i="30"/>
  <c r="L50" i="30" s="1"/>
  <c r="K51" i="30"/>
  <c r="L51" i="30" s="1"/>
  <c r="K52" i="30"/>
  <c r="L52" i="30" s="1"/>
  <c r="K53" i="30"/>
  <c r="L53" i="30" s="1"/>
  <c r="K54" i="30"/>
  <c r="K55" i="30"/>
  <c r="L55" i="30" s="1"/>
  <c r="K56" i="30"/>
  <c r="L56" i="30" s="1"/>
  <c r="K57" i="30"/>
  <c r="L57" i="30" s="1"/>
  <c r="K58" i="30"/>
  <c r="L58" i="30" s="1"/>
  <c r="K59" i="30"/>
  <c r="K60" i="30"/>
  <c r="L60" i="30" s="1"/>
  <c r="K61" i="30"/>
  <c r="L61" i="30" s="1"/>
  <c r="K62" i="30"/>
  <c r="K63" i="30"/>
  <c r="L63" i="30" s="1"/>
  <c r="K64" i="30"/>
  <c r="L64" i="30" s="1"/>
  <c r="K65" i="30"/>
  <c r="L65" i="30" s="1"/>
  <c r="K66" i="30"/>
  <c r="L66" i="30" s="1"/>
  <c r="K67" i="30"/>
  <c r="L67" i="30" s="1"/>
  <c r="K68" i="30"/>
  <c r="L68" i="30" s="1"/>
  <c r="K69" i="30"/>
  <c r="L69" i="30" s="1"/>
  <c r="K70" i="30"/>
  <c r="K71" i="30"/>
  <c r="L71" i="30" s="1"/>
  <c r="K72" i="30"/>
  <c r="L72" i="30" s="1"/>
  <c r="K73" i="30"/>
  <c r="L73" i="30" s="1"/>
  <c r="K74" i="30"/>
  <c r="L74" i="30" s="1"/>
  <c r="K75" i="30"/>
  <c r="K76" i="30"/>
  <c r="L76" i="30" s="1"/>
  <c r="K77" i="30"/>
  <c r="L77" i="30" s="1"/>
  <c r="K78" i="30"/>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5" i="37"/>
  <c r="L8" i="37"/>
  <c r="L10" i="37"/>
  <c r="L13" i="37"/>
  <c r="L21" i="37"/>
  <c r="L23" i="37"/>
  <c r="L24" i="37"/>
  <c r="L26" i="37"/>
  <c r="L29" i="37"/>
  <c r="L30" i="37"/>
  <c r="L34" i="37"/>
  <c r="L37" i="37"/>
  <c r="L40" i="37"/>
  <c r="L42" i="37"/>
  <c r="L45" i="37"/>
  <c r="L53" i="37"/>
  <c r="L55" i="37"/>
  <c r="L56" i="37"/>
  <c r="L58" i="37"/>
  <c r="L62" i="37"/>
  <c r="L66" i="37"/>
  <c r="L69" i="37"/>
  <c r="L72" i="37"/>
  <c r="L74" i="37"/>
  <c r="L77" i="37"/>
  <c r="K3" i="37"/>
  <c r="L3" i="37" s="1"/>
  <c r="K4" i="37"/>
  <c r="L4" i="37" s="1"/>
  <c r="K5" i="37"/>
  <c r="K6" i="37"/>
  <c r="L6" i="37" s="1"/>
  <c r="K7" i="37"/>
  <c r="L7" i="37" s="1"/>
  <c r="K8" i="37"/>
  <c r="K9" i="37"/>
  <c r="L9" i="37" s="1"/>
  <c r="K10" i="37"/>
  <c r="K11" i="37"/>
  <c r="L11" i="37" s="1"/>
  <c r="K12" i="37"/>
  <c r="L12" i="37" s="1"/>
  <c r="K13" i="37"/>
  <c r="K14" i="37"/>
  <c r="L14" i="37" s="1"/>
  <c r="K15" i="37"/>
  <c r="L15" i="37" s="1"/>
  <c r="K16" i="37"/>
  <c r="L16" i="37" s="1"/>
  <c r="K17" i="37"/>
  <c r="L17" i="37" s="1"/>
  <c r="K18" i="37"/>
  <c r="L18" i="37" s="1"/>
  <c r="K19" i="37"/>
  <c r="L19" i="37" s="1"/>
  <c r="K20" i="37"/>
  <c r="L20" i="37" s="1"/>
  <c r="K21" i="37"/>
  <c r="K22" i="37"/>
  <c r="L22" i="37" s="1"/>
  <c r="K23" i="37"/>
  <c r="K24" i="37"/>
  <c r="K25" i="37"/>
  <c r="L25" i="37" s="1"/>
  <c r="K26" i="37"/>
  <c r="K27" i="37"/>
  <c r="L27" i="37" s="1"/>
  <c r="K28" i="37"/>
  <c r="L28" i="37" s="1"/>
  <c r="K29" i="37"/>
  <c r="K30" i="37"/>
  <c r="K31" i="37"/>
  <c r="L31" i="37" s="1"/>
  <c r="K32" i="37"/>
  <c r="L32" i="37" s="1"/>
  <c r="K33" i="37"/>
  <c r="L33" i="37" s="1"/>
  <c r="K34" i="37"/>
  <c r="K35" i="37"/>
  <c r="L35" i="37" s="1"/>
  <c r="K36" i="37"/>
  <c r="L36" i="37" s="1"/>
  <c r="K37" i="37"/>
  <c r="K38" i="37"/>
  <c r="L38" i="37" s="1"/>
  <c r="K39" i="37"/>
  <c r="L39" i="37" s="1"/>
  <c r="K40" i="37"/>
  <c r="K41" i="37"/>
  <c r="L41" i="37" s="1"/>
  <c r="K42" i="37"/>
  <c r="K43" i="37"/>
  <c r="L43" i="37" s="1"/>
  <c r="K44" i="37"/>
  <c r="L44" i="37" s="1"/>
  <c r="K45" i="37"/>
  <c r="K46" i="37"/>
  <c r="L46" i="37" s="1"/>
  <c r="K47" i="37"/>
  <c r="L47" i="37" s="1"/>
  <c r="K48" i="37"/>
  <c r="L48" i="37" s="1"/>
  <c r="K49" i="37"/>
  <c r="L49" i="37" s="1"/>
  <c r="K50" i="37"/>
  <c r="L50" i="37" s="1"/>
  <c r="K51" i="37"/>
  <c r="L51" i="37" s="1"/>
  <c r="K52" i="37"/>
  <c r="L52" i="37" s="1"/>
  <c r="K53" i="37"/>
  <c r="K54" i="37"/>
  <c r="L54" i="37" s="1"/>
  <c r="K55" i="37"/>
  <c r="K56" i="37"/>
  <c r="K57" i="37"/>
  <c r="L57" i="37" s="1"/>
  <c r="K58" i="37"/>
  <c r="K59" i="37"/>
  <c r="L59" i="37" s="1"/>
  <c r="K60" i="37"/>
  <c r="L60" i="37" s="1"/>
  <c r="K61" i="37"/>
  <c r="L61" i="37" s="1"/>
  <c r="K62" i="37"/>
  <c r="K63" i="37"/>
  <c r="L63" i="37" s="1"/>
  <c r="K64" i="37"/>
  <c r="L64" i="37" s="1"/>
  <c r="K65" i="37"/>
  <c r="L65" i="37" s="1"/>
  <c r="K66" i="37"/>
  <c r="K67" i="37"/>
  <c r="L67" i="37" s="1"/>
  <c r="K68" i="37"/>
  <c r="L68" i="37" s="1"/>
  <c r="K69" i="37"/>
  <c r="K70" i="37"/>
  <c r="L70" i="37" s="1"/>
  <c r="K71" i="37"/>
  <c r="L71" i="37" s="1"/>
  <c r="K72" i="37"/>
  <c r="K73" i="37"/>
  <c r="L73" i="37" s="1"/>
  <c r="K74" i="37"/>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8" i="28"/>
  <c r="L13" i="28"/>
  <c r="L14" i="28"/>
  <c r="L21" i="28"/>
  <c r="L24" i="28"/>
  <c r="L29" i="28"/>
  <c r="L34" i="28"/>
  <c r="L35" i="28"/>
  <c r="L37" i="28"/>
  <c r="L40" i="28"/>
  <c r="L45" i="28"/>
  <c r="L46" i="28"/>
  <c r="L53" i="28"/>
  <c r="L56" i="28"/>
  <c r="L61" i="28"/>
  <c r="L66" i="28"/>
  <c r="L67" i="28"/>
  <c r="L69" i="28"/>
  <c r="L72" i="28"/>
  <c r="L77" i="28"/>
  <c r="L78" i="28"/>
  <c r="K3" i="28"/>
  <c r="K4" i="28"/>
  <c r="L4" i="28" s="1"/>
  <c r="K5" i="28"/>
  <c r="K6" i="28"/>
  <c r="L6" i="28" s="1"/>
  <c r="K7" i="28"/>
  <c r="L7" i="28" s="1"/>
  <c r="K8" i="28"/>
  <c r="K9" i="28"/>
  <c r="L9" i="28" s="1"/>
  <c r="K10" i="28"/>
  <c r="L10" i="28" s="1"/>
  <c r="K11" i="28"/>
  <c r="L11" i="28" s="1"/>
  <c r="K12" i="28"/>
  <c r="L12" i="28" s="1"/>
  <c r="K13" i="28"/>
  <c r="K14" i="28"/>
  <c r="K15" i="28"/>
  <c r="L15" i="28" s="1"/>
  <c r="K16" i="28"/>
  <c r="L16" i="28" s="1"/>
  <c r="K17" i="28"/>
  <c r="L17" i="28" s="1"/>
  <c r="K18" i="28"/>
  <c r="L18" i="28" s="1"/>
  <c r="K19" i="28"/>
  <c r="L19" i="28" s="1"/>
  <c r="K20" i="28"/>
  <c r="L20" i="28" s="1"/>
  <c r="K21" i="28"/>
  <c r="K22" i="28"/>
  <c r="L22" i="28" s="1"/>
  <c r="K23" i="28"/>
  <c r="L23" i="28" s="1"/>
  <c r="K24" i="28"/>
  <c r="K25" i="28"/>
  <c r="L25" i="28" s="1"/>
  <c r="K26" i="28"/>
  <c r="L26" i="28" s="1"/>
  <c r="K27" i="28"/>
  <c r="L27" i="28" s="1"/>
  <c r="K28" i="28"/>
  <c r="L28" i="28" s="1"/>
  <c r="K29" i="28"/>
  <c r="K30" i="28"/>
  <c r="L30" i="28" s="1"/>
  <c r="K31" i="28"/>
  <c r="L31" i="28" s="1"/>
  <c r="K32" i="28"/>
  <c r="L32" i="28" s="1"/>
  <c r="K33" i="28"/>
  <c r="L33" i="28" s="1"/>
  <c r="K34" i="28"/>
  <c r="K35" i="28"/>
  <c r="K36" i="28"/>
  <c r="L36" i="28" s="1"/>
  <c r="K37" i="28"/>
  <c r="K38" i="28"/>
  <c r="L38" i="28" s="1"/>
  <c r="K39" i="28"/>
  <c r="L39" i="28" s="1"/>
  <c r="K40" i="28"/>
  <c r="K41" i="28"/>
  <c r="L41" i="28" s="1"/>
  <c r="K42" i="28"/>
  <c r="L42" i="28" s="1"/>
  <c r="K43" i="28"/>
  <c r="L43" i="28" s="1"/>
  <c r="K44" i="28"/>
  <c r="L44" i="28" s="1"/>
  <c r="K45" i="28"/>
  <c r="K46" i="28"/>
  <c r="K47" i="28"/>
  <c r="L47" i="28" s="1"/>
  <c r="K48" i="28"/>
  <c r="L48" i="28" s="1"/>
  <c r="K49" i="28"/>
  <c r="L49" i="28" s="1"/>
  <c r="K50" i="28"/>
  <c r="L50" i="28" s="1"/>
  <c r="K51" i="28"/>
  <c r="L51" i="28" s="1"/>
  <c r="K52" i="28"/>
  <c r="L52" i="28" s="1"/>
  <c r="K53" i="28"/>
  <c r="K54" i="28"/>
  <c r="L54" i="28" s="1"/>
  <c r="K55" i="28"/>
  <c r="L55" i="28" s="1"/>
  <c r="K56" i="28"/>
  <c r="K57" i="28"/>
  <c r="L57" i="28" s="1"/>
  <c r="K58" i="28"/>
  <c r="L58" i="28" s="1"/>
  <c r="K59" i="28"/>
  <c r="L59" i="28" s="1"/>
  <c r="K60" i="28"/>
  <c r="L60" i="28" s="1"/>
  <c r="K61" i="28"/>
  <c r="K62" i="28"/>
  <c r="L62" i="28" s="1"/>
  <c r="K63" i="28"/>
  <c r="L63" i="28" s="1"/>
  <c r="K64" i="28"/>
  <c r="L64" i="28" s="1"/>
  <c r="K65" i="28"/>
  <c r="L65" i="28" s="1"/>
  <c r="K66" i="28"/>
  <c r="K67" i="28"/>
  <c r="K68" i="28"/>
  <c r="L68" i="28" s="1"/>
  <c r="K69" i="28"/>
  <c r="K70" i="28"/>
  <c r="L70" i="28" s="1"/>
  <c r="K71" i="28"/>
  <c r="L71" i="28" s="1"/>
  <c r="K72" i="28"/>
  <c r="K73" i="28"/>
  <c r="L73" i="28" s="1"/>
  <c r="K74" i="28"/>
  <c r="L74" i="28" s="1"/>
  <c r="K75" i="28"/>
  <c r="L75" i="28" s="1"/>
  <c r="K76" i="28"/>
  <c r="L76" i="28" s="1"/>
  <c r="K77" i="28"/>
  <c r="K78" i="28"/>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 i="27"/>
  <c r="L7" i="27"/>
  <c r="L8" i="27"/>
  <c r="L14" i="27"/>
  <c r="L15" i="27"/>
  <c r="L18" i="27"/>
  <c r="L19" i="27"/>
  <c r="L23" i="27"/>
  <c r="L27" i="27"/>
  <c r="L29" i="27"/>
  <c r="L30" i="27"/>
  <c r="L31" i="27"/>
  <c r="L34" i="27"/>
  <c r="L35" i="27"/>
  <c r="L39" i="27"/>
  <c r="L40" i="27"/>
  <c r="L48" i="27"/>
  <c r="K3" i="27"/>
  <c r="K4" i="27"/>
  <c r="L4" i="27" s="1"/>
  <c r="K5" i="27"/>
  <c r="L5" i="27" s="1"/>
  <c r="K6" i="27"/>
  <c r="L6" i="27" s="1"/>
  <c r="K7" i="27"/>
  <c r="K8" i="27"/>
  <c r="K9" i="27"/>
  <c r="L9" i="27" s="1"/>
  <c r="K10" i="27"/>
  <c r="L10" i="27" s="1"/>
  <c r="K11" i="27"/>
  <c r="L11" i="27" s="1"/>
  <c r="K12" i="27"/>
  <c r="L12" i="27" s="1"/>
  <c r="K13" i="27"/>
  <c r="L13" i="27" s="1"/>
  <c r="K14" i="27"/>
  <c r="K15" i="27"/>
  <c r="K16" i="27"/>
  <c r="L16" i="27" s="1"/>
  <c r="K17" i="27"/>
  <c r="L17" i="27" s="1"/>
  <c r="K18" i="27"/>
  <c r="K19" i="27"/>
  <c r="K20" i="27"/>
  <c r="L20" i="27" s="1"/>
  <c r="K21" i="27"/>
  <c r="L21" i="27" s="1"/>
  <c r="K22" i="27"/>
  <c r="L22" i="27" s="1"/>
  <c r="K23" i="27"/>
  <c r="K24" i="27"/>
  <c r="L24" i="27" s="1"/>
  <c r="K25" i="27"/>
  <c r="L25" i="27" s="1"/>
  <c r="K26" i="27"/>
  <c r="L26" i="27" s="1"/>
  <c r="K27" i="27"/>
  <c r="K28" i="27"/>
  <c r="L28" i="27" s="1"/>
  <c r="K29" i="27"/>
  <c r="K30" i="27"/>
  <c r="K31" i="27"/>
  <c r="K32" i="27"/>
  <c r="L32" i="27" s="1"/>
  <c r="K33" i="27"/>
  <c r="L33" i="27" s="1"/>
  <c r="K34" i="27"/>
  <c r="K35" i="27"/>
  <c r="K36" i="27"/>
  <c r="L36" i="27" s="1"/>
  <c r="K37" i="27"/>
  <c r="L37" i="27" s="1"/>
  <c r="K38" i="27"/>
  <c r="L38" i="27" s="1"/>
  <c r="K39" i="27"/>
  <c r="K40" i="27"/>
  <c r="K41" i="27"/>
  <c r="L41" i="27" s="1"/>
  <c r="K42" i="27"/>
  <c r="L42" i="27" s="1"/>
  <c r="K43" i="27"/>
  <c r="L43" i="27" s="1"/>
  <c r="K44" i="27"/>
  <c r="L44" i="27" s="1"/>
  <c r="K45" i="27"/>
  <c r="L45" i="27" s="1"/>
  <c r="K46" i="27"/>
  <c r="L46" i="27" s="1"/>
  <c r="K47" i="27"/>
  <c r="L47" i="27" s="1"/>
  <c r="K48" i="27"/>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17" i="26"/>
  <c r="L25" i="26"/>
  <c r="L33" i="26"/>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K18" i="26"/>
  <c r="L18" i="26" s="1"/>
  <c r="K19" i="26"/>
  <c r="L19" i="26" s="1"/>
  <c r="K20" i="26"/>
  <c r="L20" i="26" s="1"/>
  <c r="K21" i="26"/>
  <c r="L21" i="26" s="1"/>
  <c r="K22" i="26"/>
  <c r="L22" i="26" s="1"/>
  <c r="K23" i="26"/>
  <c r="L23" i="26" s="1"/>
  <c r="K24" i="26"/>
  <c r="L24" i="26" s="1"/>
  <c r="K25" i="26"/>
  <c r="K26" i="26"/>
  <c r="L26" i="26" s="1"/>
  <c r="K27" i="26"/>
  <c r="L27" i="26" s="1"/>
  <c r="K28" i="26"/>
  <c r="L28" i="26" s="1"/>
  <c r="K29" i="26"/>
  <c r="L29" i="26" s="1"/>
  <c r="K30" i="26"/>
  <c r="L30" i="26" s="1"/>
  <c r="K31" i="26"/>
  <c r="L31" i="26" s="1"/>
  <c r="K32" i="26"/>
  <c r="L32" i="26" s="1"/>
  <c r="K33" i="26"/>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6"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0" a="1"/>
  <c r="S36" i="35" a="1"/>
  <c r="S36" i="33" a="1"/>
  <c r="S36" i="28" a="1"/>
  <c r="S36" i="32" a="1"/>
  <c r="S36" i="31" a="1"/>
  <c r="S36" i="36"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<sst xmlns="http://schemas.openxmlformats.org/spreadsheetml/2006/main" count="5858" uniqueCount="429">
  <si>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</si>
  <si>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</si>
  <si>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</si>
  <si>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</si>
  <si>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</si>
  <si>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</si>
  <si>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</si>
  <si>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</si>
  <si>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</si>
  <si>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</si>
  <si>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</si>
  <si>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</si>
  <si>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</si>
  <si>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</si>
  <si>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</si>
  <si>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</si>
  <si>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</si>
  <si>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</si>
  <si>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</si>
  <si>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</si>
  <si>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</si>
  <si>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</si>
  <si>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</si>
  <si>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</si>
  <si>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</si>
  <si>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</si>
  <si>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</si>
  <si>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</si>
  <si>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</si>
  <si>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</si>
  <si>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</si>
  <si>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</si>
  <si>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</si>
  <si>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</si>
  <si>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</si>
  <si>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</si>
  <si>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</si>
  <si>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</si>
  <si>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</si>
  <si>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</si>
  <si>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</si>
  <si>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</si>
  <si>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</si>
  <si>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</si>
  <si>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</si>
  <si>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</si>
  <si>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</si>
  <si>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</si>
  <si>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</si>
  <si>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</si>
  <si>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</si>
  <si>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</si>
  <si>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</si>
  <si>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</si>
  <si>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</si>
  <si>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</si>
  <si>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</si>
  <si>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</si>
  <si>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</si>
  <si>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</si>
  <si>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</si>
  <si>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</si>
  <si>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</si>
  <si>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</si>
  <si>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</si>
  <si>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</si>
  <si>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</si>
  <si>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</si>
  <si>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</si>
  <si>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</si>
  <si>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</si>
  <si>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</si>
  <si>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</si>
  <si>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</si>
  <si>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</si>
  <si>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</si>
  <si>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</si>
  <si>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</si>
  <si>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</si>
  <si>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</si>
  <si>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</si>
  <si>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</si>
  <si>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</si>
  <si>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</si>
  <si>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</si>
  <si>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</si>
  <si>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</si>
  <si>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</si>
  <si>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</si>
  <si>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</si>
  <si>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</si>
  <si>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</si>
  <si>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</si>
  <si>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</si>
  <si>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</si>
  <si>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</si>
  <si>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</si>
  <si>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</si>
  <si>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</si>
  <si>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</si>
  <si>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</si>
  <si>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</si>
  <si>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</si>
  <si>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</si>
  <si>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</si>
  <si>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</si>
  <si>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</si>
  <si>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</si>
  <si>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</si>
  <si>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</si>
  <si>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</si>
  <si>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</si>
  <si>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</si>
  <si>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</si>
  <si>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</si>
  <si>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</si>
  <si>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</si>
  <si>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</si>
  <si>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</si>
  <si>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</si>
  <si>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</si>
  <si>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</si>
  <si>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</si>
  <si>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</si>
  <si>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</si>
  <si>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</si>
  <si>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</si>
  <si>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</si>
  <si>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</si>
  <si>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</si>
  <si>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</si>
  <si>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</si>
  <si>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</si>
  <si>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</si>
  <si>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</si>
  <si>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</si>
  <si>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</si>
  <si>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</si>
  <si>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</si>
  <si>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</si>
  <si>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</si>
  <si>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</si>
  <si>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</si>
  <si>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</si>
  <si>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</si>
  <si>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</si>
  <si>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</si>
  <si>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</si>
  <si>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</si>
  <si>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</si>
  <si>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</si>
  <si>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</si>
  <si>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</si>
  <si>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</si>
  <si>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</si>
  <si>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</si>
  <si>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</si>
  <si>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</si>
  <si>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</si>
  <si>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</si>
  <si>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</si>
  <si>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</si>
  <si>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</si>
  <si>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</si>
  <si>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</si>
  <si>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</si>
  <si>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</si>
  <si>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</si>
  <si>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</si>
  <si>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</si>
  <si>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</si>
  <si>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</si>
  <si>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</si>
  <si>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</si>
  <si>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</si>
  <si>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</si>
  <si>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</si>
  <si>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</si>
  <si>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</si>
  <si>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</si>
  <si>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</si>
  <si>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</si>
  <si>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</si>
  <si>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</si>
  <si>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</si>
  <si>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</si>
  <si>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</si>
  <si>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</si>
  <si>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</si>
  <si>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</si>
  <si>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</si>
  <si>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</si>
  <si>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</si>
  <si>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</si>
  <si>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</si>
  <si>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</si>
  <si>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</si>
  <si>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</si>
  <si>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</si>
  <si>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</si>
  <si>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</si>
  <si>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</si>
  <si>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</si>
  <si>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</si>
  <si>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</si>
  <si>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</si>
  <si>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</si>
  <si>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</si>
  <si>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</si>
  <si>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</si>
  <si>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</si>
  <si>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</si>
  <si>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</si>
  <si>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</si>
  <si>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</si>
  <si>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</si>
  <si>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</si>
  <si>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</si>
  <si>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</si>
  <si>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</si>
  <si>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</si>
  <si>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</si>
  <si>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</si>
  <si>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</si>
  <si>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</si>
  <si>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</si>
  <si>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</si>
  <si>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</si>
  <si>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</si>
  <si>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</si>
  <si>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</si>
  <si>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</si>
  <si>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</si>
  <si>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</si>
  <si>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</si>
  <si>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</si>
  <si>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</si>
  <si>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</si>
  <si>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</si>
  <si>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</si>
  <si>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</si>
  <si>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</si>
  <si>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</si>
  <si>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</si>
  <si>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</si>
  <si>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</si>
  <si>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</si>
  <si>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</si>
  <si>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</si>
  <si>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</si>
  <si>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</si>
  <si>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</si>
  <si>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</si>
  <si>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</si>
  <si>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</si>
  <si>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</si>
  <si>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</si>
  <si>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</si>
  <si>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</si>
  <si>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</si>
  <si>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</si>
  <si>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</si>
  <si>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</si>
  <si>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</si>
  <si>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</si>
  <si>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</si>
  <si>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</si>
  <si>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</si>
  <si>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</si>
  <si>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</si>
  <si>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</si>
  <si>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</si>
  <si>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</si>
  <si>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</si>
  <si>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</si>
  <si>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</si>
  <si>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</si>
  <si>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</si>
  <si>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</si>
  <si>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</si>
  <si>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</si>
  <si>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</si>
  <si>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</si>
  <si>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</si>
  <si>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</si>
  <si>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</si>
  <si>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</si>
  <si>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</si>
  <si>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</si>
  <si>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</si>
  <si>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</si>
  <si>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</si>
  <si>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</si>
  <si>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</si>
  <si>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</si>
  <si>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</si>
  <si>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</si>
  <si>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</si>
  <si>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</si>
  <si>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</si>
  <si>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</si>
  <si>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</si>
  <si>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</si>
  <si>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</si>
  <si>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</si>
  <si>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</si>
  <si>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</si>
  <si>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</si>
  <si>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</si>
  <si>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</si>
  <si>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</si>
  <si>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</si>
  <si>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</si>
  <si>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</si>
  <si>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</si>
  <si>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</si>
  <si>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</si>
  <si>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</si>
  <si>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</si>
  <si>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</si>
  <si>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</si>
  <si>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</si>
  <si>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</si>
  <si>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</si>
  <si>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</si>
  <si>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</si>
  <si>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</si>
  <si>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</si>
  <si>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</si>
  <si>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</si>
  <si>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</si>
  <si>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</si>
  <si>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</si>
  <si>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</si>
  <si>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</si>
  <si>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</si>
  <si>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</si>
  <si>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</si>
  <si>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</si>
  <si>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</si>
  <si>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</si>
  <si>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</si>
  <si>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</si>
  <si>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</si>
  <si>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</si>
  <si>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</si>
  <si>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</si>
  <si>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</si>
  <si>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</si>
  <si>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</si>
  <si>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</si>
  <si>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</si>
  <si>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</si>
  <si>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</si>
  <si>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</si>
  <si>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</si>
  <si>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</si>
  <si>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</si>
  <si>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</si>
  <si>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</si>
  <si>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</si>
  <si>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</si>
  <si>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</si>
  <si>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</si>
  <si>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</si>
  <si>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</si>
  <si>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</si>
  <si>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</si>
  <si>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</si>
  <si>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</si>
  <si>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</si>
  <si>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</si>
  <si>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</si>
  <si>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</si>
  <si>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</si>
  <si>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</si>
  <si>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</si>
  <si>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</si>
  <si>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</si>
  <si>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</si>
  <si>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</si>
  <si>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</si>
  <si>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</si>
  <si>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</si>
  <si>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</si>
  <si>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</si>
  <si>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</si>
  <si>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</si>
  <si>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</si>
  <si>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</si>
  <si>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</si>
  <si>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600000|GERGO</t>
  </si>
  <si>
    <t>F</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</si>
  <si>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</si>
  <si>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</si>
  <si>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</si>
  <si>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</si>
  <si>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</si>
  <si>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</si>
  <si>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</si>
  <si>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</si>
  <si>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</si>
  <si>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</si>
  <si>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</si>
  <si>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</si>
  <si>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</si>
  <si>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</si>
  <si>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</si>
  <si>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</si>
  <si>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</si>
  <si>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</si>
  <si>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</si>
  <si>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</si>
  <si>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</si>
  <si>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</si>
  <si>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</si>
  <si>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</si>
  <si>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</si>
  <si>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</si>
  <si>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</si>
  <si>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</si>
  <si>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</si>
  <si>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500600|JANIKA</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</si>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</sst>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 numFmtId="173" formatCode="dd\.mm\.yyyy\ hh:mm:ss"/>
  </numFmts>
  <fonts count="62">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20"/>
      <color rgb="FFC0504D"/>
      <name val="Aptos Narrow"/>
    </font>
    <font>
      <sz val="11"/>
      <color rgb="FF9C6500"/>
      <name val="Calibri"/>
      <family val="2"/>
      <scheme val="minor"/>
    </font>
    <font>
      <sz val="11"/>
      <color rgb="FF006100"/>
      <name val="Calibri"/>
      <family val="2"/>
      <scheme val="minor"/>
    </font>
    <font>
      <b/>
      <sz val="13"/>
      <color rgb="FF1F4E79"/>
      <name val="Calibri"/>
      <family val="2"/>
      <scheme val="minor"/>
    </font>
  </fonts>
  <fills count="26">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
      <patternFill patternType="solid">
        <fgColor rgb="FFC6EFCE"/>
        <bgColor indexed="64"/>
      </patternFill>
    </fill>
    <fill>
      <patternFill patternType="solid">
        <fgColor rgb="FFDDEBF7"/>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6">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 fillId="4" borderId="36" xfId="0" applyFont="1" applyFill="1" applyBorder="1" applyAlignment="1">
      <alignment horizontal="left"/>
    </xf>
    <xf numFmtId="0" fontId="5" fillId="4" borderId="14" xfId="0" applyFont="1" applyFill="1" applyBorder="1" applyAlignment="1">
      <alignment horizontal="left"/>
    </xf>
    <xf numFmtId="166" fontId="5" fillId="4" borderId="12" xfId="0" applyNumberFormat="1" applyFont="1" applyFill="1" applyBorder="1" applyAlignment="1">
      <alignment horizontal="center"/>
    </xf>
    <xf numFmtId="166" fontId="5" fillId="4" borderId="14"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5" fillId="6" borderId="36" xfId="0" applyFont="1" applyFill="1" applyBorder="1" applyAlignment="1">
      <alignment horizontal="left"/>
    </xf>
    <xf numFmtId="0" fontId="5" fillId="6" borderId="14"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5" xfId="0" applyFont="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35" xfId="0" applyFont="1" applyFill="1" applyBorder="1" applyAlignment="1">
      <alignment horizontal="center"/>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0" fontId="5" fillId="7" borderId="14"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0" fontId="36" fillId="0" borderId="8" xfId="0" applyFont="1" applyBorder="1" applyAlignment="1">
      <alignment horizontal="center"/>
    </xf>
    <xf numFmtId="0" fontId="36" fillId="0" borderId="0" xfId="0" applyFont="1" applyAlignment="1">
      <alignment horizontal="center"/>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10" fontId="5" fillId="8" borderId="14"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5" fillId="7" borderId="36" xfId="0" applyFont="1" applyFill="1" applyBorder="1" applyAlignment="1" applyProtection="1">
      <alignment horizontal="left"/>
      <protection locked="0"/>
    </xf>
    <xf numFmtId="0" fontId="5" fillId="7" borderId="14"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0" fontId="5" fillId="7" borderId="26"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1" xfId="0" applyFont="1" applyFill="1" applyBorder="1" applyAlignment="1">
      <alignment horizontal="left"/>
    </xf>
    <xf numFmtId="166" fontId="5" fillId="4" borderId="36" xfId="0" applyNumberFormat="1" applyFont="1" applyFill="1" applyBorder="1" applyAlignment="1">
      <alignment horizont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10" fontId="5" fillId="17" borderId="1" xfId="0" applyNumberFormat="1"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0" fontId="5" fillId="7" borderId="1" xfId="0" applyFont="1" applyFill="1" applyBorder="1" applyAlignment="1" applyProtection="1">
      <alignment horizontal="left"/>
      <protection locked="0"/>
    </xf>
    <xf numFmtId="166" fontId="5" fillId="0" borderId="1"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0" fontId="5" fillId="4" borderId="1" xfId="0" applyNumberFormat="1" applyFont="1" applyFill="1" applyBorder="1" applyAlignment="1">
      <alignment horizont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0" fillId="0" borderId="36" xfId="0" applyFont="1" applyBorder="1" applyAlignment="1">
      <alignment horizontal="center"/>
    </xf>
    <xf numFmtId="0" fontId="5" fillId="7" borderId="1" xfId="0" applyFont="1" applyFill="1" applyBorder="1" applyAlignment="1">
      <alignment horizontal="left"/>
    </xf>
    <xf numFmtId="166" fontId="46" fillId="11" borderId="1" xfId="0" applyNumberFormat="1" applyFont="1" applyFill="1" applyBorder="1" applyAlignment="1" applyProtection="1">
      <alignment horizontal="center"/>
      <protection locked="0"/>
    </xf>
    <xf numFmtId="0" fontId="46" fillId="10" borderId="1"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3" fillId="0" borderId="76" xfId="0" applyFont="1" applyBorder="1" applyAlignment="1">
      <alignment horizontal="center" vertical="center"/>
    </xf>
    <xf numFmtId="0" fontId="0" fillId="0" borderId="76" xfId="0" applyBorder="1" applyAlignment="1">
      <alignment vertical="center"/>
    </xf>
    <xf numFmtId="0" fontId="59" fillId="23" borderId="76" xfId="0" applyFont="1" applyFill="1" applyBorder="1" applyAlignment="1">
      <alignment vertical="center"/>
    </xf>
    <xf numFmtId="0" fontId="60" fillId="24" borderId="76" xfId="0" applyFont="1" applyFill="1" applyBorder="1" applyAlignment="1">
      <alignment vertical="center"/>
    </xf>
    <xf numFmtId="0" fontId="0" fillId="0" borderId="76" xfId="0" applyBorder="1" applyAlignment="1">
      <alignment vertical="top" wrapText="1"/>
    </xf>
    <xf numFmtId="173" fontId="0" fillId="0" borderId="76" xfId="0" applyNumberFormat="1" applyBorder="1" applyAlignment="1">
      <alignment horizontal="center"/>
    </xf>
    <xf numFmtId="0" fontId="51" fillId="0" borderId="0" xfId="0" applyFont="1" applyFill="1" applyAlignment="1"/>
    <xf numFmtId="0" fontId="51" fillId="0" borderId="76" xfId="0" applyFont="1" applyFill="1" applyBorder="1" applyAlignment="1">
      <alignment horizontal="center" vertical="center"/>
    </xf>
    <xf numFmtId="0" fontId="51" fillId="0" borderId="76" xfId="0" applyFont="1" applyFill="1" applyBorder="1" applyAlignment="1">
      <alignment horizontal="left" vertical="center" wrapText="1"/>
    </xf>
    <xf numFmtId="0" fontId="53" fillId="0" borderId="75" xfId="0" applyFont="1" applyFill="1" applyBorder="1" applyAlignment="1">
      <alignment horizontal="center" vertical="center"/>
    </xf>
    <xf numFmtId="0" fontId="61" fillId="25" borderId="75" xfId="0" applyFont="1" applyFill="1" applyBorder="1" applyAlignment="1">
      <alignment horizontal="center" vertical="center"/>
    </xf>
    <xf numFmtId="0" fontId="21" fillId="0" borderId="76" xfId="0" applyFont="1" applyFill="1" applyBorder="1" applyAlignment="1">
      <alignment horizontal="center" vertical="center"/>
    </xf>
    <xf numFmtId="0" fontId="51" fillId="0" borderId="76" xfId="0" applyFont="1" applyFill="1" applyBorder="1" applyAlignment="1">
      <alignment horizontal="center" vertical="center" wrapText="1"/>
    </xf>
    <xf numFmtId="0" fontId="51" fillId="0" borderId="76" xfId="0" applyFont="1" applyFill="1" applyBorder="1" applyAlignment="1">
      <alignment horizontal="left" vertical="center" wrapText="1"/>
    </xf>
    <xf numFmtId="10" fontId="51" fillId="0" borderId="76" xfId="0" applyNumberFormat="1" applyFont="1" applyFill="1" applyBorder="1" applyAlignment="1">
      <alignment horizontal="center" vertical="center" wrapText="1"/>
    </xf>
    <xf numFmtId="2" fontId="51" fillId="0" borderId="76" xfId="0" applyNumberFormat="1" applyFont="1" applyFill="1" applyBorder="1" applyAlignment="1">
      <alignment horizontal="center" vertical="center" wrapText="1"/>
    </xf>
    <xf numFmtId="10" fontId="51" fillId="0" borderId="76" xfId="0" applyNumberFormat="1" applyFont="1" applyFill="1" applyBorder="1" applyAlignment="1">
      <alignment horizontal="center" vertical="center"/>
    </xf>
    <xf numFmtId="2" fontId="51" fillId="0" borderId="76" xfId="0" applyNumberFormat="1" applyFont="1" applyFill="1" applyBorder="1" applyAlignment="1">
      <alignment horizontal="center" vertical="center"/>
    </xf>
    <xf numFmtId="0" fontId="52" fillId="0" borderId="0" xfId="0" applyFont="1" applyFill="1" applyAlignment="1">
      <alignment horizontal="center" vertical="center"/>
    </xf>
    <xf numFmtId="0" fontId="51" fillId="0" borderId="0" xfId="0" applyFont="1" applyFill="1" applyAlignment="1">
      <alignment horizontal="center" vertical="center"/>
    </xf>
    <xf numFmtId="0" fontId="51" fillId="0" borderId="0" xfId="0" applyFont="1" applyFill="1" applyAlignment="1">
      <alignment vertical="center"/>
    </xf>
    <xf numFmtId="0" fontId="21" fillId="0" borderId="0" xfId="0" applyFont="1" applyFill="1" applyAlignment="1">
      <alignment vertical="center"/>
    </xf>
    <xf numFmtId="0" fontId="53" fillId="0" borderId="0" xfId="0" applyFont="1" applyFill="1" applyAlignment="1">
      <alignment vertical="center"/>
    </xf>
    <xf numFmtId="0" fontId="51" fillId="0" borderId="0" xfId="0" applyFont="1" applyFill="1" applyAlignment="1">
      <alignment vertical="center"/>
    </xf>
    <xf numFmtId="0" fontId="51" fillId="0" borderId="0" xfId="0" applyFont="1" applyFill="1" applyAlignment="1">
      <alignment vertical="center" wrapText="1"/>
    </xf>
    <xf numFmtId="0" fontId="21" fillId="0" borderId="76" xfId="0" applyFont="1" applyFill="1" applyBorder="1" applyAlignment="1">
      <alignment vertical="center"/>
    </xf>
    <xf numFmtId="0" fontId="51" fillId="0" borderId="76" xfId="0" applyFont="1" applyFill="1" applyBorder="1" applyAlignment="1">
      <alignment vertical="center"/>
    </xf>
    <xf numFmtId="0" fontId="21" fillId="0" borderId="76" xfId="0" applyFont="1" applyFill="1" applyBorder="1" applyAlignment="1">
      <alignment vertical="center"/>
    </xf>
    <xf numFmtId="0" fontId="51" fillId="0" borderId="76" xfId="0" applyFont="1" applyFill="1" applyBorder="1" applyAlignment="1">
      <alignment vertical="center" wrapText="1"/>
    </xf>
    <xf numFmtId="0" fontId="51" fillId="0" borderId="76" xfId="0" applyFont="1" applyFill="1" applyBorder="1" applyAlignment="1">
      <alignment vertical="center"/>
    </xf>
    <xf numFmtId="0" fontId="54" fillId="0" borderId="0" xfId="0" applyFont="1" applyFill="1" applyAlignment="1">
      <alignment horizontal="center" vertical="center"/>
    </xf>
    <xf numFmtId="0" fontId="53" fillId="0" borderId="76" xfId="0" applyFont="1" applyFill="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1" t="s">
        <v>0</v>
      </c>
      <c r="B1" s="303" t="s">
        <v>1</v>
      </c>
      <c r="C1" s="305" t="s">
        <v>2</v>
      </c>
      <c r="D1" s="305"/>
      <c r="I1" s="18" t="s">
        <v>3</v>
      </c>
      <c r="J1" s="308"/>
      <c r="K1" s="308"/>
      <c r="L1" s="308"/>
      <c r="M1" s="308"/>
      <c r="O1" s="177" t="s">
        <v>208</v>
      </c>
      <c r="P1" s="177" t="s">
        <v>212</v>
      </c>
    </row>
    <row r="2" spans="1:18" ht="22" thickBot="1">
      <c r="A2" s="302"/>
      <c r="B2" s="304"/>
      <c r="C2" s="54" t="str">
        <f>G3-1&amp;"/"&amp;G3</f>
        <v>2025/2026</v>
      </c>
      <c r="D2" s="54" t="str">
        <f>G3 &amp; "/" &amp; G3+1</f>
        <v>2026/2027</v>
      </c>
      <c r="I2" s="14"/>
      <c r="J2" s="309" t="s">
        <v>204</v>
      </c>
      <c r="K2" s="309"/>
      <c r="L2" s="309"/>
      <c r="M2" s="309"/>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06" t="s">
        <v>202</v>
      </c>
      <c r="J17" s="307"/>
      <c r="K17" s="307"/>
      <c r="L17" s="307"/>
      <c r="M17" s="307"/>
      <c r="N17" s="124"/>
      <c r="O17" s="176" t="s">
        <v>224</v>
      </c>
      <c r="P17" s="175">
        <v>0.3</v>
      </c>
      <c r="Q17" s="13" t="s">
        <v>24</v>
      </c>
      <c r="R17" s="13"/>
    </row>
    <row r="18" spans="1:18" ht="17">
      <c r="A18" s="21" t="s">
        <v>8</v>
      </c>
      <c r="B18" s="22">
        <v>138.4</v>
      </c>
      <c r="C18" s="103">
        <v>1665.6</v>
      </c>
      <c r="D18" s="104">
        <v>1665.6</v>
      </c>
      <c r="I18" s="306"/>
      <c r="J18" s="307"/>
      <c r="K18" s="307"/>
      <c r="L18" s="307"/>
      <c r="M18" s="307"/>
      <c r="N18" s="124"/>
      <c r="O18" s="176" t="s">
        <v>225</v>
      </c>
      <c r="P18" s="175">
        <v>0.5</v>
      </c>
      <c r="Q18" s="13"/>
      <c r="R18" s="13"/>
    </row>
    <row r="19" spans="1:18" ht="17">
      <c r="A19" s="21" t="s">
        <v>8</v>
      </c>
      <c r="B19" s="22">
        <v>129.75</v>
      </c>
      <c r="C19" s="103">
        <v>1561.5</v>
      </c>
      <c r="D19" s="104">
        <v>1561.5</v>
      </c>
      <c r="I19" s="306"/>
      <c r="J19" s="307"/>
      <c r="K19" s="307"/>
      <c r="L19" s="307"/>
      <c r="M19" s="307"/>
      <c r="N19" s="124"/>
      <c r="O19" s="176" t="s">
        <v>226</v>
      </c>
      <c r="P19" s="175">
        <v>0.75</v>
      </c>
      <c r="Q19" s="13"/>
      <c r="R19" s="13"/>
    </row>
    <row r="20" spans="1:18" ht="17">
      <c r="A20" s="21" t="s">
        <v>8</v>
      </c>
      <c r="B20" s="22">
        <v>108.13</v>
      </c>
      <c r="C20" s="103">
        <v>1301.25</v>
      </c>
      <c r="D20" s="104">
        <v>1301.25</v>
      </c>
      <c r="I20" s="306"/>
      <c r="J20" s="307"/>
      <c r="K20" s="307"/>
      <c r="L20" s="307"/>
      <c r="M20" s="307"/>
      <c r="N20" s="124"/>
      <c r="O20" s="176" t="s">
        <v>227</v>
      </c>
      <c r="P20" s="175">
        <v>1</v>
      </c>
    </row>
    <row r="21" spans="1:18" ht="17">
      <c r="A21" s="21" t="s">
        <v>8</v>
      </c>
      <c r="B21" s="22">
        <v>103.8</v>
      </c>
      <c r="C21" s="103">
        <v>1249.2</v>
      </c>
      <c r="D21" s="104">
        <v>1249.2</v>
      </c>
      <c r="I21" s="306"/>
      <c r="J21" s="307"/>
      <c r="K21" s="307"/>
      <c r="L21" s="307"/>
      <c r="M21" s="307"/>
      <c r="N21" s="124"/>
      <c r="O21" s="176" t="s">
        <v>228</v>
      </c>
      <c r="P21" s="175">
        <v>1.25</v>
      </c>
    </row>
    <row r="22" spans="1:18" ht="17">
      <c r="A22" s="21" t="s">
        <v>8</v>
      </c>
      <c r="B22" s="22">
        <v>86.5</v>
      </c>
      <c r="C22" s="103">
        <v>1041.2</v>
      </c>
      <c r="D22" s="104">
        <v>1041.2</v>
      </c>
      <c r="I22" s="306"/>
      <c r="J22" s="307"/>
      <c r="K22" s="307"/>
      <c r="L22" s="307"/>
      <c r="M22" s="307"/>
      <c r="N22" s="124"/>
      <c r="O22" s="176" t="s">
        <v>229</v>
      </c>
      <c r="P22" s="175">
        <v>1.5</v>
      </c>
    </row>
    <row r="23" spans="1:18" ht="17">
      <c r="A23" s="21" t="s">
        <v>8</v>
      </c>
      <c r="B23" s="22">
        <v>69.2</v>
      </c>
      <c r="C23" s="103">
        <v>832.8</v>
      </c>
      <c r="D23" s="104">
        <v>832.8</v>
      </c>
      <c r="I23" s="306"/>
      <c r="J23" s="307"/>
      <c r="K23" s="307"/>
      <c r="L23" s="307"/>
      <c r="M23" s="307"/>
      <c r="N23" s="124"/>
      <c r="O23" s="176" t="s">
        <v>230</v>
      </c>
      <c r="P23" s="175">
        <v>2</v>
      </c>
    </row>
    <row r="24" spans="1:18">
      <c r="A24" s="21" t="s">
        <v>8</v>
      </c>
      <c r="B24" s="22">
        <v>51.9</v>
      </c>
      <c r="C24" s="103">
        <v>624.6</v>
      </c>
      <c r="D24" s="104">
        <v>624.6</v>
      </c>
      <c r="I24" s="306"/>
      <c r="J24" s="307"/>
      <c r="K24" s="307"/>
      <c r="L24" s="307"/>
      <c r="M24" s="307"/>
      <c r="N24" s="124"/>
      <c r="O24" s="124"/>
    </row>
    <row r="25" spans="1:18">
      <c r="A25" s="21" t="s">
        <v>8</v>
      </c>
      <c r="B25" s="22">
        <v>47.58</v>
      </c>
      <c r="C25" s="103">
        <v>575.54999999999995</v>
      </c>
      <c r="D25" s="104">
        <v>575.54999999999995</v>
      </c>
      <c r="I25" s="306"/>
      <c r="J25" s="307"/>
      <c r="K25" s="307"/>
      <c r="L25" s="307"/>
      <c r="M25" s="307"/>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tabSelected="1" workbookViewId="0">
      <pane ySplit="3" topLeftCell="A4" activePane="bottomLeft" state="frozen"/>
      <selection pane="bottomLeft" activeCell="P11" sqref="P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4" t="s">
        <v>320</v>
      </c>
      <c r="B1" s="315"/>
      <c r="C1" s="315"/>
      <c r="D1" s="315"/>
      <c r="E1" s="315"/>
      <c r="F1" s="315"/>
      <c r="G1" s="315"/>
      <c r="H1" s="315"/>
      <c r="I1" s="315"/>
      <c r="J1" s="315"/>
    </row>
    <row r="2" spans="1:10" ht="36" customHeight="1">
      <c r="A2" s="316" t="s">
        <v>336</v>
      </c>
      <c r="B2" s="316"/>
      <c r="C2" s="316"/>
      <c r="D2" s="316"/>
      <c r="E2" s="316"/>
      <c r="F2" s="316"/>
      <c r="G2" s="316"/>
      <c r="H2" s="316"/>
      <c r="I2" s="316"/>
      <c r="J2" s="316"/>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0" t="s">
        <v>341</v>
      </c>
      <c r="B4" s="311"/>
      <c r="C4" s="311"/>
      <c r="D4" s="310"/>
      <c r="E4" s="310"/>
      <c r="F4" s="310"/>
      <c r="G4" s="312"/>
      <c r="H4" s="313"/>
      <c r="I4" s="310"/>
      <c r="J4" s="310"/>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0" t="s">
        <v>344</v>
      </c>
      <c r="B162" s="311"/>
      <c r="C162" s="311"/>
      <c r="D162" s="310"/>
      <c r="E162" s="310"/>
      <c r="F162" s="310"/>
      <c r="G162" s="312"/>
      <c r="H162" s="313"/>
      <c r="I162" s="310"/>
      <c r="J162" s="310"/>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0" t="s">
        <v>345</v>
      </c>
      <c r="B319" s="311"/>
      <c r="C319" s="311"/>
      <c r="D319" s="310"/>
      <c r="E319" s="310"/>
      <c r="F319" s="310"/>
      <c r="G319" s="312"/>
      <c r="H319" s="313"/>
      <c r="I319" s="310"/>
      <c r="J319" s="310"/>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0" t="s">
        <v>346</v>
      </c>
      <c r="B476" s="311"/>
      <c r="C476" s="311"/>
      <c r="D476" s="310"/>
      <c r="E476" s="310"/>
      <c r="F476" s="310"/>
      <c r="G476" s="312"/>
      <c r="H476" s="313"/>
      <c r="I476" s="310"/>
      <c r="J476" s="310"/>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17" t="s">
        <v>25</v>
      </c>
      <c r="C1" s="317"/>
      <c r="D1" s="317"/>
      <c r="E1" s="317"/>
      <c r="F1" s="317"/>
      <c r="G1" s="317"/>
      <c r="H1" s="317"/>
      <c r="I1" s="317"/>
      <c r="J1" s="317"/>
      <c r="K1" s="317"/>
      <c r="L1" s="317"/>
      <c r="M1" s="317"/>
      <c r="N1" s="317"/>
      <c r="O1" s="317"/>
    </row>
    <row r="2" spans="2:15" ht="17.25" customHeight="1">
      <c r="B2" s="317"/>
      <c r="C2" s="317"/>
      <c r="D2" s="317"/>
      <c r="E2" s="317"/>
      <c r="F2" s="317"/>
      <c r="G2" s="317"/>
      <c r="H2" s="317"/>
      <c r="I2" s="317"/>
      <c r="J2" s="317"/>
      <c r="K2" s="317"/>
      <c r="L2" s="317"/>
      <c r="M2" s="317"/>
      <c r="N2" s="317"/>
      <c r="O2" s="317"/>
    </row>
    <row r="3" spans="2:15" ht="18" customHeight="1">
      <c r="B3" s="322" t="s">
        <v>26</v>
      </c>
      <c r="C3" s="322"/>
      <c r="D3" s="322"/>
      <c r="E3" s="322"/>
      <c r="F3" s="322"/>
      <c r="H3" s="319" t="s">
        <v>27</v>
      </c>
      <c r="I3" s="319"/>
      <c r="K3" s="321" t="s">
        <v>28</v>
      </c>
      <c r="L3" s="321"/>
      <c r="N3" s="319" t="s">
        <v>29</v>
      </c>
      <c r="O3" s="319"/>
    </row>
    <row r="4" spans="2:15" ht="15" customHeight="1">
      <c r="B4" s="322"/>
      <c r="C4" s="322"/>
      <c r="D4" s="322"/>
      <c r="E4" s="322"/>
      <c r="F4" s="322"/>
      <c r="H4" s="319"/>
      <c r="I4" s="319"/>
      <c r="K4" s="321"/>
      <c r="L4" s="321"/>
      <c r="N4" s="319"/>
      <c r="O4" s="319"/>
    </row>
    <row r="5" spans="2:15">
      <c r="B5" s="56"/>
      <c r="C5" s="56" t="s">
        <v>30</v>
      </c>
      <c r="D5" s="56" t="s">
        <v>31</v>
      </c>
      <c r="E5" s="56" t="s">
        <v>32</v>
      </c>
      <c r="F5" s="56" t="s">
        <v>33</v>
      </c>
      <c r="H5" s="320" t="s">
        <v>34</v>
      </c>
      <c r="I5" s="320"/>
      <c r="K5" s="320" t="s">
        <v>34</v>
      </c>
      <c r="L5" s="320"/>
      <c r="N5" s="320" t="s">
        <v>35</v>
      </c>
      <c r="O5" s="320"/>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18" t="s">
        <v>49</v>
      </c>
      <c r="C19" s="318"/>
      <c r="D19" s="318"/>
      <c r="E19" s="318"/>
      <c r="F19" s="318"/>
      <c r="H19" s="319" t="s">
        <v>50</v>
      </c>
      <c r="I19" s="319"/>
      <c r="K19" s="321" t="s">
        <v>51</v>
      </c>
      <c r="L19" s="321"/>
      <c r="N19" s="323" t="s">
        <v>203</v>
      </c>
      <c r="O19" s="323"/>
      <c r="P19" s="323"/>
      <c r="Q19" s="323"/>
      <c r="R19" s="323"/>
      <c r="S19" s="323"/>
      <c r="T19" s="323"/>
      <c r="U19" s="323"/>
    </row>
    <row r="20" spans="2:21">
      <c r="B20" s="318"/>
      <c r="C20" s="318"/>
      <c r="D20" s="318"/>
      <c r="E20" s="318"/>
      <c r="F20" s="318"/>
      <c r="H20" s="319"/>
      <c r="I20" s="319"/>
      <c r="K20" s="321"/>
      <c r="L20" s="321"/>
      <c r="N20" s="323"/>
      <c r="O20" s="323"/>
      <c r="P20" s="323"/>
      <c r="Q20" s="323"/>
      <c r="R20" s="323"/>
      <c r="S20" s="323"/>
      <c r="T20" s="323"/>
      <c r="U20" s="323"/>
    </row>
    <row r="21" spans="2:21">
      <c r="B21" s="56"/>
      <c r="C21" s="56" t="s">
        <v>30</v>
      </c>
      <c r="D21" s="56" t="s">
        <v>31</v>
      </c>
      <c r="E21" s="56" t="s">
        <v>32</v>
      </c>
      <c r="F21" s="56" t="s">
        <v>33</v>
      </c>
      <c r="H21" s="320" t="s">
        <v>34</v>
      </c>
      <c r="I21" s="320"/>
      <c r="K21" s="320" t="s">
        <v>34</v>
      </c>
      <c r="L21" s="320"/>
      <c r="N21" s="323"/>
      <c r="O21" s="323"/>
      <c r="P21" s="323"/>
      <c r="Q21" s="323"/>
      <c r="R21" s="323"/>
      <c r="S21" s="323"/>
      <c r="T21" s="323"/>
      <c r="U21" s="323"/>
    </row>
    <row r="22" spans="2:21">
      <c r="B22" s="57" t="s">
        <v>36</v>
      </c>
      <c r="C22" s="3">
        <v>1</v>
      </c>
      <c r="D22" s="87">
        <f>UBERSICHT!G7</f>
        <v>0</v>
      </c>
      <c r="E22" s="58">
        <f>Januar!$S$37</f>
        <v>0</v>
      </c>
      <c r="F22" s="50">
        <v>1</v>
      </c>
      <c r="H22" s="59" t="s">
        <v>36</v>
      </c>
      <c r="I22" s="51">
        <v>1</v>
      </c>
      <c r="K22" s="59" t="s">
        <v>36</v>
      </c>
      <c r="L22" s="51">
        <v>1</v>
      </c>
      <c r="N22" s="323"/>
      <c r="O22" s="323"/>
      <c r="P22" s="323"/>
      <c r="Q22" s="323"/>
      <c r="R22" s="323"/>
      <c r="S22" s="323"/>
      <c r="T22" s="323"/>
      <c r="U22" s="323"/>
    </row>
    <row r="23" spans="2:21">
      <c r="B23" s="57" t="s">
        <v>37</v>
      </c>
      <c r="C23" s="3">
        <v>2</v>
      </c>
      <c r="D23" s="87">
        <f>UBERSICHT!G8</f>
        <v>0</v>
      </c>
      <c r="E23" s="58">
        <f>Februar!$S$37</f>
        <v>0</v>
      </c>
      <c r="F23" s="50">
        <v>2</v>
      </c>
      <c r="H23" s="59" t="s">
        <v>38</v>
      </c>
      <c r="I23" s="51">
        <v>2</v>
      </c>
      <c r="K23" s="59" t="s">
        <v>38</v>
      </c>
      <c r="L23" s="51">
        <v>2</v>
      </c>
      <c r="N23" s="323"/>
      <c r="O23" s="323"/>
      <c r="P23" s="323"/>
      <c r="Q23" s="323"/>
      <c r="R23" s="323"/>
      <c r="S23" s="323"/>
      <c r="T23" s="323"/>
      <c r="U23" s="323"/>
    </row>
    <row r="24" spans="2:21">
      <c r="B24" s="57" t="s">
        <v>39</v>
      </c>
      <c r="C24" s="3">
        <v>3</v>
      </c>
      <c r="D24" s="87">
        <f>UBERSICHT!G9</f>
        <v>109299.0058</v>
      </c>
      <c r="E24" s="58">
        <f>Marz!$S$37</f>
        <v>36433.001933333333</v>
      </c>
      <c r="F24" s="50">
        <v>3</v>
      </c>
      <c r="H24" s="59" t="s">
        <v>39</v>
      </c>
      <c r="I24" s="51">
        <v>3</v>
      </c>
      <c r="K24" s="59" t="s">
        <v>39</v>
      </c>
      <c r="L24" s="51">
        <v>3</v>
      </c>
      <c r="N24" s="323"/>
      <c r="O24" s="323"/>
      <c r="P24" s="323"/>
      <c r="Q24" s="323"/>
      <c r="R24" s="323"/>
      <c r="S24" s="323"/>
      <c r="T24" s="323"/>
      <c r="U24" s="323"/>
    </row>
    <row r="25" spans="2:21">
      <c r="B25" s="57" t="s">
        <v>40</v>
      </c>
      <c r="C25" s="3">
        <v>4</v>
      </c>
      <c r="D25" s="87">
        <f>UBERSICHT!G11</f>
        <v>109964.98</v>
      </c>
      <c r="E25" s="58">
        <f>April!$S$37</f>
        <v>27491.244999999999</v>
      </c>
      <c r="F25" s="50">
        <v>4</v>
      </c>
      <c r="H25" s="59" t="s">
        <v>40</v>
      </c>
      <c r="I25" s="51">
        <v>4</v>
      </c>
      <c r="K25" s="59" t="s">
        <v>40</v>
      </c>
      <c r="L25" s="51">
        <v>4</v>
      </c>
      <c r="N25" s="323"/>
      <c r="O25" s="323"/>
      <c r="P25" s="323"/>
      <c r="Q25" s="323"/>
      <c r="R25" s="323"/>
      <c r="S25" s="323"/>
      <c r="T25" s="323"/>
      <c r="U25" s="323"/>
    </row>
    <row r="26" spans="2:21">
      <c r="B26" s="57" t="s">
        <v>41</v>
      </c>
      <c r="C26" s="3">
        <v>5</v>
      </c>
      <c r="D26" s="87">
        <f>UBERSICHT!G12</f>
        <v>152364.03709999999</v>
      </c>
      <c r="E26" s="58">
        <f>Mai!$S$37</f>
        <v>30472.807419999997</v>
      </c>
      <c r="F26" s="50">
        <v>5</v>
      </c>
      <c r="H26" s="59" t="s">
        <v>41</v>
      </c>
      <c r="I26" s="51">
        <v>5</v>
      </c>
      <c r="K26" s="59" t="s">
        <v>41</v>
      </c>
      <c r="L26" s="51">
        <v>5</v>
      </c>
      <c r="M26" s="77"/>
      <c r="N26" s="323"/>
      <c r="O26" s="323"/>
      <c r="P26" s="323"/>
      <c r="Q26" s="323"/>
      <c r="R26" s="323"/>
      <c r="S26" s="323"/>
      <c r="T26" s="323"/>
      <c r="U26" s="323"/>
    </row>
    <row r="27" spans="2:21">
      <c r="B27" s="57" t="s">
        <v>42</v>
      </c>
      <c r="C27" s="3">
        <v>6</v>
      </c>
      <c r="D27" s="87">
        <f>UBERSICHT!G13</f>
        <v>150391.65</v>
      </c>
      <c r="E27" s="58">
        <f>Juni!$S$37</f>
        <v>25065.274999999998</v>
      </c>
      <c r="F27" s="50">
        <v>6</v>
      </c>
      <c r="H27" s="59" t="s">
        <v>42</v>
      </c>
      <c r="I27" s="51">
        <v>6</v>
      </c>
      <c r="K27" s="59" t="s">
        <v>42</v>
      </c>
      <c r="L27" s="51">
        <v>6</v>
      </c>
      <c r="M27" s="77"/>
      <c r="N27" s="323"/>
      <c r="O27" s="323"/>
      <c r="P27" s="323"/>
      <c r="Q27" s="323"/>
      <c r="R27" s="323"/>
      <c r="S27" s="323"/>
      <c r="T27" s="323"/>
      <c r="U27" s="323"/>
    </row>
    <row r="28" spans="2:21">
      <c r="B28" s="57" t="s">
        <v>43</v>
      </c>
      <c r="C28" s="3">
        <v>7</v>
      </c>
      <c r="D28" s="87">
        <f>UBERSICHT!G15</f>
        <v>149317.65</v>
      </c>
      <c r="E28" s="58">
        <f>Juli!$S$37</f>
        <v>21331.092857142856</v>
      </c>
      <c r="F28" s="50">
        <v>7</v>
      </c>
      <c r="H28" s="59" t="s">
        <v>43</v>
      </c>
      <c r="I28" s="51">
        <v>7</v>
      </c>
      <c r="K28" s="59" t="s">
        <v>43</v>
      </c>
      <c r="L28" s="51">
        <v>7</v>
      </c>
      <c r="M28" s="77"/>
      <c r="N28" s="323"/>
      <c r="O28" s="323"/>
      <c r="P28" s="323"/>
      <c r="Q28" s="323"/>
      <c r="R28" s="323"/>
      <c r="S28" s="323"/>
      <c r="T28" s="323"/>
      <c r="U28" s="323"/>
    </row>
    <row r="29" spans="2:21">
      <c r="B29" s="57" t="s">
        <v>44</v>
      </c>
      <c r="C29" s="3">
        <v>8</v>
      </c>
      <c r="D29" s="87">
        <f>UBERSICHT!G16</f>
        <v>148797.10159999999</v>
      </c>
      <c r="E29" s="58">
        <f>August!$S$37</f>
        <v>18599.637699999999</v>
      </c>
      <c r="F29" s="50">
        <v>8</v>
      </c>
      <c r="H29" s="59" t="s">
        <v>44</v>
      </c>
      <c r="I29" s="51">
        <v>8</v>
      </c>
      <c r="K29" s="59" t="s">
        <v>44</v>
      </c>
      <c r="L29" s="51">
        <v>8</v>
      </c>
      <c r="M29" s="77"/>
      <c r="N29" s="323"/>
      <c r="O29" s="323"/>
      <c r="P29" s="323"/>
      <c r="Q29" s="323"/>
      <c r="R29" s="323"/>
      <c r="S29" s="323"/>
      <c r="T29" s="323"/>
      <c r="U29" s="323"/>
    </row>
    <row r="30" spans="2:21">
      <c r="B30" s="57" t="s">
        <v>45</v>
      </c>
      <c r="C30" s="3">
        <v>9</v>
      </c>
      <c r="D30" s="87">
        <f>UBERSICHT!G17</f>
        <v>151793.4</v>
      </c>
      <c r="E30" s="58">
        <f>September!$S$37</f>
        <v>16865.933333333334</v>
      </c>
      <c r="F30" s="50">
        <v>9</v>
      </c>
      <c r="H30" s="59" t="s">
        <v>45</v>
      </c>
      <c r="I30" s="51">
        <v>9</v>
      </c>
      <c r="K30" s="59" t="s">
        <v>45</v>
      </c>
      <c r="L30" s="51">
        <v>9</v>
      </c>
      <c r="N30" s="323"/>
      <c r="O30" s="323"/>
      <c r="P30" s="323"/>
      <c r="Q30" s="323"/>
      <c r="R30" s="323"/>
      <c r="S30" s="323"/>
      <c r="T30" s="323"/>
      <c r="U30" s="323"/>
    </row>
    <row r="31" spans="2:21">
      <c r="B31" s="57" t="s">
        <v>46</v>
      </c>
      <c r="C31" s="3">
        <v>10</v>
      </c>
      <c r="D31" s="87">
        <f>UBERSICHT!G19</f>
        <v>151794.4</v>
      </c>
      <c r="E31" s="58">
        <f>Oktober!$S$37</f>
        <v>15179.439999999999</v>
      </c>
      <c r="F31" s="50">
        <v>10</v>
      </c>
      <c r="H31" s="59" t="s">
        <v>46</v>
      </c>
      <c r="I31" s="51">
        <v>10</v>
      </c>
      <c r="K31" s="59" t="s">
        <v>46</v>
      </c>
      <c r="L31" s="51">
        <v>10</v>
      </c>
      <c r="N31" s="323"/>
      <c r="O31" s="323"/>
      <c r="P31" s="323"/>
      <c r="Q31" s="323"/>
      <c r="R31" s="323"/>
      <c r="S31" s="323"/>
      <c r="T31" s="323"/>
      <c r="U31" s="323"/>
    </row>
    <row r="32" spans="2:21">
      <c r="B32" s="57" t="s">
        <v>47</v>
      </c>
      <c r="C32" s="3">
        <v>11</v>
      </c>
      <c r="D32" s="87">
        <f>UBERSICHT!G20</f>
        <v>151795.4</v>
      </c>
      <c r="E32" s="58">
        <f>November!$S$37</f>
        <v>13799.581818181818</v>
      </c>
      <c r="F32" s="50">
        <v>11</v>
      </c>
      <c r="H32" s="59" t="s">
        <v>47</v>
      </c>
      <c r="I32" s="51">
        <v>11</v>
      </c>
      <c r="K32" s="59" t="s">
        <v>47</v>
      </c>
      <c r="L32" s="51">
        <v>11</v>
      </c>
      <c r="N32" s="323"/>
      <c r="O32" s="323"/>
      <c r="P32" s="323"/>
      <c r="Q32" s="323"/>
      <c r="R32" s="323"/>
      <c r="S32" s="323"/>
      <c r="T32" s="323"/>
      <c r="U32" s="323"/>
    </row>
    <row r="33" spans="2:21">
      <c r="B33" s="57" t="s">
        <v>48</v>
      </c>
      <c r="C33" s="3">
        <v>12</v>
      </c>
      <c r="D33" s="87">
        <f>UBERSICHT!G21</f>
        <v>151796.4</v>
      </c>
      <c r="E33" s="58">
        <f>Dezember!$S$37</f>
        <v>12649.699999999999</v>
      </c>
      <c r="F33" s="50">
        <v>12</v>
      </c>
      <c r="H33" s="59" t="s">
        <v>48</v>
      </c>
      <c r="I33" s="51">
        <v>12</v>
      </c>
      <c r="K33" s="59" t="s">
        <v>48</v>
      </c>
      <c r="L33" s="51">
        <v>12</v>
      </c>
      <c r="N33" s="323"/>
      <c r="O33" s="323"/>
      <c r="P33" s="323"/>
      <c r="Q33" s="323"/>
      <c r="R33" s="323"/>
      <c r="S33" s="323"/>
      <c r="T33" s="323"/>
      <c r="U33" s="323"/>
    </row>
    <row r="34" spans="2:21">
      <c r="N34" s="323"/>
      <c r="O34" s="323"/>
      <c r="P34" s="323"/>
      <c r="Q34" s="323"/>
      <c r="R34" s="323"/>
      <c r="S34" s="323"/>
      <c r="T34" s="323"/>
      <c r="U34" s="323"/>
    </row>
    <row r="35" spans="2:21" ht="14.5" customHeight="1">
      <c r="B35" s="309" t="s">
        <v>204</v>
      </c>
      <c r="C35" s="309"/>
      <c r="D35" s="309"/>
      <c r="E35" s="126"/>
      <c r="N35" s="323"/>
      <c r="O35" s="323"/>
      <c r="P35" s="323"/>
      <c r="Q35" s="323"/>
      <c r="R35" s="323"/>
      <c r="S35" s="323"/>
      <c r="T35" s="323"/>
      <c r="U35" s="323"/>
    </row>
    <row r="36" spans="2:21">
      <c r="B36" s="309"/>
      <c r="C36" s="309"/>
      <c r="D36" s="309"/>
      <c r="N36" s="323"/>
      <c r="O36" s="323"/>
      <c r="P36" s="323"/>
      <c r="Q36" s="323"/>
      <c r="R36" s="323"/>
      <c r="S36" s="323"/>
      <c r="T36" s="323"/>
      <c r="U36" s="323"/>
    </row>
    <row r="37" spans="2:21">
      <c r="N37" s="323"/>
      <c r="O37" s="323"/>
      <c r="P37" s="323"/>
      <c r="Q37" s="323"/>
      <c r="R37" s="323"/>
      <c r="S37" s="323"/>
      <c r="T37" s="323"/>
      <c r="U37" s="323"/>
    </row>
    <row r="38" spans="2:21">
      <c r="N38" s="323"/>
      <c r="O38" s="323"/>
      <c r="P38" s="323"/>
      <c r="Q38" s="323"/>
      <c r="R38" s="323"/>
      <c r="S38" s="323"/>
      <c r="T38" s="323"/>
      <c r="U38" s="323"/>
    </row>
    <row r="39" spans="2:21">
      <c r="N39" s="323"/>
      <c r="O39" s="323"/>
      <c r="P39" s="323"/>
      <c r="Q39" s="323"/>
      <c r="R39" s="323"/>
      <c r="S39" s="323"/>
      <c r="T39" s="323"/>
      <c r="U39" s="323"/>
    </row>
    <row r="40" spans="2:21">
      <c r="N40" s="323"/>
      <c r="O40" s="323"/>
      <c r="P40" s="323"/>
      <c r="Q40" s="323"/>
      <c r="R40" s="323"/>
      <c r="S40" s="323"/>
      <c r="T40" s="323"/>
      <c r="U40" s="323"/>
    </row>
    <row r="41" spans="2:21">
      <c r="N41" s="323"/>
      <c r="O41" s="323"/>
      <c r="P41" s="323"/>
      <c r="Q41" s="323"/>
      <c r="R41" s="323"/>
      <c r="S41" s="323"/>
      <c r="T41" s="323"/>
      <c r="U41" s="323"/>
    </row>
    <row r="42" spans="2:21">
      <c r="N42" s="323"/>
      <c r="O42" s="323"/>
      <c r="P42" s="323"/>
      <c r="Q42" s="323"/>
      <c r="R42" s="323"/>
      <c r="S42" s="323"/>
      <c r="T42" s="323"/>
      <c r="U42" s="323"/>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46023</v>
      </c>
    </row>
    <row r="2" spans="1:28" ht="16" customHeight="1" thickBot="1">
      <c r="A2" s="129"/>
      <c r="B2" s="234"/>
      <c r="C2" s="243"/>
      <c r="D2" s="245"/>
      <c r="E2" s="245"/>
      <c r="F2" s="245"/>
      <c r="G2" s="247"/>
      <c r="H2" s="238"/>
      <c r="I2" s="213"/>
      <c r="J2" s="215"/>
      <c r="K2" s="217"/>
      <c r="L2" s="219"/>
      <c r="M2" s="221"/>
      <c r="N2" s="235"/>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6" t="s">
        <v>61</v>
      </c>
      <c r="P3" s="226" t="s">
        <v>62</v>
      </c>
      <c r="Q3" s="228" t="s">
        <v>63</v>
      </c>
      <c r="R3" s="239"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7"/>
      <c r="P4" s="227"/>
      <c r="Q4" s="229"/>
      <c r="R4" s="240"/>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7494.8</v>
      </c>
      <c r="R8" s="32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EINSTELLUNG!L22</f>
        <v>1</v>
      </c>
      <c r="R9" s="32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1" t="s">
        <v>74</v>
      </c>
      <c r="P10" s="328"/>
      <c r="Q10" s="329">
        <f>EINSTELLUNG!I22</f>
        <v>1</v>
      </c>
      <c r="R10" s="32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1</v>
      </c>
      <c r="R11" s="32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78</v>
      </c>
      <c r="P12" s="328"/>
      <c r="Q12" s="350"/>
      <c r="R12" s="350"/>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31" t="s">
        <v>80</v>
      </c>
      <c r="P13" s="328"/>
      <c r="Q13" s="329">
        <f>Q8-Q9-Q10-Q11-Q12</f>
        <v>7491.8</v>
      </c>
      <c r="R13" s="32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31" t="s">
        <v>82</v>
      </c>
      <c r="P14" s="328"/>
      <c r="Q14" s="329">
        <f>EINSTELLUNG!L6</f>
        <v>1</v>
      </c>
      <c r="R14" s="32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31" t="s">
        <v>84</v>
      </c>
      <c r="P15" s="328"/>
      <c r="Q15" s="329">
        <f>Q13-Q14</f>
        <v>7490.8</v>
      </c>
      <c r="R15" s="32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56" t="str">
        <f>IF(Q15&lt;0, "Schlecht! Zu wenig Stunden für Dienstplan.", IF(Q15&gt;0, "Du hast mehr als genug Stunden für Dienstplan.", ""))</f>
        <v>Du hast mehr als genug Stunden für Dienstplan.</v>
      </c>
      <c r="P16" s="356"/>
      <c r="Q16" s="356"/>
      <c r="R16" s="356"/>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7" t="s">
        <v>87</v>
      </c>
      <c r="P17" s="357"/>
      <c r="Q17" s="351">
        <f>SUM(L3:L82)</f>
        <v>90106.82881720431</v>
      </c>
      <c r="R17" s="351"/>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79"/>
      <c r="P18" s="336"/>
      <c r="Q18" s="337"/>
      <c r="R18" s="337"/>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9"/>
      <c r="P19" s="336"/>
      <c r="Q19" s="337"/>
      <c r="R19" s="337"/>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79"/>
      <c r="P20" s="336"/>
      <c r="Q20" s="337"/>
      <c r="R20" s="337"/>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79" t="s">
        <v>369</v>
      </c>
      <c r="P21" s="336"/>
      <c r="Q21" s="337">
        <v>5000</v>
      </c>
      <c r="R21" s="337"/>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79"/>
      <c r="P22" s="336"/>
      <c r="Q22" s="337"/>
      <c r="R22" s="337"/>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79"/>
      <c r="P23" s="336"/>
      <c r="Q23" s="337"/>
      <c r="R23" s="337"/>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79"/>
      <c r="P24" s="336"/>
      <c r="Q24" s="337"/>
      <c r="R24" s="337"/>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2"/>
      <c r="P25" s="343"/>
      <c r="Q25" s="333"/>
      <c r="R25" s="333"/>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3"/>
      <c r="P26" s="344"/>
      <c r="Q26" s="334"/>
      <c r="R26" s="33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79"/>
      <c r="P27" s="336"/>
      <c r="Q27" s="337"/>
      <c r="R27" s="338"/>
      <c r="S27" s="264" t="s">
        <v>99</v>
      </c>
      <c r="T27" s="265"/>
      <c r="U27" s="265"/>
      <c r="V27" s="265"/>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3"/>
      <c r="P28" s="339"/>
      <c r="Q28" s="340"/>
      <c r="R28" s="341"/>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7" t="s">
        <v>102</v>
      </c>
      <c r="P29" s="330"/>
      <c r="Q29" s="331">
        <f>EINSTELLUNG!O6</f>
        <v>1</v>
      </c>
      <c r="R29" s="332"/>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345"/>
      <c r="Q31" s="346">
        <v>1.9607843137254902E-2</v>
      </c>
      <c r="R31" s="347"/>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8"/>
      <c r="P33" s="349"/>
      <c r="Q33" s="274" t="s">
        <v>108</v>
      </c>
      <c r="R33" s="275"/>
      <c r="S33" s="296" t="s">
        <v>109</v>
      </c>
      <c r="T33" s="297"/>
      <c r="U33" s="296" t="s">
        <v>110</v>
      </c>
      <c r="V33" s="297"/>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8"/>
      <c r="P34" s="349"/>
      <c r="Q34" s="276"/>
      <c r="R34" s="277"/>
      <c r="S34" s="298"/>
      <c r="T34" s="299"/>
      <c r="U34" s="298"/>
      <c r="V34" s="299"/>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09" t="s">
        <v>113</v>
      </c>
      <c r="P35" s="290"/>
      <c r="Q35" s="292">
        <f>EINSTELLUNG!C6</f>
        <v>1</v>
      </c>
      <c r="R35" s="292"/>
      <c r="S35" s="292">
        <f>EINSTELLUNG!C22</f>
        <v>1</v>
      </c>
      <c r="T35" s="292"/>
      <c r="U35" s="293">
        <f>S35-Q35</f>
        <v>0</v>
      </c>
      <c r="V35" s="293"/>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09" t="s">
        <v>115</v>
      </c>
      <c r="P36" s="290"/>
      <c r="Q36" s="292">
        <f>EINSTELLUNG!D6</f>
        <v>1</v>
      </c>
      <c r="R36" s="292"/>
      <c r="S36" s="292" cm="1">
        <f t="array" ref="S36">SumMergedCells(Q17:R29)</f>
        <v>0</v>
      </c>
      <c r="T36" s="292"/>
      <c r="U36" s="293">
        <f t="shared" ref="U36:U41" si="2">S36-Q36</f>
        <v>-1</v>
      </c>
      <c r="V36" s="293"/>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09" t="s">
        <v>117</v>
      </c>
      <c r="P37" s="290"/>
      <c r="Q37" s="352">
        <f>IF(ISERROR(Q36/Q35), 0, Q36/Q35)</f>
        <v>1</v>
      </c>
      <c r="R37" s="352"/>
      <c r="S37" s="352">
        <f>IF(ISERROR(S36/S35), 0, S36/S35)</f>
        <v>0</v>
      </c>
      <c r="T37" s="352"/>
      <c r="U37" s="300">
        <f t="shared" si="2"/>
        <v>-1</v>
      </c>
      <c r="V37" s="300"/>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09" t="s">
        <v>119</v>
      </c>
      <c r="P38" s="290"/>
      <c r="Q38" s="294">
        <f>EINSTELLUNG!F6</f>
        <v>1</v>
      </c>
      <c r="R38" s="294"/>
      <c r="S38" s="294">
        <f>EINSTELLUNG!F22</f>
        <v>1</v>
      </c>
      <c r="T38" s="294"/>
      <c r="U38" s="295">
        <f t="shared" si="2"/>
        <v>0</v>
      </c>
      <c r="V38" s="295"/>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2"/>
        <v>0</v>
      </c>
      <c r="V39" s="293"/>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IF(Q13=0, 0, Q35/Q13)</f>
        <v>1.3347927066926506E-4</v>
      </c>
      <c r="R40" s="292"/>
      <c r="S40" s="292">
        <f>IF(Q13=0, 0, S35/Q13)</f>
        <v>1.3347927066926506E-4</v>
      </c>
      <c r="T40" s="292"/>
      <c r="U40" s="293">
        <f t="shared" si="2"/>
        <v>0</v>
      </c>
      <c r="V40" s="293"/>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IF(Q13=0, 0, Q38/Q13)</f>
        <v>1.3347927066926506E-4</v>
      </c>
      <c r="R41" s="294"/>
      <c r="S41" s="294">
        <f>IF(Q13=0, 0, S38/Q13)</f>
        <v>1.3347927066926506E-4</v>
      </c>
      <c r="T41" s="294"/>
      <c r="U41" s="295">
        <f t="shared" si="2"/>
        <v>0</v>
      </c>
      <c r="V41" s="295"/>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12.022579497412114</v>
      </c>
      <c r="R42" s="291"/>
      <c r="S42" s="291"/>
      <c r="T42" s="291"/>
      <c r="U42" s="291"/>
      <c r="V42" s="211"/>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24"/>
      <c r="L114" s="324"/>
      <c r="M114" s="324"/>
      <c r="N114" s="127"/>
    </row>
    <row r="115" spans="11:14" ht="16" customHeight="1">
      <c r="K115" s="324"/>
      <c r="L115" s="324"/>
      <c r="M115" s="324"/>
      <c r="N115" s="127"/>
    </row>
    <row r="116" spans="11:14" ht="16" customHeight="1">
      <c r="K116" s="325"/>
      <c r="L116" s="325"/>
      <c r="M116" s="78"/>
      <c r="N116" s="78"/>
    </row>
    <row r="117" spans="11:14" ht="16" customHeight="1">
      <c r="K117" s="325"/>
      <c r="L117" s="325"/>
      <c r="M117" s="78"/>
      <c r="N117" s="78"/>
    </row>
    <row r="118" spans="11:14" ht="16" customHeight="1">
      <c r="K118" s="326"/>
      <c r="L118" s="326"/>
      <c r="M118" s="79"/>
      <c r="N118" s="79"/>
    </row>
    <row r="119" spans="11:14" ht="16" customHeight="1">
      <c r="K119" s="327"/>
      <c r="L119" s="327"/>
      <c r="M119" s="80"/>
      <c r="N119" s="80"/>
    </row>
    <row r="120" spans="11:14" ht="16" customHeight="1">
      <c r="K120" s="325"/>
      <c r="L120" s="325"/>
      <c r="M120" s="78"/>
      <c r="N120" s="78"/>
    </row>
    <row r="121" spans="11:14" ht="16" customHeight="1">
      <c r="K121" s="325"/>
      <c r="L121" s="325"/>
      <c r="M121" s="78"/>
      <c r="N121" s="78"/>
    </row>
    <row r="122" spans="11:14" ht="16" customHeight="1">
      <c r="K122" s="327"/>
      <c r="L122" s="327"/>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46054</v>
      </c>
    </row>
    <row r="2" spans="1:28" ht="16" customHeight="1" thickBot="1">
      <c r="A2" s="129"/>
      <c r="B2" s="234"/>
      <c r="C2" s="243"/>
      <c r="D2" s="245"/>
      <c r="E2" s="245"/>
      <c r="F2" s="245"/>
      <c r="G2" s="247"/>
      <c r="H2" s="238"/>
      <c r="I2" s="213"/>
      <c r="J2" s="215"/>
      <c r="K2" s="217"/>
      <c r="L2" s="219"/>
      <c r="M2" s="221"/>
      <c r="N2" s="235"/>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6" t="s">
        <v>61</v>
      </c>
      <c r="P3" s="226" t="s">
        <v>62</v>
      </c>
      <c r="Q3" s="228" t="s">
        <v>63</v>
      </c>
      <c r="R3" s="239"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7"/>
      <c r="P4" s="227"/>
      <c r="Q4" s="229"/>
      <c r="R4" s="240"/>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825.97482420928964</v>
      </c>
      <c r="P5" s="49">
        <f>EINSTELLUNG!I7</f>
        <v>2</v>
      </c>
      <c r="Q5" s="48">
        <f>P5-O5</f>
        <v>-823.97482420928964</v>
      </c>
      <c r="R5" s="52">
        <f>IFERROR(Q5*Q42, 0)</f>
        <v>-9968.3550406959002</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1" t="str">
        <f>IF(Q5&lt;0, "Schlecht! Zu wenig Urlaub abgebaut.", IF(Q5&gt;0, "Gut! Mehr Urlaub abgebaut als aufgebaut.", ""))</f>
        <v>Schlecht! Zu wenig Urlaub abgebaut.</v>
      </c>
      <c r="P6" s="241"/>
      <c r="Q6" s="241"/>
      <c r="R6" s="241"/>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0" t="s">
        <v>70</v>
      </c>
      <c r="P8" s="231"/>
      <c r="Q8" s="232">
        <f>SUM(H3:H82)</f>
        <v>8559.1799999999985</v>
      </c>
      <c r="R8" s="233"/>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0" t="s">
        <v>72</v>
      </c>
      <c r="P9" s="231"/>
      <c r="Q9" s="232">
        <f>EINSTELLUNG!L23</f>
        <v>2</v>
      </c>
      <c r="R9" s="233"/>
      <c r="S9" s="53">
        <f>IFERROR(Q9/Q8, 0)</f>
        <v>2.3366724382475895E-4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0" t="s">
        <v>74</v>
      </c>
      <c r="P10" s="231"/>
      <c r="Q10" s="232">
        <f>EINSTELLUNG!I23</f>
        <v>2</v>
      </c>
      <c r="R10" s="233"/>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0" t="s">
        <v>76</v>
      </c>
      <c r="P11" s="231"/>
      <c r="Q11" s="232">
        <f>P5</f>
        <v>2</v>
      </c>
      <c r="R11" s="233"/>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0" t="s">
        <v>80</v>
      </c>
      <c r="P12" s="231"/>
      <c r="Q12" s="232">
        <f>Q8-Q9-Q10-Q11</f>
        <v>8553.1799999999985</v>
      </c>
      <c r="R12" s="233"/>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0" t="s">
        <v>82</v>
      </c>
      <c r="P13" s="231"/>
      <c r="Q13" s="232">
        <f>EINSTELLUNG!L7</f>
        <v>2</v>
      </c>
      <c r="R13" s="233"/>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0" t="s">
        <v>84</v>
      </c>
      <c r="P14" s="231"/>
      <c r="Q14" s="232">
        <f>Q12-Q13</f>
        <v>8551.1799999999985</v>
      </c>
      <c r="R14" s="233"/>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6" t="str">
        <f>IF(Q14&lt;0, "Schlecht! Zu wenig Stunden für Dienstplan.", IF(Q14&gt;0, "Du hast mehr als genug Stunden für Dienstplan.", ""))</f>
        <v>Du hast mehr als genug Stunden für Dienstplan.</v>
      </c>
      <c r="P15" s="236"/>
      <c r="Q15" s="236"/>
      <c r="R15" s="236"/>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6" t="s">
        <v>87</v>
      </c>
      <c r="P17" s="257"/>
      <c r="Q17" s="258">
        <f>SUM(L3:L82)</f>
        <v>103548</v>
      </c>
      <c r="R17" s="259"/>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60"/>
      <c r="P18" s="261"/>
      <c r="Q18" s="262"/>
      <c r="R18" s="263"/>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62"/>
      <c r="R19" s="263"/>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60"/>
      <c r="P20" s="261"/>
      <c r="Q20" s="262"/>
      <c r="R20" s="263"/>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60" t="s">
        <v>369</v>
      </c>
      <c r="P21" s="261"/>
      <c r="Q21" s="262">
        <v>5000</v>
      </c>
      <c r="R21" s="263"/>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60"/>
      <c r="P22" s="261"/>
      <c r="Q22" s="262"/>
      <c r="R22" s="263"/>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62"/>
      <c r="R23" s="263"/>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62"/>
      <c r="R24" s="263"/>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48"/>
      <c r="P25" s="249"/>
      <c r="Q25" s="250"/>
      <c r="R25" s="251"/>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2"/>
      <c r="P26" s="253"/>
      <c r="Q26" s="254"/>
      <c r="R26" s="255"/>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8"/>
      <c r="P27" s="279"/>
      <c r="Q27" s="280"/>
      <c r="R27" s="281"/>
      <c r="S27" s="264" t="s">
        <v>99</v>
      </c>
      <c r="T27" s="265"/>
      <c r="U27" s="265"/>
      <c r="V27" s="265"/>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2"/>
      <c r="P28" s="283"/>
      <c r="Q28" s="284"/>
      <c r="R28" s="285"/>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6" t="s">
        <v>102</v>
      </c>
      <c r="P29" s="287"/>
      <c r="Q29" s="288">
        <f>EINSTELLUNG!O7</f>
        <v>2</v>
      </c>
      <c r="R29" s="289"/>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6">
        <v>0</v>
      </c>
      <c r="P31" s="267"/>
      <c r="Q31" s="268">
        <v>0</v>
      </c>
      <c r="R31" s="26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0"/>
      <c r="P33" s="271"/>
      <c r="Q33" s="274" t="s">
        <v>108</v>
      </c>
      <c r="R33" s="275"/>
      <c r="S33" s="296" t="s">
        <v>109</v>
      </c>
      <c r="T33" s="297"/>
      <c r="U33" s="296" t="s">
        <v>110</v>
      </c>
      <c r="V33" s="297"/>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2"/>
      <c r="P34" s="273"/>
      <c r="Q34" s="276"/>
      <c r="R34" s="277"/>
      <c r="S34" s="298"/>
      <c r="T34" s="299"/>
      <c r="U34" s="298"/>
      <c r="V34" s="299"/>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08" t="s">
        <v>113</v>
      </c>
      <c r="P35" s="209"/>
      <c r="Q35" s="210">
        <f>EINSTELLUNG!C7</f>
        <v>2</v>
      </c>
      <c r="R35" s="211"/>
      <c r="S35" s="210">
        <f>EINSTELLUNG!C23</f>
        <v>2</v>
      </c>
      <c r="T35" s="211"/>
      <c r="U35" s="293">
        <f>S35-Q35</f>
        <v>0</v>
      </c>
      <c r="V35" s="293"/>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08" t="s">
        <v>115</v>
      </c>
      <c r="P36" s="209"/>
      <c r="Q36" s="210">
        <f>EINSTELLUNG!D7</f>
        <v>2</v>
      </c>
      <c r="R36" s="211"/>
      <c r="S36" s="292" cm="1">
        <f t="array" ref="S36">SumMergedCells(Q17:R29)</f>
        <v>0</v>
      </c>
      <c r="T36" s="292"/>
      <c r="U36" s="293">
        <f t="shared" ref="U36:U41" si="2">S36-Q36</f>
        <v>-2</v>
      </c>
      <c r="V36" s="293"/>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08" t="s">
        <v>117</v>
      </c>
      <c r="P37" s="209"/>
      <c r="Q37" s="222">
        <f>IF(ISERROR(Q36/Q35), 0, Q36/Q35)</f>
        <v>1</v>
      </c>
      <c r="R37" s="223"/>
      <c r="S37" s="222">
        <f>IF(ISERROR(S36/S35), 0, S36/S35)</f>
        <v>0</v>
      </c>
      <c r="T37" s="223"/>
      <c r="U37" s="300">
        <f t="shared" si="2"/>
        <v>-1</v>
      </c>
      <c r="V37" s="30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08" t="s">
        <v>119</v>
      </c>
      <c r="P38" s="209"/>
      <c r="Q38" s="224">
        <f>EINSTELLUNG!F7</f>
        <v>2</v>
      </c>
      <c r="R38" s="225"/>
      <c r="S38" s="224">
        <f>EINSTELLUNG!F23</f>
        <v>2</v>
      </c>
      <c r="T38" s="225"/>
      <c r="U38" s="295">
        <f t="shared" si="2"/>
        <v>0</v>
      </c>
      <c r="V38" s="295"/>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8" t="s">
        <v>121</v>
      </c>
      <c r="P39" s="209"/>
      <c r="Q39" s="210">
        <f>IF(Q38=0, 0, Q35/Q38)</f>
        <v>1</v>
      </c>
      <c r="R39" s="211"/>
      <c r="S39" s="210">
        <f>IF(S38=0, 0, S35/S38)</f>
        <v>1</v>
      </c>
      <c r="T39" s="211"/>
      <c r="U39" s="293">
        <f t="shared" si="2"/>
        <v>0</v>
      </c>
      <c r="V39" s="293"/>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IF(Q12=0, 0, Q35/Q12)</f>
        <v>2.3383115987270236E-4</v>
      </c>
      <c r="R40" s="292"/>
      <c r="S40" s="292">
        <f>IF(Q12=0, 0, S35/Q12)</f>
        <v>2.3383115987270236E-4</v>
      </c>
      <c r="T40" s="292"/>
      <c r="U40" s="293">
        <f t="shared" si="2"/>
        <v>0</v>
      </c>
      <c r="V40" s="293"/>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IF(Q12=0, 0, Q38/Q12)</f>
        <v>2.3383115987270236E-4</v>
      </c>
      <c r="R41" s="294"/>
      <c r="S41" s="294">
        <f>IF(Q12=0, 0, S38/Q12)</f>
        <v>2.3383115987270236E-4</v>
      </c>
      <c r="T41" s="294"/>
      <c r="U41" s="295">
        <f t="shared" si="2"/>
        <v>0</v>
      </c>
      <c r="V41" s="295"/>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12.09788788178307</v>
      </c>
      <c r="R42" s="291"/>
      <c r="S42" s="291"/>
      <c r="T42" s="291"/>
      <c r="U42" s="291"/>
      <c r="V42" s="211"/>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379</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380</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381</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382</v>
      </c>
      <c r="D57" s="203">
        <v>46054</v>
      </c>
      <c r="E57" s="134" t="s">
        <v>8</v>
      </c>
      <c r="F57" s="136">
        <v>138.4</v>
      </c>
      <c r="G57" s="192">
        <v>2021</v>
      </c>
      <c r="H57" s="158">
        <f>IF(AND(ISNUMBER(D57), ISNUMBER(F57)),
    ROUNDDOWN(
        MIN(
            IF(OR(ISBLANK(I57), I57=""),
                EOMONTH(DATE(LOHNTABELLE!$G$3, $A$1, 1), 0), I57)
            - MAX(D57, DATE(LOHNTABELLE!$G$3, $A$1, 1)) + 1)
        / DAY(EOMONTH(DATE(LOHNTABELLE!$G$3, $A$1, 1), 0)) * F57,
        2
    ),
    ""
)</f>
        <v>138.4</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383</v>
      </c>
      <c r="D58" s="203">
        <v>46054</v>
      </c>
      <c r="E58" s="134" t="s">
        <v>4</v>
      </c>
      <c r="F58" s="136">
        <v>138.4</v>
      </c>
      <c r="G58" s="192">
        <v>2021</v>
      </c>
      <c r="H58" s="158">
        <f>IF(AND(ISNUMBER(D58), ISNUMBER(F58)),
    ROUNDDOWN(
        MIN(
            IF(OR(ISBLANK(I58), I58=""),
                EOMONTH(DATE(LOHNTABELLE!$G$3, $A$1, 1), 0), I58)
            - MAX(D58, DATE(LOHNTABELLE!$G$3, $A$1, 1)) + 1)
        / DAY(EOMONTH(DATE(LOHNTABELLE!$G$3, $A$1, 1), 0)) * F58,
        2
    ),
    ""
)</f>
        <v>138.4</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385</v>
      </c>
      <c r="D60" s="203">
        <v>46054</v>
      </c>
      <c r="E60" s="134" t="s">
        <v>4</v>
      </c>
      <c r="F60" s="136">
        <v>151.38</v>
      </c>
      <c r="G60" s="192">
        <v>2021</v>
      </c>
      <c r="H60" s="158">
        <f>IF(AND(ISNUMBER(D60), ISNUMBER(F60)),
    ROUNDDOWN(
        MIN(
            IF(OR(ISBLANK(I60), I60=""),
                EOMONTH(DATE(LOHNTABELLE!$G$3, $A$1, 1), 0), I60)
            - MAX(D60, DATE(LOHNTABELLE!$G$3, $A$1, 1)) + 1)
        / DAY(EOMONTH(DATE(LOHNTABELLE!$G$3, $A$1, 1), 0)) * F60,
        2
    ),
    ""
)</f>
        <v>151.38</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m0QoKvIdYCA5vSV7XvW3P7MbJEcLc2GgEZKjqwpi9IDRcXMI18gFGL4XCkCpXuO9H/1M8XihtnQPP1pxAgpX/Q==" saltValue="wKRl+c5L7BbysGmaUaXe5w=="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46082</v>
      </c>
    </row>
    <row r="2" spans="1:28" ht="16" customHeight="1" thickBot="1">
      <c r="A2" s="129"/>
      <c r="B2" s="234"/>
      <c r="C2" s="243"/>
      <c r="D2" s="245"/>
      <c r="E2" s="245"/>
      <c r="F2" s="245"/>
      <c r="G2" s="247"/>
      <c r="H2" s="238"/>
      <c r="I2" s="213"/>
      <c r="J2" s="215"/>
      <c r="K2" s="217"/>
      <c r="L2" s="219"/>
      <c r="M2" s="221"/>
      <c r="N2" s="235"/>
      <c r="AB2" s="41">
        <f>EOMONTH(DATE(LOHNTABELLE!$G$3, $A$1, 1), 0)</f>
        <v>46112</v>
      </c>
    </row>
    <row r="3" spans="1:28" ht="16" customHeight="1">
      <c r="A3" s="130" t="s">
        <v>60</v>
      </c>
      <c r="B3" s="169">
        <v>55</v>
      </c>
      <c r="C3" s="166" t="s">
        <v>380</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842.66960625479021</v>
      </c>
      <c r="P5" s="49">
        <f>EINSTELLUNG!I8</f>
        <v>3</v>
      </c>
      <c r="Q5" s="48">
        <f>P5-O5</f>
        <v>-839.66960625479021</v>
      </c>
      <c r="R5" s="52">
        <f>IFERROR(Q5*Q42, 0)</f>
        <v>-10080.44704645055</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8687.5299999999988</v>
      </c>
      <c r="R8" s="32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EINSTELLUNG!L24</f>
        <v>3</v>
      </c>
      <c r="R9" s="329"/>
      <c r="S9" s="53">
        <f>IFERROR(Q9/Q8, 0)</f>
        <v>3.4532254852645116E-4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EINSTELLUNG!I24</f>
        <v>3</v>
      </c>
      <c r="R10" s="32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3</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78</v>
      </c>
      <c r="P12" s="328"/>
      <c r="Q12" s="350">
        <v>-445</v>
      </c>
      <c r="R12" s="35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80</v>
      </c>
      <c r="P13" s="328"/>
      <c r="Q13" s="329">
        <f>Q8-Q9-Q10-Q11-Q12</f>
        <v>9123.5299999999988</v>
      </c>
      <c r="R13" s="32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82</v>
      </c>
      <c r="P14" s="328"/>
      <c r="Q14" s="329">
        <f>EINSTELLUNG!L8</f>
        <v>3</v>
      </c>
      <c r="R14" s="32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31" t="s">
        <v>84</v>
      </c>
      <c r="P15" s="328"/>
      <c r="Q15" s="329">
        <f>Q13-Q14</f>
        <v>9120.5299999999988</v>
      </c>
      <c r="R15" s="32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56" t="str">
        <f>IF(Q15&lt;0, "Schlecht! Zu wenig Stunden für Dienstplan.", IF(Q15&gt;0, "Du hast mehr als genug Stunden für Dienstplan.", ""))</f>
        <v>Du hast mehr als genug Stunden für Dienstplan.</v>
      </c>
      <c r="P16" s="356"/>
      <c r="Q16" s="356"/>
      <c r="R16" s="356"/>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7" t="s">
        <v>87</v>
      </c>
      <c r="P17" s="357"/>
      <c r="Q17" s="351">
        <f>SUM(L3:L82)</f>
        <v>104296.00580645162</v>
      </c>
      <c r="R17" s="351"/>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61"/>
      <c r="P18" s="359"/>
      <c r="Q18" s="358"/>
      <c r="R18" s="337"/>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61"/>
      <c r="P19" s="359"/>
      <c r="Q19" s="358"/>
      <c r="R19" s="337"/>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61"/>
      <c r="P22" s="359"/>
      <c r="Q22" s="358"/>
      <c r="R22" s="337"/>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0" t="s">
        <v>97</v>
      </c>
      <c r="B26" s="170">
        <v>401602</v>
      </c>
      <c r="C26" s="139"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3"/>
      <c r="P26" s="344"/>
      <c r="Q26" s="334"/>
      <c r="R26" s="33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EINSTELLUNG!O8</f>
        <v>3</v>
      </c>
      <c r="R29" s="332"/>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345"/>
      <c r="Q31" s="346">
        <v>1.9230769230769232E-2</v>
      </c>
      <c r="R31" s="347"/>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8"/>
      <c r="P34" s="349"/>
      <c r="Q34" s="362"/>
      <c r="R34" s="362"/>
      <c r="S34" s="363"/>
      <c r="T34" s="363"/>
      <c r="U34" s="363"/>
      <c r="V34" s="363"/>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09" t="s">
        <v>113</v>
      </c>
      <c r="P35" s="290"/>
      <c r="Q35" s="292">
        <f>EINSTELLUNG!C8</f>
        <v>3</v>
      </c>
      <c r="R35" s="292"/>
      <c r="S35" s="292">
        <f>EINSTELLUNG!C24</f>
        <v>3</v>
      </c>
      <c r="T35" s="292"/>
      <c r="U35" s="293">
        <f>S35-Q35</f>
        <v>0</v>
      </c>
      <c r="V35" s="293"/>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09" t="s">
        <v>115</v>
      </c>
      <c r="P36" s="290"/>
      <c r="Q36" s="292">
        <f>EINSTELLUNG!D8</f>
        <v>3</v>
      </c>
      <c r="R36" s="292"/>
      <c r="S36" s="292" cm="1">
        <f t="array" ref="S36">SumMergedCells(Q17:R29)</f>
        <v>109299.0058</v>
      </c>
      <c r="T36" s="292"/>
      <c r="U36" s="293">
        <f t="shared" ref="U36:U41" si="0">S36-Q36</f>
        <v>109296.0058</v>
      </c>
      <c r="V36" s="293"/>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09" t="s">
        <v>117</v>
      </c>
      <c r="P37" s="290"/>
      <c r="Q37" s="352">
        <f>IF(ISERROR(Q36/Q35), 0, Q36/Q35)</f>
        <v>1</v>
      </c>
      <c r="R37" s="352"/>
      <c r="S37" s="352">
        <f>IF(ISERROR(S36/S35), 0, S36/S35)</f>
        <v>36433.001933333333</v>
      </c>
      <c r="T37" s="352"/>
      <c r="U37" s="300">
        <f t="shared" si="0"/>
        <v>36432.001933333333</v>
      </c>
      <c r="V37" s="300"/>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09" t="s">
        <v>119</v>
      </c>
      <c r="P38" s="290"/>
      <c r="Q38" s="294">
        <f>EINSTELLUNG!F8</f>
        <v>3</v>
      </c>
      <c r="R38" s="294"/>
      <c r="S38" s="294">
        <f>EINSTELLUNG!F24</f>
        <v>3</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IF(Q13=0, 0, Q35/Q13)</f>
        <v>3.2882009485363673E-4</v>
      </c>
      <c r="R40" s="292"/>
      <c r="S40" s="292">
        <f>IF(Q13=0, 0, S35/Q13)</f>
        <v>3.2882009485363673E-4</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IF(Q13=0, 0, Q38/Q13)</f>
        <v>3.2882009485363673E-4</v>
      </c>
      <c r="R41" s="294"/>
      <c r="S41" s="294">
        <f>IF(Q13=0, 0, S38/Q13)</f>
        <v>3.2882009485363673E-4</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12.005254175404474</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368</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379</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384</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381</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382</v>
      </c>
      <c r="D59" s="203">
        <v>46054</v>
      </c>
      <c r="E59" s="134" t="s">
        <v>8</v>
      </c>
      <c r="F59" s="136">
        <v>138.4</v>
      </c>
      <c r="G59" s="192">
        <v>1665.6</v>
      </c>
      <c r="H59" s="158">
        <f>IF(AND(ISNUMBER(D59), ISNUMBER(F59)),
    ROUNDDOWN(
        MIN(
            IF(OR(ISBLANK(I59), I59=""),
                EOMONTH(DATE(LOHNTABELLE!$G$3, $A$1, 1), 0), I59)
            - MAX(D59, DATE(LOHNTABELLE!$G$3, $A$1, 1)) + 1)
        / DAY(EOMONTH(DATE(LOHNTABELLE!$G$3, $A$1, 1), 0)) * F59,
        2
    ),
    ""
)</f>
        <v>138.4</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383</v>
      </c>
      <c r="D60" s="203">
        <v>46054</v>
      </c>
      <c r="E60" s="134" t="s">
        <v>4</v>
      </c>
      <c r="F60" s="136">
        <v>138.4</v>
      </c>
      <c r="G60" s="192">
        <v>1616.8</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385</v>
      </c>
      <c r="D61" s="203">
        <v>46054</v>
      </c>
      <c r="E61" s="134" t="s">
        <v>4</v>
      </c>
      <c r="F61" s="136">
        <v>151.38</v>
      </c>
      <c r="G61" s="192">
        <v>1768.38</v>
      </c>
      <c r="H61" s="158">
        <f>IF(AND(ISNUMBER(D61), ISNUMBER(F61)),
    ROUNDDOWN(
        MIN(
            IF(OR(ISBLANK(I61), I61=""),
                EOMONTH(DATE(LOHNTABELLE!$G$3, $A$1, 1), 0), I61)
            - MAX(D61, DATE(LOHNTABELLE!$G$3, $A$1, 1)) + 1)
        / DAY(EOMONTH(DATE(LOHNTABELLE!$G$3, $A$1, 1), 0)) * F61,
        2
    ),
    ""
)</f>
        <v>151.38</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3OAL7V8+9DECOe9Pw5+GHlBYoA8tR0K+iRnDH0GBZ39ixre6YXHlxTi9wOzt3rtuYc992EJhRsO0wpIPSeN74A==" saltValue="etVEzbZNQ2h8Q0NKGAxtF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61">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22"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46113</v>
      </c>
    </row>
    <row r="2" spans="1:28" ht="16" customHeight="1" thickBot="1">
      <c r="A2" s="129"/>
      <c r="B2" s="234"/>
      <c r="C2" s="243"/>
      <c r="D2" s="245"/>
      <c r="E2" s="245"/>
      <c r="F2" s="245"/>
      <c r="G2" s="247"/>
      <c r="H2" s="238"/>
      <c r="I2" s="213"/>
      <c r="J2" s="215"/>
      <c r="K2" s="217"/>
      <c r="L2" s="219"/>
      <c r="M2" s="221"/>
      <c r="N2" s="235"/>
      <c r="AB2" s="41">
        <f>EOMONTH(DATE(LOHNTABELLE!$G$3, $A$1, 1), 0)</f>
        <v>46142</v>
      </c>
    </row>
    <row r="3" spans="1:28" ht="16" customHeight="1">
      <c r="A3" s="130" t="s">
        <v>60</v>
      </c>
      <c r="B3" s="169">
        <v>55</v>
      </c>
      <c r="C3" s="166" t="s">
        <v>380</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851.01699727754055</v>
      </c>
      <c r="P5" s="49">
        <f>EINSTELLUNG!I9</f>
        <v>4</v>
      </c>
      <c r="Q5" s="48">
        <f>P5-O5</f>
        <v>-847.01699727754055</v>
      </c>
      <c r="R5" s="52">
        <f>IFERROR(Q5*Q42, 0)</f>
        <v>-10140.979254744389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8766.7799999999988</v>
      </c>
      <c r="R8" s="32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EINSTELLUNG!L25</f>
        <v>4</v>
      </c>
      <c r="R9" s="329"/>
      <c r="S9" s="53">
        <f>IFERROR(Q9/Q8, 0)</f>
        <v>4.5626786573861789E-4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EINSTELLUNG!I25</f>
        <v>4</v>
      </c>
      <c r="R10" s="32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4</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78</v>
      </c>
      <c r="P12" s="328"/>
      <c r="Q12" s="350">
        <v>-255</v>
      </c>
      <c r="R12" s="35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80</v>
      </c>
      <c r="P13" s="328"/>
      <c r="Q13" s="329">
        <f>Q8-Q9-Q10-Q11-Q12</f>
        <v>9009.7799999999988</v>
      </c>
      <c r="R13" s="32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82</v>
      </c>
      <c r="P14" s="328"/>
      <c r="Q14" s="329">
        <f>EINSTELLUNG!L9</f>
        <v>4</v>
      </c>
      <c r="R14" s="32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31" t="s">
        <v>84</v>
      </c>
      <c r="P15" s="328"/>
      <c r="Q15" s="329">
        <f>Q13-Q14</f>
        <v>9005.7799999999988</v>
      </c>
      <c r="R15" s="32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56" t="str">
        <f>IF(Q15&lt;0, "Schlecht! Zu wenig Stunden für Dienstplan.", IF(Q15&gt;0, "Du hast mehr als genug Stunden für Dienstplan.", ""))</f>
        <v>Du hast mehr als genug Stunden für Dienstplan.</v>
      </c>
      <c r="P16" s="356"/>
      <c r="Q16" s="356"/>
      <c r="R16" s="356"/>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7" t="s">
        <v>87</v>
      </c>
      <c r="P17" s="357"/>
      <c r="Q17" s="351">
        <f>SUM(L3:L82)</f>
        <v>104960.98000000001</v>
      </c>
      <c r="R17" s="351"/>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61"/>
      <c r="P18" s="359"/>
      <c r="Q18" s="358"/>
      <c r="R18" s="337"/>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61"/>
      <c r="P19" s="359"/>
      <c r="Q19" s="358"/>
      <c r="R19" s="337"/>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61"/>
      <c r="P22" s="359"/>
      <c r="Q22" s="358"/>
      <c r="R22" s="337"/>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0" t="s">
        <v>97</v>
      </c>
      <c r="B26" s="170">
        <v>401602</v>
      </c>
      <c r="C26" s="139"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3"/>
      <c r="P26" s="344"/>
      <c r="Q26" s="334"/>
      <c r="R26" s="33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EINSTELLUNG!O9</f>
        <v>4</v>
      </c>
      <c r="R29" s="332"/>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9">
        <v>0</v>
      </c>
      <c r="P31" s="345"/>
      <c r="Q31" s="346">
        <v>0</v>
      </c>
      <c r="R31" s="347"/>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8"/>
      <c r="P34" s="349"/>
      <c r="Q34" s="362"/>
      <c r="R34" s="362"/>
      <c r="S34" s="363"/>
      <c r="T34" s="363"/>
      <c r="U34" s="363"/>
      <c r="V34" s="363"/>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09" t="s">
        <v>113</v>
      </c>
      <c r="P35" s="290"/>
      <c r="Q35" s="292">
        <f>EINSTELLUNG!C9</f>
        <v>4</v>
      </c>
      <c r="R35" s="292"/>
      <c r="S35" s="292">
        <f>EINSTELLUNG!C25</f>
        <v>4</v>
      </c>
      <c r="T35" s="292"/>
      <c r="U35" s="293">
        <f>S35-Q35</f>
        <v>0</v>
      </c>
      <c r="V35" s="293"/>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09" t="s">
        <v>115</v>
      </c>
      <c r="P36" s="290"/>
      <c r="Q36" s="292">
        <f>EINSTELLUNG!D9</f>
        <v>4</v>
      </c>
      <c r="R36" s="292"/>
      <c r="S36" s="292" cm="1">
        <f t="array" ref="S36">SumMergedCells(Q17:R29)</f>
        <v>109964.98</v>
      </c>
      <c r="T36" s="292"/>
      <c r="U36" s="293">
        <f t="shared" ref="U36:U41" si="0">S36-Q36</f>
        <v>109960.98</v>
      </c>
      <c r="V36" s="293"/>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09" t="s">
        <v>117</v>
      </c>
      <c r="P37" s="290"/>
      <c r="Q37" s="352">
        <f>IF(ISERROR(Q36/Q35), 0, Q36/Q35)</f>
        <v>1</v>
      </c>
      <c r="R37" s="352"/>
      <c r="S37" s="352">
        <f>IF(ISERROR(S36/S35), 0, S36/S35)</f>
        <v>27491.244999999999</v>
      </c>
      <c r="T37" s="352"/>
      <c r="U37" s="300">
        <f t="shared" si="0"/>
        <v>27490.244999999999</v>
      </c>
      <c r="V37" s="300"/>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09" t="s">
        <v>119</v>
      </c>
      <c r="P38" s="290"/>
      <c r="Q38" s="294">
        <f>EINSTELLUNG!F9</f>
        <v>4</v>
      </c>
      <c r="R38" s="294"/>
      <c r="S38" s="294">
        <f>EINSTELLUNG!F25</f>
        <v>4</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IF(Q13=0, 0, Q35/Q13)</f>
        <v>4.4396200573154957E-4</v>
      </c>
      <c r="R40" s="292"/>
      <c r="S40" s="292">
        <f>IF(Q13=0, 0, S35/Q13)</f>
        <v>4.4396200573154957E-4</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IF(Q13=0, 0, Q38/Q13)</f>
        <v>4.4396200573154957E-4</v>
      </c>
      <c r="R41" s="294"/>
      <c r="S41" s="294">
        <f>IF(Q13=0, 0, S38/Q13)</f>
        <v>4.4396200573154957E-4</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11.97258058260844</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368</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377</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379</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384</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381</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382</v>
      </c>
      <c r="D59" s="203">
        <v>46054</v>
      </c>
      <c r="E59" s="134" t="s">
        <v>8</v>
      </c>
      <c r="F59" s="136">
        <v>138.4</v>
      </c>
      <c r="G59" s="192">
        <v>1665.6</v>
      </c>
      <c r="H59" s="158">
        <f>IF(AND(ISNUMBER(D59), ISNUMBER(F59)),
    ROUNDDOWN(
        MIN(
            IF(OR(ISBLANK(I59), I59=""),
                EOMONTH(DATE(LOHNTABELLE!$G$3, $A$1, 1), 0), I59)
            - MAX(D59, DATE(LOHNTABELLE!$G$3, $A$1, 1)) + 1)
        / DAY(EOMONTH(DATE(LOHNTABELLE!$G$3, $A$1, 1), 0)) * F59,
        2
    ),
    ""
)</f>
        <v>138.4</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383</v>
      </c>
      <c r="D60" s="203">
        <v>46054</v>
      </c>
      <c r="E60" s="134" t="s">
        <v>4</v>
      </c>
      <c r="F60" s="136">
        <v>138.4</v>
      </c>
      <c r="G60" s="192">
        <v>1616.8</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385</v>
      </c>
      <c r="D61" s="203">
        <v>46054</v>
      </c>
      <c r="E61" s="134" t="s">
        <v>4</v>
      </c>
      <c r="F61" s="136">
        <v>151.38</v>
      </c>
      <c r="G61" s="192">
        <v>1768.38</v>
      </c>
      <c r="H61" s="158">
        <f>IF(AND(ISNUMBER(D61), ISNUMBER(F61)),
    ROUNDDOWN(
        MIN(
            IF(OR(ISBLANK(I61), I61=""),
                EOMONTH(DATE(LOHNTABELLE!$G$3, $A$1, 1), 0), I61)
            - MAX(D61, DATE(LOHNTABELLE!$G$3, $A$1, 1)) + 1)
        / DAY(EOMONTH(DATE(LOHNTABELLE!$G$3, $A$1, 1), 0)) * F61,
        2
    ),
    ""
)</f>
        <v>151.38</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UHUMcxeW/gpI82h1V5S6r+O3/7u5rd5Gp0Vqm/Kc7AfW7EnGNSxEN7AKs+MjBOARdZc1oHOUDh7JfF/xE1dQ5w==" saltValue="KKOLUCYGIjYoWozV4JOMs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46143</v>
      </c>
    </row>
    <row r="2" spans="1:28" ht="16" customHeight="1" thickBot="1">
      <c r="A2" s="129"/>
      <c r="B2" s="234"/>
      <c r="C2" s="243"/>
      <c r="D2" s="245"/>
      <c r="E2" s="245"/>
      <c r="F2" s="245"/>
      <c r="G2" s="247"/>
      <c r="H2" s="238"/>
      <c r="I2" s="213"/>
      <c r="J2" s="215"/>
      <c r="K2" s="217"/>
      <c r="L2" s="219"/>
      <c r="M2" s="221"/>
      <c r="N2" s="235"/>
      <c r="AB2" s="41">
        <f>EOMONTH(DATE(LOHNTABELLE!$G$3, $A$1, 1), 0)</f>
        <v>46173</v>
      </c>
    </row>
    <row r="3" spans="1:28" ht="16" customHeight="1">
      <c r="A3" s="130" t="s">
        <v>60</v>
      </c>
      <c r="B3" s="169">
        <v>55</v>
      </c>
      <c r="C3" s="166" t="s">
        <v>380</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EINSTELLUNG!I10</f>
        <v>5</v>
      </c>
      <c r="Q5" s="48">
        <f>P5-O5</f>
        <v>-877.31923110470257</v>
      </c>
      <c r="R5" s="52">
        <f>IFERROR(Q5*Q42, 0)</f>
        <v>-14174.420124954089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9120.7199999999993</v>
      </c>
      <c r="R8" s="32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EINSTELLUNG!L26</f>
        <v>5</v>
      </c>
      <c r="R9" s="329"/>
      <c r="S9" s="53">
        <f>IFERROR(Q9/Q8, 0)</f>
        <v>5.4820233490338488E-4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EINSTELLUNG!I26</f>
        <v>5</v>
      </c>
      <c r="R10" s="32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5</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80</v>
      </c>
      <c r="P12" s="328"/>
      <c r="Q12" s="329">
        <f>Q8-Q9-Q10-Q11</f>
        <v>9105.7199999999993</v>
      </c>
      <c r="R12" s="32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82</v>
      </c>
      <c r="P13" s="328"/>
      <c r="Q13" s="329">
        <f>EINSTELLUNG!L10</f>
        <v>5</v>
      </c>
      <c r="R13" s="32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84</v>
      </c>
      <c r="P14" s="328"/>
      <c r="Q14" s="329">
        <f>Q12-Q13</f>
        <v>9100.7199999999993</v>
      </c>
      <c r="R14" s="329"/>
    </row>
    <row r="15" spans="1:28" ht="16" customHeight="1">
      <c r="A15" s="130" t="s">
        <v>83</v>
      </c>
      <c r="B15" s="170">
        <v>401308</v>
      </c>
      <c r="C15" s="139"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64" t="str">
        <f>IF(Q14&lt;0, "Schlecht! Zu wenig Stunden für Dienstplan.", IF(Q14&gt;0, "Du hast mehr als genug Stunden für Dienstplan.", ""))</f>
        <v>Du hast mehr als genug Stunden für Dienstplan.</v>
      </c>
      <c r="P15" s="364"/>
      <c r="Q15" s="364"/>
      <c r="R15" s="36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357"/>
      <c r="Q17" s="351">
        <f>SUM(L3:L82)</f>
        <v>147359.03709677418</v>
      </c>
      <c r="R17" s="35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1"/>
      <c r="P18" s="359"/>
      <c r="Q18" s="358"/>
      <c r="R18" s="337"/>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61"/>
      <c r="P19" s="359"/>
      <c r="Q19" s="358"/>
      <c r="R19" s="337"/>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1"/>
      <c r="P22" s="359"/>
      <c r="Q22" s="358"/>
      <c r="R22" s="337"/>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3"/>
      <c r="P26" s="344"/>
      <c r="Q26" s="334"/>
      <c r="R26" s="33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EINSTELLUNG!O10</f>
        <v>5</v>
      </c>
      <c r="R29" s="332"/>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69">
        <v>0</v>
      </c>
      <c r="P31" s="345"/>
      <c r="Q31" s="346">
        <v>0</v>
      </c>
      <c r="R31" s="347"/>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8"/>
      <c r="P34" s="349"/>
      <c r="Q34" s="362"/>
      <c r="R34" s="362"/>
      <c r="S34" s="363"/>
      <c r="T34" s="363"/>
      <c r="U34" s="363"/>
      <c r="V34" s="363"/>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09" t="s">
        <v>113</v>
      </c>
      <c r="P35" s="290"/>
      <c r="Q35" s="292">
        <f>EINSTELLUNG!C10</f>
        <v>5</v>
      </c>
      <c r="R35" s="292"/>
      <c r="S35" s="292">
        <f>EINSTELLUNG!C26</f>
        <v>5</v>
      </c>
      <c r="T35" s="292"/>
      <c r="U35" s="293">
        <f>S35-Q35</f>
        <v>0</v>
      </c>
      <c r="V35" s="293"/>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09" t="s">
        <v>115</v>
      </c>
      <c r="P36" s="290"/>
      <c r="Q36" s="292">
        <f>EINSTELLUNG!D10</f>
        <v>5</v>
      </c>
      <c r="R36" s="292"/>
      <c r="S36" s="292" cm="1">
        <f t="array" ref="S36">SumMergedCells(Q17:R29)</f>
        <v>152364.03709999999</v>
      </c>
      <c r="T36" s="292"/>
      <c r="U36" s="293">
        <f t="shared" ref="U36:U41" si="0">S36-Q36</f>
        <v>152359.03709999999</v>
      </c>
      <c r="V36" s="293"/>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09" t="s">
        <v>117</v>
      </c>
      <c r="P37" s="290"/>
      <c r="Q37" s="352">
        <f>IF(ISERROR(Q36/Q35), 0, Q36/Q35)</f>
        <v>1</v>
      </c>
      <c r="R37" s="352"/>
      <c r="S37" s="352">
        <f>IF(ISERROR(S36/S35), 0, S36/S35)</f>
        <v>30472.807419999997</v>
      </c>
      <c r="T37" s="352"/>
      <c r="U37" s="300">
        <f t="shared" si="0"/>
        <v>30471.807419999997</v>
      </c>
      <c r="V37" s="300"/>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09" t="s">
        <v>119</v>
      </c>
      <c r="P38" s="290"/>
      <c r="Q38" s="294">
        <f>EINSTELLUNG!F10</f>
        <v>5</v>
      </c>
      <c r="R38" s="294"/>
      <c r="S38" s="294">
        <f>EINSTELLUNG!F26</f>
        <v>5</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IF(Q12=0, 0, Q35/Q12)</f>
        <v>5.4910539748641513E-4</v>
      </c>
      <c r="R40" s="292"/>
      <c r="S40" s="292">
        <f>IF(Q12=0, 0, S35/Q12)</f>
        <v>5.4910539748641513E-4</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IF(Q12=0, 0, Q38/Q12)</f>
        <v>5.4910539748641513E-4</v>
      </c>
      <c r="R41" s="294"/>
      <c r="S41" s="294">
        <f>IF(Q12=0, 0, S38/Q12)</f>
        <v>5.4910539748641513E-4</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16.156513641113222</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368</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375</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377</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379</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384</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378</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381</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382</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383</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385</v>
      </c>
      <c r="D63" s="203">
        <v>46054</v>
      </c>
      <c r="E63" s="134" t="s">
        <v>4</v>
      </c>
      <c r="F63" s="136">
        <v>173</v>
      </c>
      <c r="G63" s="192">
        <v>3500</v>
      </c>
      <c r="H63" s="158">
        <f>IF(AND(ISNUMBER(D63), ISNUMBER(F63)),
    ROUNDDOWN(
        MIN(
            IF(OR(ISBLANK(I63), I63=""),
                EOMONTH(DATE(LOHNTABELLE!$G$3, $A$1, 1), 0), I63)
            - MAX(D63, DATE(LOHNTABELLE!$G$3, $A$1, 1)) + 1)
        / DAY(EOMONTH(DATE(LOHNTABELLE!$G$3, $A$1, 1), 0)) * F63,
        2
    ),
    ""
)</f>
        <v>173</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3500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1U6Ed6XuhAtyGPhWMhPkwWUCqcxuLDS54XLnPlhmW+pd9BwUm+q2fYXQjZIF2mpoo/tG3i4BC2JLubYA9ouKag==" saltValue="7u5UQl3GkIBfR71uQcHEt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46174</v>
      </c>
    </row>
    <row r="2" spans="1:28" ht="16" customHeight="1" thickBot="1">
      <c r="A2" s="129"/>
      <c r="B2" s="234"/>
      <c r="C2" s="243"/>
      <c r="D2" s="245"/>
      <c r="E2" s="245"/>
      <c r="F2" s="245"/>
      <c r="G2" s="247"/>
      <c r="H2" s="238"/>
      <c r="I2" s="213"/>
      <c r="J2" s="215"/>
      <c r="K2" s="217"/>
      <c r="L2" s="219"/>
      <c r="M2" s="221"/>
      <c r="N2" s="235"/>
      <c r="AB2" s="41">
        <f>EOMONTH(DATE(LOHNTABELLE!$G$3, $A$1, 1), 0)</f>
        <v>46203</v>
      </c>
    </row>
    <row r="3" spans="1:28" ht="16" customHeight="1">
      <c r="A3" s="130" t="s">
        <v>60</v>
      </c>
      <c r="B3" s="169">
        <v>55</v>
      </c>
      <c r="C3" s="166" t="s">
        <v>380</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EINSTELLUNG!I11</f>
        <v>6</v>
      </c>
      <c r="Q5" s="48">
        <f>P5-O5</f>
        <v>-876.31923110470257</v>
      </c>
      <c r="R5" s="52">
        <f>IFERROR(Q5*Q42, 0)</f>
        <v>-14148.716609935689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9004.65</v>
      </c>
      <c r="R8" s="32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EINSTELLUNG!L27</f>
        <v>6</v>
      </c>
      <c r="R9" s="329"/>
      <c r="S9" s="53">
        <f>IFERROR(Q9/Q8, 0)</f>
        <v>6.6632240009328512E-4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EINSTELLUNG!I27</f>
        <v>6</v>
      </c>
      <c r="R10" s="32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6</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78</v>
      </c>
      <c r="P12" s="328"/>
      <c r="Q12" s="350">
        <v>442</v>
      </c>
      <c r="R12" s="35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80</v>
      </c>
      <c r="P13" s="328"/>
      <c r="Q13" s="329">
        <f>Q8-Q9-Q10-Q11-Q12</f>
        <v>8544.65</v>
      </c>
      <c r="R13" s="32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82</v>
      </c>
      <c r="P14" s="328"/>
      <c r="Q14" s="329">
        <f>EINSTELLUNG!L11</f>
        <v>6</v>
      </c>
      <c r="R14" s="329"/>
    </row>
    <row r="15" spans="1:28" ht="16" customHeight="1">
      <c r="A15" s="130" t="s">
        <v>83</v>
      </c>
      <c r="B15" s="170">
        <v>401308</v>
      </c>
      <c r="C15" s="139"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31" t="s">
        <v>84</v>
      </c>
      <c r="P15" s="328"/>
      <c r="Q15" s="329">
        <f>Q13-Q14</f>
        <v>8538.65</v>
      </c>
      <c r="R15" s="32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56" t="str">
        <f>IF(Q15&lt;0, "Schlecht! Zu wenig Stunden für Dienstplan.", IF(Q15&gt;0, "Du hast mehr als genug Stunden für Dienstplan.", ""))</f>
        <v>Du hast mehr als genug Stunden für Dienstplan.</v>
      </c>
      <c r="P16" s="356"/>
      <c r="Q16" s="356"/>
      <c r="R16" s="356"/>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357"/>
      <c r="Q17" s="351">
        <f>SUM(L3:L82)</f>
        <v>145385.65</v>
      </c>
      <c r="R17" s="35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1"/>
      <c r="P18" s="359"/>
      <c r="Q18" s="358"/>
      <c r="R18" s="337"/>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61"/>
      <c r="P19" s="359"/>
      <c r="Q19" s="358"/>
      <c r="R19" s="337"/>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1"/>
      <c r="P22" s="359"/>
      <c r="Q22" s="358"/>
      <c r="R22" s="337"/>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3"/>
      <c r="P26" s="344"/>
      <c r="Q26" s="334"/>
      <c r="R26" s="33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EINSTELLUNG!O11</f>
        <v>6</v>
      </c>
      <c r="R29" s="332"/>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69">
        <v>0</v>
      </c>
      <c r="P31" s="345"/>
      <c r="Q31" s="346">
        <v>1.6666666666666666E-2</v>
      </c>
      <c r="R31" s="347"/>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8"/>
      <c r="P34" s="349"/>
      <c r="Q34" s="362"/>
      <c r="R34" s="362"/>
      <c r="S34" s="363"/>
      <c r="T34" s="363"/>
      <c r="U34" s="363"/>
      <c r="V34" s="363"/>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09" t="s">
        <v>113</v>
      </c>
      <c r="P35" s="290"/>
      <c r="Q35" s="292">
        <f>EINSTELLUNG!C11</f>
        <v>6</v>
      </c>
      <c r="R35" s="292"/>
      <c r="S35" s="292">
        <f>EINSTELLUNG!C27</f>
        <v>6</v>
      </c>
      <c r="T35" s="292"/>
      <c r="U35" s="293">
        <f>S35-Q35</f>
        <v>0</v>
      </c>
      <c r="V35" s="293"/>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09" t="s">
        <v>115</v>
      </c>
      <c r="P36" s="290"/>
      <c r="Q36" s="292">
        <f>EINSTELLUNG!D11</f>
        <v>6</v>
      </c>
      <c r="R36" s="292"/>
      <c r="S36" s="292" cm="1">
        <f t="array" ref="S36">SumMergedCells(Q17:R29)</f>
        <v>150391.65</v>
      </c>
      <c r="T36" s="292"/>
      <c r="U36" s="293">
        <f t="shared" ref="U36:U41" si="0">S36-Q36</f>
        <v>150385.65</v>
      </c>
      <c r="V36" s="293"/>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09" t="s">
        <v>117</v>
      </c>
      <c r="P37" s="290"/>
      <c r="Q37" s="352">
        <f>IF(ISERROR(Q36/Q35), 0, Q36/Q35)</f>
        <v>1</v>
      </c>
      <c r="R37" s="352"/>
      <c r="S37" s="352">
        <f>IF(ISERROR(S36/S35), 0, S36/S35)</f>
        <v>25065.274999999998</v>
      </c>
      <c r="T37" s="352"/>
      <c r="U37" s="300">
        <f t="shared" si="0"/>
        <v>25064.274999999998</v>
      </c>
      <c r="V37" s="300"/>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09" t="s">
        <v>119</v>
      </c>
      <c r="P38" s="290"/>
      <c r="Q38" s="294">
        <f>EINSTELLUNG!F11</f>
        <v>6</v>
      </c>
      <c r="R38" s="294"/>
      <c r="S38" s="294">
        <f>EINSTELLUNG!F27</f>
        <v>6</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IF(Q12=0, 0, Q35/Q12)</f>
        <v>1.3574660633484163E-2</v>
      </c>
      <c r="R40" s="292"/>
      <c r="S40" s="292">
        <f>IF(Q12=0, 0, S35/Q12)</f>
        <v>1.3574660633484163E-2</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IF(Q12=0, 0, Q38/Q12)</f>
        <v>1.3574660633484163E-2</v>
      </c>
      <c r="R41" s="294"/>
      <c r="S41" s="294">
        <f>IF(Q12=0, 0, S38/Q12)</f>
        <v>1.3574660633484163E-2</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16.14561920785372</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368</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375</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377</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379</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384</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378</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381</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382</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383</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385</v>
      </c>
      <c r="D63" s="203">
        <v>46054</v>
      </c>
      <c r="E63" s="134" t="s">
        <v>4</v>
      </c>
      <c r="F63" s="136">
        <v>173</v>
      </c>
      <c r="G63" s="192">
        <v>3500</v>
      </c>
      <c r="H63" s="158">
        <f>IF(AND(ISNUMBER(D63), ISNUMBER(F63)),
    ROUNDDOWN(
        MIN(
            IF(OR(ISBLANK(I63), I63=""),
                EOMONTH(DATE(LOHNTABELLE!$G$3, $A$1, 1), 0), I63)
            - MAX(D63, DATE(LOHNTABELLE!$G$3, $A$1, 1)) + 1)
        / DAY(EOMONTH(DATE(LOHNTABELLE!$G$3, $A$1, 1), 0)) * F63,
        2
    ),
    ""
)</f>
        <v>34.6</v>
      </c>
      <c r="I63" s="206">
        <v>46179</v>
      </c>
      <c r="J63" s="135">
        <v>3</v>
      </c>
      <c r="K63" s="161">
        <f>IFERROR(IF(OR(MONTH(D63)=1, MONTH(D63)=3, MONTH(D63)=5, MONTH(D63)=7, MONTH(D63)=8, MONTH(D63)=10, MONTH(D63)=12), (G63/31)*J63, IF(OR(MONTH(D63)=4, MONTH(D63)=6, MONTH(D63)=9, MONTH(D63)=11), (G63/30)*J63, (G63/DAY(EOMONTH(D63,0)))*J63)), 0)</f>
        <v>375</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1075</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T+UEXN/vkHagt3MnCwTGHJf+2C4z6KTkQAcG6eHVTHqVkNATM/ITI/1krGJydT3748Elin24L+77ElaKpvy2/A==" saltValue="HWJyPu9RMSYBOdQvBj3lJw=="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7"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46204</v>
      </c>
    </row>
    <row r="2" spans="1:28" ht="16" customHeight="1" thickBot="1">
      <c r="A2" s="129"/>
      <c r="B2" s="234"/>
      <c r="C2" s="243"/>
      <c r="D2" s="245"/>
      <c r="E2" s="245"/>
      <c r="F2" s="245"/>
      <c r="G2" s="247"/>
      <c r="H2" s="238"/>
      <c r="I2" s="213"/>
      <c r="J2" s="215"/>
      <c r="K2" s="217"/>
      <c r="L2" s="219"/>
      <c r="M2" s="221"/>
      <c r="N2" s="235"/>
      <c r="AB2" s="41">
        <f>EOMONTH(DATE(LOHNTABELLE!$G$3, $A$1, 1), 0)</f>
        <v>46234</v>
      </c>
    </row>
    <row r="3" spans="1:28" ht="16" customHeight="1">
      <c r="A3" s="130" t="s">
        <v>60</v>
      </c>
      <c r="B3" s="169">
        <v>55</v>
      </c>
      <c r="C3" s="166" t="s">
        <v>380</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EINSTELLUNG!I12</f>
        <v>7</v>
      </c>
      <c r="Q5" s="48">
        <f>P5-O5</f>
        <v>-858.62444905920199</v>
      </c>
      <c r="R5" s="52">
        <f>IFERROR(Q5*Q42, 0)</f>
        <v>-13813.596618706177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8970.0499999999993</v>
      </c>
      <c r="R8" s="32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EINSTELLUNG!L28</f>
        <v>7</v>
      </c>
      <c r="R9" s="329"/>
      <c r="S9" s="53">
        <f>IFERROR(Q9/Q8, 0)</f>
        <v>7.8037469133393912E-4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EINSTELLUNG!I28</f>
        <v>7</v>
      </c>
      <c r="R10" s="32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7</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78</v>
      </c>
      <c r="P12" s="328"/>
      <c r="Q12" s="350">
        <v>39</v>
      </c>
      <c r="R12" s="35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80</v>
      </c>
      <c r="P13" s="328"/>
      <c r="Q13" s="329">
        <f>Q8-Q9-Q10-Q11-Q12</f>
        <v>8910.0499999999993</v>
      </c>
      <c r="R13" s="32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82</v>
      </c>
      <c r="P14" s="328"/>
      <c r="Q14" s="329">
        <f>EINSTELLUNG!L12</f>
        <v>7</v>
      </c>
      <c r="R14" s="329"/>
    </row>
    <row r="15" spans="1:28" ht="16" customHeight="1">
      <c r="A15" s="130" t="s">
        <v>83</v>
      </c>
      <c r="B15" s="170">
        <v>401308</v>
      </c>
      <c r="C15" s="139"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31" t="s">
        <v>84</v>
      </c>
      <c r="P15" s="328"/>
      <c r="Q15" s="329">
        <f>Q13-Q14</f>
        <v>8903.0499999999993</v>
      </c>
      <c r="R15" s="32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56" t="str">
        <f>IF(Q15&lt;0, "Schlecht! Zu wenig Stunden für Dienstplan.", IF(Q15&gt;0, "Du hast mehr als genug Stunden für Dienstplan.", ""))</f>
        <v>Du hast mehr als genug Stunden für Dienstplan.</v>
      </c>
      <c r="P16" s="356"/>
      <c r="Q16" s="356"/>
      <c r="R16" s="356"/>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357"/>
      <c r="Q17" s="351">
        <f>SUM(L3:L82)</f>
        <v>144310.65</v>
      </c>
      <c r="R17" s="35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1"/>
      <c r="P18" s="359"/>
      <c r="Q18" s="358"/>
      <c r="R18" s="337"/>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61"/>
      <c r="P19" s="359"/>
      <c r="Q19" s="358"/>
      <c r="R19" s="337"/>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1"/>
      <c r="P22" s="359"/>
      <c r="Q22" s="358"/>
      <c r="R22" s="337"/>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2"/>
      <c r="P26" s="253"/>
      <c r="Q26" s="334"/>
      <c r="R26" s="33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EINSTELLUNG!O12</f>
        <v>7</v>
      </c>
      <c r="R29" s="332"/>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69">
        <v>0</v>
      </c>
      <c r="P31" s="345"/>
      <c r="Q31" s="346">
        <v>0</v>
      </c>
      <c r="R31" s="347"/>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8"/>
      <c r="P34" s="349"/>
      <c r="Q34" s="362"/>
      <c r="R34" s="362"/>
      <c r="S34" s="363"/>
      <c r="T34" s="363"/>
      <c r="U34" s="363"/>
      <c r="V34" s="363"/>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09" t="s">
        <v>113</v>
      </c>
      <c r="P35" s="290"/>
      <c r="Q35" s="292">
        <f>EINSTELLUNG!C12</f>
        <v>7</v>
      </c>
      <c r="R35" s="292"/>
      <c r="S35" s="292">
        <f>EINSTELLUNG!C28</f>
        <v>7</v>
      </c>
      <c r="T35" s="292"/>
      <c r="U35" s="293">
        <f>S35-Q35</f>
        <v>0</v>
      </c>
      <c r="V35" s="293"/>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09" t="s">
        <v>115</v>
      </c>
      <c r="P36" s="290"/>
      <c r="Q36" s="292">
        <f>EINSTELLUNG!D12</f>
        <v>7</v>
      </c>
      <c r="R36" s="292"/>
      <c r="S36" s="210" cm="1">
        <f t="array" ref="S36">SumMergedCells(Q17:R29)</f>
        <v>149317.65</v>
      </c>
      <c r="T36" s="211"/>
      <c r="U36" s="293">
        <f t="shared" ref="U36:U41" si="0">S36-Q36</f>
        <v>149310.65</v>
      </c>
      <c r="V36" s="293"/>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09" t="s">
        <v>117</v>
      </c>
      <c r="P37" s="290"/>
      <c r="Q37" s="352">
        <f>IF(ISERROR(Q36/Q35), 0, Q36/Q35)</f>
        <v>1</v>
      </c>
      <c r="R37" s="352"/>
      <c r="S37" s="352">
        <f>IF(ISERROR(S36/S35), 0, S36/S35)</f>
        <v>21331.092857142856</v>
      </c>
      <c r="T37" s="352"/>
      <c r="U37" s="300">
        <f t="shared" si="0"/>
        <v>21330.092857142856</v>
      </c>
      <c r="V37" s="300"/>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09" t="s">
        <v>119</v>
      </c>
      <c r="P38" s="290"/>
      <c r="Q38" s="294">
        <f>EINSTELLUNG!F12</f>
        <v>7</v>
      </c>
      <c r="R38" s="294"/>
      <c r="S38" s="294">
        <f>EINSTELLUNG!F28</f>
        <v>7</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IF(Q13=0, 0, Q35/Q13)</f>
        <v>7.8562971027098616E-4</v>
      </c>
      <c r="R40" s="292"/>
      <c r="S40" s="292">
        <f>IF(Q13=0, 0, S35/Q13)</f>
        <v>7.8562971027098616E-4</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IF(Q13=0, 0, Q38/Q13)</f>
        <v>7.8562971027098616E-4</v>
      </c>
      <c r="R41" s="294"/>
      <c r="S41" s="294">
        <f>IF(Q13=0, 0, S38/Q13)</f>
        <v>7.8562971027098616E-4</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16.088054135707161</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368</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375</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377</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379</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384</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378</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381</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382</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383</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NuNryGifKGAXsd4oSGZsVybu2t4DthIq9NSWDinhPgh/Nd+oPOxFIuyDuETu3PMHsesYQM5Cffc7UgB3LETVg==" saltValue="bN2VmVgp/RWIeK0kDj9Yk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46235</v>
      </c>
    </row>
    <row r="2" spans="1:28" ht="16" customHeight="1" thickBot="1">
      <c r="A2" s="129"/>
      <c r="B2" s="234"/>
      <c r="C2" s="243"/>
      <c r="D2" s="245"/>
      <c r="E2" s="245"/>
      <c r="F2" s="245"/>
      <c r="G2" s="247"/>
      <c r="H2" s="238"/>
      <c r="I2" s="213"/>
      <c r="J2" s="215"/>
      <c r="K2" s="217"/>
      <c r="L2" s="219"/>
      <c r="M2" s="221"/>
      <c r="N2" s="235"/>
      <c r="AB2" s="41">
        <f>EOMONTH(DATE(LOHNTABELLE!$G$3, $A$1, 1), 0)</f>
        <v>46265</v>
      </c>
    </row>
    <row r="3" spans="1:28" ht="16" customHeight="1">
      <c r="A3" s="130" t="s">
        <v>60</v>
      </c>
      <c r="B3" s="169">
        <v>55</v>
      </c>
      <c r="C3" s="166" t="s">
        <v>380</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EINSTELLUNG!I13</f>
        <v>8</v>
      </c>
      <c r="Q5" s="48">
        <f>P5-O5</f>
        <v>-857.62444905920199</v>
      </c>
      <c r="R5" s="52">
        <f>IFERROR(Q5*Q42, 0)</f>
        <v>-13816.417085114812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8925.4</v>
      </c>
      <c r="R8" s="32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EINSTELLUNG!L29</f>
        <v>8</v>
      </c>
      <c r="R9" s="329"/>
      <c r="S9" s="53">
        <f>IFERROR(Q9/Q8, 0)</f>
        <v>8.9631837228583595E-4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EINSTELLUNG!I29</f>
        <v>8</v>
      </c>
      <c r="R10" s="32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8</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80</v>
      </c>
      <c r="P12" s="328"/>
      <c r="Q12" s="329">
        <f>Q8-Q9-Q10-Q11</f>
        <v>8901.4</v>
      </c>
      <c r="R12" s="32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82</v>
      </c>
      <c r="P13" s="328"/>
      <c r="Q13" s="329">
        <f>EINSTELLUNG!L13</f>
        <v>8</v>
      </c>
      <c r="R13" s="32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84</v>
      </c>
      <c r="P14" s="328"/>
      <c r="Q14" s="329">
        <f>Q12-Q13</f>
        <v>8893.4</v>
      </c>
      <c r="R14" s="32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64" t="str">
        <f>IF(Q14&lt;0, "Schlecht! Zu wenig Stunden für Dienstplan.", IF(Q14&gt;0, "Du hast mehr als genug Stunden für Dienstplan.", ""))</f>
        <v>Du hast mehr als genug Stunden für Dienstplan.</v>
      </c>
      <c r="P15" s="364"/>
      <c r="Q15" s="364"/>
      <c r="R15" s="36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357"/>
      <c r="Q17" s="351">
        <f>SUM(L3:L82)</f>
        <v>143789.10161290321</v>
      </c>
      <c r="R17" s="35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1"/>
      <c r="P18" s="359"/>
      <c r="Q18" s="358"/>
      <c r="R18" s="337"/>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61"/>
      <c r="P19" s="359"/>
      <c r="Q19" s="358"/>
      <c r="R19" s="337"/>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1"/>
      <c r="P22" s="359"/>
      <c r="Q22" s="358"/>
      <c r="R22" s="337"/>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3"/>
      <c r="P26" s="344"/>
      <c r="Q26" s="334"/>
      <c r="R26" s="33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EINSTELLUNG!O13</f>
        <v>8</v>
      </c>
      <c r="R29" s="332"/>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69">
        <v>0</v>
      </c>
      <c r="P31" s="345"/>
      <c r="Q31" s="346">
        <v>1.8518518518518517E-2</v>
      </c>
      <c r="R31" s="347"/>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8"/>
      <c r="P34" s="349"/>
      <c r="Q34" s="362"/>
      <c r="R34" s="362"/>
      <c r="S34" s="363"/>
      <c r="T34" s="363"/>
      <c r="U34" s="363"/>
      <c r="V34" s="363"/>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09" t="s">
        <v>113</v>
      </c>
      <c r="P35" s="290"/>
      <c r="Q35" s="292">
        <f>EINSTELLUNG!C13</f>
        <v>8</v>
      </c>
      <c r="R35" s="292"/>
      <c r="S35" s="292">
        <f>EINSTELLUNG!C29</f>
        <v>8</v>
      </c>
      <c r="T35" s="292"/>
      <c r="U35" s="293">
        <f>S35-Q35</f>
        <v>0</v>
      </c>
      <c r="V35" s="293"/>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09" t="s">
        <v>115</v>
      </c>
      <c r="P36" s="290"/>
      <c r="Q36" s="292">
        <f>EINSTELLUNG!D13</f>
        <v>8</v>
      </c>
      <c r="R36" s="292"/>
      <c r="S36" s="210" cm="1">
        <f t="array" ref="S36">SumMergedCells(Q17:R29)</f>
        <v>148797.10159999999</v>
      </c>
      <c r="T36" s="211"/>
      <c r="U36" s="293">
        <f t="shared" ref="U36:U41" si="0">S36-Q36</f>
        <v>148789.10159999999</v>
      </c>
      <c r="V36" s="293"/>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09" t="s">
        <v>117</v>
      </c>
      <c r="P37" s="290"/>
      <c r="Q37" s="352">
        <f>IF(ISERROR(Q36/Q35), 0, Q36/Q35)</f>
        <v>1</v>
      </c>
      <c r="R37" s="352"/>
      <c r="S37" s="222">
        <f>IF(ISERROR(S36/S35), 0, S36/S35)</f>
        <v>18599.637699999999</v>
      </c>
      <c r="T37" s="223"/>
      <c r="U37" s="300">
        <f t="shared" si="0"/>
        <v>18598.637699999999</v>
      </c>
      <c r="V37" s="300"/>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09" t="s">
        <v>119</v>
      </c>
      <c r="P38" s="290"/>
      <c r="Q38" s="294">
        <f>EINSTELLUNG!F13</f>
        <v>8</v>
      </c>
      <c r="R38" s="294"/>
      <c r="S38" s="294">
        <f>EINSTELLUNG!F29</f>
        <v>8</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IF(Q12=0, 0, Q35/Q12)</f>
        <v>8.987350304446492E-4</v>
      </c>
      <c r="R40" s="292"/>
      <c r="S40" s="292">
        <f>IF(Q12=0, 0, S35/Q12)</f>
        <v>8.987350304446492E-4</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IF(Q12=0, 0, Q38/Q12)</f>
        <v>8.987350304446492E-4</v>
      </c>
      <c r="R41" s="294"/>
      <c r="S41" s="294">
        <f>IF(Q12=0, 0, S38/Q12)</f>
        <v>8.987350304446492E-4</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16.11010168876501</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9"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368</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375</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377</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379</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384</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378</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381</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382</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383</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OS5J0ERFMHXRjhmlWKi+HAx2UwQPlixXAO+bS8KXiIthKIzbvwUwtYyAwJ98tJzZ2ydIxbbj8+owUXMUE4cP4w==" saltValue="yJfFDVQdbyl3n4mMTKqojA=="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20"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46266</v>
      </c>
    </row>
    <row r="2" spans="1:28" ht="16" customHeight="1" thickBot="1">
      <c r="A2" s="129"/>
      <c r="B2" s="234"/>
      <c r="C2" s="243"/>
      <c r="D2" s="245"/>
      <c r="E2" s="245"/>
      <c r="F2" s="245"/>
      <c r="G2" s="247"/>
      <c r="H2" s="238"/>
      <c r="I2" s="213"/>
      <c r="J2" s="215"/>
      <c r="K2" s="217"/>
      <c r="L2" s="219"/>
      <c r="M2" s="221"/>
      <c r="N2" s="235"/>
      <c r="AB2" s="41">
        <f>EOMONTH(DATE(LOHNTABELLE!$G$3, $A$1, 1), 0)</f>
        <v>46295</v>
      </c>
    </row>
    <row r="3" spans="1:28" ht="16" customHeight="1">
      <c r="A3" s="130" t="s">
        <v>60</v>
      </c>
      <c r="B3" s="169">
        <v>55</v>
      </c>
      <c r="C3" s="166" t="s">
        <v>380</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EINSTELLUNG!I14</f>
        <v>9</v>
      </c>
      <c r="Q5" s="48">
        <f>P5-O5</f>
        <v>-850.3643883002909</v>
      </c>
      <c r="R5" s="52">
        <f>IFERROR(Q5*Q42, 0)</f>
        <v>-14016.586584215618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8905.1799999999985</v>
      </c>
      <c r="R8" s="32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EINSTELLUNG!L30</f>
        <v>9</v>
      </c>
      <c r="R9" s="329"/>
      <c r="S9" s="53">
        <f>IFERROR(Q9/Q8, 0)</f>
        <v>1.0106477353630137E-3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EINSTELLUNG!I30</f>
        <v>9</v>
      </c>
      <c r="R10" s="32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9</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78</v>
      </c>
      <c r="P12" s="328"/>
      <c r="Q12" s="350">
        <v>167</v>
      </c>
      <c r="R12" s="350"/>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80</v>
      </c>
      <c r="P13" s="328"/>
      <c r="Q13" s="329">
        <f>Q8-Q9-Q10-Q11-Q12</f>
        <v>8711.1799999999985</v>
      </c>
      <c r="R13" s="32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82</v>
      </c>
      <c r="P14" s="328"/>
      <c r="Q14" s="329">
        <f>EINSTELLUNG!L14</f>
        <v>9</v>
      </c>
      <c r="R14" s="32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31" t="s">
        <v>84</v>
      </c>
      <c r="P15" s="328"/>
      <c r="Q15" s="329">
        <f>Q13-Q14</f>
        <v>8702.1799999999985</v>
      </c>
      <c r="R15" s="32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56" t="str">
        <f>IF(Q15&lt;0, "Schlecht! Zu wenig Stunden für Dienstplan.", IF(Q15&gt;0, "Du hast mehr als genug Stunden für Dienstplan.", ""))</f>
        <v>Du hast mehr als genug Stunden für Dienstplan.</v>
      </c>
      <c r="P16" s="356"/>
      <c r="Q16" s="356"/>
      <c r="R16" s="356"/>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357"/>
      <c r="Q17" s="351">
        <f>SUM(L3:L82)</f>
        <v>146784.4</v>
      </c>
      <c r="R17" s="35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1"/>
      <c r="P18" s="359"/>
      <c r="Q18" s="358"/>
      <c r="R18" s="337"/>
    </row>
    <row r="19" spans="1:29" ht="16" customHeight="1">
      <c r="A19" s="130" t="s">
        <v>89</v>
      </c>
      <c r="B19" s="170">
        <v>401476</v>
      </c>
      <c r="C19" s="168"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61"/>
      <c r="P19" s="359"/>
      <c r="Q19" s="358"/>
      <c r="R19" s="337"/>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1"/>
      <c r="P22" s="359"/>
      <c r="Q22" s="358"/>
      <c r="R22" s="337"/>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1"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3"/>
      <c r="P26" s="344"/>
      <c r="Q26" s="334"/>
      <c r="R26" s="33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EINSTELLUNG!O14</f>
        <v>9</v>
      </c>
      <c r="R29" s="332"/>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69">
        <v>0</v>
      </c>
      <c r="P31" s="345"/>
      <c r="Q31" s="346">
        <v>0</v>
      </c>
      <c r="R31" s="347"/>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8"/>
      <c r="P34" s="349"/>
      <c r="Q34" s="362"/>
      <c r="R34" s="362"/>
      <c r="S34" s="363"/>
      <c r="T34" s="363"/>
      <c r="U34" s="363"/>
      <c r="V34" s="363"/>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09" t="s">
        <v>113</v>
      </c>
      <c r="P35" s="290"/>
      <c r="Q35" s="292">
        <f>EINSTELLUNG!C14</f>
        <v>9</v>
      </c>
      <c r="R35" s="292"/>
      <c r="S35" s="292">
        <f>EINSTELLUNG!C30</f>
        <v>9</v>
      </c>
      <c r="T35" s="292"/>
      <c r="U35" s="293">
        <f>S35-Q35</f>
        <v>0</v>
      </c>
      <c r="V35" s="293"/>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09" t="s">
        <v>115</v>
      </c>
      <c r="P36" s="290"/>
      <c r="Q36" s="292">
        <f>EINSTELLUNG!D14</f>
        <v>9</v>
      </c>
      <c r="R36" s="292"/>
      <c r="S36" s="210" cm="1">
        <f t="array" ref="S36">SumMergedCells(Q17:R29)</f>
        <v>151793.4</v>
      </c>
      <c r="T36" s="211"/>
      <c r="U36" s="293">
        <f t="shared" ref="U36:U41" si="0">S36-Q36</f>
        <v>151784.4</v>
      </c>
      <c r="V36" s="293"/>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09" t="s">
        <v>117</v>
      </c>
      <c r="P37" s="290"/>
      <c r="Q37" s="352">
        <f>IF(ISERROR(Q36/Q35), 0, Q36/Q35)</f>
        <v>1</v>
      </c>
      <c r="R37" s="352"/>
      <c r="S37" s="352">
        <f>IF(ISERROR(S36/S35), 0, S36/S35)</f>
        <v>16865.933333333334</v>
      </c>
      <c r="T37" s="352"/>
      <c r="U37" s="300">
        <f t="shared" si="0"/>
        <v>16864.933333333334</v>
      </c>
      <c r="V37" s="300"/>
    </row>
    <row r="38" spans="1:24" ht="16" customHeight="1">
      <c r="A38" s="131" t="s">
        <v>118</v>
      </c>
      <c r="B38" s="170">
        <v>401717</v>
      </c>
      <c r="C38" s="139"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09" t="s">
        <v>119</v>
      </c>
      <c r="P38" s="290"/>
      <c r="Q38" s="294">
        <f>EINSTELLUNG!F14</f>
        <v>9</v>
      </c>
      <c r="R38" s="294"/>
      <c r="S38" s="294">
        <f>EINSTELLUNG!F30</f>
        <v>9</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IF(Q13=0, 0, Q35/Q13)</f>
        <v>1.0331550949469533E-3</v>
      </c>
      <c r="R40" s="292"/>
      <c r="S40" s="292">
        <f>IF(Q13=0, 0, S35/Q13)</f>
        <v>1.0331550949469533E-3</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IF(Q13=0, 0, Q38/Q13)</f>
        <v>1.0331550949469533E-3</v>
      </c>
      <c r="R41" s="294"/>
      <c r="S41" s="294">
        <f>IF(Q13=0, 0, S38/Q13)</f>
        <v>1.0331550949469533E-3</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16.483035716290971</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368</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375</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377</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379</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384</v>
      </c>
      <c r="D57" s="203">
        <v>46054</v>
      </c>
      <c r="E57" s="134" t="s">
        <v>4</v>
      </c>
      <c r="F57" s="136">
        <v>151.38</v>
      </c>
      <c r="G57" s="192">
        <v>5000</v>
      </c>
      <c r="H57" s="158">
        <f>IF(AND(ISNUMBER(D57), ISNUMBER(F57)),
    ROUNDDOWN(
        MIN(
            IF(OR(ISBLANK(I57), I57=""),
                EOMONTH(DATE(LOHNTABELLE!$G$3, $A$1, 1), 0), I57)
            - MAX(D57, DATE(LOHNTABELLE!$G$3, $A$1, 1)) + 1)
        / DAY(EOMONTH(DATE(LOHNTABELLE!$G$3, $A$1, 1), 0)) * F57,
        2
    ),
    ""
)</f>
        <v>151.38</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378</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381</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382</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383</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cul7h/BnZxUGh42s740Zq8KFFK2Cr2W/FfWXb1wvHql0HxEoFvF2VdhDUiaZaTYM26QaYfKr3pjNtTBNArQKw==" saltValue="zA3gJMl5FtAWCYabagelT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2">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 type="list" allowBlank="1" showInputMessage="1" showErrorMessage="1" sqref="F62" xr:uid="{CA888291-FFEC-884F-AE04-A4BBCE42294A}">
      <formula1>KV_DD_SEPTEMBER_62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46296</v>
      </c>
    </row>
    <row r="2" spans="1:28" ht="16" customHeight="1" thickBot="1">
      <c r="A2" s="129"/>
      <c r="B2" s="234"/>
      <c r="C2" s="243"/>
      <c r="D2" s="245"/>
      <c r="E2" s="245"/>
      <c r="F2" s="245"/>
      <c r="G2" s="247"/>
      <c r="H2" s="238"/>
      <c r="I2" s="213"/>
      <c r="J2" s="215"/>
      <c r="K2" s="217"/>
      <c r="L2" s="219"/>
      <c r="M2" s="221"/>
      <c r="N2" s="235"/>
      <c r="AB2" s="41">
        <f>EOMONTH(DATE(LOHNTABELLE!$G$3, $A$1, 1), 0)</f>
        <v>46326</v>
      </c>
    </row>
    <row r="3" spans="1:28" ht="16" customHeight="1">
      <c r="A3" s="130" t="s">
        <v>60</v>
      </c>
      <c r="B3" s="169">
        <v>55</v>
      </c>
      <c r="C3" s="166" t="s">
        <v>380</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EINSTELLUNG!I15</f>
        <v>10</v>
      </c>
      <c r="Q5" s="48">
        <f>P5-O5</f>
        <v>-849.3643883002909</v>
      </c>
      <c r="R5" s="52">
        <f>IFERROR(Q5*Q42, 0)</f>
        <v>-14000.103548499328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8905.1799999999985</v>
      </c>
      <c r="R8" s="32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EINSTELLUNG!L31</f>
        <v>10</v>
      </c>
      <c r="R9" s="329"/>
      <c r="S9" s="53">
        <f>IFERROR(Q9/Q8, 0)</f>
        <v>1.1229419281811263E-3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EINSTELLUNG!I31</f>
        <v>10</v>
      </c>
      <c r="R10" s="32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10</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78</v>
      </c>
      <c r="P12" s="328"/>
      <c r="Q12" s="350">
        <v>-121</v>
      </c>
      <c r="R12" s="35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80</v>
      </c>
      <c r="P13" s="328"/>
      <c r="Q13" s="329">
        <f>Q8-Q9-Q10-Q11-Q12</f>
        <v>8996.1799999999985</v>
      </c>
      <c r="R13" s="32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82</v>
      </c>
      <c r="P14" s="328"/>
      <c r="Q14" s="329">
        <f>EINSTELLUNG!L15</f>
        <v>10</v>
      </c>
      <c r="R14" s="32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31" t="s">
        <v>84</v>
      </c>
      <c r="P15" s="328"/>
      <c r="Q15" s="329">
        <f>Q13-Q14</f>
        <v>8986.1799999999985</v>
      </c>
      <c r="R15" s="32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56" t="str">
        <f>IF(Q15&lt;0, "Schlecht! Zu wenig Stunden für Dienstplan.", IF(Q15&gt;0, "Du hast mehr als genug Stunden für Dienstplan.", ""))</f>
        <v>Du hast mehr als genug Stunden für Dienstplan.</v>
      </c>
      <c r="P16" s="356"/>
      <c r="Q16" s="356"/>
      <c r="R16" s="356"/>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357"/>
      <c r="Q17" s="351">
        <f>SUM(L3:L82)</f>
        <v>146784.4</v>
      </c>
      <c r="R17" s="35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1"/>
      <c r="P18" s="359"/>
      <c r="Q18" s="358"/>
      <c r="R18" s="337"/>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61"/>
      <c r="P19" s="359"/>
      <c r="Q19" s="358"/>
      <c r="R19" s="337"/>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1"/>
      <c r="P22" s="359"/>
      <c r="Q22" s="358"/>
      <c r="R22" s="337"/>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3"/>
      <c r="P26" s="344"/>
      <c r="Q26" s="334"/>
      <c r="R26" s="33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EINSTELLUNG!O15</f>
        <v>10</v>
      </c>
      <c r="R29" s="332"/>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69">
        <v>0</v>
      </c>
      <c r="P31" s="345"/>
      <c r="Q31" s="346">
        <v>0</v>
      </c>
      <c r="R31" s="347"/>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8"/>
      <c r="P34" s="349"/>
      <c r="Q34" s="362"/>
      <c r="R34" s="362"/>
      <c r="S34" s="363"/>
      <c r="T34" s="363"/>
      <c r="U34" s="363"/>
      <c r="V34" s="363"/>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09" t="s">
        <v>113</v>
      </c>
      <c r="P35" s="290"/>
      <c r="Q35" s="292">
        <f>EINSTELLUNG!C15</f>
        <v>10</v>
      </c>
      <c r="R35" s="292"/>
      <c r="S35" s="292">
        <f>EINSTELLUNG!C31</f>
        <v>10</v>
      </c>
      <c r="T35" s="292"/>
      <c r="U35" s="293">
        <f>S35-Q35</f>
        <v>0</v>
      </c>
      <c r="V35" s="293"/>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09" t="s">
        <v>115</v>
      </c>
      <c r="P36" s="290"/>
      <c r="Q36" s="292">
        <f>EINSTELLUNG!D15</f>
        <v>10</v>
      </c>
      <c r="R36" s="292"/>
      <c r="S36" s="210" cm="1">
        <f t="array" ref="S36">SumMergedCells(Q17:R29)</f>
        <v>151794.4</v>
      </c>
      <c r="T36" s="211"/>
      <c r="U36" s="293">
        <f t="shared" ref="U36:U41" si="0">S36-Q36</f>
        <v>151784.4</v>
      </c>
      <c r="V36" s="293"/>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09" t="s">
        <v>117</v>
      </c>
      <c r="P37" s="290"/>
      <c r="Q37" s="352">
        <f>IF(ISERROR(Q36/Q35), 0, Q36/Q35)</f>
        <v>1</v>
      </c>
      <c r="R37" s="352"/>
      <c r="S37" s="352">
        <f>IF(ISERROR(S36/S35), 0, S36/S35)</f>
        <v>15179.439999999999</v>
      </c>
      <c r="T37" s="352"/>
      <c r="U37" s="300">
        <f t="shared" si="0"/>
        <v>15178.439999999999</v>
      </c>
      <c r="V37" s="300"/>
    </row>
    <row r="38" spans="1:24" ht="16" customHeight="1">
      <c r="A38" s="130" t="s">
        <v>118</v>
      </c>
      <c r="B38" s="170">
        <v>401717</v>
      </c>
      <c r="C38" s="139"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09" t="s">
        <v>119</v>
      </c>
      <c r="P38" s="290"/>
      <c r="Q38" s="294">
        <f>EINSTELLUNG!F15</f>
        <v>10</v>
      </c>
      <c r="R38" s="294"/>
      <c r="S38" s="294">
        <f>EINSTELLUNG!F31</f>
        <v>10</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IF(Q13=0, 0, Q35/Q13)</f>
        <v>1.1115829163044762E-3</v>
      </c>
      <c r="R40" s="292"/>
      <c r="S40" s="292">
        <f>IF(Q13=0, 0, S35/Q13)</f>
        <v>1.1115829163044762E-3</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IF(Q13=0, 0, Q38/Q13)</f>
        <v>1.1115829163044762E-3</v>
      </c>
      <c r="R41" s="294"/>
      <c r="S41" s="294">
        <f>IF(Q13=0, 0, S38/Q13)</f>
        <v>1.1115829163044762E-3</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16.483035716290971</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368</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375</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377</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379</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384</v>
      </c>
      <c r="D57" s="203">
        <v>46054</v>
      </c>
      <c r="E57" s="134" t="s">
        <v>4</v>
      </c>
      <c r="F57" s="136">
        <v>151.38</v>
      </c>
      <c r="G57" s="192">
        <v>5000</v>
      </c>
      <c r="H57" s="158">
        <f>IF(AND(ISNUMBER(D57), ISNUMBER(F57)),
    ROUNDDOWN(
        MIN(
            IF(OR(ISBLANK(I57), I57=""),
                EOMONTH(DATE(LOHNTABELLE!$G$3, $A$1, 1), 0), I57)
            - MAX(D57, DATE(LOHNTABELLE!$G$3, $A$1, 1)) + 1)
        / DAY(EOMONTH(DATE(LOHNTABELLE!$G$3, $A$1, 1), 0)) * F57,
        2
    ),
    ""
)</f>
        <v>151.38</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378</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381</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382</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383</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g5IAuTYdMa+jNkwZxbBO3+hAWjA5ZgQgs7eg6P00a9iDdbyU6k42yMS/nmqNEsS7di7uw6pA0Dy/75Q+N9UySQ==" saltValue="XO42kiO1cir5JvhI9O568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46327</v>
      </c>
    </row>
    <row r="2" spans="1:28" ht="16" customHeight="1" thickBot="1">
      <c r="A2" s="129"/>
      <c r="B2" s="234"/>
      <c r="C2" s="243"/>
      <c r="D2" s="245"/>
      <c r="E2" s="245"/>
      <c r="F2" s="245"/>
      <c r="G2" s="247"/>
      <c r="H2" s="238"/>
      <c r="I2" s="213"/>
      <c r="J2" s="215"/>
      <c r="K2" s="217"/>
      <c r="L2" s="219"/>
      <c r="M2" s="221"/>
      <c r="N2" s="235"/>
      <c r="AB2" s="41">
        <f>EOMONTH(DATE(LOHNTABELLE!$G$3, $A$1, 1), 0)</f>
        <v>46356</v>
      </c>
    </row>
    <row r="3" spans="1:28" ht="16" customHeight="1">
      <c r="A3" s="130" t="s">
        <v>60</v>
      </c>
      <c r="B3" s="169">
        <v>55</v>
      </c>
      <c r="C3" s="166" t="s">
        <v>380</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EINSTELLUNG!I16</f>
        <v>11</v>
      </c>
      <c r="Q5" s="48">
        <f>P5-O5</f>
        <v>-848.3643883002909</v>
      </c>
      <c r="R5" s="52">
        <f>IFERROR(Q5*Q42, 0)</f>
        <v>-13983.620512783036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8905.1799999999985</v>
      </c>
      <c r="R8" s="32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EINSTELLUNG!L32</f>
        <v>11</v>
      </c>
      <c r="R9" s="329"/>
      <c r="S9" s="53">
        <f>IFERROR(Q9/Q8, 0)</f>
        <v>1.2352361209992389E-3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EINSTELLUNG!I32</f>
        <v>11</v>
      </c>
      <c r="R10" s="32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11</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80</v>
      </c>
      <c r="P12" s="328"/>
      <c r="Q12" s="329">
        <f>Q8-Q9-Q10-Q11</f>
        <v>8872.1799999999985</v>
      </c>
      <c r="R12" s="329"/>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82</v>
      </c>
      <c r="P13" s="328"/>
      <c r="Q13" s="329">
        <f>EINSTELLUNG!L16</f>
        <v>11</v>
      </c>
      <c r="R13" s="32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84</v>
      </c>
      <c r="P14" s="328"/>
      <c r="Q14" s="329">
        <f>Q12-Q13</f>
        <v>8861.1799999999985</v>
      </c>
      <c r="R14" s="32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64" t="str">
        <f>IF(Q14&lt;0, "Schlecht! Zu wenig Stunden für Dienstplan.", IF(Q14&gt;0, "Du hast mehr als genug Stunden für Dienstplan.", ""))</f>
        <v>Du hast mehr als genug Stunden für Dienstplan.</v>
      </c>
      <c r="P15" s="364"/>
      <c r="Q15" s="364"/>
      <c r="R15" s="36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357"/>
      <c r="Q17" s="351">
        <f>SUM(L3:L82)</f>
        <v>146784.4</v>
      </c>
      <c r="R17" s="35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1"/>
      <c r="P18" s="359"/>
      <c r="Q18" s="358"/>
      <c r="R18" s="337"/>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61"/>
      <c r="P19" s="359"/>
      <c r="Q19" s="358"/>
      <c r="R19" s="337"/>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1"/>
      <c r="P22" s="359"/>
      <c r="Q22" s="358"/>
      <c r="R22" s="337"/>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1"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3"/>
      <c r="P26" s="344"/>
      <c r="Q26" s="334"/>
      <c r="R26" s="33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79"/>
      <c r="P27" s="336"/>
      <c r="Q27" s="337"/>
      <c r="R27" s="338"/>
      <c r="S27" s="264" t="s">
        <v>99</v>
      </c>
      <c r="T27" s="265"/>
      <c r="U27" s="265"/>
      <c r="V27" s="265"/>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3"/>
      <c r="P28" s="339"/>
      <c r="Q28" s="340"/>
      <c r="R28" s="341"/>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7" t="s">
        <v>102</v>
      </c>
      <c r="P29" s="330"/>
      <c r="Q29" s="331">
        <f>EINSTELLUNG!O16</f>
        <v>11</v>
      </c>
      <c r="R29" s="332"/>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69">
        <v>0</v>
      </c>
      <c r="P31" s="345"/>
      <c r="Q31" s="346">
        <v>0</v>
      </c>
      <c r="R31" s="347"/>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8"/>
      <c r="P34" s="349"/>
      <c r="Q34" s="362"/>
      <c r="R34" s="362"/>
      <c r="S34" s="363"/>
      <c r="T34" s="363"/>
      <c r="U34" s="363"/>
      <c r="V34" s="363"/>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09" t="s">
        <v>113</v>
      </c>
      <c r="P35" s="290"/>
      <c r="Q35" s="292">
        <f>EINSTELLUNG!C16</f>
        <v>11</v>
      </c>
      <c r="R35" s="292"/>
      <c r="S35" s="292">
        <f>EINSTELLUNG!C32</f>
        <v>11</v>
      </c>
      <c r="T35" s="292"/>
      <c r="U35" s="293">
        <f>S35-Q35</f>
        <v>0</v>
      </c>
      <c r="V35" s="293"/>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09" t="s">
        <v>115</v>
      </c>
      <c r="P36" s="290"/>
      <c r="Q36" s="292">
        <f>EINSTELLUNG!D16</f>
        <v>11</v>
      </c>
      <c r="R36" s="292"/>
      <c r="S36" s="210" cm="1">
        <f t="array" ref="S36">SumMergedCells(Q17:R29)</f>
        <v>151795.4</v>
      </c>
      <c r="T36" s="211"/>
      <c r="U36" s="293">
        <f t="shared" ref="U36:U41" si="0">S36-Q36</f>
        <v>151784.4</v>
      </c>
      <c r="V36" s="293"/>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09" t="s">
        <v>117</v>
      </c>
      <c r="P37" s="290"/>
      <c r="Q37" s="352">
        <f>IF(ISERROR(Q36/Q35), 0, Q36/Q35)</f>
        <v>1</v>
      </c>
      <c r="R37" s="352"/>
      <c r="S37" s="352">
        <f>IF(ISERROR(S36/S35), 0, S36/S35)</f>
        <v>13799.581818181818</v>
      </c>
      <c r="T37" s="352"/>
      <c r="U37" s="300">
        <f t="shared" si="0"/>
        <v>13798.581818181818</v>
      </c>
      <c r="V37" s="300"/>
    </row>
    <row r="38" spans="1:24" ht="16" customHeight="1">
      <c r="A38" s="131" t="s">
        <v>118</v>
      </c>
      <c r="B38" s="170">
        <v>401717</v>
      </c>
      <c r="C38" s="139"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09" t="s">
        <v>119</v>
      </c>
      <c r="P38" s="290"/>
      <c r="Q38" s="294">
        <f>EINSTELLUNG!F16</f>
        <v>11</v>
      </c>
      <c r="R38" s="294"/>
      <c r="S38" s="294">
        <f>EINSTELLUNG!F32</f>
        <v>11</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IF(Q12=0, 0, Q35/Q12)</f>
        <v>1.2398305715168088E-3</v>
      </c>
      <c r="R40" s="292"/>
      <c r="S40" s="292">
        <f>IF(Q12=0, 0, S35/Q12)</f>
        <v>1.2398305715168088E-3</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IF(Q12=0, 0, Q38/Q12)</f>
        <v>1.2398305715168088E-3</v>
      </c>
      <c r="R41" s="294"/>
      <c r="S41" s="294">
        <f>IF(Q12=0, 0, S38/Q12)</f>
        <v>1.2398305715168088E-3</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16.483035716290971</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368</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375</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377</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379</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384</v>
      </c>
      <c r="D57" s="203">
        <v>46054</v>
      </c>
      <c r="E57" s="134" t="s">
        <v>4</v>
      </c>
      <c r="F57" s="136">
        <v>151.38</v>
      </c>
      <c r="G57" s="192">
        <v>5000</v>
      </c>
      <c r="H57" s="158">
        <f>IF(AND(ISNUMBER(D57), ISNUMBER(F57)),
    ROUNDDOWN(
        MIN(
            IF(OR(ISBLANK(I57), I57=""),
                EOMONTH(DATE(LOHNTABELLE!$G$3, $A$1, 1), 0), I57)
            - MAX(D57, DATE(LOHNTABELLE!$G$3, $A$1, 1)) + 1)
        / DAY(EOMONTH(DATE(LOHNTABELLE!$G$3, $A$1, 1), 0)) * F57,
        2
    ),
    ""
)</f>
        <v>151.38</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378</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381</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382</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383</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5hWLEDrcbYj4eFMmtLHIC17QnbBx5EpS4ihV8EBo11Q3iLRCucslDIn2TspdMBZ8wxMdAc0oud+O30t8UBT07g==" saltValue="15AfWGaUbAYMxhKdCbMT9Q=="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34" t="s">
        <v>205</v>
      </c>
      <c r="C1" s="242" t="s">
        <v>52</v>
      </c>
      <c r="D1" s="244" t="s">
        <v>206</v>
      </c>
      <c r="E1" s="244" t="s">
        <v>0</v>
      </c>
      <c r="F1" s="244" t="s">
        <v>53</v>
      </c>
      <c r="G1" s="246" t="s">
        <v>54</v>
      </c>
      <c r="H1" s="237" t="s">
        <v>55</v>
      </c>
      <c r="I1" s="212" t="s">
        <v>207</v>
      </c>
      <c r="J1" s="214" t="s">
        <v>56</v>
      </c>
      <c r="K1" s="216" t="s">
        <v>57</v>
      </c>
      <c r="L1" s="218" t="s">
        <v>58</v>
      </c>
      <c r="M1" s="220" t="s">
        <v>59</v>
      </c>
      <c r="N1" s="235" t="s">
        <v>208</v>
      </c>
      <c r="AB1" s="41">
        <f>DATE(LOHNTABELLE!$G$3, $A$1, 1)</f>
        <v>46357</v>
      </c>
    </row>
    <row r="2" spans="1:28" ht="16" customHeight="1" thickBot="1">
      <c r="A2" s="129"/>
      <c r="B2" s="234"/>
      <c r="C2" s="243"/>
      <c r="D2" s="245"/>
      <c r="E2" s="245"/>
      <c r="F2" s="245"/>
      <c r="G2" s="247"/>
      <c r="H2" s="238"/>
      <c r="I2" s="213"/>
      <c r="J2" s="215"/>
      <c r="K2" s="217"/>
      <c r="L2" s="219"/>
      <c r="M2" s="221"/>
      <c r="N2" s="235"/>
      <c r="AB2" s="41">
        <f>EOMONTH(DATE(LOHNTABELLE!$G$3, $A$1, 1), 0)</f>
        <v>46387</v>
      </c>
    </row>
    <row r="3" spans="1:28" ht="16" customHeight="1">
      <c r="A3" s="130" t="s">
        <v>60</v>
      </c>
      <c r="B3" s="169">
        <v>55</v>
      </c>
      <c r="C3" s="166" t="s">
        <v>380</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26" t="s">
        <v>61</v>
      </c>
      <c r="P3" s="226" t="s">
        <v>62</v>
      </c>
      <c r="Q3" s="228" t="s">
        <v>63</v>
      </c>
      <c r="R3" s="239"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27"/>
      <c r="P4" s="227"/>
      <c r="Q4" s="229"/>
      <c r="R4" s="240"/>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EINSTELLUNG!I17</f>
        <v>12</v>
      </c>
      <c r="Q5" s="48">
        <f>P5-O5</f>
        <v>-847.3643883002909</v>
      </c>
      <c r="R5" s="52">
        <f>IFERROR(Q5*Q42, 0)</f>
        <v>-13967.137477066746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3" t="str">
        <f>IF(Q5&lt;0, "Schlecht! Zu wenig Urlaub abgebaut.", IF(Q5&gt;0, "Gut! Mehr Urlaub abgebaut als aufgebaut.", ""))</f>
        <v>Schlecht! Zu wenig Urlaub abgebaut.</v>
      </c>
      <c r="P6" s="354"/>
      <c r="Q6" s="354"/>
      <c r="R6" s="355"/>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1" t="s">
        <v>70</v>
      </c>
      <c r="P8" s="328"/>
      <c r="Q8" s="329">
        <f>SUM(H3:H82)</f>
        <v>8905.1799999999985</v>
      </c>
      <c r="R8" s="32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1" t="s">
        <v>72</v>
      </c>
      <c r="P9" s="328"/>
      <c r="Q9" s="329">
        <f>EINSTELLUNG!L33</f>
        <v>12</v>
      </c>
      <c r="R9" s="329"/>
      <c r="S9" s="53">
        <f>IFERROR(Q9/Q8, 0)</f>
        <v>1.3475303138173514E-3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31" t="s">
        <v>74</v>
      </c>
      <c r="P10" s="328"/>
      <c r="Q10" s="329">
        <f>EINSTELLUNG!I33</f>
        <v>12</v>
      </c>
      <c r="R10" s="32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328"/>
      <c r="Q11" s="329">
        <f>P5</f>
        <v>12</v>
      </c>
      <c r="R11" s="32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78</v>
      </c>
      <c r="P12" s="328"/>
      <c r="Q12" s="350">
        <v>-303</v>
      </c>
      <c r="R12" s="35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80</v>
      </c>
      <c r="P13" s="328"/>
      <c r="Q13" s="329">
        <f>Q8-Q9-Q10-Q11-Q12</f>
        <v>9172.1799999999985</v>
      </c>
      <c r="R13" s="32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82</v>
      </c>
      <c r="P14" s="328"/>
      <c r="Q14" s="329">
        <f>EINSTELLUNG!L17</f>
        <v>12</v>
      </c>
      <c r="R14" s="329"/>
    </row>
    <row r="15" spans="1:28" ht="16" customHeight="1">
      <c r="A15" s="130" t="s">
        <v>83</v>
      </c>
      <c r="B15" s="170">
        <v>401308</v>
      </c>
      <c r="C15" s="139"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31" t="s">
        <v>84</v>
      </c>
      <c r="P15" s="328"/>
      <c r="Q15" s="329">
        <f>Q13-Q14</f>
        <v>9160.1799999999985</v>
      </c>
      <c r="R15" s="32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56" t="str">
        <f>IF(Q15&lt;0, "Schlecht! Zu wenig Stunden für Dienstplan.", IF(Q15&gt;0, "Du hast mehr als genug Stunden für Dienstplan.", ""))</f>
        <v>Du hast mehr als genug Stunden für Dienstplan.</v>
      </c>
      <c r="P16" s="356"/>
      <c r="Q16" s="356"/>
      <c r="R16" s="356"/>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357"/>
      <c r="Q17" s="351">
        <f>SUM(L3:L82)</f>
        <v>146784.4</v>
      </c>
      <c r="R17" s="35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1"/>
      <c r="P18" s="359"/>
      <c r="Q18" s="358"/>
      <c r="R18" s="337"/>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61"/>
      <c r="P19" s="359"/>
      <c r="Q19" s="358"/>
      <c r="R19" s="337"/>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61"/>
      <c r="P20" s="359"/>
      <c r="Q20" s="358"/>
      <c r="R20" s="337"/>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1" t="s">
        <v>369</v>
      </c>
      <c r="P21" s="359"/>
      <c r="Q21" s="358">
        <v>5000</v>
      </c>
      <c r="R21" s="337"/>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1"/>
      <c r="P22" s="359"/>
      <c r="Q22" s="358"/>
      <c r="R22" s="337"/>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61"/>
      <c r="P23" s="359"/>
      <c r="Q23" s="358"/>
      <c r="R23" s="337"/>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359"/>
      <c r="Q24" s="358"/>
      <c r="R24" s="337"/>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49"/>
      <c r="P25" s="360"/>
      <c r="Q25" s="361"/>
      <c r="R25" s="333"/>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3"/>
      <c r="P26" s="344"/>
      <c r="Q26" s="334"/>
      <c r="R26" s="33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79"/>
      <c r="P27" s="336"/>
      <c r="Q27" s="337"/>
      <c r="R27" s="338"/>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79"/>
      <c r="P28" s="336"/>
      <c r="Q28" s="337"/>
      <c r="R28" s="338"/>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65" t="s">
        <v>102</v>
      </c>
      <c r="P29" s="366"/>
      <c r="Q29" s="367">
        <f>EINSTELLUNG!O17</f>
        <v>12</v>
      </c>
      <c r="R29" s="368"/>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69">
        <v>0</v>
      </c>
      <c r="P31" s="345"/>
      <c r="Q31" s="346">
        <v>0</v>
      </c>
      <c r="R31" s="347"/>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8"/>
      <c r="P33" s="349"/>
      <c r="Q33" s="362" t="str">
        <f>EINSTELLUNG!B3</f>
        <v>Budget Zahlen</v>
      </c>
      <c r="R33" s="362"/>
      <c r="S33" s="363" t="str">
        <f>EINSTELLUNG!B19</f>
        <v>Projection/Aktuell Zahlen</v>
      </c>
      <c r="T33" s="363"/>
      <c r="U33" s="363" t="s">
        <v>110</v>
      </c>
      <c r="V33" s="363"/>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8"/>
      <c r="P34" s="349"/>
      <c r="Q34" s="362"/>
      <c r="R34" s="362"/>
      <c r="S34" s="363"/>
      <c r="T34" s="363"/>
      <c r="U34" s="363"/>
      <c r="V34" s="363"/>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09" t="s">
        <v>113</v>
      </c>
      <c r="P35" s="290"/>
      <c r="Q35" s="292">
        <f>EINSTELLUNG!C17</f>
        <v>12</v>
      </c>
      <c r="R35" s="292"/>
      <c r="S35" s="292">
        <f>EINSTELLUNG!C33</f>
        <v>12</v>
      </c>
      <c r="T35" s="292"/>
      <c r="U35" s="293">
        <f>S35-Q35</f>
        <v>0</v>
      </c>
      <c r="V35" s="293"/>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09" t="s">
        <v>115</v>
      </c>
      <c r="P36" s="290"/>
      <c r="Q36" s="292">
        <f>EINSTELLUNG!D17</f>
        <v>12</v>
      </c>
      <c r="R36" s="292"/>
      <c r="S36" s="210" cm="1">
        <f t="array" ref="S36">SumMergedCells(Q17:R29)</f>
        <v>151796.4</v>
      </c>
      <c r="T36" s="211"/>
      <c r="U36" s="293">
        <f t="shared" ref="U36:U41" si="0">S36-Q36</f>
        <v>151784.4</v>
      </c>
      <c r="V36" s="293"/>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09" t="s">
        <v>117</v>
      </c>
      <c r="P37" s="290"/>
      <c r="Q37" s="352">
        <f>IF(ISERROR(Q36/Q35), 0, Q36/Q35)</f>
        <v>1</v>
      </c>
      <c r="R37" s="352"/>
      <c r="S37" s="352">
        <f>IF(ISERROR(S36/S35), 0, S36/S35)</f>
        <v>12649.699999999999</v>
      </c>
      <c r="T37" s="352"/>
      <c r="U37" s="300">
        <f t="shared" si="0"/>
        <v>12648.699999999999</v>
      </c>
      <c r="V37" s="300"/>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09" t="s">
        <v>119</v>
      </c>
      <c r="P38" s="290"/>
      <c r="Q38" s="294">
        <f>EINSTELLUNG!F17</f>
        <v>12</v>
      </c>
      <c r="R38" s="294"/>
      <c r="S38" s="294">
        <f>EINSTELLUNG!F33</f>
        <v>12</v>
      </c>
      <c r="T38" s="294"/>
      <c r="U38" s="295">
        <f t="shared" si="0"/>
        <v>0</v>
      </c>
      <c r="V38" s="295"/>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90"/>
      <c r="Q39" s="292">
        <f>IF(Q38=0, 0, Q35/Q38)</f>
        <v>1</v>
      </c>
      <c r="R39" s="292"/>
      <c r="S39" s="292">
        <f>IF(S38=0, 0, S35/S38)</f>
        <v>1</v>
      </c>
      <c r="T39" s="292"/>
      <c r="U39" s="293">
        <f t="shared" si="0"/>
        <v>0</v>
      </c>
      <c r="V39" s="293"/>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09" t="s">
        <v>123</v>
      </c>
      <c r="P40" s="290"/>
      <c r="Q40" s="292">
        <f>IF(Q13=0, 0, Q35/Q13)</f>
        <v>1.3083040236890251E-3</v>
      </c>
      <c r="R40" s="292"/>
      <c r="S40" s="292">
        <f>IF(Q13=0, 0, S35/Q13)</f>
        <v>1.3083040236890251E-3</v>
      </c>
      <c r="T40" s="292"/>
      <c r="U40" s="293">
        <f t="shared" si="0"/>
        <v>0</v>
      </c>
      <c r="V40" s="293"/>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09" t="s">
        <v>125</v>
      </c>
      <c r="P41" s="290"/>
      <c r="Q41" s="294">
        <f>IF(Q13=0, 0, Q38/Q13)</f>
        <v>1.3083040236890251E-3</v>
      </c>
      <c r="R41" s="294"/>
      <c r="S41" s="294">
        <f>IF(Q13=0, 0, S38/Q13)</f>
        <v>1.3083040236890251E-3</v>
      </c>
      <c r="T41" s="294"/>
      <c r="U41" s="295">
        <f t="shared" si="0"/>
        <v>0</v>
      </c>
      <c r="V41" s="295"/>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09" t="s">
        <v>127</v>
      </c>
      <c r="P42" s="290"/>
      <c r="Q42" s="210">
        <f>IFERROR(Q17/Q8, 0)</f>
        <v>16.483035716290971</v>
      </c>
      <c r="R42" s="291"/>
      <c r="S42" s="291"/>
      <c r="T42" s="291"/>
      <c r="U42" s="291"/>
      <c r="V42" s="211"/>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368</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375</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377</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379</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384</v>
      </c>
      <c r="D57" s="203">
        <v>46054</v>
      </c>
      <c r="E57" s="134" t="s">
        <v>4</v>
      </c>
      <c r="F57" s="136">
        <v>151.38</v>
      </c>
      <c r="G57" s="192">
        <v>5000</v>
      </c>
      <c r="H57" s="158">
        <f>IF(AND(ISNUMBER(D57), ISNUMBER(F57)),
    ROUNDDOWN(
        MIN(
            IF(OR(ISBLANK(I57), I57=""),
                EOMONTH(DATE(LOHNTABELLE!$G$3, $A$1, 1), 0), I57)
            - MAX(D57, DATE(LOHNTABELLE!$G$3, $A$1, 1)) + 1)
        / DAY(EOMONTH(DATE(LOHNTABELLE!$G$3, $A$1, 1), 0)) * F57,
        2
    ),
    ""
)</f>
        <v>151.38</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378</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381</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382</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383</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D78ALU4XKrd2dkHB/FgfKNF9hURg2ZfdP15/iaKGSbWdT8N+xguP6FV7sGaTEfsWnDbbRdPUmu+aPr5zCqo54Q==" saltValue="6100sOT+l8bQAS/x3wZGeA=="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70" t="str">
        <f>"FINANZIELL ÜBERSICHT "&amp;LOHNTABELLE!G3</f>
        <v>FINANZIELL ÜBERSICHT 2026</v>
      </c>
      <c r="C2" s="370"/>
      <c r="D2" s="370"/>
      <c r="E2" s="370"/>
      <c r="F2" s="370"/>
      <c r="G2" s="370"/>
      <c r="H2" s="370"/>
      <c r="I2" s="370"/>
      <c r="J2" s="370"/>
      <c r="K2" s="370"/>
      <c r="L2" s="370"/>
      <c r="M2" s="370"/>
      <c r="N2" s="370"/>
      <c r="O2" s="370"/>
      <c r="P2" s="370"/>
      <c r="Q2" s="370"/>
      <c r="R2" s="2"/>
    </row>
    <row r="3" spans="2:18" ht="15.75" customHeight="1">
      <c r="B3" s="370"/>
      <c r="C3" s="370"/>
      <c r="D3" s="370"/>
      <c r="E3" s="370"/>
      <c r="F3" s="370"/>
      <c r="G3" s="370"/>
      <c r="H3" s="370"/>
      <c r="I3" s="370"/>
      <c r="J3" s="370"/>
      <c r="K3" s="370"/>
      <c r="L3" s="370"/>
      <c r="M3" s="370"/>
      <c r="N3" s="370"/>
      <c r="O3" s="370"/>
      <c r="P3" s="370"/>
      <c r="Q3" s="370"/>
      <c r="R3" s="2"/>
    </row>
    <row r="4" spans="2:18" ht="30" customHeight="1">
      <c r="B4" s="372"/>
      <c r="C4" s="371" t="s">
        <v>30</v>
      </c>
      <c r="D4" s="371"/>
      <c r="E4" s="371"/>
      <c r="F4" s="371" t="s">
        <v>176</v>
      </c>
      <c r="G4" s="371"/>
      <c r="H4" s="371"/>
      <c r="I4" s="371" t="s">
        <v>177</v>
      </c>
      <c r="J4" s="371"/>
      <c r="K4" s="371"/>
      <c r="L4" s="371" t="s">
        <v>178</v>
      </c>
      <c r="M4" s="371" t="s">
        <v>179</v>
      </c>
      <c r="N4" s="373" t="s">
        <v>180</v>
      </c>
      <c r="O4" s="373"/>
      <c r="P4" s="373"/>
      <c r="Q4" s="373" t="s">
        <v>105</v>
      </c>
    </row>
    <row r="5" spans="2:18" ht="30" customHeight="1">
      <c r="B5" s="372"/>
      <c r="C5" s="371"/>
      <c r="D5" s="371"/>
      <c r="E5" s="371"/>
      <c r="F5" s="371"/>
      <c r="G5" s="371"/>
      <c r="H5" s="371"/>
      <c r="I5" s="371"/>
      <c r="J5" s="371"/>
      <c r="K5" s="371"/>
      <c r="L5" s="371"/>
      <c r="M5" s="371"/>
      <c r="N5" s="373"/>
      <c r="O5" s="373"/>
      <c r="P5" s="373"/>
      <c r="Q5" s="373"/>
    </row>
    <row r="6" spans="2:18" ht="30" customHeight="1">
      <c r="B6" s="372"/>
      <c r="C6" s="60" t="s">
        <v>181</v>
      </c>
      <c r="D6" s="60" t="s">
        <v>182</v>
      </c>
      <c r="E6" s="61" t="s">
        <v>183</v>
      </c>
      <c r="F6" s="60" t="s">
        <v>181</v>
      </c>
      <c r="G6" s="60" t="s">
        <v>182</v>
      </c>
      <c r="H6" s="61" t="s">
        <v>183</v>
      </c>
      <c r="I6" s="60" t="s">
        <v>181</v>
      </c>
      <c r="J6" s="60" t="s">
        <v>182</v>
      </c>
      <c r="K6" s="61" t="s">
        <v>183</v>
      </c>
      <c r="L6" s="371"/>
      <c r="M6" s="371"/>
      <c r="N6" s="60" t="s">
        <v>184</v>
      </c>
      <c r="O6" s="60" t="s">
        <v>185</v>
      </c>
      <c r="P6" s="61" t="s">
        <v>183</v>
      </c>
      <c r="Q6" s="373"/>
    </row>
    <row r="7" spans="2:18" ht="30" customHeight="1">
      <c r="B7" s="63" t="s">
        <v>186</v>
      </c>
      <c r="C7" s="65">
        <f>EINSTELLUNG!C6</f>
        <v>1</v>
      </c>
      <c r="D7" s="65">
        <f>EINSTELLUNG!C22</f>
        <v>1</v>
      </c>
      <c r="E7" s="83">
        <f>D7-C7</f>
        <v>0</v>
      </c>
      <c r="F7" s="65">
        <f>EINSTELLUNG!D6</f>
        <v>1</v>
      </c>
      <c r="G7" s="65">
        <f>Januar!S36</f>
        <v>0</v>
      </c>
      <c r="H7" s="83">
        <f>G7-F7</f>
        <v>-1</v>
      </c>
      <c r="I7" s="66">
        <f>EINSTELLUNG!E6</f>
        <v>1</v>
      </c>
      <c r="J7" s="66">
        <f>EINSTELLUNG!E22</f>
        <v>0</v>
      </c>
      <c r="K7" s="67">
        <f>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0</v>
      </c>
      <c r="H8" s="83">
        <f>G8-F8</f>
        <v>-2</v>
      </c>
      <c r="I8" s="66">
        <f>EINSTELLUNG!E7</f>
        <v>1</v>
      </c>
      <c r="J8" s="66">
        <f>EINSTELLUNG!E23</f>
        <v>0</v>
      </c>
      <c r="K8" s="67">
        <f t="shared" ref="K8:K22" si="0">J8-I8</f>
        <v>-1</v>
      </c>
      <c r="L8" s="65">
        <f>Februar!S40</f>
        <v>2.3383115987270236E-4</v>
      </c>
      <c r="M8" s="62">
        <f>Februar!S41</f>
        <v>2.3383115987270236E-4</v>
      </c>
      <c r="N8" s="62">
        <f>Februar!O5</f>
        <v>825.97482420928964</v>
      </c>
      <c r="O8" s="62">
        <f>Februar!P5</f>
        <v>2</v>
      </c>
      <c r="P8" s="85">
        <f t="shared" ref="P8:P23" si="1">O8-N8</f>
        <v>-823.97482420928964</v>
      </c>
      <c r="Q8" s="66">
        <f>Februar!Q31</f>
        <v>0</v>
      </c>
    </row>
    <row r="9" spans="2:18" ht="30" customHeight="1">
      <c r="B9" s="63" t="s">
        <v>188</v>
      </c>
      <c r="C9" s="65">
        <f>EINSTELLUNG!C8</f>
        <v>3</v>
      </c>
      <c r="D9" s="65">
        <f>EINSTELLUNG!C24</f>
        <v>3</v>
      </c>
      <c r="E9" s="83">
        <f>D9-C9</f>
        <v>0</v>
      </c>
      <c r="F9" s="65">
        <f>EINSTELLUNG!D8</f>
        <v>3</v>
      </c>
      <c r="G9" s="65">
        <f>Marz!$S$36</f>
        <v>109299.0058</v>
      </c>
      <c r="H9" s="83">
        <f>G9-F9</f>
        <v>109296.0058</v>
      </c>
      <c r="I9" s="66">
        <f>EINSTELLUNG!E8</f>
        <v>1</v>
      </c>
      <c r="J9" s="66">
        <f>EINSTELLUNG!E24</f>
        <v>36433.001933333333</v>
      </c>
      <c r="K9" s="67">
        <f>J9-I9</f>
        <v>36432.001933333333</v>
      </c>
      <c r="L9" s="65">
        <f>Marz!S40</f>
        <v>3.2882009485363673E-4</v>
      </c>
      <c r="M9" s="62">
        <f>Marz!S41</f>
        <v>3.2882009485363673E-4</v>
      </c>
      <c r="N9" s="62">
        <f>Marz!O5</f>
        <v>842.66960625479021</v>
      </c>
      <c r="O9" s="62">
        <f>Marz!P5</f>
        <v>3</v>
      </c>
      <c r="P9" s="85">
        <f t="shared" si="1"/>
        <v>-839.66960625479021</v>
      </c>
      <c r="Q9" s="66">
        <f>Marz!Q31</f>
        <v>1.9230769230769232E-2</v>
      </c>
    </row>
    <row r="10" spans="2:18" ht="30" customHeight="1">
      <c r="B10" s="68" t="s">
        <v>189</v>
      </c>
      <c r="C10" s="69">
        <f>SUM(C7:C9)</f>
        <v>6</v>
      </c>
      <c r="D10" s="69">
        <f>SUM(D7:D9)</f>
        <v>6</v>
      </c>
      <c r="E10" s="84">
        <f>D10-C10</f>
        <v>0</v>
      </c>
      <c r="F10" s="69">
        <f>SUM(F7:F9)</f>
        <v>6</v>
      </c>
      <c r="G10" s="69">
        <f>SUM(G7:G9)</f>
        <v>109299.0058</v>
      </c>
      <c r="H10" s="84">
        <f>G10-F10</f>
        <v>109293.0058</v>
      </c>
      <c r="I10" s="70">
        <f>AVERAGE(I7:I9)</f>
        <v>1</v>
      </c>
      <c r="J10" s="70">
        <f>AVERAGE(J7:J9)</f>
        <v>12144.333977777778</v>
      </c>
      <c r="K10" s="71">
        <f>J10-I10</f>
        <v>12143.333977777778</v>
      </c>
      <c r="L10" s="69">
        <f>AVERAGE(L7:L9)</f>
        <v>2.3204350846520139E-4</v>
      </c>
      <c r="M10" s="64">
        <f>AVERAGE(M7:M9)</f>
        <v>2.3204350846520139E-4</v>
      </c>
      <c r="N10" s="64">
        <f>SUM(N7:N9)</f>
        <v>2393.197971238802</v>
      </c>
      <c r="O10" s="64">
        <f>SUM(O7:O9)</f>
        <v>6</v>
      </c>
      <c r="P10" s="86">
        <f t="shared" si="1"/>
        <v>-2387.197971238802</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109964.98</v>
      </c>
      <c r="H11" s="83">
        <f>G11-F11</f>
        <v>109960.98</v>
      </c>
      <c r="I11" s="66">
        <f>EINSTELLUNG!E9</f>
        <v>1</v>
      </c>
      <c r="J11" s="66">
        <f>EINSTELLUNG!E25</f>
        <v>27491.244999999999</v>
      </c>
      <c r="K11" s="67">
        <f t="shared" si="0"/>
        <v>27490.244999999999</v>
      </c>
      <c r="L11" s="65">
        <f>April!S40</f>
        <v>4.4396200573154957E-4</v>
      </c>
      <c r="M11" s="62">
        <f>April!S41</f>
        <v>4.4396200573154957E-4</v>
      </c>
      <c r="N11" s="62">
        <f>April!O5</f>
        <v>851.01699727754055</v>
      </c>
      <c r="O11" s="62">
        <f>April!P5</f>
        <v>4</v>
      </c>
      <c r="P11" s="85">
        <f t="shared" si="1"/>
        <v>-847.01699727754055</v>
      </c>
      <c r="Q11" s="66">
        <f>April!Q31</f>
        <v>0</v>
      </c>
    </row>
    <row r="12" spans="2:18" ht="30" customHeight="1">
      <c r="B12" s="63" t="s">
        <v>191</v>
      </c>
      <c r="C12" s="65">
        <f>EINSTELLUNG!C10</f>
        <v>5</v>
      </c>
      <c r="D12" s="65">
        <f>EINSTELLUNG!C26</f>
        <v>5</v>
      </c>
      <c r="E12" s="83">
        <f t="shared" si="2"/>
        <v>0</v>
      </c>
      <c r="F12" s="65">
        <f>EINSTELLUNG!D10</f>
        <v>5</v>
      </c>
      <c r="G12" s="65">
        <f>Mai!$S$36</f>
        <v>152364.03709999999</v>
      </c>
      <c r="H12" s="83">
        <f t="shared" ref="H12:H23" si="3">G12-F12</f>
        <v>152359.03709999999</v>
      </c>
      <c r="I12" s="66">
        <f>EINSTELLUNG!E10</f>
        <v>1</v>
      </c>
      <c r="J12" s="66">
        <f>EINSTELLUNG!E26</f>
        <v>30472.807419999997</v>
      </c>
      <c r="K12" s="67">
        <f t="shared" si="0"/>
        <v>30471.807419999997</v>
      </c>
      <c r="L12" s="65">
        <f>Mai!S40</f>
        <v>5.4910539748641513E-4</v>
      </c>
      <c r="M12" s="62">
        <f>Mai!S41</f>
        <v>5.4910539748641513E-4</v>
      </c>
      <c r="N12" s="62">
        <f>Mai!O5</f>
        <v>882.31923110470257</v>
      </c>
      <c r="O12" s="62">
        <f>Mai!P5</f>
        <v>5</v>
      </c>
      <c r="P12" s="85">
        <f t="shared" si="1"/>
        <v>-877.31923110470257</v>
      </c>
      <c r="Q12" s="66">
        <f>Mai!Q31</f>
        <v>0</v>
      </c>
    </row>
    <row r="13" spans="2:18" ht="30" customHeight="1">
      <c r="B13" s="63" t="s">
        <v>192</v>
      </c>
      <c r="C13" s="65">
        <f>EINSTELLUNG!C11</f>
        <v>6</v>
      </c>
      <c r="D13" s="65">
        <f>EINSTELLUNG!C27</f>
        <v>6</v>
      </c>
      <c r="E13" s="83">
        <f t="shared" si="2"/>
        <v>0</v>
      </c>
      <c r="F13" s="65">
        <f>EINSTELLUNG!D11</f>
        <v>6</v>
      </c>
      <c r="G13" s="65">
        <f>Juni!$S$36</f>
        <v>150391.65</v>
      </c>
      <c r="H13" s="83">
        <f t="shared" si="3"/>
        <v>150385.65</v>
      </c>
      <c r="I13" s="66">
        <f>EINSTELLUNG!E11</f>
        <v>1</v>
      </c>
      <c r="J13" s="66">
        <f>EINSTELLUNG!E27</f>
        <v>25065.274999999998</v>
      </c>
      <c r="K13" s="67">
        <f t="shared" si="0"/>
        <v>25064.274999999998</v>
      </c>
      <c r="L13" s="65">
        <f>Juni!S40</f>
        <v>1.3574660633484163E-2</v>
      </c>
      <c r="M13" s="62">
        <f>Juni!S41</f>
        <v>1.3574660633484163E-2</v>
      </c>
      <c r="N13" s="62">
        <f>Juni!O5</f>
        <v>882.31923110470257</v>
      </c>
      <c r="O13" s="62">
        <f>Juni!P5</f>
        <v>6</v>
      </c>
      <c r="P13" s="85">
        <f t="shared" si="1"/>
        <v>-876.31923110470257</v>
      </c>
      <c r="Q13" s="66">
        <f>Juni!Q31</f>
        <v>1.6666666666666666E-2</v>
      </c>
    </row>
    <row r="14" spans="2:18" ht="30" customHeight="1">
      <c r="B14" s="68" t="s">
        <v>193</v>
      </c>
      <c r="C14" s="69">
        <f>SUM(C11:C13)</f>
        <v>15</v>
      </c>
      <c r="D14" s="69">
        <f>SUM(D11:D13)</f>
        <v>15</v>
      </c>
      <c r="E14" s="84">
        <f t="shared" si="2"/>
        <v>0</v>
      </c>
      <c r="F14" s="69">
        <f>SUM(F11:F13)</f>
        <v>15</v>
      </c>
      <c r="G14" s="69">
        <f>SUM(G11:G13)</f>
        <v>412720.66709999996</v>
      </c>
      <c r="H14" s="84">
        <f t="shared" si="3"/>
        <v>412705.66709999996</v>
      </c>
      <c r="I14" s="70">
        <f>AVERAGE(I11:I13)</f>
        <v>1</v>
      </c>
      <c r="J14" s="70">
        <f>AVERAGE(J11:J13)</f>
        <v>27676.442473333329</v>
      </c>
      <c r="K14" s="71">
        <f t="shared" si="0"/>
        <v>27675.442473333329</v>
      </c>
      <c r="L14" s="69">
        <f>AVERAGE(L11:L13)</f>
        <v>4.8559093455673762E-3</v>
      </c>
      <c r="M14" s="64">
        <f>AVERAGE(M11:M13)</f>
        <v>4.8559093455673762E-3</v>
      </c>
      <c r="N14" s="64">
        <f>SUM(N11:N13)</f>
        <v>2615.6554594869458</v>
      </c>
      <c r="O14" s="64">
        <f>SUM(O11:O13)</f>
        <v>15</v>
      </c>
      <c r="P14" s="86">
        <f t="shared" si="1"/>
        <v>-2600.6554594869458</v>
      </c>
      <c r="Q14" s="70">
        <f>AVERAGE(Q11:Q13)</f>
        <v>5.5555555555555558E-3</v>
      </c>
    </row>
    <row r="15" spans="2:18" ht="30" customHeight="1">
      <c r="B15" s="63" t="s">
        <v>194</v>
      </c>
      <c r="C15" s="65">
        <f>EINSTELLUNG!C12</f>
        <v>7</v>
      </c>
      <c r="D15" s="65">
        <f>EINSTELLUNG!C28</f>
        <v>7</v>
      </c>
      <c r="E15" s="83">
        <f t="shared" si="2"/>
        <v>0</v>
      </c>
      <c r="F15" s="65">
        <f>EINSTELLUNG!D12</f>
        <v>7</v>
      </c>
      <c r="G15" s="65">
        <f>Juli!$S$36</f>
        <v>149317.65</v>
      </c>
      <c r="H15" s="83">
        <f t="shared" si="3"/>
        <v>149310.65</v>
      </c>
      <c r="I15" s="66">
        <f>EINSTELLUNG!E12</f>
        <v>1</v>
      </c>
      <c r="J15" s="66">
        <f>EINSTELLUNG!E28</f>
        <v>21331.092857142856</v>
      </c>
      <c r="K15" s="67">
        <f t="shared" si="0"/>
        <v>21330.092857142856</v>
      </c>
      <c r="L15" s="65">
        <f>Juli!S40</f>
        <v>7.8562971027098616E-4</v>
      </c>
      <c r="M15" s="62">
        <f>Juli!S41</f>
        <v>7.8562971027098616E-4</v>
      </c>
      <c r="N15" s="62">
        <f>Juli!O5</f>
        <v>865.62444905920199</v>
      </c>
      <c r="O15" s="62">
        <f>Juli!P5</f>
        <v>7</v>
      </c>
      <c r="P15" s="85">
        <f t="shared" si="1"/>
        <v>-858.62444905920199</v>
      </c>
      <c r="Q15" s="66">
        <f>Juli!Q31</f>
        <v>0</v>
      </c>
    </row>
    <row r="16" spans="2:18" ht="30" customHeight="1">
      <c r="B16" s="63" t="s">
        <v>195</v>
      </c>
      <c r="C16" s="65">
        <f>EINSTELLUNG!C13</f>
        <v>8</v>
      </c>
      <c r="D16" s="65">
        <f>EINSTELLUNG!C29</f>
        <v>8</v>
      </c>
      <c r="E16" s="83">
        <f t="shared" si="2"/>
        <v>0</v>
      </c>
      <c r="F16" s="65">
        <f>EINSTELLUNG!D13</f>
        <v>8</v>
      </c>
      <c r="G16" s="65">
        <f>August!$S$36</f>
        <v>148797.10159999999</v>
      </c>
      <c r="H16" s="83">
        <f t="shared" si="3"/>
        <v>148789.10159999999</v>
      </c>
      <c r="I16" s="66">
        <f>EINSTELLUNG!E13</f>
        <v>1</v>
      </c>
      <c r="J16" s="66">
        <f>EINSTELLUNG!E29</f>
        <v>18599.637699999999</v>
      </c>
      <c r="K16" s="67">
        <f t="shared" si="0"/>
        <v>18598.637699999999</v>
      </c>
      <c r="L16" s="65">
        <f>August!S40</f>
        <v>8.987350304446492E-4</v>
      </c>
      <c r="M16" s="62">
        <f>August!S41</f>
        <v>8.987350304446492E-4</v>
      </c>
      <c r="N16" s="62">
        <f>August!O5</f>
        <v>865.62444905920199</v>
      </c>
      <c r="O16" s="62">
        <f>August!P5</f>
        <v>8</v>
      </c>
      <c r="P16" s="85">
        <f t="shared" si="1"/>
        <v>-857.62444905920199</v>
      </c>
      <c r="Q16" s="66">
        <f>August!Q31</f>
        <v>1.8518518518518517E-2</v>
      </c>
    </row>
    <row r="17" spans="2:17" ht="30" customHeight="1">
      <c r="B17" s="63" t="s">
        <v>196</v>
      </c>
      <c r="C17" s="65">
        <f>EINSTELLUNG!C14</f>
        <v>9</v>
      </c>
      <c r="D17" s="65">
        <f>EINSTELLUNG!C30</f>
        <v>9</v>
      </c>
      <c r="E17" s="83">
        <f t="shared" si="2"/>
        <v>0</v>
      </c>
      <c r="F17" s="65">
        <f>EINSTELLUNG!D14</f>
        <v>9</v>
      </c>
      <c r="G17" s="65">
        <f>September!$S$36</f>
        <v>151793.4</v>
      </c>
      <c r="H17" s="83">
        <f t="shared" si="3"/>
        <v>151784.4</v>
      </c>
      <c r="I17" s="66">
        <f>EINSTELLUNG!E14</f>
        <v>1</v>
      </c>
      <c r="J17" s="66">
        <f>EINSTELLUNG!E30</f>
        <v>16865.933333333334</v>
      </c>
      <c r="K17" s="67">
        <f t="shared" si="0"/>
        <v>16864.933333333334</v>
      </c>
      <c r="L17" s="65">
        <f>September!S40</f>
        <v>1.0331550949469533E-3</v>
      </c>
      <c r="M17" s="62">
        <f>September!S41</f>
        <v>1.0331550949469533E-3</v>
      </c>
      <c r="N17" s="62">
        <f>September!O5</f>
        <v>859.3643883002909</v>
      </c>
      <c r="O17" s="62">
        <f>September!P5</f>
        <v>9</v>
      </c>
      <c r="P17" s="85">
        <f t="shared" si="1"/>
        <v>-850.3643883002909</v>
      </c>
      <c r="Q17" s="66">
        <f>September!Q31</f>
        <v>0</v>
      </c>
    </row>
    <row r="18" spans="2:17" ht="30" customHeight="1">
      <c r="B18" s="68" t="s">
        <v>197</v>
      </c>
      <c r="C18" s="69">
        <f>SUM(C15:C17)</f>
        <v>24</v>
      </c>
      <c r="D18" s="69">
        <f>SUM(D15:D17)</f>
        <v>24</v>
      </c>
      <c r="E18" s="84">
        <f>D18-C18</f>
        <v>0</v>
      </c>
      <c r="F18" s="69">
        <f>SUM(F15:F17)</f>
        <v>24</v>
      </c>
      <c r="G18" s="69">
        <f>SUM(G15:G17)</f>
        <v>449908.15159999998</v>
      </c>
      <c r="H18" s="84">
        <f t="shared" si="3"/>
        <v>449884.15159999998</v>
      </c>
      <c r="I18" s="70">
        <f>AVERAGE(I15:I17)</f>
        <v>1</v>
      </c>
      <c r="J18" s="70">
        <f>AVERAGE(J15:J17)</f>
        <v>18932.221296825399</v>
      </c>
      <c r="K18" s="71">
        <f t="shared" si="0"/>
        <v>18931.221296825399</v>
      </c>
      <c r="L18" s="69">
        <f>AVERAGE(L15:L17)</f>
        <v>9.0583994522086281E-4</v>
      </c>
      <c r="M18" s="64">
        <f>AVERAGE(M15:M17)</f>
        <v>9.0583994522086281E-4</v>
      </c>
      <c r="N18" s="64">
        <f>SUM(N15:N17)</f>
        <v>2590.6132864186948</v>
      </c>
      <c r="O18" s="64">
        <f>SUM(O15:O17)</f>
        <v>24</v>
      </c>
      <c r="P18" s="86">
        <f t="shared" si="1"/>
        <v>-2566.6132864186948</v>
      </c>
      <c r="Q18" s="70">
        <f>AVERAGE(Q15:Q17)</f>
        <v>6.1728395061728392E-3</v>
      </c>
    </row>
    <row r="19" spans="2:17" ht="30" customHeight="1">
      <c r="B19" s="63" t="s">
        <v>198</v>
      </c>
      <c r="C19" s="65">
        <f>EINSTELLUNG!C15</f>
        <v>10</v>
      </c>
      <c r="D19" s="65">
        <f>EINSTELLUNG!C31</f>
        <v>10</v>
      </c>
      <c r="E19" s="83">
        <f>D19-C19</f>
        <v>0</v>
      </c>
      <c r="F19" s="65">
        <f>EINSTELLUNG!D15</f>
        <v>10</v>
      </c>
      <c r="G19" s="65">
        <f>Oktober!$S$36</f>
        <v>151794.4</v>
      </c>
      <c r="H19" s="83">
        <f t="shared" si="3"/>
        <v>151784.4</v>
      </c>
      <c r="I19" s="66">
        <f>EINSTELLUNG!E15</f>
        <v>1</v>
      </c>
      <c r="J19" s="66">
        <f>EINSTELLUNG!E31</f>
        <v>15179.439999999999</v>
      </c>
      <c r="K19" s="67">
        <f t="shared" si="0"/>
        <v>15178.439999999999</v>
      </c>
      <c r="L19" s="65">
        <f>Oktober!S40</f>
        <v>1.1115829163044762E-3</v>
      </c>
      <c r="M19" s="62">
        <f>Oktober!S41</f>
        <v>1.1115829163044762E-3</v>
      </c>
      <c r="N19" s="62">
        <f>Oktober!O5</f>
        <v>859.3643883002909</v>
      </c>
      <c r="O19" s="62">
        <f>Oktober!P5</f>
        <v>10</v>
      </c>
      <c r="P19" s="85">
        <f t="shared" si="1"/>
        <v>-849.3643883002909</v>
      </c>
      <c r="Q19" s="66">
        <f>Oktober!Q31</f>
        <v>0</v>
      </c>
    </row>
    <row r="20" spans="2:17" ht="30" customHeight="1">
      <c r="B20" s="63" t="s">
        <v>199</v>
      </c>
      <c r="C20" s="65">
        <f>EINSTELLUNG!C16</f>
        <v>11</v>
      </c>
      <c r="D20" s="65">
        <f>EINSTELLUNG!C32</f>
        <v>11</v>
      </c>
      <c r="E20" s="83">
        <f>D20-C20</f>
        <v>0</v>
      </c>
      <c r="F20" s="65">
        <f>EINSTELLUNG!D16</f>
        <v>11</v>
      </c>
      <c r="G20" s="65">
        <f>November!$S$36</f>
        <v>151795.4</v>
      </c>
      <c r="H20" s="83">
        <f t="shared" si="3"/>
        <v>151784.4</v>
      </c>
      <c r="I20" s="66">
        <f>EINSTELLUNG!E16</f>
        <v>1</v>
      </c>
      <c r="J20" s="66">
        <f>EINSTELLUNG!E32</f>
        <v>13799.581818181818</v>
      </c>
      <c r="K20" s="67">
        <f t="shared" si="0"/>
        <v>13798.581818181818</v>
      </c>
      <c r="L20" s="65">
        <f>November!S40</f>
        <v>1.2398305715168088E-3</v>
      </c>
      <c r="M20" s="62">
        <f>November!S41</f>
        <v>1.2398305715168088E-3</v>
      </c>
      <c r="N20" s="62">
        <f>November!O5</f>
        <v>859.3643883002909</v>
      </c>
      <c r="O20" s="62">
        <f>November!P5</f>
        <v>11</v>
      </c>
      <c r="P20" s="85">
        <f t="shared" si="1"/>
        <v>-848.3643883002909</v>
      </c>
      <c r="Q20" s="66">
        <f>November!Q31</f>
        <v>0</v>
      </c>
    </row>
    <row r="21" spans="2:17" ht="30" customHeight="1">
      <c r="B21" s="63" t="s">
        <v>200</v>
      </c>
      <c r="C21" s="65">
        <f>EINSTELLUNG!C17</f>
        <v>12</v>
      </c>
      <c r="D21" s="65">
        <f>EINSTELLUNG!C33</f>
        <v>12</v>
      </c>
      <c r="E21" s="83">
        <f t="shared" si="2"/>
        <v>0</v>
      </c>
      <c r="F21" s="65">
        <f>EINSTELLUNG!D17</f>
        <v>12</v>
      </c>
      <c r="G21" s="65">
        <f>Dezember!$S$36</f>
        <v>151796.4</v>
      </c>
      <c r="H21" s="83">
        <f t="shared" si="3"/>
        <v>151784.4</v>
      </c>
      <c r="I21" s="66">
        <f>EINSTELLUNG!E17</f>
        <v>1</v>
      </c>
      <c r="J21" s="66">
        <f>EINSTELLUNG!E33</f>
        <v>12649.699999999999</v>
      </c>
      <c r="K21" s="67">
        <f t="shared" si="0"/>
        <v>12648.699999999999</v>
      </c>
      <c r="L21" s="65">
        <f>Dezember!S40</f>
        <v>1.3083040236890251E-3</v>
      </c>
      <c r="M21" s="62">
        <f>Dezember!S41</f>
        <v>1.3083040236890251E-3</v>
      </c>
      <c r="N21" s="62">
        <f>Dezember!O5</f>
        <v>859.3643883002909</v>
      </c>
      <c r="O21" s="72">
        <f>Dezember!P5</f>
        <v>12</v>
      </c>
      <c r="P21" s="85">
        <f t="shared" si="1"/>
        <v>-847.3643883002909</v>
      </c>
      <c r="Q21" s="66">
        <f>Dezember!Q31</f>
        <v>0</v>
      </c>
    </row>
    <row r="22" spans="2:17" ht="30" customHeight="1">
      <c r="B22" s="68" t="s">
        <v>201</v>
      </c>
      <c r="C22" s="69">
        <f>SUM(C19:C21)</f>
        <v>33</v>
      </c>
      <c r="D22" s="69">
        <f>SUM(D19:D21)</f>
        <v>33</v>
      </c>
      <c r="E22" s="84">
        <f>D22-C22</f>
        <v>0</v>
      </c>
      <c r="F22" s="69">
        <f>SUM(F19:F21)</f>
        <v>33</v>
      </c>
      <c r="G22" s="69">
        <f>SUM(G19:G21)</f>
        <v>455386.19999999995</v>
      </c>
      <c r="H22" s="84">
        <f t="shared" si="3"/>
        <v>455353.19999999995</v>
      </c>
      <c r="I22" s="70">
        <f>AVERAGE(I19:I21)</f>
        <v>1</v>
      </c>
      <c r="J22" s="70">
        <f>AVERAGE(J19:J21)</f>
        <v>13876.240606060606</v>
      </c>
      <c r="K22" s="71">
        <f t="shared" si="0"/>
        <v>13875.240606060606</v>
      </c>
      <c r="L22" s="69">
        <f>AVERAGE(L19:L21)</f>
        <v>1.2199058371701035E-3</v>
      </c>
      <c r="M22" s="64">
        <f>AVERAGE(M19:M21)</f>
        <v>1.2199058371701035E-3</v>
      </c>
      <c r="N22" s="64">
        <f>SUM(N19:N21)</f>
        <v>2578.0931649008726</v>
      </c>
      <c r="O22" s="64">
        <f>SUM(O19:O21)</f>
        <v>33</v>
      </c>
      <c r="P22" s="86">
        <f>O22-N22</f>
        <v>-2545.0931649008726</v>
      </c>
      <c r="Q22" s="70">
        <f>AVERAGE(Q19:Q21)</f>
        <v>0</v>
      </c>
    </row>
    <row r="23" spans="2:17" ht="30" customHeight="1">
      <c r="B23" s="73">
        <f>LOHNTABELLE!G3</f>
        <v>2026</v>
      </c>
      <c r="C23" s="74">
        <f>SUM(C10,C14,C18,C22)</f>
        <v>78</v>
      </c>
      <c r="D23" s="74">
        <f>SUM(D10,D14,D18,D22)</f>
        <v>78</v>
      </c>
      <c r="E23" s="84">
        <f>D23-C23</f>
        <v>0</v>
      </c>
      <c r="F23" s="74">
        <f>SUM(F10,F14,F18,F22)</f>
        <v>78</v>
      </c>
      <c r="G23" s="74">
        <f>SUM(G10,G14,G18,G22)</f>
        <v>1427314.0244999998</v>
      </c>
      <c r="H23" s="84">
        <f t="shared" si="3"/>
        <v>1427236.0244999998</v>
      </c>
      <c r="I23" s="75">
        <f>AVERAGE(I10,I14,I18,I22)</f>
        <v>1</v>
      </c>
      <c r="J23" s="75">
        <f>AVERAGE(J10,J14,J18,J22)</f>
        <v>18157.309588499276</v>
      </c>
      <c r="K23" s="71">
        <f>J23-I23</f>
        <v>18156.309588499276</v>
      </c>
      <c r="L23" s="74">
        <f>AVERAGE(L22,L18,L14,L10)</f>
        <v>1.8034246591058861E-3</v>
      </c>
      <c r="M23" s="76">
        <f>AVERAGE(M10,M14,M18,M22)</f>
        <v>1.8034246591058861E-3</v>
      </c>
      <c r="N23" s="76">
        <f>SUM(N10,N14,N18,N22)</f>
        <v>10177.559882045316</v>
      </c>
      <c r="O23" s="76">
        <f>SUM(O10,O14,O18,O22)</f>
        <v>78</v>
      </c>
      <c r="P23" s="86">
        <f t="shared" si="1"/>
        <v>-10099.559882045316</v>
      </c>
      <c r="Q23" s="75">
        <f>AVERAGE(Q22,Q18,Q14,Q10)</f>
        <v>6.1686497961007773E-3</v>
      </c>
    </row>
    <row r="24" spans="2:17" ht="15">
      <c r="O24" s="4"/>
    </row>
    <row r="25" spans="2:17">
      <c r="B25" s="369" t="s">
        <v>204</v>
      </c>
      <c r="C25" s="369"/>
      <c r="D25" s="369"/>
      <c r="E25" s="369"/>
    </row>
    <row r="26" spans="2:17">
      <c r="B26" s="369"/>
      <c r="C26" s="369"/>
      <c r="D26" s="369"/>
      <c r="E26" s="369"/>
    </row>
    <row r="27" spans="2:17">
      <c r="B27" s="369"/>
      <c r="C27" s="369"/>
      <c r="D27" s="369"/>
      <c r="E27" s="369"/>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5"/>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370</v>
      </c>
      <c r="B3">
        <v>401754</v>
      </c>
      <c r="C3" t="s">
        <v>313</v>
      </c>
      <c r="D3" s="180">
        <v>46014</v>
      </c>
      <c r="E3" s="180">
        <v>46096</v>
      </c>
      <c r="F3" t="s">
        <v>371</v>
      </c>
      <c r="G3">
        <v>83</v>
      </c>
      <c r="H3" s="182">
        <v>1</v>
      </c>
      <c r="I3" s="182">
        <v>0.5</v>
      </c>
      <c r="J3" s="182">
        <v>0.5</v>
      </c>
      <c r="K3" t="s">
        <v>256</v>
      </c>
    </row>
    <row r="4" spans="1:11">
      <c r="A4" t="s">
        <v>192</v>
      </c>
      <c r="B4">
        <v>600000</v>
      </c>
      <c r="C4" t="s">
        <v>385</v>
      </c>
      <c r="D4" s="180">
        <v>46054</v>
      </c>
      <c r="E4" s="180">
        <v>46179</v>
      </c>
      <c r="G4">
        <v>126</v>
      </c>
      <c r="H4" s="182">
        <v>0</v>
      </c>
      <c r="I4" s="182">
        <v>0.75</v>
      </c>
      <c r="J4" s="182">
        <v>0</v>
      </c>
      <c r="K4" t="s">
        <v>423</v>
      </c>
    </row>
    <row r="5" spans="1:11">
      <c r="A5" t="s">
        <v>195</v>
      </c>
      <c r="B5">
        <v>401746</v>
      </c>
      <c r="C5" t="s">
        <v>309</v>
      </c>
      <c r="D5" s="180">
        <v>45941</v>
      </c>
      <c r="E5" s="180">
        <v>46249</v>
      </c>
      <c r="F5" t="s">
        <v>371</v>
      </c>
      <c r="G5">
        <v>309</v>
      </c>
      <c r="H5" s="182">
        <v>1</v>
      </c>
      <c r="I5" s="182">
        <v>1</v>
      </c>
      <c r="J5" s="182">
        <v>1</v>
      </c>
      <c r="K5" t="s">
        <v>257</v>
      </c>
    </row>
  </sheetData>
  <sheetProtection algorithmName="SHA-512" hashValue="3yGB2zKL1IBpaIWSIeFOzva3MEKDn8fiw80j+tG3YCM/+XJEAxZP1ZNd/k5otj9KGt7FruAY5+F/9A/gU7UXVQ==" saltValue="B1Qzb9WxYqQEYgHBrNNMs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3"/>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380" customWidth="1"/>
    <col min="2" max="5" width="16.83203125" style="380" customWidth="1"/>
    <col min="6" max="7" width="18.83203125" style="380" customWidth="1"/>
    <col min="8" max="8" width="22.83203125" style="380" customWidth="1"/>
    <col min="9" max="12" width="36.83203125" style="380" customWidth="1"/>
    <col min="13" max="16384" width="10.83203125" style="380"/>
  </cols>
  <sheetData>
    <row r="1" spans="1:12" ht="15" customHeight="1">
      <c r="A1" s="392" t="s">
        <v>237</v>
      </c>
      <c r="B1" s="393"/>
      <c r="C1" s="393"/>
      <c r="D1" s="393"/>
      <c r="E1" s="393"/>
      <c r="F1" s="394"/>
      <c r="G1" s="394"/>
      <c r="H1" s="394"/>
      <c r="I1" s="394"/>
      <c r="J1" s="394"/>
      <c r="K1" s="394"/>
      <c r="L1" s="394"/>
    </row>
    <row r="2" spans="1:12" ht="15" customHeight="1">
      <c r="A2" s="395" t="s">
        <v>238</v>
      </c>
      <c r="B2" s="395">
        <v>2026</v>
      </c>
      <c r="C2" s="394"/>
      <c r="D2" s="394"/>
      <c r="E2" s="394"/>
      <c r="F2" s="394"/>
      <c r="G2" s="394"/>
      <c r="H2" s="394"/>
      <c r="I2" s="394"/>
      <c r="J2" s="394"/>
      <c r="K2" s="394"/>
      <c r="L2" s="394"/>
    </row>
    <row r="3" spans="1:12" ht="15" customHeight="1">
      <c r="A3" s="394"/>
      <c r="B3" s="394"/>
      <c r="C3" s="394"/>
      <c r="D3" s="394"/>
      <c r="E3" s="394"/>
      <c r="F3" s="394"/>
      <c r="G3" s="394"/>
      <c r="H3" s="394"/>
      <c r="I3" s="394"/>
      <c r="J3" s="394"/>
      <c r="K3" s="394"/>
      <c r="L3" s="394"/>
    </row>
    <row r="4" spans="1:12" ht="15" customHeight="1">
      <c r="A4" s="396" t="s">
        <v>246</v>
      </c>
      <c r="B4" s="397"/>
      <c r="C4" s="397"/>
      <c r="D4" s="397"/>
      <c r="E4" s="397"/>
      <c r="F4" s="394"/>
      <c r="G4" s="394"/>
      <c r="H4" s="394"/>
      <c r="I4" s="394"/>
      <c r="J4" s="394"/>
      <c r="K4" s="394"/>
      <c r="L4" s="394"/>
    </row>
    <row r="5" spans="1:12" ht="42" customHeight="1">
      <c r="A5" s="398" t="s">
        <v>349</v>
      </c>
      <c r="B5" s="398"/>
      <c r="C5" s="398"/>
      <c r="D5" s="398"/>
      <c r="E5" s="398"/>
      <c r="F5" s="394"/>
      <c r="G5" s="394"/>
      <c r="H5" s="394"/>
      <c r="I5" s="394"/>
      <c r="J5" s="394"/>
      <c r="K5" s="394"/>
      <c r="L5" s="394"/>
    </row>
    <row r="6" spans="1:12" ht="42" customHeight="1">
      <c r="A6" s="398"/>
      <c r="B6" s="398"/>
      <c r="C6" s="398"/>
      <c r="D6" s="398"/>
      <c r="E6" s="398"/>
      <c r="F6" s="394"/>
      <c r="G6" s="394"/>
      <c r="H6" s="394"/>
      <c r="I6" s="394"/>
      <c r="J6" s="394"/>
      <c r="K6" s="394"/>
      <c r="L6" s="394"/>
    </row>
    <row r="7" spans="1:12" ht="15" customHeight="1">
      <c r="A7" s="394"/>
      <c r="B7" s="394"/>
      <c r="C7" s="394"/>
      <c r="D7" s="394"/>
      <c r="E7" s="394"/>
      <c r="F7" s="394"/>
      <c r="G7" s="394"/>
      <c r="H7" s="394"/>
      <c r="I7" s="394"/>
      <c r="J7" s="394"/>
      <c r="K7" s="394"/>
      <c r="L7" s="394"/>
    </row>
    <row r="8" spans="1:12" ht="15" customHeight="1">
      <c r="A8" s="399" t="s">
        <v>239</v>
      </c>
      <c r="B8" s="399" t="s">
        <v>240</v>
      </c>
      <c r="C8" s="399" t="s">
        <v>350</v>
      </c>
      <c r="D8" s="399"/>
      <c r="E8" s="399"/>
      <c r="F8" s="394"/>
      <c r="G8" s="394"/>
      <c r="H8" s="394"/>
      <c r="I8" s="394"/>
      <c r="J8" s="394"/>
      <c r="K8" s="394"/>
      <c r="L8" s="394"/>
    </row>
    <row r="9" spans="1:12" ht="15" customHeight="1">
      <c r="A9" s="400" t="s">
        <v>241</v>
      </c>
      <c r="B9" s="381">
        <v>4</v>
      </c>
      <c r="C9" s="382" t="s">
        <v>247</v>
      </c>
      <c r="D9" s="382"/>
      <c r="E9" s="382"/>
      <c r="F9" s="394"/>
      <c r="G9" s="394"/>
      <c r="H9" s="394"/>
      <c r="I9" s="394"/>
      <c r="J9" s="394"/>
      <c r="K9" s="394"/>
      <c r="L9" s="394"/>
    </row>
    <row r="10" spans="1:12" ht="15" customHeight="1">
      <c r="A10" s="400" t="s">
        <v>258</v>
      </c>
      <c r="B10" s="390">
        <v>3.484320557491289E-2</v>
      </c>
      <c r="C10" s="382" t="s">
        <v>259</v>
      </c>
      <c r="D10" s="382"/>
      <c r="E10" s="382"/>
      <c r="F10" s="394"/>
      <c r="G10" s="394"/>
      <c r="H10" s="394"/>
      <c r="I10" s="394"/>
      <c r="J10" s="394"/>
      <c r="K10" s="394"/>
      <c r="L10" s="394"/>
    </row>
    <row r="11" spans="1:12" ht="15" customHeight="1">
      <c r="A11" s="400" t="s">
        <v>244</v>
      </c>
      <c r="B11" s="391">
        <v>2.125</v>
      </c>
      <c r="C11" s="382" t="s">
        <v>351</v>
      </c>
      <c r="D11" s="382"/>
      <c r="E11" s="382"/>
      <c r="F11" s="394"/>
      <c r="G11" s="394"/>
      <c r="H11" s="394"/>
      <c r="I11" s="394"/>
      <c r="J11" s="394"/>
      <c r="K11" s="394"/>
      <c r="L11" s="394"/>
    </row>
    <row r="12" spans="1:12" ht="15" customHeight="1">
      <c r="A12" s="400" t="s">
        <v>314</v>
      </c>
      <c r="B12" s="391">
        <v>0.53125</v>
      </c>
      <c r="C12" s="382" t="s">
        <v>248</v>
      </c>
      <c r="D12" s="382"/>
      <c r="E12" s="382"/>
      <c r="F12" s="394"/>
      <c r="G12" s="394"/>
      <c r="H12" s="394"/>
      <c r="I12" s="394"/>
      <c r="J12" s="394"/>
      <c r="K12" s="394"/>
      <c r="L12" s="394"/>
    </row>
    <row r="13" spans="1:12" ht="15" customHeight="1">
      <c r="A13" s="400" t="s">
        <v>249</v>
      </c>
      <c r="B13" s="381">
        <v>1</v>
      </c>
      <c r="C13" s="382" t="s">
        <v>250</v>
      </c>
      <c r="D13" s="382"/>
      <c r="E13" s="382"/>
      <c r="F13" s="394"/>
      <c r="G13" s="394"/>
      <c r="H13" s="394"/>
      <c r="I13" s="394"/>
      <c r="J13" s="394"/>
      <c r="K13" s="394"/>
      <c r="L13" s="394"/>
    </row>
    <row r="14" spans="1:12" ht="15" customHeight="1">
      <c r="A14" s="400" t="s">
        <v>245</v>
      </c>
      <c r="B14" s="381">
        <v>0</v>
      </c>
      <c r="C14" s="382" t="s">
        <v>251</v>
      </c>
      <c r="D14" s="382"/>
      <c r="E14" s="382"/>
      <c r="F14" s="394"/>
      <c r="G14" s="394"/>
      <c r="H14" s="394"/>
      <c r="I14" s="394"/>
      <c r="J14" s="394"/>
      <c r="K14" s="394"/>
      <c r="L14" s="394"/>
    </row>
    <row r="15" spans="1:12" ht="15" customHeight="1">
      <c r="A15" s="400" t="s">
        <v>252</v>
      </c>
      <c r="B15" s="381">
        <v>1</v>
      </c>
      <c r="C15" s="382" t="s">
        <v>352</v>
      </c>
      <c r="D15" s="382"/>
      <c r="E15" s="382"/>
      <c r="F15" s="394"/>
      <c r="G15" s="394"/>
      <c r="H15" s="394"/>
      <c r="I15" s="394"/>
      <c r="J15" s="394"/>
      <c r="K15" s="394"/>
      <c r="L15" s="394"/>
    </row>
    <row r="16" spans="1:12" ht="15" customHeight="1">
      <c r="A16" s="400" t="s">
        <v>242</v>
      </c>
      <c r="B16" s="381">
        <v>0</v>
      </c>
      <c r="C16" s="382" t="s">
        <v>353</v>
      </c>
      <c r="D16" s="382"/>
      <c r="E16" s="382"/>
      <c r="F16" s="394"/>
      <c r="G16" s="394"/>
      <c r="H16" s="394"/>
      <c r="I16" s="394"/>
      <c r="J16" s="394"/>
      <c r="K16" s="394"/>
      <c r="L16" s="394"/>
    </row>
    <row r="17" spans="1:12" ht="15" customHeight="1">
      <c r="A17" s="400" t="s">
        <v>354</v>
      </c>
      <c r="B17" s="381">
        <v>1</v>
      </c>
      <c r="C17" s="382" t="s">
        <v>315</v>
      </c>
      <c r="D17" s="382"/>
      <c r="E17" s="382"/>
      <c r="F17" s="394"/>
      <c r="G17" s="394"/>
      <c r="H17" s="394"/>
      <c r="I17" s="394"/>
      <c r="J17" s="394"/>
      <c r="K17" s="394"/>
      <c r="L17" s="394"/>
    </row>
    <row r="18" spans="1:12" ht="15" customHeight="1" thickBot="1">
      <c r="A18" s="394"/>
      <c r="B18" s="394"/>
      <c r="C18" s="394"/>
      <c r="D18" s="394"/>
      <c r="E18" s="394"/>
      <c r="F18" s="394"/>
      <c r="G18" s="394"/>
      <c r="H18" s="394"/>
      <c r="I18" s="394"/>
      <c r="J18" s="394"/>
      <c r="K18" s="394"/>
      <c r="L18" s="394"/>
    </row>
    <row r="19" spans="1:12" ht="24" customHeight="1" thickBot="1">
      <c r="A19" s="383" t="s">
        <v>355</v>
      </c>
      <c r="B19" s="384" t="s">
        <v>424</v>
      </c>
      <c r="C19" s="394"/>
      <c r="D19" s="394"/>
      <c r="E19" s="394"/>
      <c r="F19" s="394"/>
      <c r="G19" s="394"/>
      <c r="H19" s="394"/>
      <c r="I19" s="394"/>
      <c r="J19" s="394"/>
      <c r="K19" s="394"/>
      <c r="L19" s="394"/>
    </row>
    <row r="20" spans="1:12" ht="15" customHeight="1">
      <c r="A20" s="394"/>
      <c r="B20" s="394"/>
      <c r="C20" s="394"/>
      <c r="D20" s="394"/>
      <c r="E20" s="394"/>
      <c r="F20" s="394"/>
      <c r="G20" s="394"/>
      <c r="H20" s="394"/>
      <c r="I20" s="394"/>
      <c r="J20" s="394"/>
      <c r="K20" s="394"/>
      <c r="L20" s="394"/>
    </row>
    <row r="21" spans="1:12" ht="48" customHeight="1">
      <c r="A21" s="401" t="s">
        <v>253</v>
      </c>
      <c r="B21" s="402" t="s">
        <v>425</v>
      </c>
      <c r="C21" s="402"/>
      <c r="D21" s="402"/>
      <c r="E21" s="402"/>
      <c r="F21" s="394"/>
      <c r="G21" s="394"/>
      <c r="H21" s="394"/>
      <c r="I21" s="394"/>
      <c r="J21" s="394"/>
      <c r="K21" s="394"/>
      <c r="L21" s="394"/>
    </row>
    <row r="22" spans="1:12" ht="48" customHeight="1">
      <c r="A22" s="403"/>
      <c r="B22" s="402"/>
      <c r="C22" s="402"/>
      <c r="D22" s="402"/>
      <c r="E22" s="402"/>
      <c r="F22" s="394"/>
      <c r="G22" s="394"/>
      <c r="H22" s="394"/>
      <c r="I22" s="394"/>
      <c r="J22" s="394"/>
      <c r="K22" s="394"/>
      <c r="L22" s="394"/>
    </row>
    <row r="23" spans="1:12" ht="15" customHeight="1">
      <c r="A23" s="394"/>
      <c r="B23" s="394"/>
      <c r="C23" s="394"/>
      <c r="D23" s="394"/>
      <c r="E23" s="394"/>
      <c r="F23" s="394"/>
      <c r="G23" s="394"/>
      <c r="H23" s="394"/>
      <c r="I23" s="394"/>
      <c r="J23" s="394"/>
      <c r="K23" s="394"/>
      <c r="L23" s="394"/>
    </row>
    <row r="24" spans="1:12" ht="15" customHeight="1">
      <c r="A24" s="394"/>
      <c r="B24" s="394"/>
      <c r="C24" s="394"/>
      <c r="D24" s="394"/>
      <c r="E24" s="394"/>
      <c r="F24" s="394"/>
      <c r="G24" s="394"/>
      <c r="H24" s="394"/>
      <c r="I24" s="394"/>
      <c r="J24" s="394"/>
      <c r="K24" s="394"/>
      <c r="L24" s="394"/>
    </row>
    <row r="25" spans="1:12" ht="15" customHeight="1">
      <c r="A25" s="404" t="s">
        <v>356</v>
      </c>
      <c r="B25" s="393"/>
      <c r="C25" s="393"/>
      <c r="D25" s="393"/>
      <c r="E25" s="393"/>
      <c r="F25" s="393"/>
      <c r="G25" s="393"/>
      <c r="H25" s="393"/>
      <c r="I25" s="393"/>
      <c r="J25" s="393"/>
      <c r="K25" s="393"/>
      <c r="L25" s="393"/>
    </row>
    <row r="26" spans="1:12" ht="15" customHeight="1">
      <c r="A26" s="394"/>
      <c r="B26" s="394"/>
      <c r="C26" s="394"/>
      <c r="D26" s="394"/>
      <c r="E26" s="394"/>
      <c r="F26" s="394"/>
      <c r="G26" s="394"/>
      <c r="H26" s="394"/>
      <c r="I26" s="394"/>
      <c r="J26" s="394"/>
      <c r="K26" s="394"/>
      <c r="L26" s="394"/>
    </row>
    <row r="27" spans="1:12" ht="15" customHeight="1">
      <c r="A27" s="385" t="s">
        <v>231</v>
      </c>
      <c r="B27" s="385" t="s">
        <v>255</v>
      </c>
      <c r="C27" s="385" t="s">
        <v>260</v>
      </c>
      <c r="D27" s="385" t="s">
        <v>244</v>
      </c>
      <c r="E27" s="385" t="s">
        <v>316</v>
      </c>
      <c r="F27" s="385" t="s">
        <v>372</v>
      </c>
      <c r="G27" s="385" t="s">
        <v>252</v>
      </c>
      <c r="H27" s="385" t="s">
        <v>426</v>
      </c>
      <c r="I27" s="385" t="s">
        <v>357</v>
      </c>
      <c r="J27" s="385" t="s">
        <v>347</v>
      </c>
      <c r="K27" s="385"/>
      <c r="L27" s="385"/>
    </row>
    <row r="28" spans="1:12" ht="42" customHeight="1">
      <c r="A28" s="386" t="s">
        <v>317</v>
      </c>
      <c r="B28" s="386">
        <v>1</v>
      </c>
      <c r="C28" s="388">
        <v>1.9607843137254902E-2</v>
      </c>
      <c r="D28" s="389">
        <v>0.625</v>
      </c>
      <c r="E28" s="389">
        <v>0.625</v>
      </c>
      <c r="F28" s="386">
        <v>0</v>
      </c>
      <c r="G28" s="386">
        <v>0</v>
      </c>
      <c r="H28" s="386">
        <v>0</v>
      </c>
      <c r="I28" s="387" t="s">
        <v>358</v>
      </c>
      <c r="J28" s="382" t="s">
        <v>319</v>
      </c>
      <c r="K28" s="382"/>
      <c r="L28" s="382"/>
    </row>
    <row r="29" spans="1:12" ht="42" customHeight="1">
      <c r="A29" s="386" t="s">
        <v>370</v>
      </c>
      <c r="B29" s="386">
        <v>1</v>
      </c>
      <c r="C29" s="388">
        <v>1.7241379310344827E-2</v>
      </c>
      <c r="D29" s="389">
        <v>0.5</v>
      </c>
      <c r="E29" s="389">
        <v>0.5</v>
      </c>
      <c r="F29" s="386">
        <v>1</v>
      </c>
      <c r="G29" s="386">
        <v>0</v>
      </c>
      <c r="H29" s="386">
        <v>0</v>
      </c>
      <c r="I29" s="387" t="s">
        <v>373</v>
      </c>
      <c r="J29" s="382" t="s">
        <v>374</v>
      </c>
      <c r="K29" s="382"/>
      <c r="L29" s="382"/>
    </row>
    <row r="30" spans="1:12" ht="42" customHeight="1">
      <c r="A30" s="386" t="s">
        <v>192</v>
      </c>
      <c r="B30" s="386">
        <v>1</v>
      </c>
      <c r="C30" s="388">
        <v>1.6666666666666666E-2</v>
      </c>
      <c r="D30" s="389">
        <v>0</v>
      </c>
      <c r="E30" s="389">
        <v>0</v>
      </c>
      <c r="F30" s="386">
        <v>0</v>
      </c>
      <c r="G30" s="386">
        <v>0</v>
      </c>
      <c r="H30" s="386">
        <v>1</v>
      </c>
      <c r="I30" s="387" t="s">
        <v>427</v>
      </c>
      <c r="J30" s="382" t="s">
        <v>428</v>
      </c>
      <c r="K30" s="382"/>
      <c r="L30" s="382"/>
    </row>
    <row r="31" spans="1:12" ht="42" customHeight="1">
      <c r="A31" s="386" t="s">
        <v>195</v>
      </c>
      <c r="B31" s="386">
        <v>1</v>
      </c>
      <c r="C31" s="388">
        <v>1.6949152542372881E-2</v>
      </c>
      <c r="D31" s="389">
        <v>1</v>
      </c>
      <c r="E31" s="389">
        <v>1</v>
      </c>
      <c r="F31" s="386">
        <v>0</v>
      </c>
      <c r="G31" s="386">
        <v>1</v>
      </c>
      <c r="H31" s="386">
        <v>0</v>
      </c>
      <c r="I31" s="387" t="s">
        <v>373</v>
      </c>
      <c r="J31" s="382" t="s">
        <v>376</v>
      </c>
      <c r="K31" s="382"/>
      <c r="L31" s="382"/>
    </row>
    <row r="32" spans="1:12" ht="15" customHeight="1">
      <c r="A32" s="394"/>
      <c r="B32" s="394"/>
      <c r="C32" s="394"/>
      <c r="D32" s="394"/>
      <c r="E32" s="394"/>
      <c r="F32" s="394"/>
      <c r="G32" s="394"/>
      <c r="H32" s="394"/>
      <c r="I32" s="394"/>
      <c r="J32" s="394"/>
      <c r="K32" s="394"/>
      <c r="L32" s="394"/>
    </row>
    <row r="33" spans="1:12" ht="15" customHeight="1">
      <c r="A33" s="394"/>
      <c r="B33" s="394"/>
      <c r="C33" s="394"/>
      <c r="D33" s="394"/>
      <c r="E33" s="394"/>
      <c r="F33" s="394"/>
      <c r="G33" s="394"/>
      <c r="H33" s="394"/>
      <c r="I33" s="394"/>
      <c r="J33" s="394"/>
      <c r="K33" s="394"/>
      <c r="L33" s="394"/>
    </row>
    <row r="34" spans="1:12" ht="15" customHeight="1">
      <c r="A34" s="394"/>
      <c r="B34" s="394"/>
      <c r="C34" s="394"/>
      <c r="D34" s="394"/>
      <c r="E34" s="394"/>
      <c r="F34" s="394"/>
      <c r="G34" s="394"/>
      <c r="H34" s="394"/>
      <c r="I34" s="394"/>
      <c r="J34" s="394"/>
      <c r="K34" s="394"/>
      <c r="L34" s="394"/>
    </row>
    <row r="35" spans="1:12" ht="15" customHeight="1">
      <c r="A35" s="405" t="s">
        <v>359</v>
      </c>
      <c r="B35" s="403"/>
      <c r="C35" s="403"/>
      <c r="D35" s="403"/>
      <c r="E35" s="403"/>
      <c r="F35" s="394"/>
      <c r="G35" s="394"/>
      <c r="H35" s="394"/>
      <c r="I35" s="394"/>
      <c r="J35" s="394"/>
      <c r="K35" s="394"/>
      <c r="L35" s="394"/>
    </row>
    <row r="36" spans="1:12" ht="38" customHeight="1">
      <c r="A36" s="399" t="s">
        <v>258</v>
      </c>
      <c r="B36" s="402" t="s">
        <v>261</v>
      </c>
      <c r="C36" s="402"/>
      <c r="D36" s="402"/>
      <c r="E36" s="402"/>
      <c r="F36" s="394"/>
      <c r="G36" s="394"/>
      <c r="H36" s="394"/>
      <c r="I36" s="394"/>
      <c r="J36" s="394"/>
      <c r="K36" s="394"/>
      <c r="L36" s="394"/>
    </row>
    <row r="37" spans="1:12" ht="38" customHeight="1">
      <c r="A37" s="399" t="s">
        <v>244</v>
      </c>
      <c r="B37" s="402" t="s">
        <v>360</v>
      </c>
      <c r="C37" s="402"/>
      <c r="D37" s="402"/>
      <c r="E37" s="402"/>
      <c r="F37" s="394"/>
      <c r="G37" s="394"/>
      <c r="H37" s="394"/>
      <c r="I37" s="394"/>
      <c r="J37" s="394"/>
      <c r="K37" s="394"/>
      <c r="L37" s="394"/>
    </row>
    <row r="38" spans="1:12" ht="38" customHeight="1">
      <c r="A38" s="399" t="s">
        <v>314</v>
      </c>
      <c r="B38" s="402" t="s">
        <v>361</v>
      </c>
      <c r="C38" s="402"/>
      <c r="D38" s="402"/>
      <c r="E38" s="402"/>
      <c r="F38" s="394"/>
      <c r="G38" s="394"/>
      <c r="H38" s="394"/>
      <c r="I38" s="394"/>
      <c r="J38" s="394"/>
      <c r="K38" s="394"/>
      <c r="L38" s="394"/>
    </row>
    <row r="39" spans="1:12" ht="38" customHeight="1">
      <c r="A39" s="399" t="s">
        <v>256</v>
      </c>
      <c r="B39" s="402" t="s">
        <v>362</v>
      </c>
      <c r="C39" s="402"/>
      <c r="D39" s="402"/>
      <c r="E39" s="402"/>
      <c r="F39" s="394"/>
      <c r="G39" s="394"/>
      <c r="H39" s="394"/>
      <c r="I39" s="394"/>
      <c r="J39" s="394"/>
      <c r="K39" s="394"/>
      <c r="L39" s="394"/>
    </row>
    <row r="40" spans="1:12" ht="38" customHeight="1">
      <c r="A40" s="399" t="s">
        <v>245</v>
      </c>
      <c r="B40" s="402" t="s">
        <v>363</v>
      </c>
      <c r="C40" s="402"/>
      <c r="D40" s="402"/>
      <c r="E40" s="402"/>
      <c r="F40" s="394"/>
      <c r="G40" s="394"/>
      <c r="H40" s="394"/>
      <c r="I40" s="394"/>
      <c r="J40" s="394"/>
      <c r="K40" s="394"/>
      <c r="L40" s="394"/>
    </row>
    <row r="41" spans="1:12" ht="38" customHeight="1">
      <c r="A41" s="399" t="s">
        <v>257</v>
      </c>
      <c r="B41" s="402" t="s">
        <v>364</v>
      </c>
      <c r="C41" s="402"/>
      <c r="D41" s="402"/>
      <c r="E41" s="402"/>
      <c r="F41" s="394"/>
      <c r="G41" s="394"/>
      <c r="H41" s="394"/>
      <c r="I41" s="394"/>
      <c r="J41" s="394"/>
      <c r="K41" s="394"/>
      <c r="L41" s="394"/>
    </row>
    <row r="42" spans="1:12" ht="38" customHeight="1">
      <c r="A42" s="399" t="s">
        <v>254</v>
      </c>
      <c r="B42" s="402" t="s">
        <v>365</v>
      </c>
      <c r="C42" s="402"/>
      <c r="D42" s="402"/>
      <c r="E42" s="402"/>
      <c r="F42" s="394"/>
      <c r="G42" s="394"/>
      <c r="H42" s="394"/>
      <c r="I42" s="394"/>
      <c r="J42" s="394"/>
      <c r="K42" s="394"/>
      <c r="L42" s="394"/>
    </row>
    <row r="43" spans="1:12" ht="38" customHeight="1">
      <c r="A43" s="399" t="s">
        <v>366</v>
      </c>
      <c r="B43" s="402" t="s">
        <v>367</v>
      </c>
      <c r="C43" s="402"/>
      <c r="D43" s="402"/>
      <c r="E43" s="402"/>
      <c r="F43" s="394"/>
      <c r="G43" s="394"/>
      <c r="H43" s="394"/>
      <c r="I43" s="394"/>
      <c r="J43" s="394"/>
      <c r="K43" s="394"/>
      <c r="L43" s="394"/>
    </row>
  </sheetData>
  <sheetProtection algorithmName="SHA-512" hashValue="Dr17eaZnG6PFxgr7OnthIPb3bjKGHdFfH4AWwqF5USDQpugtveWkTe6P+UPN+0LBd2TWp2sErChK32SlnEkBww==" saltValue="tj1+IPtPjDayHoD2L16fmA==" spinCount="100000" sheet="1" objects="1" scenarios="1"/>
  <mergeCells count="28">
    <mergeCell ref="J31:L31"/>
    <mergeCell ref="B43:E43"/>
    <mergeCell ref="A25:L25"/>
    <mergeCell ref="A35:E35"/>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 ref="B42:E42"/>
    <mergeCell ref="B41:E41"/>
    <mergeCell ref="B39:E39"/>
    <mergeCell ref="B40:E40"/>
    <mergeCell ref="B37:E37"/>
    <mergeCell ref="B38:E38"/>
    <mergeCell ref="B36:E36"/>
    <mergeCell ref="J28:L28"/>
    <mergeCell ref="J29:L29"/>
    <mergeCell ref="J30:L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ZX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ZX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ZX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ZX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ZX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ZX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ZX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ZX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ZX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ZX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ZX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ZX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ZX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ayc4+JzE8MBnn9uRvTAtvuRcrJDyuKCvDIUCz9pnYVn9CBLkilX8cshjf/Ildjjl12V+LKgjIc+tgQspCAc+IQ==" saltValue="BI1eJkP4zocJMLc6Xqp4Z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6"/>
  <sheetViews>
    <sheetView workbookViewId="0"/>
  </sheetViews>
  <sheetFormatPr baseColWidth="10" defaultRowHeight="15"/>
  <sheetData>
    <row r="1" spans="1:5">
      <c r="A1" t="s">
        <v>386</v>
      </c>
      <c r="B1" t="s">
        <v>387</v>
      </c>
      <c r="C1" t="s">
        <v>388</v>
      </c>
      <c r="D1" t="s">
        <v>389</v>
      </c>
      <c r="E1" t="s">
        <v>390</v>
      </c>
    </row>
    <row r="2" spans="1:5">
      <c r="A2">
        <v>2026</v>
      </c>
      <c r="B2">
        <v>3</v>
      </c>
      <c r="C2" t="s">
        <v>391</v>
      </c>
      <c r="D2" t="s">
        <v>392</v>
      </c>
      <c r="E2">
        <v>151.38</v>
      </c>
    </row>
    <row r="3" spans="1:5">
      <c r="A3">
        <v>2026</v>
      </c>
      <c r="B3">
        <v>5</v>
      </c>
      <c r="C3" t="s">
        <v>391</v>
      </c>
      <c r="D3" t="s">
        <v>392</v>
      </c>
      <c r="E3">
        <v>173</v>
      </c>
    </row>
    <row r="4" spans="1:5">
      <c r="A4">
        <v>2026</v>
      </c>
      <c r="B4">
        <v>9</v>
      </c>
      <c r="C4" t="s">
        <v>391</v>
      </c>
      <c r="D4" t="s">
        <v>392</v>
      </c>
      <c r="E4">
        <v>138.4</v>
      </c>
    </row>
    <row r="5" spans="1:5">
      <c r="A5">
        <v>2026</v>
      </c>
      <c r="B5">
        <v>5</v>
      </c>
      <c r="C5" t="s">
        <v>422</v>
      </c>
      <c r="D5" t="s">
        <v>392</v>
      </c>
      <c r="E5">
        <v>129.75</v>
      </c>
    </row>
    <row r="6" spans="1:5">
      <c r="A6">
        <v>2026</v>
      </c>
      <c r="B6">
        <v>9</v>
      </c>
      <c r="C6" t="s">
        <v>422</v>
      </c>
      <c r="D6" t="s">
        <v>392</v>
      </c>
      <c r="E6">
        <v>151.38</v>
      </c>
    </row>
  </sheetData>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EB2C-0C12-6E47-9899-BDF82CBE42E8}">
  <dimension ref="A1:E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5">
      <c r="A1" s="374" t="s">
        <v>393</v>
      </c>
      <c r="B1" s="374" t="s">
        <v>328</v>
      </c>
      <c r="C1" s="374" t="s">
        <v>394</v>
      </c>
      <c r="D1" s="374" t="s">
        <v>395</v>
      </c>
      <c r="E1" s="374" t="s">
        <v>396</v>
      </c>
    </row>
    <row r="2" spans="1:5" ht="32">
      <c r="A2" s="375" t="s">
        <v>397</v>
      </c>
      <c r="B2" s="376" t="s">
        <v>398</v>
      </c>
      <c r="C2" s="378" t="s">
        <v>399</v>
      </c>
      <c r="D2" s="379">
        <v>46162.491481481484</v>
      </c>
      <c r="E2" s="378" t="s">
        <v>400</v>
      </c>
    </row>
    <row r="3" spans="1:5" ht="32">
      <c r="A3" s="375" t="s">
        <v>401</v>
      </c>
      <c r="B3" s="376" t="s">
        <v>398</v>
      </c>
      <c r="C3" s="378" t="s">
        <v>402</v>
      </c>
      <c r="D3" s="379">
        <v>46162.491481481484</v>
      </c>
      <c r="E3" s="378" t="s">
        <v>403</v>
      </c>
    </row>
    <row r="4" spans="1:5" ht="32">
      <c r="A4" s="375" t="s">
        <v>404</v>
      </c>
      <c r="B4" s="376" t="s">
        <v>398</v>
      </c>
      <c r="C4" s="378" t="s">
        <v>405</v>
      </c>
      <c r="D4" s="379">
        <v>46162.491481481484</v>
      </c>
      <c r="E4" s="378" t="s">
        <v>406</v>
      </c>
    </row>
    <row r="5" spans="1:5" ht="32">
      <c r="A5" s="375" t="s">
        <v>407</v>
      </c>
      <c r="B5" s="376" t="s">
        <v>398</v>
      </c>
      <c r="C5" s="378" t="s">
        <v>408</v>
      </c>
      <c r="D5" s="379">
        <v>46162.491481481484</v>
      </c>
      <c r="E5" s="378" t="s">
        <v>409</v>
      </c>
    </row>
    <row r="6" spans="1:5" ht="32">
      <c r="A6" s="375" t="s">
        <v>410</v>
      </c>
      <c r="B6" s="376" t="s">
        <v>398</v>
      </c>
      <c r="C6" s="378" t="s">
        <v>411</v>
      </c>
      <c r="D6" s="379">
        <v>46162.491481481484</v>
      </c>
      <c r="E6" s="378" t="s">
        <v>412</v>
      </c>
    </row>
    <row r="7" spans="1:5" ht="32">
      <c r="A7" s="375" t="s">
        <v>413</v>
      </c>
      <c r="B7" s="376" t="s">
        <v>398</v>
      </c>
      <c r="C7" s="378" t="s">
        <v>414</v>
      </c>
      <c r="D7" s="379">
        <v>46162.491481481484</v>
      </c>
      <c r="E7" s="378" t="s">
        <v>415</v>
      </c>
    </row>
    <row r="8" spans="1:5" ht="16">
      <c r="A8" s="375" t="s">
        <v>416</v>
      </c>
      <c r="B8" s="377" t="s">
        <v>417</v>
      </c>
      <c r="C8" s="378" t="s">
        <v>418</v>
      </c>
      <c r="D8" s="379">
        <v>46162.491481481484</v>
      </c>
      <c r="E8" s="378" t="s">
        <v>419</v>
      </c>
    </row>
    <row r="9" spans="1:5" ht="16">
      <c r="A9" s="375" t="s">
        <v>420</v>
      </c>
      <c r="B9" s="377" t="s">
        <v>417</v>
      </c>
      <c r="C9" s="378" t="s">
        <v>421</v>
      </c>
      <c r="D9" s="379">
        <v>46162.491481481484</v>
      </c>
      <c r="E9" s="378" t="s">
        <v>419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18</vt:i4>
      </vt:variant>
      <vt:variant>
        <vt:lpstr>Benannte Bereiche</vt:lpstr>
      </vt:variant>
      <vt:variant>
        <vt:i4>717</vt:i4>
      </vt:variant>
    </vt:vector>
  </HeadingPairs>
  <TitlesOfParts>
    <vt:vector size="73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2026-05-20T09:50:14Z</dcterms:modified>
  <cp:category/>
  <cp:contentStatus/>
</cp:coreProperties>
</file>
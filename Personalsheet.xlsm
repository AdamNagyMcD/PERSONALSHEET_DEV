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Adam\iCloudDrive\Desktop\PERSONALSHEET_DEV\"/>
    </mc:Choice>
  </mc:AlternateContent>
  <xr:revisionPtr revIDLastSave="0" documentId="13_ncr:1_{B33C37C5-DE18-4128-9C6A-F7600B6B8D71}" xr6:coauthVersionLast="47" xr6:coauthVersionMax="47" xr10:uidLastSave="{00000000-0000-0000-0000-000000000000}"/>
  <bookViews>
    <workbookView xWindow="-110" yWindow="-110" windowWidth="38620" windowHeight="211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KV_DROPDOWN_HELPER!$IU$1:$IU$14</definedName>
    <definedName name="KV_DD_APRIL_18">KV_DROPDOWN_HELPER!$IV$1:$IV$14</definedName>
    <definedName name="KV_DD_APRIL_19">KV_DROPDOWN_HELPER!$IW$1:$IW$14</definedName>
    <definedName name="KV_DD_APRIL_20">KV_DROPDOWN_HELPER!$IX$1:$IX$13</definedName>
    <definedName name="KV_DD_APRIL_21">KV_DROPDOWN_HELPER!$IY$1:$IY$14</definedName>
    <definedName name="KV_DD_APRIL_22">KV_DROPDOWN_HELPER!$IZ$1:$IZ$14</definedName>
    <definedName name="KV_DD_APRIL_23">KV_DROPDOWN_HELPER!$JA$1:$JA$14</definedName>
    <definedName name="KV_DD_APRIL_24">KV_DROPDOWN_HELPER!$JB$1:$JB$13</definedName>
    <definedName name="KV_DD_APRIL_25">KV_DROPDOWN_HELPER!$JC$1:$JC$13</definedName>
    <definedName name="KV_DD_APRIL_26">KV_DROPDOWN_HELPER!$JD$1:$JD$14</definedName>
    <definedName name="KV_DD_APRIL_27">KV_DROPDOWN_HELPER!$JE$1:$JE$14</definedName>
    <definedName name="KV_DD_APRIL_28">KV_DROPDOWN_HELPER!$JF$1:$JF$14</definedName>
    <definedName name="KV_DD_APRIL_29">KV_DROPDOWN_HELPER!$JG$1:$JG$13</definedName>
    <definedName name="KV_DD_APRIL_3">KV_DROPDOWN_HELPER!$IG$1:$IG$14</definedName>
    <definedName name="KV_DD_APRIL_30">KV_DROPDOWN_HELPER!$JH$1:$JH$14</definedName>
    <definedName name="KV_DD_APRIL_31">KV_DROPDOWN_HELPER!$JI$1:$JI$14</definedName>
    <definedName name="KV_DD_APRIL_32">KV_DROPDOWN_HELPER!$JJ$1:$JJ$14</definedName>
    <definedName name="KV_DD_APRIL_33">KV_DROPDOWN_HELPER!$JK$1:$JK$14</definedName>
    <definedName name="KV_DD_APRIL_34">KV_DROPDOWN_HELPER!$JL$1:$JL$14</definedName>
    <definedName name="KV_DD_APRIL_35">KV_DROPDOWN_HELPER!$JM$1:$JM$14</definedName>
    <definedName name="KV_DD_APRIL_36">KV_DROPDOWN_HELPER!$JN$1:$JN$14</definedName>
    <definedName name="KV_DD_APRIL_37">KV_DROPDOWN_HELPER!$JO$1:$JO$14</definedName>
    <definedName name="KV_DD_APRIL_38">KV_DROPDOWN_HELPER!$JP$1:$JP$14</definedName>
    <definedName name="KV_DD_APRIL_39">KV_DROPDOWN_HELPER!$JQ$1:$JQ$14</definedName>
    <definedName name="KV_DD_APRIL_4">KV_DROPDOWN_HELPER!$IH$1:$IH$13</definedName>
    <definedName name="KV_DD_APRIL_40">KV_DROPDOWN_HELPER!$JR$1:$JR$14</definedName>
    <definedName name="KV_DD_APRIL_41">KV_DROPDOWN_HELPER!$JS$1:$JS$14</definedName>
    <definedName name="KV_DD_APRIL_42">KV_DROPDOWN_HELPER!$JT$1:$JT$14</definedName>
    <definedName name="KV_DD_APRIL_43">KV_DROPDOWN_HELPER!$JU$1:$JU$14</definedName>
    <definedName name="KV_DD_APRIL_44">KV_DROPDOWN_HELPER!$JV$1:$JV$14</definedName>
    <definedName name="KV_DD_APRIL_45">KV_DROPDOWN_HELPER!$JW$1:$JW$14</definedName>
    <definedName name="KV_DD_APRIL_46">KV_DROPDOWN_HELPER!$JX$1:$JX$14</definedName>
    <definedName name="KV_DD_APRIL_47">KV_DROPDOWN_HELPER!$JY$1:$JY$14</definedName>
    <definedName name="KV_DD_APRIL_48">KV_DROPDOWN_HELPER!$JZ$1:$JZ$14</definedName>
    <definedName name="KV_DD_APRIL_49">KV_DROPDOWN_HELPER!$KA$1:$KA$14</definedName>
    <definedName name="KV_DD_APRIL_5">KV_DROPDOWN_HELPER!$II$1:$II$13</definedName>
    <definedName name="KV_DD_APRIL_50">KV_DROPDOWN_HELPER!$KB$1:$KB$14</definedName>
    <definedName name="KV_DD_APRIL_51">KV_DROPDOWN_HELPER!$KC$1:$KC$14</definedName>
    <definedName name="KV_DD_APRIL_52">KV_DROPDOWN_HELPER!$KD$1:$KD$14</definedName>
    <definedName name="KV_DD_APRIL_53">KV_DROPDOWN_HELPER!$KE$1:$KE$14</definedName>
    <definedName name="KV_DD_APRIL_54">KV_DROPDOWN_HELPER!$KF$1:$KF$14</definedName>
    <definedName name="KV_DD_APRIL_55">KV_DROPDOWN_HELPER!$KG$1:$KG$14</definedName>
    <definedName name="KV_DD_APRIL_56">KV_DROPDOWN_HELPER!$KH$1:$KH$14</definedName>
    <definedName name="KV_DD_APRIL_57">KV_DROPDOWN_HELPER!$KI$1:$KI$14</definedName>
    <definedName name="KV_DD_APRIL_58">KV_DROPDOWN_HELPER!$KJ$1:$KJ$14</definedName>
    <definedName name="KV_DD_APRIL_59">KV_DROPDOWN_HELPER!$KK$1:$KK$13</definedName>
    <definedName name="KV_DD_APRIL_6">KV_DROPDOWN_HELPER!$IJ$1:$IJ$13</definedName>
    <definedName name="KV_DD_APRIL_60">KV_DROPDOWN_HELPER!$KL$1:$KL$14</definedName>
    <definedName name="KV_DD_APRIL_61">KV_DROPDOWN_HELPER!$KM$1:$KM$14</definedName>
    <definedName name="KV_DD_APRIL_62">KV_DROPDOWN_HELPER!$KN$1:$KN$14</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KV_DROPDOWN_HELPER!$VC$1:$VC$14</definedName>
    <definedName name="KV_DD_AUGUST_18">KV_DROPDOWN_HELPER!$VD$1:$VD$14</definedName>
    <definedName name="KV_DD_AUGUST_19">KV_DROPDOWN_HELPER!$VE$1:$VE$14</definedName>
    <definedName name="KV_DD_AUGUST_20">KV_DROPDOWN_HELPER!$VF$1:$VF$13</definedName>
    <definedName name="KV_DD_AUGUST_21">KV_DROPDOWN_HELPER!$VG$1:$VG$14</definedName>
    <definedName name="KV_DD_AUGUST_22">KV_DROPDOWN_HELPER!$VH$1:$VH$14</definedName>
    <definedName name="KV_DD_AUGUST_23">KV_DROPDOWN_HELPER!$VI$1:$VI$14</definedName>
    <definedName name="KV_DD_AUGUST_24">KV_DROPDOWN_HELPER!$VJ$1:$VJ$13</definedName>
    <definedName name="KV_DD_AUGUST_25">KV_DROPDOWN_HELPER!$VK$1:$VK$13</definedName>
    <definedName name="KV_DD_AUGUST_26">KV_DROPDOWN_HELPER!$VL$1:$VL$14</definedName>
    <definedName name="KV_DD_AUGUST_27">KV_DROPDOWN_HELPER!$VM$1:$VM$14</definedName>
    <definedName name="KV_DD_AUGUST_28">KV_DROPDOWN_HELPER!$VN$1:$VN$14</definedName>
    <definedName name="KV_DD_AUGUST_29">KV_DROPDOWN_HELPER!$VO$1:$VO$13</definedName>
    <definedName name="KV_DD_AUGUST_3">KV_DROPDOWN_HELPER!$UO$1:$UO$14</definedName>
    <definedName name="KV_DD_AUGUST_30">KV_DROPDOWN_HELPER!$VP$1:$VP$14</definedName>
    <definedName name="KV_DD_AUGUST_31">KV_DROPDOWN_HELPER!$VQ$1:$VQ$14</definedName>
    <definedName name="KV_DD_AUGUST_32">KV_DROPDOWN_HELPER!$VR$1:$VR$14</definedName>
    <definedName name="KV_DD_AUGUST_33">KV_DROPDOWN_HELPER!$VS$1:$VS$14</definedName>
    <definedName name="KV_DD_AUGUST_34">KV_DROPDOWN_HELPER!$VT$1:$VT$14</definedName>
    <definedName name="KV_DD_AUGUST_35">KV_DROPDOWN_HELPER!$VU$1:$VU$14</definedName>
    <definedName name="KV_DD_AUGUST_36">KV_DROPDOWN_HELPER!$VV$1:$VV$14</definedName>
    <definedName name="KV_DD_AUGUST_37">KV_DROPDOWN_HELPER!$VW$1:$VW$14</definedName>
    <definedName name="KV_DD_AUGUST_38">KV_DROPDOWN_HELPER!$VX$1:$VX$14</definedName>
    <definedName name="KV_DD_AUGUST_39">KV_DROPDOWN_HELPER!$VY$1:$VY$14</definedName>
    <definedName name="KV_DD_AUGUST_4">KV_DROPDOWN_HELPER!$UP$1:$UP$13</definedName>
    <definedName name="KV_DD_AUGUST_40">KV_DROPDOWN_HELPER!$VZ$1:$VZ$14</definedName>
    <definedName name="KV_DD_AUGUST_41">KV_DROPDOWN_HELPER!$WA$1:$WA$14</definedName>
    <definedName name="KV_DD_AUGUST_42">KV_DROPDOWN_HELPER!$WB$1:$WB$14</definedName>
    <definedName name="KV_DD_AUGUST_43">KV_DROPDOWN_HELPER!$WC$1:$WC$14</definedName>
    <definedName name="KV_DD_AUGUST_44">KV_DROPDOWN_HELPER!$WD$1:$WD$14</definedName>
    <definedName name="KV_DD_AUGUST_45">KV_DROPDOWN_HELPER!$WE$1:$WE$14</definedName>
    <definedName name="KV_DD_AUGUST_46">KV_DROPDOWN_HELPER!$WF$1:$WF$14</definedName>
    <definedName name="KV_DD_AUGUST_47">KV_DROPDOWN_HELPER!$WG$1:$WG$14</definedName>
    <definedName name="KV_DD_AUGUST_48">KV_DROPDOWN_HELPER!$WH$1:$WH$14</definedName>
    <definedName name="KV_DD_AUGUST_49">KV_DROPDOWN_HELPER!$WI$1:$WI$14</definedName>
    <definedName name="KV_DD_AUGUST_5">KV_DROPDOWN_HELPER!$UQ$1:$UQ$13</definedName>
    <definedName name="KV_DD_AUGUST_50">KV_DROPDOWN_HELPER!$WJ$1:$WJ$14</definedName>
    <definedName name="KV_DD_AUGUST_51">KV_DROPDOWN_HELPER!$WK$1:$WK$14</definedName>
    <definedName name="KV_DD_AUGUST_52">KV_DROPDOWN_HELPER!$WL$1:$WL$14</definedName>
    <definedName name="KV_DD_AUGUST_53">KV_DROPDOWN_HELPER!$WM$1:$WM$14</definedName>
    <definedName name="KV_DD_AUGUST_54">KV_DROPDOWN_HELPER!$WN$1:$WN$14</definedName>
    <definedName name="KV_DD_AUGUST_55">KV_DROPDOWN_HELPER!$WO$1:$WO$14</definedName>
    <definedName name="KV_DD_AUGUST_56">KV_DROPDOWN_HELPER!$WP$1:$WP$14</definedName>
    <definedName name="KV_DD_AUGUST_57">KV_DROPDOWN_HELPER!$WQ$1:$WQ$14</definedName>
    <definedName name="KV_DD_AUGUST_58">KV_DROPDOWN_HELPER!$WR$1:$WR$14</definedName>
    <definedName name="KV_DD_AUGUST_59">KV_DROPDOWN_HELPER!$WS$1:$WS$14</definedName>
    <definedName name="KV_DD_AUGUST_6">KV_DROPDOWN_HELPER!$UR$1:$UR$13</definedName>
    <definedName name="KV_DD_AUGUST_60">KV_DROPDOWN_HELPER!$WT$1:$WT$14</definedName>
    <definedName name="KV_DD_AUGUST_61">KV_DROPDOWN_HELPER!$WU$1:$WU$13</definedName>
    <definedName name="KV_DD_AUGUST_62">KV_DROPDOWN_HELPER!$WV$1:$WV$14</definedName>
    <definedName name="KV_DD_AUGUST_63">KV_DROPDOWN_HELPER!$WW$1:$WW$14</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KV_DROPDOWN_HELPER!$AHK$1:$AHK$14</definedName>
    <definedName name="KV_DD_DEZEMBER_18">KV_DROPDOWN_HELPER!$AHL$1:$AHL$14</definedName>
    <definedName name="KV_DD_DEZEMBER_19">KV_DROPDOWN_HELPER!$AHM$1:$AHM$14</definedName>
    <definedName name="KV_DD_DEZEMBER_20">KV_DROPDOWN_HELPER!$AHN$1:$AHN$13</definedName>
    <definedName name="KV_DD_DEZEMBER_21">KV_DROPDOWN_HELPER!$AHO$1:$AHO$14</definedName>
    <definedName name="KV_DD_DEZEMBER_22">KV_DROPDOWN_HELPER!$AHP$1:$AHP$14</definedName>
    <definedName name="KV_DD_DEZEMBER_23">KV_DROPDOWN_HELPER!$AHQ$1:$AHQ$14</definedName>
    <definedName name="KV_DD_DEZEMBER_24">KV_DROPDOWN_HELPER!$AHR$1:$AHR$13</definedName>
    <definedName name="KV_DD_DEZEMBER_25">KV_DROPDOWN_HELPER!$AHS$1:$AHS$13</definedName>
    <definedName name="KV_DD_DEZEMBER_26">KV_DROPDOWN_HELPER!$AHT$1:$AHT$14</definedName>
    <definedName name="KV_DD_DEZEMBER_27">KV_DROPDOWN_HELPER!$AHU$1:$AHU$14</definedName>
    <definedName name="KV_DD_DEZEMBER_28">KV_DROPDOWN_HELPER!$AHV$1:$AHV$14</definedName>
    <definedName name="KV_DD_DEZEMBER_29">KV_DROPDOWN_HELPER!$AHW$1:$AHW$13</definedName>
    <definedName name="KV_DD_DEZEMBER_3">KV_DROPDOWN_HELPER!$AGW$1:$AGW$14</definedName>
    <definedName name="KV_DD_DEZEMBER_30">KV_DROPDOWN_HELPER!$AHX$1:$AHX$14</definedName>
    <definedName name="KV_DD_DEZEMBER_31">KV_DROPDOWN_HELPER!$AHY$1:$AHY$14</definedName>
    <definedName name="KV_DD_DEZEMBER_32">KV_DROPDOWN_HELPER!$AHZ$1:$AHZ$14</definedName>
    <definedName name="KV_DD_DEZEMBER_33">KV_DROPDOWN_HELPER!$AIA$1:$AIA$14</definedName>
    <definedName name="KV_DD_DEZEMBER_34">KV_DROPDOWN_HELPER!$AIB$1:$AIB$14</definedName>
    <definedName name="KV_DD_DEZEMBER_35">KV_DROPDOWN_HELPER!$AIC$1:$AIC$14</definedName>
    <definedName name="KV_DD_DEZEMBER_36">KV_DROPDOWN_HELPER!$AID$1:$AID$14</definedName>
    <definedName name="KV_DD_DEZEMBER_37">KV_DROPDOWN_HELPER!$AIE$1:$AIE$14</definedName>
    <definedName name="KV_DD_DEZEMBER_38">KV_DROPDOWN_HELPER!$AIF$1:$AIF$14</definedName>
    <definedName name="KV_DD_DEZEMBER_39">KV_DROPDOWN_HELPER!$AIG$1:$AIG$14</definedName>
    <definedName name="KV_DD_DEZEMBER_4">KV_DROPDOWN_HELPER!$AGX$1:$AGX$13</definedName>
    <definedName name="KV_DD_DEZEMBER_40">KV_DROPDOWN_HELPER!$AIH$1:$AIH$14</definedName>
    <definedName name="KV_DD_DEZEMBER_41">KV_DROPDOWN_HELPER!$AII$1:$AII$14</definedName>
    <definedName name="KV_DD_DEZEMBER_42">KV_DROPDOWN_HELPER!$AIJ$1:$AIJ$14</definedName>
    <definedName name="KV_DD_DEZEMBER_43">KV_DROPDOWN_HELPER!$AIK$1:$AIK$14</definedName>
    <definedName name="KV_DD_DEZEMBER_44">KV_DROPDOWN_HELPER!$AIL$1:$AIL$14</definedName>
    <definedName name="KV_DD_DEZEMBER_45">KV_DROPDOWN_HELPER!$AIM$1:$AIM$14</definedName>
    <definedName name="KV_DD_DEZEMBER_46">KV_DROPDOWN_HELPER!$AIN$1:$AIN$14</definedName>
    <definedName name="KV_DD_DEZEMBER_47">KV_DROPDOWN_HELPER!$AIO$1:$AIO$14</definedName>
    <definedName name="KV_DD_DEZEMBER_48">KV_DROPDOWN_HELPER!$AIP$1:$AIP$14</definedName>
    <definedName name="KV_DD_DEZEMBER_49">KV_DROPDOWN_HELPER!$AIQ$1:$AIQ$14</definedName>
    <definedName name="KV_DD_DEZEMBER_5">KV_DROPDOWN_HELPER!$AGY$1:$AGY$13</definedName>
    <definedName name="KV_DD_DEZEMBER_50">KV_DROPDOWN_HELPER!$AIR$1:$AIR$14</definedName>
    <definedName name="KV_DD_DEZEMBER_51">KV_DROPDOWN_HELPER!$AIS$1:$AIS$14</definedName>
    <definedName name="KV_DD_DEZEMBER_52">KV_DROPDOWN_HELPER!$AIT$1:$AIT$14</definedName>
    <definedName name="KV_DD_DEZEMBER_53">KV_DROPDOWN_HELPER!$AIU$1:$AIU$14</definedName>
    <definedName name="KV_DD_DEZEMBER_54">KV_DROPDOWN_HELPER!$AIV$1:$AIV$14</definedName>
    <definedName name="KV_DD_DEZEMBER_55">KV_DROPDOWN_HELPER!$AIW$1:$AIW$14</definedName>
    <definedName name="KV_DD_DEZEMBER_56">KV_DROPDOWN_HELPER!$AIX$1:$AIX$14</definedName>
    <definedName name="KV_DD_DEZEMBER_57">KV_DROPDOWN_HELPER!$AIY$1:$AIY$14</definedName>
    <definedName name="KV_DD_DEZEMBER_58">KV_DROPDOWN_HELPER!$AIZ$1:$AIZ$14</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61">KV_DROPDOWN_HELPER!$EI$1:$EI$13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KV_DROPDOWN_HELPER!$SA$1:$SA$14</definedName>
    <definedName name="KV_DD_JULI_18">KV_DROPDOWN_HELPER!$SB$1:$SB$14</definedName>
    <definedName name="KV_DD_JULI_19">KV_DROPDOWN_HELPER!$SC$1:$SC$14</definedName>
    <definedName name="KV_DD_JULI_20">KV_DROPDOWN_HELPER!$SD$1:$SD$13</definedName>
    <definedName name="KV_DD_JULI_21">KV_DROPDOWN_HELPER!$SE$1:$SE$14</definedName>
    <definedName name="KV_DD_JULI_22">KV_DROPDOWN_HELPER!$SF$1:$SF$14</definedName>
    <definedName name="KV_DD_JULI_23">KV_DROPDOWN_HELPER!$SG$1:$SG$14</definedName>
    <definedName name="KV_DD_JULI_24">KV_DROPDOWN_HELPER!$SH$1:$SH$13</definedName>
    <definedName name="KV_DD_JULI_25">KV_DROPDOWN_HELPER!$SI$1:$SI$13</definedName>
    <definedName name="KV_DD_JULI_26">KV_DROPDOWN_HELPER!$SJ$1:$SJ$14</definedName>
    <definedName name="KV_DD_JULI_27">KV_DROPDOWN_HELPER!$SK$1:$SK$14</definedName>
    <definedName name="KV_DD_JULI_28">KV_DROPDOWN_HELPER!$SL$1:$SL$14</definedName>
    <definedName name="KV_DD_JULI_29">KV_DROPDOWN_HELPER!$SM$1:$SM$13</definedName>
    <definedName name="KV_DD_JULI_3">KV_DROPDOWN_HELPER!$RM$1:$RM$14</definedName>
    <definedName name="KV_DD_JULI_30">KV_DROPDOWN_HELPER!$SN$1:$SN$14</definedName>
    <definedName name="KV_DD_JULI_31">KV_DROPDOWN_HELPER!$SO$1:$SO$14</definedName>
    <definedName name="KV_DD_JULI_32">KV_DROPDOWN_HELPER!$SP$1:$SP$14</definedName>
    <definedName name="KV_DD_JULI_33">KV_DROPDOWN_HELPER!$SQ$1:$SQ$14</definedName>
    <definedName name="KV_DD_JULI_34">KV_DROPDOWN_HELPER!$SR$1:$SR$14</definedName>
    <definedName name="KV_DD_JULI_35">KV_DROPDOWN_HELPER!$SS$1:$SS$14</definedName>
    <definedName name="KV_DD_JULI_36">KV_DROPDOWN_HELPER!$ST$1:$ST$14</definedName>
    <definedName name="KV_DD_JULI_37">KV_DROPDOWN_HELPER!$SU$1:$SU$14</definedName>
    <definedName name="KV_DD_JULI_38">KV_DROPDOWN_HELPER!$SV$1:$SV$14</definedName>
    <definedName name="KV_DD_JULI_39">KV_DROPDOWN_HELPER!$SW$1:$SW$14</definedName>
    <definedName name="KV_DD_JULI_4">KV_DROPDOWN_HELPER!$RN$1:$RN$13</definedName>
    <definedName name="KV_DD_JULI_40">KV_DROPDOWN_HELPER!$SX$1:$SX$14</definedName>
    <definedName name="KV_DD_JULI_41">KV_DROPDOWN_HELPER!$SY$1:$SY$14</definedName>
    <definedName name="KV_DD_JULI_42">KV_DROPDOWN_HELPER!$SZ$1:$SZ$14</definedName>
    <definedName name="KV_DD_JULI_43">KV_DROPDOWN_HELPER!$TA$1:$TA$14</definedName>
    <definedName name="KV_DD_JULI_44">KV_DROPDOWN_HELPER!$TB$1:$TB$14</definedName>
    <definedName name="KV_DD_JULI_45">KV_DROPDOWN_HELPER!$TC$1:$TC$14</definedName>
    <definedName name="KV_DD_JULI_46">KV_DROPDOWN_HELPER!$TD$1:$TD$14</definedName>
    <definedName name="KV_DD_JULI_47">KV_DROPDOWN_HELPER!$TE$1:$TE$14</definedName>
    <definedName name="KV_DD_JULI_48">KV_DROPDOWN_HELPER!$TF$1:$TF$14</definedName>
    <definedName name="KV_DD_JULI_49">KV_DROPDOWN_HELPER!$TG$1:$TG$14</definedName>
    <definedName name="KV_DD_JULI_5">KV_DROPDOWN_HELPER!$RO$1:$RO$13</definedName>
    <definedName name="KV_DD_JULI_50">KV_DROPDOWN_HELPER!$TH$1:$TH$14</definedName>
    <definedName name="KV_DD_JULI_51">KV_DROPDOWN_HELPER!$TI$1:$TI$14</definedName>
    <definedName name="KV_DD_JULI_52">KV_DROPDOWN_HELPER!$TJ$1:$TJ$14</definedName>
    <definedName name="KV_DD_JULI_53">KV_DROPDOWN_HELPER!$TK$1:$TK$14</definedName>
    <definedName name="KV_DD_JULI_54">KV_DROPDOWN_HELPER!$TL$1:$TL$14</definedName>
    <definedName name="KV_DD_JULI_55">KV_DROPDOWN_HELPER!$TM$1:$TM$14</definedName>
    <definedName name="KV_DD_JULI_56">KV_DROPDOWN_HELPER!$TN$1:$TN$14</definedName>
    <definedName name="KV_DD_JULI_57">KV_DROPDOWN_HELPER!$TO$1:$TO$14</definedName>
    <definedName name="KV_DD_JULI_58">KV_DROPDOWN_HELPER!$TP$1:$TP$14</definedName>
    <definedName name="KV_DD_JULI_59">KV_DROPDOWN_HELPER!$TQ$1:$TQ$14</definedName>
    <definedName name="KV_DD_JULI_6">KV_DROPDOWN_HELPER!$RP$1:$RP$13</definedName>
    <definedName name="KV_DD_JULI_60">KV_DROPDOWN_HELPER!$TR$1:$TR$14</definedName>
    <definedName name="KV_DD_JULI_61">KV_DROPDOWN_HELPER!$TS$1:$TS$13</definedName>
    <definedName name="KV_DD_JULI_62">KV_DROPDOWN_HELPER!$TT$1:$TT$14</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KV_DROPDOWN_HELPER!$OY$1:$OY$14</definedName>
    <definedName name="KV_DD_JUNI_18">KV_DROPDOWN_HELPER!$OZ$1:$OZ$14</definedName>
    <definedName name="KV_DD_JUNI_19">KV_DROPDOWN_HELPER!$PA$1:$PA$14</definedName>
    <definedName name="KV_DD_JUNI_20">KV_DROPDOWN_HELPER!$PB$1:$PB$13</definedName>
    <definedName name="KV_DD_JUNI_21">KV_DROPDOWN_HELPER!$PC$1:$PC$14</definedName>
    <definedName name="KV_DD_JUNI_22">KV_DROPDOWN_HELPER!$PD$1:$PD$14</definedName>
    <definedName name="KV_DD_JUNI_23">KV_DROPDOWN_HELPER!$PE$1:$PE$14</definedName>
    <definedName name="KV_DD_JUNI_24">KV_DROPDOWN_HELPER!$PF$1:$PF$13</definedName>
    <definedName name="KV_DD_JUNI_25">KV_DROPDOWN_HELPER!$PG$1:$PG$13</definedName>
    <definedName name="KV_DD_JUNI_26">KV_DROPDOWN_HELPER!$PH$1:$PH$14</definedName>
    <definedName name="KV_DD_JUNI_27">KV_DROPDOWN_HELPER!$PI$1:$PI$14</definedName>
    <definedName name="KV_DD_JUNI_28">KV_DROPDOWN_HELPER!$PJ$1:$PJ$14</definedName>
    <definedName name="KV_DD_JUNI_29">KV_DROPDOWN_HELPER!$PK$1:$PK$13</definedName>
    <definedName name="KV_DD_JUNI_3">KV_DROPDOWN_HELPER!$OK$1:$OK$14</definedName>
    <definedName name="KV_DD_JUNI_30">KV_DROPDOWN_HELPER!$PL$1:$PL$14</definedName>
    <definedName name="KV_DD_JUNI_31">KV_DROPDOWN_HELPER!$PM$1:$PM$14</definedName>
    <definedName name="KV_DD_JUNI_32">KV_DROPDOWN_HELPER!$PN$1:$PN$14</definedName>
    <definedName name="KV_DD_JUNI_33">KV_DROPDOWN_HELPER!$PO$1:$PO$14</definedName>
    <definedName name="KV_DD_JUNI_34">KV_DROPDOWN_HELPER!$PP$1:$PP$14</definedName>
    <definedName name="KV_DD_JUNI_35">KV_DROPDOWN_HELPER!$PQ$1:$PQ$14</definedName>
    <definedName name="KV_DD_JUNI_36">KV_DROPDOWN_HELPER!$PR$1:$PR$14</definedName>
    <definedName name="KV_DD_JUNI_37">KV_DROPDOWN_HELPER!$PS$1:$PS$14</definedName>
    <definedName name="KV_DD_JUNI_38">KV_DROPDOWN_HELPER!$PT$1:$PT$14</definedName>
    <definedName name="KV_DD_JUNI_39">KV_DROPDOWN_HELPER!$PU$1:$PU$14</definedName>
    <definedName name="KV_DD_JUNI_4">KV_DROPDOWN_HELPER!$OL$1:$OL$13</definedName>
    <definedName name="KV_DD_JUNI_40">KV_DROPDOWN_HELPER!$PV$1:$PV$14</definedName>
    <definedName name="KV_DD_JUNI_41">KV_DROPDOWN_HELPER!$PW$1:$PW$14</definedName>
    <definedName name="KV_DD_JUNI_42">KV_DROPDOWN_HELPER!$PX$1:$PX$14</definedName>
    <definedName name="KV_DD_JUNI_43">KV_DROPDOWN_HELPER!$PY$1:$PY$14</definedName>
    <definedName name="KV_DD_JUNI_44">KV_DROPDOWN_HELPER!$PZ$1:$PZ$14</definedName>
    <definedName name="KV_DD_JUNI_45">KV_DROPDOWN_HELPER!$QA$1:$QA$14</definedName>
    <definedName name="KV_DD_JUNI_46">KV_DROPDOWN_HELPER!$QB$1:$QB$14</definedName>
    <definedName name="KV_DD_JUNI_47">KV_DROPDOWN_HELPER!$QC$1:$QC$14</definedName>
    <definedName name="KV_DD_JUNI_48">KV_DROPDOWN_HELPER!$QD$1:$QD$14</definedName>
    <definedName name="KV_DD_JUNI_49">KV_DROPDOWN_HELPER!$QE$1:$QE$14</definedName>
    <definedName name="KV_DD_JUNI_5">KV_DROPDOWN_HELPER!$OM$1:$OM$13</definedName>
    <definedName name="KV_DD_JUNI_50">KV_DROPDOWN_HELPER!$QF$1:$QF$14</definedName>
    <definedName name="KV_DD_JUNI_51">KV_DROPDOWN_HELPER!$QG$1:$QG$14</definedName>
    <definedName name="KV_DD_JUNI_52">KV_DROPDOWN_HELPER!$QH$1:$QH$14</definedName>
    <definedName name="KV_DD_JUNI_53">KV_DROPDOWN_HELPER!$QI$1:$QI$14</definedName>
    <definedName name="KV_DD_JUNI_54">KV_DROPDOWN_HELPER!$QJ$1:$QJ$14</definedName>
    <definedName name="KV_DD_JUNI_55">KV_DROPDOWN_HELPER!$QK$1:$QK$14</definedName>
    <definedName name="KV_DD_JUNI_56">KV_DROPDOWN_HELPER!$QL$1:$QL$14</definedName>
    <definedName name="KV_DD_JUNI_57">KV_DROPDOWN_HELPER!$QM$1:$QM$14</definedName>
    <definedName name="KV_DD_JUNI_58">KV_DROPDOWN_HELPER!$QN$1:$QN$14</definedName>
    <definedName name="KV_DD_JUNI_59">KV_DROPDOWN_HELPER!$QO$1:$QO$14</definedName>
    <definedName name="KV_DD_JUNI_6">KV_DROPDOWN_HELPER!$ON$1:$ON$13</definedName>
    <definedName name="KV_DD_JUNI_60">KV_DROPDOWN_HELPER!$QP$1:$QP$14</definedName>
    <definedName name="KV_DD_JUNI_61">KV_DROPDOWN_HELPER!$QQ$1:$QQ$13</definedName>
    <definedName name="KV_DD_JUNI_62">KV_DROPDOWN_HELPER!$QR$1:$QR$14</definedName>
    <definedName name="KV_DD_JUNI_63">KV_DROPDOWN_HELPER!$QS$1:$QS$14</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KV_DROPDOWN_HELPER!$LW$1:$LW$14</definedName>
    <definedName name="KV_DD_MAI_18">KV_DROPDOWN_HELPER!$LX$1:$LX$14</definedName>
    <definedName name="KV_DD_MAI_19">KV_DROPDOWN_HELPER!$LY$1:$LY$14</definedName>
    <definedName name="KV_DD_MAI_20">KV_DROPDOWN_HELPER!$LZ$1:$LZ$13</definedName>
    <definedName name="KV_DD_MAI_21">KV_DROPDOWN_HELPER!$MA$1:$MA$14</definedName>
    <definedName name="KV_DD_MAI_22">KV_DROPDOWN_HELPER!$MB$1:$MB$14</definedName>
    <definedName name="KV_DD_MAI_23">KV_DROPDOWN_HELPER!$MC$1:$MC$14</definedName>
    <definedName name="KV_DD_MAI_24">KV_DROPDOWN_HELPER!$MD$1:$MD$13</definedName>
    <definedName name="KV_DD_MAI_25">KV_DROPDOWN_HELPER!$ME$1:$ME$13</definedName>
    <definedName name="KV_DD_MAI_26">KV_DROPDOWN_HELPER!$MF$1:$MF$14</definedName>
    <definedName name="KV_DD_MAI_27">KV_DROPDOWN_HELPER!$MG$1:$MG$14</definedName>
    <definedName name="KV_DD_MAI_28">KV_DROPDOWN_HELPER!$MH$1:$MH$14</definedName>
    <definedName name="KV_DD_MAI_29">KV_DROPDOWN_HELPER!$MI$1:$MI$13</definedName>
    <definedName name="KV_DD_MAI_3">KV_DROPDOWN_HELPER!$LI$1:$LI$14</definedName>
    <definedName name="KV_DD_MAI_30">KV_DROPDOWN_HELPER!$MJ$1:$MJ$14</definedName>
    <definedName name="KV_DD_MAI_31">KV_DROPDOWN_HELPER!$MK$1:$MK$14</definedName>
    <definedName name="KV_DD_MAI_32">KV_DROPDOWN_HELPER!$ML$1:$ML$14</definedName>
    <definedName name="KV_DD_MAI_33">KV_DROPDOWN_HELPER!$MM$1:$MM$14</definedName>
    <definedName name="KV_DD_MAI_34">KV_DROPDOWN_HELPER!$MN$1:$MN$14</definedName>
    <definedName name="KV_DD_MAI_35">KV_DROPDOWN_HELPER!$MO$1:$MO$14</definedName>
    <definedName name="KV_DD_MAI_36">KV_DROPDOWN_HELPER!$MP$1:$MP$14</definedName>
    <definedName name="KV_DD_MAI_37">KV_DROPDOWN_HELPER!$MQ$1:$MQ$14</definedName>
    <definedName name="KV_DD_MAI_38">KV_DROPDOWN_HELPER!$MR$1:$MR$14</definedName>
    <definedName name="KV_DD_MAI_39">KV_DROPDOWN_HELPER!$MS$1:$MS$14</definedName>
    <definedName name="KV_DD_MAI_4">KV_DROPDOWN_HELPER!$LJ$1:$LJ$13</definedName>
    <definedName name="KV_DD_MAI_40">KV_DROPDOWN_HELPER!$MT$1:$MT$14</definedName>
    <definedName name="KV_DD_MAI_41">KV_DROPDOWN_HELPER!$MU$1:$MU$14</definedName>
    <definedName name="KV_DD_MAI_42">KV_DROPDOWN_HELPER!$MV$1:$MV$14</definedName>
    <definedName name="KV_DD_MAI_43">KV_DROPDOWN_HELPER!$MW$1:$MW$14</definedName>
    <definedName name="KV_DD_MAI_44">KV_DROPDOWN_HELPER!$MX$1:$MX$14</definedName>
    <definedName name="KV_DD_MAI_45">KV_DROPDOWN_HELPER!$MY$1:$MY$14</definedName>
    <definedName name="KV_DD_MAI_46">KV_DROPDOWN_HELPER!$MZ$1:$MZ$14</definedName>
    <definedName name="KV_DD_MAI_47">KV_DROPDOWN_HELPER!$NA$1:$NA$14</definedName>
    <definedName name="KV_DD_MAI_48">KV_DROPDOWN_HELPER!$NB$1:$NB$14</definedName>
    <definedName name="KV_DD_MAI_49">KV_DROPDOWN_HELPER!$NC$1:$NC$14</definedName>
    <definedName name="KV_DD_MAI_5">KV_DROPDOWN_HELPER!$LK$1:$LK$13</definedName>
    <definedName name="KV_DD_MAI_50">KV_DROPDOWN_HELPER!$ND$1:$ND$14</definedName>
    <definedName name="KV_DD_MAI_51">KV_DROPDOWN_HELPER!$NE$1:$NE$14</definedName>
    <definedName name="KV_DD_MAI_52">KV_DROPDOWN_HELPER!$NF$1:$NF$14</definedName>
    <definedName name="KV_DD_MAI_53">KV_DROPDOWN_HELPER!$NG$1:$NG$14</definedName>
    <definedName name="KV_DD_MAI_54">KV_DROPDOWN_HELPER!$NH$1:$NH$14</definedName>
    <definedName name="KV_DD_MAI_55">KV_DROPDOWN_HELPER!$NI$1:$NI$14</definedName>
    <definedName name="KV_DD_MAI_56">KV_DROPDOWN_HELPER!$NJ$1:$NJ$14</definedName>
    <definedName name="KV_DD_MAI_57">KV_DROPDOWN_HELPER!$NK$1:$NK$14</definedName>
    <definedName name="KV_DD_MAI_58">KV_DROPDOWN_HELPER!$NL$1:$NL$14</definedName>
    <definedName name="KV_DD_MAI_59">KV_DROPDOWN_HELPER!$NM$1:$NM$14</definedName>
    <definedName name="KV_DD_MAI_6">KV_DROPDOWN_HELPER!$LL$1:$LL$13</definedName>
    <definedName name="KV_DD_MAI_60">KV_DROPDOWN_HELPER!$NN$1:$NN$14</definedName>
    <definedName name="KV_DD_MAI_61">KV_DROPDOWN_HELPER!$NO$1:$NO$13</definedName>
    <definedName name="KV_DD_MAI_62">KV_DROPDOWN_HELPER!$NP$1:$NP$14</definedName>
    <definedName name="KV_DD_MAI_63">KV_DROPDOWN_HELPER!$NQ$1:$NQ$14</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62">KV_DROPDOWN_HELPER!$HL$1:$HL$13</definedName>
    <definedName name="KV_DD_MARZ_63">KV_DROPDOWN_HELPER!$HM$1:$HM$13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KV_DROPDOWN_HELPER!$AEI$1:$AEI$14</definedName>
    <definedName name="KV_DD_NOVEMBER_18">KV_DROPDOWN_HELPER!$AEJ$1:$AEJ$14</definedName>
    <definedName name="KV_DD_NOVEMBER_19">KV_DROPDOWN_HELPER!$AEK$1:$AEK$14</definedName>
    <definedName name="KV_DD_NOVEMBER_20">KV_DROPDOWN_HELPER!$AEL$1:$AEL$13</definedName>
    <definedName name="KV_DD_NOVEMBER_21">KV_DROPDOWN_HELPER!$AEM$1:$AEM$14</definedName>
    <definedName name="KV_DD_NOVEMBER_22">KV_DROPDOWN_HELPER!$AEN$1:$AEN$14</definedName>
    <definedName name="KV_DD_NOVEMBER_23">KV_DROPDOWN_HELPER!$AEO$1:$AEO$14</definedName>
    <definedName name="KV_DD_NOVEMBER_24">KV_DROPDOWN_HELPER!$AEP$1:$AEP$13</definedName>
    <definedName name="KV_DD_NOVEMBER_25">KV_DROPDOWN_HELPER!$AEQ$1:$AEQ$13</definedName>
    <definedName name="KV_DD_NOVEMBER_26">KV_DROPDOWN_HELPER!$AER$1:$AER$14</definedName>
    <definedName name="KV_DD_NOVEMBER_27">KV_DROPDOWN_HELPER!$AES$1:$AES$14</definedName>
    <definedName name="KV_DD_NOVEMBER_28">KV_DROPDOWN_HELPER!$AET$1:$AET$14</definedName>
    <definedName name="KV_DD_NOVEMBER_29">KV_DROPDOWN_HELPER!$AEU$1:$AEU$13</definedName>
    <definedName name="KV_DD_NOVEMBER_3">KV_DROPDOWN_HELPER!$ADU$1:$ADU$14</definedName>
    <definedName name="KV_DD_NOVEMBER_30">KV_DROPDOWN_HELPER!$AEV$1:$AEV$14</definedName>
    <definedName name="KV_DD_NOVEMBER_31">KV_DROPDOWN_HELPER!$AEW$1:$AEW$14</definedName>
    <definedName name="KV_DD_NOVEMBER_32">KV_DROPDOWN_HELPER!$AEX$1:$AEX$14</definedName>
    <definedName name="KV_DD_NOVEMBER_33">KV_DROPDOWN_HELPER!$AEY$1:$AEY$14</definedName>
    <definedName name="KV_DD_NOVEMBER_34">KV_DROPDOWN_HELPER!$AEZ$1:$AEZ$14</definedName>
    <definedName name="KV_DD_NOVEMBER_35">KV_DROPDOWN_HELPER!$AFA$1:$AFA$14</definedName>
    <definedName name="KV_DD_NOVEMBER_36">KV_DROPDOWN_HELPER!$AFB$1:$AFB$14</definedName>
    <definedName name="KV_DD_NOVEMBER_37">KV_DROPDOWN_HELPER!$AFC$1:$AFC$14</definedName>
    <definedName name="KV_DD_NOVEMBER_38">KV_DROPDOWN_HELPER!$AFD$1:$AFD$14</definedName>
    <definedName name="KV_DD_NOVEMBER_39">KV_DROPDOWN_HELPER!$AFE$1:$AFE$14</definedName>
    <definedName name="KV_DD_NOVEMBER_4">KV_DROPDOWN_HELPER!$ADV$1:$ADV$13</definedName>
    <definedName name="KV_DD_NOVEMBER_40">KV_DROPDOWN_HELPER!$AFF$1:$AFF$14</definedName>
    <definedName name="KV_DD_NOVEMBER_41">KV_DROPDOWN_HELPER!$AFG$1:$AFG$14</definedName>
    <definedName name="KV_DD_NOVEMBER_42">KV_DROPDOWN_HELPER!$AFH$1:$AFH$14</definedName>
    <definedName name="KV_DD_NOVEMBER_43">KV_DROPDOWN_HELPER!$AFI$1:$AFI$14</definedName>
    <definedName name="KV_DD_NOVEMBER_44">KV_DROPDOWN_HELPER!$AFJ$1:$AFJ$14</definedName>
    <definedName name="KV_DD_NOVEMBER_45">KV_DROPDOWN_HELPER!$AFK$1:$AFK$14</definedName>
    <definedName name="KV_DD_NOVEMBER_46">KV_DROPDOWN_HELPER!$AFL$1:$AFL$14</definedName>
    <definedName name="KV_DD_NOVEMBER_47">KV_DROPDOWN_HELPER!$AFM$1:$AFM$14</definedName>
    <definedName name="KV_DD_NOVEMBER_48">KV_DROPDOWN_HELPER!$AFN$1:$AFN$14</definedName>
    <definedName name="KV_DD_NOVEMBER_49">KV_DROPDOWN_HELPER!$AFO$1:$AFO$14</definedName>
    <definedName name="KV_DD_NOVEMBER_5">KV_DROPDOWN_HELPER!$ADW$1:$ADW$13</definedName>
    <definedName name="KV_DD_NOVEMBER_50">KV_DROPDOWN_HELPER!$AFP$1:$AFP$14</definedName>
    <definedName name="KV_DD_NOVEMBER_51">KV_DROPDOWN_HELPER!$AFQ$1:$AFQ$14</definedName>
    <definedName name="KV_DD_NOVEMBER_52">KV_DROPDOWN_HELPER!$AFR$1:$AFR$14</definedName>
    <definedName name="KV_DD_NOVEMBER_53">KV_DROPDOWN_HELPER!$AFS$1:$AFS$14</definedName>
    <definedName name="KV_DD_NOVEMBER_54">KV_DROPDOWN_HELPER!$AFT$1:$AFT$14</definedName>
    <definedName name="KV_DD_NOVEMBER_55">KV_DROPDOWN_HELPER!$AFU$1:$AFU$14</definedName>
    <definedName name="KV_DD_NOVEMBER_56">KV_DROPDOWN_HELPER!$AFV$1:$AFV$14</definedName>
    <definedName name="KV_DD_NOVEMBER_57">KV_DROPDOWN_HELPER!$AFW$1:$AFW$14</definedName>
    <definedName name="KV_DD_NOVEMBER_58">KV_DROPDOWN_HELPER!$AFX$1:$AFX$14</definedName>
    <definedName name="KV_DD_NOVEMBER_59">KV_DROPDOWN_HELPER!$AFY$1:$AFY$14</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KV_DROPDOWN_HELPER!$ABG$1:$ABG$14</definedName>
    <definedName name="KV_DD_OKTOBER_18">KV_DROPDOWN_HELPER!$ABH$1:$ABH$14</definedName>
    <definedName name="KV_DD_OKTOBER_19">KV_DROPDOWN_HELPER!$ABI$1:$ABI$14</definedName>
    <definedName name="KV_DD_OKTOBER_20">KV_DROPDOWN_HELPER!$ABJ$1:$ABJ$13</definedName>
    <definedName name="KV_DD_OKTOBER_21">KV_DROPDOWN_HELPER!$ABK$1:$ABK$14</definedName>
    <definedName name="KV_DD_OKTOBER_22">KV_DROPDOWN_HELPER!$ABL$1:$ABL$14</definedName>
    <definedName name="KV_DD_OKTOBER_23">KV_DROPDOWN_HELPER!$ABM$1:$ABM$14</definedName>
    <definedName name="KV_DD_OKTOBER_24">KV_DROPDOWN_HELPER!$ABN$1:$ABN$13</definedName>
    <definedName name="KV_DD_OKTOBER_25">KV_DROPDOWN_HELPER!$ABO$1:$ABO$13</definedName>
    <definedName name="KV_DD_OKTOBER_26">KV_DROPDOWN_HELPER!$ABP$1:$ABP$14</definedName>
    <definedName name="KV_DD_OKTOBER_27">KV_DROPDOWN_HELPER!$ABQ$1:$ABQ$14</definedName>
    <definedName name="KV_DD_OKTOBER_28">KV_DROPDOWN_HELPER!$ABR$1:$ABR$14</definedName>
    <definedName name="KV_DD_OKTOBER_29">KV_DROPDOWN_HELPER!$ABS$1:$ABS$13</definedName>
    <definedName name="KV_DD_OKTOBER_3">KV_DROPDOWN_HELPER!$AAS$1:$AAS$14</definedName>
    <definedName name="KV_DD_OKTOBER_30">KV_DROPDOWN_HELPER!$ABT$1:$ABT$14</definedName>
    <definedName name="KV_DD_OKTOBER_31">KV_DROPDOWN_HELPER!$ABU$1:$ABU$14</definedName>
    <definedName name="KV_DD_OKTOBER_32">KV_DROPDOWN_HELPER!$ABV$1:$ABV$14</definedName>
    <definedName name="KV_DD_OKTOBER_33">KV_DROPDOWN_HELPER!$ABW$1:$ABW$14</definedName>
    <definedName name="KV_DD_OKTOBER_34">KV_DROPDOWN_HELPER!$ABX$1:$ABX$14</definedName>
    <definedName name="KV_DD_OKTOBER_35">KV_DROPDOWN_HELPER!$ABY$1:$ABY$14</definedName>
    <definedName name="KV_DD_OKTOBER_36">KV_DROPDOWN_HELPER!$ABZ$1:$ABZ$14</definedName>
    <definedName name="KV_DD_OKTOBER_37">KV_DROPDOWN_HELPER!$ACA$1:$ACA$14</definedName>
    <definedName name="KV_DD_OKTOBER_38">KV_DROPDOWN_HELPER!$ACB$1:$ACB$14</definedName>
    <definedName name="KV_DD_OKTOBER_39">KV_DROPDOWN_HELPER!$ACC$1:$ACC$14</definedName>
    <definedName name="KV_DD_OKTOBER_4">KV_DROPDOWN_HELPER!$AAT$1:$AAT$13</definedName>
    <definedName name="KV_DD_OKTOBER_40">KV_DROPDOWN_HELPER!$ACD$1:$ACD$14</definedName>
    <definedName name="KV_DD_OKTOBER_41">KV_DROPDOWN_HELPER!$ACE$1:$ACE$14</definedName>
    <definedName name="KV_DD_OKTOBER_42">KV_DROPDOWN_HELPER!$ACF$1:$ACF$14</definedName>
    <definedName name="KV_DD_OKTOBER_43">KV_DROPDOWN_HELPER!$ACG$1:$ACG$14</definedName>
    <definedName name="KV_DD_OKTOBER_44">KV_DROPDOWN_HELPER!$ACH$1:$ACH$14</definedName>
    <definedName name="KV_DD_OKTOBER_45">KV_DROPDOWN_HELPER!$ACI$1:$ACI$14</definedName>
    <definedName name="KV_DD_OKTOBER_46">KV_DROPDOWN_HELPER!$ACJ$1:$ACJ$14</definedName>
    <definedName name="KV_DD_OKTOBER_47">KV_DROPDOWN_HELPER!$ACK$1:$ACK$14</definedName>
    <definedName name="KV_DD_OKTOBER_48">KV_DROPDOWN_HELPER!$ACL$1:$ACL$14</definedName>
    <definedName name="KV_DD_OKTOBER_49">KV_DROPDOWN_HELPER!$ACM$1:$ACM$14</definedName>
    <definedName name="KV_DD_OKTOBER_5">KV_DROPDOWN_HELPER!$AAU$1:$AAU$13</definedName>
    <definedName name="KV_DD_OKTOBER_50">KV_DROPDOWN_HELPER!$ACN$1:$ACN$14</definedName>
    <definedName name="KV_DD_OKTOBER_51">KV_DROPDOWN_HELPER!$ACO$1:$ACO$14</definedName>
    <definedName name="KV_DD_OKTOBER_52">KV_DROPDOWN_HELPER!$ACP$1:$ACP$14</definedName>
    <definedName name="KV_DD_OKTOBER_53">KV_DROPDOWN_HELPER!$ACQ$1:$ACQ$14</definedName>
    <definedName name="KV_DD_OKTOBER_54">KV_DROPDOWN_HELPER!$ACR$1:$ACR$14</definedName>
    <definedName name="KV_DD_OKTOBER_55">KV_DROPDOWN_HELPER!$ACS$1:$ACS$14</definedName>
    <definedName name="KV_DD_OKTOBER_56">KV_DROPDOWN_HELPER!$ACT$1:$ACT$14</definedName>
    <definedName name="KV_DD_OKTOBER_57">KV_DROPDOWN_HELPER!$ACU$1:$ACU$14</definedName>
    <definedName name="KV_DD_OKTOBER_58">KV_DROPDOWN_HELPER!$ACV$1:$ACV$14</definedName>
    <definedName name="KV_DD_OKTOBER_59">KV_DROPDOWN_HELPER!$ACW$1:$ACW$14</definedName>
    <definedName name="KV_DD_OKTOBER_6">KV_DROPDOWN_HELPER!$AAV$1:$AAV$13</definedName>
    <definedName name="KV_DD_OKTOBER_60">KV_DROPDOWN_HELPER!$ACX$1:$ACX$13</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KV_DROPDOWN_HELPER!$YE$1:$YE$14</definedName>
    <definedName name="KV_DD_SEPTEMBER_18">KV_DROPDOWN_HELPER!$YF$1:$YF$14</definedName>
    <definedName name="KV_DD_SEPTEMBER_19">KV_DROPDOWN_HELPER!$YG$1:$YG$14</definedName>
    <definedName name="KV_DD_SEPTEMBER_20">KV_DROPDOWN_HELPER!$YH$1:$YH$13</definedName>
    <definedName name="KV_DD_SEPTEMBER_21">KV_DROPDOWN_HELPER!$YI$1:$YI$14</definedName>
    <definedName name="KV_DD_SEPTEMBER_22">KV_DROPDOWN_HELPER!$YJ$1:$YJ$14</definedName>
    <definedName name="KV_DD_SEPTEMBER_23">KV_DROPDOWN_HELPER!$YK$1:$YK$14</definedName>
    <definedName name="KV_DD_SEPTEMBER_24">KV_DROPDOWN_HELPER!$YL$1:$YL$13</definedName>
    <definedName name="KV_DD_SEPTEMBER_25">KV_DROPDOWN_HELPER!$YM$1:$YM$13</definedName>
    <definedName name="KV_DD_SEPTEMBER_26">KV_DROPDOWN_HELPER!$YN$1:$YN$14</definedName>
    <definedName name="KV_DD_SEPTEMBER_27">KV_DROPDOWN_HELPER!$YO$1:$YO$14</definedName>
    <definedName name="KV_DD_SEPTEMBER_28">KV_DROPDOWN_HELPER!$YP$1:$YP$14</definedName>
    <definedName name="KV_DD_SEPTEMBER_29">KV_DROPDOWN_HELPER!$YQ$1:$YQ$13</definedName>
    <definedName name="KV_DD_SEPTEMBER_3">KV_DROPDOWN_HELPER!$XQ$1:$XQ$14</definedName>
    <definedName name="KV_DD_SEPTEMBER_30">KV_DROPDOWN_HELPER!$YR$1:$YR$14</definedName>
    <definedName name="KV_DD_SEPTEMBER_31">KV_DROPDOWN_HELPER!$YS$1:$YS$14</definedName>
    <definedName name="KV_DD_SEPTEMBER_32">KV_DROPDOWN_HELPER!$YT$1:$YT$14</definedName>
    <definedName name="KV_DD_SEPTEMBER_33">KV_DROPDOWN_HELPER!$YU$1:$YU$14</definedName>
    <definedName name="KV_DD_SEPTEMBER_34">KV_DROPDOWN_HELPER!$YV$1:$YV$14</definedName>
    <definedName name="KV_DD_SEPTEMBER_35">KV_DROPDOWN_HELPER!$YW$1:$YW$14</definedName>
    <definedName name="KV_DD_SEPTEMBER_36">KV_DROPDOWN_HELPER!$YX$1:$YX$14</definedName>
    <definedName name="KV_DD_SEPTEMBER_37">KV_DROPDOWN_HELPER!$YY$1:$YY$14</definedName>
    <definedName name="KV_DD_SEPTEMBER_38">KV_DROPDOWN_HELPER!$YZ$1:$YZ$14</definedName>
    <definedName name="KV_DD_SEPTEMBER_39">KV_DROPDOWN_HELPER!$ZA$1:$ZA$14</definedName>
    <definedName name="KV_DD_SEPTEMBER_4">KV_DROPDOWN_HELPER!$XR$1:$XR$13</definedName>
    <definedName name="KV_DD_SEPTEMBER_40">KV_DROPDOWN_HELPER!$ZB$1:$ZB$14</definedName>
    <definedName name="KV_DD_SEPTEMBER_41">KV_DROPDOWN_HELPER!$ZC$1:$ZC$14</definedName>
    <definedName name="KV_DD_SEPTEMBER_42">KV_DROPDOWN_HELPER!$ZD$1:$ZD$14</definedName>
    <definedName name="KV_DD_SEPTEMBER_43">KV_DROPDOWN_HELPER!$ZE$1:$ZE$14</definedName>
    <definedName name="KV_DD_SEPTEMBER_44">KV_DROPDOWN_HELPER!$ZF$1:$ZF$14</definedName>
    <definedName name="KV_DD_SEPTEMBER_45">KV_DROPDOWN_HELPER!$ZG$1:$ZG$14</definedName>
    <definedName name="KV_DD_SEPTEMBER_46">KV_DROPDOWN_HELPER!$ZH$1:$ZH$14</definedName>
    <definedName name="KV_DD_SEPTEMBER_47">KV_DROPDOWN_HELPER!$ZI$1:$ZI$14</definedName>
    <definedName name="KV_DD_SEPTEMBER_48">KV_DROPDOWN_HELPER!$ZJ$1:$ZJ$14</definedName>
    <definedName name="KV_DD_SEPTEMBER_49">KV_DROPDOWN_HELPER!$ZK$1:$ZK$14</definedName>
    <definedName name="KV_DD_SEPTEMBER_5">KV_DROPDOWN_HELPER!$XS$1:$XS$13</definedName>
    <definedName name="KV_DD_SEPTEMBER_50">KV_DROPDOWN_HELPER!$ZL$1:$ZL$14</definedName>
    <definedName name="KV_DD_SEPTEMBER_51">KV_DROPDOWN_HELPER!$ZM$1:$ZM$14</definedName>
    <definedName name="KV_DD_SEPTEMBER_52">KV_DROPDOWN_HELPER!$ZN$1:$ZN$14</definedName>
    <definedName name="KV_DD_SEPTEMBER_53">KV_DROPDOWN_HELPER!$ZO$1:$ZO$14</definedName>
    <definedName name="KV_DD_SEPTEMBER_54">KV_DROPDOWN_HELPER!$ZP$1:$ZP$14</definedName>
    <definedName name="KV_DD_SEPTEMBER_55">KV_DROPDOWN_HELPER!$ZQ$1:$ZQ$14</definedName>
    <definedName name="KV_DD_SEPTEMBER_56">KV_DROPDOWN_HELPER!$ZR$1:$ZR$14</definedName>
    <definedName name="KV_DD_SEPTEMBER_57">KV_DROPDOWN_HELPER!$ZS$1:$ZS$14</definedName>
    <definedName name="KV_DD_SEPTEMBER_58">KV_DROPDOWN_HELPER!$ZT$1:$ZT$14</definedName>
    <definedName name="KV_DD_SEPTEMBER_59">KV_DROPDOWN_HELPER!$ZU$1:$ZU$14</definedName>
    <definedName name="KV_DD_SEPTEMBER_6">KV_DROPDOWN_HELPER!$XT$1:$XT$13</definedName>
    <definedName name="KV_DD_SEPTEMBER_60">KV_DROPDOWN_HELPER!$ZV$1:$ZV$13</definedName>
    <definedName name="KV_DD_SEPTEMBER_61">KV_DROPDOWN_HELPER!$ZW$1:$ZW$14</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19" i="35"/>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9" i="36"/>
  <c r="L10" i="36"/>
  <c r="L11" i="36"/>
  <c r="L12" i="36"/>
  <c r="L13" i="36"/>
  <c r="L14" i="36"/>
  <c r="L15" i="36"/>
  <c r="L16" i="36"/>
  <c r="L17" i="36"/>
  <c r="L18" i="36"/>
  <c r="L35" i="36"/>
  <c r="L36" i="36"/>
  <c r="L38" i="36"/>
  <c r="L39" i="36"/>
  <c r="L41" i="36"/>
  <c r="L42" i="36"/>
  <c r="L43" i="36"/>
  <c r="L44" i="36"/>
  <c r="L45" i="36"/>
  <c r="L47" i="36"/>
  <c r="L48" i="36"/>
  <c r="L49" i="36"/>
  <c r="L50" i="36"/>
  <c r="L67" i="36"/>
  <c r="L70" i="36"/>
  <c r="L71" i="36"/>
  <c r="L73" i="36"/>
  <c r="L74" i="36"/>
  <c r="L75" i="36"/>
  <c r="L76" i="36"/>
  <c r="L77" i="36"/>
  <c r="L79" i="36"/>
  <c r="L80" i="36"/>
  <c r="L81" i="36"/>
  <c r="L82" i="36"/>
  <c r="K3" i="36"/>
  <c r="K4" i="36"/>
  <c r="K5" i="36"/>
  <c r="K6" i="36"/>
  <c r="K7" i="36"/>
  <c r="K8" i="36"/>
  <c r="L8" i="36" s="1"/>
  <c r="K9" i="36"/>
  <c r="K10" i="36"/>
  <c r="K11" i="36"/>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L37" i="36" s="1"/>
  <c r="K38" i="36"/>
  <c r="K39" i="36"/>
  <c r="K40" i="36"/>
  <c r="L40" i="36" s="1"/>
  <c r="K41" i="36"/>
  <c r="K42" i="36"/>
  <c r="K43" i="36"/>
  <c r="K44" i="36"/>
  <c r="K45" i="36"/>
  <c r="K46" i="36"/>
  <c r="L46" i="36" s="1"/>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L68" i="36" s="1"/>
  <c r="K69" i="36"/>
  <c r="L69" i="36" s="1"/>
  <c r="K70" i="36"/>
  <c r="K71" i="36"/>
  <c r="K72" i="36"/>
  <c r="L72" i="36" s="1"/>
  <c r="K73" i="36"/>
  <c r="K74" i="36"/>
  <c r="K75" i="36"/>
  <c r="K76" i="36"/>
  <c r="K77" i="36"/>
  <c r="K78" i="36"/>
  <c r="L78" i="36" s="1"/>
  <c r="K79" i="36"/>
  <c r="K80" i="36"/>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19" i="33"/>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7" i="32"/>
  <c r="L8" i="32"/>
  <c r="L9" i="32"/>
  <c r="L12" i="32"/>
  <c r="L14" i="32"/>
  <c r="L15" i="32"/>
  <c r="L17" i="32"/>
  <c r="L18" i="32"/>
  <c r="L35" i="32"/>
  <c r="L36" i="32"/>
  <c r="L37" i="32"/>
  <c r="L38" i="32"/>
  <c r="L39" i="32"/>
  <c r="L40" i="32"/>
  <c r="L41" i="32"/>
  <c r="L46" i="32"/>
  <c r="L47" i="32"/>
  <c r="L49" i="32"/>
  <c r="L50" i="32"/>
  <c r="L67" i="32"/>
  <c r="L68" i="32"/>
  <c r="L69" i="32"/>
  <c r="L70" i="32"/>
  <c r="L71" i="32"/>
  <c r="L72" i="32"/>
  <c r="L73" i="32"/>
  <c r="L78" i="32"/>
  <c r="L79" i="32"/>
  <c r="L82" i="32"/>
  <c r="K3" i="32"/>
  <c r="K4" i="32"/>
  <c r="K5" i="32"/>
  <c r="K6" i="32"/>
  <c r="K7" i="32"/>
  <c r="K8" i="32"/>
  <c r="K9" i="32"/>
  <c r="K10" i="32"/>
  <c r="L10" i="32" s="1"/>
  <c r="K11" i="32"/>
  <c r="L11" i="32" s="1"/>
  <c r="K12" i="32"/>
  <c r="K13" i="32"/>
  <c r="L13" i="32" s="1"/>
  <c r="K14" i="32"/>
  <c r="K15" i="32"/>
  <c r="K16" i="32"/>
  <c r="L16" i="32" s="1"/>
  <c r="K17" i="32"/>
  <c r="K18" i="32"/>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K36" i="32"/>
  <c r="K37" i="32"/>
  <c r="K38" i="32"/>
  <c r="K39" i="32"/>
  <c r="K40" i="32"/>
  <c r="K41" i="32"/>
  <c r="K42" i="32"/>
  <c r="L42" i="32" s="1"/>
  <c r="K43" i="32"/>
  <c r="L43" i="32" s="1"/>
  <c r="K44" i="32"/>
  <c r="L44" i="32" s="1"/>
  <c r="K45" i="32"/>
  <c r="L45" i="32" s="1"/>
  <c r="K46" i="32"/>
  <c r="K47" i="32"/>
  <c r="K48" i="32"/>
  <c r="L48" i="32" s="1"/>
  <c r="K49" i="32"/>
  <c r="K50" i="32"/>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K68" i="32"/>
  <c r="K69" i="32"/>
  <c r="K70" i="32"/>
  <c r="K71" i="32"/>
  <c r="K72" i="32"/>
  <c r="K73" i="32"/>
  <c r="K74" i="32"/>
  <c r="L74" i="32" s="1"/>
  <c r="K75" i="32"/>
  <c r="L75" i="32" s="1"/>
  <c r="K76" i="32"/>
  <c r="L76" i="32" s="1"/>
  <c r="K77" i="32"/>
  <c r="L77" i="32" s="1"/>
  <c r="K78" i="32"/>
  <c r="K79" i="32"/>
  <c r="K80" i="32"/>
  <c r="L80" i="32" s="1"/>
  <c r="K81" i="32"/>
  <c r="L81" i="32" s="1"/>
  <c r="K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30" i="31"/>
  <c r="L31" i="31"/>
  <c r="L33" i="31"/>
  <c r="L34" i="31"/>
  <c r="L42" i="31"/>
  <c r="L51" i="31"/>
  <c r="L52" i="31"/>
  <c r="L53" i="31"/>
  <c r="L54" i="31"/>
  <c r="L55" i="31"/>
  <c r="L56" i="31"/>
  <c r="L57" i="31"/>
  <c r="L62" i="31"/>
  <c r="L63" i="31"/>
  <c r="L65" i="31"/>
  <c r="L66" i="31"/>
  <c r="L74"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L28" i="31" s="1"/>
  <c r="K29" i="31"/>
  <c r="L29" i="31" s="1"/>
  <c r="K30" i="31"/>
  <c r="K31" i="31"/>
  <c r="K32" i="31"/>
  <c r="L32" i="31" s="1"/>
  <c r="K33" i="3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K58" i="31"/>
  <c r="L58" i="31" s="1"/>
  <c r="K59" i="31"/>
  <c r="L59" i="31" s="1"/>
  <c r="K60" i="31"/>
  <c r="L60" i="31" s="1"/>
  <c r="K61" i="31"/>
  <c r="L61" i="31" s="1"/>
  <c r="K62" i="31"/>
  <c r="K63" i="31"/>
  <c r="K64" i="31"/>
  <c r="L64" i="31" s="1"/>
  <c r="K65" i="31"/>
  <c r="K66" i="31"/>
  <c r="K67" i="31"/>
  <c r="L67" i="31" s="1"/>
  <c r="K68" i="31"/>
  <c r="L68" i="31" s="1"/>
  <c r="K69" i="31"/>
  <c r="L69" i="31" s="1"/>
  <c r="K70" i="31"/>
  <c r="L70" i="31" s="1"/>
  <c r="K71" i="31"/>
  <c r="L71" i="31" s="1"/>
  <c r="K72" i="31"/>
  <c r="L72" i="31" s="1"/>
  <c r="K73" i="31"/>
  <c r="L73" i="31" s="1"/>
  <c r="K74" i="3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1" i="30"/>
  <c r="L12" i="30"/>
  <c r="L14" i="30"/>
  <c r="L15" i="30"/>
  <c r="L17" i="30"/>
  <c r="L18" i="30"/>
  <c r="L26" i="30"/>
  <c r="L35" i="30"/>
  <c r="L36" i="30"/>
  <c r="L37" i="30"/>
  <c r="L38" i="30"/>
  <c r="L39" i="30"/>
  <c r="L40" i="30"/>
  <c r="L41" i="30"/>
  <c r="L43" i="30"/>
  <c r="L46" i="30"/>
  <c r="L47" i="30"/>
  <c r="L49" i="30"/>
  <c r="L50" i="30"/>
  <c r="L58" i="30"/>
  <c r="L67" i="30"/>
  <c r="L68" i="30"/>
  <c r="L69" i="30"/>
  <c r="L70" i="30"/>
  <c r="L71" i="30"/>
  <c r="L72" i="30"/>
  <c r="L73" i="30"/>
  <c r="L78" i="30"/>
  <c r="L79" i="30"/>
  <c r="L81" i="30"/>
  <c r="L82" i="30"/>
  <c r="K3" i="30"/>
  <c r="K4" i="30"/>
  <c r="K5" i="30"/>
  <c r="K6" i="30"/>
  <c r="K7" i="30"/>
  <c r="K8" i="30"/>
  <c r="K9" i="30"/>
  <c r="K10" i="30"/>
  <c r="L10" i="30" s="1"/>
  <c r="K11" i="30"/>
  <c r="K12" i="30"/>
  <c r="K13" i="30"/>
  <c r="L13" i="30" s="1"/>
  <c r="K14" i="30"/>
  <c r="K15" i="30"/>
  <c r="K16" i="30"/>
  <c r="L16" i="30" s="1"/>
  <c r="K17" i="30"/>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K42" i="30"/>
  <c r="L42" i="30" s="1"/>
  <c r="K43" i="30"/>
  <c r="K44" i="30"/>
  <c r="L44" i="30" s="1"/>
  <c r="K45" i="30"/>
  <c r="L45" i="30" s="1"/>
  <c r="K46" i="30"/>
  <c r="K47" i="30"/>
  <c r="K48" i="30"/>
  <c r="L48" i="30" s="1"/>
  <c r="K49" i="30"/>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K74" i="30"/>
  <c r="L74" i="30" s="1"/>
  <c r="K75" i="30"/>
  <c r="L75" i="30" s="1"/>
  <c r="K76" i="30"/>
  <c r="L76" i="30" s="1"/>
  <c r="K77" i="30"/>
  <c r="L77" i="30" s="1"/>
  <c r="K78" i="30"/>
  <c r="K79" i="30"/>
  <c r="K80" i="30"/>
  <c r="L80" i="30" s="1"/>
  <c r="K81" i="30"/>
  <c r="K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3" i="37"/>
  <c r="L19" i="37"/>
  <c r="L20" i="37"/>
  <c r="L21" i="37"/>
  <c r="L22" i="37"/>
  <c r="L23" i="37"/>
  <c r="L24" i="37"/>
  <c r="L25" i="37"/>
  <c r="L27" i="37"/>
  <c r="L28" i="37"/>
  <c r="L30" i="37"/>
  <c r="L31" i="37"/>
  <c r="L33" i="37"/>
  <c r="L34" i="37"/>
  <c r="L42" i="37"/>
  <c r="L45" i="37"/>
  <c r="L51" i="37"/>
  <c r="L52" i="37"/>
  <c r="L53" i="37"/>
  <c r="L54" i="37"/>
  <c r="L55" i="37"/>
  <c r="L56" i="37"/>
  <c r="L57" i="37"/>
  <c r="L60" i="37"/>
  <c r="L62" i="37"/>
  <c r="L63" i="37"/>
  <c r="L65" i="37"/>
  <c r="L66" i="37"/>
  <c r="L77" i="37"/>
  <c r="K3" i="37"/>
  <c r="L3" i="37" s="1"/>
  <c r="K4" i="37"/>
  <c r="L4" i="37" s="1"/>
  <c r="K5" i="37"/>
  <c r="L5" i="37" s="1"/>
  <c r="K6" i="37"/>
  <c r="L6" i="37" s="1"/>
  <c r="K7" i="37"/>
  <c r="L7" i="37" s="1"/>
  <c r="K8" i="37"/>
  <c r="L8" i="37" s="1"/>
  <c r="K9" i="37"/>
  <c r="L9" i="37" s="1"/>
  <c r="K10" i="37"/>
  <c r="K11" i="37"/>
  <c r="L11" i="37" s="1"/>
  <c r="K12" i="37"/>
  <c r="L12" i="37" s="1"/>
  <c r="K13" i="37"/>
  <c r="K14" i="37"/>
  <c r="L14" i="37" s="1"/>
  <c r="K15" i="37"/>
  <c r="L15" i="37" s="1"/>
  <c r="K16" i="37"/>
  <c r="L16" i="37" s="1"/>
  <c r="K17" i="37"/>
  <c r="L17" i="37" s="1"/>
  <c r="K18" i="37"/>
  <c r="L18" i="37" s="1"/>
  <c r="K19" i="37"/>
  <c r="K20" i="37"/>
  <c r="K21" i="37"/>
  <c r="K22" i="37"/>
  <c r="K23" i="37"/>
  <c r="K24" i="37"/>
  <c r="K25" i="37"/>
  <c r="K26" i="37"/>
  <c r="L26" i="37" s="1"/>
  <c r="K27" i="37"/>
  <c r="K28" i="37"/>
  <c r="K29" i="37"/>
  <c r="L29" i="37" s="1"/>
  <c r="K30" i="37"/>
  <c r="K31" i="37"/>
  <c r="K32" i="37"/>
  <c r="L32" i="37" s="1"/>
  <c r="K33" i="37"/>
  <c r="K34" i="37"/>
  <c r="K35" i="37"/>
  <c r="L35" i="37" s="1"/>
  <c r="K36" i="37"/>
  <c r="L36" i="37" s="1"/>
  <c r="K37" i="37"/>
  <c r="L37" i="37" s="1"/>
  <c r="K38" i="37"/>
  <c r="L38" i="37" s="1"/>
  <c r="K39" i="37"/>
  <c r="L39" i="37" s="1"/>
  <c r="K40" i="37"/>
  <c r="L40" i="37" s="1"/>
  <c r="K41" i="37"/>
  <c r="L41" i="37" s="1"/>
  <c r="K42" i="37"/>
  <c r="K43" i="37"/>
  <c r="L43" i="37" s="1"/>
  <c r="K44" i="37"/>
  <c r="L44" i="37" s="1"/>
  <c r="K45" i="37"/>
  <c r="K46" i="37"/>
  <c r="L46" i="37" s="1"/>
  <c r="K47" i="37"/>
  <c r="L47" i="37" s="1"/>
  <c r="K48" i="37"/>
  <c r="L48" i="37" s="1"/>
  <c r="K49" i="37"/>
  <c r="L49" i="37" s="1"/>
  <c r="K50" i="37"/>
  <c r="L50" i="37" s="1"/>
  <c r="K51" i="37"/>
  <c r="K52" i="37"/>
  <c r="K53" i="37"/>
  <c r="K54" i="37"/>
  <c r="K55" i="37"/>
  <c r="K56" i="37"/>
  <c r="K57" i="37"/>
  <c r="K58" i="37"/>
  <c r="L58" i="37" s="1"/>
  <c r="K59" i="37"/>
  <c r="L59" i="37" s="1"/>
  <c r="K60" i="37"/>
  <c r="K61" i="37"/>
  <c r="L61" i="37" s="1"/>
  <c r="K62" i="37"/>
  <c r="K63" i="37"/>
  <c r="K64" i="37"/>
  <c r="L64" i="37" s="1"/>
  <c r="K65" i="37"/>
  <c r="K66" i="37"/>
  <c r="K67" i="37"/>
  <c r="L67" i="37" s="1"/>
  <c r="K68" i="37"/>
  <c r="L68" i="37" s="1"/>
  <c r="K69" i="37"/>
  <c r="L69" i="37" s="1"/>
  <c r="K70" i="37"/>
  <c r="L70" i="37" s="1"/>
  <c r="K71" i="37"/>
  <c r="L71" i="37" s="1"/>
  <c r="K72" i="37"/>
  <c r="L72" i="37" s="1"/>
  <c r="K73" i="37"/>
  <c r="L73" i="37" s="1"/>
  <c r="K74" i="37"/>
  <c r="L74" i="37" s="1"/>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6" i="28"/>
  <c r="L7" i="28"/>
  <c r="L9" i="28"/>
  <c r="L10" i="28"/>
  <c r="L11" i="28"/>
  <c r="L12" i="28"/>
  <c r="L13" i="28"/>
  <c r="L14" i="28"/>
  <c r="L15" i="28"/>
  <c r="L17" i="28"/>
  <c r="L18" i="28"/>
  <c r="L24" i="28"/>
  <c r="L35" i="28"/>
  <c r="L37" i="28"/>
  <c r="L38" i="28"/>
  <c r="L39" i="28"/>
  <c r="L41" i="28"/>
  <c r="L43" i="28"/>
  <c r="L44" i="28"/>
  <c r="L45" i="28"/>
  <c r="L47" i="28"/>
  <c r="L49" i="28"/>
  <c r="L50" i="28"/>
  <c r="L56" i="28"/>
  <c r="L67" i="28"/>
  <c r="L70" i="28"/>
  <c r="L71" i="28"/>
  <c r="L73" i="28"/>
  <c r="L74" i="28"/>
  <c r="L75" i="28"/>
  <c r="L76" i="28"/>
  <c r="L77" i="28"/>
  <c r="L79" i="28"/>
  <c r="L81" i="28"/>
  <c r="L82" i="28"/>
  <c r="K3" i="28"/>
  <c r="K4" i="28"/>
  <c r="L4" i="28" s="1"/>
  <c r="K5" i="28"/>
  <c r="K6" i="28"/>
  <c r="K7" i="28"/>
  <c r="K8" i="28"/>
  <c r="L8" i="28" s="1"/>
  <c r="K9" i="28"/>
  <c r="K10" i="28"/>
  <c r="K11" i="28"/>
  <c r="K12" i="28"/>
  <c r="K13" i="28"/>
  <c r="K14" i="28"/>
  <c r="K15" i="28"/>
  <c r="K16" i="28"/>
  <c r="L16" i="28" s="1"/>
  <c r="K17" i="28"/>
  <c r="K18" i="28"/>
  <c r="K19" i="28"/>
  <c r="L19" i="28" s="1"/>
  <c r="K20" i="28"/>
  <c r="L20" i="28" s="1"/>
  <c r="K21" i="28"/>
  <c r="L21" i="28" s="1"/>
  <c r="K22" i="28"/>
  <c r="L22" i="28" s="1"/>
  <c r="K23" i="28"/>
  <c r="L23" i="28" s="1"/>
  <c r="K24" i="28"/>
  <c r="K25" i="28"/>
  <c r="L25" i="28" s="1"/>
  <c r="K26" i="28"/>
  <c r="L26" i="28" s="1"/>
  <c r="K27" i="28"/>
  <c r="L27" i="28" s="1"/>
  <c r="K28" i="28"/>
  <c r="L28" i="28" s="1"/>
  <c r="K29" i="28"/>
  <c r="L29" i="28" s="1"/>
  <c r="K30" i="28"/>
  <c r="L30" i="28" s="1"/>
  <c r="K31" i="28"/>
  <c r="L31" i="28" s="1"/>
  <c r="K32" i="28"/>
  <c r="L32" i="28" s="1"/>
  <c r="K33" i="28"/>
  <c r="L33" i="28" s="1"/>
  <c r="K34" i="28"/>
  <c r="L34" i="28" s="1"/>
  <c r="K35" i="28"/>
  <c r="K36" i="28"/>
  <c r="L36" i="28" s="1"/>
  <c r="K37" i="28"/>
  <c r="K38" i="28"/>
  <c r="K39" i="28"/>
  <c r="K40" i="28"/>
  <c r="L40" i="28" s="1"/>
  <c r="K41" i="28"/>
  <c r="K42" i="28"/>
  <c r="L42" i="28" s="1"/>
  <c r="K43" i="28"/>
  <c r="K44" i="28"/>
  <c r="K45" i="28"/>
  <c r="K46" i="28"/>
  <c r="L46" i="28" s="1"/>
  <c r="K47" i="28"/>
  <c r="K48" i="28"/>
  <c r="L48" i="28" s="1"/>
  <c r="K49" i="28"/>
  <c r="K50" i="28"/>
  <c r="K51" i="28"/>
  <c r="L51" i="28" s="1"/>
  <c r="K52" i="28"/>
  <c r="L52" i="28" s="1"/>
  <c r="K53" i="28"/>
  <c r="L53" i="28" s="1"/>
  <c r="K54" i="28"/>
  <c r="L54" i="28" s="1"/>
  <c r="K55" i="28"/>
  <c r="L55" i="28" s="1"/>
  <c r="K56" i="28"/>
  <c r="K57" i="28"/>
  <c r="L57" i="28" s="1"/>
  <c r="K58" i="28"/>
  <c r="L58" i="28" s="1"/>
  <c r="K59" i="28"/>
  <c r="L59" i="28" s="1"/>
  <c r="K60" i="28"/>
  <c r="L60" i="28" s="1"/>
  <c r="K61" i="28"/>
  <c r="L61" i="28" s="1"/>
  <c r="K62" i="28"/>
  <c r="L62" i="28" s="1"/>
  <c r="K63" i="28"/>
  <c r="L63" i="28" s="1"/>
  <c r="K64" i="28"/>
  <c r="L64" i="28" s="1"/>
  <c r="K65" i="28"/>
  <c r="L65" i="28" s="1"/>
  <c r="K66" i="28"/>
  <c r="L66" i="28" s="1"/>
  <c r="K67" i="28"/>
  <c r="K68" i="28"/>
  <c r="L68" i="28" s="1"/>
  <c r="K69" i="28"/>
  <c r="L69" i="28" s="1"/>
  <c r="K70" i="28"/>
  <c r="K71" i="28"/>
  <c r="K72" i="28"/>
  <c r="L72" i="28" s="1"/>
  <c r="K73" i="28"/>
  <c r="K74" i="28"/>
  <c r="K75" i="28"/>
  <c r="K76" i="28"/>
  <c r="K77" i="28"/>
  <c r="K78" i="28"/>
  <c r="L78" i="28" s="1"/>
  <c r="K79" i="28"/>
  <c r="K80" i="28"/>
  <c r="L80" i="28" s="1"/>
  <c r="K81" i="28"/>
  <c r="K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3" i="27"/>
  <c r="L3" i="27" s="1"/>
  <c r="K4" i="27"/>
  <c r="L4" i="27" s="1"/>
  <c r="K5" i="27"/>
  <c r="L5" i="27" s="1"/>
  <c r="K6" i="27"/>
  <c r="L6" i="27" s="1"/>
  <c r="K7" i="27"/>
  <c r="L7" i="27" s="1"/>
  <c r="K8" i="27"/>
  <c r="L8" i="27" s="1"/>
  <c r="K9" i="27"/>
  <c r="L9" i="27" s="1"/>
  <c r="K10" i="27"/>
  <c r="L10" i="27" s="1"/>
  <c r="K11" i="27"/>
  <c r="L11" i="27" s="1"/>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L23" i="27" s="1"/>
  <c r="K24" i="27"/>
  <c r="L24" i="27" s="1"/>
  <c r="K25" i="27"/>
  <c r="L25" i="27" s="1"/>
  <c r="K26" i="27"/>
  <c r="L26" i="27" s="1"/>
  <c r="K27" i="27"/>
  <c r="L27" i="27" s="1"/>
  <c r="K28" i="27"/>
  <c r="L28" i="27" s="1"/>
  <c r="K29" i="27"/>
  <c r="L29" i="27" s="1"/>
  <c r="K30" i="27"/>
  <c r="L30" i="27" s="1"/>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5" i="26"/>
  <c r="L6" i="26"/>
  <c r="L7" i="26"/>
  <c r="L9" i="26"/>
  <c r="L10" i="26"/>
  <c r="L11" i="26"/>
  <c r="L13" i="26"/>
  <c r="L14" i="26"/>
  <c r="L16" i="26"/>
  <c r="L17" i="26"/>
  <c r="L18" i="26"/>
  <c r="L24" i="26"/>
  <c r="L27" i="26"/>
  <c r="L28" i="26"/>
  <c r="L31" i="26"/>
  <c r="L35" i="26"/>
  <c r="L37" i="26"/>
  <c r="L38" i="26"/>
  <c r="L39" i="26"/>
  <c r="L41" i="26"/>
  <c r="L42" i="26"/>
  <c r="L44" i="26"/>
  <c r="L46" i="26"/>
  <c r="L48" i="26"/>
  <c r="L49" i="26"/>
  <c r="L50" i="26"/>
  <c r="L59" i="26"/>
  <c r="L60" i="26"/>
  <c r="L63" i="26"/>
  <c r="L67" i="26"/>
  <c r="L70" i="26"/>
  <c r="L71" i="26"/>
  <c r="L73" i="26"/>
  <c r="L74" i="26"/>
  <c r="L77" i="26"/>
  <c r="L78" i="26"/>
  <c r="L80" i="26"/>
  <c r="L81" i="26"/>
  <c r="L82" i="26"/>
  <c r="K3" i="26"/>
  <c r="K4" i="26"/>
  <c r="L4" i="26" s="1"/>
  <c r="K5" i="26"/>
  <c r="K6" i="26"/>
  <c r="K7" i="26"/>
  <c r="K8" i="26"/>
  <c r="L8" i="26" s="1"/>
  <c r="K9" i="26"/>
  <c r="K10" i="26"/>
  <c r="K11" i="26"/>
  <c r="K12" i="26"/>
  <c r="L12" i="26" s="1"/>
  <c r="K13" i="26"/>
  <c r="K14" i="26"/>
  <c r="K15" i="26"/>
  <c r="L15" i="26" s="1"/>
  <c r="K16" i="26"/>
  <c r="K17" i="26"/>
  <c r="K18" i="26"/>
  <c r="K19" i="26"/>
  <c r="L19" i="26" s="1"/>
  <c r="K20" i="26"/>
  <c r="L20" i="26" s="1"/>
  <c r="K21" i="26"/>
  <c r="L21" i="26" s="1"/>
  <c r="K22" i="26"/>
  <c r="L22" i="26" s="1"/>
  <c r="K23" i="26"/>
  <c r="L23" i="26" s="1"/>
  <c r="K24" i="26"/>
  <c r="K25" i="26"/>
  <c r="L25" i="26" s="1"/>
  <c r="K26" i="26"/>
  <c r="L26" i="26" s="1"/>
  <c r="K27" i="26"/>
  <c r="K28" i="26"/>
  <c r="K29" i="26"/>
  <c r="L29" i="26" s="1"/>
  <c r="K30" i="26"/>
  <c r="L30" i="26" s="1"/>
  <c r="K31" i="26"/>
  <c r="K32" i="26"/>
  <c r="L32" i="26" s="1"/>
  <c r="K33" i="26"/>
  <c r="L33" i="26" s="1"/>
  <c r="K34" i="26"/>
  <c r="L34" i="26" s="1"/>
  <c r="K35" i="26"/>
  <c r="K36" i="26"/>
  <c r="L36" i="26" s="1"/>
  <c r="K37" i="26"/>
  <c r="K38" i="26"/>
  <c r="K39" i="26"/>
  <c r="K40" i="26"/>
  <c r="L40" i="26" s="1"/>
  <c r="K41" i="26"/>
  <c r="K42" i="26"/>
  <c r="K43" i="26"/>
  <c r="L43" i="26" s="1"/>
  <c r="K44" i="26"/>
  <c r="K45" i="26"/>
  <c r="L45" i="26" s="1"/>
  <c r="K46" i="26"/>
  <c r="K47" i="26"/>
  <c r="L47" i="26" s="1"/>
  <c r="K48" i="26"/>
  <c r="K49" i="26"/>
  <c r="K50" i="26"/>
  <c r="K51" i="26"/>
  <c r="L51" i="26" s="1"/>
  <c r="K52" i="26"/>
  <c r="L52" i="26" s="1"/>
  <c r="K53" i="26"/>
  <c r="L53" i="26" s="1"/>
  <c r="K54" i="26"/>
  <c r="L54" i="26" s="1"/>
  <c r="K55" i="26"/>
  <c r="L55" i="26" s="1"/>
  <c r="K56" i="26"/>
  <c r="L56" i="26" s="1"/>
  <c r="K57" i="26"/>
  <c r="L57" i="26" s="1"/>
  <c r="K58" i="26"/>
  <c r="L58" i="26" s="1"/>
  <c r="K59" i="26"/>
  <c r="K60" i="26"/>
  <c r="K61" i="26"/>
  <c r="L61" i="26" s="1"/>
  <c r="K62" i="26"/>
  <c r="L62" i="26" s="1"/>
  <c r="K63" i="26"/>
  <c r="K64" i="26"/>
  <c r="L64" i="26" s="1"/>
  <c r="K65" i="26"/>
  <c r="L65" i="26" s="1"/>
  <c r="K66" i="26"/>
  <c r="L66" i="26" s="1"/>
  <c r="K67" i="26"/>
  <c r="K68" i="26"/>
  <c r="L68" i="26" s="1"/>
  <c r="K69" i="26"/>
  <c r="L69" i="26" s="1"/>
  <c r="K70" i="26"/>
  <c r="K71" i="26"/>
  <c r="K72" i="26"/>
  <c r="L72" i="26" s="1"/>
  <c r="K73" i="26"/>
  <c r="K74" i="26"/>
  <c r="K75" i="26"/>
  <c r="L75" i="26" s="1"/>
  <c r="K76" i="26"/>
  <c r="L76" i="26" s="1"/>
  <c r="K77" i="26"/>
  <c r="K78" i="26"/>
  <c r="K79" i="26"/>
  <c r="L79" i="26" s="1"/>
  <c r="K80" i="26"/>
  <c r="K81" i="26"/>
  <c r="K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8" i="25"/>
  <c r="L39"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5"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5" a="1"/>
  <c r="S36" i="32" a="1"/>
  <c r="S36" i="33" a="1"/>
  <c r="S36" i="36" a="1"/>
  <c r="S36" i="31" a="1"/>
  <c r="S36" i="28"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<sst xmlns="http://schemas.openxmlformats.org/spreadsheetml/2006/main" count="3984" uniqueCount="396">
  <si>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</si>
  <si>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</si>
  <si>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</si>
  <si>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</si>
  <si>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</si>
  <si>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</si>
  <si>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</si>
  <si>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</si>
  <si>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</si>
  <si>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</si>
  <si>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</si>
  <si>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</si>
  <si>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</si>
  <si>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</si>
  <si>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</si>
  <si>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</si>
  <si>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</si>
  <si>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</si>
  <si>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</si>
  <si>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</si>
  <si>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</si>
  <si>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</si>
  <si>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</si>
  <si>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</si>
  <si>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</si>
  <si>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</si>
  <si>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</si>
  <si>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</si>
  <si>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</si>
  <si>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</si>
  <si>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</si>
  <si>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</si>
  <si>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</si>
  <si>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</si>
  <si>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</si>
  <si>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</si>
  <si>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</si>
  <si>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</si>
  <si>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</si>
  <si>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</si>
  <si>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</si>
  <si>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</si>
  <si>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</si>
  <si>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</si>
  <si>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</si>
  <si>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</si>
  <si>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</si>
  <si>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</si>
  <si>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</si>
  <si>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</si>
  <si>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</si>
  <si>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</si>
  <si>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</si>
  <si>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</si>
  <si>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</si>
  <si>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</si>
  <si>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</si>
  <si>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</si>
  <si>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</si>
  <si>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</si>
  <si>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</si>
  <si>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</si>
  <si>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</si>
  <si>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</si>
  <si>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</si>
  <si>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</si>
  <si>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</si>
  <si>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</si>
  <si>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</si>
  <si>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</si>
  <si>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</si>
  <si>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</si>
  <si>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</si>
  <si>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</si>
  <si>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</si>
  <si>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</si>
  <si>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</si>
  <si>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</si>
  <si>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</si>
  <si>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</si>
  <si>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</si>
  <si>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</si>
  <si>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</si>
  <si>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</si>
  <si>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</si>
  <si>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</si>
  <si>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</si>
  <si>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</si>
  <si>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</si>
  <si>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</si>
  <si>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</si>
  <si>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</si>
  <si>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</si>
  <si>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</si>
  <si>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</si>
  <si>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</si>
  <si>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</si>
  <si>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</si>
  <si>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</si>
  <si>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</si>
  <si>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</si>
  <si>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</si>
  <si>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</si>
  <si>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</si>
  <si>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</si>
  <si>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</si>
  <si>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</si>
  <si>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</si>
  <si>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</si>
  <si>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</si>
  <si>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</si>
  <si>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</si>
  <si>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</si>
  <si>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</si>
  <si>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</si>
  <si>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</si>
  <si>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</si>
  <si>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</si>
  <si>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</si>
  <si>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</si>
  <si>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</si>
  <si>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</si>
  <si>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</si>
  <si>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</si>
  <si>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</si>
  <si>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</si>
  <si>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</si>
  <si>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</si>
  <si>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</si>
  <si>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</si>
  <si>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</si>
  <si>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</si>
  <si>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</si>
  <si>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</si>
  <si>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</si>
  <si>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</si>
  <si>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</si>
  <si>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</si>
  <si>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</si>
  <si>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</si>
  <si>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</si>
  <si>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</si>
  <si>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</si>
  <si>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</si>
  <si>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</si>
  <si>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</si>
  <si>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</si>
  <si>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</si>
  <si>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</si>
  <si>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</si>
  <si>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</si>
  <si>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</si>
  <si>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</si>
  <si>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</si>
  <si>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</si>
  <si>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</si>
  <si>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</si>
  <si>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</si>
  <si>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</si>
  <si>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</si>
  <si>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</si>
  <si>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</si>
  <si>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</si>
  <si>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</si>
  <si>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</si>
  <si>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</si>
  <si>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</si>
  <si>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</si>
  <si>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</si>
  <si>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</si>
  <si>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</si>
  <si>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</si>
  <si>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</si>
  <si>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</si>
  <si>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</si>
  <si>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</si>
  <si>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</si>
  <si>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</si>
  <si>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</si>
  <si>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</si>
  <si>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</si>
  <si>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</si>
  <si>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</si>
  <si>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</si>
  <si>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</si>
  <si>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</si>
  <si>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</si>
  <si>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</si>
  <si>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</si>
  <si>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</si>
  <si>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</si>
  <si>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</si>
  <si>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</si>
  <si>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</si>
  <si>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</si>
  <si>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</si>
  <si>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</si>
  <si>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</si>
  <si>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</si>
  <si>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</si>
  <si>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</si>
  <si>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</si>
  <si>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</si>
  <si>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</si>
  <si>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</si>
  <si>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</si>
  <si>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</si>
  <si>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</si>
  <si>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</si>
  <si>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</si>
  <si>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</si>
  <si>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</si>
  <si>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</si>
  <si>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</si>
  <si>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</si>
  <si>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</si>
  <si>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</si>
  <si>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</si>
  <si>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</si>
  <si>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</si>
  <si>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</si>
  <si>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</si>
  <si>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</si>
  <si>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</si>
  <si>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</si>
  <si>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</si>
  <si>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</si>
  <si>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</si>
  <si>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</si>
  <si>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</si>
  <si>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</si>
  <si>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</si>
  <si>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</si>
  <si>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</si>
  <si>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</si>
  <si>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</si>
  <si>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</si>
  <si>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</si>
  <si>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</si>
  <si>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</si>
  <si>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</si>
  <si>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</si>
  <si>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</si>
  <si>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</si>
  <si>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</si>
  <si>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</si>
  <si>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</si>
  <si>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</si>
  <si>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</si>
  <si>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</si>
  <si>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</si>
  <si>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</si>
  <si>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</si>
  <si>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</si>
  <si>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</si>
  <si>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</si>
  <si>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</si>
  <si>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</si>
  <si>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</si>
  <si>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</si>
  <si>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</si>
  <si>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</si>
  <si>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</si>
  <si>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</si>
  <si>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</si>
  <si>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</si>
  <si>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</si>
  <si>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</si>
  <si>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</si>
  <si>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</si>
  <si>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</si>
  <si>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</si>
  <si>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</si>
  <si>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</si>
  <si>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</si>
  <si>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</si>
  <si>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</si>
  <si>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</si>
  <si>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</si>
  <si>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</si>
  <si>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</si>
  <si>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</si>
  <si>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</si>
  <si>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</si>
  <si>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</si>
  <si>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</si>
  <si>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</si>
  <si>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</si>
  <si>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</si>
  <si>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</si>
  <si>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</si>
  <si>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</si>
  <si>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</si>
  <si>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</si>
  <si>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</si>
  <si>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</si>
  <si>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</si>
  <si>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</si>
  <si>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</si>
  <si>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</si>
  <si>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</si>
  <si>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</si>
  <si>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</si>
  <si>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</si>
  <si>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</si>
  <si>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</si>
  <si>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</si>
  <si>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</si>
  <si>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</si>
  <si>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</si>
  <si>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</si>
  <si>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</si>
  <si>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</si>
  <si>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</si>
  <si>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</si>
  <si>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</si>
  <si>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</si>
  <si>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</si>
  <si>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</si>
  <si>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</si>
  <si>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</si>
  <si>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</si>
  <si>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</si>
  <si>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</si>
  <si>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</si>
  <si>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</si>
  <si>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</si>
  <si>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</si>
  <si>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</si>
  <si>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</si>
  <si>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</si>
  <si>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</si>
  <si>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</si>
  <si>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</si>
  <si>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</si>
  <si>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</si>
  <si>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</si>
  <si>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</si>
  <si>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</si>
  <si>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</si>
  <si>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</si>
  <si>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</si>
  <si>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</si>
  <si>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</si>
  <si>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</si>
  <si>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</si>
  <si>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</si>
  <si>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</si>
  <si>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</si>
  <si>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</si>
  <si>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</si>
  <si>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</si>
  <si>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</si>
  <si>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</si>
  <si>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</si>
  <si>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</si>
  <si>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</si>
  <si>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</si>
  <si>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</si>
  <si>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</si>
  <si>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</si>
  <si>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</si>
  <si>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</si>
  <si>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</si>
  <si>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</si>
  <si>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</si>
  <si>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</si>
  <si>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</si>
  <si>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</si>
  <si>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</si>
  <si>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</si>
  <si>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</si>
  <si>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</si>
  <si>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</si>
  <si>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</si>
  <si>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</si>
  <si>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</si>
  <si>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</si>
  <si>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</si>
  <si>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</si>
  <si>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</si>
  <si>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</si>
  <si>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</si>
  <si>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</si>
  <si>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Gueltig ab</t>
  </si>
  <si>
    <t>Gueltig bis</t>
  </si>
  <si>
    <t>Beschaeftigungsdauer</t>
  </si>
  <si>
    <t>Pruefung</t>
  </si>
  <si>
    <t>KV 2025/2026   |   gueltig von 01.05.2025 bis 30.04.2026</t>
  </si>
  <si>
    <t>Agika</t>
  </si>
  <si>
    <t>Pityuka</t>
  </si>
  <si>
    <t>Februar</t>
  </si>
  <si>
    <t>Betriebszugehoerigkeit: 1 Jahr und 5 Monate</t>
  </si>
  <si>
    <t>Erfahrene MA</t>
  </si>
  <si>
    <t>Erfahrener Mitarbeiter ausgeschieden. Mitarbeiterbindung und Teamstabilitaet pruefen.</t>
  </si>
  <si>
    <t>Wichtig: Alte Perioden nicht von Hand loeschen. Dafuer Button "3) Alte Periode loeschen" nutzen. Neue Werte ab Mai = Button "1) Neue Periode". Sondervertrag-Stunden = Button "2) Eigene Stunden". Bei Unsicherheit: Button "Hilfe". Nur Zeilen mit Status OK verwenden.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</si>
</sst>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13"/>
      <color rgb="FF1F4E79"/>
      <name val="Calibri"/>
      <family val="2"/>
      <scheme val="minor"/>
    </font>
    <font>
      <sz val="10"/>
      <color theme="1"/>
      <name val="Calibri"/>
      <family val="2"/>
      <scheme val="minor"/>
    </font>
    <font>
      <b/>
      <sz val="20"/>
      <color rgb="FFC0504D"/>
      <name val="Aptos Narrow"/>
      <family val="2"/>
    </font>
  </fonts>
  <fills count="27">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43">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8" fillId="22" borderId="75" xfId="0" applyFont="1" applyFill="1" applyBorder="1" applyAlignment="1">
      <alignment horizontal="center" vertical="center"/>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2" fontId="59" fillId="23" borderId="77" xfId="0" applyNumberFormat="1" applyFont="1" applyFill="1" applyBorder="1" applyAlignment="1" applyProtection="1">
      <alignment horizontal="center" vertical="center"/>
      <protection locked="0"/>
    </xf>
    <xf numFmtId="166" fontId="59" fillId="23" borderId="77" xfId="0" applyNumberFormat="1" applyFont="1" applyFill="1" applyBorder="1" applyAlignment="1" applyProtection="1">
      <alignment horizontal="center" vertical="center"/>
      <protection locked="0"/>
    </xf>
    <xf numFmtId="2" fontId="59" fillId="23" borderId="78" xfId="0" applyNumberFormat="1" applyFont="1" applyFill="1" applyBorder="1" applyAlignment="1" applyProtection="1">
      <alignment horizontal="center" vertical="center"/>
      <protection locked="0"/>
    </xf>
    <xf numFmtId="166" fontId="59" fillId="23" borderId="78" xfId="0" applyNumberFormat="1" applyFont="1" applyFill="1" applyBorder="1" applyAlignment="1" applyProtection="1">
      <alignment horizontal="center" vertical="center"/>
      <protection locked="0"/>
    </xf>
    <xf numFmtId="2" fontId="59" fillId="23" borderId="86" xfId="0" applyNumberFormat="1" applyFont="1" applyFill="1" applyBorder="1" applyAlignment="1" applyProtection="1">
      <alignment horizontal="center" vertical="center"/>
      <protection locked="0"/>
    </xf>
    <xf numFmtId="166" fontId="59" fillId="23" borderId="86" xfId="0" applyNumberFormat="1" applyFont="1" applyFill="1" applyBorder="1" applyAlignment="1" applyProtection="1">
      <alignment horizontal="center" vertical="center"/>
      <protection locked="0"/>
    </xf>
    <xf numFmtId="2" fontId="59" fillId="24" borderId="86" xfId="0" applyNumberFormat="1" applyFont="1" applyFill="1" applyBorder="1" applyAlignment="1" applyProtection="1">
      <alignment horizontal="center" vertical="center"/>
      <protection locked="0"/>
    </xf>
    <xf numFmtId="166" fontId="59" fillId="24" borderId="86" xfId="0" applyNumberFormat="1" applyFont="1" applyFill="1" applyBorder="1" applyAlignment="1" applyProtection="1">
      <alignment horizontal="center" vertical="center"/>
      <protection locked="0"/>
    </xf>
    <xf numFmtId="2" fontId="59" fillId="24" borderId="78" xfId="0" applyNumberFormat="1" applyFont="1" applyFill="1" applyBorder="1" applyAlignment="1" applyProtection="1">
      <alignment horizontal="center" vertical="center"/>
      <protection locked="0"/>
    </xf>
    <xf numFmtId="166" fontId="59" fillId="24" borderId="78" xfId="0" applyNumberFormat="1" applyFont="1" applyFill="1" applyBorder="1" applyAlignment="1" applyProtection="1">
      <alignment horizontal="center" vertical="center"/>
      <protection locked="0"/>
    </xf>
    <xf numFmtId="2" fontId="59" fillId="25" borderId="86" xfId="0" applyNumberFormat="1" applyFont="1" applyFill="1" applyBorder="1" applyAlignment="1" applyProtection="1">
      <alignment horizontal="center" vertical="center"/>
      <protection locked="0"/>
    </xf>
    <xf numFmtId="166" fontId="59" fillId="25" borderId="86" xfId="0" applyNumberFormat="1" applyFont="1" applyFill="1" applyBorder="1" applyAlignment="1" applyProtection="1">
      <alignment horizontal="center" vertical="center"/>
      <protection locked="0"/>
    </xf>
    <xf numFmtId="2" fontId="59" fillId="25" borderId="78" xfId="0" applyNumberFormat="1" applyFont="1" applyFill="1" applyBorder="1" applyAlignment="1" applyProtection="1">
      <alignment horizontal="center" vertical="center"/>
      <protection locked="0"/>
    </xf>
    <xf numFmtId="166" fontId="59" fillId="25" borderId="78" xfId="0" applyNumberFormat="1" applyFont="1" applyFill="1" applyBorder="1" applyAlignment="1" applyProtection="1">
      <alignment horizontal="center" vertical="center"/>
      <protection locked="0"/>
    </xf>
    <xf numFmtId="2" fontId="59" fillId="25" borderId="84" xfId="0" applyNumberFormat="1" applyFont="1" applyFill="1" applyBorder="1" applyAlignment="1" applyProtection="1">
      <alignment horizontal="center" vertical="center"/>
      <protection locked="0"/>
    </xf>
    <xf numFmtId="166" fontId="59" fillId="25" borderId="84" xfId="0" applyNumberFormat="1" applyFont="1" applyFill="1" applyBorder="1" applyAlignment="1" applyProtection="1">
      <alignment horizontal="center" vertical="center"/>
      <protection locked="0"/>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7" fillId="0" borderId="0" xfId="0" applyFont="1" applyAlignment="1">
      <alignment horizontal="center" vertical="center"/>
    </xf>
    <xf numFmtId="0" fontId="55" fillId="0" borderId="32" xfId="0" applyFont="1" applyBorder="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36" xfId="0" applyFont="1" applyFill="1" applyBorder="1" applyAlignment="1">
      <alignment horizontal="left"/>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5" fillId="6" borderId="36"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30" fillId="0" borderId="35" xfId="0" applyFont="1" applyBorder="1" applyAlignment="1">
      <alignment horizontal="center"/>
    </xf>
    <xf numFmtId="0" fontId="12" fillId="12" borderId="35"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171" fontId="3" fillId="26" borderId="89" xfId="0" applyNumberFormat="1" applyFont="1" applyFill="1" applyBorder="1" applyAlignment="1" applyProtection="1">
      <alignment horizontal="center" vertical="center"/>
    </xf>
    <xf numFmtId="0" fontId="3" fillId="26" borderId="89" xfId="0" applyFont="1" applyFill="1" applyBorder="1" applyAlignment="1" applyProtection="1">
      <alignment horizontal="center" vertical="center"/>
    </xf>
    <xf numFmtId="2" fontId="3" fillId="26" borderId="89" xfId="0" applyNumberFormat="1" applyFont="1" applyFill="1" applyBorder="1" applyAlignment="1" applyProtection="1">
      <alignment horizontal="center" vertical="center"/>
    </xf>
    <xf numFmtId="166" fontId="3" fillId="26" borderId="89" xfId="0" applyNumberFormat="1" applyFont="1" applyFill="1" applyBorder="1" applyAlignment="1" applyProtection="1">
      <alignment horizontal="center" vertical="center"/>
    </xf>
    <xf numFmtId="171" fontId="59" fillId="23" borderId="77" xfId="0" applyNumberFormat="1" applyFont="1" applyFill="1" applyBorder="1" applyAlignment="1" applyProtection="1">
      <alignment horizontal="center" vertical="center"/>
    </xf>
    <xf numFmtId="0" fontId="59" fillId="23" borderId="77" xfId="0" applyFont="1" applyFill="1" applyBorder="1" applyAlignment="1" applyProtection="1">
      <alignment horizontal="center" vertical="center"/>
    </xf>
    <xf numFmtId="171" fontId="59" fillId="23" borderId="78" xfId="0" applyNumberFormat="1" applyFont="1" applyFill="1" applyBorder="1" applyAlignment="1" applyProtection="1">
      <alignment horizontal="center" vertical="center"/>
    </xf>
    <xf numFmtId="0" fontId="59" fillId="23" borderId="78" xfId="0" applyFont="1" applyFill="1" applyBorder="1" applyAlignment="1" applyProtection="1">
      <alignment horizontal="center" vertical="center"/>
    </xf>
    <xf numFmtId="171" fontId="59" fillId="23" borderId="86" xfId="0" applyNumberFormat="1" applyFont="1" applyFill="1" applyBorder="1" applyAlignment="1" applyProtection="1">
      <alignment horizontal="center" vertical="center"/>
    </xf>
    <xf numFmtId="0" fontId="59" fillId="23" borderId="86" xfId="0" applyFont="1" applyFill="1" applyBorder="1" applyAlignment="1" applyProtection="1">
      <alignment horizontal="center" vertical="center"/>
    </xf>
    <xf numFmtId="171" fontId="59" fillId="24" borderId="86" xfId="0" applyNumberFormat="1" applyFont="1" applyFill="1" applyBorder="1" applyAlignment="1" applyProtection="1">
      <alignment horizontal="center" vertical="center"/>
    </xf>
    <xf numFmtId="0" fontId="59" fillId="24" borderId="86" xfId="0" applyFont="1" applyFill="1" applyBorder="1" applyAlignment="1" applyProtection="1">
      <alignment horizontal="center" vertical="center"/>
    </xf>
    <xf numFmtId="171" fontId="59" fillId="24" borderId="78" xfId="0" applyNumberFormat="1" applyFont="1" applyFill="1" applyBorder="1" applyAlignment="1" applyProtection="1">
      <alignment horizontal="center" vertical="center"/>
    </xf>
    <xf numFmtId="0" fontId="59" fillId="24" borderId="78" xfId="0" applyFont="1" applyFill="1" applyBorder="1" applyAlignment="1" applyProtection="1">
      <alignment horizontal="center" vertical="center"/>
    </xf>
    <xf numFmtId="171" fontId="59" fillId="25" borderId="86" xfId="0" applyNumberFormat="1" applyFont="1" applyFill="1" applyBorder="1" applyAlignment="1" applyProtection="1">
      <alignment horizontal="center" vertical="center"/>
    </xf>
    <xf numFmtId="0" fontId="59" fillId="25" borderId="86" xfId="0" applyFont="1" applyFill="1" applyBorder="1" applyAlignment="1" applyProtection="1">
      <alignment horizontal="center" vertical="center"/>
    </xf>
    <xf numFmtId="171" fontId="59" fillId="25" borderId="78" xfId="0" applyNumberFormat="1" applyFont="1" applyFill="1" applyBorder="1" applyAlignment="1" applyProtection="1">
      <alignment horizontal="center" vertical="center"/>
    </xf>
    <xf numFmtId="0" fontId="59" fillId="25" borderId="78" xfId="0" applyFont="1" applyFill="1" applyBorder="1" applyAlignment="1" applyProtection="1">
      <alignment horizontal="center" vertical="center"/>
    </xf>
    <xf numFmtId="49" fontId="3" fillId="26" borderId="90" xfId="0" applyNumberFormat="1" applyFont="1" applyFill="1" applyBorder="1" applyAlignment="1" applyProtection="1">
      <alignment horizontal="center" vertical="center"/>
    </xf>
    <xf numFmtId="49" fontId="59" fillId="23" borderId="79" xfId="0" applyNumberFormat="1" applyFont="1" applyFill="1" applyBorder="1" applyAlignment="1" applyProtection="1">
      <alignment horizontal="center" vertical="center"/>
    </xf>
    <xf numFmtId="49" fontId="59" fillId="23" borderId="80" xfId="0" applyNumberFormat="1" applyFont="1" applyFill="1" applyBorder="1" applyAlignment="1" applyProtection="1">
      <alignment horizontal="center" vertical="center"/>
    </xf>
    <xf numFmtId="49" fontId="59" fillId="23" borderId="87" xfId="0" applyNumberFormat="1" applyFont="1" applyFill="1" applyBorder="1" applyAlignment="1" applyProtection="1">
      <alignment horizontal="center" vertical="center"/>
    </xf>
    <xf numFmtId="49" fontId="59" fillId="24" borderId="87" xfId="0" applyNumberFormat="1" applyFont="1" applyFill="1" applyBorder="1" applyAlignment="1" applyProtection="1">
      <alignment horizontal="center" vertical="center"/>
    </xf>
    <xf numFmtId="49" fontId="59" fillId="24" borderId="80" xfId="0" applyNumberFormat="1" applyFont="1" applyFill="1" applyBorder="1" applyAlignment="1" applyProtection="1">
      <alignment horizontal="center" vertical="center"/>
    </xf>
    <xf numFmtId="49" fontId="59" fillId="25" borderId="87" xfId="0" applyNumberFormat="1" applyFont="1" applyFill="1" applyBorder="1" applyAlignment="1" applyProtection="1">
      <alignment horizontal="center" vertical="center"/>
    </xf>
    <xf numFmtId="49" fontId="59" fillId="25" borderId="80" xfId="0" applyNumberFormat="1" applyFont="1" applyFill="1" applyBorder="1" applyAlignment="1" applyProtection="1">
      <alignment horizontal="center" vertical="center"/>
    </xf>
    <xf numFmtId="0" fontId="3" fillId="26" borderId="91" xfId="0" applyFont="1" applyFill="1" applyBorder="1" applyAlignment="1" applyProtection="1">
      <alignment horizontal="center" vertical="center"/>
    </xf>
    <xf numFmtId="0" fontId="59" fillId="23" borderId="81" xfId="0" applyFont="1" applyFill="1" applyBorder="1" applyAlignment="1" applyProtection="1">
      <alignment horizontal="center" vertical="center"/>
    </xf>
    <xf numFmtId="0" fontId="59" fillId="23" borderId="82" xfId="0" applyFont="1" applyFill="1" applyBorder="1" applyAlignment="1" applyProtection="1">
      <alignment horizontal="center" vertical="center"/>
    </xf>
    <xf numFmtId="0" fontId="59" fillId="23" borderId="88" xfId="0" applyFont="1" applyFill="1" applyBorder="1" applyAlignment="1" applyProtection="1">
      <alignment horizontal="center" vertical="center"/>
    </xf>
    <xf numFmtId="0" fontId="59" fillId="24" borderId="88" xfId="0" applyFont="1" applyFill="1" applyBorder="1" applyAlignment="1" applyProtection="1">
      <alignment horizontal="center" vertical="center"/>
    </xf>
    <xf numFmtId="0" fontId="59" fillId="24" borderId="82" xfId="0" applyFont="1" applyFill="1" applyBorder="1" applyAlignment="1" applyProtection="1">
      <alignment horizontal="center" vertical="center"/>
    </xf>
    <xf numFmtId="0" fontId="59" fillId="25" borderId="88" xfId="0" applyFont="1" applyFill="1" applyBorder="1" applyAlignment="1" applyProtection="1">
      <alignment horizontal="center" vertical="center"/>
    </xf>
    <xf numFmtId="0" fontId="59" fillId="25" borderId="82" xfId="0" applyFont="1" applyFill="1" applyBorder="1" applyAlignment="1" applyProtection="1">
      <alignment horizontal="center" vertical="center"/>
    </xf>
    <xf numFmtId="49" fontId="59" fillId="25" borderId="83" xfId="0" applyNumberFormat="1" applyFont="1" applyFill="1" applyBorder="1" applyAlignment="1" applyProtection="1">
      <alignment horizontal="center" vertical="center"/>
    </xf>
    <xf numFmtId="171" fontId="59" fillId="25" borderId="84" xfId="0" applyNumberFormat="1" applyFont="1" applyFill="1" applyBorder="1" applyAlignment="1" applyProtection="1">
      <alignment horizontal="center" vertical="center"/>
    </xf>
    <xf numFmtId="0" fontId="59" fillId="25" borderId="84" xfId="0" applyFont="1" applyFill="1" applyBorder="1" applyAlignment="1" applyProtection="1">
      <alignment horizontal="center" vertical="center"/>
    </xf>
    <xf numFmtId="0" fontId="59" fillId="25" borderId="85" xfId="0" applyFont="1" applyFill="1" applyBorder="1" applyAlignment="1" applyProtection="1">
      <alignment horizontal="center" vertical="center"/>
    </xf>
    <xf numFmtId="0" fontId="51" fillId="0" borderId="0" xfId="0" applyFont="1" applyFill="1" applyAlignment="1"/>
    <xf numFmtId="0" fontId="51" fillId="0" borderId="0" xfId="0" applyFont="1" applyFill="1" applyAlignment="1">
      <alignment horizontal="center"/>
    </xf>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xf numFmtId="0" fontId="55" fillId="0" borderId="32" xfId="0" applyFont="1" applyFill="1" applyBorder="1" applyAlignment="1">
      <alignment horizontal="left"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0"/>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000" b="1" i="0" u="none" strike="noStrike" baseline="0">
                  <a:solidFill>
                    <a:srgbClr val="C0504D"/>
                  </a:solidFill>
                  <a:latin typeface="Aptos Narrow"/>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12700</xdr:colOff>
      <xdr:row>1</xdr:row>
      <xdr:rowOff>50800</xdr:rowOff>
    </xdr:from>
    <xdr:to>
      <xdr:col>9</xdr:col>
      <xdr:colOff>1708150</xdr:colOff>
      <xdr:row>1</xdr:row>
      <xdr:rowOff>241300</xdr:rowOff>
    </xdr:to>
    <xdr:sp macro="AddNewKVPeriodOnTop" textlink="">
      <xdr:nvSpPr>
        <xdr:cNvPr id="44" name="btn_AddNewKVPeriodOnTop">
          <a:extLst>
            <a:ext uri="{FF2B5EF4-FFF2-40B4-BE49-F238E27FC236}">
              <a16:creationId xmlns:a16="http://schemas.microsoft.com/office/drawing/2014/main" id="{75348FE4-E7FF-D0F6-1939-7A3A60C09335}"/>
            </a:ext>
          </a:extLst>
        </xdr:cNvPr>
        <xdr:cNvSpPr/>
      </xdr:nvSpPr>
      <xdr:spPr>
        <a:xfrm>
          <a:off x="8680450" y="406400"/>
          <a:ext cx="3276600" cy="1905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1) Neue Periode</a:t>
          </a:r>
        </a:p>
      </xdr:txBody>
    </xdr:sp>
    <xdr:clientData/>
  </xdr:twoCellAnchor>
  <xdr:twoCellAnchor>
    <xdr:from>
      <xdr:col>8</xdr:col>
      <xdr:colOff>12700</xdr:colOff>
      <xdr:row>1</xdr:row>
      <xdr:rowOff>266700</xdr:rowOff>
    </xdr:from>
    <xdr:to>
      <xdr:col>9</xdr:col>
      <xdr:colOff>1708150</xdr:colOff>
      <xdr:row>1</xdr:row>
      <xdr:rowOff>457200</xdr:rowOff>
    </xdr:to>
    <xdr:sp macro="AddCustomKVMonatsstunden" textlink="">
      <xdr:nvSpPr>
        <xdr:cNvPr id="45" name="btn_AddCustomKVMonatsstunden">
          <a:extLst>
            <a:ext uri="{FF2B5EF4-FFF2-40B4-BE49-F238E27FC236}">
              <a16:creationId xmlns:a16="http://schemas.microsoft.com/office/drawing/2014/main" id="{83F0571E-FEAC-2B02-7938-79D226778E93}"/>
            </a:ext>
          </a:extLst>
        </xdr:cNvPr>
        <xdr:cNvSpPr/>
      </xdr:nvSpPr>
      <xdr:spPr>
        <a:xfrm>
          <a:off x="8680450" y="622300"/>
          <a:ext cx="3276600" cy="190500"/>
        </a:xfrm>
        <a:prstGeom prst="roundRect">
          <a:avLst/>
        </a:prstGeom>
        <a:solidFill>
          <a:srgbClr val="548235"/>
        </a:solidFill>
        <a:ln>
          <a:solidFill>
            <a:srgbClr val="38572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2) Eigene Stunden</a:t>
          </a:r>
        </a:p>
      </xdr:txBody>
    </xdr:sp>
    <xdr:clientData/>
  </xdr:twoCellAnchor>
  <xdr:twoCellAnchor>
    <xdr:from>
      <xdr:col>8</xdr:col>
      <xdr:colOff>12700</xdr:colOff>
      <xdr:row>1</xdr:row>
      <xdr:rowOff>482600</xdr:rowOff>
    </xdr:from>
    <xdr:to>
      <xdr:col>9</xdr:col>
      <xdr:colOff>1708150</xdr:colOff>
      <xdr:row>1</xdr:row>
      <xdr:rowOff>673100</xdr:rowOff>
    </xdr:to>
    <xdr:sp macro="DeleteSelectedKVPeriods" textlink="">
      <xdr:nvSpPr>
        <xdr:cNvPr id="46" name="btn_DeleteKVPeriods">
          <a:extLst>
            <a:ext uri="{FF2B5EF4-FFF2-40B4-BE49-F238E27FC236}">
              <a16:creationId xmlns:a16="http://schemas.microsoft.com/office/drawing/2014/main" id="{72067EB9-562F-4AA5-E174-9333757948AF}"/>
            </a:ext>
          </a:extLst>
        </xdr:cNvPr>
        <xdr:cNvSpPr/>
      </xdr:nvSpPr>
      <xdr:spPr>
        <a:xfrm>
          <a:off x="8680450" y="838200"/>
          <a:ext cx="3276600" cy="190500"/>
        </a:xfrm>
        <a:prstGeom prst="roundRect">
          <a:avLst/>
        </a:prstGeom>
        <a:solidFill>
          <a:srgbClr val="C0504D"/>
        </a:solidFill>
        <a:ln>
          <a:solidFill>
            <a:srgbClr val="842E2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3) Alte Periode loeschen</a:t>
          </a:r>
        </a:p>
      </xdr:txBody>
    </xdr:sp>
    <xdr:clientData/>
  </xdr:twoCellAnchor>
  <xdr:twoCellAnchor>
    <xdr:from>
      <xdr:col>8</xdr:col>
      <xdr:colOff>12700</xdr:colOff>
      <xdr:row>1</xdr:row>
      <xdr:rowOff>698500</xdr:rowOff>
    </xdr:from>
    <xdr:to>
      <xdr:col>9</xdr:col>
      <xdr:colOff>1708150</xdr:colOff>
      <xdr:row>1</xdr:row>
      <xdr:rowOff>889000</xdr:rowOff>
    </xdr:to>
    <xdr:sp macro="ShowLOHNTABELLE_TESTButtonHelp" textlink="">
      <xdr:nvSpPr>
        <xdr:cNvPr id="47" name="btn_LOHNTABELLE_TESTHelp">
          <a:extLst>
            <a:ext uri="{FF2B5EF4-FFF2-40B4-BE49-F238E27FC236}">
              <a16:creationId xmlns:a16="http://schemas.microsoft.com/office/drawing/2014/main" id="{F59BC7FA-2E5A-CEA1-3267-73A0B0C71326}"/>
            </a:ext>
          </a:extLst>
        </xdr:cNvPr>
        <xdr:cNvSpPr/>
      </xdr:nvSpPr>
      <xdr:spPr>
        <a:xfrm>
          <a:off x="8680450" y="1054100"/>
          <a:ext cx="3276600" cy="190500"/>
        </a:xfrm>
        <a:prstGeom prst="roundRect">
          <a:avLst/>
        </a:prstGeom>
        <a:solidFill>
          <a:srgbClr val="787878"/>
        </a:solidFill>
        <a:ln>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Hilfe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D8" sqref="D8"/>
    </sheetView>
  </sheetViews>
  <sheetFormatPr baseColWidth="10" defaultColWidth="10.81640625" defaultRowHeight="15.5"/>
  <cols>
    <col min="1" max="1" width="10.81640625" style="11" customWidth="1"/>
    <col min="2" max="2" width="18.453125" style="12" customWidth="1"/>
    <col min="3" max="3" width="19.453125" style="7" customWidth="1"/>
    <col min="4" max="4" width="22.1796875" style="10" customWidth="1"/>
    <col min="5" max="5" width="2.1796875" style="8" customWidth="1"/>
    <col min="6" max="6" width="22" style="8" customWidth="1"/>
    <col min="7" max="7" width="10.81640625" style="8"/>
    <col min="8" max="8" width="14.6328125" style="191" customWidth="1"/>
    <col min="9" max="9" width="39.6328125" style="8" customWidth="1"/>
    <col min="10" max="14" width="10.81640625" style="9"/>
    <col min="15" max="15" width="35.453125" style="9" customWidth="1"/>
    <col min="16" max="16" width="10.81640625" style="9" customWidth="1"/>
    <col min="17" max="16384" width="10.81640625" style="9"/>
  </cols>
  <sheetData>
    <row r="1" spans="1:18" ht="21">
      <c r="A1" s="217" t="s">
        <v>0</v>
      </c>
      <c r="B1" s="219" t="s">
        <v>1</v>
      </c>
      <c r="C1" s="221" t="s">
        <v>2</v>
      </c>
      <c r="D1" s="221"/>
      <c r="I1" s="18" t="s">
        <v>3</v>
      </c>
      <c r="J1" s="224"/>
      <c r="K1" s="224"/>
      <c r="L1" s="224"/>
      <c r="M1" s="224"/>
      <c r="O1" s="177" t="s">
        <v>208</v>
      </c>
      <c r="P1" s="177" t="s">
        <v>212</v>
      </c>
    </row>
    <row r="2" spans="1:18" ht="21.5" thickBot="1">
      <c r="A2" s="218"/>
      <c r="B2" s="220"/>
      <c r="C2" s="54" t="str">
        <f>G3-1&amp;"/"&amp;G3</f>
        <v>2025/2026</v>
      </c>
      <c r="D2" s="54" t="str">
        <f>G3 &amp; "/" &amp; G3+1</f>
        <v>2026/2027</v>
      </c>
      <c r="I2" s="14"/>
      <c r="J2" s="225" t="s">
        <v>204</v>
      </c>
      <c r="K2" s="225"/>
      <c r="L2" s="225"/>
      <c r="M2" s="225"/>
      <c r="O2" s="175" t="s">
        <v>213</v>
      </c>
      <c r="P2" s="175">
        <v>0</v>
      </c>
    </row>
    <row r="3" spans="1:18" ht="16.5"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6" thickBot="1">
      <c r="A15" s="23" t="s">
        <v>4</v>
      </c>
      <c r="B15" s="24">
        <v>32.01</v>
      </c>
      <c r="C15" s="107">
        <v>373.89</v>
      </c>
      <c r="D15" s="108">
        <v>373.89</v>
      </c>
      <c r="E15" s="40"/>
      <c r="I15" s="17"/>
      <c r="Q15" s="13" t="s">
        <v>22</v>
      </c>
      <c r="R15" s="13">
        <v>47.58</v>
      </c>
    </row>
    <row r="16" spans="1:18" ht="16"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22" t="s">
        <v>202</v>
      </c>
      <c r="J17" s="223"/>
      <c r="K17" s="223"/>
      <c r="L17" s="223"/>
      <c r="M17" s="223"/>
      <c r="N17" s="124"/>
      <c r="O17" s="176" t="s">
        <v>224</v>
      </c>
      <c r="P17" s="175">
        <v>0.3</v>
      </c>
      <c r="Q17" s="13" t="s">
        <v>24</v>
      </c>
      <c r="R17" s="13"/>
    </row>
    <row r="18" spans="1:18">
      <c r="A18" s="21" t="s">
        <v>8</v>
      </c>
      <c r="B18" s="22">
        <v>138.4</v>
      </c>
      <c r="C18" s="103">
        <v>1665.6</v>
      </c>
      <c r="D18" s="104">
        <v>1665.6</v>
      </c>
      <c r="I18" s="222"/>
      <c r="J18" s="223"/>
      <c r="K18" s="223"/>
      <c r="L18" s="223"/>
      <c r="M18" s="223"/>
      <c r="N18" s="124"/>
      <c r="O18" s="176" t="s">
        <v>225</v>
      </c>
      <c r="P18" s="175">
        <v>0.5</v>
      </c>
      <c r="Q18" s="13"/>
      <c r="R18" s="13"/>
    </row>
    <row r="19" spans="1:18">
      <c r="A19" s="21" t="s">
        <v>8</v>
      </c>
      <c r="B19" s="22">
        <v>129.75</v>
      </c>
      <c r="C19" s="103">
        <v>1561.5</v>
      </c>
      <c r="D19" s="104">
        <v>1561.5</v>
      </c>
      <c r="I19" s="222"/>
      <c r="J19" s="223"/>
      <c r="K19" s="223"/>
      <c r="L19" s="223"/>
      <c r="M19" s="223"/>
      <c r="N19" s="124"/>
      <c r="O19" s="176" t="s">
        <v>226</v>
      </c>
      <c r="P19" s="175">
        <v>0.75</v>
      </c>
      <c r="Q19" s="13"/>
      <c r="R19" s="13"/>
    </row>
    <row r="20" spans="1:18">
      <c r="A20" s="21" t="s">
        <v>8</v>
      </c>
      <c r="B20" s="22">
        <v>108.13</v>
      </c>
      <c r="C20" s="103">
        <v>1301.25</v>
      </c>
      <c r="D20" s="104">
        <v>1301.25</v>
      </c>
      <c r="I20" s="222"/>
      <c r="J20" s="223"/>
      <c r="K20" s="223"/>
      <c r="L20" s="223"/>
      <c r="M20" s="223"/>
      <c r="N20" s="124"/>
      <c r="O20" s="176" t="s">
        <v>227</v>
      </c>
      <c r="P20" s="175">
        <v>1</v>
      </c>
    </row>
    <row r="21" spans="1:18">
      <c r="A21" s="21" t="s">
        <v>8</v>
      </c>
      <c r="B21" s="22">
        <v>103.8</v>
      </c>
      <c r="C21" s="103">
        <v>1249.2</v>
      </c>
      <c r="D21" s="104">
        <v>1249.2</v>
      </c>
      <c r="I21" s="222"/>
      <c r="J21" s="223"/>
      <c r="K21" s="223"/>
      <c r="L21" s="223"/>
      <c r="M21" s="223"/>
      <c r="N21" s="124"/>
      <c r="O21" s="176" t="s">
        <v>228</v>
      </c>
      <c r="P21" s="175">
        <v>1.25</v>
      </c>
    </row>
    <row r="22" spans="1:18">
      <c r="A22" s="21" t="s">
        <v>8</v>
      </c>
      <c r="B22" s="22">
        <v>86.5</v>
      </c>
      <c r="C22" s="103">
        <v>1041.2</v>
      </c>
      <c r="D22" s="104">
        <v>1041.2</v>
      </c>
      <c r="I22" s="222"/>
      <c r="J22" s="223"/>
      <c r="K22" s="223"/>
      <c r="L22" s="223"/>
      <c r="M22" s="223"/>
      <c r="N22" s="124"/>
      <c r="O22" s="176" t="s">
        <v>229</v>
      </c>
      <c r="P22" s="175">
        <v>1.5</v>
      </c>
    </row>
    <row r="23" spans="1:18">
      <c r="A23" s="21" t="s">
        <v>8</v>
      </c>
      <c r="B23" s="22">
        <v>69.2</v>
      </c>
      <c r="C23" s="103">
        <v>832.8</v>
      </c>
      <c r="D23" s="104">
        <v>832.8</v>
      </c>
      <c r="I23" s="222"/>
      <c r="J23" s="223"/>
      <c r="K23" s="223"/>
      <c r="L23" s="223"/>
      <c r="M23" s="223"/>
      <c r="N23" s="124"/>
      <c r="O23" s="176" t="s">
        <v>230</v>
      </c>
      <c r="P23" s="175">
        <v>2</v>
      </c>
    </row>
    <row r="24" spans="1:18">
      <c r="A24" s="21" t="s">
        <v>8</v>
      </c>
      <c r="B24" s="22">
        <v>51.9</v>
      </c>
      <c r="C24" s="103">
        <v>624.6</v>
      </c>
      <c r="D24" s="104">
        <v>624.6</v>
      </c>
      <c r="I24" s="222"/>
      <c r="J24" s="223"/>
      <c r="K24" s="223"/>
      <c r="L24" s="223"/>
      <c r="M24" s="223"/>
      <c r="N24" s="124"/>
      <c r="O24" s="124"/>
    </row>
    <row r="25" spans="1:18">
      <c r="A25" s="21" t="s">
        <v>8</v>
      </c>
      <c r="B25" s="22">
        <v>47.58</v>
      </c>
      <c r="C25" s="103">
        <v>575.54999999999995</v>
      </c>
      <c r="D25" s="104">
        <v>575.54999999999995</v>
      </c>
      <c r="I25" s="222"/>
      <c r="J25" s="223"/>
      <c r="K25" s="223"/>
      <c r="L25" s="223"/>
      <c r="M25" s="223"/>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6" thickBot="1">
      <c r="A28" s="23" t="s">
        <v>8</v>
      </c>
      <c r="B28" s="24">
        <v>32.01</v>
      </c>
      <c r="C28" s="107">
        <v>385.17</v>
      </c>
      <c r="D28" s="108">
        <v>385.17</v>
      </c>
    </row>
    <row r="29" spans="1:18" ht="16"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6" thickBot="1">
      <c r="A41" s="23" t="s">
        <v>10</v>
      </c>
      <c r="B41" s="24">
        <v>32.01</v>
      </c>
      <c r="C41" s="107">
        <v>392.76</v>
      </c>
      <c r="D41" s="108">
        <v>392.76</v>
      </c>
    </row>
    <row r="42" spans="1:9" ht="16"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6" thickBot="1">
      <c r="A54" s="23" t="s">
        <v>12</v>
      </c>
      <c r="B54" s="24">
        <v>32.01</v>
      </c>
      <c r="C54" s="107">
        <v>403.86</v>
      </c>
      <c r="D54" s="108">
        <v>403.86</v>
      </c>
    </row>
    <row r="55" spans="1:4" ht="16"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6" thickBot="1">
      <c r="A67" s="30" t="s">
        <v>13</v>
      </c>
      <c r="B67" s="31">
        <v>32.01</v>
      </c>
      <c r="C67" s="107">
        <v>399.6</v>
      </c>
      <c r="D67" s="114">
        <v>399.6</v>
      </c>
    </row>
    <row r="68" spans="1:4" ht="16"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6" thickBot="1">
      <c r="A80" s="30" t="s">
        <v>15</v>
      </c>
      <c r="B80" s="31">
        <v>32.01</v>
      </c>
      <c r="C80" s="107">
        <v>399.6</v>
      </c>
      <c r="D80" s="114">
        <v>399.6</v>
      </c>
    </row>
    <row r="81" spans="1:4" ht="16"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6" thickBot="1">
      <c r="A93" s="30" t="s">
        <v>17</v>
      </c>
      <c r="B93" s="31">
        <v>32.01</v>
      </c>
      <c r="C93" s="107">
        <v>400.16</v>
      </c>
      <c r="D93" s="114">
        <v>400.16</v>
      </c>
    </row>
    <row r="94" spans="1:4" ht="16"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6" thickBot="1">
      <c r="A106" s="30" t="s">
        <v>19</v>
      </c>
      <c r="B106" s="31">
        <v>32.01</v>
      </c>
      <c r="C106" s="107">
        <v>411.63</v>
      </c>
      <c r="D106" s="114">
        <v>411.63</v>
      </c>
    </row>
    <row r="107" spans="1:4" ht="16"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6" thickBot="1">
      <c r="A119" s="36" t="s">
        <v>21</v>
      </c>
      <c r="B119" s="37">
        <v>32.01</v>
      </c>
      <c r="C119" s="107">
        <v>425.5</v>
      </c>
      <c r="D119" s="118">
        <v>425.5</v>
      </c>
    </row>
    <row r="120" spans="1:4" ht="16"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6" thickBot="1">
      <c r="A132" s="95" t="s">
        <v>22</v>
      </c>
      <c r="B132" s="37">
        <v>32.01</v>
      </c>
      <c r="C132" s="107">
        <v>425.5</v>
      </c>
      <c r="D132" s="118">
        <v>425.5</v>
      </c>
    </row>
    <row r="133" spans="1:4" ht="16"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6" thickBot="1">
      <c r="A145" s="95" t="s">
        <v>23</v>
      </c>
      <c r="B145" s="37">
        <v>32.01</v>
      </c>
      <c r="C145" s="107">
        <v>425.5</v>
      </c>
      <c r="D145" s="118">
        <v>425.5</v>
      </c>
    </row>
    <row r="146" spans="1:4" ht="16"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6" thickBot="1">
      <c r="A158" s="38" t="s">
        <v>24</v>
      </c>
      <c r="B158" s="39">
        <v>32.01</v>
      </c>
      <c r="C158" s="119">
        <v>430.68</v>
      </c>
      <c r="D158" s="120">
        <v>430.68</v>
      </c>
    </row>
  </sheetData>
  <sheetProtection algorithmName="SHA-512" hashValue="7M2xaHulzMXEaElfy3+urcF9Yp+lq0yG9yTWN5sDUI/sBW3wjS6f4youSTcKxP4sL75mMSyJW1PK2ubpvmFyZQ==" saltValue="fFJIGG5z43oNprgfMv/U7w=="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162"/>
  <sheetViews>
    <sheetView showGridLines="0" tabSelected="1" zoomScale="120" zoomScaleNormal="120" workbookViewId="0">
      <pane ySplit="3" topLeftCell="A4" activePane="bottomLeft" state="frozen"/>
      <selection pane="bottomLeft" activeCell="L5" sqref="L5"/>
    </sheetView>
  </sheetViews>
  <sheetFormatPr baseColWidth="10" defaultRowHeight="18" customHeight="1"/>
  <cols>
    <col min="1" max="1" width="16.6328125" style="183" customWidth="1"/>
    <col min="2" max="3" width="13.6328125" style="183" customWidth="1"/>
    <col min="4" max="4" width="14.6328125" style="183" customWidth="1"/>
    <col min="5" max="5" width="12.6328125" style="183" customWidth="1"/>
    <col min="6" max="6" width="24.6328125" style="183" customWidth="1"/>
    <col min="7" max="7" width="13.6328125" style="183" customWidth="1"/>
    <col min="8" max="8" width="14.6328125" style="190" customWidth="1"/>
    <col min="9" max="9" width="22.6328125" style="183" customWidth="1"/>
    <col min="10" max="10" width="24.6328125" style="183" customWidth="1"/>
    <col min="11" max="11" width="3.6328125" customWidth="1"/>
    <col min="12" max="14" width="18.81640625" customWidth="1"/>
    <col min="27" max="29" width="0" hidden="1" customWidth="1"/>
  </cols>
  <sheetData>
    <row r="1" spans="1:10" ht="28" customHeight="1">
      <c r="A1" s="226" t="s">
        <v>320</v>
      </c>
      <c r="B1" s="226"/>
      <c r="C1" s="226"/>
      <c r="D1" s="226"/>
      <c r="E1" s="226"/>
      <c r="F1" s="226"/>
      <c r="G1" s="226"/>
      <c r="H1" s="226"/>
      <c r="I1" s="226"/>
      <c r="J1" s="226"/>
    </row>
    <row r="2" spans="1:10" ht="74" customHeight="1">
      <c r="A2" s="227" t="s">
        <v>395</v>
      </c>
      <c r="B2" s="227"/>
      <c r="C2" s="227"/>
      <c r="D2" s="227"/>
      <c r="E2" s="227"/>
      <c r="F2" s="227"/>
      <c r="G2" s="227"/>
      <c r="H2" s="227"/>
      <c r="I2" s="442"/>
      <c r="J2" s="442"/>
    </row>
    <row r="3" spans="1:10" ht="24" customHeight="1">
      <c r="A3" s="199" t="s">
        <v>325</v>
      </c>
      <c r="B3" s="199" t="s">
        <v>384</v>
      </c>
      <c r="C3" s="199" t="s">
        <v>385</v>
      </c>
      <c r="D3" s="199" t="s">
        <v>329</v>
      </c>
      <c r="E3" s="199" t="s">
        <v>326</v>
      </c>
      <c r="F3" s="199" t="s">
        <v>386</v>
      </c>
      <c r="G3" s="199" t="s">
        <v>327</v>
      </c>
      <c r="H3" s="200" t="s">
        <v>2</v>
      </c>
      <c r="I3" s="199" t="s">
        <v>328</v>
      </c>
      <c r="J3" s="199" t="s">
        <v>387</v>
      </c>
    </row>
    <row r="4" spans="1:10" ht="24" customHeight="1" thickBot="1">
      <c r="A4" s="396" t="s">
        <v>388</v>
      </c>
      <c r="B4" s="378"/>
      <c r="C4" s="378"/>
      <c r="D4" s="379"/>
      <c r="E4" s="379"/>
      <c r="F4" s="379"/>
      <c r="G4" s="380"/>
      <c r="H4" s="381"/>
      <c r="I4" s="379"/>
      <c r="J4" s="404"/>
    </row>
    <row r="5" spans="1:10" ht="24" customHeight="1">
      <c r="A5" s="397" t="s">
        <v>333</v>
      </c>
      <c r="B5" s="382">
        <v>45778</v>
      </c>
      <c r="C5" s="382">
        <v>46142</v>
      </c>
      <c r="D5" s="383" t="s">
        <v>330</v>
      </c>
      <c r="E5" s="383" t="s">
        <v>4</v>
      </c>
      <c r="F5" s="383" t="s">
        <v>321</v>
      </c>
      <c r="G5" s="201">
        <v>173</v>
      </c>
      <c r="H5" s="202">
        <v>2021</v>
      </c>
      <c r="I5" s="383" t="str">
        <f>IF($A5="","",IF(OR($B5="",$C5="",$D5="",$E5="",$F5=""),"Stammdaten fehlen",IF(AND($G5="",$H5=""),"Werte fehlen",IF($G5="","Monatsstunden fehlen",IF($H5="","Monatslohn fehlt","OK")))))</f>
        <v>OK</v>
      </c>
      <c r="J5" s="405" t="str">
        <f>IF($G5="","",IF(COUNTIFS($A:$A,$A5,$D:$D,$D5,$G:$G,$G5)&gt;1,"Doppelte Monatsstunden",""))</f>
        <v/>
      </c>
    </row>
    <row r="6" spans="1:10" ht="24" customHeight="1">
      <c r="A6" s="398" t="s">
        <v>333</v>
      </c>
      <c r="B6" s="384">
        <v>45778</v>
      </c>
      <c r="C6" s="384">
        <v>46142</v>
      </c>
      <c r="D6" s="385" t="s">
        <v>330</v>
      </c>
      <c r="E6" s="385" t="s">
        <v>4</v>
      </c>
      <c r="F6" s="385" t="s">
        <v>321</v>
      </c>
      <c r="G6" s="203">
        <v>151.38</v>
      </c>
      <c r="H6" s="204">
        <v>1768.38</v>
      </c>
      <c r="I6" s="385" t="str">
        <f>IF($A6="","",IF(OR($B6="",$C6="",$D6="",$E6="",$F6=""),"Stammdaten fehlen",IF(AND($G6="",$H6=""),"Werte fehlen",IF($G6="","Monatsstunden fehlen",IF($H6="","Monatslohn fehlt","OK")))))</f>
        <v>OK</v>
      </c>
      <c r="J6" s="406" t="str">
        <f>IF($G6="","",IF(COUNTIFS($A:$A,$A6,$D:$D,$D6,$G:$G,$G6)&gt;1,"Doppelte Monatsstunden",""))</f>
        <v/>
      </c>
    </row>
    <row r="7" spans="1:10" ht="24" customHeight="1">
      <c r="A7" s="398" t="s">
        <v>333</v>
      </c>
      <c r="B7" s="384">
        <v>45778</v>
      </c>
      <c r="C7" s="384">
        <v>46142</v>
      </c>
      <c r="D7" s="385" t="s">
        <v>330</v>
      </c>
      <c r="E7" s="385" t="s">
        <v>4</v>
      </c>
      <c r="F7" s="385" t="s">
        <v>321</v>
      </c>
      <c r="G7" s="203">
        <v>138.4</v>
      </c>
      <c r="H7" s="204">
        <v>1616.8</v>
      </c>
      <c r="I7" s="385" t="str">
        <f>IF($A7="","",IF(OR($B7="",$C7="",$D7="",$E7="",$F7=""),"Stammdaten fehlen",IF(AND($G7="",$H7=""),"Werte fehlen",IF($G7="","Monatsstunden fehlen",IF($H7="","Monatslohn fehlt","OK")))))</f>
        <v>OK</v>
      </c>
      <c r="J7" s="406" t="str">
        <f>IF($G7="","",IF(COUNTIFS($A:$A,$A7,$D:$D,$D7,$G:$G,$G7)&gt;1,"Doppelte Monatsstunden",""))</f>
        <v/>
      </c>
    </row>
    <row r="8" spans="1:10" ht="24" customHeight="1">
      <c r="A8" s="398" t="s">
        <v>333</v>
      </c>
      <c r="B8" s="384">
        <v>45778</v>
      </c>
      <c r="C8" s="384">
        <v>46142</v>
      </c>
      <c r="D8" s="385" t="s">
        <v>330</v>
      </c>
      <c r="E8" s="385" t="s">
        <v>4</v>
      </c>
      <c r="F8" s="385" t="s">
        <v>321</v>
      </c>
      <c r="G8" s="203">
        <v>129.75</v>
      </c>
      <c r="H8" s="204">
        <v>1515.75</v>
      </c>
      <c r="I8" s="385" t="str">
        <f>IF($A8="","",IF(OR($B8="",$C8="",$D8="",$E8="",$F8=""),"Stammdaten fehlen",IF(AND($G8="",$H8=""),"Werte fehlen",IF($G8="","Monatsstunden fehlen",IF($H8="","Monatslohn fehlt","OK")))))</f>
        <v>OK</v>
      </c>
      <c r="J8" s="406" t="str">
        <f>IF($G8="","",IF(COUNTIFS($A:$A,$A8,$D:$D,$D8,$G:$G,$G8)&gt;1,"Doppelte Monatsstunden",""))</f>
        <v/>
      </c>
    </row>
    <row r="9" spans="1:10" ht="24" customHeight="1">
      <c r="A9" s="398" t="s">
        <v>333</v>
      </c>
      <c r="B9" s="384">
        <v>45778</v>
      </c>
      <c r="C9" s="384">
        <v>46142</v>
      </c>
      <c r="D9" s="385" t="s">
        <v>330</v>
      </c>
      <c r="E9" s="385" t="s">
        <v>4</v>
      </c>
      <c r="F9" s="385" t="s">
        <v>321</v>
      </c>
      <c r="G9" s="203">
        <v>108.13</v>
      </c>
      <c r="H9" s="204">
        <v>1263.1300000000001</v>
      </c>
      <c r="I9" s="385" t="str">
        <f>IF($A9="","",IF(OR($B9="",$C9="",$D9="",$E9="",$F9=""),"Stammdaten fehlen",IF(AND($G9="",$H9=""),"Werte fehlen",IF($G9="","Monatsstunden fehlen",IF($H9="","Monatslohn fehlt","OK")))))</f>
        <v>OK</v>
      </c>
      <c r="J9" s="406" t="str">
        <f>IF($G9="","",IF(COUNTIFS($A:$A,$A9,$D:$D,$D9,$G:$G,$G9)&gt;1,"Doppelte Monatsstunden",""))</f>
        <v/>
      </c>
    </row>
    <row r="10" spans="1:10" ht="24" customHeight="1">
      <c r="A10" s="398" t="s">
        <v>333</v>
      </c>
      <c r="B10" s="384">
        <v>45778</v>
      </c>
      <c r="C10" s="384">
        <v>46142</v>
      </c>
      <c r="D10" s="385" t="s">
        <v>330</v>
      </c>
      <c r="E10" s="385" t="s">
        <v>4</v>
      </c>
      <c r="F10" s="385" t="s">
        <v>321</v>
      </c>
      <c r="G10" s="203">
        <v>103.8</v>
      </c>
      <c r="H10" s="204">
        <v>1212.5999999999999</v>
      </c>
      <c r="I10" s="385" t="str">
        <f>IF($A10="","",IF(OR($B10="",$C10="",$D10="",$E10="",$F10=""),"Stammdaten fehlen",IF(AND($G10="",$H10=""),"Werte fehlen",IF($G10="","Monatsstunden fehlen",IF($H10="","Monatslohn fehlt","OK")))))</f>
        <v>OK</v>
      </c>
      <c r="J10" s="406" t="str">
        <f>IF($G10="","",IF(COUNTIFS($A:$A,$A10,$D:$D,$D10,$G:$G,$G10)&gt;1,"Doppelte Monatsstunden",""))</f>
        <v/>
      </c>
    </row>
    <row r="11" spans="1:10" ht="24" customHeight="1">
      <c r="A11" s="398" t="s">
        <v>333</v>
      </c>
      <c r="B11" s="384">
        <v>45778</v>
      </c>
      <c r="C11" s="384">
        <v>46142</v>
      </c>
      <c r="D11" s="385" t="s">
        <v>330</v>
      </c>
      <c r="E11" s="385" t="s">
        <v>4</v>
      </c>
      <c r="F11" s="385" t="s">
        <v>321</v>
      </c>
      <c r="G11" s="203">
        <v>86.5</v>
      </c>
      <c r="H11" s="204">
        <v>1010.5</v>
      </c>
      <c r="I11" s="385" t="str">
        <f>IF($A11="","",IF(OR($B11="",$C11="",$D11="",$E11="",$F11=""),"Stammdaten fehlen",IF(AND($G11="",$H11=""),"Werte fehlen",IF($G11="","Monatsstunden fehlen",IF($H11="","Monatslohn fehlt","OK")))))</f>
        <v>OK</v>
      </c>
      <c r="J11" s="406" t="str">
        <f>IF($G11="","",IF(COUNTIFS($A:$A,$A11,$D:$D,$D11,$G:$G,$G11)&gt;1,"Doppelte Monatsstunden",""))</f>
        <v/>
      </c>
    </row>
    <row r="12" spans="1:10" ht="24" customHeight="1">
      <c r="A12" s="398" t="s">
        <v>333</v>
      </c>
      <c r="B12" s="384">
        <v>45778</v>
      </c>
      <c r="C12" s="384">
        <v>46142</v>
      </c>
      <c r="D12" s="385" t="s">
        <v>330</v>
      </c>
      <c r="E12" s="385" t="s">
        <v>4</v>
      </c>
      <c r="F12" s="385" t="s">
        <v>321</v>
      </c>
      <c r="G12" s="203">
        <v>69.2</v>
      </c>
      <c r="H12" s="204">
        <v>808.4</v>
      </c>
      <c r="I12" s="385" t="str">
        <f>IF($A12="","",IF(OR($B12="",$C12="",$D12="",$E12="",$F12=""),"Stammdaten fehlen",IF(AND($G12="",$H12=""),"Werte fehlen",IF($G12="","Monatsstunden fehlen",IF($H12="","Monatslohn fehlt","OK")))))</f>
        <v>OK</v>
      </c>
      <c r="J12" s="406" t="str">
        <f>IF($G12="","",IF(COUNTIFS($A:$A,$A12,$D:$D,$D12,$G:$G,$G12)&gt;1,"Doppelte Monatsstunden",""))</f>
        <v/>
      </c>
    </row>
    <row r="13" spans="1:10" ht="24" customHeight="1">
      <c r="A13" s="398" t="s">
        <v>333</v>
      </c>
      <c r="B13" s="384">
        <v>45778</v>
      </c>
      <c r="C13" s="384">
        <v>46142</v>
      </c>
      <c r="D13" s="385" t="s">
        <v>330</v>
      </c>
      <c r="E13" s="385" t="s">
        <v>4</v>
      </c>
      <c r="F13" s="385" t="s">
        <v>321</v>
      </c>
      <c r="G13" s="203">
        <v>64</v>
      </c>
      <c r="H13" s="204">
        <v>1000</v>
      </c>
      <c r="I13" s="385" t="str">
        <f>IF($A13="","",IF(OR($B13="",$C13="",$D13="",$E13="",$F13=""),"Stammdaten fehlen",IF(AND($G13="",$H13=""),"Werte fehlen",IF($G13="","Monatsstunden fehlen",IF($H13="","Monatslohn fehlt","OK")))))</f>
        <v>OK</v>
      </c>
      <c r="J13" s="406" t="str">
        <f>IF($G13="","",IF(COUNTIFS($A:$A,$A13,$D:$D,$D13,$G:$G,$G13)&gt;1,"Doppelte Monatsstunden",""))</f>
        <v/>
      </c>
    </row>
    <row r="14" spans="1:10" ht="24" customHeight="1">
      <c r="A14" s="398" t="s">
        <v>333</v>
      </c>
      <c r="B14" s="384">
        <v>45778</v>
      </c>
      <c r="C14" s="384">
        <v>46142</v>
      </c>
      <c r="D14" s="385" t="s">
        <v>330</v>
      </c>
      <c r="E14" s="385" t="s">
        <v>4</v>
      </c>
      <c r="F14" s="385" t="s">
        <v>321</v>
      </c>
      <c r="G14" s="203">
        <v>51.9</v>
      </c>
      <c r="H14" s="204">
        <v>606.29999999999995</v>
      </c>
      <c r="I14" s="385" t="str">
        <f>IF($A14="","",IF(OR($B14="",$C14="",$D14="",$E14="",$F14=""),"Stammdaten fehlen",IF(AND($G14="",$H14=""),"Werte fehlen",IF($G14="","Monatsstunden fehlen",IF($H14="","Monatslohn fehlt","OK")))))</f>
        <v>OK</v>
      </c>
      <c r="J14" s="406" t="str">
        <f>IF($G14="","",IF(COUNTIFS($A:$A,$A14,$D:$D,$D14,$G:$G,$G14)&gt;1,"Doppelte Monatsstunden",""))</f>
        <v/>
      </c>
    </row>
    <row r="15" spans="1:10" ht="24" customHeight="1">
      <c r="A15" s="398" t="s">
        <v>333</v>
      </c>
      <c r="B15" s="384">
        <v>45778</v>
      </c>
      <c r="C15" s="384">
        <v>46142</v>
      </c>
      <c r="D15" s="385" t="s">
        <v>330</v>
      </c>
      <c r="E15" s="385" t="s">
        <v>4</v>
      </c>
      <c r="F15" s="385" t="s">
        <v>321</v>
      </c>
      <c r="G15" s="203">
        <v>47.58</v>
      </c>
      <c r="H15" s="204">
        <v>555.78</v>
      </c>
      <c r="I15" s="385" t="str">
        <f>IF($A15="","",IF(OR($B15="",$C15="",$D15="",$E15="",$F15=""),"Stammdaten fehlen",IF(AND($G15="",$H15=""),"Werte fehlen",IF($G15="","Monatsstunden fehlen",IF($H15="","Monatslohn fehlt","OK")))))</f>
        <v>OK</v>
      </c>
      <c r="J15" s="406" t="str">
        <f>IF($G15="","",IF(COUNTIFS($A:$A,$A15,$D:$D,$D15,$G:$G,$G15)&gt;1,"Doppelte Monatsstunden",""))</f>
        <v/>
      </c>
    </row>
    <row r="16" spans="1:10" ht="24" customHeight="1">
      <c r="A16" s="398" t="s">
        <v>333</v>
      </c>
      <c r="B16" s="384">
        <v>45778</v>
      </c>
      <c r="C16" s="384">
        <v>46142</v>
      </c>
      <c r="D16" s="385" t="s">
        <v>330</v>
      </c>
      <c r="E16" s="385" t="s">
        <v>4</v>
      </c>
      <c r="F16" s="385" t="s">
        <v>321</v>
      </c>
      <c r="G16" s="203">
        <v>43.25</v>
      </c>
      <c r="H16" s="204">
        <v>505.25</v>
      </c>
      <c r="I16" s="385" t="str">
        <f>IF($A16="","",IF(OR($B16="",$C16="",$D16="",$E16="",$F16=""),"Stammdaten fehlen",IF(AND($G16="",$H16=""),"Werte fehlen",IF($G16="","Monatsstunden fehlen",IF($H16="","Monatslohn fehlt","OK")))))</f>
        <v>OK</v>
      </c>
      <c r="J16" s="406" t="str">
        <f>IF($G16="","",IF(COUNTIFS($A:$A,$A16,$D:$D,$D16,$G:$G,$G16)&gt;1,"Doppelte Monatsstunden",""))</f>
        <v/>
      </c>
    </row>
    <row r="17" spans="1:10" ht="24" customHeight="1">
      <c r="A17" s="398" t="s">
        <v>333</v>
      </c>
      <c r="B17" s="384">
        <v>45778</v>
      </c>
      <c r="C17" s="384">
        <v>46142</v>
      </c>
      <c r="D17" s="385" t="s">
        <v>330</v>
      </c>
      <c r="E17" s="385" t="s">
        <v>4</v>
      </c>
      <c r="F17" s="385" t="s">
        <v>321</v>
      </c>
      <c r="G17" s="203">
        <v>34.6</v>
      </c>
      <c r="H17" s="204">
        <v>404.2</v>
      </c>
      <c r="I17" s="385" t="str">
        <f>IF($A17="","",IF(OR($B17="",$C17="",$D17="",$E17="",$F17=""),"Stammdaten fehlen",IF(AND($G17="",$H17=""),"Werte fehlen",IF($G17="","Monatsstunden fehlen",IF($H17="","Monatslohn fehlt","OK")))))</f>
        <v>OK</v>
      </c>
      <c r="J17" s="406" t="str">
        <f>IF($G17="","",IF(COUNTIFS($A:$A,$A17,$D:$D,$D17,$G:$G,$G17)&gt;1,"Doppelte Monatsstunden",""))</f>
        <v/>
      </c>
    </row>
    <row r="18" spans="1:10" ht="24" customHeight="1">
      <c r="A18" s="398" t="s">
        <v>333</v>
      </c>
      <c r="B18" s="384">
        <v>45778</v>
      </c>
      <c r="C18" s="384">
        <v>46142</v>
      </c>
      <c r="D18" s="385" t="s">
        <v>330</v>
      </c>
      <c r="E18" s="385" t="s">
        <v>4</v>
      </c>
      <c r="F18" s="385" t="s">
        <v>321</v>
      </c>
      <c r="G18" s="203">
        <v>32.01</v>
      </c>
      <c r="H18" s="204">
        <v>373.89</v>
      </c>
      <c r="I18" s="385" t="str">
        <f>IF($A18="","",IF(OR($B18="",$C18="",$D18="",$E18="",$F18=""),"Stammdaten fehlen",IF(AND($G18="",$H18=""),"Werte fehlen",IF($G18="","Monatsstunden fehlen",IF($H18="","Monatslohn fehlt","OK")))))</f>
        <v>OK</v>
      </c>
      <c r="J18" s="406" t="str">
        <f>IF($G18="","",IF(COUNTIFS($A:$A,$A18,$D:$D,$D18,$G:$G,$G18)&gt;1,"Doppelte Monatsstunden",""))</f>
        <v/>
      </c>
    </row>
    <row r="19" spans="1:10" ht="24" customHeight="1" thickBot="1">
      <c r="A19" s="398" t="s">
        <v>333</v>
      </c>
      <c r="B19" s="384">
        <v>45778</v>
      </c>
      <c r="C19" s="384">
        <v>46142</v>
      </c>
      <c r="D19" s="385" t="s">
        <v>330</v>
      </c>
      <c r="E19" s="385" t="s">
        <v>4</v>
      </c>
      <c r="F19" s="385" t="s">
        <v>321</v>
      </c>
      <c r="G19" s="203">
        <v>10</v>
      </c>
      <c r="H19" s="204">
        <v>60</v>
      </c>
      <c r="I19" s="385" t="str">
        <f>IF($A19="","",IF(OR($B19="",$C19="",$D19="",$E19="",$F19=""),"Stammdaten fehlen",IF(AND($G19="",$H19=""),"Werte fehlen",IF($G19="","Monatsstunden fehlen",IF($H19="","Monatslohn fehlt","OK")))))</f>
        <v>OK</v>
      </c>
      <c r="J19" s="406" t="str">
        <f>IF($G19="","",IF(COUNTIFS($A:$A,$A19,$D:$D,$D19,$G:$G,$G19)&gt;1,"Doppelte Monatsstunden",""))</f>
        <v/>
      </c>
    </row>
    <row r="20" spans="1:10" ht="24" customHeight="1">
      <c r="A20" s="399" t="s">
        <v>333</v>
      </c>
      <c r="B20" s="386">
        <v>45778</v>
      </c>
      <c r="C20" s="386">
        <v>46142</v>
      </c>
      <c r="D20" s="387" t="s">
        <v>8</v>
      </c>
      <c r="E20" s="387" t="s">
        <v>4</v>
      </c>
      <c r="F20" s="387" t="s">
        <v>322</v>
      </c>
      <c r="G20" s="205">
        <v>173</v>
      </c>
      <c r="H20" s="206">
        <v>2082</v>
      </c>
      <c r="I20" s="387" t="str">
        <f>IF($A20="","",IF(OR($B20="",$C20="",$D20="",$E20="",$F20=""),"Stammdaten fehlen",IF(AND($G20="",$H20=""),"Werte fehlen",IF($G20="","Monatsstunden fehlen",IF($H20="","Monatslohn fehlt","OK")))))</f>
        <v>OK</v>
      </c>
      <c r="J20" s="407" t="str">
        <f>IF($G20="","",IF(COUNTIFS($A:$A,$A20,$D:$D,$D20,$G:$G,$G20)&gt;1,"Doppelte Monatsstunden",""))</f>
        <v/>
      </c>
    </row>
    <row r="21" spans="1:10" ht="24" customHeight="1">
      <c r="A21" s="398" t="s">
        <v>333</v>
      </c>
      <c r="B21" s="384">
        <v>45778</v>
      </c>
      <c r="C21" s="384">
        <v>46142</v>
      </c>
      <c r="D21" s="385" t="s">
        <v>8</v>
      </c>
      <c r="E21" s="385" t="s">
        <v>4</v>
      </c>
      <c r="F21" s="385" t="s">
        <v>322</v>
      </c>
      <c r="G21" s="203">
        <v>151.38</v>
      </c>
      <c r="H21" s="204">
        <v>1821.75</v>
      </c>
      <c r="I21" s="385" t="str">
        <f>IF($A21="","",IF(OR($B21="",$C21="",$D21="",$E21="",$F21=""),"Stammdaten fehlen",IF(AND($G21="",$H21=""),"Werte fehlen",IF($G21="","Monatsstunden fehlen",IF($H21="","Monatslohn fehlt","OK")))))</f>
        <v>OK</v>
      </c>
      <c r="J21" s="406" t="str">
        <f>IF($G21="","",IF(COUNTIFS($A:$A,$A21,$D:$D,$D21,$G:$G,$G21)&gt;1,"Doppelte Monatsstunden",""))</f>
        <v/>
      </c>
    </row>
    <row r="22" spans="1:10" ht="24" customHeight="1">
      <c r="A22" s="398" t="s">
        <v>333</v>
      </c>
      <c r="B22" s="384">
        <v>45778</v>
      </c>
      <c r="C22" s="384">
        <v>46142</v>
      </c>
      <c r="D22" s="385" t="s">
        <v>8</v>
      </c>
      <c r="E22" s="385" t="s">
        <v>4</v>
      </c>
      <c r="F22" s="385" t="s">
        <v>322</v>
      </c>
      <c r="G22" s="203">
        <v>138.4</v>
      </c>
      <c r="H22" s="204">
        <v>1665.6</v>
      </c>
      <c r="I22" s="385" t="str">
        <f>IF($A22="","",IF(OR($B22="",$C22="",$D22="",$E22="",$F22=""),"Stammdaten fehlen",IF(AND($G22="",$H22=""),"Werte fehlen",IF($G22="","Monatsstunden fehlen",IF($H22="","Monatslohn fehlt","OK")))))</f>
        <v>OK</v>
      </c>
      <c r="J22" s="406" t="str">
        <f>IF($G22="","",IF(COUNTIFS($A:$A,$A22,$D:$D,$D22,$G:$G,$G22)&gt;1,"Doppelte Monatsstunden",""))</f>
        <v/>
      </c>
    </row>
    <row r="23" spans="1:10" ht="24" customHeight="1">
      <c r="A23" s="398" t="s">
        <v>333</v>
      </c>
      <c r="B23" s="384">
        <v>45778</v>
      </c>
      <c r="C23" s="384">
        <v>46142</v>
      </c>
      <c r="D23" s="385" t="s">
        <v>8</v>
      </c>
      <c r="E23" s="385" t="s">
        <v>4</v>
      </c>
      <c r="F23" s="385" t="s">
        <v>322</v>
      </c>
      <c r="G23" s="203">
        <v>129.75</v>
      </c>
      <c r="H23" s="204">
        <v>1561.5</v>
      </c>
      <c r="I23" s="385" t="str">
        <f>IF($A23="","",IF(OR($B23="",$C23="",$D23="",$E23="",$F23=""),"Stammdaten fehlen",IF(AND($G23="",$H23=""),"Werte fehlen",IF($G23="","Monatsstunden fehlen",IF($H23="","Monatslohn fehlt","OK")))))</f>
        <v>OK</v>
      </c>
      <c r="J23" s="406" t="str">
        <f>IF($G23="","",IF(COUNTIFS($A:$A,$A23,$D:$D,$D23,$G:$G,$G23)&gt;1,"Doppelte Monatsstunden",""))</f>
        <v/>
      </c>
    </row>
    <row r="24" spans="1:10" ht="24" customHeight="1">
      <c r="A24" s="398" t="s">
        <v>333</v>
      </c>
      <c r="B24" s="384">
        <v>45778</v>
      </c>
      <c r="C24" s="384">
        <v>46142</v>
      </c>
      <c r="D24" s="385" t="s">
        <v>8</v>
      </c>
      <c r="E24" s="385" t="s">
        <v>4</v>
      </c>
      <c r="F24" s="385" t="s">
        <v>322</v>
      </c>
      <c r="G24" s="203">
        <v>108.13</v>
      </c>
      <c r="H24" s="204">
        <v>1301.25</v>
      </c>
      <c r="I24" s="385" t="str">
        <f>IF($A24="","",IF(OR($B24="",$C24="",$D24="",$E24="",$F24=""),"Stammdaten fehlen",IF(AND($G24="",$H24=""),"Werte fehlen",IF($G24="","Monatsstunden fehlen",IF($H24="","Monatslohn fehlt","OK")))))</f>
        <v>OK</v>
      </c>
      <c r="J24" s="406" t="str">
        <f>IF($G24="","",IF(COUNTIFS($A:$A,$A24,$D:$D,$D24,$G:$G,$G24)&gt;1,"Doppelte Monatsstunden",""))</f>
        <v/>
      </c>
    </row>
    <row r="25" spans="1:10" ht="24" customHeight="1">
      <c r="A25" s="398" t="s">
        <v>333</v>
      </c>
      <c r="B25" s="384">
        <v>45778</v>
      </c>
      <c r="C25" s="384">
        <v>46142</v>
      </c>
      <c r="D25" s="385" t="s">
        <v>8</v>
      </c>
      <c r="E25" s="385" t="s">
        <v>4</v>
      </c>
      <c r="F25" s="385" t="s">
        <v>322</v>
      </c>
      <c r="G25" s="203">
        <v>103.8</v>
      </c>
      <c r="H25" s="204">
        <v>1249.2</v>
      </c>
      <c r="I25" s="385" t="str">
        <f>IF($A25="","",IF(OR($B25="",$C25="",$D25="",$E25="",$F25=""),"Stammdaten fehlen",IF(AND($G25="",$H25=""),"Werte fehlen",IF($G25="","Monatsstunden fehlen",IF($H25="","Monatslohn fehlt","OK")))))</f>
        <v>OK</v>
      </c>
      <c r="J25" s="406" t="str">
        <f>IF($G25="","",IF(COUNTIFS($A:$A,$A25,$D:$D,$D25,$G:$G,$G25)&gt;1,"Doppelte Monatsstunden",""))</f>
        <v/>
      </c>
    </row>
    <row r="26" spans="1:10" ht="24" customHeight="1">
      <c r="A26" s="398" t="s">
        <v>333</v>
      </c>
      <c r="B26" s="384">
        <v>45778</v>
      </c>
      <c r="C26" s="384">
        <v>46142</v>
      </c>
      <c r="D26" s="385" t="s">
        <v>8</v>
      </c>
      <c r="E26" s="385" t="s">
        <v>4</v>
      </c>
      <c r="F26" s="385" t="s">
        <v>322</v>
      </c>
      <c r="G26" s="203">
        <v>86.5</v>
      </c>
      <c r="H26" s="204">
        <v>1041.2</v>
      </c>
      <c r="I26" s="385" t="str">
        <f>IF($A26="","",IF(OR($B26="",$C26="",$D26="",$E26="",$F26=""),"Stammdaten fehlen",IF(AND($G26="",$H26=""),"Werte fehlen",IF($G26="","Monatsstunden fehlen",IF($H26="","Monatslohn fehlt","OK")))))</f>
        <v>OK</v>
      </c>
      <c r="J26" s="406" t="str">
        <f>IF($G26="","",IF(COUNTIFS($A:$A,$A26,$D:$D,$D26,$G:$G,$G26)&gt;1,"Doppelte Monatsstunden",""))</f>
        <v/>
      </c>
    </row>
    <row r="27" spans="1:10" ht="24" customHeight="1">
      <c r="A27" s="398" t="s">
        <v>333</v>
      </c>
      <c r="B27" s="384">
        <v>45778</v>
      </c>
      <c r="C27" s="384">
        <v>46142</v>
      </c>
      <c r="D27" s="385" t="s">
        <v>8</v>
      </c>
      <c r="E27" s="385" t="s">
        <v>4</v>
      </c>
      <c r="F27" s="385" t="s">
        <v>322</v>
      </c>
      <c r="G27" s="203">
        <v>69.2</v>
      </c>
      <c r="H27" s="204">
        <v>832.8</v>
      </c>
      <c r="I27" s="385" t="str">
        <f>IF($A27="","",IF(OR($B27="",$C27="",$D27="",$E27="",$F27=""),"Stammdaten fehlen",IF(AND($G27="",$H27=""),"Werte fehlen",IF($G27="","Monatsstunden fehlen",IF($H27="","Monatslohn fehlt","OK")))))</f>
        <v>OK</v>
      </c>
      <c r="J27" s="406" t="str">
        <f>IF($G27="","",IF(COUNTIFS($A:$A,$A27,$D:$D,$D27,$G:$G,$G27)&gt;1,"Doppelte Monatsstunden",""))</f>
        <v/>
      </c>
    </row>
    <row r="28" spans="1:10" ht="24" customHeight="1">
      <c r="A28" s="398" t="s">
        <v>333</v>
      </c>
      <c r="B28" s="384">
        <v>45778</v>
      </c>
      <c r="C28" s="384">
        <v>46142</v>
      </c>
      <c r="D28" s="385" t="s">
        <v>8</v>
      </c>
      <c r="E28" s="385" t="s">
        <v>4</v>
      </c>
      <c r="F28" s="385" t="s">
        <v>322</v>
      </c>
      <c r="G28" s="203">
        <v>51.9</v>
      </c>
      <c r="H28" s="204">
        <v>624.6</v>
      </c>
      <c r="I28" s="385" t="str">
        <f>IF($A28="","",IF(OR($B28="",$C28="",$D28="",$E28="",$F28=""),"Stammdaten fehlen",IF(AND($G28="",$H28=""),"Werte fehlen",IF($G28="","Monatsstunden fehlen",IF($H28="","Monatslohn fehlt","OK")))))</f>
        <v>OK</v>
      </c>
      <c r="J28" s="406" t="str">
        <f>IF($G28="","",IF(COUNTIFS($A:$A,$A28,$D:$D,$D28,$G:$G,$G28)&gt;1,"Doppelte Monatsstunden",""))</f>
        <v/>
      </c>
    </row>
    <row r="29" spans="1:10" ht="24" customHeight="1">
      <c r="A29" s="398" t="s">
        <v>333</v>
      </c>
      <c r="B29" s="384">
        <v>45778</v>
      </c>
      <c r="C29" s="384">
        <v>46142</v>
      </c>
      <c r="D29" s="385" t="s">
        <v>8</v>
      </c>
      <c r="E29" s="385" t="s">
        <v>4</v>
      </c>
      <c r="F29" s="385" t="s">
        <v>322</v>
      </c>
      <c r="G29" s="203">
        <v>47.58</v>
      </c>
      <c r="H29" s="204">
        <v>575.54999999999995</v>
      </c>
      <c r="I29" s="385" t="str">
        <f>IF($A29="","",IF(OR($B29="",$C29="",$D29="",$E29="",$F29=""),"Stammdaten fehlen",IF(AND($G29="",$H29=""),"Werte fehlen",IF($G29="","Monatsstunden fehlen",IF($H29="","Monatslohn fehlt","OK")))))</f>
        <v>OK</v>
      </c>
      <c r="J29" s="406" t="str">
        <f>IF($G29="","",IF(COUNTIFS($A:$A,$A29,$D:$D,$D29,$G:$G,$G29)&gt;1,"Doppelte Monatsstunden",""))</f>
        <v/>
      </c>
    </row>
    <row r="30" spans="1:10" ht="24" customHeight="1">
      <c r="A30" s="398" t="s">
        <v>333</v>
      </c>
      <c r="B30" s="384">
        <v>45778</v>
      </c>
      <c r="C30" s="384">
        <v>46142</v>
      </c>
      <c r="D30" s="385" t="s">
        <v>8</v>
      </c>
      <c r="E30" s="385" t="s">
        <v>4</v>
      </c>
      <c r="F30" s="385" t="s">
        <v>322</v>
      </c>
      <c r="G30" s="203">
        <v>43.25</v>
      </c>
      <c r="H30" s="204">
        <v>520.5</v>
      </c>
      <c r="I30" s="385" t="str">
        <f>IF($A30="","",IF(OR($B30="",$C30="",$D30="",$E30="",$F30=""),"Stammdaten fehlen",IF(AND($G30="",$H30=""),"Werte fehlen",IF($G30="","Monatsstunden fehlen",IF($H30="","Monatslohn fehlt","OK")))))</f>
        <v>OK</v>
      </c>
      <c r="J30" s="406" t="str">
        <f>IF($G30="","",IF(COUNTIFS($A:$A,$A30,$D:$D,$D30,$G:$G,$G30)&gt;1,"Doppelte Monatsstunden",""))</f>
        <v/>
      </c>
    </row>
    <row r="31" spans="1:10" ht="24" customHeight="1">
      <c r="A31" s="398" t="s">
        <v>333</v>
      </c>
      <c r="B31" s="384">
        <v>45778</v>
      </c>
      <c r="C31" s="384">
        <v>46142</v>
      </c>
      <c r="D31" s="385" t="s">
        <v>8</v>
      </c>
      <c r="E31" s="385" t="s">
        <v>4</v>
      </c>
      <c r="F31" s="385" t="s">
        <v>322</v>
      </c>
      <c r="G31" s="203">
        <v>34.6</v>
      </c>
      <c r="H31" s="204">
        <v>416.4</v>
      </c>
      <c r="I31" s="385" t="str">
        <f>IF($A31="","",IF(OR($B31="",$C31="",$D31="",$E31="",$F31=""),"Stammdaten fehlen",IF(AND($G31="",$H31=""),"Werte fehlen",IF($G31="","Monatsstunden fehlen",IF($H31="","Monatslohn fehlt","OK")))))</f>
        <v>OK</v>
      </c>
      <c r="J31" s="406" t="str">
        <f>IF($G31="","",IF(COUNTIFS($A:$A,$A31,$D:$D,$D31,$G:$G,$G31)&gt;1,"Doppelte Monatsstunden",""))</f>
        <v/>
      </c>
    </row>
    <row r="32" spans="1:10" ht="24" customHeight="1" thickBot="1">
      <c r="A32" s="398" t="s">
        <v>333</v>
      </c>
      <c r="B32" s="384">
        <v>45778</v>
      </c>
      <c r="C32" s="384">
        <v>46142</v>
      </c>
      <c r="D32" s="385" t="s">
        <v>8</v>
      </c>
      <c r="E32" s="385" t="s">
        <v>4</v>
      </c>
      <c r="F32" s="385" t="s">
        <v>322</v>
      </c>
      <c r="G32" s="203">
        <v>32.01</v>
      </c>
      <c r="H32" s="204">
        <v>385.17</v>
      </c>
      <c r="I32" s="385" t="str">
        <f>IF($A32="","",IF(OR($B32="",$C32="",$D32="",$E32="",$F32=""),"Stammdaten fehlen",IF(AND($G32="",$H32=""),"Werte fehlen",IF($G32="","Monatsstunden fehlen",IF($H32="","Monatslohn fehlt","OK")))))</f>
        <v>OK</v>
      </c>
      <c r="J32" s="406" t="str">
        <f>IF($G32="","",IF(COUNTIFS($A:$A,$A32,$D:$D,$D32,$G:$G,$G32)&gt;1,"Doppelte Monatsstunden",""))</f>
        <v/>
      </c>
    </row>
    <row r="33" spans="1:10" ht="24" customHeight="1">
      <c r="A33" s="399" t="s">
        <v>333</v>
      </c>
      <c r="B33" s="386">
        <v>45778</v>
      </c>
      <c r="C33" s="386">
        <v>46142</v>
      </c>
      <c r="D33" s="387" t="s">
        <v>10</v>
      </c>
      <c r="E33" s="387" t="s">
        <v>4</v>
      </c>
      <c r="F33" s="387" t="s">
        <v>323</v>
      </c>
      <c r="G33" s="205">
        <v>173</v>
      </c>
      <c r="H33" s="206">
        <v>2123</v>
      </c>
      <c r="I33" s="387" t="str">
        <f>IF($A33="","",IF(OR($B33="",$C33="",$D33="",$E33="",$F33=""),"Stammdaten fehlen",IF(AND($G33="",$H33=""),"Werte fehlen",IF($G33="","Monatsstunden fehlen",IF($H33="","Monatslohn fehlt","OK")))))</f>
        <v>OK</v>
      </c>
      <c r="J33" s="407" t="str">
        <f>IF($G33="","",IF(COUNTIFS($A:$A,$A33,$D:$D,$D33,$G:$G,$G33)&gt;1,"Doppelte Monatsstunden",""))</f>
        <v/>
      </c>
    </row>
    <row r="34" spans="1:10" ht="24" customHeight="1">
      <c r="A34" s="398" t="s">
        <v>333</v>
      </c>
      <c r="B34" s="384">
        <v>45778</v>
      </c>
      <c r="C34" s="384">
        <v>46142</v>
      </c>
      <c r="D34" s="385" t="s">
        <v>10</v>
      </c>
      <c r="E34" s="385" t="s">
        <v>4</v>
      </c>
      <c r="F34" s="385" t="s">
        <v>323</v>
      </c>
      <c r="G34" s="203">
        <v>151.38</v>
      </c>
      <c r="H34" s="204">
        <v>1857.63</v>
      </c>
      <c r="I34" s="385" t="str">
        <f>IF($A34="","",IF(OR($B34="",$C34="",$D34="",$E34="",$F34=""),"Stammdaten fehlen",IF(AND($G34="",$H34=""),"Werte fehlen",IF($G34="","Monatsstunden fehlen",IF($H34="","Monatslohn fehlt","OK")))))</f>
        <v>OK</v>
      </c>
      <c r="J34" s="406" t="str">
        <f>IF($G34="","",IF(COUNTIFS($A:$A,$A34,$D:$D,$D34,$G:$G,$G34)&gt;1,"Doppelte Monatsstunden",""))</f>
        <v/>
      </c>
    </row>
    <row r="35" spans="1:10" ht="24" customHeight="1">
      <c r="A35" s="398" t="s">
        <v>333</v>
      </c>
      <c r="B35" s="384">
        <v>45778</v>
      </c>
      <c r="C35" s="384">
        <v>46142</v>
      </c>
      <c r="D35" s="385" t="s">
        <v>10</v>
      </c>
      <c r="E35" s="385" t="s">
        <v>4</v>
      </c>
      <c r="F35" s="385" t="s">
        <v>323</v>
      </c>
      <c r="G35" s="203">
        <v>138.4</v>
      </c>
      <c r="H35" s="204">
        <v>1698.4</v>
      </c>
      <c r="I35" s="385" t="str">
        <f>IF($A35="","",IF(OR($B35="",$C35="",$D35="",$E35="",$F35=""),"Stammdaten fehlen",IF(AND($G35="",$H35=""),"Werte fehlen",IF($G35="","Monatsstunden fehlen",IF($H35="","Monatslohn fehlt","OK")))))</f>
        <v>OK</v>
      </c>
      <c r="J35" s="406" t="str">
        <f>IF($G35="","",IF(COUNTIFS($A:$A,$A35,$D:$D,$D35,$G:$G,$G35)&gt;1,"Doppelte Monatsstunden",""))</f>
        <v/>
      </c>
    </row>
    <row r="36" spans="1:10" ht="24" customHeight="1">
      <c r="A36" s="398" t="s">
        <v>333</v>
      </c>
      <c r="B36" s="384">
        <v>45778</v>
      </c>
      <c r="C36" s="384">
        <v>46142</v>
      </c>
      <c r="D36" s="385" t="s">
        <v>10</v>
      </c>
      <c r="E36" s="385" t="s">
        <v>4</v>
      </c>
      <c r="F36" s="385" t="s">
        <v>323</v>
      </c>
      <c r="G36" s="203">
        <v>129.75</v>
      </c>
      <c r="H36" s="204">
        <v>1592.25</v>
      </c>
      <c r="I36" s="385" t="str">
        <f>IF($A36="","",IF(OR($B36="",$C36="",$D36="",$E36="",$F36=""),"Stammdaten fehlen",IF(AND($G36="",$H36=""),"Werte fehlen",IF($G36="","Monatsstunden fehlen",IF($H36="","Monatslohn fehlt","OK")))))</f>
        <v>OK</v>
      </c>
      <c r="J36" s="406" t="str">
        <f>IF($G36="","",IF(COUNTIFS($A:$A,$A36,$D:$D,$D36,$G:$G,$G36)&gt;1,"Doppelte Monatsstunden",""))</f>
        <v/>
      </c>
    </row>
    <row r="37" spans="1:10" ht="24" customHeight="1">
      <c r="A37" s="398" t="s">
        <v>333</v>
      </c>
      <c r="B37" s="384">
        <v>45778</v>
      </c>
      <c r="C37" s="384">
        <v>46142</v>
      </c>
      <c r="D37" s="385" t="s">
        <v>10</v>
      </c>
      <c r="E37" s="385" t="s">
        <v>4</v>
      </c>
      <c r="F37" s="385" t="s">
        <v>323</v>
      </c>
      <c r="G37" s="203">
        <v>108.13</v>
      </c>
      <c r="H37" s="204">
        <v>1326.88</v>
      </c>
      <c r="I37" s="385" t="str">
        <f>IF($A37="","",IF(OR($B37="",$C37="",$D37="",$E37="",$F37=""),"Stammdaten fehlen",IF(AND($G37="",$H37=""),"Werte fehlen",IF($G37="","Monatsstunden fehlen",IF($H37="","Monatslohn fehlt","OK")))))</f>
        <v>OK</v>
      </c>
      <c r="J37" s="406" t="str">
        <f>IF($G37="","",IF(COUNTIFS($A:$A,$A37,$D:$D,$D37,$G:$G,$G37)&gt;1,"Doppelte Monatsstunden",""))</f>
        <v/>
      </c>
    </row>
    <row r="38" spans="1:10" ht="24" customHeight="1">
      <c r="A38" s="398" t="s">
        <v>333</v>
      </c>
      <c r="B38" s="384">
        <v>45778</v>
      </c>
      <c r="C38" s="384">
        <v>46142</v>
      </c>
      <c r="D38" s="385" t="s">
        <v>10</v>
      </c>
      <c r="E38" s="385" t="s">
        <v>4</v>
      </c>
      <c r="F38" s="385" t="s">
        <v>323</v>
      </c>
      <c r="G38" s="203">
        <v>103.8</v>
      </c>
      <c r="H38" s="204">
        <v>1273.8</v>
      </c>
      <c r="I38" s="385" t="str">
        <f>IF($A38="","",IF(OR($B38="",$C38="",$D38="",$E38="",$F38=""),"Stammdaten fehlen",IF(AND($G38="",$H38=""),"Werte fehlen",IF($G38="","Monatsstunden fehlen",IF($H38="","Monatslohn fehlt","OK")))))</f>
        <v>OK</v>
      </c>
      <c r="J38" s="406" t="str">
        <f>IF($G38="","",IF(COUNTIFS($A:$A,$A38,$D:$D,$D38,$G:$G,$G38)&gt;1,"Doppelte Monatsstunden",""))</f>
        <v/>
      </c>
    </row>
    <row r="39" spans="1:10" ht="24" customHeight="1">
      <c r="A39" s="398" t="s">
        <v>333</v>
      </c>
      <c r="B39" s="384">
        <v>45778</v>
      </c>
      <c r="C39" s="384">
        <v>46142</v>
      </c>
      <c r="D39" s="385" t="s">
        <v>10</v>
      </c>
      <c r="E39" s="385" t="s">
        <v>4</v>
      </c>
      <c r="F39" s="385" t="s">
        <v>323</v>
      </c>
      <c r="G39" s="203">
        <v>86.5</v>
      </c>
      <c r="H39" s="204">
        <v>1061.5</v>
      </c>
      <c r="I39" s="385" t="str">
        <f>IF($A39="","",IF(OR($B39="",$C39="",$D39="",$E39="",$F39=""),"Stammdaten fehlen",IF(AND($G39="",$H39=""),"Werte fehlen",IF($G39="","Monatsstunden fehlen",IF($H39="","Monatslohn fehlt","OK")))))</f>
        <v>OK</v>
      </c>
      <c r="J39" s="406" t="str">
        <f>IF($G39="","",IF(COUNTIFS($A:$A,$A39,$D:$D,$D39,$G:$G,$G39)&gt;1,"Doppelte Monatsstunden",""))</f>
        <v/>
      </c>
    </row>
    <row r="40" spans="1:10" ht="24" customHeight="1">
      <c r="A40" s="398" t="s">
        <v>333</v>
      </c>
      <c r="B40" s="384">
        <v>45778</v>
      </c>
      <c r="C40" s="384">
        <v>46142</v>
      </c>
      <c r="D40" s="385" t="s">
        <v>10</v>
      </c>
      <c r="E40" s="385" t="s">
        <v>4</v>
      </c>
      <c r="F40" s="385" t="s">
        <v>323</v>
      </c>
      <c r="G40" s="203">
        <v>69.2</v>
      </c>
      <c r="H40" s="204">
        <v>849.2</v>
      </c>
      <c r="I40" s="385" t="str">
        <f>IF($A40="","",IF(OR($B40="",$C40="",$D40="",$E40="",$F40=""),"Stammdaten fehlen",IF(AND($G40="",$H40=""),"Werte fehlen",IF($G40="","Monatsstunden fehlen",IF($H40="","Monatslohn fehlt","OK")))))</f>
        <v>OK</v>
      </c>
      <c r="J40" s="406" t="str">
        <f>IF($G40="","",IF(COUNTIFS($A:$A,$A40,$D:$D,$D40,$G:$G,$G40)&gt;1,"Doppelte Monatsstunden",""))</f>
        <v/>
      </c>
    </row>
    <row r="41" spans="1:10" ht="24" customHeight="1">
      <c r="A41" s="398" t="s">
        <v>333</v>
      </c>
      <c r="B41" s="384">
        <v>45778</v>
      </c>
      <c r="C41" s="384">
        <v>46142</v>
      </c>
      <c r="D41" s="385" t="s">
        <v>10</v>
      </c>
      <c r="E41" s="385" t="s">
        <v>4</v>
      </c>
      <c r="F41" s="385" t="s">
        <v>323</v>
      </c>
      <c r="G41" s="203">
        <v>51.9</v>
      </c>
      <c r="H41" s="204">
        <v>636.9</v>
      </c>
      <c r="I41" s="385" t="str">
        <f>IF($A41="","",IF(OR($B41="",$C41="",$D41="",$E41="",$F41=""),"Stammdaten fehlen",IF(AND($G41="",$H41=""),"Werte fehlen",IF($G41="","Monatsstunden fehlen",IF($H41="","Monatslohn fehlt","OK")))))</f>
        <v>OK</v>
      </c>
      <c r="J41" s="406" t="str">
        <f>IF($G41="","",IF(COUNTIFS($A:$A,$A41,$D:$D,$D41,$G:$G,$G41)&gt;1,"Doppelte Monatsstunden",""))</f>
        <v/>
      </c>
    </row>
    <row r="42" spans="1:10" ht="24" customHeight="1">
      <c r="A42" s="398" t="s">
        <v>333</v>
      </c>
      <c r="B42" s="384">
        <v>45778</v>
      </c>
      <c r="C42" s="384">
        <v>46142</v>
      </c>
      <c r="D42" s="385" t="s">
        <v>10</v>
      </c>
      <c r="E42" s="385" t="s">
        <v>4</v>
      </c>
      <c r="F42" s="385" t="s">
        <v>323</v>
      </c>
      <c r="G42" s="203">
        <v>47.58</v>
      </c>
      <c r="H42" s="204">
        <v>583.83000000000004</v>
      </c>
      <c r="I42" s="385" t="str">
        <f>IF($A42="","",IF(OR($B42="",$C42="",$D42="",$E42="",$F42=""),"Stammdaten fehlen",IF(AND($G42="",$H42=""),"Werte fehlen",IF($G42="","Monatsstunden fehlen",IF($H42="","Monatslohn fehlt","OK")))))</f>
        <v>OK</v>
      </c>
      <c r="J42" s="406" t="str">
        <f>IF($G42="","",IF(COUNTIFS($A:$A,$A42,$D:$D,$D42,$G:$G,$G42)&gt;1,"Doppelte Monatsstunden",""))</f>
        <v/>
      </c>
    </row>
    <row r="43" spans="1:10" ht="24" customHeight="1">
      <c r="A43" s="398" t="s">
        <v>333</v>
      </c>
      <c r="B43" s="384">
        <v>45778</v>
      </c>
      <c r="C43" s="384">
        <v>46142</v>
      </c>
      <c r="D43" s="385" t="s">
        <v>10</v>
      </c>
      <c r="E43" s="385" t="s">
        <v>4</v>
      </c>
      <c r="F43" s="385" t="s">
        <v>323</v>
      </c>
      <c r="G43" s="203">
        <v>43.25</v>
      </c>
      <c r="H43" s="204">
        <v>530.75</v>
      </c>
      <c r="I43" s="385" t="str">
        <f>IF($A43="","",IF(OR($B43="",$C43="",$D43="",$E43="",$F43=""),"Stammdaten fehlen",IF(AND($G43="",$H43=""),"Werte fehlen",IF($G43="","Monatsstunden fehlen",IF($H43="","Monatslohn fehlt","OK")))))</f>
        <v>OK</v>
      </c>
      <c r="J43" s="406" t="str">
        <f>IF($G43="","",IF(COUNTIFS($A:$A,$A43,$D:$D,$D43,$G:$G,$G43)&gt;1,"Doppelte Monatsstunden",""))</f>
        <v/>
      </c>
    </row>
    <row r="44" spans="1:10" ht="24" customHeight="1">
      <c r="A44" s="398" t="s">
        <v>333</v>
      </c>
      <c r="B44" s="384">
        <v>45778</v>
      </c>
      <c r="C44" s="384">
        <v>46142</v>
      </c>
      <c r="D44" s="385" t="s">
        <v>10</v>
      </c>
      <c r="E44" s="385" t="s">
        <v>4</v>
      </c>
      <c r="F44" s="385" t="s">
        <v>323</v>
      </c>
      <c r="G44" s="203">
        <v>34.6</v>
      </c>
      <c r="H44" s="204">
        <v>424.6</v>
      </c>
      <c r="I44" s="385" t="str">
        <f>IF($A44="","",IF(OR($B44="",$C44="",$D44="",$E44="",$F44=""),"Stammdaten fehlen",IF(AND($G44="",$H44=""),"Werte fehlen",IF($G44="","Monatsstunden fehlen",IF($H44="","Monatslohn fehlt","OK")))))</f>
        <v>OK</v>
      </c>
      <c r="J44" s="406" t="str">
        <f>IF($G44="","",IF(COUNTIFS($A:$A,$A44,$D:$D,$D44,$G:$G,$G44)&gt;1,"Doppelte Monatsstunden",""))</f>
        <v/>
      </c>
    </row>
    <row r="45" spans="1:10" ht="24" customHeight="1" thickBot="1">
      <c r="A45" s="398" t="s">
        <v>333</v>
      </c>
      <c r="B45" s="384">
        <v>45778</v>
      </c>
      <c r="C45" s="384">
        <v>46142</v>
      </c>
      <c r="D45" s="385" t="s">
        <v>10</v>
      </c>
      <c r="E45" s="385" t="s">
        <v>4</v>
      </c>
      <c r="F45" s="385" t="s">
        <v>323</v>
      </c>
      <c r="G45" s="203">
        <v>32.01</v>
      </c>
      <c r="H45" s="204">
        <v>392.76</v>
      </c>
      <c r="I45" s="385" t="str">
        <f>IF($A45="","",IF(OR($B45="",$C45="",$D45="",$E45="",$F45=""),"Stammdaten fehlen",IF(AND($G45="",$H45=""),"Werte fehlen",IF($G45="","Monatsstunden fehlen",IF($H45="","Monatslohn fehlt","OK")))))</f>
        <v>OK</v>
      </c>
      <c r="J45" s="406" t="str">
        <f>IF($G45="","",IF(COUNTIFS($A:$A,$A45,$D:$D,$D45,$G:$G,$G45)&gt;1,"Doppelte Monatsstunden",""))</f>
        <v/>
      </c>
    </row>
    <row r="46" spans="1:10" ht="24" customHeight="1">
      <c r="A46" s="399" t="s">
        <v>333</v>
      </c>
      <c r="B46" s="386">
        <v>45778</v>
      </c>
      <c r="C46" s="386">
        <v>46142</v>
      </c>
      <c r="D46" s="387" t="s">
        <v>12</v>
      </c>
      <c r="E46" s="387" t="s">
        <v>4</v>
      </c>
      <c r="F46" s="387" t="s">
        <v>324</v>
      </c>
      <c r="G46" s="205">
        <v>173</v>
      </c>
      <c r="H46" s="206">
        <v>2183</v>
      </c>
      <c r="I46" s="387" t="str">
        <f>IF($A46="","",IF(OR($B46="",$C46="",$D46="",$E46="",$F46=""),"Stammdaten fehlen",IF(AND($G46="",$H46=""),"Werte fehlen",IF($G46="","Monatsstunden fehlen",IF($H46="","Monatslohn fehlt","OK")))))</f>
        <v>OK</v>
      </c>
      <c r="J46" s="407" t="str">
        <f>IF($G46="","",IF(COUNTIFS($A:$A,$A46,$D:$D,$D46,$G:$G,$G46)&gt;1,"Doppelte Monatsstunden",""))</f>
        <v/>
      </c>
    </row>
    <row r="47" spans="1:10" ht="24" customHeight="1">
      <c r="A47" s="398" t="s">
        <v>333</v>
      </c>
      <c r="B47" s="384">
        <v>45778</v>
      </c>
      <c r="C47" s="384">
        <v>46142</v>
      </c>
      <c r="D47" s="385" t="s">
        <v>12</v>
      </c>
      <c r="E47" s="385" t="s">
        <v>4</v>
      </c>
      <c r="F47" s="385" t="s">
        <v>324</v>
      </c>
      <c r="G47" s="203">
        <v>151.38</v>
      </c>
      <c r="H47" s="204">
        <v>1910.13</v>
      </c>
      <c r="I47" s="385" t="str">
        <f>IF($A47="","",IF(OR($B47="",$C47="",$D47="",$E47="",$F47=""),"Stammdaten fehlen",IF(AND($G47="",$H47=""),"Werte fehlen",IF($G47="","Monatsstunden fehlen",IF($H47="","Monatslohn fehlt","OK")))))</f>
        <v>OK</v>
      </c>
      <c r="J47" s="406" t="str">
        <f>IF($G47="","",IF(COUNTIFS($A:$A,$A47,$D:$D,$D47,$G:$G,$G47)&gt;1,"Doppelte Monatsstunden",""))</f>
        <v/>
      </c>
    </row>
    <row r="48" spans="1:10" ht="24" customHeight="1">
      <c r="A48" s="398" t="s">
        <v>333</v>
      </c>
      <c r="B48" s="384">
        <v>45778</v>
      </c>
      <c r="C48" s="384">
        <v>46142</v>
      </c>
      <c r="D48" s="385" t="s">
        <v>12</v>
      </c>
      <c r="E48" s="385" t="s">
        <v>4</v>
      </c>
      <c r="F48" s="385" t="s">
        <v>324</v>
      </c>
      <c r="G48" s="203">
        <v>138.4</v>
      </c>
      <c r="H48" s="204">
        <v>1746.4</v>
      </c>
      <c r="I48" s="385" t="str">
        <f>IF($A48="","",IF(OR($B48="",$C48="",$D48="",$E48="",$F48=""),"Stammdaten fehlen",IF(AND($G48="",$H48=""),"Werte fehlen",IF($G48="","Monatsstunden fehlen",IF($H48="","Monatslohn fehlt","OK")))))</f>
        <v>OK</v>
      </c>
      <c r="J48" s="406" t="str">
        <f>IF($G48="","",IF(COUNTIFS($A:$A,$A48,$D:$D,$D48,$G:$G,$G48)&gt;1,"Doppelte Monatsstunden",""))</f>
        <v/>
      </c>
    </row>
    <row r="49" spans="1:10" ht="24" customHeight="1">
      <c r="A49" s="398" t="s">
        <v>333</v>
      </c>
      <c r="B49" s="384">
        <v>45778</v>
      </c>
      <c r="C49" s="384">
        <v>46142</v>
      </c>
      <c r="D49" s="385" t="s">
        <v>12</v>
      </c>
      <c r="E49" s="385" t="s">
        <v>4</v>
      </c>
      <c r="F49" s="385" t="s">
        <v>324</v>
      </c>
      <c r="G49" s="203">
        <v>129.75</v>
      </c>
      <c r="H49" s="204">
        <v>1637.25</v>
      </c>
      <c r="I49" s="385" t="str">
        <f>IF($A49="","",IF(OR($B49="",$C49="",$D49="",$E49="",$F49=""),"Stammdaten fehlen",IF(AND($G49="",$H49=""),"Werte fehlen",IF($G49="","Monatsstunden fehlen",IF($H49="","Monatslohn fehlt","OK")))))</f>
        <v>OK</v>
      </c>
      <c r="J49" s="406" t="str">
        <f>IF($G49="","",IF(COUNTIFS($A:$A,$A49,$D:$D,$D49,$G:$G,$G49)&gt;1,"Doppelte Monatsstunden",""))</f>
        <v/>
      </c>
    </row>
    <row r="50" spans="1:10" ht="24" customHeight="1">
      <c r="A50" s="398" t="s">
        <v>333</v>
      </c>
      <c r="B50" s="384">
        <v>45778</v>
      </c>
      <c r="C50" s="384">
        <v>46142</v>
      </c>
      <c r="D50" s="385" t="s">
        <v>12</v>
      </c>
      <c r="E50" s="385" t="s">
        <v>4</v>
      </c>
      <c r="F50" s="385" t="s">
        <v>324</v>
      </c>
      <c r="G50" s="203">
        <v>108.13</v>
      </c>
      <c r="H50" s="204">
        <v>1364.38</v>
      </c>
      <c r="I50" s="385" t="str">
        <f>IF($A50="","",IF(OR($B50="",$C50="",$D50="",$E50="",$F50=""),"Stammdaten fehlen",IF(AND($G50="",$H50=""),"Werte fehlen",IF($G50="","Monatsstunden fehlen",IF($H50="","Monatslohn fehlt","OK")))))</f>
        <v>OK</v>
      </c>
      <c r="J50" s="406" t="str">
        <f>IF($G50="","",IF(COUNTIFS($A:$A,$A50,$D:$D,$D50,$G:$G,$G50)&gt;1,"Doppelte Monatsstunden",""))</f>
        <v/>
      </c>
    </row>
    <row r="51" spans="1:10" ht="24" customHeight="1">
      <c r="A51" s="398" t="s">
        <v>333</v>
      </c>
      <c r="B51" s="384">
        <v>45778</v>
      </c>
      <c r="C51" s="384">
        <v>46142</v>
      </c>
      <c r="D51" s="385" t="s">
        <v>12</v>
      </c>
      <c r="E51" s="385" t="s">
        <v>4</v>
      </c>
      <c r="F51" s="385" t="s">
        <v>324</v>
      </c>
      <c r="G51" s="203">
        <v>103.8</v>
      </c>
      <c r="H51" s="204">
        <v>1309.8</v>
      </c>
      <c r="I51" s="385" t="str">
        <f>IF($A51="","",IF(OR($B51="",$C51="",$D51="",$E51="",$F51=""),"Stammdaten fehlen",IF(AND($G51="",$H51=""),"Werte fehlen",IF($G51="","Monatsstunden fehlen",IF($H51="","Monatslohn fehlt","OK")))))</f>
        <v>OK</v>
      </c>
      <c r="J51" s="406" t="str">
        <f>IF($G51="","",IF(COUNTIFS($A:$A,$A51,$D:$D,$D51,$G:$G,$G51)&gt;1,"Doppelte Monatsstunden",""))</f>
        <v/>
      </c>
    </row>
    <row r="52" spans="1:10" ht="24" customHeight="1">
      <c r="A52" s="398" t="s">
        <v>333</v>
      </c>
      <c r="B52" s="384">
        <v>45778</v>
      </c>
      <c r="C52" s="384">
        <v>46142</v>
      </c>
      <c r="D52" s="385" t="s">
        <v>12</v>
      </c>
      <c r="E52" s="385" t="s">
        <v>4</v>
      </c>
      <c r="F52" s="385" t="s">
        <v>324</v>
      </c>
      <c r="G52" s="203">
        <v>86.5</v>
      </c>
      <c r="H52" s="204">
        <v>1091.5</v>
      </c>
      <c r="I52" s="385" t="str">
        <f>IF($A52="","",IF(OR($B52="",$C52="",$D52="",$E52="",$F52=""),"Stammdaten fehlen",IF(AND($G52="",$H52=""),"Werte fehlen",IF($G52="","Monatsstunden fehlen",IF($H52="","Monatslohn fehlt","OK")))))</f>
        <v>OK</v>
      </c>
      <c r="J52" s="406" t="str">
        <f>IF($G52="","",IF(COUNTIFS($A:$A,$A52,$D:$D,$D52,$G:$G,$G52)&gt;1,"Doppelte Monatsstunden",""))</f>
        <v/>
      </c>
    </row>
    <row r="53" spans="1:10" ht="24" customHeight="1">
      <c r="A53" s="398" t="s">
        <v>333</v>
      </c>
      <c r="B53" s="384">
        <v>45778</v>
      </c>
      <c r="C53" s="384">
        <v>46142</v>
      </c>
      <c r="D53" s="385" t="s">
        <v>12</v>
      </c>
      <c r="E53" s="385" t="s">
        <v>4</v>
      </c>
      <c r="F53" s="385" t="s">
        <v>324</v>
      </c>
      <c r="G53" s="203">
        <v>69.2</v>
      </c>
      <c r="H53" s="204">
        <v>873.2</v>
      </c>
      <c r="I53" s="385" t="str">
        <f>IF($A53="","",IF(OR($B53="",$C53="",$D53="",$E53="",$F53=""),"Stammdaten fehlen",IF(AND($G53="",$H53=""),"Werte fehlen",IF($G53="","Monatsstunden fehlen",IF($H53="","Monatslohn fehlt","OK")))))</f>
        <v>OK</v>
      </c>
      <c r="J53" s="406" t="str">
        <f>IF($G53="","",IF(COUNTIFS($A:$A,$A53,$D:$D,$D53,$G:$G,$G53)&gt;1,"Doppelte Monatsstunden",""))</f>
        <v/>
      </c>
    </row>
    <row r="54" spans="1:10" ht="24" customHeight="1">
      <c r="A54" s="398" t="s">
        <v>333</v>
      </c>
      <c r="B54" s="384">
        <v>45778</v>
      </c>
      <c r="C54" s="384">
        <v>46142</v>
      </c>
      <c r="D54" s="385" t="s">
        <v>12</v>
      </c>
      <c r="E54" s="385" t="s">
        <v>4</v>
      </c>
      <c r="F54" s="385" t="s">
        <v>324</v>
      </c>
      <c r="G54" s="203">
        <v>51.9</v>
      </c>
      <c r="H54" s="204">
        <v>654.9</v>
      </c>
      <c r="I54" s="385" t="str">
        <f>IF($A54="","",IF(OR($B54="",$C54="",$D54="",$E54="",$F54=""),"Stammdaten fehlen",IF(AND($G54="",$H54=""),"Werte fehlen",IF($G54="","Monatsstunden fehlen",IF($H54="","Monatslohn fehlt","OK")))))</f>
        <v>OK</v>
      </c>
      <c r="J54" s="406" t="str">
        <f>IF($G54="","",IF(COUNTIFS($A:$A,$A54,$D:$D,$D54,$G:$G,$G54)&gt;1,"Doppelte Monatsstunden",""))</f>
        <v/>
      </c>
    </row>
    <row r="55" spans="1:10" ht="24" customHeight="1">
      <c r="A55" s="398" t="s">
        <v>333</v>
      </c>
      <c r="B55" s="384">
        <v>45778</v>
      </c>
      <c r="C55" s="384">
        <v>46142</v>
      </c>
      <c r="D55" s="385" t="s">
        <v>12</v>
      </c>
      <c r="E55" s="385" t="s">
        <v>4</v>
      </c>
      <c r="F55" s="385" t="s">
        <v>324</v>
      </c>
      <c r="G55" s="203">
        <v>47.58</v>
      </c>
      <c r="H55" s="204">
        <v>600.33000000000004</v>
      </c>
      <c r="I55" s="385" t="str">
        <f>IF($A55="","",IF(OR($B55="",$C55="",$D55="",$E55="",$F55=""),"Stammdaten fehlen",IF(AND($G55="",$H55=""),"Werte fehlen",IF($G55="","Monatsstunden fehlen",IF($H55="","Monatslohn fehlt","OK")))))</f>
        <v>OK</v>
      </c>
      <c r="J55" s="406" t="str">
        <f>IF($G55="","",IF(COUNTIFS($A:$A,$A55,$D:$D,$D55,$G:$G,$G55)&gt;1,"Doppelte Monatsstunden",""))</f>
        <v/>
      </c>
    </row>
    <row r="56" spans="1:10" ht="24" customHeight="1">
      <c r="A56" s="398" t="s">
        <v>333</v>
      </c>
      <c r="B56" s="384">
        <v>45778</v>
      </c>
      <c r="C56" s="384">
        <v>46142</v>
      </c>
      <c r="D56" s="385" t="s">
        <v>12</v>
      </c>
      <c r="E56" s="385" t="s">
        <v>4</v>
      </c>
      <c r="F56" s="385" t="s">
        <v>324</v>
      </c>
      <c r="G56" s="203">
        <v>43.25</v>
      </c>
      <c r="H56" s="204">
        <v>545.75</v>
      </c>
      <c r="I56" s="385" t="str">
        <f>IF($A56="","",IF(OR($B56="",$C56="",$D56="",$E56="",$F56=""),"Stammdaten fehlen",IF(AND($G56="",$H56=""),"Werte fehlen",IF($G56="","Monatsstunden fehlen",IF($H56="","Monatslohn fehlt","OK")))))</f>
        <v>OK</v>
      </c>
      <c r="J56" s="406" t="str">
        <f>IF($G56="","",IF(COUNTIFS($A:$A,$A56,$D:$D,$D56,$G:$G,$G56)&gt;1,"Doppelte Monatsstunden",""))</f>
        <v/>
      </c>
    </row>
    <row r="57" spans="1:10" ht="24" customHeight="1">
      <c r="A57" s="398" t="s">
        <v>333</v>
      </c>
      <c r="B57" s="384">
        <v>45778</v>
      </c>
      <c r="C57" s="384">
        <v>46142</v>
      </c>
      <c r="D57" s="385" t="s">
        <v>12</v>
      </c>
      <c r="E57" s="385" t="s">
        <v>4</v>
      </c>
      <c r="F57" s="385" t="s">
        <v>324</v>
      </c>
      <c r="G57" s="203">
        <v>34.6</v>
      </c>
      <c r="H57" s="204">
        <v>436.6</v>
      </c>
      <c r="I57" s="385" t="str">
        <f>IF($A57="","",IF(OR($B57="",$C57="",$D57="",$E57="",$F57=""),"Stammdaten fehlen",IF(AND($G57="",$H57=""),"Werte fehlen",IF($G57="","Monatsstunden fehlen",IF($H57="","Monatslohn fehlt","OK")))))</f>
        <v>OK</v>
      </c>
      <c r="J57" s="406" t="str">
        <f>IF($G57="","",IF(COUNTIFS($A:$A,$A57,$D:$D,$D57,$G:$G,$G57)&gt;1,"Doppelte Monatsstunden",""))</f>
        <v/>
      </c>
    </row>
    <row r="58" spans="1:10" ht="24" customHeight="1" thickBot="1">
      <c r="A58" s="398" t="s">
        <v>333</v>
      </c>
      <c r="B58" s="384">
        <v>45778</v>
      </c>
      <c r="C58" s="384">
        <v>46142</v>
      </c>
      <c r="D58" s="385" t="s">
        <v>12</v>
      </c>
      <c r="E58" s="385" t="s">
        <v>4</v>
      </c>
      <c r="F58" s="385" t="s">
        <v>324</v>
      </c>
      <c r="G58" s="203">
        <v>32.01</v>
      </c>
      <c r="H58" s="204">
        <v>403.86</v>
      </c>
      <c r="I58" s="385" t="str">
        <f>IF($A58="","",IF(OR($B58="",$C58="",$D58="",$E58="",$F58=""),"Stammdaten fehlen",IF(AND($G58="",$H58=""),"Werte fehlen",IF($G58="","Monatsstunden fehlen",IF($H58="","Monatslohn fehlt","OK")))))</f>
        <v>OK</v>
      </c>
      <c r="J58" s="406" t="str">
        <f>IF($G58="","",IF(COUNTIFS($A:$A,$A58,$D:$D,$D58,$G:$G,$G58)&gt;1,"Doppelte Monatsstunden",""))</f>
        <v/>
      </c>
    </row>
    <row r="59" spans="1:10" ht="24" customHeight="1">
      <c r="A59" s="400" t="s">
        <v>333</v>
      </c>
      <c r="B59" s="388">
        <v>45778</v>
      </c>
      <c r="C59" s="388">
        <v>46142</v>
      </c>
      <c r="D59" s="389" t="s">
        <v>331</v>
      </c>
      <c r="E59" s="389" t="s">
        <v>13</v>
      </c>
      <c r="F59" s="389" t="s">
        <v>321</v>
      </c>
      <c r="G59" s="207">
        <v>173</v>
      </c>
      <c r="H59" s="208">
        <v>2160</v>
      </c>
      <c r="I59" s="389" t="str">
        <f>IF($A59="","",IF(OR($B59="",$C59="",$D59="",$E59="",$F59=""),"Stammdaten fehlen",IF(AND($G59="",$H59=""),"Werte fehlen",IF($G59="","Monatsstunden fehlen",IF($H59="","Monatslohn fehlt","OK")))))</f>
        <v>OK</v>
      </c>
      <c r="J59" s="408" t="str">
        <f>IF($G59="","",IF(COUNTIFS($A:$A,$A59,$D:$D,$D59,$G:$G,$G59)&gt;1,"Doppelte Monatsstunden",""))</f>
        <v/>
      </c>
    </row>
    <row r="60" spans="1:10" ht="24" customHeight="1">
      <c r="A60" s="401" t="s">
        <v>333</v>
      </c>
      <c r="B60" s="390">
        <v>45778</v>
      </c>
      <c r="C60" s="390">
        <v>46142</v>
      </c>
      <c r="D60" s="391" t="s">
        <v>331</v>
      </c>
      <c r="E60" s="391" t="s">
        <v>13</v>
      </c>
      <c r="F60" s="391" t="s">
        <v>321</v>
      </c>
      <c r="G60" s="209">
        <v>151.38</v>
      </c>
      <c r="H60" s="210">
        <v>1890</v>
      </c>
      <c r="I60" s="391" t="str">
        <f>IF($A60="","",IF(OR($B60="",$C60="",$D60="",$E60="",$F60=""),"Stammdaten fehlen",IF(AND($G60="",$H60=""),"Werte fehlen",IF($G60="","Monatsstunden fehlen",IF($H60="","Monatslohn fehlt","OK")))))</f>
        <v>OK</v>
      </c>
      <c r="J60" s="409" t="str">
        <f>IF($G60="","",IF(COUNTIFS($A:$A,$A60,$D:$D,$D60,$G:$G,$G60)&gt;1,"Doppelte Monatsstunden",""))</f>
        <v/>
      </c>
    </row>
    <row r="61" spans="1:10" ht="24" customHeight="1">
      <c r="A61" s="401" t="s">
        <v>333</v>
      </c>
      <c r="B61" s="390">
        <v>45778</v>
      </c>
      <c r="C61" s="390">
        <v>46142</v>
      </c>
      <c r="D61" s="391" t="s">
        <v>331</v>
      </c>
      <c r="E61" s="391" t="s">
        <v>13</v>
      </c>
      <c r="F61" s="391" t="s">
        <v>321</v>
      </c>
      <c r="G61" s="209">
        <v>138.4</v>
      </c>
      <c r="H61" s="210">
        <v>1728</v>
      </c>
      <c r="I61" s="391" t="str">
        <f>IF($A61="","",IF(OR($B61="",$C61="",$D61="",$E61="",$F61=""),"Stammdaten fehlen",IF(AND($G61="",$H61=""),"Werte fehlen",IF($G61="","Monatsstunden fehlen",IF($H61="","Monatslohn fehlt","OK")))))</f>
        <v>OK</v>
      </c>
      <c r="J61" s="409" t="str">
        <f>IF($G61="","",IF(COUNTIFS($A:$A,$A61,$D:$D,$D61,$G:$G,$G61)&gt;1,"Doppelte Monatsstunden",""))</f>
        <v/>
      </c>
    </row>
    <row r="62" spans="1:10" ht="24" customHeight="1">
      <c r="A62" s="401" t="s">
        <v>333</v>
      </c>
      <c r="B62" s="390">
        <v>45778</v>
      </c>
      <c r="C62" s="390">
        <v>46142</v>
      </c>
      <c r="D62" s="391" t="s">
        <v>331</v>
      </c>
      <c r="E62" s="391" t="s">
        <v>13</v>
      </c>
      <c r="F62" s="391" t="s">
        <v>321</v>
      </c>
      <c r="G62" s="209">
        <v>129.75</v>
      </c>
      <c r="H62" s="210">
        <v>1620</v>
      </c>
      <c r="I62" s="391" t="str">
        <f>IF($A62="","",IF(OR($B62="",$C62="",$D62="",$E62="",$F62=""),"Stammdaten fehlen",IF(AND($G62="",$H62=""),"Werte fehlen",IF($G62="","Monatsstunden fehlen",IF($H62="","Monatslohn fehlt","OK")))))</f>
        <v>OK</v>
      </c>
      <c r="J62" s="409" t="str">
        <f>IF($G62="","",IF(COUNTIFS($A:$A,$A62,$D:$D,$D62,$G:$G,$G62)&gt;1,"Doppelte Monatsstunden",""))</f>
        <v/>
      </c>
    </row>
    <row r="63" spans="1:10" ht="24" customHeight="1">
      <c r="A63" s="401" t="s">
        <v>333</v>
      </c>
      <c r="B63" s="390">
        <v>45778</v>
      </c>
      <c r="C63" s="390">
        <v>46142</v>
      </c>
      <c r="D63" s="391" t="s">
        <v>331</v>
      </c>
      <c r="E63" s="391" t="s">
        <v>13</v>
      </c>
      <c r="F63" s="391" t="s">
        <v>321</v>
      </c>
      <c r="G63" s="209">
        <v>108.13</v>
      </c>
      <c r="H63" s="210">
        <v>1350</v>
      </c>
      <c r="I63" s="391" t="str">
        <f>IF($A63="","",IF(OR($B63="",$C63="",$D63="",$E63="",$F63=""),"Stammdaten fehlen",IF(AND($G63="",$H63=""),"Werte fehlen",IF($G63="","Monatsstunden fehlen",IF($H63="","Monatslohn fehlt","OK")))))</f>
        <v>OK</v>
      </c>
      <c r="J63" s="409" t="str">
        <f>IF($G63="","",IF(COUNTIFS($A:$A,$A63,$D:$D,$D63,$G:$G,$G63)&gt;1,"Doppelte Monatsstunden",""))</f>
        <v/>
      </c>
    </row>
    <row r="64" spans="1:10" ht="24" customHeight="1">
      <c r="A64" s="401" t="s">
        <v>333</v>
      </c>
      <c r="B64" s="390">
        <v>45778</v>
      </c>
      <c r="C64" s="390">
        <v>46142</v>
      </c>
      <c r="D64" s="391" t="s">
        <v>331</v>
      </c>
      <c r="E64" s="391" t="s">
        <v>13</v>
      </c>
      <c r="F64" s="391" t="s">
        <v>321</v>
      </c>
      <c r="G64" s="209">
        <v>103.8</v>
      </c>
      <c r="H64" s="210">
        <v>1296</v>
      </c>
      <c r="I64" s="391" t="str">
        <f>IF($A64="","",IF(OR($B64="",$C64="",$D64="",$E64="",$F64=""),"Stammdaten fehlen",IF(AND($G64="",$H64=""),"Werte fehlen",IF($G64="","Monatsstunden fehlen",IF($H64="","Monatslohn fehlt","OK")))))</f>
        <v>OK</v>
      </c>
      <c r="J64" s="409" t="str">
        <f>IF($G64="","",IF(COUNTIFS($A:$A,$A64,$D:$D,$D64,$G:$G,$G64)&gt;1,"Doppelte Monatsstunden",""))</f>
        <v/>
      </c>
    </row>
    <row r="65" spans="1:10" ht="24" customHeight="1">
      <c r="A65" s="401" t="s">
        <v>333</v>
      </c>
      <c r="B65" s="390">
        <v>45778</v>
      </c>
      <c r="C65" s="390">
        <v>46142</v>
      </c>
      <c r="D65" s="391" t="s">
        <v>331</v>
      </c>
      <c r="E65" s="391" t="s">
        <v>13</v>
      </c>
      <c r="F65" s="391" t="s">
        <v>321</v>
      </c>
      <c r="G65" s="209">
        <v>86.5</v>
      </c>
      <c r="H65" s="210">
        <v>1080</v>
      </c>
      <c r="I65" s="391" t="str">
        <f>IF($A65="","",IF(OR($B65="",$C65="",$D65="",$E65="",$F65=""),"Stammdaten fehlen",IF(AND($G65="",$H65=""),"Werte fehlen",IF($G65="","Monatsstunden fehlen",IF($H65="","Monatslohn fehlt","OK")))))</f>
        <v>OK</v>
      </c>
      <c r="J65" s="409" t="str">
        <f>IF($G65="","",IF(COUNTIFS($A:$A,$A65,$D:$D,$D65,$G:$G,$G65)&gt;1,"Doppelte Monatsstunden",""))</f>
        <v/>
      </c>
    </row>
    <row r="66" spans="1:10" ht="24" customHeight="1">
      <c r="A66" s="401" t="s">
        <v>333</v>
      </c>
      <c r="B66" s="390">
        <v>45778</v>
      </c>
      <c r="C66" s="390">
        <v>46142</v>
      </c>
      <c r="D66" s="391" t="s">
        <v>331</v>
      </c>
      <c r="E66" s="391" t="s">
        <v>13</v>
      </c>
      <c r="F66" s="391" t="s">
        <v>321</v>
      </c>
      <c r="G66" s="209">
        <v>69.2</v>
      </c>
      <c r="H66" s="210">
        <v>864</v>
      </c>
      <c r="I66" s="391" t="str">
        <f>IF($A66="","",IF(OR($B66="",$C66="",$D66="",$E66="",$F66=""),"Stammdaten fehlen",IF(AND($G66="",$H66=""),"Werte fehlen",IF($G66="","Monatsstunden fehlen",IF($H66="","Monatslohn fehlt","OK")))))</f>
        <v>OK</v>
      </c>
      <c r="J66" s="409" t="str">
        <f>IF($G66="","",IF(COUNTIFS($A:$A,$A66,$D:$D,$D66,$G:$G,$G66)&gt;1,"Doppelte Monatsstunden",""))</f>
        <v/>
      </c>
    </row>
    <row r="67" spans="1:10" ht="24" customHeight="1">
      <c r="A67" s="401" t="s">
        <v>333</v>
      </c>
      <c r="B67" s="390">
        <v>45778</v>
      </c>
      <c r="C67" s="390">
        <v>46142</v>
      </c>
      <c r="D67" s="391" t="s">
        <v>331</v>
      </c>
      <c r="E67" s="391" t="s">
        <v>13</v>
      </c>
      <c r="F67" s="391" t="s">
        <v>321</v>
      </c>
      <c r="G67" s="209">
        <v>51.9</v>
      </c>
      <c r="H67" s="210">
        <v>648</v>
      </c>
      <c r="I67" s="391" t="str">
        <f>IF($A67="","",IF(OR($B67="",$C67="",$D67="",$E67="",$F67=""),"Stammdaten fehlen",IF(AND($G67="",$H67=""),"Werte fehlen",IF($G67="","Monatsstunden fehlen",IF($H67="","Monatslohn fehlt","OK")))))</f>
        <v>OK</v>
      </c>
      <c r="J67" s="409" t="str">
        <f>IF($G67="","",IF(COUNTIFS($A:$A,$A67,$D:$D,$D67,$G:$G,$G67)&gt;1,"Doppelte Monatsstunden",""))</f>
        <v/>
      </c>
    </row>
    <row r="68" spans="1:10" ht="24" customHeight="1">
      <c r="A68" s="401" t="s">
        <v>333</v>
      </c>
      <c r="B68" s="390">
        <v>45778</v>
      </c>
      <c r="C68" s="390">
        <v>46142</v>
      </c>
      <c r="D68" s="391" t="s">
        <v>331</v>
      </c>
      <c r="E68" s="391" t="s">
        <v>13</v>
      </c>
      <c r="F68" s="391" t="s">
        <v>321</v>
      </c>
      <c r="G68" s="209">
        <v>47.58</v>
      </c>
      <c r="H68" s="210">
        <v>594</v>
      </c>
      <c r="I68" s="391" t="str">
        <f>IF($A68="","",IF(OR($B68="",$C68="",$D68="",$E68="",$F68=""),"Stammdaten fehlen",IF(AND($G68="",$H68=""),"Werte fehlen",IF($G68="","Monatsstunden fehlen",IF($H68="","Monatslohn fehlt","OK")))))</f>
        <v>OK</v>
      </c>
      <c r="J68" s="409" t="str">
        <f>IF($G68="","",IF(COUNTIFS($A:$A,$A68,$D:$D,$D68,$G:$G,$G68)&gt;1,"Doppelte Monatsstunden",""))</f>
        <v/>
      </c>
    </row>
    <row r="69" spans="1:10" ht="24" customHeight="1">
      <c r="A69" s="401" t="s">
        <v>333</v>
      </c>
      <c r="B69" s="390">
        <v>45778</v>
      </c>
      <c r="C69" s="390">
        <v>46142</v>
      </c>
      <c r="D69" s="391" t="s">
        <v>331</v>
      </c>
      <c r="E69" s="391" t="s">
        <v>13</v>
      </c>
      <c r="F69" s="391" t="s">
        <v>321</v>
      </c>
      <c r="G69" s="209">
        <v>43.25</v>
      </c>
      <c r="H69" s="210">
        <v>540</v>
      </c>
      <c r="I69" s="391" t="str">
        <f>IF($A69="","",IF(OR($B69="",$C69="",$D69="",$E69="",$F69=""),"Stammdaten fehlen",IF(AND($G69="",$H69=""),"Werte fehlen",IF($G69="","Monatsstunden fehlen",IF($H69="","Monatslohn fehlt","OK")))))</f>
        <v>OK</v>
      </c>
      <c r="J69" s="409" t="str">
        <f>IF($G69="","",IF(COUNTIFS($A:$A,$A69,$D:$D,$D69,$G:$G,$G69)&gt;1,"Doppelte Monatsstunden",""))</f>
        <v/>
      </c>
    </row>
    <row r="70" spans="1:10" ht="24" customHeight="1">
      <c r="A70" s="401" t="s">
        <v>333</v>
      </c>
      <c r="B70" s="390">
        <v>45778</v>
      </c>
      <c r="C70" s="390">
        <v>46142</v>
      </c>
      <c r="D70" s="391" t="s">
        <v>331</v>
      </c>
      <c r="E70" s="391" t="s">
        <v>13</v>
      </c>
      <c r="F70" s="391" t="s">
        <v>321</v>
      </c>
      <c r="G70" s="209">
        <v>34.6</v>
      </c>
      <c r="H70" s="210">
        <v>432</v>
      </c>
      <c r="I70" s="391" t="str">
        <f>IF($A70="","",IF(OR($B70="",$C70="",$D70="",$E70="",$F70=""),"Stammdaten fehlen",IF(AND($G70="",$H70=""),"Werte fehlen",IF($G70="","Monatsstunden fehlen",IF($H70="","Monatslohn fehlt","OK")))))</f>
        <v>OK</v>
      </c>
      <c r="J70" s="409" t="str">
        <f>IF($G70="","",IF(COUNTIFS($A:$A,$A70,$D:$D,$D70,$G:$G,$G70)&gt;1,"Doppelte Monatsstunden",""))</f>
        <v/>
      </c>
    </row>
    <row r="71" spans="1:10" ht="24" customHeight="1" thickBot="1">
      <c r="A71" s="401" t="s">
        <v>333</v>
      </c>
      <c r="B71" s="390">
        <v>45778</v>
      </c>
      <c r="C71" s="390">
        <v>46142</v>
      </c>
      <c r="D71" s="391" t="s">
        <v>331</v>
      </c>
      <c r="E71" s="391" t="s">
        <v>13</v>
      </c>
      <c r="F71" s="391" t="s">
        <v>321</v>
      </c>
      <c r="G71" s="209">
        <v>32.01</v>
      </c>
      <c r="H71" s="210">
        <v>399.6</v>
      </c>
      <c r="I71" s="391" t="str">
        <f>IF($A71="","",IF(OR($B71="",$C71="",$D71="",$E71="",$F71=""),"Stammdaten fehlen",IF(AND($G71="",$H71=""),"Werte fehlen",IF($G71="","Monatsstunden fehlen",IF($H71="","Monatslohn fehlt","OK")))))</f>
        <v>OK</v>
      </c>
      <c r="J71" s="409" t="str">
        <f>IF($G71="","",IF(COUNTIFS($A:$A,$A71,$D:$D,$D71,$G:$G,$G71)&gt;1,"Doppelte Monatsstunden",""))</f>
        <v/>
      </c>
    </row>
    <row r="72" spans="1:10" ht="24" customHeight="1">
      <c r="A72" s="400" t="s">
        <v>333</v>
      </c>
      <c r="B72" s="388">
        <v>45778</v>
      </c>
      <c r="C72" s="388">
        <v>46142</v>
      </c>
      <c r="D72" s="389" t="s">
        <v>15</v>
      </c>
      <c r="E72" s="389" t="s">
        <v>13</v>
      </c>
      <c r="F72" s="389" t="s">
        <v>322</v>
      </c>
      <c r="G72" s="207">
        <v>173</v>
      </c>
      <c r="H72" s="208">
        <v>2160</v>
      </c>
      <c r="I72" s="389" t="str">
        <f>IF($A72="","",IF(OR($B72="",$C72="",$D72="",$E72="",$F72=""),"Stammdaten fehlen",IF(AND($G72="",$H72=""),"Werte fehlen",IF($G72="","Monatsstunden fehlen",IF($H72="","Monatslohn fehlt","OK")))))</f>
        <v>OK</v>
      </c>
      <c r="J72" s="408" t="str">
        <f>IF($G72="","",IF(COUNTIFS($A:$A,$A72,$D:$D,$D72,$G:$G,$G72)&gt;1,"Doppelte Monatsstunden",""))</f>
        <v/>
      </c>
    </row>
    <row r="73" spans="1:10" ht="24" customHeight="1">
      <c r="A73" s="401" t="s">
        <v>333</v>
      </c>
      <c r="B73" s="390">
        <v>45778</v>
      </c>
      <c r="C73" s="390">
        <v>46142</v>
      </c>
      <c r="D73" s="391" t="s">
        <v>15</v>
      </c>
      <c r="E73" s="391" t="s">
        <v>13</v>
      </c>
      <c r="F73" s="391" t="s">
        <v>322</v>
      </c>
      <c r="G73" s="209">
        <v>151.38</v>
      </c>
      <c r="H73" s="210">
        <v>1890</v>
      </c>
      <c r="I73" s="391" t="str">
        <f>IF($A73="","",IF(OR($B73="",$C73="",$D73="",$E73="",$F73=""),"Stammdaten fehlen",IF(AND($G73="",$H73=""),"Werte fehlen",IF($G73="","Monatsstunden fehlen",IF($H73="","Monatslohn fehlt","OK")))))</f>
        <v>OK</v>
      </c>
      <c r="J73" s="409" t="str">
        <f>IF($G73="","",IF(COUNTIFS($A:$A,$A73,$D:$D,$D73,$G:$G,$G73)&gt;1,"Doppelte Monatsstunden",""))</f>
        <v/>
      </c>
    </row>
    <row r="74" spans="1:10" ht="24" customHeight="1">
      <c r="A74" s="401" t="s">
        <v>333</v>
      </c>
      <c r="B74" s="390">
        <v>45778</v>
      </c>
      <c r="C74" s="390">
        <v>46142</v>
      </c>
      <c r="D74" s="391" t="s">
        <v>15</v>
      </c>
      <c r="E74" s="391" t="s">
        <v>13</v>
      </c>
      <c r="F74" s="391" t="s">
        <v>322</v>
      </c>
      <c r="G74" s="209">
        <v>138.4</v>
      </c>
      <c r="H74" s="210">
        <v>1728</v>
      </c>
      <c r="I74" s="391" t="str">
        <f>IF($A74="","",IF(OR($B74="",$C74="",$D74="",$E74="",$F74=""),"Stammdaten fehlen",IF(AND($G74="",$H74=""),"Werte fehlen",IF($G74="","Monatsstunden fehlen",IF($H74="","Monatslohn fehlt","OK")))))</f>
        <v>OK</v>
      </c>
      <c r="J74" s="409" t="str">
        <f>IF($G74="","",IF(COUNTIFS($A:$A,$A74,$D:$D,$D74,$G:$G,$G74)&gt;1,"Doppelte Monatsstunden",""))</f>
        <v/>
      </c>
    </row>
    <row r="75" spans="1:10" ht="24" customHeight="1">
      <c r="A75" s="401" t="s">
        <v>333</v>
      </c>
      <c r="B75" s="390">
        <v>45778</v>
      </c>
      <c r="C75" s="390">
        <v>46142</v>
      </c>
      <c r="D75" s="391" t="s">
        <v>15</v>
      </c>
      <c r="E75" s="391" t="s">
        <v>13</v>
      </c>
      <c r="F75" s="391" t="s">
        <v>322</v>
      </c>
      <c r="G75" s="209">
        <v>129.75</v>
      </c>
      <c r="H75" s="210">
        <v>1620</v>
      </c>
      <c r="I75" s="391" t="str">
        <f>IF($A75="","",IF(OR($B75="",$C75="",$D75="",$E75="",$F75=""),"Stammdaten fehlen",IF(AND($G75="",$H75=""),"Werte fehlen",IF($G75="","Monatsstunden fehlen",IF($H75="","Monatslohn fehlt","OK")))))</f>
        <v>OK</v>
      </c>
      <c r="J75" s="409" t="str">
        <f>IF($G75="","",IF(COUNTIFS($A:$A,$A75,$D:$D,$D75,$G:$G,$G75)&gt;1,"Doppelte Monatsstunden",""))</f>
        <v/>
      </c>
    </row>
    <row r="76" spans="1:10" ht="24" customHeight="1">
      <c r="A76" s="401" t="s">
        <v>333</v>
      </c>
      <c r="B76" s="390">
        <v>45778</v>
      </c>
      <c r="C76" s="390">
        <v>46142</v>
      </c>
      <c r="D76" s="391" t="s">
        <v>15</v>
      </c>
      <c r="E76" s="391" t="s">
        <v>13</v>
      </c>
      <c r="F76" s="391" t="s">
        <v>322</v>
      </c>
      <c r="G76" s="209">
        <v>108.13</v>
      </c>
      <c r="H76" s="210">
        <v>1350</v>
      </c>
      <c r="I76" s="391" t="str">
        <f>IF($A76="","",IF(OR($B76="",$C76="",$D76="",$E76="",$F76=""),"Stammdaten fehlen",IF(AND($G76="",$H76=""),"Werte fehlen",IF($G76="","Monatsstunden fehlen",IF($H76="","Monatslohn fehlt","OK")))))</f>
        <v>OK</v>
      </c>
      <c r="J76" s="409" t="str">
        <f>IF($G76="","",IF(COUNTIFS($A:$A,$A76,$D:$D,$D76,$G:$G,$G76)&gt;1,"Doppelte Monatsstunden",""))</f>
        <v/>
      </c>
    </row>
    <row r="77" spans="1:10" ht="24" customHeight="1">
      <c r="A77" s="401" t="s">
        <v>333</v>
      </c>
      <c r="B77" s="390">
        <v>45778</v>
      </c>
      <c r="C77" s="390">
        <v>46142</v>
      </c>
      <c r="D77" s="391" t="s">
        <v>15</v>
      </c>
      <c r="E77" s="391" t="s">
        <v>13</v>
      </c>
      <c r="F77" s="391" t="s">
        <v>322</v>
      </c>
      <c r="G77" s="209">
        <v>103.8</v>
      </c>
      <c r="H77" s="210">
        <v>1296</v>
      </c>
      <c r="I77" s="391" t="str">
        <f>IF($A77="","",IF(OR($B77="",$C77="",$D77="",$E77="",$F77=""),"Stammdaten fehlen",IF(AND($G77="",$H77=""),"Werte fehlen",IF($G77="","Monatsstunden fehlen",IF($H77="","Monatslohn fehlt","OK")))))</f>
        <v>OK</v>
      </c>
      <c r="J77" s="409" t="str">
        <f>IF($G77="","",IF(COUNTIFS($A:$A,$A77,$D:$D,$D77,$G:$G,$G77)&gt;1,"Doppelte Monatsstunden",""))</f>
        <v/>
      </c>
    </row>
    <row r="78" spans="1:10" ht="24" customHeight="1">
      <c r="A78" s="401" t="s">
        <v>333</v>
      </c>
      <c r="B78" s="390">
        <v>45778</v>
      </c>
      <c r="C78" s="390">
        <v>46142</v>
      </c>
      <c r="D78" s="391" t="s">
        <v>15</v>
      </c>
      <c r="E78" s="391" t="s">
        <v>13</v>
      </c>
      <c r="F78" s="391" t="s">
        <v>322</v>
      </c>
      <c r="G78" s="209">
        <v>86.5</v>
      </c>
      <c r="H78" s="210">
        <v>1080</v>
      </c>
      <c r="I78" s="391" t="str">
        <f>IF($A78="","",IF(OR($B78="",$C78="",$D78="",$E78="",$F78=""),"Stammdaten fehlen",IF(AND($G78="",$H78=""),"Werte fehlen",IF($G78="","Monatsstunden fehlen",IF($H78="","Monatslohn fehlt","OK")))))</f>
        <v>OK</v>
      </c>
      <c r="J78" s="409" t="str">
        <f>IF($G78="","",IF(COUNTIFS($A:$A,$A78,$D:$D,$D78,$G:$G,$G78)&gt;1,"Doppelte Monatsstunden",""))</f>
        <v/>
      </c>
    </row>
    <row r="79" spans="1:10" ht="24" customHeight="1">
      <c r="A79" s="401" t="s">
        <v>333</v>
      </c>
      <c r="B79" s="390">
        <v>45778</v>
      </c>
      <c r="C79" s="390">
        <v>46142</v>
      </c>
      <c r="D79" s="391" t="s">
        <v>15</v>
      </c>
      <c r="E79" s="391" t="s">
        <v>13</v>
      </c>
      <c r="F79" s="391" t="s">
        <v>322</v>
      </c>
      <c r="G79" s="209">
        <v>69.2</v>
      </c>
      <c r="H79" s="210">
        <v>864</v>
      </c>
      <c r="I79" s="391" t="str">
        <f>IF($A79="","",IF(OR($B79="",$C79="",$D79="",$E79="",$F79=""),"Stammdaten fehlen",IF(AND($G79="",$H79=""),"Werte fehlen",IF($G79="","Monatsstunden fehlen",IF($H79="","Monatslohn fehlt","OK")))))</f>
        <v>OK</v>
      </c>
      <c r="J79" s="409" t="str">
        <f>IF($G79="","",IF(COUNTIFS($A:$A,$A79,$D:$D,$D79,$G:$G,$G79)&gt;1,"Doppelte Monatsstunden",""))</f>
        <v/>
      </c>
    </row>
    <row r="80" spans="1:10" ht="24" customHeight="1">
      <c r="A80" s="401" t="s">
        <v>333</v>
      </c>
      <c r="B80" s="390">
        <v>45778</v>
      </c>
      <c r="C80" s="390">
        <v>46142</v>
      </c>
      <c r="D80" s="391" t="s">
        <v>15</v>
      </c>
      <c r="E80" s="391" t="s">
        <v>13</v>
      </c>
      <c r="F80" s="391" t="s">
        <v>322</v>
      </c>
      <c r="G80" s="209">
        <v>51.9</v>
      </c>
      <c r="H80" s="210">
        <v>648</v>
      </c>
      <c r="I80" s="391" t="str">
        <f>IF($A80="","",IF(OR($B80="",$C80="",$D80="",$E80="",$F80=""),"Stammdaten fehlen",IF(AND($G80="",$H80=""),"Werte fehlen",IF($G80="","Monatsstunden fehlen",IF($H80="","Monatslohn fehlt","OK")))))</f>
        <v>OK</v>
      </c>
      <c r="J80" s="409" t="str">
        <f>IF($G80="","",IF(COUNTIFS($A:$A,$A80,$D:$D,$D80,$G:$G,$G80)&gt;1,"Doppelte Monatsstunden",""))</f>
        <v/>
      </c>
    </row>
    <row r="81" spans="1:10" ht="24" customHeight="1">
      <c r="A81" s="401" t="s">
        <v>333</v>
      </c>
      <c r="B81" s="390">
        <v>45778</v>
      </c>
      <c r="C81" s="390">
        <v>46142</v>
      </c>
      <c r="D81" s="391" t="s">
        <v>15</v>
      </c>
      <c r="E81" s="391" t="s">
        <v>13</v>
      </c>
      <c r="F81" s="391" t="s">
        <v>322</v>
      </c>
      <c r="G81" s="209">
        <v>47.58</v>
      </c>
      <c r="H81" s="210">
        <v>594</v>
      </c>
      <c r="I81" s="391" t="str">
        <f>IF($A81="","",IF(OR($B81="",$C81="",$D81="",$E81="",$F81=""),"Stammdaten fehlen",IF(AND($G81="",$H81=""),"Werte fehlen",IF($G81="","Monatsstunden fehlen",IF($H81="","Monatslohn fehlt","OK")))))</f>
        <v>OK</v>
      </c>
      <c r="J81" s="409" t="str">
        <f>IF($G81="","",IF(COUNTIFS($A:$A,$A81,$D:$D,$D81,$G:$G,$G81)&gt;1,"Doppelte Monatsstunden",""))</f>
        <v/>
      </c>
    </row>
    <row r="82" spans="1:10" ht="24" customHeight="1">
      <c r="A82" s="401" t="s">
        <v>333</v>
      </c>
      <c r="B82" s="390">
        <v>45778</v>
      </c>
      <c r="C82" s="390">
        <v>46142</v>
      </c>
      <c r="D82" s="391" t="s">
        <v>15</v>
      </c>
      <c r="E82" s="391" t="s">
        <v>13</v>
      </c>
      <c r="F82" s="391" t="s">
        <v>322</v>
      </c>
      <c r="G82" s="209">
        <v>43.25</v>
      </c>
      <c r="H82" s="210">
        <v>540</v>
      </c>
      <c r="I82" s="391" t="str">
        <f>IF($A82="","",IF(OR($B82="",$C82="",$D82="",$E82="",$F82=""),"Stammdaten fehlen",IF(AND($G82="",$H82=""),"Werte fehlen",IF($G82="","Monatsstunden fehlen",IF($H82="","Monatslohn fehlt","OK")))))</f>
        <v>OK</v>
      </c>
      <c r="J82" s="409" t="str">
        <f>IF($G82="","",IF(COUNTIFS($A:$A,$A82,$D:$D,$D82,$G:$G,$G82)&gt;1,"Doppelte Monatsstunden",""))</f>
        <v/>
      </c>
    </row>
    <row r="83" spans="1:10" ht="24" customHeight="1">
      <c r="A83" s="401" t="s">
        <v>333</v>
      </c>
      <c r="B83" s="390">
        <v>45778</v>
      </c>
      <c r="C83" s="390">
        <v>46142</v>
      </c>
      <c r="D83" s="391" t="s">
        <v>15</v>
      </c>
      <c r="E83" s="391" t="s">
        <v>13</v>
      </c>
      <c r="F83" s="391" t="s">
        <v>322</v>
      </c>
      <c r="G83" s="209">
        <v>34.6</v>
      </c>
      <c r="H83" s="210">
        <v>432</v>
      </c>
      <c r="I83" s="391" t="str">
        <f>IF($A83="","",IF(OR($B83="",$C83="",$D83="",$E83="",$F83=""),"Stammdaten fehlen",IF(AND($G83="",$H83=""),"Werte fehlen",IF($G83="","Monatsstunden fehlen",IF($H83="","Monatslohn fehlt","OK")))))</f>
        <v>OK</v>
      </c>
      <c r="J83" s="409" t="str">
        <f>IF($G83="","",IF(COUNTIFS($A:$A,$A83,$D:$D,$D83,$G:$G,$G83)&gt;1,"Doppelte Monatsstunden",""))</f>
        <v/>
      </c>
    </row>
    <row r="84" spans="1:10" ht="24" customHeight="1" thickBot="1">
      <c r="A84" s="401" t="s">
        <v>333</v>
      </c>
      <c r="B84" s="390">
        <v>45778</v>
      </c>
      <c r="C84" s="390">
        <v>46142</v>
      </c>
      <c r="D84" s="391" t="s">
        <v>15</v>
      </c>
      <c r="E84" s="391" t="s">
        <v>13</v>
      </c>
      <c r="F84" s="391" t="s">
        <v>322</v>
      </c>
      <c r="G84" s="209">
        <v>32.01</v>
      </c>
      <c r="H84" s="210">
        <v>399.6</v>
      </c>
      <c r="I84" s="391" t="str">
        <f>IF($A84="","",IF(OR($B84="",$C84="",$D84="",$E84="",$F84=""),"Stammdaten fehlen",IF(AND($G84="",$H84=""),"Werte fehlen",IF($G84="","Monatsstunden fehlen",IF($H84="","Monatslohn fehlt","OK")))))</f>
        <v>OK</v>
      </c>
      <c r="J84" s="409" t="str">
        <f>IF($G84="","",IF(COUNTIFS($A:$A,$A84,$D:$D,$D84,$G:$G,$G84)&gt;1,"Doppelte Monatsstunden",""))</f>
        <v/>
      </c>
    </row>
    <row r="85" spans="1:10" ht="24" customHeight="1">
      <c r="A85" s="400" t="s">
        <v>333</v>
      </c>
      <c r="B85" s="388">
        <v>45778</v>
      </c>
      <c r="C85" s="388">
        <v>46142</v>
      </c>
      <c r="D85" s="389" t="s">
        <v>17</v>
      </c>
      <c r="E85" s="389" t="s">
        <v>13</v>
      </c>
      <c r="F85" s="389" t="s">
        <v>323</v>
      </c>
      <c r="G85" s="207">
        <v>173</v>
      </c>
      <c r="H85" s="208">
        <v>2163</v>
      </c>
      <c r="I85" s="389" t="str">
        <f>IF($A85="","",IF(OR($B85="",$C85="",$D85="",$E85="",$F85=""),"Stammdaten fehlen",IF(AND($G85="",$H85=""),"Werte fehlen",IF($G85="","Monatsstunden fehlen",IF($H85="","Monatslohn fehlt","OK")))))</f>
        <v>OK</v>
      </c>
      <c r="J85" s="408" t="str">
        <f>IF($G85="","",IF(COUNTIFS($A:$A,$A85,$D:$D,$D85,$G:$G,$G85)&gt;1,"Doppelte Monatsstunden",""))</f>
        <v/>
      </c>
    </row>
    <row r="86" spans="1:10" ht="24" customHeight="1">
      <c r="A86" s="401" t="s">
        <v>333</v>
      </c>
      <c r="B86" s="390">
        <v>45778</v>
      </c>
      <c r="C86" s="390">
        <v>46142</v>
      </c>
      <c r="D86" s="391" t="s">
        <v>17</v>
      </c>
      <c r="E86" s="391" t="s">
        <v>13</v>
      </c>
      <c r="F86" s="391" t="s">
        <v>323</v>
      </c>
      <c r="G86" s="209">
        <v>151.38</v>
      </c>
      <c r="H86" s="210">
        <v>1892.63</v>
      </c>
      <c r="I86" s="391" t="str">
        <f>IF($A86="","",IF(OR($B86="",$C86="",$D86="",$E86="",$F86=""),"Stammdaten fehlen",IF(AND($G86="",$H86=""),"Werte fehlen",IF($G86="","Monatsstunden fehlen",IF($H86="","Monatslohn fehlt","OK")))))</f>
        <v>OK</v>
      </c>
      <c r="J86" s="409" t="str">
        <f>IF($G86="","",IF(COUNTIFS($A:$A,$A86,$D:$D,$D86,$G:$G,$G86)&gt;1,"Doppelte Monatsstunden",""))</f>
        <v/>
      </c>
    </row>
    <row r="87" spans="1:10" ht="24" customHeight="1">
      <c r="A87" s="401" t="s">
        <v>333</v>
      </c>
      <c r="B87" s="390">
        <v>45778</v>
      </c>
      <c r="C87" s="390">
        <v>46142</v>
      </c>
      <c r="D87" s="391" t="s">
        <v>17</v>
      </c>
      <c r="E87" s="391" t="s">
        <v>13</v>
      </c>
      <c r="F87" s="391" t="s">
        <v>323</v>
      </c>
      <c r="G87" s="209">
        <v>138.4</v>
      </c>
      <c r="H87" s="210">
        <v>1730.4</v>
      </c>
      <c r="I87" s="391" t="str">
        <f>IF($A87="","",IF(OR($B87="",$C87="",$D87="",$E87="",$F87=""),"Stammdaten fehlen",IF(AND($G87="",$H87=""),"Werte fehlen",IF($G87="","Monatsstunden fehlen",IF($H87="","Monatslohn fehlt","OK")))))</f>
        <v>OK</v>
      </c>
      <c r="J87" s="409" t="str">
        <f>IF($G87="","",IF(COUNTIFS($A:$A,$A87,$D:$D,$D87,$G:$G,$G87)&gt;1,"Doppelte Monatsstunden",""))</f>
        <v/>
      </c>
    </row>
    <row r="88" spans="1:10" ht="24" customHeight="1">
      <c r="A88" s="401" t="s">
        <v>333</v>
      </c>
      <c r="B88" s="390">
        <v>45778</v>
      </c>
      <c r="C88" s="390">
        <v>46142</v>
      </c>
      <c r="D88" s="391" t="s">
        <v>17</v>
      </c>
      <c r="E88" s="391" t="s">
        <v>13</v>
      </c>
      <c r="F88" s="391" t="s">
        <v>323</v>
      </c>
      <c r="G88" s="209">
        <v>129.75</v>
      </c>
      <c r="H88" s="210">
        <v>1622.25</v>
      </c>
      <c r="I88" s="391" t="str">
        <f>IF($A88="","",IF(OR($B88="",$C88="",$D88="",$E88="",$F88=""),"Stammdaten fehlen",IF(AND($G88="",$H88=""),"Werte fehlen",IF($G88="","Monatsstunden fehlen",IF($H88="","Monatslohn fehlt","OK")))))</f>
        <v>OK</v>
      </c>
      <c r="J88" s="409" t="str">
        <f>IF($G88="","",IF(COUNTIFS($A:$A,$A88,$D:$D,$D88,$G:$G,$G88)&gt;1,"Doppelte Monatsstunden",""))</f>
        <v/>
      </c>
    </row>
    <row r="89" spans="1:10" ht="24" customHeight="1">
      <c r="A89" s="401" t="s">
        <v>333</v>
      </c>
      <c r="B89" s="390">
        <v>45778</v>
      </c>
      <c r="C89" s="390">
        <v>46142</v>
      </c>
      <c r="D89" s="391" t="s">
        <v>17</v>
      </c>
      <c r="E89" s="391" t="s">
        <v>13</v>
      </c>
      <c r="F89" s="391" t="s">
        <v>323</v>
      </c>
      <c r="G89" s="209">
        <v>108.13</v>
      </c>
      <c r="H89" s="210">
        <v>1351.88</v>
      </c>
      <c r="I89" s="391" t="str">
        <f>IF($A89="","",IF(OR($B89="",$C89="",$D89="",$E89="",$F89=""),"Stammdaten fehlen",IF(AND($G89="",$H89=""),"Werte fehlen",IF($G89="","Monatsstunden fehlen",IF($H89="","Monatslohn fehlt","OK")))))</f>
        <v>OK</v>
      </c>
      <c r="J89" s="409" t="str">
        <f>IF($G89="","",IF(COUNTIFS($A:$A,$A89,$D:$D,$D89,$G:$G,$G89)&gt;1,"Doppelte Monatsstunden",""))</f>
        <v/>
      </c>
    </row>
    <row r="90" spans="1:10" ht="24" customHeight="1">
      <c r="A90" s="401" t="s">
        <v>333</v>
      </c>
      <c r="B90" s="390">
        <v>45778</v>
      </c>
      <c r="C90" s="390">
        <v>46142</v>
      </c>
      <c r="D90" s="391" t="s">
        <v>17</v>
      </c>
      <c r="E90" s="391" t="s">
        <v>13</v>
      </c>
      <c r="F90" s="391" t="s">
        <v>323</v>
      </c>
      <c r="G90" s="209">
        <v>103.8</v>
      </c>
      <c r="H90" s="210">
        <v>1297.8</v>
      </c>
      <c r="I90" s="391" t="str">
        <f>IF($A90="","",IF(OR($B90="",$C90="",$D90="",$E90="",$F90=""),"Stammdaten fehlen",IF(AND($G90="",$H90=""),"Werte fehlen",IF($G90="","Monatsstunden fehlen",IF($H90="","Monatslohn fehlt","OK")))))</f>
        <v>OK</v>
      </c>
      <c r="J90" s="409" t="str">
        <f>IF($G90="","",IF(COUNTIFS($A:$A,$A90,$D:$D,$D90,$G:$G,$G90)&gt;1,"Doppelte Monatsstunden",""))</f>
        <v/>
      </c>
    </row>
    <row r="91" spans="1:10" ht="24" customHeight="1">
      <c r="A91" s="401" t="s">
        <v>333</v>
      </c>
      <c r="B91" s="390">
        <v>45778</v>
      </c>
      <c r="C91" s="390">
        <v>46142</v>
      </c>
      <c r="D91" s="391" t="s">
        <v>17</v>
      </c>
      <c r="E91" s="391" t="s">
        <v>13</v>
      </c>
      <c r="F91" s="391" t="s">
        <v>323</v>
      </c>
      <c r="G91" s="209">
        <v>86.5</v>
      </c>
      <c r="H91" s="210">
        <v>1081.5</v>
      </c>
      <c r="I91" s="391" t="str">
        <f>IF($A91="","",IF(OR($B91="",$C91="",$D91="",$E91="",$F91=""),"Stammdaten fehlen",IF(AND($G91="",$H91=""),"Werte fehlen",IF($G91="","Monatsstunden fehlen",IF($H91="","Monatslohn fehlt","OK")))))</f>
        <v>OK</v>
      </c>
      <c r="J91" s="409" t="str">
        <f>IF($G91="","",IF(COUNTIFS($A:$A,$A91,$D:$D,$D91,$G:$G,$G91)&gt;1,"Doppelte Monatsstunden",""))</f>
        <v/>
      </c>
    </row>
    <row r="92" spans="1:10" ht="24" customHeight="1">
      <c r="A92" s="401" t="s">
        <v>333</v>
      </c>
      <c r="B92" s="390">
        <v>45778</v>
      </c>
      <c r="C92" s="390">
        <v>46142</v>
      </c>
      <c r="D92" s="391" t="s">
        <v>17</v>
      </c>
      <c r="E92" s="391" t="s">
        <v>13</v>
      </c>
      <c r="F92" s="391" t="s">
        <v>323</v>
      </c>
      <c r="G92" s="209">
        <v>69.2</v>
      </c>
      <c r="H92" s="210">
        <v>865.2</v>
      </c>
      <c r="I92" s="391" t="str">
        <f>IF($A92="","",IF(OR($B92="",$C92="",$D92="",$E92="",$F92=""),"Stammdaten fehlen",IF(AND($G92="",$H92=""),"Werte fehlen",IF($G92="","Monatsstunden fehlen",IF($H92="","Monatslohn fehlt","OK")))))</f>
        <v>OK</v>
      </c>
      <c r="J92" s="409" t="str">
        <f>IF($G92="","",IF(COUNTIFS($A:$A,$A92,$D:$D,$D92,$G:$G,$G92)&gt;1,"Doppelte Monatsstunden",""))</f>
        <v/>
      </c>
    </row>
    <row r="93" spans="1:10" ht="24" customHeight="1">
      <c r="A93" s="401" t="s">
        <v>333</v>
      </c>
      <c r="B93" s="390">
        <v>45778</v>
      </c>
      <c r="C93" s="390">
        <v>46142</v>
      </c>
      <c r="D93" s="391" t="s">
        <v>17</v>
      </c>
      <c r="E93" s="391" t="s">
        <v>13</v>
      </c>
      <c r="F93" s="391" t="s">
        <v>323</v>
      </c>
      <c r="G93" s="209">
        <v>51.9</v>
      </c>
      <c r="H93" s="210">
        <v>648.9</v>
      </c>
      <c r="I93" s="391" t="str">
        <f>IF($A93="","",IF(OR($B93="",$C93="",$D93="",$E93="",$F93=""),"Stammdaten fehlen",IF(AND($G93="",$H93=""),"Werte fehlen",IF($G93="","Monatsstunden fehlen",IF($H93="","Monatslohn fehlt","OK")))))</f>
        <v>OK</v>
      </c>
      <c r="J93" s="409" t="str">
        <f>IF($G93="","",IF(COUNTIFS($A:$A,$A93,$D:$D,$D93,$G:$G,$G93)&gt;1,"Doppelte Monatsstunden",""))</f>
        <v/>
      </c>
    </row>
    <row r="94" spans="1:10" ht="24" customHeight="1">
      <c r="A94" s="401" t="s">
        <v>333</v>
      </c>
      <c r="B94" s="390">
        <v>45778</v>
      </c>
      <c r="C94" s="390">
        <v>46142</v>
      </c>
      <c r="D94" s="391" t="s">
        <v>17</v>
      </c>
      <c r="E94" s="391" t="s">
        <v>13</v>
      </c>
      <c r="F94" s="391" t="s">
        <v>323</v>
      </c>
      <c r="G94" s="209">
        <v>47.58</v>
      </c>
      <c r="H94" s="210">
        <v>594.83000000000004</v>
      </c>
      <c r="I94" s="391" t="str">
        <f>IF($A94="","",IF(OR($B94="",$C94="",$D94="",$E94="",$F94=""),"Stammdaten fehlen",IF(AND($G94="",$H94=""),"Werte fehlen",IF($G94="","Monatsstunden fehlen",IF($H94="","Monatslohn fehlt","OK")))))</f>
        <v>OK</v>
      </c>
      <c r="J94" s="409" t="str">
        <f>IF($G94="","",IF(COUNTIFS($A:$A,$A94,$D:$D,$D94,$G:$G,$G94)&gt;1,"Doppelte Monatsstunden",""))</f>
        <v/>
      </c>
    </row>
    <row r="95" spans="1:10" ht="24" customHeight="1">
      <c r="A95" s="401" t="s">
        <v>333</v>
      </c>
      <c r="B95" s="390">
        <v>45778</v>
      </c>
      <c r="C95" s="390">
        <v>46142</v>
      </c>
      <c r="D95" s="391" t="s">
        <v>17</v>
      </c>
      <c r="E95" s="391" t="s">
        <v>13</v>
      </c>
      <c r="F95" s="391" t="s">
        <v>323</v>
      </c>
      <c r="G95" s="209">
        <v>43.25</v>
      </c>
      <c r="H95" s="210">
        <v>540.75</v>
      </c>
      <c r="I95" s="391" t="str">
        <f>IF($A95="","",IF(OR($B95="",$C95="",$D95="",$E95="",$F95=""),"Stammdaten fehlen",IF(AND($G95="",$H95=""),"Werte fehlen",IF($G95="","Monatsstunden fehlen",IF($H95="","Monatslohn fehlt","OK")))))</f>
        <v>OK</v>
      </c>
      <c r="J95" s="409" t="str">
        <f>IF($G95="","",IF(COUNTIFS($A:$A,$A95,$D:$D,$D95,$G:$G,$G95)&gt;1,"Doppelte Monatsstunden",""))</f>
        <v/>
      </c>
    </row>
    <row r="96" spans="1:10" ht="24" customHeight="1">
      <c r="A96" s="401" t="s">
        <v>333</v>
      </c>
      <c r="B96" s="390">
        <v>45778</v>
      </c>
      <c r="C96" s="390">
        <v>46142</v>
      </c>
      <c r="D96" s="391" t="s">
        <v>17</v>
      </c>
      <c r="E96" s="391" t="s">
        <v>13</v>
      </c>
      <c r="F96" s="391" t="s">
        <v>323</v>
      </c>
      <c r="G96" s="209">
        <v>34.6</v>
      </c>
      <c r="H96" s="210">
        <v>432.6</v>
      </c>
      <c r="I96" s="391" t="str">
        <f>IF($A96="","",IF(OR($B96="",$C96="",$D96="",$E96="",$F96=""),"Stammdaten fehlen",IF(AND($G96="",$H96=""),"Werte fehlen",IF($G96="","Monatsstunden fehlen",IF($H96="","Monatslohn fehlt","OK")))))</f>
        <v>OK</v>
      </c>
      <c r="J96" s="409" t="str">
        <f>IF($G96="","",IF(COUNTIFS($A:$A,$A96,$D:$D,$D96,$G:$G,$G96)&gt;1,"Doppelte Monatsstunden",""))</f>
        <v/>
      </c>
    </row>
    <row r="97" spans="1:10" ht="24" customHeight="1" thickBot="1">
      <c r="A97" s="401" t="s">
        <v>333</v>
      </c>
      <c r="B97" s="390">
        <v>45778</v>
      </c>
      <c r="C97" s="390">
        <v>46142</v>
      </c>
      <c r="D97" s="391" t="s">
        <v>17</v>
      </c>
      <c r="E97" s="391" t="s">
        <v>13</v>
      </c>
      <c r="F97" s="391" t="s">
        <v>323</v>
      </c>
      <c r="G97" s="209">
        <v>32.01</v>
      </c>
      <c r="H97" s="210">
        <v>400.16</v>
      </c>
      <c r="I97" s="391" t="str">
        <f>IF($A97="","",IF(OR($B97="",$C97="",$D97="",$E97="",$F97=""),"Stammdaten fehlen",IF(AND($G97="",$H97=""),"Werte fehlen",IF($G97="","Monatsstunden fehlen",IF($H97="","Monatslohn fehlt","OK")))))</f>
        <v>OK</v>
      </c>
      <c r="J97" s="409" t="str">
        <f>IF($G97="","",IF(COUNTIFS($A:$A,$A97,$D:$D,$D97,$G:$G,$G97)&gt;1,"Doppelte Monatsstunden",""))</f>
        <v/>
      </c>
    </row>
    <row r="98" spans="1:10" ht="24" customHeight="1">
      <c r="A98" s="400" t="s">
        <v>333</v>
      </c>
      <c r="B98" s="388">
        <v>45778</v>
      </c>
      <c r="C98" s="388">
        <v>46142</v>
      </c>
      <c r="D98" s="389" t="s">
        <v>19</v>
      </c>
      <c r="E98" s="389" t="s">
        <v>13</v>
      </c>
      <c r="F98" s="389" t="s">
        <v>324</v>
      </c>
      <c r="G98" s="207">
        <v>173</v>
      </c>
      <c r="H98" s="208">
        <v>2225</v>
      </c>
      <c r="I98" s="389" t="str">
        <f>IF($A98="","",IF(OR($B98="",$C98="",$D98="",$E98="",$F98=""),"Stammdaten fehlen",IF(AND($G98="",$H98=""),"Werte fehlen",IF($G98="","Monatsstunden fehlen",IF($H98="","Monatslohn fehlt","OK")))))</f>
        <v>OK</v>
      </c>
      <c r="J98" s="408" t="str">
        <f>IF($G98="","",IF(COUNTIFS($A:$A,$A98,$D:$D,$D98,$G:$G,$G98)&gt;1,"Doppelte Monatsstunden",""))</f>
        <v/>
      </c>
    </row>
    <row r="99" spans="1:10" ht="24" customHeight="1">
      <c r="A99" s="401" t="s">
        <v>333</v>
      </c>
      <c r="B99" s="390">
        <v>45778</v>
      </c>
      <c r="C99" s="390">
        <v>46142</v>
      </c>
      <c r="D99" s="391" t="s">
        <v>19</v>
      </c>
      <c r="E99" s="391" t="s">
        <v>13</v>
      </c>
      <c r="F99" s="391" t="s">
        <v>324</v>
      </c>
      <c r="G99" s="209">
        <v>151.38</v>
      </c>
      <c r="H99" s="210">
        <v>1946.88</v>
      </c>
      <c r="I99" s="391" t="str">
        <f>IF($A99="","",IF(OR($B99="",$C99="",$D99="",$E99="",$F99=""),"Stammdaten fehlen",IF(AND($G99="",$H99=""),"Werte fehlen",IF($G99="","Monatsstunden fehlen",IF($H99="","Monatslohn fehlt","OK")))))</f>
        <v>OK</v>
      </c>
      <c r="J99" s="409" t="str">
        <f>IF($G99="","",IF(COUNTIFS($A:$A,$A99,$D:$D,$D99,$G:$G,$G99)&gt;1,"Doppelte Monatsstunden",""))</f>
        <v/>
      </c>
    </row>
    <row r="100" spans="1:10" ht="24" customHeight="1">
      <c r="A100" s="401" t="s">
        <v>333</v>
      </c>
      <c r="B100" s="390">
        <v>45778</v>
      </c>
      <c r="C100" s="390">
        <v>46142</v>
      </c>
      <c r="D100" s="391" t="s">
        <v>19</v>
      </c>
      <c r="E100" s="391" t="s">
        <v>13</v>
      </c>
      <c r="F100" s="391" t="s">
        <v>324</v>
      </c>
      <c r="G100" s="209">
        <v>138.4</v>
      </c>
      <c r="H100" s="210">
        <v>1780</v>
      </c>
      <c r="I100" s="391" t="str">
        <f>IF($A100="","",IF(OR($B100="",$C100="",$D100="",$E100="",$F100=""),"Stammdaten fehlen",IF(AND($G100="",$H100=""),"Werte fehlen",IF($G100="","Monatsstunden fehlen",IF($H100="","Monatslohn fehlt","OK")))))</f>
        <v>OK</v>
      </c>
      <c r="J100" s="409" t="str">
        <f>IF($G100="","",IF(COUNTIFS($A:$A,$A100,$D:$D,$D100,$G:$G,$G100)&gt;1,"Doppelte Monatsstunden",""))</f>
        <v/>
      </c>
    </row>
    <row r="101" spans="1:10" ht="24" customHeight="1">
      <c r="A101" s="401" t="s">
        <v>333</v>
      </c>
      <c r="B101" s="390">
        <v>45778</v>
      </c>
      <c r="C101" s="390">
        <v>46142</v>
      </c>
      <c r="D101" s="391" t="s">
        <v>19</v>
      </c>
      <c r="E101" s="391" t="s">
        <v>13</v>
      </c>
      <c r="F101" s="391" t="s">
        <v>324</v>
      </c>
      <c r="G101" s="209">
        <v>129.75</v>
      </c>
      <c r="H101" s="210">
        <v>1668.75</v>
      </c>
      <c r="I101" s="391" t="str">
        <f>IF($A101="","",IF(OR($B101="",$C101="",$D101="",$E101="",$F101=""),"Stammdaten fehlen",IF(AND($G101="",$H101=""),"Werte fehlen",IF($G101="","Monatsstunden fehlen",IF($H101="","Monatslohn fehlt","OK")))))</f>
        <v>OK</v>
      </c>
      <c r="J101" s="409" t="str">
        <f>IF($G101="","",IF(COUNTIFS($A:$A,$A101,$D:$D,$D101,$G:$G,$G101)&gt;1,"Doppelte Monatsstunden",""))</f>
        <v/>
      </c>
    </row>
    <row r="102" spans="1:10" ht="24" customHeight="1">
      <c r="A102" s="401" t="s">
        <v>333</v>
      </c>
      <c r="B102" s="390">
        <v>45778</v>
      </c>
      <c r="C102" s="390">
        <v>46142</v>
      </c>
      <c r="D102" s="391" t="s">
        <v>19</v>
      </c>
      <c r="E102" s="391" t="s">
        <v>13</v>
      </c>
      <c r="F102" s="391" t="s">
        <v>324</v>
      </c>
      <c r="G102" s="209">
        <v>108.13</v>
      </c>
      <c r="H102" s="210">
        <v>1390.63</v>
      </c>
      <c r="I102" s="391" t="str">
        <f>IF($A102="","",IF(OR($B102="",$C102="",$D102="",$E102="",$F102=""),"Stammdaten fehlen",IF(AND($G102="",$H102=""),"Werte fehlen",IF($G102="","Monatsstunden fehlen",IF($H102="","Monatslohn fehlt","OK")))))</f>
        <v>OK</v>
      </c>
      <c r="J102" s="409" t="str">
        <f>IF($G102="","",IF(COUNTIFS($A:$A,$A102,$D:$D,$D102,$G:$G,$G102)&gt;1,"Doppelte Monatsstunden",""))</f>
        <v/>
      </c>
    </row>
    <row r="103" spans="1:10" ht="24" customHeight="1">
      <c r="A103" s="401" t="s">
        <v>333</v>
      </c>
      <c r="B103" s="390">
        <v>45778</v>
      </c>
      <c r="C103" s="390">
        <v>46142</v>
      </c>
      <c r="D103" s="391" t="s">
        <v>19</v>
      </c>
      <c r="E103" s="391" t="s">
        <v>13</v>
      </c>
      <c r="F103" s="391" t="s">
        <v>324</v>
      </c>
      <c r="G103" s="209">
        <v>103.8</v>
      </c>
      <c r="H103" s="210">
        <v>1335</v>
      </c>
      <c r="I103" s="391" t="str">
        <f>IF($A103="","",IF(OR($B103="",$C103="",$D103="",$E103="",$F103=""),"Stammdaten fehlen",IF(AND($G103="",$H103=""),"Werte fehlen",IF($G103="","Monatsstunden fehlen",IF($H103="","Monatslohn fehlt","OK")))))</f>
        <v>OK</v>
      </c>
      <c r="J103" s="409" t="str">
        <f>IF($G103="","",IF(COUNTIFS($A:$A,$A103,$D:$D,$D103,$G:$G,$G103)&gt;1,"Doppelte Monatsstunden",""))</f>
        <v/>
      </c>
    </row>
    <row r="104" spans="1:10" ht="24" customHeight="1">
      <c r="A104" s="401" t="s">
        <v>333</v>
      </c>
      <c r="B104" s="390">
        <v>45778</v>
      </c>
      <c r="C104" s="390">
        <v>46142</v>
      </c>
      <c r="D104" s="391" t="s">
        <v>19</v>
      </c>
      <c r="E104" s="391" t="s">
        <v>13</v>
      </c>
      <c r="F104" s="391" t="s">
        <v>324</v>
      </c>
      <c r="G104" s="209">
        <v>86.5</v>
      </c>
      <c r="H104" s="210">
        <v>1112.5</v>
      </c>
      <c r="I104" s="391" t="str">
        <f>IF($A104="","",IF(OR($B104="",$C104="",$D104="",$E104="",$F104=""),"Stammdaten fehlen",IF(AND($G104="",$H104=""),"Werte fehlen",IF($G104="","Monatsstunden fehlen",IF($H104="","Monatslohn fehlt","OK")))))</f>
        <v>OK</v>
      </c>
      <c r="J104" s="409" t="str">
        <f>IF($G104="","",IF(COUNTIFS($A:$A,$A104,$D:$D,$D104,$G:$G,$G104)&gt;1,"Doppelte Monatsstunden",""))</f>
        <v/>
      </c>
    </row>
    <row r="105" spans="1:10" ht="24" customHeight="1">
      <c r="A105" s="401" t="s">
        <v>333</v>
      </c>
      <c r="B105" s="390">
        <v>45778</v>
      </c>
      <c r="C105" s="390">
        <v>46142</v>
      </c>
      <c r="D105" s="391" t="s">
        <v>19</v>
      </c>
      <c r="E105" s="391" t="s">
        <v>13</v>
      </c>
      <c r="F105" s="391" t="s">
        <v>324</v>
      </c>
      <c r="G105" s="209">
        <v>69.2</v>
      </c>
      <c r="H105" s="210">
        <v>890</v>
      </c>
      <c r="I105" s="391" t="str">
        <f>IF($A105="","",IF(OR($B105="",$C105="",$D105="",$E105="",$F105=""),"Stammdaten fehlen",IF(AND($G105="",$H105=""),"Werte fehlen",IF($G105="","Monatsstunden fehlen",IF($H105="","Monatslohn fehlt","OK")))))</f>
        <v>OK</v>
      </c>
      <c r="J105" s="409" t="str">
        <f>IF($G105="","",IF(COUNTIFS($A:$A,$A105,$D:$D,$D105,$G:$G,$G105)&gt;1,"Doppelte Monatsstunden",""))</f>
        <v/>
      </c>
    </row>
    <row r="106" spans="1:10" ht="24" customHeight="1">
      <c r="A106" s="401" t="s">
        <v>333</v>
      </c>
      <c r="B106" s="390">
        <v>45778</v>
      </c>
      <c r="C106" s="390">
        <v>46142</v>
      </c>
      <c r="D106" s="391" t="s">
        <v>19</v>
      </c>
      <c r="E106" s="391" t="s">
        <v>13</v>
      </c>
      <c r="F106" s="391" t="s">
        <v>324</v>
      </c>
      <c r="G106" s="209">
        <v>51.9</v>
      </c>
      <c r="H106" s="210">
        <v>667.5</v>
      </c>
      <c r="I106" s="391" t="str">
        <f>IF($A106="","",IF(OR($B106="",$C106="",$D106="",$E106="",$F106=""),"Stammdaten fehlen",IF(AND($G106="",$H106=""),"Werte fehlen",IF($G106="","Monatsstunden fehlen",IF($H106="","Monatslohn fehlt","OK")))))</f>
        <v>OK</v>
      </c>
      <c r="J106" s="409" t="str">
        <f>IF($G106="","",IF(COUNTIFS($A:$A,$A106,$D:$D,$D106,$G:$G,$G106)&gt;1,"Doppelte Monatsstunden",""))</f>
        <v/>
      </c>
    </row>
    <row r="107" spans="1:10" ht="24" customHeight="1">
      <c r="A107" s="401" t="s">
        <v>333</v>
      </c>
      <c r="B107" s="390">
        <v>45778</v>
      </c>
      <c r="C107" s="390">
        <v>46142</v>
      </c>
      <c r="D107" s="391" t="s">
        <v>19</v>
      </c>
      <c r="E107" s="391" t="s">
        <v>13</v>
      </c>
      <c r="F107" s="391" t="s">
        <v>324</v>
      </c>
      <c r="G107" s="209">
        <v>47.58</v>
      </c>
      <c r="H107" s="210">
        <v>611.88</v>
      </c>
      <c r="I107" s="391" t="str">
        <f>IF($A107="","",IF(OR($B107="",$C107="",$D107="",$E107="",$F107=""),"Stammdaten fehlen",IF(AND($G107="",$H107=""),"Werte fehlen",IF($G107="","Monatsstunden fehlen",IF($H107="","Monatslohn fehlt","OK")))))</f>
        <v>OK</v>
      </c>
      <c r="J107" s="409" t="str">
        <f>IF($G107="","",IF(COUNTIFS($A:$A,$A107,$D:$D,$D107,$G:$G,$G107)&gt;1,"Doppelte Monatsstunden",""))</f>
        <v/>
      </c>
    </row>
    <row r="108" spans="1:10" ht="24" customHeight="1">
      <c r="A108" s="401" t="s">
        <v>333</v>
      </c>
      <c r="B108" s="390">
        <v>45778</v>
      </c>
      <c r="C108" s="390">
        <v>46142</v>
      </c>
      <c r="D108" s="391" t="s">
        <v>19</v>
      </c>
      <c r="E108" s="391" t="s">
        <v>13</v>
      </c>
      <c r="F108" s="391" t="s">
        <v>324</v>
      </c>
      <c r="G108" s="209">
        <v>43.25</v>
      </c>
      <c r="H108" s="210">
        <v>556.25</v>
      </c>
      <c r="I108" s="391" t="str">
        <f>IF($A108="","",IF(OR($B108="",$C108="",$D108="",$E108="",$F108=""),"Stammdaten fehlen",IF(AND($G108="",$H108=""),"Werte fehlen",IF($G108="","Monatsstunden fehlen",IF($H108="","Monatslohn fehlt","OK")))))</f>
        <v>OK</v>
      </c>
      <c r="J108" s="409" t="str">
        <f>IF($G108="","",IF(COUNTIFS($A:$A,$A108,$D:$D,$D108,$G:$G,$G108)&gt;1,"Doppelte Monatsstunden",""))</f>
        <v/>
      </c>
    </row>
    <row r="109" spans="1:10" ht="24" customHeight="1">
      <c r="A109" s="401" t="s">
        <v>333</v>
      </c>
      <c r="B109" s="390">
        <v>45778</v>
      </c>
      <c r="C109" s="390">
        <v>46142</v>
      </c>
      <c r="D109" s="391" t="s">
        <v>19</v>
      </c>
      <c r="E109" s="391" t="s">
        <v>13</v>
      </c>
      <c r="F109" s="391" t="s">
        <v>324</v>
      </c>
      <c r="G109" s="209">
        <v>34.6</v>
      </c>
      <c r="H109" s="210">
        <v>445</v>
      </c>
      <c r="I109" s="391" t="str">
        <f>IF($A109="","",IF(OR($B109="",$C109="",$D109="",$E109="",$F109=""),"Stammdaten fehlen",IF(AND($G109="",$H109=""),"Werte fehlen",IF($G109="","Monatsstunden fehlen",IF($H109="","Monatslohn fehlt","OK")))))</f>
        <v>OK</v>
      </c>
      <c r="J109" s="409" t="str">
        <f>IF($G109="","",IF(COUNTIFS($A:$A,$A109,$D:$D,$D109,$G:$G,$G109)&gt;1,"Doppelte Monatsstunden",""))</f>
        <v/>
      </c>
    </row>
    <row r="110" spans="1:10" ht="24" customHeight="1" thickBot="1">
      <c r="A110" s="401" t="s">
        <v>333</v>
      </c>
      <c r="B110" s="390">
        <v>45778</v>
      </c>
      <c r="C110" s="390">
        <v>46142</v>
      </c>
      <c r="D110" s="391" t="s">
        <v>19</v>
      </c>
      <c r="E110" s="391" t="s">
        <v>13</v>
      </c>
      <c r="F110" s="391" t="s">
        <v>324</v>
      </c>
      <c r="G110" s="209">
        <v>32.01</v>
      </c>
      <c r="H110" s="210">
        <v>411.63</v>
      </c>
      <c r="I110" s="391" t="str">
        <f>IF($A110="","",IF(OR($B110="",$C110="",$D110="",$E110="",$F110=""),"Stammdaten fehlen",IF(AND($G110="",$H110=""),"Werte fehlen",IF($G110="","Monatsstunden fehlen",IF($H110="","Monatslohn fehlt","OK")))))</f>
        <v>OK</v>
      </c>
      <c r="J110" s="409" t="str">
        <f>IF($G110="","",IF(COUNTIFS($A:$A,$A110,$D:$D,$D110,$G:$G,$G110)&gt;1,"Doppelte Monatsstunden",""))</f>
        <v/>
      </c>
    </row>
    <row r="111" spans="1:10" ht="24" customHeight="1">
      <c r="A111" s="402" t="s">
        <v>333</v>
      </c>
      <c r="B111" s="392">
        <v>45778</v>
      </c>
      <c r="C111" s="392">
        <v>46142</v>
      </c>
      <c r="D111" s="393" t="s">
        <v>332</v>
      </c>
      <c r="E111" s="393" t="s">
        <v>21</v>
      </c>
      <c r="F111" s="393" t="s">
        <v>321</v>
      </c>
      <c r="G111" s="211">
        <v>173</v>
      </c>
      <c r="H111" s="212">
        <v>2300</v>
      </c>
      <c r="I111" s="393" t="str">
        <f>IF($A111="","",IF(OR($B111="",$C111="",$D111="",$E111="",$F111=""),"Stammdaten fehlen",IF(AND($G111="",$H111=""),"Werte fehlen",IF($G111="","Monatsstunden fehlen",IF($H111="","Monatslohn fehlt","OK")))))</f>
        <v>OK</v>
      </c>
      <c r="J111" s="410" t="str">
        <f>IF($G111="","",IF(COUNTIFS($A:$A,$A111,$D:$D,$D111,$G:$G,$G111)&gt;1,"Doppelte Monatsstunden",""))</f>
        <v/>
      </c>
    </row>
    <row r="112" spans="1:10" ht="24" customHeight="1">
      <c r="A112" s="403" t="s">
        <v>333</v>
      </c>
      <c r="B112" s="394">
        <v>45778</v>
      </c>
      <c r="C112" s="394">
        <v>46142</v>
      </c>
      <c r="D112" s="395" t="s">
        <v>332</v>
      </c>
      <c r="E112" s="395" t="s">
        <v>21</v>
      </c>
      <c r="F112" s="395" t="s">
        <v>321</v>
      </c>
      <c r="G112" s="213">
        <v>151.38</v>
      </c>
      <c r="H112" s="214">
        <v>2012.5</v>
      </c>
      <c r="I112" s="395" t="str">
        <f>IF($A112="","",IF(OR($B112="",$C112="",$D112="",$E112="",$F112=""),"Stammdaten fehlen",IF(AND($G112="",$H112=""),"Werte fehlen",IF($G112="","Monatsstunden fehlen",IF($H112="","Monatslohn fehlt","OK")))))</f>
        <v>OK</v>
      </c>
      <c r="J112" s="411" t="str">
        <f>IF($G112="","",IF(COUNTIFS($A:$A,$A112,$D:$D,$D112,$G:$G,$G112)&gt;1,"Doppelte Monatsstunden",""))</f>
        <v/>
      </c>
    </row>
    <row r="113" spans="1:10" ht="24" customHeight="1">
      <c r="A113" s="403" t="s">
        <v>333</v>
      </c>
      <c r="B113" s="394">
        <v>45778</v>
      </c>
      <c r="C113" s="394">
        <v>46142</v>
      </c>
      <c r="D113" s="395" t="s">
        <v>332</v>
      </c>
      <c r="E113" s="395" t="s">
        <v>21</v>
      </c>
      <c r="F113" s="395" t="s">
        <v>321</v>
      </c>
      <c r="G113" s="213">
        <v>138.4</v>
      </c>
      <c r="H113" s="214">
        <v>1840</v>
      </c>
      <c r="I113" s="395" t="str">
        <f>IF($A113="","",IF(OR($B113="",$C113="",$D113="",$E113="",$F113=""),"Stammdaten fehlen",IF(AND($G113="",$H113=""),"Werte fehlen",IF($G113="","Monatsstunden fehlen",IF($H113="","Monatslohn fehlt","OK")))))</f>
        <v>OK</v>
      </c>
      <c r="J113" s="411" t="str">
        <f>IF($G113="","",IF(COUNTIFS($A:$A,$A113,$D:$D,$D113,$G:$G,$G113)&gt;1,"Doppelte Monatsstunden",""))</f>
        <v/>
      </c>
    </row>
    <row r="114" spans="1:10" ht="24" customHeight="1">
      <c r="A114" s="403" t="s">
        <v>333</v>
      </c>
      <c r="B114" s="394">
        <v>45778</v>
      </c>
      <c r="C114" s="394">
        <v>46142</v>
      </c>
      <c r="D114" s="395" t="s">
        <v>332</v>
      </c>
      <c r="E114" s="395" t="s">
        <v>21</v>
      </c>
      <c r="F114" s="395" t="s">
        <v>321</v>
      </c>
      <c r="G114" s="213">
        <v>129.75</v>
      </c>
      <c r="H114" s="214">
        <v>1725</v>
      </c>
      <c r="I114" s="395" t="str">
        <f>IF($A114="","",IF(OR($B114="",$C114="",$D114="",$E114="",$F114=""),"Stammdaten fehlen",IF(AND($G114="",$H114=""),"Werte fehlen",IF($G114="","Monatsstunden fehlen",IF($H114="","Monatslohn fehlt","OK")))))</f>
        <v>OK</v>
      </c>
      <c r="J114" s="411" t="str">
        <f>IF($G114="","",IF(COUNTIFS($A:$A,$A114,$D:$D,$D114,$G:$G,$G114)&gt;1,"Doppelte Monatsstunden",""))</f>
        <v/>
      </c>
    </row>
    <row r="115" spans="1:10" ht="24" customHeight="1">
      <c r="A115" s="403" t="s">
        <v>333</v>
      </c>
      <c r="B115" s="394">
        <v>45778</v>
      </c>
      <c r="C115" s="394">
        <v>46142</v>
      </c>
      <c r="D115" s="395" t="s">
        <v>332</v>
      </c>
      <c r="E115" s="395" t="s">
        <v>21</v>
      </c>
      <c r="F115" s="395" t="s">
        <v>321</v>
      </c>
      <c r="G115" s="213">
        <v>108.13</v>
      </c>
      <c r="H115" s="214">
        <v>1437.5</v>
      </c>
      <c r="I115" s="395" t="str">
        <f>IF($A115="","",IF(OR($B115="",$C115="",$D115="",$E115="",$F115=""),"Stammdaten fehlen",IF(AND($G115="",$H115=""),"Werte fehlen",IF($G115="","Monatsstunden fehlen",IF($H115="","Monatslohn fehlt","OK")))))</f>
        <v>OK</v>
      </c>
      <c r="J115" s="411" t="str">
        <f>IF($G115="","",IF(COUNTIFS($A:$A,$A115,$D:$D,$D115,$G:$G,$G115)&gt;1,"Doppelte Monatsstunden",""))</f>
        <v/>
      </c>
    </row>
    <row r="116" spans="1:10" ht="24" customHeight="1">
      <c r="A116" s="403" t="s">
        <v>333</v>
      </c>
      <c r="B116" s="394">
        <v>45778</v>
      </c>
      <c r="C116" s="394">
        <v>46142</v>
      </c>
      <c r="D116" s="395" t="s">
        <v>332</v>
      </c>
      <c r="E116" s="395" t="s">
        <v>21</v>
      </c>
      <c r="F116" s="395" t="s">
        <v>321</v>
      </c>
      <c r="G116" s="213">
        <v>103.8</v>
      </c>
      <c r="H116" s="214">
        <v>1380</v>
      </c>
      <c r="I116" s="395" t="str">
        <f>IF($A116="","",IF(OR($B116="",$C116="",$D116="",$E116="",$F116=""),"Stammdaten fehlen",IF(AND($G116="",$H116=""),"Werte fehlen",IF($G116="","Monatsstunden fehlen",IF($H116="","Monatslohn fehlt","OK")))))</f>
        <v>OK</v>
      </c>
      <c r="J116" s="411" t="str">
        <f>IF($G116="","",IF(COUNTIFS($A:$A,$A116,$D:$D,$D116,$G:$G,$G116)&gt;1,"Doppelte Monatsstunden",""))</f>
        <v/>
      </c>
    </row>
    <row r="117" spans="1:10" ht="24" customHeight="1">
      <c r="A117" s="403" t="s">
        <v>333</v>
      </c>
      <c r="B117" s="394">
        <v>45778</v>
      </c>
      <c r="C117" s="394">
        <v>46142</v>
      </c>
      <c r="D117" s="395" t="s">
        <v>332</v>
      </c>
      <c r="E117" s="395" t="s">
        <v>21</v>
      </c>
      <c r="F117" s="395" t="s">
        <v>321</v>
      </c>
      <c r="G117" s="213">
        <v>86.5</v>
      </c>
      <c r="H117" s="214">
        <v>1150</v>
      </c>
      <c r="I117" s="395" t="str">
        <f>IF($A117="","",IF(OR($B117="",$C117="",$D117="",$E117="",$F117=""),"Stammdaten fehlen",IF(AND($G117="",$H117=""),"Werte fehlen",IF($G117="","Monatsstunden fehlen",IF($H117="","Monatslohn fehlt","OK")))))</f>
        <v>OK</v>
      </c>
      <c r="J117" s="411" t="str">
        <f>IF($G117="","",IF(COUNTIFS($A:$A,$A117,$D:$D,$D117,$G:$G,$G117)&gt;1,"Doppelte Monatsstunden",""))</f>
        <v/>
      </c>
    </row>
    <row r="118" spans="1:10" ht="24" customHeight="1">
      <c r="A118" s="403" t="s">
        <v>333</v>
      </c>
      <c r="B118" s="394">
        <v>45778</v>
      </c>
      <c r="C118" s="394">
        <v>46142</v>
      </c>
      <c r="D118" s="395" t="s">
        <v>332</v>
      </c>
      <c r="E118" s="395" t="s">
        <v>21</v>
      </c>
      <c r="F118" s="395" t="s">
        <v>321</v>
      </c>
      <c r="G118" s="213">
        <v>69.2</v>
      </c>
      <c r="H118" s="214">
        <v>920</v>
      </c>
      <c r="I118" s="395" t="str">
        <f>IF($A118="","",IF(OR($B118="",$C118="",$D118="",$E118="",$F118=""),"Stammdaten fehlen",IF(AND($G118="",$H118=""),"Werte fehlen",IF($G118="","Monatsstunden fehlen",IF($H118="","Monatslohn fehlt","OK")))))</f>
        <v>OK</v>
      </c>
      <c r="J118" s="411" t="str">
        <f>IF($G118="","",IF(COUNTIFS($A:$A,$A118,$D:$D,$D118,$G:$G,$G118)&gt;1,"Doppelte Monatsstunden",""))</f>
        <v/>
      </c>
    </row>
    <row r="119" spans="1:10" ht="24" customHeight="1">
      <c r="A119" s="403" t="s">
        <v>333</v>
      </c>
      <c r="B119" s="394">
        <v>45778</v>
      </c>
      <c r="C119" s="394">
        <v>46142</v>
      </c>
      <c r="D119" s="395" t="s">
        <v>332</v>
      </c>
      <c r="E119" s="395" t="s">
        <v>21</v>
      </c>
      <c r="F119" s="395" t="s">
        <v>321</v>
      </c>
      <c r="G119" s="213">
        <v>51.9</v>
      </c>
      <c r="H119" s="214">
        <v>690</v>
      </c>
      <c r="I119" s="395" t="str">
        <f>IF($A119="","",IF(OR($B119="",$C119="",$D119="",$E119="",$F119=""),"Stammdaten fehlen",IF(AND($G119="",$H119=""),"Werte fehlen",IF($G119="","Monatsstunden fehlen",IF($H119="","Monatslohn fehlt","OK")))))</f>
        <v>OK</v>
      </c>
      <c r="J119" s="411" t="str">
        <f>IF($G119="","",IF(COUNTIFS($A:$A,$A119,$D:$D,$D119,$G:$G,$G119)&gt;1,"Doppelte Monatsstunden",""))</f>
        <v/>
      </c>
    </row>
    <row r="120" spans="1:10" ht="24" customHeight="1">
      <c r="A120" s="403" t="s">
        <v>333</v>
      </c>
      <c r="B120" s="394">
        <v>45778</v>
      </c>
      <c r="C120" s="394">
        <v>46142</v>
      </c>
      <c r="D120" s="395" t="s">
        <v>332</v>
      </c>
      <c r="E120" s="395" t="s">
        <v>21</v>
      </c>
      <c r="F120" s="395" t="s">
        <v>321</v>
      </c>
      <c r="G120" s="213">
        <v>47.58</v>
      </c>
      <c r="H120" s="214">
        <v>632.5</v>
      </c>
      <c r="I120" s="395" t="str">
        <f>IF($A120="","",IF(OR($B120="",$C120="",$D120="",$E120="",$F120=""),"Stammdaten fehlen",IF(AND($G120="",$H120=""),"Werte fehlen",IF($G120="","Monatsstunden fehlen",IF($H120="","Monatslohn fehlt","OK")))))</f>
        <v>OK</v>
      </c>
      <c r="J120" s="411" t="str">
        <f>IF($G120="","",IF(COUNTIFS($A:$A,$A120,$D:$D,$D120,$G:$G,$G120)&gt;1,"Doppelte Monatsstunden",""))</f>
        <v/>
      </c>
    </row>
    <row r="121" spans="1:10" ht="24" customHeight="1">
      <c r="A121" s="403" t="s">
        <v>333</v>
      </c>
      <c r="B121" s="394">
        <v>45778</v>
      </c>
      <c r="C121" s="394">
        <v>46142</v>
      </c>
      <c r="D121" s="395" t="s">
        <v>332</v>
      </c>
      <c r="E121" s="395" t="s">
        <v>21</v>
      </c>
      <c r="F121" s="395" t="s">
        <v>321</v>
      </c>
      <c r="G121" s="213">
        <v>43.25</v>
      </c>
      <c r="H121" s="214">
        <v>575</v>
      </c>
      <c r="I121" s="395" t="str">
        <f>IF($A121="","",IF(OR($B121="",$C121="",$D121="",$E121="",$F121=""),"Stammdaten fehlen",IF(AND($G121="",$H121=""),"Werte fehlen",IF($G121="","Monatsstunden fehlen",IF($H121="","Monatslohn fehlt","OK")))))</f>
        <v>OK</v>
      </c>
      <c r="J121" s="411" t="str">
        <f>IF($G121="","",IF(COUNTIFS($A:$A,$A121,$D:$D,$D121,$G:$G,$G121)&gt;1,"Doppelte Monatsstunden",""))</f>
        <v/>
      </c>
    </row>
    <row r="122" spans="1:10" ht="24" customHeight="1">
      <c r="A122" s="403" t="s">
        <v>333</v>
      </c>
      <c r="B122" s="394">
        <v>45778</v>
      </c>
      <c r="C122" s="394">
        <v>46142</v>
      </c>
      <c r="D122" s="395" t="s">
        <v>332</v>
      </c>
      <c r="E122" s="395" t="s">
        <v>21</v>
      </c>
      <c r="F122" s="395" t="s">
        <v>321</v>
      </c>
      <c r="G122" s="213">
        <v>34.6</v>
      </c>
      <c r="H122" s="214">
        <v>460</v>
      </c>
      <c r="I122" s="395" t="str">
        <f>IF($A122="","",IF(OR($B122="",$C122="",$D122="",$E122="",$F122=""),"Stammdaten fehlen",IF(AND($G122="",$H122=""),"Werte fehlen",IF($G122="","Monatsstunden fehlen",IF($H122="","Monatslohn fehlt","OK")))))</f>
        <v>OK</v>
      </c>
      <c r="J122" s="411" t="str">
        <f>IF($G122="","",IF(COUNTIFS($A:$A,$A122,$D:$D,$D122,$G:$G,$G122)&gt;1,"Doppelte Monatsstunden",""))</f>
        <v/>
      </c>
    </row>
    <row r="123" spans="1:10" ht="24" customHeight="1" thickBot="1">
      <c r="A123" s="403" t="s">
        <v>333</v>
      </c>
      <c r="B123" s="394">
        <v>45778</v>
      </c>
      <c r="C123" s="394">
        <v>46142</v>
      </c>
      <c r="D123" s="395" t="s">
        <v>332</v>
      </c>
      <c r="E123" s="395" t="s">
        <v>21</v>
      </c>
      <c r="F123" s="395" t="s">
        <v>321</v>
      </c>
      <c r="G123" s="213">
        <v>32.01</v>
      </c>
      <c r="H123" s="214">
        <v>425.5</v>
      </c>
      <c r="I123" s="395" t="str">
        <f>IF($A123="","",IF(OR($B123="",$C123="",$D123="",$E123="",$F123=""),"Stammdaten fehlen",IF(AND($G123="",$H123=""),"Werte fehlen",IF($G123="","Monatsstunden fehlen",IF($H123="","Monatslohn fehlt","OK")))))</f>
        <v>OK</v>
      </c>
      <c r="J123" s="411" t="str">
        <f>IF($G123="","",IF(COUNTIFS($A:$A,$A123,$D:$D,$D123,$G:$G,$G123)&gt;1,"Doppelte Monatsstunden",""))</f>
        <v/>
      </c>
    </row>
    <row r="124" spans="1:10" ht="24" customHeight="1">
      <c r="A124" s="402" t="s">
        <v>333</v>
      </c>
      <c r="B124" s="392">
        <v>45778</v>
      </c>
      <c r="C124" s="392">
        <v>46142</v>
      </c>
      <c r="D124" s="393" t="s">
        <v>22</v>
      </c>
      <c r="E124" s="393" t="s">
        <v>21</v>
      </c>
      <c r="F124" s="393" t="s">
        <v>322</v>
      </c>
      <c r="G124" s="211">
        <v>173</v>
      </c>
      <c r="H124" s="212">
        <v>2300</v>
      </c>
      <c r="I124" s="393" t="str">
        <f>IF($A124="","",IF(OR($B124="",$C124="",$D124="",$E124="",$F124=""),"Stammdaten fehlen",IF(AND($G124="",$H124=""),"Werte fehlen",IF($G124="","Monatsstunden fehlen",IF($H124="","Monatslohn fehlt","OK")))))</f>
        <v>OK</v>
      </c>
      <c r="J124" s="410" t="str">
        <f>IF($G124="","",IF(COUNTIFS($A:$A,$A124,$D:$D,$D124,$G:$G,$G124)&gt;1,"Doppelte Monatsstunden",""))</f>
        <v/>
      </c>
    </row>
    <row r="125" spans="1:10" ht="24" customHeight="1">
      <c r="A125" s="403" t="s">
        <v>333</v>
      </c>
      <c r="B125" s="394">
        <v>45778</v>
      </c>
      <c r="C125" s="394">
        <v>46142</v>
      </c>
      <c r="D125" s="395" t="s">
        <v>22</v>
      </c>
      <c r="E125" s="395" t="s">
        <v>21</v>
      </c>
      <c r="F125" s="395" t="s">
        <v>322</v>
      </c>
      <c r="G125" s="213">
        <v>151.38</v>
      </c>
      <c r="H125" s="214">
        <v>2012.5</v>
      </c>
      <c r="I125" s="395" t="str">
        <f>IF($A125="","",IF(OR($B125="",$C125="",$D125="",$E125="",$F125=""),"Stammdaten fehlen",IF(AND($G125="",$H125=""),"Werte fehlen",IF($G125="","Monatsstunden fehlen",IF($H125="","Monatslohn fehlt","OK")))))</f>
        <v>OK</v>
      </c>
      <c r="J125" s="411" t="str">
        <f>IF($G125="","",IF(COUNTIFS($A:$A,$A125,$D:$D,$D125,$G:$G,$G125)&gt;1,"Doppelte Monatsstunden",""))</f>
        <v/>
      </c>
    </row>
    <row r="126" spans="1:10" ht="24" customHeight="1">
      <c r="A126" s="403" t="s">
        <v>333</v>
      </c>
      <c r="B126" s="394">
        <v>45778</v>
      </c>
      <c r="C126" s="394">
        <v>46142</v>
      </c>
      <c r="D126" s="395" t="s">
        <v>22</v>
      </c>
      <c r="E126" s="395" t="s">
        <v>21</v>
      </c>
      <c r="F126" s="395" t="s">
        <v>322</v>
      </c>
      <c r="G126" s="213">
        <v>138.4</v>
      </c>
      <c r="H126" s="214">
        <v>1840</v>
      </c>
      <c r="I126" s="395" t="str">
        <f>IF($A126="","",IF(OR($B126="",$C126="",$D126="",$E126="",$F126=""),"Stammdaten fehlen",IF(AND($G126="",$H126=""),"Werte fehlen",IF($G126="","Monatsstunden fehlen",IF($H126="","Monatslohn fehlt","OK")))))</f>
        <v>OK</v>
      </c>
      <c r="J126" s="411" t="str">
        <f>IF($G126="","",IF(COUNTIFS($A:$A,$A126,$D:$D,$D126,$G:$G,$G126)&gt;1,"Doppelte Monatsstunden",""))</f>
        <v/>
      </c>
    </row>
    <row r="127" spans="1:10" ht="24" customHeight="1">
      <c r="A127" s="403" t="s">
        <v>333</v>
      </c>
      <c r="B127" s="394">
        <v>45778</v>
      </c>
      <c r="C127" s="394">
        <v>46142</v>
      </c>
      <c r="D127" s="395" t="s">
        <v>22</v>
      </c>
      <c r="E127" s="395" t="s">
        <v>21</v>
      </c>
      <c r="F127" s="395" t="s">
        <v>322</v>
      </c>
      <c r="G127" s="213">
        <v>129.75</v>
      </c>
      <c r="H127" s="214">
        <v>1725</v>
      </c>
      <c r="I127" s="395" t="str">
        <f>IF($A127="","",IF(OR($B127="",$C127="",$D127="",$E127="",$F127=""),"Stammdaten fehlen",IF(AND($G127="",$H127=""),"Werte fehlen",IF($G127="","Monatsstunden fehlen",IF($H127="","Monatslohn fehlt","OK")))))</f>
        <v>OK</v>
      </c>
      <c r="J127" s="411" t="str">
        <f>IF($G127="","",IF(COUNTIFS($A:$A,$A127,$D:$D,$D127,$G:$G,$G127)&gt;1,"Doppelte Monatsstunden",""))</f>
        <v/>
      </c>
    </row>
    <row r="128" spans="1:10" ht="24" customHeight="1">
      <c r="A128" s="403" t="s">
        <v>333</v>
      </c>
      <c r="B128" s="394">
        <v>45778</v>
      </c>
      <c r="C128" s="394">
        <v>46142</v>
      </c>
      <c r="D128" s="395" t="s">
        <v>22</v>
      </c>
      <c r="E128" s="395" t="s">
        <v>21</v>
      </c>
      <c r="F128" s="395" t="s">
        <v>322</v>
      </c>
      <c r="G128" s="213">
        <v>108.13</v>
      </c>
      <c r="H128" s="214">
        <v>1437.5</v>
      </c>
      <c r="I128" s="395" t="str">
        <f>IF($A128="","",IF(OR($B128="",$C128="",$D128="",$E128="",$F128=""),"Stammdaten fehlen",IF(AND($G128="",$H128=""),"Werte fehlen",IF($G128="","Monatsstunden fehlen",IF($H128="","Monatslohn fehlt","OK")))))</f>
        <v>OK</v>
      </c>
      <c r="J128" s="411" t="str">
        <f>IF($G128="","",IF(COUNTIFS($A:$A,$A128,$D:$D,$D128,$G:$G,$G128)&gt;1,"Doppelte Monatsstunden",""))</f>
        <v/>
      </c>
    </row>
    <row r="129" spans="1:10" ht="24" customHeight="1">
      <c r="A129" s="403" t="s">
        <v>333</v>
      </c>
      <c r="B129" s="394">
        <v>45778</v>
      </c>
      <c r="C129" s="394">
        <v>46142</v>
      </c>
      <c r="D129" s="395" t="s">
        <v>22</v>
      </c>
      <c r="E129" s="395" t="s">
        <v>21</v>
      </c>
      <c r="F129" s="395" t="s">
        <v>322</v>
      </c>
      <c r="G129" s="213">
        <v>103.8</v>
      </c>
      <c r="H129" s="214">
        <v>1380</v>
      </c>
      <c r="I129" s="395" t="str">
        <f>IF($A129="","",IF(OR($B129="",$C129="",$D129="",$E129="",$F129=""),"Stammdaten fehlen",IF(AND($G129="",$H129=""),"Werte fehlen",IF($G129="","Monatsstunden fehlen",IF($H129="","Monatslohn fehlt","OK")))))</f>
        <v>OK</v>
      </c>
      <c r="J129" s="411" t="str">
        <f>IF($G129="","",IF(COUNTIFS($A:$A,$A129,$D:$D,$D129,$G:$G,$G129)&gt;1,"Doppelte Monatsstunden",""))</f>
        <v/>
      </c>
    </row>
    <row r="130" spans="1:10" ht="24" customHeight="1">
      <c r="A130" s="403" t="s">
        <v>333</v>
      </c>
      <c r="B130" s="394">
        <v>45778</v>
      </c>
      <c r="C130" s="394">
        <v>46142</v>
      </c>
      <c r="D130" s="395" t="s">
        <v>22</v>
      </c>
      <c r="E130" s="395" t="s">
        <v>21</v>
      </c>
      <c r="F130" s="395" t="s">
        <v>322</v>
      </c>
      <c r="G130" s="213">
        <v>86.5</v>
      </c>
      <c r="H130" s="214">
        <v>1150</v>
      </c>
      <c r="I130" s="395" t="str">
        <f>IF($A130="","",IF(OR($B130="",$C130="",$D130="",$E130="",$F130=""),"Stammdaten fehlen",IF(AND($G130="",$H130=""),"Werte fehlen",IF($G130="","Monatsstunden fehlen",IF($H130="","Monatslohn fehlt","OK")))))</f>
        <v>OK</v>
      </c>
      <c r="J130" s="411" t="str">
        <f>IF($G130="","",IF(COUNTIFS($A:$A,$A130,$D:$D,$D130,$G:$G,$G130)&gt;1,"Doppelte Monatsstunden",""))</f>
        <v/>
      </c>
    </row>
    <row r="131" spans="1:10" ht="24" customHeight="1">
      <c r="A131" s="403" t="s">
        <v>333</v>
      </c>
      <c r="B131" s="394">
        <v>45778</v>
      </c>
      <c r="C131" s="394">
        <v>46142</v>
      </c>
      <c r="D131" s="395" t="s">
        <v>22</v>
      </c>
      <c r="E131" s="395" t="s">
        <v>21</v>
      </c>
      <c r="F131" s="395" t="s">
        <v>322</v>
      </c>
      <c r="G131" s="213">
        <v>69.2</v>
      </c>
      <c r="H131" s="214">
        <v>920</v>
      </c>
      <c r="I131" s="395" t="str">
        <f>IF($A131="","",IF(OR($B131="",$C131="",$D131="",$E131="",$F131=""),"Stammdaten fehlen",IF(AND($G131="",$H131=""),"Werte fehlen",IF($G131="","Monatsstunden fehlen",IF($H131="","Monatslohn fehlt","OK")))))</f>
        <v>OK</v>
      </c>
      <c r="J131" s="411" t="str">
        <f>IF($G131="","",IF(COUNTIFS($A:$A,$A131,$D:$D,$D131,$G:$G,$G131)&gt;1,"Doppelte Monatsstunden",""))</f>
        <v/>
      </c>
    </row>
    <row r="132" spans="1:10" ht="24" customHeight="1">
      <c r="A132" s="403" t="s">
        <v>333</v>
      </c>
      <c r="B132" s="394">
        <v>45778</v>
      </c>
      <c r="C132" s="394">
        <v>46142</v>
      </c>
      <c r="D132" s="395" t="s">
        <v>22</v>
      </c>
      <c r="E132" s="395" t="s">
        <v>21</v>
      </c>
      <c r="F132" s="395" t="s">
        <v>322</v>
      </c>
      <c r="G132" s="213">
        <v>51.9</v>
      </c>
      <c r="H132" s="214">
        <v>690</v>
      </c>
      <c r="I132" s="395" t="str">
        <f>IF($A132="","",IF(OR($B132="",$C132="",$D132="",$E132="",$F132=""),"Stammdaten fehlen",IF(AND($G132="",$H132=""),"Werte fehlen",IF($G132="","Monatsstunden fehlen",IF($H132="","Monatslohn fehlt","OK")))))</f>
        <v>OK</v>
      </c>
      <c r="J132" s="411" t="str">
        <f>IF($G132="","",IF(COUNTIFS($A:$A,$A132,$D:$D,$D132,$G:$G,$G132)&gt;1,"Doppelte Monatsstunden",""))</f>
        <v/>
      </c>
    </row>
    <row r="133" spans="1:10" ht="24" customHeight="1">
      <c r="A133" s="403" t="s">
        <v>333</v>
      </c>
      <c r="B133" s="394">
        <v>45778</v>
      </c>
      <c r="C133" s="394">
        <v>46142</v>
      </c>
      <c r="D133" s="395" t="s">
        <v>22</v>
      </c>
      <c r="E133" s="395" t="s">
        <v>21</v>
      </c>
      <c r="F133" s="395" t="s">
        <v>322</v>
      </c>
      <c r="G133" s="213">
        <v>47.58</v>
      </c>
      <c r="H133" s="214">
        <v>632.5</v>
      </c>
      <c r="I133" s="395" t="str">
        <f>IF($A133="","",IF(OR($B133="",$C133="",$D133="",$E133="",$F133=""),"Stammdaten fehlen",IF(AND($G133="",$H133=""),"Werte fehlen",IF($G133="","Monatsstunden fehlen",IF($H133="","Monatslohn fehlt","OK")))))</f>
        <v>OK</v>
      </c>
      <c r="J133" s="411" t="str">
        <f>IF($G133="","",IF(COUNTIFS($A:$A,$A133,$D:$D,$D133,$G:$G,$G133)&gt;1,"Doppelte Monatsstunden",""))</f>
        <v/>
      </c>
    </row>
    <row r="134" spans="1:10" ht="24" customHeight="1">
      <c r="A134" s="403" t="s">
        <v>333</v>
      </c>
      <c r="B134" s="394">
        <v>45778</v>
      </c>
      <c r="C134" s="394">
        <v>46142</v>
      </c>
      <c r="D134" s="395" t="s">
        <v>22</v>
      </c>
      <c r="E134" s="395" t="s">
        <v>21</v>
      </c>
      <c r="F134" s="395" t="s">
        <v>322</v>
      </c>
      <c r="G134" s="213">
        <v>43.25</v>
      </c>
      <c r="H134" s="214">
        <v>575</v>
      </c>
      <c r="I134" s="395" t="str">
        <f>IF($A134="","",IF(OR($B134="",$C134="",$D134="",$E134="",$F134=""),"Stammdaten fehlen",IF(AND($G134="",$H134=""),"Werte fehlen",IF($G134="","Monatsstunden fehlen",IF($H134="","Monatslohn fehlt","OK")))))</f>
        <v>OK</v>
      </c>
      <c r="J134" s="411" t="str">
        <f>IF($G134="","",IF(COUNTIFS($A:$A,$A134,$D:$D,$D134,$G:$G,$G134)&gt;1,"Doppelte Monatsstunden",""))</f>
        <v/>
      </c>
    </row>
    <row r="135" spans="1:10" ht="24" customHeight="1">
      <c r="A135" s="403" t="s">
        <v>333</v>
      </c>
      <c r="B135" s="394">
        <v>45778</v>
      </c>
      <c r="C135" s="394">
        <v>46142</v>
      </c>
      <c r="D135" s="395" t="s">
        <v>22</v>
      </c>
      <c r="E135" s="395" t="s">
        <v>21</v>
      </c>
      <c r="F135" s="395" t="s">
        <v>322</v>
      </c>
      <c r="G135" s="213">
        <v>34.6</v>
      </c>
      <c r="H135" s="214">
        <v>460</v>
      </c>
      <c r="I135" s="395" t="str">
        <f>IF($A135="","",IF(OR($B135="",$C135="",$D135="",$E135="",$F135=""),"Stammdaten fehlen",IF(AND($G135="",$H135=""),"Werte fehlen",IF($G135="","Monatsstunden fehlen",IF($H135="","Monatslohn fehlt","OK")))))</f>
        <v>OK</v>
      </c>
      <c r="J135" s="411" t="str">
        <f>IF($G135="","",IF(COUNTIFS($A:$A,$A135,$D:$D,$D135,$G:$G,$G135)&gt;1,"Doppelte Monatsstunden",""))</f>
        <v/>
      </c>
    </row>
    <row r="136" spans="1:10" ht="24" customHeight="1" thickBot="1">
      <c r="A136" s="403" t="s">
        <v>333</v>
      </c>
      <c r="B136" s="394">
        <v>45778</v>
      </c>
      <c r="C136" s="394">
        <v>46142</v>
      </c>
      <c r="D136" s="395" t="s">
        <v>22</v>
      </c>
      <c r="E136" s="395" t="s">
        <v>21</v>
      </c>
      <c r="F136" s="395" t="s">
        <v>322</v>
      </c>
      <c r="G136" s="213">
        <v>32.01</v>
      </c>
      <c r="H136" s="214">
        <v>425.5</v>
      </c>
      <c r="I136" s="395" t="str">
        <f>IF($A136="","",IF(OR($B136="",$C136="",$D136="",$E136="",$F136=""),"Stammdaten fehlen",IF(AND($G136="",$H136=""),"Werte fehlen",IF($G136="","Monatsstunden fehlen",IF($H136="","Monatslohn fehlt","OK")))))</f>
        <v>OK</v>
      </c>
      <c r="J136" s="411" t="str">
        <f>IF($G136="","",IF(COUNTIFS($A:$A,$A136,$D:$D,$D136,$G:$G,$G136)&gt;1,"Doppelte Monatsstunden",""))</f>
        <v/>
      </c>
    </row>
    <row r="137" spans="1:10" ht="24" customHeight="1">
      <c r="A137" s="402" t="s">
        <v>333</v>
      </c>
      <c r="B137" s="392">
        <v>45778</v>
      </c>
      <c r="C137" s="392">
        <v>46142</v>
      </c>
      <c r="D137" s="393" t="s">
        <v>23</v>
      </c>
      <c r="E137" s="393" t="s">
        <v>21</v>
      </c>
      <c r="F137" s="393" t="s">
        <v>323</v>
      </c>
      <c r="G137" s="211">
        <v>173</v>
      </c>
      <c r="H137" s="212">
        <v>2300</v>
      </c>
      <c r="I137" s="393" t="str">
        <f>IF($A137="","",IF(OR($B137="",$C137="",$D137="",$E137="",$F137=""),"Stammdaten fehlen",IF(AND($G137="",$H137=""),"Werte fehlen",IF($G137="","Monatsstunden fehlen",IF($H137="","Monatslohn fehlt","OK")))))</f>
        <v>OK</v>
      </c>
      <c r="J137" s="410" t="str">
        <f>IF($G137="","",IF(COUNTIFS($A:$A,$A137,$D:$D,$D137,$G:$G,$G137)&gt;1,"Doppelte Monatsstunden",""))</f>
        <v/>
      </c>
    </row>
    <row r="138" spans="1:10" ht="24" customHeight="1">
      <c r="A138" s="403" t="s">
        <v>333</v>
      </c>
      <c r="B138" s="394">
        <v>45778</v>
      </c>
      <c r="C138" s="394">
        <v>46142</v>
      </c>
      <c r="D138" s="395" t="s">
        <v>23</v>
      </c>
      <c r="E138" s="395" t="s">
        <v>21</v>
      </c>
      <c r="F138" s="395" t="s">
        <v>323</v>
      </c>
      <c r="G138" s="213">
        <v>151.38</v>
      </c>
      <c r="H138" s="214">
        <v>2012.5</v>
      </c>
      <c r="I138" s="395" t="str">
        <f>IF($A138="","",IF(OR($B138="",$C138="",$D138="",$E138="",$F138=""),"Stammdaten fehlen",IF(AND($G138="",$H138=""),"Werte fehlen",IF($G138="","Monatsstunden fehlen",IF($H138="","Monatslohn fehlt","OK")))))</f>
        <v>OK</v>
      </c>
      <c r="J138" s="411" t="str">
        <f>IF($G138="","",IF(COUNTIFS($A:$A,$A138,$D:$D,$D138,$G:$G,$G138)&gt;1,"Doppelte Monatsstunden",""))</f>
        <v/>
      </c>
    </row>
    <row r="139" spans="1:10" ht="24" customHeight="1">
      <c r="A139" s="403" t="s">
        <v>333</v>
      </c>
      <c r="B139" s="394">
        <v>45778</v>
      </c>
      <c r="C139" s="394">
        <v>46142</v>
      </c>
      <c r="D139" s="395" t="s">
        <v>23</v>
      </c>
      <c r="E139" s="395" t="s">
        <v>21</v>
      </c>
      <c r="F139" s="395" t="s">
        <v>323</v>
      </c>
      <c r="G139" s="213">
        <v>138.4</v>
      </c>
      <c r="H139" s="214">
        <v>1840</v>
      </c>
      <c r="I139" s="395" t="str">
        <f>IF($A139="","",IF(OR($B139="",$C139="",$D139="",$E139="",$F139=""),"Stammdaten fehlen",IF(AND($G139="",$H139=""),"Werte fehlen",IF($G139="","Monatsstunden fehlen",IF($H139="","Monatslohn fehlt","OK")))))</f>
        <v>OK</v>
      </c>
      <c r="J139" s="411" t="str">
        <f>IF($G139="","",IF(COUNTIFS($A:$A,$A139,$D:$D,$D139,$G:$G,$G139)&gt;1,"Doppelte Monatsstunden",""))</f>
        <v/>
      </c>
    </row>
    <row r="140" spans="1:10" ht="24" customHeight="1">
      <c r="A140" s="403" t="s">
        <v>333</v>
      </c>
      <c r="B140" s="394">
        <v>45778</v>
      </c>
      <c r="C140" s="394">
        <v>46142</v>
      </c>
      <c r="D140" s="395" t="s">
        <v>23</v>
      </c>
      <c r="E140" s="395" t="s">
        <v>21</v>
      </c>
      <c r="F140" s="395" t="s">
        <v>323</v>
      </c>
      <c r="G140" s="213">
        <v>129.75</v>
      </c>
      <c r="H140" s="214">
        <v>1725</v>
      </c>
      <c r="I140" s="395" t="str">
        <f>IF($A140="","",IF(OR($B140="",$C140="",$D140="",$E140="",$F140=""),"Stammdaten fehlen",IF(AND($G140="",$H140=""),"Werte fehlen",IF($G140="","Monatsstunden fehlen",IF($H140="","Monatslohn fehlt","OK")))))</f>
        <v>OK</v>
      </c>
      <c r="J140" s="411" t="str">
        <f>IF($G140="","",IF(COUNTIFS($A:$A,$A140,$D:$D,$D140,$G:$G,$G140)&gt;1,"Doppelte Monatsstunden",""))</f>
        <v/>
      </c>
    </row>
    <row r="141" spans="1:10" ht="24" customHeight="1">
      <c r="A141" s="403" t="s">
        <v>333</v>
      </c>
      <c r="B141" s="394">
        <v>45778</v>
      </c>
      <c r="C141" s="394">
        <v>46142</v>
      </c>
      <c r="D141" s="395" t="s">
        <v>23</v>
      </c>
      <c r="E141" s="395" t="s">
        <v>21</v>
      </c>
      <c r="F141" s="395" t="s">
        <v>323</v>
      </c>
      <c r="G141" s="213">
        <v>108.13</v>
      </c>
      <c r="H141" s="214">
        <v>1437.5</v>
      </c>
      <c r="I141" s="395" t="str">
        <f>IF($A141="","",IF(OR($B141="",$C141="",$D141="",$E141="",$F141=""),"Stammdaten fehlen",IF(AND($G141="",$H141=""),"Werte fehlen",IF($G141="","Monatsstunden fehlen",IF($H141="","Monatslohn fehlt","OK")))))</f>
        <v>OK</v>
      </c>
      <c r="J141" s="411" t="str">
        <f>IF($G141="","",IF(COUNTIFS($A:$A,$A141,$D:$D,$D141,$G:$G,$G141)&gt;1,"Doppelte Monatsstunden",""))</f>
        <v/>
      </c>
    </row>
    <row r="142" spans="1:10" ht="24" customHeight="1">
      <c r="A142" s="403" t="s">
        <v>333</v>
      </c>
      <c r="B142" s="394">
        <v>45778</v>
      </c>
      <c r="C142" s="394">
        <v>46142</v>
      </c>
      <c r="D142" s="395" t="s">
        <v>23</v>
      </c>
      <c r="E142" s="395" t="s">
        <v>21</v>
      </c>
      <c r="F142" s="395" t="s">
        <v>323</v>
      </c>
      <c r="G142" s="213">
        <v>103.8</v>
      </c>
      <c r="H142" s="214">
        <v>1380</v>
      </c>
      <c r="I142" s="395" t="str">
        <f>IF($A142="","",IF(OR($B142="",$C142="",$D142="",$E142="",$F142=""),"Stammdaten fehlen",IF(AND($G142="",$H142=""),"Werte fehlen",IF($G142="","Monatsstunden fehlen",IF($H142="","Monatslohn fehlt","OK")))))</f>
        <v>OK</v>
      </c>
      <c r="J142" s="411" t="str">
        <f>IF($G142="","",IF(COUNTIFS($A:$A,$A142,$D:$D,$D142,$G:$G,$G142)&gt;1,"Doppelte Monatsstunden",""))</f>
        <v/>
      </c>
    </row>
    <row r="143" spans="1:10" ht="24" customHeight="1">
      <c r="A143" s="403" t="s">
        <v>333</v>
      </c>
      <c r="B143" s="394">
        <v>45778</v>
      </c>
      <c r="C143" s="394">
        <v>46142</v>
      </c>
      <c r="D143" s="395" t="s">
        <v>23</v>
      </c>
      <c r="E143" s="395" t="s">
        <v>21</v>
      </c>
      <c r="F143" s="395" t="s">
        <v>323</v>
      </c>
      <c r="G143" s="213">
        <v>86.5</v>
      </c>
      <c r="H143" s="214">
        <v>1150</v>
      </c>
      <c r="I143" s="395" t="str">
        <f>IF($A143="","",IF(OR($B143="",$C143="",$D143="",$E143="",$F143=""),"Stammdaten fehlen",IF(AND($G143="",$H143=""),"Werte fehlen",IF($G143="","Monatsstunden fehlen",IF($H143="","Monatslohn fehlt","OK")))))</f>
        <v>OK</v>
      </c>
      <c r="J143" s="411" t="str">
        <f>IF($G143="","",IF(COUNTIFS($A:$A,$A143,$D:$D,$D143,$G:$G,$G143)&gt;1,"Doppelte Monatsstunden",""))</f>
        <v/>
      </c>
    </row>
    <row r="144" spans="1:10" ht="24" customHeight="1">
      <c r="A144" s="403" t="s">
        <v>333</v>
      </c>
      <c r="B144" s="394">
        <v>45778</v>
      </c>
      <c r="C144" s="394">
        <v>46142</v>
      </c>
      <c r="D144" s="395" t="s">
        <v>23</v>
      </c>
      <c r="E144" s="395" t="s">
        <v>21</v>
      </c>
      <c r="F144" s="395" t="s">
        <v>323</v>
      </c>
      <c r="G144" s="213">
        <v>69.2</v>
      </c>
      <c r="H144" s="214">
        <v>920</v>
      </c>
      <c r="I144" s="395" t="str">
        <f>IF($A144="","",IF(OR($B144="",$C144="",$D144="",$E144="",$F144=""),"Stammdaten fehlen",IF(AND($G144="",$H144=""),"Werte fehlen",IF($G144="","Monatsstunden fehlen",IF($H144="","Monatslohn fehlt","OK")))))</f>
        <v>OK</v>
      </c>
      <c r="J144" s="411" t="str">
        <f>IF($G144="","",IF(COUNTIFS($A:$A,$A144,$D:$D,$D144,$G:$G,$G144)&gt;1,"Doppelte Monatsstunden",""))</f>
        <v/>
      </c>
    </row>
    <row r="145" spans="1:10" ht="24" customHeight="1">
      <c r="A145" s="403" t="s">
        <v>333</v>
      </c>
      <c r="B145" s="394">
        <v>45778</v>
      </c>
      <c r="C145" s="394">
        <v>46142</v>
      </c>
      <c r="D145" s="395" t="s">
        <v>23</v>
      </c>
      <c r="E145" s="395" t="s">
        <v>21</v>
      </c>
      <c r="F145" s="395" t="s">
        <v>323</v>
      </c>
      <c r="G145" s="213">
        <v>51.9</v>
      </c>
      <c r="H145" s="214">
        <v>690</v>
      </c>
      <c r="I145" s="395" t="str">
        <f>IF($A145="","",IF(OR($B145="",$C145="",$D145="",$E145="",$F145=""),"Stammdaten fehlen",IF(AND($G145="",$H145=""),"Werte fehlen",IF($G145="","Monatsstunden fehlen",IF($H145="","Monatslohn fehlt","OK")))))</f>
        <v>OK</v>
      </c>
      <c r="J145" s="411" t="str">
        <f>IF($G145="","",IF(COUNTIFS($A:$A,$A145,$D:$D,$D145,$G:$G,$G145)&gt;1,"Doppelte Monatsstunden",""))</f>
        <v/>
      </c>
    </row>
    <row r="146" spans="1:10" ht="24" customHeight="1">
      <c r="A146" s="403" t="s">
        <v>333</v>
      </c>
      <c r="B146" s="394">
        <v>45778</v>
      </c>
      <c r="C146" s="394">
        <v>46142</v>
      </c>
      <c r="D146" s="395" t="s">
        <v>23</v>
      </c>
      <c r="E146" s="395" t="s">
        <v>21</v>
      </c>
      <c r="F146" s="395" t="s">
        <v>323</v>
      </c>
      <c r="G146" s="213">
        <v>47.58</v>
      </c>
      <c r="H146" s="214">
        <v>632.5</v>
      </c>
      <c r="I146" s="395" t="str">
        <f>IF($A146="","",IF(OR($B146="",$C146="",$D146="",$E146="",$F146=""),"Stammdaten fehlen",IF(AND($G146="",$H146=""),"Werte fehlen",IF($G146="","Monatsstunden fehlen",IF($H146="","Monatslohn fehlt","OK")))))</f>
        <v>OK</v>
      </c>
      <c r="J146" s="411" t="str">
        <f>IF($G146="","",IF(COUNTIFS($A:$A,$A146,$D:$D,$D146,$G:$G,$G146)&gt;1,"Doppelte Monatsstunden",""))</f>
        <v/>
      </c>
    </row>
    <row r="147" spans="1:10" ht="24" customHeight="1">
      <c r="A147" s="403" t="s">
        <v>333</v>
      </c>
      <c r="B147" s="394">
        <v>45778</v>
      </c>
      <c r="C147" s="394">
        <v>46142</v>
      </c>
      <c r="D147" s="395" t="s">
        <v>23</v>
      </c>
      <c r="E147" s="395" t="s">
        <v>21</v>
      </c>
      <c r="F147" s="395" t="s">
        <v>323</v>
      </c>
      <c r="G147" s="213">
        <v>43.25</v>
      </c>
      <c r="H147" s="214">
        <v>575</v>
      </c>
      <c r="I147" s="395" t="str">
        <f>IF($A147="","",IF(OR($B147="",$C147="",$D147="",$E147="",$F147=""),"Stammdaten fehlen",IF(AND($G147="",$H147=""),"Werte fehlen",IF($G147="","Monatsstunden fehlen",IF($H147="","Monatslohn fehlt","OK")))))</f>
        <v>OK</v>
      </c>
      <c r="J147" s="411" t="str">
        <f>IF($G147="","",IF(COUNTIFS($A:$A,$A147,$D:$D,$D147,$G:$G,$G147)&gt;1,"Doppelte Monatsstunden",""))</f>
        <v/>
      </c>
    </row>
    <row r="148" spans="1:10" ht="24" customHeight="1">
      <c r="A148" s="403" t="s">
        <v>333</v>
      </c>
      <c r="B148" s="394">
        <v>45778</v>
      </c>
      <c r="C148" s="394">
        <v>46142</v>
      </c>
      <c r="D148" s="395" t="s">
        <v>23</v>
      </c>
      <c r="E148" s="395" t="s">
        <v>21</v>
      </c>
      <c r="F148" s="395" t="s">
        <v>323</v>
      </c>
      <c r="G148" s="213">
        <v>34.6</v>
      </c>
      <c r="H148" s="214">
        <v>460</v>
      </c>
      <c r="I148" s="395" t="str">
        <f>IF($A148="","",IF(OR($B148="",$C148="",$D148="",$E148="",$F148=""),"Stammdaten fehlen",IF(AND($G148="",$H148=""),"Werte fehlen",IF($G148="","Monatsstunden fehlen",IF($H148="","Monatslohn fehlt","OK")))))</f>
        <v>OK</v>
      </c>
      <c r="J148" s="411" t="str">
        <f>IF($G148="","",IF(COUNTIFS($A:$A,$A148,$D:$D,$D148,$G:$G,$G148)&gt;1,"Doppelte Monatsstunden",""))</f>
        <v/>
      </c>
    </row>
    <row r="149" spans="1:10" ht="24" customHeight="1" thickBot="1">
      <c r="A149" s="403" t="s">
        <v>333</v>
      </c>
      <c r="B149" s="394">
        <v>45778</v>
      </c>
      <c r="C149" s="394">
        <v>46142</v>
      </c>
      <c r="D149" s="395" t="s">
        <v>23</v>
      </c>
      <c r="E149" s="395" t="s">
        <v>21</v>
      </c>
      <c r="F149" s="395" t="s">
        <v>323</v>
      </c>
      <c r="G149" s="213">
        <v>32.01</v>
      </c>
      <c r="H149" s="214">
        <v>425.5</v>
      </c>
      <c r="I149" s="395" t="str">
        <f>IF($A149="","",IF(OR($B149="",$C149="",$D149="",$E149="",$F149=""),"Stammdaten fehlen",IF(AND($G149="",$H149=""),"Werte fehlen",IF($G149="","Monatsstunden fehlen",IF($H149="","Monatslohn fehlt","OK")))))</f>
        <v>OK</v>
      </c>
      <c r="J149" s="411" t="str">
        <f>IF($G149="","",IF(COUNTIFS($A:$A,$A149,$D:$D,$D149,$G:$G,$G149)&gt;1,"Doppelte Monatsstunden",""))</f>
        <v/>
      </c>
    </row>
    <row r="150" spans="1:10" ht="24" customHeight="1">
      <c r="A150" s="402" t="s">
        <v>333</v>
      </c>
      <c r="B150" s="392">
        <v>45778</v>
      </c>
      <c r="C150" s="392">
        <v>46142</v>
      </c>
      <c r="D150" s="393" t="s">
        <v>24</v>
      </c>
      <c r="E150" s="393" t="s">
        <v>21</v>
      </c>
      <c r="F150" s="393" t="s">
        <v>324</v>
      </c>
      <c r="G150" s="211">
        <v>173</v>
      </c>
      <c r="H150" s="212">
        <v>2328</v>
      </c>
      <c r="I150" s="393" t="str">
        <f>IF($A150="","",IF(OR($B150="",$C150="",$D150="",$E150="",$F150=""),"Stammdaten fehlen",IF(AND($G150="",$H150=""),"Werte fehlen",IF($G150="","Monatsstunden fehlen",IF($H150="","Monatslohn fehlt","OK")))))</f>
        <v>OK</v>
      </c>
      <c r="J150" s="410" t="str">
        <f>IF($G150="","",IF(COUNTIFS($A:$A,$A150,$D:$D,$D150,$G:$G,$G150)&gt;1,"Doppelte Monatsstunden",""))</f>
        <v/>
      </c>
    </row>
    <row r="151" spans="1:10" ht="24" customHeight="1">
      <c r="A151" s="403" t="s">
        <v>333</v>
      </c>
      <c r="B151" s="394">
        <v>45778</v>
      </c>
      <c r="C151" s="394">
        <v>46142</v>
      </c>
      <c r="D151" s="395" t="s">
        <v>24</v>
      </c>
      <c r="E151" s="395" t="s">
        <v>21</v>
      </c>
      <c r="F151" s="395" t="s">
        <v>324</v>
      </c>
      <c r="G151" s="213">
        <v>151.38</v>
      </c>
      <c r="H151" s="214">
        <v>2037</v>
      </c>
      <c r="I151" s="395" t="str">
        <f>IF($A151="","",IF(OR($B151="",$C151="",$D151="",$E151="",$F151=""),"Stammdaten fehlen",IF(AND($G151="",$H151=""),"Werte fehlen",IF($G151="","Monatsstunden fehlen",IF($H151="","Monatslohn fehlt","OK")))))</f>
        <v>OK</v>
      </c>
      <c r="J151" s="411" t="str">
        <f>IF($G151="","",IF(COUNTIFS($A:$A,$A151,$D:$D,$D151,$G:$G,$G151)&gt;1,"Doppelte Monatsstunden",""))</f>
        <v/>
      </c>
    </row>
    <row r="152" spans="1:10" ht="24" customHeight="1">
      <c r="A152" s="403" t="s">
        <v>333</v>
      </c>
      <c r="B152" s="394">
        <v>45778</v>
      </c>
      <c r="C152" s="394">
        <v>46142</v>
      </c>
      <c r="D152" s="395" t="s">
        <v>24</v>
      </c>
      <c r="E152" s="395" t="s">
        <v>21</v>
      </c>
      <c r="F152" s="395" t="s">
        <v>324</v>
      </c>
      <c r="G152" s="213">
        <v>138.4</v>
      </c>
      <c r="H152" s="214">
        <v>1862.4</v>
      </c>
      <c r="I152" s="395" t="str">
        <f>IF($A152="","",IF(OR($B152="",$C152="",$D152="",$E152="",$F152=""),"Stammdaten fehlen",IF(AND($G152="",$H152=""),"Werte fehlen",IF($G152="","Monatsstunden fehlen",IF($H152="","Monatslohn fehlt","OK")))))</f>
        <v>OK</v>
      </c>
      <c r="J152" s="411" t="str">
        <f>IF($G152="","",IF(COUNTIFS($A:$A,$A152,$D:$D,$D152,$G:$G,$G152)&gt;1,"Doppelte Monatsstunden",""))</f>
        <v/>
      </c>
    </row>
    <row r="153" spans="1:10" ht="24" customHeight="1">
      <c r="A153" s="403" t="s">
        <v>333</v>
      </c>
      <c r="B153" s="394">
        <v>45778</v>
      </c>
      <c r="C153" s="394">
        <v>46142</v>
      </c>
      <c r="D153" s="395" t="s">
        <v>24</v>
      </c>
      <c r="E153" s="395" t="s">
        <v>21</v>
      </c>
      <c r="F153" s="395" t="s">
        <v>324</v>
      </c>
      <c r="G153" s="213">
        <v>129.75</v>
      </c>
      <c r="H153" s="214">
        <v>1476</v>
      </c>
      <c r="I153" s="395" t="str">
        <f>IF($A153="","",IF(OR($B153="",$C153="",$D153="",$E153="",$F153=""),"Stammdaten fehlen",IF(AND($G153="",$H153=""),"Werte fehlen",IF($G153="","Monatsstunden fehlen",IF($H153="","Monatslohn fehlt","OK")))))</f>
        <v>OK</v>
      </c>
      <c r="J153" s="411" t="str">
        <f>IF($G153="","",IF(COUNTIFS($A:$A,$A153,$D:$D,$D153,$G:$G,$G153)&gt;1,"Doppelte Monatsstunden",""))</f>
        <v/>
      </c>
    </row>
    <row r="154" spans="1:10" ht="24" customHeight="1">
      <c r="A154" s="403" t="s">
        <v>333</v>
      </c>
      <c r="B154" s="394">
        <v>45778</v>
      </c>
      <c r="C154" s="394">
        <v>46142</v>
      </c>
      <c r="D154" s="395" t="s">
        <v>24</v>
      </c>
      <c r="E154" s="395" t="s">
        <v>21</v>
      </c>
      <c r="F154" s="395" t="s">
        <v>324</v>
      </c>
      <c r="G154" s="213">
        <v>108.13</v>
      </c>
      <c r="H154" s="214">
        <v>1455</v>
      </c>
      <c r="I154" s="395" t="str">
        <f>IF($A154="","",IF(OR($B154="",$C154="",$D154="",$E154="",$F154=""),"Stammdaten fehlen",IF(AND($G154="",$H154=""),"Werte fehlen",IF($G154="","Monatsstunden fehlen",IF($H154="","Monatslohn fehlt","OK")))))</f>
        <v>OK</v>
      </c>
      <c r="J154" s="411" t="str">
        <f>IF($G154="","",IF(COUNTIFS($A:$A,$A154,$D:$D,$D154,$G:$G,$G154)&gt;1,"Doppelte Monatsstunden",""))</f>
        <v/>
      </c>
    </row>
    <row r="155" spans="1:10" ht="24" customHeight="1">
      <c r="A155" s="403" t="s">
        <v>333</v>
      </c>
      <c r="B155" s="394">
        <v>45778</v>
      </c>
      <c r="C155" s="394">
        <v>46142</v>
      </c>
      <c r="D155" s="395" t="s">
        <v>24</v>
      </c>
      <c r="E155" s="395" t="s">
        <v>21</v>
      </c>
      <c r="F155" s="395" t="s">
        <v>324</v>
      </c>
      <c r="G155" s="213">
        <v>103.8</v>
      </c>
      <c r="H155" s="214">
        <v>1396.8</v>
      </c>
      <c r="I155" s="395" t="str">
        <f>IF($A155="","",IF(OR($B155="",$C155="",$D155="",$E155="",$F155=""),"Stammdaten fehlen",IF(AND($G155="",$H155=""),"Werte fehlen",IF($G155="","Monatsstunden fehlen",IF($H155="","Monatslohn fehlt","OK")))))</f>
        <v>OK</v>
      </c>
      <c r="J155" s="411" t="str">
        <f>IF($G155="","",IF(COUNTIFS($A:$A,$A155,$D:$D,$D155,$G:$G,$G155)&gt;1,"Doppelte Monatsstunden",""))</f>
        <v/>
      </c>
    </row>
    <row r="156" spans="1:10" ht="24" customHeight="1">
      <c r="A156" s="403" t="s">
        <v>333</v>
      </c>
      <c r="B156" s="394">
        <v>45778</v>
      </c>
      <c r="C156" s="394">
        <v>46142</v>
      </c>
      <c r="D156" s="395" t="s">
        <v>24</v>
      </c>
      <c r="E156" s="395" t="s">
        <v>21</v>
      </c>
      <c r="F156" s="395" t="s">
        <v>324</v>
      </c>
      <c r="G156" s="213">
        <v>86.5</v>
      </c>
      <c r="H156" s="214">
        <v>1164</v>
      </c>
      <c r="I156" s="395" t="str">
        <f>IF($A156="","",IF(OR($B156="",$C156="",$D156="",$E156="",$F156=""),"Stammdaten fehlen",IF(AND($G156="",$H156=""),"Werte fehlen",IF($G156="","Monatsstunden fehlen",IF($H156="","Monatslohn fehlt","OK")))))</f>
        <v>OK</v>
      </c>
      <c r="J156" s="411" t="str">
        <f>IF($G156="","",IF(COUNTIFS($A:$A,$A156,$D:$D,$D156,$G:$G,$G156)&gt;1,"Doppelte Monatsstunden",""))</f>
        <v/>
      </c>
    </row>
    <row r="157" spans="1:10" ht="24" customHeight="1">
      <c r="A157" s="403" t="s">
        <v>333</v>
      </c>
      <c r="B157" s="394">
        <v>45778</v>
      </c>
      <c r="C157" s="394">
        <v>46142</v>
      </c>
      <c r="D157" s="395" t="s">
        <v>24</v>
      </c>
      <c r="E157" s="395" t="s">
        <v>21</v>
      </c>
      <c r="F157" s="395" t="s">
        <v>324</v>
      </c>
      <c r="G157" s="213">
        <v>69.2</v>
      </c>
      <c r="H157" s="214">
        <v>931.2</v>
      </c>
      <c r="I157" s="395" t="str">
        <f>IF($A157="","",IF(OR($B157="",$C157="",$D157="",$E157="",$F157=""),"Stammdaten fehlen",IF(AND($G157="",$H157=""),"Werte fehlen",IF($G157="","Monatsstunden fehlen",IF($H157="","Monatslohn fehlt","OK")))))</f>
        <v>OK</v>
      </c>
      <c r="J157" s="411" t="str">
        <f>IF($G157="","",IF(COUNTIFS($A:$A,$A157,$D:$D,$D157,$G:$G,$G157)&gt;1,"Doppelte Monatsstunden",""))</f>
        <v/>
      </c>
    </row>
    <row r="158" spans="1:10" ht="24" customHeight="1">
      <c r="A158" s="403" t="s">
        <v>333</v>
      </c>
      <c r="B158" s="394">
        <v>45778</v>
      </c>
      <c r="C158" s="394">
        <v>46142</v>
      </c>
      <c r="D158" s="395" t="s">
        <v>24</v>
      </c>
      <c r="E158" s="395" t="s">
        <v>21</v>
      </c>
      <c r="F158" s="395" t="s">
        <v>324</v>
      </c>
      <c r="G158" s="213">
        <v>51.9</v>
      </c>
      <c r="H158" s="214">
        <v>698.4</v>
      </c>
      <c r="I158" s="395" t="str">
        <f>IF($A158="","",IF(OR($B158="",$C158="",$D158="",$E158="",$F158=""),"Stammdaten fehlen",IF(AND($G158="",$H158=""),"Werte fehlen",IF($G158="","Monatsstunden fehlen",IF($H158="","Monatslohn fehlt","OK")))))</f>
        <v>OK</v>
      </c>
      <c r="J158" s="411" t="str">
        <f>IF($G158="","",IF(COUNTIFS($A:$A,$A158,$D:$D,$D158,$G:$G,$G158)&gt;1,"Doppelte Monatsstunden",""))</f>
        <v/>
      </c>
    </row>
    <row r="159" spans="1:10" ht="24" customHeight="1">
      <c r="A159" s="403" t="s">
        <v>333</v>
      </c>
      <c r="B159" s="394">
        <v>45778</v>
      </c>
      <c r="C159" s="394">
        <v>46142</v>
      </c>
      <c r="D159" s="395" t="s">
        <v>24</v>
      </c>
      <c r="E159" s="395" t="s">
        <v>21</v>
      </c>
      <c r="F159" s="395" t="s">
        <v>324</v>
      </c>
      <c r="G159" s="213">
        <v>47.58</v>
      </c>
      <c r="H159" s="214">
        <v>640</v>
      </c>
      <c r="I159" s="395" t="str">
        <f>IF($A159="","",IF(OR($B159="",$C159="",$D159="",$E159="",$F159=""),"Stammdaten fehlen",IF(AND($G159="",$H159=""),"Werte fehlen",IF($G159="","Monatsstunden fehlen",IF($H159="","Monatslohn fehlt","OK")))))</f>
        <v>OK</v>
      </c>
      <c r="J159" s="411" t="str">
        <f>IF($G159="","",IF(COUNTIFS($A:$A,$A159,$D:$D,$D159,$G:$G,$G159)&gt;1,"Doppelte Monatsstunden",""))</f>
        <v/>
      </c>
    </row>
    <row r="160" spans="1:10" ht="24" customHeight="1">
      <c r="A160" s="403" t="s">
        <v>333</v>
      </c>
      <c r="B160" s="394">
        <v>45778</v>
      </c>
      <c r="C160" s="394">
        <v>46142</v>
      </c>
      <c r="D160" s="395" t="s">
        <v>24</v>
      </c>
      <c r="E160" s="395" t="s">
        <v>21</v>
      </c>
      <c r="F160" s="395" t="s">
        <v>324</v>
      </c>
      <c r="G160" s="213">
        <v>43.25</v>
      </c>
      <c r="H160" s="214">
        <v>582</v>
      </c>
      <c r="I160" s="395" t="str">
        <f>IF($A160="","",IF(OR($B160="",$C160="",$D160="",$E160="",$F160=""),"Stammdaten fehlen",IF(AND($G160="",$H160=""),"Werte fehlen",IF($G160="","Monatsstunden fehlen",IF($H160="","Monatslohn fehlt","OK")))))</f>
        <v>OK</v>
      </c>
      <c r="J160" s="411" t="str">
        <f>IF($G160="","",IF(COUNTIFS($A:$A,$A160,$D:$D,$D160,$G:$G,$G160)&gt;1,"Doppelte Monatsstunden",""))</f>
        <v/>
      </c>
    </row>
    <row r="161" spans="1:10" ht="24" customHeight="1">
      <c r="A161" s="403" t="s">
        <v>333</v>
      </c>
      <c r="B161" s="394">
        <v>45778</v>
      </c>
      <c r="C161" s="394">
        <v>46142</v>
      </c>
      <c r="D161" s="395" t="s">
        <v>24</v>
      </c>
      <c r="E161" s="395" t="s">
        <v>21</v>
      </c>
      <c r="F161" s="395" t="s">
        <v>324</v>
      </c>
      <c r="G161" s="213">
        <v>34.6</v>
      </c>
      <c r="H161" s="214">
        <v>465.6</v>
      </c>
      <c r="I161" s="395" t="str">
        <f>IF($A161="","",IF(OR($B161="",$C161="",$D161="",$E161="",$F161=""),"Stammdaten fehlen",IF(AND($G161="",$H161=""),"Werte fehlen",IF($G161="","Monatsstunden fehlen",IF($H161="","Monatslohn fehlt","OK")))))</f>
        <v>OK</v>
      </c>
      <c r="J161" s="411" t="str">
        <f>IF($G161="","",IF(COUNTIFS($A:$A,$A161,$D:$D,$D161,$G:$G,$G161)&gt;1,"Doppelte Monatsstunden",""))</f>
        <v/>
      </c>
    </row>
    <row r="162" spans="1:10" ht="24" customHeight="1" thickBot="1">
      <c r="A162" s="412" t="s">
        <v>333</v>
      </c>
      <c r="B162" s="413">
        <v>45778</v>
      </c>
      <c r="C162" s="413">
        <v>46142</v>
      </c>
      <c r="D162" s="414" t="s">
        <v>24</v>
      </c>
      <c r="E162" s="414" t="s">
        <v>21</v>
      </c>
      <c r="F162" s="414" t="s">
        <v>324</v>
      </c>
      <c r="G162" s="215">
        <v>32.01</v>
      </c>
      <c r="H162" s="216">
        <v>430.68</v>
      </c>
      <c r="I162" s="414" t="str">
        <f>IF($A162="","",IF(OR($B162="",$C162="",$D162="",$E162="",$F162=""),"Stammdaten fehlen",IF(AND($G162="",$H162=""),"Werte fehlen",IF($G162="","Monatsstunden fehlen",IF($H162="","Monatslohn fehlt","OK")))))</f>
        <v>OK</v>
      </c>
      <c r="J162" s="415" t="str">
        <f>IF($G162="","",IF(COUNTIFS($A:$A,$A162,$D:$D,$D162,$G:$G,$G162)&gt;1,"Doppelte Monatsstunden",""))</f>
        <v/>
      </c>
    </row>
  </sheetData>
  <sheetProtection algorithmName="SHA-512" hashValue="wil7toxAMoSyzk20z2HWXMxf/is05noFBL960qJlTrq6LIqCMTsB+Vtf++Az2TMB4WcGRxXmdTZWbDoFEWmk+g==" saltValue="7drNcDN06you+UViDROZ/A==" spinCount="100000" sheet="1" objects="1" scenarios="1" sort="0" autoFilter="0"/>
  <mergeCells count="3">
    <mergeCell ref="A1:J1"/>
    <mergeCell ref="A4:J4"/>
    <mergeCell ref="A2:H2"/>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453125" defaultRowHeight="14.5"/>
  <cols>
    <col min="1" max="1" width="4" customWidth="1"/>
    <col min="2" max="2" width="12.453125"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15" ht="15" customHeight="1">
      <c r="B1" s="228" t="s">
        <v>25</v>
      </c>
      <c r="C1" s="228"/>
      <c r="D1" s="228"/>
      <c r="E1" s="228"/>
      <c r="F1" s="228"/>
      <c r="G1" s="228"/>
      <c r="H1" s="228"/>
      <c r="I1" s="228"/>
      <c r="J1" s="228"/>
      <c r="K1" s="228"/>
      <c r="L1" s="228"/>
      <c r="M1" s="228"/>
      <c r="N1" s="228"/>
      <c r="O1" s="228"/>
    </row>
    <row r="2" spans="2:15" ht="17.25" customHeight="1">
      <c r="B2" s="228"/>
      <c r="C2" s="228"/>
      <c r="D2" s="228"/>
      <c r="E2" s="228"/>
      <c r="F2" s="228"/>
      <c r="G2" s="228"/>
      <c r="H2" s="228"/>
      <c r="I2" s="228"/>
      <c r="J2" s="228"/>
      <c r="K2" s="228"/>
      <c r="L2" s="228"/>
      <c r="M2" s="228"/>
      <c r="N2" s="228"/>
      <c r="O2" s="228"/>
    </row>
    <row r="3" spans="2:15" ht="18" customHeight="1">
      <c r="B3" s="233" t="s">
        <v>26</v>
      </c>
      <c r="C3" s="233"/>
      <c r="D3" s="233"/>
      <c r="E3" s="233"/>
      <c r="F3" s="233"/>
      <c r="H3" s="230" t="s">
        <v>27</v>
      </c>
      <c r="I3" s="230"/>
      <c r="K3" s="232" t="s">
        <v>28</v>
      </c>
      <c r="L3" s="232"/>
      <c r="N3" s="230" t="s">
        <v>29</v>
      </c>
      <c r="O3" s="230"/>
    </row>
    <row r="4" spans="2:15" ht="15" customHeight="1">
      <c r="B4" s="233"/>
      <c r="C4" s="233"/>
      <c r="D4" s="233"/>
      <c r="E4" s="233"/>
      <c r="F4" s="233"/>
      <c r="H4" s="230"/>
      <c r="I4" s="230"/>
      <c r="K4" s="232"/>
      <c r="L4" s="232"/>
      <c r="N4" s="230"/>
      <c r="O4" s="230"/>
    </row>
    <row r="5" spans="2:15">
      <c r="B5" s="56"/>
      <c r="C5" s="56" t="s">
        <v>30</v>
      </c>
      <c r="D5" s="56" t="s">
        <v>31</v>
      </c>
      <c r="E5" s="56" t="s">
        <v>32</v>
      </c>
      <c r="F5" s="56" t="s">
        <v>33</v>
      </c>
      <c r="H5" s="231" t="s">
        <v>34</v>
      </c>
      <c r="I5" s="231"/>
      <c r="K5" s="231" t="s">
        <v>34</v>
      </c>
      <c r="L5" s="231"/>
      <c r="N5" s="231" t="s">
        <v>35</v>
      </c>
      <c r="O5" s="231"/>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29" t="s">
        <v>49</v>
      </c>
      <c r="C19" s="229"/>
      <c r="D19" s="229"/>
      <c r="E19" s="229"/>
      <c r="F19" s="229"/>
      <c r="H19" s="230" t="s">
        <v>50</v>
      </c>
      <c r="I19" s="230"/>
      <c r="K19" s="232" t="s">
        <v>51</v>
      </c>
      <c r="L19" s="232"/>
      <c r="N19" s="234" t="s">
        <v>203</v>
      </c>
      <c r="O19" s="234"/>
      <c r="P19" s="234"/>
      <c r="Q19" s="234"/>
      <c r="R19" s="234"/>
      <c r="S19" s="234"/>
      <c r="T19" s="234"/>
      <c r="U19" s="234"/>
    </row>
    <row r="20" spans="2:21">
      <c r="B20" s="229"/>
      <c r="C20" s="229"/>
      <c r="D20" s="229"/>
      <c r="E20" s="229"/>
      <c r="F20" s="229"/>
      <c r="H20" s="230"/>
      <c r="I20" s="230"/>
      <c r="K20" s="232"/>
      <c r="L20" s="232"/>
      <c r="N20" s="234"/>
      <c r="O20" s="234"/>
      <c r="P20" s="234"/>
      <c r="Q20" s="234"/>
      <c r="R20" s="234"/>
      <c r="S20" s="234"/>
      <c r="T20" s="234"/>
      <c r="U20" s="234"/>
    </row>
    <row r="21" spans="2:21">
      <c r="B21" s="56"/>
      <c r="C21" s="56" t="s">
        <v>30</v>
      </c>
      <c r="D21" s="56" t="s">
        <v>31</v>
      </c>
      <c r="E21" s="56" t="s">
        <v>32</v>
      </c>
      <c r="F21" s="56" t="s">
        <v>33</v>
      </c>
      <c r="H21" s="231" t="s">
        <v>34</v>
      </c>
      <c r="I21" s="231"/>
      <c r="K21" s="231" t="s">
        <v>34</v>
      </c>
      <c r="L21" s="231"/>
      <c r="N21" s="234"/>
      <c r="O21" s="234"/>
      <c r="P21" s="234"/>
      <c r="Q21" s="234"/>
      <c r="R21" s="234"/>
      <c r="S21" s="234"/>
      <c r="T21" s="234"/>
      <c r="U21" s="234"/>
    </row>
    <row r="22" spans="2:21">
      <c r="B22" s="57" t="s">
        <v>36</v>
      </c>
      <c r="C22" s="3">
        <v>1</v>
      </c>
      <c r="D22" s="87">
        <f>UBERSICHT!G7</f>
        <v>0</v>
      </c>
      <c r="E22" s="58">
        <f>Januar!$S$37</f>
        <v>0</v>
      </c>
      <c r="F22" s="50">
        <v>1</v>
      </c>
      <c r="H22" s="59" t="s">
        <v>36</v>
      </c>
      <c r="I22" s="51">
        <v>1</v>
      </c>
      <c r="K22" s="59" t="s">
        <v>36</v>
      </c>
      <c r="L22" s="51">
        <v>1</v>
      </c>
      <c r="N22" s="234"/>
      <c r="O22" s="234"/>
      <c r="P22" s="234"/>
      <c r="Q22" s="234"/>
      <c r="R22" s="234"/>
      <c r="S22" s="234"/>
      <c r="T22" s="234"/>
      <c r="U22" s="234"/>
    </row>
    <row r="23" spans="2:21">
      <c r="B23" s="57" t="s">
        <v>37</v>
      </c>
      <c r="C23" s="3">
        <v>2</v>
      </c>
      <c r="D23" s="87">
        <f>UBERSICHT!G8</f>
        <v>0</v>
      </c>
      <c r="E23" s="58">
        <f>Februar!$S$37</f>
        <v>0</v>
      </c>
      <c r="F23" s="50">
        <v>2</v>
      </c>
      <c r="H23" s="59" t="s">
        <v>38</v>
      </c>
      <c r="I23" s="51">
        <v>2</v>
      </c>
      <c r="K23" s="59" t="s">
        <v>38</v>
      </c>
      <c r="L23" s="51">
        <v>2</v>
      </c>
      <c r="N23" s="234"/>
      <c r="O23" s="234"/>
      <c r="P23" s="234"/>
      <c r="Q23" s="234"/>
      <c r="R23" s="234"/>
      <c r="S23" s="234"/>
      <c r="T23" s="234"/>
      <c r="U23" s="234"/>
    </row>
    <row r="24" spans="2:21">
      <c r="B24" s="57" t="s">
        <v>39</v>
      </c>
      <c r="C24" s="3">
        <v>3</v>
      </c>
      <c r="D24" s="87">
        <f>UBERSICHT!G9</f>
        <v>0</v>
      </c>
      <c r="E24" s="58">
        <f>Marz!$S$37</f>
        <v>0</v>
      </c>
      <c r="F24" s="50">
        <v>3</v>
      </c>
      <c r="H24" s="59" t="s">
        <v>39</v>
      </c>
      <c r="I24" s="51">
        <v>3</v>
      </c>
      <c r="K24" s="59" t="s">
        <v>39</v>
      </c>
      <c r="L24" s="51">
        <v>3</v>
      </c>
      <c r="N24" s="234"/>
      <c r="O24" s="234"/>
      <c r="P24" s="234"/>
      <c r="Q24" s="234"/>
      <c r="R24" s="234"/>
      <c r="S24" s="234"/>
      <c r="T24" s="234"/>
      <c r="U24" s="234"/>
    </row>
    <row r="25" spans="2:21">
      <c r="B25" s="57" t="s">
        <v>40</v>
      </c>
      <c r="C25" s="3">
        <v>4</v>
      </c>
      <c r="D25" s="87">
        <f>UBERSICHT!G11</f>
        <v>0</v>
      </c>
      <c r="E25" s="58">
        <f>April!$S$37</f>
        <v>0</v>
      </c>
      <c r="F25" s="50">
        <v>4</v>
      </c>
      <c r="H25" s="59" t="s">
        <v>40</v>
      </c>
      <c r="I25" s="51">
        <v>4</v>
      </c>
      <c r="K25" s="59" t="s">
        <v>40</v>
      </c>
      <c r="L25" s="51">
        <v>4</v>
      </c>
      <c r="N25" s="234"/>
      <c r="O25" s="234"/>
      <c r="P25" s="234"/>
      <c r="Q25" s="234"/>
      <c r="R25" s="234"/>
      <c r="S25" s="234"/>
      <c r="T25" s="234"/>
      <c r="U25" s="234"/>
    </row>
    <row r="26" spans="2:21">
      <c r="B26" s="57" t="s">
        <v>41</v>
      </c>
      <c r="C26" s="3">
        <v>5</v>
      </c>
      <c r="D26" s="87">
        <f>UBERSICHT!G12</f>
        <v>0</v>
      </c>
      <c r="E26" s="58">
        <f>Mai!$S$37</f>
        <v>0</v>
      </c>
      <c r="F26" s="50">
        <v>5</v>
      </c>
      <c r="H26" s="59" t="s">
        <v>41</v>
      </c>
      <c r="I26" s="51">
        <v>5</v>
      </c>
      <c r="K26" s="59" t="s">
        <v>41</v>
      </c>
      <c r="L26" s="51">
        <v>5</v>
      </c>
      <c r="M26" s="77"/>
      <c r="N26" s="234"/>
      <c r="O26" s="234"/>
      <c r="P26" s="234"/>
      <c r="Q26" s="234"/>
      <c r="R26" s="234"/>
      <c r="S26" s="234"/>
      <c r="T26" s="234"/>
      <c r="U26" s="234"/>
    </row>
    <row r="27" spans="2:21">
      <c r="B27" s="57" t="s">
        <v>42</v>
      </c>
      <c r="C27" s="3">
        <v>6</v>
      </c>
      <c r="D27" s="87">
        <f>UBERSICHT!G13</f>
        <v>0</v>
      </c>
      <c r="E27" s="58">
        <f>Juni!$S$37</f>
        <v>0</v>
      </c>
      <c r="F27" s="50">
        <v>6</v>
      </c>
      <c r="H27" s="59" t="s">
        <v>42</v>
      </c>
      <c r="I27" s="51">
        <v>6</v>
      </c>
      <c r="K27" s="59" t="s">
        <v>42</v>
      </c>
      <c r="L27" s="51">
        <v>6</v>
      </c>
      <c r="M27" s="77"/>
      <c r="N27" s="234"/>
      <c r="O27" s="234"/>
      <c r="P27" s="234"/>
      <c r="Q27" s="234"/>
      <c r="R27" s="234"/>
      <c r="S27" s="234"/>
      <c r="T27" s="234"/>
      <c r="U27" s="234"/>
    </row>
    <row r="28" spans="2:21">
      <c r="B28" s="57" t="s">
        <v>43</v>
      </c>
      <c r="C28" s="3">
        <v>7</v>
      </c>
      <c r="D28" s="87">
        <f>UBERSICHT!G15</f>
        <v>0</v>
      </c>
      <c r="E28" s="58">
        <f>Juli!$S$37</f>
        <v>0</v>
      </c>
      <c r="F28" s="50">
        <v>7</v>
      </c>
      <c r="H28" s="59" t="s">
        <v>43</v>
      </c>
      <c r="I28" s="51">
        <v>7</v>
      </c>
      <c r="K28" s="59" t="s">
        <v>43</v>
      </c>
      <c r="L28" s="51">
        <v>7</v>
      </c>
      <c r="M28" s="77"/>
      <c r="N28" s="234"/>
      <c r="O28" s="234"/>
      <c r="P28" s="234"/>
      <c r="Q28" s="234"/>
      <c r="R28" s="234"/>
      <c r="S28" s="234"/>
      <c r="T28" s="234"/>
      <c r="U28" s="234"/>
    </row>
    <row r="29" spans="2:21">
      <c r="B29" s="57" t="s">
        <v>44</v>
      </c>
      <c r="C29" s="3">
        <v>8</v>
      </c>
      <c r="D29" s="87">
        <f>UBERSICHT!G16</f>
        <v>0</v>
      </c>
      <c r="E29" s="58">
        <f>August!$S$37</f>
        <v>0</v>
      </c>
      <c r="F29" s="50">
        <v>8</v>
      </c>
      <c r="H29" s="59" t="s">
        <v>44</v>
      </c>
      <c r="I29" s="51">
        <v>8</v>
      </c>
      <c r="K29" s="59" t="s">
        <v>44</v>
      </c>
      <c r="L29" s="51">
        <v>8</v>
      </c>
      <c r="M29" s="77"/>
      <c r="N29" s="234"/>
      <c r="O29" s="234"/>
      <c r="P29" s="234"/>
      <c r="Q29" s="234"/>
      <c r="R29" s="234"/>
      <c r="S29" s="234"/>
      <c r="T29" s="234"/>
      <c r="U29" s="234"/>
    </row>
    <row r="30" spans="2:21">
      <c r="B30" s="57" t="s">
        <v>45</v>
      </c>
      <c r="C30" s="3">
        <v>9</v>
      </c>
      <c r="D30" s="87">
        <f>UBERSICHT!G17</f>
        <v>0</v>
      </c>
      <c r="E30" s="58">
        <f>September!$S$37</f>
        <v>0</v>
      </c>
      <c r="F30" s="50">
        <v>9</v>
      </c>
      <c r="H30" s="59" t="s">
        <v>45</v>
      </c>
      <c r="I30" s="51">
        <v>9</v>
      </c>
      <c r="K30" s="59" t="s">
        <v>45</v>
      </c>
      <c r="L30" s="51">
        <v>9</v>
      </c>
      <c r="N30" s="234"/>
      <c r="O30" s="234"/>
      <c r="P30" s="234"/>
      <c r="Q30" s="234"/>
      <c r="R30" s="234"/>
      <c r="S30" s="234"/>
      <c r="T30" s="234"/>
      <c r="U30" s="234"/>
    </row>
    <row r="31" spans="2:21">
      <c r="B31" s="57" t="s">
        <v>46</v>
      </c>
      <c r="C31" s="3">
        <v>10</v>
      </c>
      <c r="D31" s="87">
        <f>UBERSICHT!G19</f>
        <v>0</v>
      </c>
      <c r="E31" s="58">
        <f>Oktober!$S$37</f>
        <v>0</v>
      </c>
      <c r="F31" s="50">
        <v>10</v>
      </c>
      <c r="H31" s="59" t="s">
        <v>46</v>
      </c>
      <c r="I31" s="51">
        <v>10</v>
      </c>
      <c r="K31" s="59" t="s">
        <v>46</v>
      </c>
      <c r="L31" s="51">
        <v>10</v>
      </c>
      <c r="N31" s="234"/>
      <c r="O31" s="234"/>
      <c r="P31" s="234"/>
      <c r="Q31" s="234"/>
      <c r="R31" s="234"/>
      <c r="S31" s="234"/>
      <c r="T31" s="234"/>
      <c r="U31" s="234"/>
    </row>
    <row r="32" spans="2:21">
      <c r="B32" s="57" t="s">
        <v>47</v>
      </c>
      <c r="C32" s="3">
        <v>11</v>
      </c>
      <c r="D32" s="87">
        <f>UBERSICHT!G20</f>
        <v>0</v>
      </c>
      <c r="E32" s="58">
        <f>November!$S$37</f>
        <v>0</v>
      </c>
      <c r="F32" s="50">
        <v>11</v>
      </c>
      <c r="H32" s="59" t="s">
        <v>47</v>
      </c>
      <c r="I32" s="51">
        <v>11</v>
      </c>
      <c r="K32" s="59" t="s">
        <v>47</v>
      </c>
      <c r="L32" s="51">
        <v>11</v>
      </c>
      <c r="N32" s="234"/>
      <c r="O32" s="234"/>
      <c r="P32" s="234"/>
      <c r="Q32" s="234"/>
      <c r="R32" s="234"/>
      <c r="S32" s="234"/>
      <c r="T32" s="234"/>
      <c r="U32" s="234"/>
    </row>
    <row r="33" spans="2:21">
      <c r="B33" s="57" t="s">
        <v>48</v>
      </c>
      <c r="C33" s="3">
        <v>12</v>
      </c>
      <c r="D33" s="87">
        <f>UBERSICHT!G21</f>
        <v>0</v>
      </c>
      <c r="E33" s="58">
        <f>Dezember!$S$37</f>
        <v>0</v>
      </c>
      <c r="F33" s="50">
        <v>12</v>
      </c>
      <c r="H33" s="59" t="s">
        <v>48</v>
      </c>
      <c r="I33" s="51">
        <v>12</v>
      </c>
      <c r="K33" s="59" t="s">
        <v>48</v>
      </c>
      <c r="L33" s="51">
        <v>12</v>
      </c>
      <c r="N33" s="234"/>
      <c r="O33" s="234"/>
      <c r="P33" s="234"/>
      <c r="Q33" s="234"/>
      <c r="R33" s="234"/>
      <c r="S33" s="234"/>
      <c r="T33" s="234"/>
      <c r="U33" s="234"/>
    </row>
    <row r="34" spans="2:21">
      <c r="N34" s="234"/>
      <c r="O34" s="234"/>
      <c r="P34" s="234"/>
      <c r="Q34" s="234"/>
      <c r="R34" s="234"/>
      <c r="S34" s="234"/>
      <c r="T34" s="234"/>
      <c r="U34" s="234"/>
    </row>
    <row r="35" spans="2:21" ht="14.5" customHeight="1">
      <c r="B35" s="225" t="s">
        <v>204</v>
      </c>
      <c r="C35" s="225"/>
      <c r="D35" s="225"/>
      <c r="E35" s="126"/>
      <c r="N35" s="234"/>
      <c r="O35" s="234"/>
      <c r="P35" s="234"/>
      <c r="Q35" s="234"/>
      <c r="R35" s="234"/>
      <c r="S35" s="234"/>
      <c r="T35" s="234"/>
      <c r="U35" s="234"/>
    </row>
    <row r="36" spans="2:21">
      <c r="B36" s="225"/>
      <c r="C36" s="225"/>
      <c r="D36" s="225"/>
      <c r="N36" s="234"/>
      <c r="O36" s="234"/>
      <c r="P36" s="234"/>
      <c r="Q36" s="234"/>
      <c r="R36" s="234"/>
      <c r="S36" s="234"/>
      <c r="T36" s="234"/>
      <c r="U36" s="234"/>
    </row>
    <row r="37" spans="2:21">
      <c r="N37" s="234"/>
      <c r="O37" s="234"/>
      <c r="P37" s="234"/>
      <c r="Q37" s="234"/>
      <c r="R37" s="234"/>
      <c r="S37" s="234"/>
      <c r="T37" s="234"/>
      <c r="U37" s="234"/>
    </row>
    <row r="38" spans="2:21">
      <c r="N38" s="234"/>
      <c r="O38" s="234"/>
      <c r="P38" s="234"/>
      <c r="Q38" s="234"/>
      <c r="R38" s="234"/>
      <c r="S38" s="234"/>
      <c r="T38" s="234"/>
      <c r="U38" s="234"/>
    </row>
    <row r="39" spans="2:21">
      <c r="N39" s="234"/>
      <c r="O39" s="234"/>
      <c r="P39" s="234"/>
      <c r="Q39" s="234"/>
      <c r="R39" s="234"/>
      <c r="S39" s="234"/>
      <c r="T39" s="234"/>
      <c r="U39" s="234"/>
    </row>
    <row r="40" spans="2:21">
      <c r="N40" s="234"/>
      <c r="O40" s="234"/>
      <c r="P40" s="234"/>
      <c r="Q40" s="234"/>
      <c r="R40" s="234"/>
      <c r="S40" s="234"/>
      <c r="T40" s="234"/>
      <c r="U40" s="234"/>
    </row>
    <row r="41" spans="2:21">
      <c r="N41" s="234"/>
      <c r="O41" s="234"/>
      <c r="P41" s="234"/>
      <c r="Q41" s="234"/>
      <c r="R41" s="234"/>
      <c r="S41" s="234"/>
      <c r="T41" s="234"/>
      <c r="U41" s="234"/>
    </row>
    <row r="42" spans="2:21">
      <c r="N42" s="234"/>
      <c r="O42" s="234"/>
      <c r="P42" s="234"/>
      <c r="Q42" s="234"/>
      <c r="R42" s="234"/>
      <c r="S42" s="234"/>
      <c r="T42" s="234"/>
      <c r="U42" s="234"/>
    </row>
  </sheetData>
  <sheetProtection algorithmName="SHA-512" hashValue="sqakTSJUGUyu/BO9NaxlYGZ1J79GGEFGaR+JcyUkKZu55bUAUcA4jfjjtRmabr8WpPQN3WqG9KUccpUUHnttCQ==" saltValue="SEOWyY6bD0XXNtmznPJy/Q=="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1</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46023</v>
      </c>
    </row>
    <row r="2" spans="1:28" ht="16" customHeight="1" thickBot="1">
      <c r="A2" s="129"/>
      <c r="B2" s="235"/>
      <c r="C2" s="246"/>
      <c r="D2" s="244"/>
      <c r="E2" s="244"/>
      <c r="F2" s="244"/>
      <c r="G2" s="248"/>
      <c r="H2" s="250"/>
      <c r="I2" s="252"/>
      <c r="J2" s="254"/>
      <c r="K2" s="256"/>
      <c r="L2" s="258"/>
      <c r="M2" s="242"/>
      <c r="N2" s="236"/>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315" t="s">
        <v>61</v>
      </c>
      <c r="P3" s="315" t="s">
        <v>62</v>
      </c>
      <c r="Q3" s="313" t="s">
        <v>63</v>
      </c>
      <c r="R3" s="259"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316"/>
      <c r="P4" s="316"/>
      <c r="Q4" s="314"/>
      <c r="R4" s="260"/>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7494.8</v>
      </c>
      <c r="R8" s="26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EINSTELLUNG!L22</f>
        <v>1</v>
      </c>
      <c r="R9" s="26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5" t="s">
        <v>74</v>
      </c>
      <c r="P10" s="266"/>
      <c r="Q10" s="267">
        <f>EINSTELLUNG!I22</f>
        <v>1</v>
      </c>
      <c r="R10" s="26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v>
      </c>
      <c r="R11" s="26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c r="R12" s="301"/>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5" t="s">
        <v>80</v>
      </c>
      <c r="P13" s="266"/>
      <c r="Q13" s="267">
        <f>Q8-Q9-Q10-Q11-Q12</f>
        <v>7491.8</v>
      </c>
      <c r="R13" s="26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5" t="s">
        <v>82</v>
      </c>
      <c r="P14" s="266"/>
      <c r="Q14" s="267">
        <f>EINSTELLUNG!L6</f>
        <v>1</v>
      </c>
      <c r="R14" s="26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5" t="s">
        <v>84</v>
      </c>
      <c r="P15" s="266"/>
      <c r="Q15" s="267">
        <f>Q13-Q14</f>
        <v>7490.8</v>
      </c>
      <c r="R15" s="26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90106.82881720431</v>
      </c>
      <c r="R17" s="302"/>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75"/>
      <c r="P18" s="276"/>
      <c r="Q18" s="277"/>
      <c r="R18" s="277"/>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5"/>
      <c r="P19" s="276"/>
      <c r="Q19" s="277"/>
      <c r="R19" s="277"/>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75"/>
      <c r="P20" s="276"/>
      <c r="Q20" s="277"/>
      <c r="R20" s="277"/>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75" t="s">
        <v>356</v>
      </c>
      <c r="P21" s="276"/>
      <c r="Q21" s="277">
        <v>5000</v>
      </c>
      <c r="R21" s="277"/>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75"/>
      <c r="P22" s="276"/>
      <c r="Q22" s="277"/>
      <c r="R22" s="277"/>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75"/>
      <c r="P23" s="276"/>
      <c r="Q23" s="277"/>
      <c r="R23" s="277"/>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75"/>
      <c r="P24" s="276"/>
      <c r="Q24" s="277"/>
      <c r="R24" s="277"/>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83"/>
      <c r="P25" s="284"/>
      <c r="Q25" s="272"/>
      <c r="R25" s="272"/>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75"/>
      <c r="P27" s="276"/>
      <c r="Q27" s="277"/>
      <c r="R27" s="278"/>
      <c r="S27" s="318" t="s">
        <v>99</v>
      </c>
      <c r="T27" s="319"/>
      <c r="U27" s="319"/>
      <c r="V27" s="319"/>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68" t="s">
        <v>102</v>
      </c>
      <c r="P29" s="269"/>
      <c r="Q29" s="270">
        <f>EINSTELLUNG!O6</f>
        <v>1</v>
      </c>
      <c r="R29" s="271"/>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1.9607843137254902E-2</v>
      </c>
      <c r="R31" s="290"/>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293" t="s">
        <v>108</v>
      </c>
      <c r="R33" s="294"/>
      <c r="S33" s="297" t="s">
        <v>109</v>
      </c>
      <c r="T33" s="298"/>
      <c r="U33" s="297" t="s">
        <v>110</v>
      </c>
      <c r="V33" s="298"/>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295"/>
      <c r="R34" s="296"/>
      <c r="S34" s="299"/>
      <c r="T34" s="300"/>
      <c r="U34" s="299"/>
      <c r="V34" s="300"/>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61" t="s">
        <v>113</v>
      </c>
      <c r="P35" s="262"/>
      <c r="Q35" s="263">
        <f>EINSTELLUNG!C6</f>
        <v>1</v>
      </c>
      <c r="R35" s="263"/>
      <c r="S35" s="263">
        <f>EINSTELLUNG!C22</f>
        <v>1</v>
      </c>
      <c r="T35" s="263"/>
      <c r="U35" s="264">
        <f>S35-Q35</f>
        <v>0</v>
      </c>
      <c r="V35" s="264"/>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EINSTELLUNG!D6</f>
        <v>1</v>
      </c>
      <c r="R36" s="263"/>
      <c r="S36" s="263" cm="1">
        <f t="array" ref="S36">SumMergedCells(Q17:R29)</f>
        <v>0</v>
      </c>
      <c r="T36" s="263"/>
      <c r="U36" s="264">
        <f t="shared" ref="U36:U41" si="2">S36-Q36</f>
        <v>-1</v>
      </c>
      <c r="V36" s="264"/>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EINSTELLUNG!F6</f>
        <v>1</v>
      </c>
      <c r="R38" s="305"/>
      <c r="S38" s="305">
        <f>EINSTELLUNG!F22</f>
        <v>1</v>
      </c>
      <c r="T38" s="305"/>
      <c r="U38" s="306">
        <f t="shared" si="2"/>
        <v>0</v>
      </c>
      <c r="V38" s="306"/>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1.3347927066926506E-4</v>
      </c>
      <c r="R40" s="263"/>
      <c r="S40" s="263">
        <f>IF(Q13=0, 0, S35/Q13)</f>
        <v>1.3347927066926506E-4</v>
      </c>
      <c r="T40" s="263"/>
      <c r="U40" s="264">
        <f t="shared" si="2"/>
        <v>0</v>
      </c>
      <c r="V40" s="264"/>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1.3347927066926506E-4</v>
      </c>
      <c r="R41" s="305"/>
      <c r="S41" s="305">
        <f>IF(Q13=0, 0, S38/Q13)</f>
        <v>1.3347927066926506E-4</v>
      </c>
      <c r="T41" s="305"/>
      <c r="U41" s="306">
        <f t="shared" si="2"/>
        <v>0</v>
      </c>
      <c r="V41" s="306"/>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12.022579497412114</v>
      </c>
      <c r="R42" s="308"/>
      <c r="S42" s="308"/>
      <c r="T42" s="308"/>
      <c r="U42" s="308"/>
      <c r="V42" s="309"/>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237"/>
      <c r="L114" s="237"/>
      <c r="M114" s="237"/>
      <c r="N114" s="127"/>
    </row>
    <row r="115" spans="11:14" ht="16" customHeight="1">
      <c r="K115" s="237"/>
      <c r="L115" s="237"/>
      <c r="M115" s="237"/>
      <c r="N115" s="127"/>
    </row>
    <row r="116" spans="11:14" ht="16" customHeight="1">
      <c r="K116" s="238"/>
      <c r="L116" s="238"/>
      <c r="M116" s="78"/>
      <c r="N116" s="78"/>
    </row>
    <row r="117" spans="11:14" ht="16" customHeight="1">
      <c r="K117" s="238"/>
      <c r="L117" s="238"/>
      <c r="M117" s="78"/>
      <c r="N117" s="78"/>
    </row>
    <row r="118" spans="11:14" ht="16" customHeight="1">
      <c r="K118" s="239"/>
      <c r="L118" s="239"/>
      <c r="M118" s="79"/>
      <c r="N118" s="79"/>
    </row>
    <row r="119" spans="11:14" ht="16" customHeight="1">
      <c r="K119" s="240"/>
      <c r="L119" s="240"/>
      <c r="M119" s="80"/>
      <c r="N119" s="80"/>
    </row>
    <row r="120" spans="11:14" ht="16" customHeight="1">
      <c r="K120" s="238"/>
      <c r="L120" s="238"/>
      <c r="M120" s="78"/>
      <c r="N120" s="78"/>
    </row>
    <row r="121" spans="11:14" ht="16" customHeight="1">
      <c r="K121" s="238"/>
      <c r="L121" s="238"/>
      <c r="M121" s="78"/>
      <c r="N121" s="78"/>
    </row>
    <row r="122" spans="11:14" ht="16" customHeight="1">
      <c r="K122" s="240"/>
      <c r="L122" s="240"/>
      <c r="M122" s="80"/>
      <c r="N122" s="80"/>
    </row>
    <row r="123" spans="11:14" ht="16" customHeight="1">
      <c r="K123" s="81"/>
      <c r="L123" s="81"/>
      <c r="M123" s="81"/>
      <c r="N123" s="81"/>
    </row>
  </sheetData>
  <sheetProtection algorithmName="SHA-512" hashValue="RendK3xqJsITLU1jsq+ngYdt+aqvvKS5DTJEpaFTb4ojqYtqmsqko4sf7YkIot8M/udGQ1/KPAjJX/PAxJqHbw==" saltValue="p2aeKlE/RpLlFTxiBPYhqQ=="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AHoTywASI4S3T/kyUwBb7idOM6LkD+LuERyBlY5tVfyxdO65Eb8fF2LTipkEqgqqm2uLpomLP46i/uAYKSEKXw==" saltValue="INq/WvBaWAKTcz8+7Zu3XA=="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6" activePane="bottomLeft" state="frozen"/>
      <selection activeCell="T24" sqref="T24"/>
      <selection pane="bottomLeft" activeCell="D11" sqref="D11"/>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2</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46054</v>
      </c>
    </row>
    <row r="2" spans="1:28" ht="16" customHeight="1" thickBot="1">
      <c r="A2" s="129"/>
      <c r="B2" s="235"/>
      <c r="C2" s="246"/>
      <c r="D2" s="244"/>
      <c r="E2" s="244"/>
      <c r="F2" s="244"/>
      <c r="G2" s="248"/>
      <c r="H2" s="250"/>
      <c r="I2" s="252"/>
      <c r="J2" s="254"/>
      <c r="K2" s="256"/>
      <c r="L2" s="258"/>
      <c r="M2" s="242"/>
      <c r="N2" s="236"/>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315" t="s">
        <v>61</v>
      </c>
      <c r="P3" s="315" t="s">
        <v>62</v>
      </c>
      <c r="Q3" s="313" t="s">
        <v>63</v>
      </c>
      <c r="R3" s="259"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316"/>
      <c r="P4" s="316"/>
      <c r="Q4" s="314"/>
      <c r="R4" s="260"/>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842.66960625479021</v>
      </c>
      <c r="P5" s="49">
        <f>EINSTELLUNG!I7</f>
        <v>2</v>
      </c>
      <c r="Q5" s="48">
        <f>P5-O5</f>
        <v>-840.66960625479021</v>
      </c>
      <c r="R5" s="52">
        <f>IFERROR(Q5*Q42, 0)</f>
        <v>-10069.9718836678</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31" t="str">
        <f>IF(Q5&lt;0, "Schlecht! Zu wenig Urlaub abgebaut.", IF(Q5&gt;0, "Gut! Mehr Urlaub abgebaut als aufgebaut.", ""))</f>
        <v>Schlecht! Zu wenig Urlaub abgebaut.</v>
      </c>
      <c r="P6" s="331"/>
      <c r="Q6" s="331"/>
      <c r="R6" s="331"/>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27" t="s">
        <v>70</v>
      </c>
      <c r="P8" s="265"/>
      <c r="Q8" s="328">
        <f>SUM(H3:H82)</f>
        <v>8591.6099999999988</v>
      </c>
      <c r="R8" s="329"/>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27" t="s">
        <v>72</v>
      </c>
      <c r="P9" s="265"/>
      <c r="Q9" s="328">
        <f>EINSTELLUNG!L23</f>
        <v>2</v>
      </c>
      <c r="R9" s="329"/>
      <c r="S9" s="53">
        <f>IFERROR(Q9/Q8, 0)</f>
        <v>2.3278524048461234E-4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27" t="s">
        <v>74</v>
      </c>
      <c r="P10" s="265"/>
      <c r="Q10" s="328">
        <f>EINSTELLUNG!I23</f>
        <v>2</v>
      </c>
      <c r="R10" s="329"/>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27" t="s">
        <v>76</v>
      </c>
      <c r="P11" s="265"/>
      <c r="Q11" s="328">
        <f>P5</f>
        <v>2</v>
      </c>
      <c r="R11" s="329"/>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27" t="s">
        <v>80</v>
      </c>
      <c r="P12" s="265"/>
      <c r="Q12" s="328">
        <f>Q8-Q9-Q10-Q11</f>
        <v>8585.6099999999988</v>
      </c>
      <c r="R12" s="329"/>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27" t="s">
        <v>82</v>
      </c>
      <c r="P13" s="265"/>
      <c r="Q13" s="328">
        <f>EINSTELLUNG!L7</f>
        <v>2</v>
      </c>
      <c r="R13" s="329"/>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27" t="s">
        <v>84</v>
      </c>
      <c r="P14" s="265"/>
      <c r="Q14" s="328">
        <f>Q12-Q13</f>
        <v>8583.6099999999988</v>
      </c>
      <c r="R14" s="329"/>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30" t="str">
        <f>IF(Q14&lt;0, "Schlecht! Zu wenig Stunden für Dienstplan.", IF(Q14&gt;0, "Du hast mehr als genug Stunden für Dienstplan.", ""))</f>
        <v>Du hast mehr als genug Stunden für Dienstplan.</v>
      </c>
      <c r="P15" s="330"/>
      <c r="Q15" s="330"/>
      <c r="R15" s="330"/>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9" t="s">
        <v>87</v>
      </c>
      <c r="P17" s="320"/>
      <c r="Q17" s="340">
        <f>SUM(L3:L82)</f>
        <v>102914.71285714286</v>
      </c>
      <c r="R17" s="341"/>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2"/>
      <c r="P18" s="343"/>
      <c r="Q18" s="344"/>
      <c r="R18" s="345"/>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2"/>
      <c r="P19" s="343"/>
      <c r="Q19" s="344"/>
      <c r="R19" s="345"/>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2"/>
      <c r="P20" s="343"/>
      <c r="Q20" s="344"/>
      <c r="R20" s="345"/>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2" t="s">
        <v>356</v>
      </c>
      <c r="P21" s="343"/>
      <c r="Q21" s="344">
        <v>5000</v>
      </c>
      <c r="R21" s="345"/>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2"/>
      <c r="P22" s="343"/>
      <c r="Q22" s="344"/>
      <c r="R22" s="345"/>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2"/>
      <c r="P23" s="343"/>
      <c r="Q23" s="344"/>
      <c r="R23" s="345"/>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2"/>
      <c r="P24" s="343"/>
      <c r="Q24" s="344"/>
      <c r="R24" s="345"/>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2"/>
      <c r="P25" s="333"/>
      <c r="Q25" s="334"/>
      <c r="R25" s="335"/>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36"/>
      <c r="P26" s="285"/>
      <c r="Q26" s="337"/>
      <c r="R26" s="338"/>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53"/>
      <c r="P27" s="275"/>
      <c r="Q27" s="354"/>
      <c r="R27" s="355"/>
      <c r="S27" s="318" t="s">
        <v>99</v>
      </c>
      <c r="T27" s="319"/>
      <c r="U27" s="319"/>
      <c r="V27" s="319"/>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56"/>
      <c r="P28" s="279"/>
      <c r="Q28" s="357"/>
      <c r="R28" s="358"/>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59" t="s">
        <v>102</v>
      </c>
      <c r="P29" s="268"/>
      <c r="Q29" s="360">
        <f>EINSTELLUNG!O7</f>
        <v>2</v>
      </c>
      <c r="R29" s="361"/>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46">
        <v>0</v>
      </c>
      <c r="P31" s="347"/>
      <c r="Q31" s="348">
        <v>1.7241379310344827E-2</v>
      </c>
      <c r="R31" s="287"/>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9"/>
      <c r="P33" s="350"/>
      <c r="Q33" s="293" t="s">
        <v>108</v>
      </c>
      <c r="R33" s="294"/>
      <c r="S33" s="297" t="s">
        <v>109</v>
      </c>
      <c r="T33" s="298"/>
      <c r="U33" s="297" t="s">
        <v>110</v>
      </c>
      <c r="V33" s="298"/>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51"/>
      <c r="P34" s="352"/>
      <c r="Q34" s="295"/>
      <c r="R34" s="296"/>
      <c r="S34" s="299"/>
      <c r="T34" s="300"/>
      <c r="U34" s="299"/>
      <c r="V34" s="300"/>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22" t="s">
        <v>113</v>
      </c>
      <c r="P35" s="261"/>
      <c r="Q35" s="307">
        <f>EINSTELLUNG!C7</f>
        <v>2</v>
      </c>
      <c r="R35" s="309"/>
      <c r="S35" s="307">
        <f>EINSTELLUNG!C23</f>
        <v>2</v>
      </c>
      <c r="T35" s="309"/>
      <c r="U35" s="264">
        <f>S35-Q35</f>
        <v>0</v>
      </c>
      <c r="V35" s="26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22" t="s">
        <v>115</v>
      </c>
      <c r="P36" s="261"/>
      <c r="Q36" s="307">
        <f>EINSTELLUNG!D7</f>
        <v>2</v>
      </c>
      <c r="R36" s="309"/>
      <c r="S36" s="263" cm="1">
        <f t="array" ref="S36">SumMergedCells(Q17:R29)</f>
        <v>0</v>
      </c>
      <c r="T36" s="263"/>
      <c r="U36" s="264">
        <f t="shared" ref="U36:U41" si="2">S36-Q36</f>
        <v>-2</v>
      </c>
      <c r="V36" s="264"/>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22" t="s">
        <v>117</v>
      </c>
      <c r="P37" s="261"/>
      <c r="Q37" s="323">
        <f>IF(ISERROR(Q36/Q35), 0, Q36/Q35)</f>
        <v>1</v>
      </c>
      <c r="R37" s="324"/>
      <c r="S37" s="323">
        <f>IF(ISERROR(S36/S35), 0, S36/S35)</f>
        <v>0</v>
      </c>
      <c r="T37" s="324"/>
      <c r="U37" s="304">
        <f t="shared" si="2"/>
        <v>-1</v>
      </c>
      <c r="V37" s="304"/>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22" t="s">
        <v>119</v>
      </c>
      <c r="P38" s="261"/>
      <c r="Q38" s="325">
        <f>EINSTELLUNG!F7</f>
        <v>2</v>
      </c>
      <c r="R38" s="326"/>
      <c r="S38" s="325">
        <f>EINSTELLUNG!F23</f>
        <v>2</v>
      </c>
      <c r="T38" s="326"/>
      <c r="U38" s="306">
        <f t="shared" si="2"/>
        <v>0</v>
      </c>
      <c r="V38" s="306"/>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22" t="s">
        <v>121</v>
      </c>
      <c r="P39" s="261"/>
      <c r="Q39" s="307">
        <f>IF(Q38=0, 0, Q35/Q38)</f>
        <v>1</v>
      </c>
      <c r="R39" s="309"/>
      <c r="S39" s="307">
        <f>IF(S38=0, 0, S35/S38)</f>
        <v>1</v>
      </c>
      <c r="T39" s="309"/>
      <c r="U39" s="264">
        <f t="shared" si="2"/>
        <v>0</v>
      </c>
      <c r="V39" s="26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2.329479209980421E-4</v>
      </c>
      <c r="R40" s="263"/>
      <c r="S40" s="263">
        <f>IF(Q12=0, 0, S35/Q12)</f>
        <v>2.329479209980421E-4</v>
      </c>
      <c r="T40" s="263"/>
      <c r="U40" s="264">
        <f t="shared" si="2"/>
        <v>0</v>
      </c>
      <c r="V40" s="26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2.329479209980421E-4</v>
      </c>
      <c r="R41" s="305"/>
      <c r="S41" s="305">
        <f>IF(Q12=0, 0, S38/Q12)</f>
        <v>2.329479209980421E-4</v>
      </c>
      <c r="T41" s="305"/>
      <c r="U41" s="306">
        <f t="shared" si="2"/>
        <v>0</v>
      </c>
      <c r="V41" s="306"/>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11.978513090927414</v>
      </c>
      <c r="R42" s="308"/>
      <c r="S42" s="308"/>
      <c r="T42" s="308"/>
      <c r="U42" s="308"/>
      <c r="V42" s="309"/>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t="s">
        <v>392</v>
      </c>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366</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367</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368</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369</v>
      </c>
      <c r="D57" s="193">
        <v>46054</v>
      </c>
      <c r="E57" s="134" t="s">
        <v>8</v>
      </c>
      <c r="F57" s="136">
        <v>138.4</v>
      </c>
      <c r="G57" s="185">
        <v>1665.6</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1665.6</v>
      </c>
      <c r="M57" s="164"/>
      <c r="N57" s="147"/>
    </row>
    <row r="58" spans="1:14" ht="16" customHeight="1">
      <c r="A58" s="130" t="s">
        <v>144</v>
      </c>
      <c r="B58" s="170">
        <v>505000</v>
      </c>
      <c r="C58" s="137" t="s">
        <v>370</v>
      </c>
      <c r="D58" s="193">
        <v>46054</v>
      </c>
      <c r="E58" s="134" t="s">
        <v>4</v>
      </c>
      <c r="F58" s="136">
        <v>138.4</v>
      </c>
      <c r="G58" s="185">
        <v>1616.8</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1616.8</v>
      </c>
      <c r="M58" s="164"/>
      <c r="N58" s="147"/>
    </row>
    <row r="59" spans="1:14" ht="16" customHeight="1">
      <c r="A59" s="130" t="s">
        <v>145</v>
      </c>
      <c r="B59" s="170">
        <v>500600</v>
      </c>
      <c r="C59" s="137" t="s">
        <v>371</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372</v>
      </c>
      <c r="D60" s="193">
        <v>46054</v>
      </c>
      <c r="E60" s="134" t="s">
        <v>4</v>
      </c>
      <c r="F60" s="136">
        <v>151.38</v>
      </c>
      <c r="G60" s="185">
        <v>1768.38</v>
      </c>
      <c r="H60" s="158">
        <f>IF(AND(ISNUMBER(D60), ISNUMBER(F60)),
    ROUNDDOWN(
        MIN(
            IF(OR(ISBLANK(I60), I60=""),
                EOMONTH(DATE(LOHNTABELLE!$G$3, $A$1, 1), 0), I60)
            - MAX(D60, DATE(LOHNTABELLE!$G$3, $A$1, 1)) + 1)
        / DAY(EOMONTH(DATE(LOHNTABELLE!$G$3, $A$1, 1), 0)) * F60,
        2
    ),
    ""
)</f>
        <v>10.81</v>
      </c>
      <c r="I60" s="196">
        <v>46055</v>
      </c>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126.31285714285715</v>
      </c>
      <c r="M60" s="164"/>
      <c r="N60" s="147"/>
    </row>
    <row r="61" spans="1:14" ht="16" customHeight="1">
      <c r="A61" s="131" t="s">
        <v>147</v>
      </c>
      <c r="B61" s="170">
        <v>700000</v>
      </c>
      <c r="C61" s="137" t="s">
        <v>389</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wehmWB9mWG2NKd3NFlUSW9pq2i2Q4J0iTBPBbWAtSRdjv0AJbZm/XJV9MxW31tqZkRzUTfKe7N67vUzUx75TKA==" saltValue="TIG1gNkPPsBqUXXXmsnEA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1">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 type="list" allowBlank="1" showInputMessage="1" showErrorMessage="1" sqref="F61" xr:uid="{18BEE8DA-74CA-472A-AF4E-E99414C58015}">
      <formula1>KV_DD_FEBRUAR_61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8" activePane="bottomLeft" state="frozen"/>
      <selection activeCell="T24" sqref="T24"/>
      <selection pane="bottomLeft" activeCell="C62" sqref="C6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3</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46082</v>
      </c>
    </row>
    <row r="2" spans="1:28" ht="16" customHeight="1" thickBot="1">
      <c r="A2" s="129"/>
      <c r="B2" s="235"/>
      <c r="C2" s="246"/>
      <c r="D2" s="244"/>
      <c r="E2" s="244"/>
      <c r="F2" s="244"/>
      <c r="G2" s="248"/>
      <c r="H2" s="250"/>
      <c r="I2" s="252"/>
      <c r="J2" s="254"/>
      <c r="K2" s="256"/>
      <c r="L2" s="258"/>
      <c r="M2" s="242"/>
      <c r="N2" s="236"/>
      <c r="AB2" s="41">
        <f>EOMONTH(DATE(LOHNTABELLE!$G$3, $A$1, 1), 0)</f>
        <v>46112</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861.45075354782682</v>
      </c>
      <c r="P5" s="49">
        <f>EINSTELLUNG!I8</f>
        <v>3</v>
      </c>
      <c r="Q5" s="48">
        <f>P5-O5</f>
        <v>-858.45075354782682</v>
      </c>
      <c r="R5" s="52">
        <f>IFERROR(Q5*Q42, 0)</f>
        <v>-10299.845823236303</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8882.15</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EINSTELLUNG!L24</f>
        <v>3</v>
      </c>
      <c r="R9" s="267"/>
      <c r="S9" s="53">
        <f>IFERROR(Q9/Q8, 0)</f>
        <v>3.3775606131398366E-4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EINSTELLUNG!I24</f>
        <v>3</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3</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-445</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9318.15</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EINSTELLUNG!L8</f>
        <v>3</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9315.15</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106569.62580645162</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EINSTELLUNG!O8</f>
        <v>3</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1.6666666666666666E-2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EINSTELLUNG!C8</f>
        <v>3</v>
      </c>
      <c r="R35" s="263"/>
      <c r="S35" s="263">
        <f>EINSTELLUNG!C24</f>
        <v>3</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EINSTELLUNG!D8</f>
        <v>3</v>
      </c>
      <c r="R36" s="263"/>
      <c r="S36" s="263" cm="1">
        <f t="array" ref="S36">SumMergedCells(Q17:R29)</f>
        <v>0</v>
      </c>
      <c r="T36" s="263"/>
      <c r="U36" s="264">
        <f t="shared" ref="U36:U41" si="2">S36-Q36</f>
        <v>-3</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EINSTELLUNG!F8</f>
        <v>3</v>
      </c>
      <c r="R38" s="305"/>
      <c r="S38" s="305">
        <f>EINSTELLUNG!F24</f>
        <v>3</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3.219523188615766E-4</v>
      </c>
      <c r="R40" s="263"/>
      <c r="S40" s="263">
        <f>IF(Q13=0, 0, S35/Q13)</f>
        <v>3.219523188615766E-4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3.219523188615766E-4</v>
      </c>
      <c r="R41" s="305"/>
      <c r="S41" s="305">
        <f>IF(Q13=0, 0, S38/Q13)</f>
        <v>3.219523188615766E-4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11.998179022697389</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355</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9"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389</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390</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2020.9999999999998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ybuGQ8aj/OnLbYZWQI45mk6yqz9Mo0lP+4x3MUjIuVzgHmG1jLNq/Y235KM6QjIT/yA/Jw5SuftCj7DxRuaybw==" saltValue="iHBYeZLMfiD/FE2Tvoi3h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3">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 type="list" allowBlank="1" showInputMessage="1" showErrorMessage="1" sqref="F62" xr:uid="{780D753A-F4D1-4223-93AE-3EC07175CCE8}">
      <formula1>KV_DD_MARZ_62</formula1>
    </dataValidation>
    <dataValidation type="list" allowBlank="1" showInputMessage="1" showErrorMessage="1" sqref="F63" xr:uid="{A88436B0-AADA-4F69-A728-2B365E151102}">
      <formula1>KV_DD_MARZ_63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activeCell="U12" sqref="U1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4</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46113</v>
      </c>
    </row>
    <row r="2" spans="1:28" ht="16" customHeight="1" thickBot="1">
      <c r="A2" s="129"/>
      <c r="B2" s="235"/>
      <c r="C2" s="246"/>
      <c r="D2" s="244"/>
      <c r="E2" s="244"/>
      <c r="F2" s="244"/>
      <c r="G2" s="248"/>
      <c r="H2" s="250"/>
      <c r="I2" s="252"/>
      <c r="J2" s="254"/>
      <c r="K2" s="256"/>
      <c r="L2" s="258"/>
      <c r="M2" s="242"/>
      <c r="N2" s="236"/>
      <c r="AB2" s="41">
        <f>EOMONTH(DATE(LOHNTABELLE!$G$3, $A$1, 1), 0)</f>
        <v>46142</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859.27946686560858</v>
      </c>
      <c r="P5" s="49">
        <f>EINSTELLUNG!I9</f>
        <v>4</v>
      </c>
      <c r="Q5" s="48">
        <f>P5-O5</f>
        <v>-855.27946686560858</v>
      </c>
      <c r="R5" s="52">
        <f>IFERROR(Q5*Q42, 0)</f>
        <v>-10261.885046075304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8852.4</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EINSTELLUNG!L25</f>
        <v>4</v>
      </c>
      <c r="R9" s="267"/>
      <c r="S9" s="53">
        <f>IFERROR(Q9/Q8, 0)</f>
        <v>4.5185486421761334E-4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EINSTELLUNG!I25</f>
        <v>4</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4</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-255</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9095.4</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EINSTELLUNG!L9</f>
        <v>4</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9091.4</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106213.6</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EINSTELLUNG!O9</f>
        <v>4</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EINSTELLUNG!C9</f>
        <v>4</v>
      </c>
      <c r="R35" s="263"/>
      <c r="S35" s="263">
        <f>EINSTELLUNG!C25</f>
        <v>4</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EINSTELLUNG!D9</f>
        <v>4</v>
      </c>
      <c r="R36" s="263"/>
      <c r="S36" s="263" cm="1">
        <f t="array" ref="S36">SumMergedCells(Q17:R29)</f>
        <v>0</v>
      </c>
      <c r="T36" s="263"/>
      <c r="U36" s="264">
        <f t="shared" ref="U36:U41" si="2">S36-Q36</f>
        <v>-4</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EINSTELLUNG!F9</f>
        <v>4</v>
      </c>
      <c r="R38" s="305"/>
      <c r="S38" s="305">
        <f>EINSTELLUNG!F25</f>
        <v>4</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4.3978274732282255E-4</v>
      </c>
      <c r="R40" s="263"/>
      <c r="S40" s="263">
        <f>IF(Q13=0, 0, S35/Q13)</f>
        <v>4.3978274732282255E-4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4.3978274732282255E-4</v>
      </c>
      <c r="R41" s="305"/>
      <c r="S41" s="305">
        <f>IF(Q13=0, 0, S38/Q13)</f>
        <v>4.3978274732282255E-4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11.998282951515975</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389</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390</v>
      </c>
      <c r="D62" s="193">
        <v>46082</v>
      </c>
      <c r="E62" s="134" t="s">
        <v>4</v>
      </c>
      <c r="F62" s="136">
        <v>64</v>
      </c>
      <c r="G62" s="185">
        <v>1000</v>
      </c>
      <c r="H62" s="158">
        <f>IF(AND(ISNUMBER(D62), ISNUMBER(F62)),
    ROUNDDOWN(
        MIN(
            IF(OR(ISBLANK(I62), I62=""),
                EOMONTH(DATE(LOHNTABELLE!$G$3, $A$1, 1), 0), I62)
            - MAX(D62, DATE(LOHNTABELLE!$G$3, $A$1, 1)) + 1)
        / DAY(EOMONTH(DATE(LOHNTABELLE!$G$3, $A$1, 1), 0)) * F62,
        2
    ),
    ""
)</f>
        <v>64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1000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y/smgGMC5W9phR3b4cngAfM2+mHm9CpAFisqewxpNgbKEoK8FJbdbXa/66NVYvlUuRFBKlEpOXvhmlANRCF3+Q==" saltValue="hnlxLWTAzBLvCdjItCP8J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2">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 type="list" allowBlank="1" showInputMessage="1" showErrorMessage="1" sqref="F61" xr:uid="{35449690-F847-41D9-9D0F-13D9FCBC46B5}">
      <formula1>KV_DD_APRIL_61</formula1>
    </dataValidation>
    <dataValidation type="list" allowBlank="1" showInputMessage="1" showErrorMessage="1" sqref="F62" xr:uid="{95490940-887F-4C66-8640-1B530E68E1E0}">
      <formula1>KV_DD_APRIL_62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5</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46143</v>
      </c>
    </row>
    <row r="2" spans="1:28" ht="16" customHeight="1" thickBot="1">
      <c r="A2" s="129"/>
      <c r="B2" s="235"/>
      <c r="C2" s="246"/>
      <c r="D2" s="244"/>
      <c r="E2" s="244"/>
      <c r="F2" s="244"/>
      <c r="G2" s="248"/>
      <c r="H2" s="250"/>
      <c r="I2" s="252"/>
      <c r="J2" s="254"/>
      <c r="K2" s="256"/>
      <c r="L2" s="258"/>
      <c r="M2" s="242"/>
      <c r="N2" s="236"/>
      <c r="AB2" s="41">
        <f>EOMONTH(DATE(LOHNTABELLE!$G$3, $A$1, 1), 0)</f>
        <v>46173</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EINSTELLUNG!I10</f>
        <v>5</v>
      </c>
      <c r="Q5" s="48">
        <f>P5-O5</f>
        <v>-898.18770866157831</v>
      </c>
      <c r="R5" s="52">
        <f>IFERROR(Q5*Q42, 0)</f>
        <v>-10737.704138926354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9336.9699999999993</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EINSTELLUNG!L26</f>
        <v>5</v>
      </c>
      <c r="R9" s="267"/>
      <c r="S9" s="53">
        <f>IFERROR(Q9/Q8, 0)</f>
        <v>5.3550562977068583E-4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EINSTELLUNG!I26</f>
        <v>5</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5</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80</v>
      </c>
      <c r="P12" s="266"/>
      <c r="Q12" s="267">
        <f>Q8-Q9-Q10-Q11</f>
        <v>9321.9699999999993</v>
      </c>
      <c r="R12" s="26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82</v>
      </c>
      <c r="P13" s="266"/>
      <c r="Q13" s="267">
        <f>EINSTELLUNG!L10</f>
        <v>5</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84</v>
      </c>
      <c r="P14" s="266"/>
      <c r="Q14" s="267">
        <f>Q12-Q13</f>
        <v>9316.9699999999993</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8" t="str">
        <f>IF(Q14&lt;0, "Schlecht! Zu wenig Stunden für Dienstplan.", IF(Q14&gt;0, "Du hast mehr als genug Stunden für Dienstplan.", ""))</f>
        <v>Du hast mehr als genug Stunden für Dienstplan.</v>
      </c>
      <c r="P15" s="368"/>
      <c r="Q15" s="368"/>
      <c r="R15" s="368"/>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111622.12580645162</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EINSTELLUNG!O10</f>
        <v>5</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EINSTELLUNG!C10</f>
        <v>5</v>
      </c>
      <c r="R35" s="263"/>
      <c r="S35" s="263">
        <f>EINSTELLUNG!C26</f>
        <v>5</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EINSTELLUNG!D10</f>
        <v>5</v>
      </c>
      <c r="R36" s="263"/>
      <c r="S36" s="263" cm="1">
        <f t="array" ref="S36">SumMergedCells(Q17:R29)</f>
        <v>0</v>
      </c>
      <c r="T36" s="263"/>
      <c r="U36" s="264">
        <f t="shared" ref="U36:U41" si="2">S36-Q36</f>
        <v>-5</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EINSTELLUNG!F10</f>
        <v>5</v>
      </c>
      <c r="R38" s="305"/>
      <c r="S38" s="305">
        <f>EINSTELLUNG!F26</f>
        <v>5</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5.3636731291776315E-4</v>
      </c>
      <c r="R40" s="263"/>
      <c r="S40" s="263">
        <f>IF(Q12=0, 0, S35/Q12)</f>
        <v>5.3636731291776315E-4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5.3636731291776315E-4</v>
      </c>
      <c r="R41" s="305"/>
      <c r="S41" s="305">
        <f>IF(Q12=0, 0, S38/Q12)</f>
        <v>5.3636731291776315E-4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11.954855355265318</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1760.2258064516127</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389</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390</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hiClRQoYtlLZZ/SAmDmIqXAwS9ZDaJjKGxxTxD2ttKgKj89ZoN5kxg+pZBv158uLB/DmqTKtv+wotdOxMFkvg==" saltValue="MB0MqSax4HXs4rkDtCzVR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6</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46174</v>
      </c>
    </row>
    <row r="2" spans="1:28" ht="16" customHeight="1" thickBot="1">
      <c r="A2" s="129"/>
      <c r="B2" s="235"/>
      <c r="C2" s="246"/>
      <c r="D2" s="244"/>
      <c r="E2" s="244"/>
      <c r="F2" s="244"/>
      <c r="G2" s="248"/>
      <c r="H2" s="250"/>
      <c r="I2" s="252"/>
      <c r="J2" s="254"/>
      <c r="K2" s="256"/>
      <c r="L2" s="258"/>
      <c r="M2" s="242"/>
      <c r="N2" s="236"/>
      <c r="AB2" s="41">
        <f>EOMONTH(DATE(LOHNTABELLE!$G$3, $A$1, 1), 0)</f>
        <v>46203</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EINSTELLUNG!I11</f>
        <v>6</v>
      </c>
      <c r="Q5" s="48">
        <f>P5-O5</f>
        <v>-897.18770866157831</v>
      </c>
      <c r="R5" s="52">
        <f>IFERROR(Q5*Q42, 0)</f>
        <v>-10725.157083266111</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9359.2999999999993</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EINSTELLUNG!L27</f>
        <v>6</v>
      </c>
      <c r="R9" s="267"/>
      <c r="S9" s="53">
        <f>IFERROR(Q9/Q8, 0)</f>
        <v>6.410735845629481E-4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EINSTELLUNG!I27</f>
        <v>6</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6</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442</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8899.2999999999993</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EINSTELLUNG!L11</f>
        <v>6</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8893.2999999999993</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111882.90000000001</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EINSTELLUNG!O11</f>
        <v>6</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1.6666666666666666E-2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EINSTELLUNG!C11</f>
        <v>6</v>
      </c>
      <c r="R35" s="263"/>
      <c r="S35" s="263">
        <f>EINSTELLUNG!C27</f>
        <v>6</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EINSTELLUNG!D11</f>
        <v>6</v>
      </c>
      <c r="R36" s="263"/>
      <c r="S36" s="263" cm="1">
        <f t="array" ref="S36">SumMergedCells(Q17:R29)</f>
        <v>0</v>
      </c>
      <c r="T36" s="263"/>
      <c r="U36" s="264">
        <f t="shared" ref="U36:U41" si="2">S36-Q36</f>
        <v>-6</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EINSTELLUNG!F11</f>
        <v>6</v>
      </c>
      <c r="R38" s="305"/>
      <c r="S38" s="305">
        <f>EINSTELLUNG!F27</f>
        <v>6</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1.3574660633484163E-2</v>
      </c>
      <c r="R40" s="263"/>
      <c r="S40" s="263">
        <f>IF(Q12=0, 0, S35/Q12)</f>
        <v>1.3574660633484163E-2</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1.3574660633484163E-2</v>
      </c>
      <c r="R41" s="305"/>
      <c r="S41" s="305">
        <f>IF(Q12=0, 0, S38/Q12)</f>
        <v>1.3574660633484163E-2</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11.954195292382979</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389</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390</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0M8+4wcjUBckeDWjsxU0UeRr7Tsf1JYdWU4q9Phc/OG2FWICR0l2oNV+SRKvryy7C5brstBeHj+BklyDMm8V3g==" saltValue="Rls9VR6ygDhZ07b8/nbcuQ=="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3">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 type="list" allowBlank="1" showInputMessage="1" showErrorMessage="1" sqref="F63" xr:uid="{D9157D04-DBE2-4591-8A50-5940E52A90C8}">
      <formula1>KV_DD_JUNI_63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7</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46204</v>
      </c>
    </row>
    <row r="2" spans="1:28" ht="16" customHeight="1" thickBot="1">
      <c r="A2" s="129"/>
      <c r="B2" s="235"/>
      <c r="C2" s="246"/>
      <c r="D2" s="244"/>
      <c r="E2" s="244"/>
      <c r="F2" s="244"/>
      <c r="G2" s="248"/>
      <c r="H2" s="250"/>
      <c r="I2" s="252"/>
      <c r="J2" s="254"/>
      <c r="K2" s="256"/>
      <c r="L2" s="258"/>
      <c r="M2" s="242"/>
      <c r="N2" s="236"/>
      <c r="AB2" s="41">
        <f>EOMONTH(DATE(LOHNTABELLE!$G$3, $A$1, 1), 0)</f>
        <v>46234</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EINSTELLUNG!I12</f>
        <v>7</v>
      </c>
      <c r="Q5" s="48">
        <f>P5-O5</f>
        <v>-896.18770866157831</v>
      </c>
      <c r="R5" s="52">
        <f>IFERROR(Q5*Q42, 0)</f>
        <v>-10713.202887973728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9359.2999999999993</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EINSTELLUNG!L28</f>
        <v>7</v>
      </c>
      <c r="R9" s="267"/>
      <c r="S9" s="53">
        <f>IFERROR(Q9/Q8, 0)</f>
        <v>7.4791918199010614E-4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EINSTELLUNG!I28</f>
        <v>7</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7</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39</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9299.2999999999993</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EINSTELLUNG!L12</f>
        <v>7</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9292.2999999999993</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111882.90000000001</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36"/>
      <c r="P26" s="285"/>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EINSTELLUNG!O12</f>
        <v>7</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EINSTELLUNG!C12</f>
        <v>7</v>
      </c>
      <c r="R35" s="263"/>
      <c r="S35" s="263">
        <f>EINSTELLUNG!C28</f>
        <v>7</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EINSTELLUNG!D12</f>
        <v>7</v>
      </c>
      <c r="R36" s="263"/>
      <c r="S36" s="307" cm="1">
        <f t="array" ref="S36">SumMergedCells(Q17:R29)</f>
        <v>0</v>
      </c>
      <c r="T36" s="309"/>
      <c r="U36" s="264">
        <f t="shared" ref="U36:U41" si="2">S36-Q36</f>
        <v>-7</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EINSTELLUNG!F12</f>
        <v>7</v>
      </c>
      <c r="R38" s="305"/>
      <c r="S38" s="305">
        <f>EINSTELLUNG!F28</f>
        <v>7</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7.5274483025604085E-4</v>
      </c>
      <c r="R40" s="263"/>
      <c r="S40" s="263">
        <f>IF(Q13=0, 0, S35/Q13)</f>
        <v>7.5274483025604085E-4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7.5274483025604085E-4</v>
      </c>
      <c r="R41" s="305"/>
      <c r="S41" s="305">
        <f>IF(Q13=0, 0, S38/Q13)</f>
        <v>7.5274483025604085E-4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11.954195292382979</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389</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390</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qr+JsffCA3zRwN86+PBrSRXh3+ecu2n0DXlj3jHcbPNGea5C1K+UB4BmaHO0isb7krPqWU5gMG+wGi0jBfDQ==" saltValue="zKZ0u5kQWrMGxzTshSYpH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8</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46235</v>
      </c>
    </row>
    <row r="2" spans="1:28" ht="16" customHeight="1" thickBot="1">
      <c r="A2" s="129"/>
      <c r="B2" s="235"/>
      <c r="C2" s="246"/>
      <c r="D2" s="244"/>
      <c r="E2" s="244"/>
      <c r="F2" s="244"/>
      <c r="G2" s="248"/>
      <c r="H2" s="250"/>
      <c r="I2" s="252"/>
      <c r="J2" s="254"/>
      <c r="K2" s="256"/>
      <c r="L2" s="258"/>
      <c r="M2" s="242"/>
      <c r="N2" s="236"/>
      <c r="AB2" s="41">
        <f>EOMONTH(DATE(LOHNTABELLE!$G$3, $A$1, 1), 0)</f>
        <v>46265</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899.01401315020314</v>
      </c>
      <c r="P5" s="49">
        <f>EINSTELLUNG!I13</f>
        <v>8</v>
      </c>
      <c r="Q5" s="48">
        <f>P5-O5</f>
        <v>-891.01401315020314</v>
      </c>
      <c r="R5" s="52">
        <f>IFERROR(Q5*Q42, 0)</f>
        <v>-10653.65963935324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9271.4</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EINSTELLUNG!L29</f>
        <v>8</v>
      </c>
      <c r="R9" s="267"/>
      <c r="S9" s="53">
        <f>IFERROR(Q9/Q8, 0)</f>
        <v>8.6286860668291737E-4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EINSTELLUNG!I29</f>
        <v>8</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8</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80</v>
      </c>
      <c r="P12" s="266"/>
      <c r="Q12" s="267">
        <f>Q8-Q9-Q10-Q11</f>
        <v>9247.4</v>
      </c>
      <c r="R12" s="26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82</v>
      </c>
      <c r="P13" s="266"/>
      <c r="Q13" s="267">
        <f>EINSTELLUNG!L13</f>
        <v>8</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84</v>
      </c>
      <c r="P14" s="266"/>
      <c r="Q14" s="267">
        <f>Q12-Q13</f>
        <v>9239.4</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8" t="str">
        <f>IF(Q14&lt;0, "Schlecht! Zu wenig Stunden für Dienstplan.", IF(Q14&gt;0, "Du hast mehr als genug Stunden für Dienstplan.", ""))</f>
        <v>Du hast mehr als genug Stunden für Dienstplan.</v>
      </c>
      <c r="P15" s="368"/>
      <c r="Q15" s="368"/>
      <c r="R15" s="368"/>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110856.10161290324</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EINSTELLUNG!O13</f>
        <v>8</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1.8518518518518517E-2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EINSTELLUNG!C13</f>
        <v>8</v>
      </c>
      <c r="R35" s="263"/>
      <c r="S35" s="263">
        <f>EINSTELLUNG!C29</f>
        <v>8</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EINSTELLUNG!D13</f>
        <v>8</v>
      </c>
      <c r="R36" s="263"/>
      <c r="S36" s="307" cm="1">
        <f t="array" ref="S36">SumMergedCells(Q17:R29)</f>
        <v>0</v>
      </c>
      <c r="T36" s="309"/>
      <c r="U36" s="264">
        <f t="shared" ref="U36:U41" si="2">S36-Q36</f>
        <v>-8</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23">
        <f>IF(ISERROR(S36/S35), 0, S36/S35)</f>
        <v>0</v>
      </c>
      <c r="T37" s="324"/>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EINSTELLUNG!F13</f>
        <v>8</v>
      </c>
      <c r="R38" s="305"/>
      <c r="S38" s="305">
        <f>EINSTELLUNG!F29</f>
        <v>8</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8.6510803036529194E-4</v>
      </c>
      <c r="R40" s="263"/>
      <c r="S40" s="263">
        <f>IF(Q12=0, 0, S35/Q12)</f>
        <v>8.6510803036529194E-4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8.6510803036529194E-4</v>
      </c>
      <c r="R41" s="305"/>
      <c r="S41" s="305">
        <f>IF(Q12=0, 0, S38/Q12)</f>
        <v>8.6510803036529194E-4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11.956781242628216</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389</v>
      </c>
      <c r="D63" s="193">
        <v>46054</v>
      </c>
      <c r="E63" s="134" t="s">
        <v>4</v>
      </c>
      <c r="F63" s="136">
        <v>129.75</v>
      </c>
      <c r="G63" s="185">
        <v>1515.75</v>
      </c>
      <c r="H63" s="158">
        <f>IF(AND(ISNUMBER(D63), ISNUMBER(F63)),
    ROUNDDOWN(
        MIN(
            IF(OR(ISBLANK(I63), I63=""),
                EOMONTH(DATE(LOHNTABELLE!$G$3, $A$1, 1), 0), I63)
            - MAX(D63, DATE(LOHNTABELLE!$G$3, $A$1, 1)) + 1)
        / DAY(EOMONTH(DATE(LOHNTABELLE!$G$3, $A$1, 1), 0)) * F63,
        2
    ),
    ""
)</f>
        <v>129.75</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1515.75</v>
      </c>
      <c r="M63" s="164"/>
      <c r="N63" s="147"/>
    </row>
    <row r="64" spans="1:14" ht="16" customHeight="1">
      <c r="A64" s="130" t="s">
        <v>150</v>
      </c>
      <c r="B64" s="170">
        <v>800000</v>
      </c>
      <c r="C64" s="137" t="s">
        <v>390</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gDhqf8D/G+k+gJT9VoBGUKbRVZ2/sU1zUvVKlW2fjZc08GPPBvpSxPZAFrK8WdO+RECIFdbC/51vRCxAscykhQ==" saltValue="9G61llmYficamM3bHm65i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3">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 type="list" allowBlank="1" showInputMessage="1" showErrorMessage="1" sqref="F63" xr:uid="{D6DF1D03-430C-459B-946C-60475DD86F43}">
      <formula1>KV_DD_AUGUST_63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9</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46266</v>
      </c>
    </row>
    <row r="2" spans="1:28" ht="16" customHeight="1" thickBot="1">
      <c r="A2" s="129"/>
      <c r="B2" s="235"/>
      <c r="C2" s="246"/>
      <c r="D2" s="244"/>
      <c r="E2" s="244"/>
      <c r="F2" s="244"/>
      <c r="G2" s="248"/>
      <c r="H2" s="250"/>
      <c r="I2" s="252"/>
      <c r="J2" s="254"/>
      <c r="K2" s="256"/>
      <c r="L2" s="258"/>
      <c r="M2" s="242"/>
      <c r="N2" s="236"/>
      <c r="AB2" s="41">
        <f>EOMONTH(DATE(LOHNTABELLE!$G$3, $A$1, 1), 0)</f>
        <v>46295</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EINSTELLUNG!I14</f>
        <v>9</v>
      </c>
      <c r="Q5" s="48">
        <f>P5-O5</f>
        <v>-881.66662212745291</v>
      </c>
      <c r="R5" s="52">
        <f>IFERROR(Q5*Q42, 0)</f>
        <v>-10542.987722514525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9229.5499999999993</v>
      </c>
      <c r="R8" s="26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EINSTELLUNG!L30</f>
        <v>9</v>
      </c>
      <c r="R9" s="267"/>
      <c r="S9" s="53">
        <f>IFERROR(Q9/Q8, 0)</f>
        <v>9.751287982621039E-4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EINSTELLUNG!I30</f>
        <v>9</v>
      </c>
      <c r="R10" s="26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9</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167</v>
      </c>
      <c r="R12" s="301"/>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9035.5499999999993</v>
      </c>
      <c r="R13" s="26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EINSTELLUNG!L14</f>
        <v>9</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9026.5499999999993</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110367.15000000001</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0"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1"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68"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1"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EINSTELLUNG!O14</f>
        <v>9</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1"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1"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EINSTELLUNG!C14</f>
        <v>9</v>
      </c>
      <c r="R35" s="263"/>
      <c r="S35" s="263">
        <f>EINSTELLUNG!C30</f>
        <v>9</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EINSTELLUNG!D14</f>
        <v>9</v>
      </c>
      <c r="R36" s="263"/>
      <c r="S36" s="307" cm="1">
        <f t="array" ref="S36">SumMergedCells(Q17:R29)</f>
        <v>0</v>
      </c>
      <c r="T36" s="309"/>
      <c r="U36" s="264">
        <f t="shared" ref="U36:U41" si="2">S36-Q36</f>
        <v>-9</v>
      </c>
      <c r="V36" s="264"/>
    </row>
    <row r="37" spans="1:24" ht="16" customHeight="1">
      <c r="A37" s="130"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1"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EINSTELLUNG!F14</f>
        <v>9</v>
      </c>
      <c r="R38" s="305"/>
      <c r="S38" s="305">
        <f>EINSTELLUNG!F30</f>
        <v>9</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9.9606554111260522E-4</v>
      </c>
      <c r="R40" s="263"/>
      <c r="S40" s="263">
        <f>IF(Q13=0, 0, S35/Q13)</f>
        <v>9.9606554111260522E-4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9.9606554111260522E-4</v>
      </c>
      <c r="R41" s="305"/>
      <c r="S41" s="305">
        <f>IF(Q13=0, 0, S38/Q13)</f>
        <v>9.9606554111260522E-4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11.958020705234818</v>
      </c>
      <c r="R42" s="308"/>
      <c r="S42" s="308"/>
      <c r="T42" s="308"/>
      <c r="U42" s="308"/>
      <c r="V42" s="309"/>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362</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365</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503000</v>
      </c>
      <c r="C59" s="137" t="s">
        <v>368</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700000</v>
      </c>
      <c r="C62" s="137" t="s">
        <v>389</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390</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gCkd4BTNxYjkPBuDW/6dPKmMoFlJH+2msroD+AyABWvzFRNNoa8K2aAv2o1cpUZNSF+JfmVFDPwThSTGTvNoA==" saltValue="UKDm35oIGFVQ1HcGxd76s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10</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46296</v>
      </c>
    </row>
    <row r="2" spans="1:28" ht="16" customHeight="1" thickBot="1">
      <c r="A2" s="129"/>
      <c r="B2" s="235"/>
      <c r="C2" s="246"/>
      <c r="D2" s="244"/>
      <c r="E2" s="244"/>
      <c r="F2" s="244"/>
      <c r="G2" s="248"/>
      <c r="H2" s="250"/>
      <c r="I2" s="252"/>
      <c r="J2" s="254"/>
      <c r="K2" s="256"/>
      <c r="L2" s="258"/>
      <c r="M2" s="242"/>
      <c r="N2" s="236"/>
      <c r="AB2" s="41">
        <f>EOMONTH(DATE(LOHNTABELLE!$G$3, $A$1, 1), 0)</f>
        <v>46326</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EINSTELLUNG!I15</f>
        <v>10</v>
      </c>
      <c r="Q5" s="48">
        <f>P5-O5</f>
        <v>-880.66662212745291</v>
      </c>
      <c r="R5" s="52">
        <f>IFERROR(Q5*Q42, 0)</f>
        <v>-10527.484626765992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55.8</v>
      </c>
      <c r="I6" s="196">
        <v>46305</v>
      </c>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684.83870967741939</v>
      </c>
      <c r="M6" s="164"/>
      <c r="N6" s="147" t="s">
        <v>219</v>
      </c>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9112.3499999999985</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EINSTELLUNG!L31</f>
        <v>10</v>
      </c>
      <c r="R9" s="267"/>
      <c r="S9" s="53">
        <f>IFERROR(Q9/Q8, 0)</f>
        <v>1.0974117543773013E-3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EINSTELLUNG!I31</f>
        <v>10</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10</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-121</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9203.3499999999985</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EINSTELLUNG!L15</f>
        <v>10</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9193.3499999999985</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108928.98870967743</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EINSTELLUNG!O15</f>
        <v>10</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1.6666666666666666E-2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EINSTELLUNG!C15</f>
        <v>10</v>
      </c>
      <c r="R35" s="263"/>
      <c r="S35" s="263">
        <f>EINSTELLUNG!C31</f>
        <v>10</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EINSTELLUNG!D15</f>
        <v>10</v>
      </c>
      <c r="R36" s="263"/>
      <c r="S36" s="307" cm="1">
        <f t="array" ref="S36">SumMergedCells(Q17:R29)</f>
        <v>0</v>
      </c>
      <c r="T36" s="309"/>
      <c r="U36" s="264">
        <f t="shared" ref="U36:U41" si="2">S36-Q36</f>
        <v>-10</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EINSTELLUNG!F15</f>
        <v>10</v>
      </c>
      <c r="R38" s="305"/>
      <c r="S38" s="305">
        <f>EINSTELLUNG!F31</f>
        <v>10</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1.0865608718564437E-3</v>
      </c>
      <c r="R40" s="263"/>
      <c r="S40" s="263">
        <f>IF(Q13=0, 0, S35/Q13)</f>
        <v>1.0865608718564437E-3</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1.0865608718564437E-3</v>
      </c>
      <c r="R41" s="305"/>
      <c r="S41" s="305">
        <f>IF(Q13=0, 0, S38/Q13)</f>
        <v>1.0865608718564437E-3</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11.953995260243236</v>
      </c>
      <c r="R42" s="308"/>
      <c r="S42" s="308"/>
      <c r="T42" s="308"/>
      <c r="U42" s="308"/>
      <c r="V42" s="309"/>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362</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365</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503000</v>
      </c>
      <c r="C59" s="137" t="s">
        <v>368</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700000</v>
      </c>
      <c r="C62" s="137" t="s">
        <v>389</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390</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9jQ6WaU8rejfQ+fI6Wf3hLhoQcVcbaH/B3jZfo8zd2xZOKAEaAFVxmH9AcRqVI6cieAtXKTFdUd3IH8d5GfmaQ==" saltValue="K2fdChE0Jsp+K7pSqDeQA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3">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 type="list" allowBlank="1" showInputMessage="1" showErrorMessage="1" sqref="F62" xr:uid="{6C8530BE-D5EB-4825-B982-2F84F1B7ADD8}">
      <formula1>KV_DD_OKTOBER_62</formula1>
    </dataValidation>
    <dataValidation type="list" allowBlank="1" showInputMessage="1" showErrorMessage="1" sqref="F63" xr:uid="{5DE59C06-6BA7-446E-AA32-C54C32CB28C1}">
      <formula1>KV_DD_OKTOBER_63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11</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46327</v>
      </c>
    </row>
    <row r="2" spans="1:28" ht="16" customHeight="1" thickBot="1">
      <c r="A2" s="129"/>
      <c r="B2" s="235"/>
      <c r="C2" s="246"/>
      <c r="D2" s="244"/>
      <c r="E2" s="244"/>
      <c r="F2" s="244"/>
      <c r="G2" s="248"/>
      <c r="H2" s="250"/>
      <c r="I2" s="252"/>
      <c r="J2" s="254"/>
      <c r="K2" s="256"/>
      <c r="L2" s="258"/>
      <c r="M2" s="242"/>
      <c r="N2" s="236"/>
      <c r="AB2" s="41">
        <f>EOMONTH(DATE(LOHNTABELLE!$G$3, $A$1, 1), 0)</f>
        <v>46356</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873.97184008195234</v>
      </c>
      <c r="P5" s="49">
        <f>EINSTELLUNG!I16</f>
        <v>11</v>
      </c>
      <c r="Q5" s="48">
        <f>P5-O5</f>
        <v>-862.97184008195234</v>
      </c>
      <c r="R5" s="52">
        <f>IFERROR(Q5*Q42, 0)</f>
        <v>-10314.264626552813</v>
      </c>
    </row>
    <row r="6" spans="1:28" ht="16" customHeight="1">
      <c r="A6" s="130" t="s">
        <v>67</v>
      </c>
      <c r="B6" s="170">
        <v>401049</v>
      </c>
      <c r="C6" s="137"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5" t="s">
        <v>70</v>
      </c>
      <c r="P8" s="266"/>
      <c r="Q8" s="267">
        <f>SUM(H3:H82)</f>
        <v>9056.5499999999993</v>
      </c>
      <c r="R8" s="267"/>
    </row>
    <row r="9" spans="1:28" ht="16" customHeight="1">
      <c r="A9" s="130"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5" t="s">
        <v>72</v>
      </c>
      <c r="P9" s="266"/>
      <c r="Q9" s="267">
        <f>EINSTELLUNG!L32</f>
        <v>11</v>
      </c>
      <c r="R9" s="267"/>
      <c r="S9" s="53">
        <f>IFERROR(Q9/Q8, 0)</f>
        <v>1.2145905449646942E-3</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5" t="s">
        <v>74</v>
      </c>
      <c r="P10" s="266"/>
      <c r="Q10" s="267">
        <f>EINSTELLUNG!I32</f>
        <v>11</v>
      </c>
      <c r="R10" s="267"/>
    </row>
    <row r="11" spans="1:28" ht="16" customHeight="1">
      <c r="A11" s="131"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11</v>
      </c>
      <c r="R11" s="267"/>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80</v>
      </c>
      <c r="P12" s="266"/>
      <c r="Q12" s="267">
        <f>Q8-Q9-Q10-Q11</f>
        <v>9023.5499999999993</v>
      </c>
      <c r="R12" s="267"/>
    </row>
    <row r="13" spans="1:28" ht="16" customHeight="1">
      <c r="A13" s="130"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82</v>
      </c>
      <c r="P13" s="266"/>
      <c r="Q13" s="267">
        <f>EINSTELLUNG!L16</f>
        <v>11</v>
      </c>
      <c r="R13" s="267"/>
    </row>
    <row r="14" spans="1:28" ht="16" customHeight="1">
      <c r="A14" s="131"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84</v>
      </c>
      <c r="P14" s="266"/>
      <c r="Q14" s="267">
        <f>Q12-Q13</f>
        <v>9012.5499999999993</v>
      </c>
      <c r="R14" s="267"/>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8" t="str">
        <f>IF(Q14&lt;0, "Schlecht! Zu wenig Stunden für Dienstplan.", IF(Q14&gt;0, "Du hast mehr als genug Stunden für Dienstplan.", ""))</f>
        <v>Du hast mehr als genug Stunden für Dienstplan.</v>
      </c>
      <c r="P15" s="368"/>
      <c r="Q15" s="368"/>
      <c r="R15" s="368"/>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108244.15000000001</v>
      </c>
      <c r="R17" s="302"/>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3"/>
      <c r="P19" s="363"/>
      <c r="Q19" s="362"/>
      <c r="R19" s="277"/>
    </row>
    <row r="20" spans="1:29" ht="16" customHeight="1">
      <c r="A20" s="131"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3"/>
      <c r="P20" s="363"/>
      <c r="Q20" s="362"/>
      <c r="R20" s="277"/>
    </row>
    <row r="21" spans="1:29" ht="16" customHeight="1">
      <c r="A21" s="130"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1"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3"/>
      <c r="P23" s="363"/>
      <c r="Q23" s="362"/>
      <c r="R23" s="27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0"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3"/>
      <c r="P25" s="364"/>
      <c r="Q25" s="365"/>
      <c r="R25" s="272"/>
    </row>
    <row r="26" spans="1:29" ht="16" customHeight="1">
      <c r="A26" s="131"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79"/>
      <c r="P28" s="280"/>
      <c r="Q28" s="281"/>
      <c r="R28" s="282"/>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68" t="s">
        <v>102</v>
      </c>
      <c r="P29" s="269"/>
      <c r="Q29" s="270">
        <f>EINSTELLUNG!O16</f>
        <v>11</v>
      </c>
      <c r="R29" s="271"/>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9"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1"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1"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EINSTELLUNG!C16</f>
        <v>11</v>
      </c>
      <c r="R35" s="263"/>
      <c r="S35" s="263">
        <f>EINSTELLUNG!C32</f>
        <v>11</v>
      </c>
      <c r="T35" s="263"/>
      <c r="U35" s="264">
        <f>S35-Q35</f>
        <v>0</v>
      </c>
      <c r="V35" s="26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EINSTELLUNG!D16</f>
        <v>11</v>
      </c>
      <c r="R36" s="263"/>
      <c r="S36" s="307" cm="1">
        <f t="array" ref="S36">SumMergedCells(Q17:R29)</f>
        <v>0</v>
      </c>
      <c r="T36" s="309"/>
      <c r="U36" s="264">
        <f t="shared" ref="U36:U41" si="0">S36-Q36</f>
        <v>-11</v>
      </c>
      <c r="V36" s="264"/>
    </row>
    <row r="37" spans="1:24" ht="16" customHeight="1">
      <c r="A37" s="130"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0"/>
        <v>-1</v>
      </c>
      <c r="V37" s="304"/>
    </row>
    <row r="38" spans="1:24" ht="16" customHeight="1">
      <c r="A38" s="131"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61" t="s">
        <v>119</v>
      </c>
      <c r="P38" s="262"/>
      <c r="Q38" s="305">
        <f>EINSTELLUNG!F16</f>
        <v>11</v>
      </c>
      <c r="R38" s="305"/>
      <c r="S38" s="305">
        <f>EINSTELLUNG!F32</f>
        <v>11</v>
      </c>
      <c r="T38" s="305"/>
      <c r="U38" s="306">
        <f t="shared" si="0"/>
        <v>0</v>
      </c>
      <c r="V38" s="306"/>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0"/>
        <v>0</v>
      </c>
      <c r="V39" s="26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1.2190324207213348E-3</v>
      </c>
      <c r="R40" s="263"/>
      <c r="S40" s="263">
        <f>IF(Q12=0, 0, S35/Q12)</f>
        <v>1.2190324207213348E-3</v>
      </c>
      <c r="T40" s="263"/>
      <c r="U40" s="264">
        <f t="shared" si="0"/>
        <v>0</v>
      </c>
      <c r="V40" s="26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1.2190324207213348E-3</v>
      </c>
      <c r="R41" s="305"/>
      <c r="S41" s="305">
        <f>IF(Q12=0, 0, S38/Q12)</f>
        <v>1.2190324207213348E-3</v>
      </c>
      <c r="T41" s="305"/>
      <c r="U41" s="306">
        <f t="shared" si="0"/>
        <v>0</v>
      </c>
      <c r="V41" s="306"/>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11.95202919434001</v>
      </c>
      <c r="R42" s="308"/>
      <c r="S42" s="308"/>
      <c r="T42" s="308"/>
      <c r="U42" s="308"/>
      <c r="V42" s="309"/>
    </row>
    <row r="43" spans="1:24" ht="16" customHeight="1">
      <c r="A43" s="130" t="s">
        <v>128</v>
      </c>
      <c r="B43" s="170">
        <v>401734</v>
      </c>
      <c r="C43" s="139"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193">
        <v>45961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193">
        <v>45986</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355</v>
      </c>
      <c r="D52" s="193">
        <v>46082</v>
      </c>
      <c r="E52" s="134" t="s">
        <v>4</v>
      </c>
      <c r="F52" s="136">
        <v>173</v>
      </c>
      <c r="G52" s="185">
        <v>2021</v>
      </c>
      <c r="H52" s="158">
        <f>IF(AND(ISNUMBER(D52), ISNUMBER(F52)),
    ROUNDDOWN(
        MIN(
            IF(OR(ISBLANK(I52), I52=""),
                EOMONTH(DATE(LOHNTABELLE!$G$3, $A$1, 1), 0), I52)
            - MAX(D52, DATE(LOHNTABELLE!$G$3, $A$1, 1)) + 1)
        / DAY(EOMONTH(DATE(LOHNTABELLE!$G$3, $A$1, 1), 0)) * F52,
        2
    ),
    ""
)</f>
        <v>173</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2021</v>
      </c>
      <c r="M52" s="164"/>
      <c r="N52" s="147"/>
    </row>
    <row r="53" spans="1:14" ht="16" customHeight="1">
      <c r="A53" s="131" t="s">
        <v>139</v>
      </c>
      <c r="B53" s="170">
        <v>402000</v>
      </c>
      <c r="C53" s="137" t="s">
        <v>362</v>
      </c>
      <c r="D53" s="193">
        <v>46143</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364</v>
      </c>
      <c r="D54" s="193">
        <v>46122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402405</v>
      </c>
      <c r="C55" s="137" t="s">
        <v>366</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500600</v>
      </c>
      <c r="C56" s="137" t="s">
        <v>371</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502000</v>
      </c>
      <c r="C57" s="137" t="s">
        <v>365</v>
      </c>
      <c r="D57" s="193">
        <v>46147</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0" t="s">
        <v>147</v>
      </c>
      <c r="B61" s="170">
        <v>700000</v>
      </c>
      <c r="C61" s="137" t="s">
        <v>389</v>
      </c>
      <c r="D61" s="193">
        <v>46054</v>
      </c>
      <c r="E61" s="134" t="s">
        <v>4</v>
      </c>
      <c r="F61" s="136">
        <v>129.75</v>
      </c>
      <c r="G61" s="185">
        <v>1515.75</v>
      </c>
      <c r="H61" s="158">
        <f>IF(AND(ISNUMBER(D61), ISNUMBER(F61)),
    ROUNDDOWN(
        MIN(
            IF(OR(ISBLANK(I61), I61=""),
                EOMONTH(DATE(LOHNTABELLE!$G$3, $A$1, 1), 0), I61)
            - MAX(D61, DATE(LOHNTABELLE!$G$3, $A$1, 1)) + 1)
        / DAY(EOMONTH(DATE(LOHNTABELLE!$G$3, $A$1, 1), 0)) * F61,
        2
    ),
    ""
)</f>
        <v>129.75</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v>800000</v>
      </c>
      <c r="C62" s="137" t="s">
        <v>390</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2021</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boEuqjDndhvKJRQRusX3BJ2g1S4fcGw8+q0JqG/E0vDiX27apmKcehdrVzcs+m0Lbxki9SSUzmWEnJREGG2UUw==" saltValue="UdgCxB6WcAU2CFLsJgWnD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 type="list" allowBlank="1" showInputMessage="1" showErrorMessage="1" sqref="F62" xr:uid="{64E0E7BA-47A0-48AA-99DB-BFECAE248678}">
      <formula1>KV_DD_NOVEMBER_62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12</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46357</v>
      </c>
    </row>
    <row r="2" spans="1:28" ht="16" customHeight="1" thickBot="1">
      <c r="A2" s="129"/>
      <c r="B2" s="235"/>
      <c r="C2" s="246"/>
      <c r="D2" s="244"/>
      <c r="E2" s="244"/>
      <c r="F2" s="244"/>
      <c r="G2" s="248"/>
      <c r="H2" s="250"/>
      <c r="I2" s="252"/>
      <c r="J2" s="254"/>
      <c r="K2" s="256"/>
      <c r="L2" s="258"/>
      <c r="M2" s="242"/>
      <c r="N2" s="236"/>
      <c r="AB2" s="41">
        <f>EOMONTH(DATE(LOHNTABELLE!$G$3, $A$1, 1), 0)</f>
        <v>46387</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873.97184008195234</v>
      </c>
      <c r="P5" s="49">
        <f>EINSTELLUNG!I17</f>
        <v>12</v>
      </c>
      <c r="Q5" s="48">
        <f>P5-O5</f>
        <v>-861.97184008195234</v>
      </c>
      <c r="R5" s="52">
        <f>IFERROR(Q5*Q42, 0)</f>
        <v>-10302.312597358474</v>
      </c>
    </row>
    <row r="6" spans="1:28" ht="16" customHeight="1">
      <c r="A6" s="130" t="s">
        <v>67</v>
      </c>
      <c r="B6" s="170">
        <v>401049</v>
      </c>
      <c r="C6" s="137"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5" t="s">
        <v>70</v>
      </c>
      <c r="P8" s="266"/>
      <c r="Q8" s="267">
        <f>SUM(H3:H82)</f>
        <v>9056.5499999999993</v>
      </c>
      <c r="R8" s="267"/>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5" t="s">
        <v>72</v>
      </c>
      <c r="P9" s="266"/>
      <c r="Q9" s="267">
        <f>EINSTELLUNG!L33</f>
        <v>12</v>
      </c>
      <c r="R9" s="267"/>
      <c r="S9" s="53">
        <f>IFERROR(Q9/Q8, 0)</f>
        <v>1.3250078672342118E-3</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5" t="s">
        <v>74</v>
      </c>
      <c r="P10" s="266"/>
      <c r="Q10" s="267">
        <f>EINSTELLUNG!I33</f>
        <v>12</v>
      </c>
      <c r="R10" s="267"/>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12</v>
      </c>
      <c r="R11" s="267"/>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-303</v>
      </c>
      <c r="R12" s="301"/>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9323.5499999999993</v>
      </c>
      <c r="R13" s="267"/>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EINSTELLUNG!L17</f>
        <v>12</v>
      </c>
      <c r="R14" s="267"/>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5" t="s">
        <v>84</v>
      </c>
      <c r="P15" s="266"/>
      <c r="Q15" s="267">
        <f>Q13-Q14</f>
        <v>9311.5499999999993</v>
      </c>
      <c r="R15" s="267"/>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108244.15000000001</v>
      </c>
      <c r="R17" s="302"/>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3"/>
      <c r="P19" s="363"/>
      <c r="Q19" s="362"/>
      <c r="R19" s="277"/>
    </row>
    <row r="20" spans="1:29" ht="16" customHeight="1">
      <c r="A20" s="130" t="s">
        <v>90</v>
      </c>
      <c r="B20" s="170">
        <v>401481</v>
      </c>
      <c r="C20" s="139"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3"/>
      <c r="P20" s="363"/>
      <c r="Q20" s="362"/>
      <c r="R20" s="277"/>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3"/>
      <c r="P23" s="363"/>
      <c r="Q23" s="362"/>
      <c r="R23" s="27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3"/>
      <c r="P25" s="364"/>
      <c r="Q25" s="365"/>
      <c r="R25" s="27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row>
    <row r="28" spans="1:29" ht="16" customHeigh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75"/>
      <c r="P28" s="276"/>
      <c r="Q28" s="277"/>
      <c r="R28" s="278"/>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69" t="s">
        <v>102</v>
      </c>
      <c r="P29" s="370"/>
      <c r="Q29" s="371">
        <f>EINSTELLUNG!O17</f>
        <v>12</v>
      </c>
      <c r="R29" s="372"/>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9"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EINSTELLUNG!C17</f>
        <v>12</v>
      </c>
      <c r="R35" s="263"/>
      <c r="S35" s="263">
        <f>EINSTELLUNG!C33</f>
        <v>12</v>
      </c>
      <c r="T35" s="263"/>
      <c r="U35" s="264">
        <f>S35-Q35</f>
        <v>0</v>
      </c>
      <c r="V35" s="26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EINSTELLUNG!D17</f>
        <v>12</v>
      </c>
      <c r="R36" s="263"/>
      <c r="S36" s="307" cm="1">
        <f t="array" ref="S36">SumMergedCells(Q17:R29)</f>
        <v>0</v>
      </c>
      <c r="T36" s="309"/>
      <c r="U36" s="264">
        <f t="shared" ref="U36:U41" si="0">S36-Q36</f>
        <v>-12</v>
      </c>
      <c r="V36" s="264"/>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0"/>
        <v>-1</v>
      </c>
      <c r="V37" s="304"/>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61" t="s">
        <v>119</v>
      </c>
      <c r="P38" s="262"/>
      <c r="Q38" s="305">
        <f>EINSTELLUNG!F17</f>
        <v>12</v>
      </c>
      <c r="R38" s="305"/>
      <c r="S38" s="305">
        <f>EINSTELLUNG!F33</f>
        <v>12</v>
      </c>
      <c r="T38" s="305"/>
      <c r="U38" s="306">
        <f t="shared" si="0"/>
        <v>0</v>
      </c>
      <c r="V38" s="306"/>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0"/>
        <v>0</v>
      </c>
      <c r="V39" s="26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1.2870634039609378E-3</v>
      </c>
      <c r="R40" s="263"/>
      <c r="S40" s="263">
        <f>IF(Q13=0, 0, S35/Q13)</f>
        <v>1.2870634039609378E-3</v>
      </c>
      <c r="T40" s="263"/>
      <c r="U40" s="264">
        <f t="shared" si="0"/>
        <v>0</v>
      </c>
      <c r="V40" s="26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1.2870634039609378E-3</v>
      </c>
      <c r="R41" s="305"/>
      <c r="S41" s="305">
        <f>IF(Q13=0, 0, S38/Q13)</f>
        <v>1.2870634039609378E-3</v>
      </c>
      <c r="T41" s="305"/>
      <c r="U41" s="306">
        <f t="shared" si="0"/>
        <v>0</v>
      </c>
      <c r="V41" s="306"/>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11.95202919434001</v>
      </c>
      <c r="R42" s="308"/>
      <c r="S42" s="308"/>
      <c r="T42" s="308"/>
      <c r="U42" s="308"/>
      <c r="V42" s="309"/>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193">
        <v>45961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193">
        <v>45986</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355</v>
      </c>
      <c r="D52" s="193">
        <v>46082</v>
      </c>
      <c r="E52" s="134" t="s">
        <v>4</v>
      </c>
      <c r="F52" s="136">
        <v>173</v>
      </c>
      <c r="G52" s="185">
        <v>2021</v>
      </c>
      <c r="H52" s="158">
        <f>IF(AND(ISNUMBER(D52), ISNUMBER(F52)),
    ROUNDDOWN(
        MIN(
            IF(OR(ISBLANK(I52), I52=""),
                EOMONTH(DATE(LOHNTABELLE!$G$3, $A$1, 1), 0), I52)
            - MAX(D52, DATE(LOHNTABELLE!$G$3, $A$1, 1)) + 1)
        / DAY(EOMONTH(DATE(LOHNTABELLE!$G$3, $A$1, 1), 0)) * F52,
        2
    ),
    ""
)</f>
        <v>173</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2021</v>
      </c>
      <c r="M52" s="164"/>
      <c r="N52" s="147"/>
    </row>
    <row r="53" spans="1:14" ht="16" customHeight="1">
      <c r="A53" s="131" t="s">
        <v>139</v>
      </c>
      <c r="B53" s="170">
        <v>402000</v>
      </c>
      <c r="C53" s="137" t="s">
        <v>362</v>
      </c>
      <c r="D53" s="193">
        <v>46143</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364</v>
      </c>
      <c r="D54" s="193">
        <v>46122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402405</v>
      </c>
      <c r="C55" s="137" t="s">
        <v>366</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500600</v>
      </c>
      <c r="C56" s="137" t="s">
        <v>371</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502000</v>
      </c>
      <c r="C57" s="137" t="s">
        <v>365</v>
      </c>
      <c r="D57" s="193">
        <v>46147</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389</v>
      </c>
      <c r="D61" s="193">
        <v>46054</v>
      </c>
      <c r="E61" s="134" t="s">
        <v>4</v>
      </c>
      <c r="F61" s="136">
        <v>129.75</v>
      </c>
      <c r="G61" s="185">
        <v>1515.75</v>
      </c>
      <c r="H61" s="158">
        <f>IF(AND(ISNUMBER(D61), ISNUMBER(F61)),
    ROUNDDOWN(
        MIN(
            IF(OR(ISBLANK(I61), I61=""),
                EOMONTH(DATE(LOHNTABELLE!$G$3, $A$1, 1), 0), I61)
            - MAX(D61, DATE(LOHNTABELLE!$G$3, $A$1, 1)) + 1)
        / DAY(EOMONTH(DATE(LOHNTABELLE!$G$3, $A$1, 1), 0)) * F61,
        2
    ),
    ""
)</f>
        <v>129.75</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800000</v>
      </c>
      <c r="C62" s="137" t="s">
        <v>390</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2021</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oGLhBGXmQ5wtuyCkBMIF+Y0cY0cBixIBxqY+pizb6eeMgxkcxPWq2dYHz3gRcaBLtKHVKkch0yAyuFPAodzueg==" saltValue="tfDh9pOxctDedyGUXsEG7g=="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2">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 type="list" allowBlank="1" showInputMessage="1" showErrorMessage="1" sqref="F62" xr:uid="{75DC9853-77AB-48E7-AB24-6116759F962C}">
      <formula1>KV_DD_DEZEMBER_62</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453125" defaultRowHeight="14"/>
  <cols>
    <col min="1" max="1" width="4.453125" style="1" customWidth="1"/>
    <col min="2" max="2" width="11.453125" style="1"/>
    <col min="3" max="3" width="17.6328125" style="1" customWidth="1"/>
    <col min="4" max="4" width="17.36328125" style="1" customWidth="1"/>
    <col min="5" max="5" width="14.81640625" style="1" customWidth="1"/>
    <col min="6" max="6" width="17.81640625" style="1" customWidth="1"/>
    <col min="7" max="7" width="19.36328125" style="1" customWidth="1"/>
    <col min="8" max="8" width="15.36328125" style="1" customWidth="1"/>
    <col min="9" max="10" width="15.6328125" style="1" customWidth="1"/>
    <col min="11" max="11" width="14" style="1" customWidth="1"/>
    <col min="12" max="13" width="20.6328125" style="1" customWidth="1"/>
    <col min="14" max="15" width="15.6328125" style="1" customWidth="1"/>
    <col min="16" max="16" width="11.6328125" style="1" customWidth="1"/>
    <col min="17" max="17" width="20.6328125" style="1" customWidth="1"/>
    <col min="18" max="16384" width="11.453125" style="1"/>
  </cols>
  <sheetData>
    <row r="2" spans="2:18" ht="15.75" customHeight="1">
      <c r="B2" s="374" t="str">
        <f>"FINANZIELL ÜBERSICHT "&amp;LOHNTABELLE!G3</f>
        <v>FINANZIELL ÜBERSICHT 2026</v>
      </c>
      <c r="C2" s="374"/>
      <c r="D2" s="374"/>
      <c r="E2" s="374"/>
      <c r="F2" s="374"/>
      <c r="G2" s="374"/>
      <c r="H2" s="374"/>
      <c r="I2" s="374"/>
      <c r="J2" s="374"/>
      <c r="K2" s="374"/>
      <c r="L2" s="374"/>
      <c r="M2" s="374"/>
      <c r="N2" s="374"/>
      <c r="O2" s="374"/>
      <c r="P2" s="374"/>
      <c r="Q2" s="374"/>
      <c r="R2" s="2"/>
    </row>
    <row r="3" spans="2:18" ht="15.75" customHeight="1">
      <c r="B3" s="374"/>
      <c r="C3" s="374"/>
      <c r="D3" s="374"/>
      <c r="E3" s="374"/>
      <c r="F3" s="374"/>
      <c r="G3" s="374"/>
      <c r="H3" s="374"/>
      <c r="I3" s="374"/>
      <c r="J3" s="374"/>
      <c r="K3" s="374"/>
      <c r="L3" s="374"/>
      <c r="M3" s="374"/>
      <c r="N3" s="374"/>
      <c r="O3" s="374"/>
      <c r="P3" s="374"/>
      <c r="Q3" s="374"/>
      <c r="R3" s="2"/>
    </row>
    <row r="4" spans="2:18" ht="30" customHeight="1">
      <c r="B4" s="376"/>
      <c r="C4" s="375" t="s">
        <v>30</v>
      </c>
      <c r="D4" s="375"/>
      <c r="E4" s="375"/>
      <c r="F4" s="375" t="s">
        <v>176</v>
      </c>
      <c r="G4" s="375"/>
      <c r="H4" s="375"/>
      <c r="I4" s="375" t="s">
        <v>177</v>
      </c>
      <c r="J4" s="375"/>
      <c r="K4" s="375"/>
      <c r="L4" s="375" t="s">
        <v>178</v>
      </c>
      <c r="M4" s="375" t="s">
        <v>179</v>
      </c>
      <c r="N4" s="377" t="s">
        <v>180</v>
      </c>
      <c r="O4" s="377"/>
      <c r="P4" s="377"/>
      <c r="Q4" s="377" t="s">
        <v>105</v>
      </c>
    </row>
    <row r="5" spans="2:18" ht="30" customHeight="1">
      <c r="B5" s="376"/>
      <c r="C5" s="375"/>
      <c r="D5" s="375"/>
      <c r="E5" s="375"/>
      <c r="F5" s="375"/>
      <c r="G5" s="375"/>
      <c r="H5" s="375"/>
      <c r="I5" s="375"/>
      <c r="J5" s="375"/>
      <c r="K5" s="375"/>
      <c r="L5" s="375"/>
      <c r="M5" s="375"/>
      <c r="N5" s="377"/>
      <c r="O5" s="377"/>
      <c r="P5" s="377"/>
      <c r="Q5" s="377"/>
    </row>
    <row r="6" spans="2:18" ht="30" customHeight="1">
      <c r="B6" s="376"/>
      <c r="C6" s="60" t="s">
        <v>181</v>
      </c>
      <c r="D6" s="60" t="s">
        <v>182</v>
      </c>
      <c r="E6" s="61" t="s">
        <v>183</v>
      </c>
      <c r="F6" s="60" t="s">
        <v>181</v>
      </c>
      <c r="G6" s="60" t="s">
        <v>182</v>
      </c>
      <c r="H6" s="61" t="s">
        <v>183</v>
      </c>
      <c r="I6" s="60" t="s">
        <v>181</v>
      </c>
      <c r="J6" s="60" t="s">
        <v>182</v>
      </c>
      <c r="K6" s="61" t="s">
        <v>183</v>
      </c>
      <c r="L6" s="375"/>
      <c r="M6" s="375"/>
      <c r="N6" s="60" t="s">
        <v>184</v>
      </c>
      <c r="O6" s="60" t="s">
        <v>185</v>
      </c>
      <c r="P6" s="61" t="s">
        <v>183</v>
      </c>
      <c r="Q6" s="377"/>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0</v>
      </c>
      <c r="H8" s="83">
        <f>G8-F8</f>
        <v>-2</v>
      </c>
      <c r="I8" s="66">
        <f>EINSTELLUNG!E7</f>
        <v>1</v>
      </c>
      <c r="J8" s="66">
        <f>EINSTELLUNG!E23</f>
        <v>0</v>
      </c>
      <c r="K8" s="67">
        <f t="shared" ref="K8:K22" si="0">J8-I8</f>
        <v>-1</v>
      </c>
      <c r="L8" s="65">
        <f>Februar!S40</f>
        <v>2.329479209980421E-4</v>
      </c>
      <c r="M8" s="62">
        <f>Februar!S41</f>
        <v>2.329479209980421E-4</v>
      </c>
      <c r="N8" s="62">
        <f>Februar!O5</f>
        <v>842.66960625479021</v>
      </c>
      <c r="O8" s="62">
        <f>Februar!P5</f>
        <v>2</v>
      </c>
      <c r="P8" s="85">
        <f t="shared" ref="P8:P23" si="1">O8-N8</f>
        <v>-840.66960625479021</v>
      </c>
      <c r="Q8" s="66">
        <f>Februar!Q31</f>
        <v>1.7241379310344827E-2</v>
      </c>
    </row>
    <row r="9" spans="2:18" ht="30" customHeight="1">
      <c r="B9" s="63" t="s">
        <v>188</v>
      </c>
      <c r="C9" s="65">
        <f>EINSTELLUNG!C8</f>
        <v>3</v>
      </c>
      <c r="D9" s="65">
        <f>EINSTELLUNG!C24</f>
        <v>3</v>
      </c>
      <c r="E9" s="83">
        <f>D9-C9</f>
        <v>0</v>
      </c>
      <c r="F9" s="65">
        <f>EINSTELLUNG!D8</f>
        <v>3</v>
      </c>
      <c r="G9" s="65">
        <f>Marz!$S$36</f>
        <v>0</v>
      </c>
      <c r="H9" s="83">
        <f>G9-F9</f>
        <v>-3</v>
      </c>
      <c r="I9" s="66">
        <f>EINSTELLUNG!E8</f>
        <v>1</v>
      </c>
      <c r="J9" s="66">
        <f>EINSTELLUNG!E24</f>
        <v>0</v>
      </c>
      <c r="K9" s="67">
        <f>J9-I9</f>
        <v>-1</v>
      </c>
      <c r="L9" s="65">
        <f>Marz!S40</f>
        <v>3.219523188615766E-4</v>
      </c>
      <c r="M9" s="62">
        <f>Marz!S41</f>
        <v>3.219523188615766E-4</v>
      </c>
      <c r="N9" s="62">
        <f>Marz!O5</f>
        <v>861.45075354782682</v>
      </c>
      <c r="O9" s="62">
        <f>Marz!P5</f>
        <v>3</v>
      </c>
      <c r="P9" s="85">
        <f t="shared" si="1"/>
        <v>-858.45075354782682</v>
      </c>
      <c r="Q9" s="66">
        <f>Marz!Q31</f>
        <v>1.6666666666666666E-2</v>
      </c>
    </row>
    <row r="10" spans="2:18" ht="30" customHeight="1">
      <c r="B10" s="68" t="s">
        <v>189</v>
      </c>
      <c r="C10" s="69">
        <f>SUM(C7:C9)</f>
        <v>6</v>
      </c>
      <c r="D10" s="69">
        <f>SUM(D7:D9)</f>
        <v>6</v>
      </c>
      <c r="E10" s="84">
        <f>D10-C10</f>
        <v>0</v>
      </c>
      <c r="F10" s="69">
        <f>SUM(F7:F9)</f>
        <v>6</v>
      </c>
      <c r="G10" s="69">
        <f>SUM(G7:G9)</f>
        <v>0</v>
      </c>
      <c r="H10" s="84">
        <f>G10-F10</f>
        <v>-6</v>
      </c>
      <c r="I10" s="70">
        <f>AVERAGE(I7:I9)</f>
        <v>1</v>
      </c>
      <c r="J10" s="70">
        <f>AVERAGE(J7:J9)</f>
        <v>0</v>
      </c>
      <c r="K10" s="71">
        <f>J10-I10</f>
        <v>-1</v>
      </c>
      <c r="L10" s="69">
        <f>AVERAGE(L7:L9)</f>
        <v>2.2945983684296125E-4</v>
      </c>
      <c r="M10" s="64">
        <f>AVERAGE(M7:M9)</f>
        <v>2.2945983684296125E-4</v>
      </c>
      <c r="N10" s="64">
        <f>SUM(N7:N9)</f>
        <v>2428.6739005773393</v>
      </c>
      <c r="O10" s="64">
        <f>SUM(O7:O9)</f>
        <v>6</v>
      </c>
      <c r="P10" s="86">
        <f t="shared" si="1"/>
        <v>-2422.6739005773393</v>
      </c>
      <c r="Q10" s="70">
        <f>AVERAGE(Q7:Q9)</f>
        <v>1.7838629704755467E-2</v>
      </c>
    </row>
    <row r="11" spans="2:18" ht="30" customHeight="1">
      <c r="B11" s="63" t="s">
        <v>190</v>
      </c>
      <c r="C11" s="65">
        <f>EINSTELLUNG!C9</f>
        <v>4</v>
      </c>
      <c r="D11" s="65">
        <f>EINSTELLUNG!C25</f>
        <v>4</v>
      </c>
      <c r="E11" s="83">
        <f t="shared" ref="E11:E21" si="2">D11-C11</f>
        <v>0</v>
      </c>
      <c r="F11" s="65">
        <f>EINSTELLUNG!D9</f>
        <v>4</v>
      </c>
      <c r="G11" s="65">
        <f>April!$S$36</f>
        <v>0</v>
      </c>
      <c r="H11" s="83">
        <f>G11-F11</f>
        <v>-4</v>
      </c>
      <c r="I11" s="66">
        <f>EINSTELLUNG!E9</f>
        <v>1</v>
      </c>
      <c r="J11" s="66">
        <f>EINSTELLUNG!E25</f>
        <v>0</v>
      </c>
      <c r="K11" s="67">
        <f t="shared" si="0"/>
        <v>-1</v>
      </c>
      <c r="L11" s="65">
        <f>April!S40</f>
        <v>4.3978274732282255E-4</v>
      </c>
      <c r="M11" s="62">
        <f>April!S41</f>
        <v>4.3978274732282255E-4</v>
      </c>
      <c r="N11" s="62">
        <f>April!O5</f>
        <v>859.27946686560858</v>
      </c>
      <c r="O11" s="62">
        <f>April!P5</f>
        <v>4</v>
      </c>
      <c r="P11" s="85">
        <f t="shared" si="1"/>
        <v>-855.27946686560858</v>
      </c>
      <c r="Q11" s="66">
        <f>April!Q31</f>
        <v>0</v>
      </c>
    </row>
    <row r="12" spans="2:18" ht="30" customHeight="1">
      <c r="B12" s="63" t="s">
        <v>191</v>
      </c>
      <c r="C12" s="65">
        <f>EINSTELLUNG!C10</f>
        <v>5</v>
      </c>
      <c r="D12" s="65">
        <f>EINSTELLUNG!C26</f>
        <v>5</v>
      </c>
      <c r="E12" s="83">
        <f t="shared" si="2"/>
        <v>0</v>
      </c>
      <c r="F12" s="65">
        <f>EINSTELLUNG!D10</f>
        <v>5</v>
      </c>
      <c r="G12" s="65">
        <f>Mai!$S$36</f>
        <v>0</v>
      </c>
      <c r="H12" s="83">
        <f t="shared" ref="H12:H23" si="3">G12-F12</f>
        <v>-5</v>
      </c>
      <c r="I12" s="66">
        <f>EINSTELLUNG!E10</f>
        <v>1</v>
      </c>
      <c r="J12" s="66">
        <f>EINSTELLUNG!E26</f>
        <v>0</v>
      </c>
      <c r="K12" s="67">
        <f t="shared" si="0"/>
        <v>-1</v>
      </c>
      <c r="L12" s="65">
        <f>Mai!S40</f>
        <v>5.3636731291776315E-4</v>
      </c>
      <c r="M12" s="62">
        <f>Mai!S41</f>
        <v>5.3636731291776315E-4</v>
      </c>
      <c r="N12" s="62">
        <f>Mai!O5</f>
        <v>903.18770866157831</v>
      </c>
      <c r="O12" s="62">
        <f>Mai!P5</f>
        <v>5</v>
      </c>
      <c r="P12" s="85">
        <f t="shared" si="1"/>
        <v>-898.18770866157831</v>
      </c>
      <c r="Q12" s="66">
        <f>Mai!Q31</f>
        <v>0</v>
      </c>
    </row>
    <row r="13" spans="2:18" ht="30" customHeight="1">
      <c r="B13" s="63" t="s">
        <v>192</v>
      </c>
      <c r="C13" s="65">
        <f>EINSTELLUNG!C11</f>
        <v>6</v>
      </c>
      <c r="D13" s="65">
        <f>EINSTELLUNG!C27</f>
        <v>6</v>
      </c>
      <c r="E13" s="83">
        <f t="shared" si="2"/>
        <v>0</v>
      </c>
      <c r="F13" s="65">
        <f>EINSTELLUNG!D11</f>
        <v>6</v>
      </c>
      <c r="G13" s="65">
        <f>Juni!$S$36</f>
        <v>0</v>
      </c>
      <c r="H13" s="83">
        <f t="shared" si="3"/>
        <v>-6</v>
      </c>
      <c r="I13" s="66">
        <f>EINSTELLUNG!E11</f>
        <v>1</v>
      </c>
      <c r="J13" s="66">
        <f>EINSTELLUNG!E27</f>
        <v>0</v>
      </c>
      <c r="K13" s="67">
        <f t="shared" si="0"/>
        <v>-1</v>
      </c>
      <c r="L13" s="65">
        <f>Juni!S40</f>
        <v>1.3574660633484163E-2</v>
      </c>
      <c r="M13" s="62">
        <f>Juni!S41</f>
        <v>1.3574660633484163E-2</v>
      </c>
      <c r="N13" s="62">
        <f>Juni!O5</f>
        <v>903.18770866157831</v>
      </c>
      <c r="O13" s="62">
        <f>Juni!P5</f>
        <v>6</v>
      </c>
      <c r="P13" s="85">
        <f t="shared" si="1"/>
        <v>-897.18770866157831</v>
      </c>
      <c r="Q13" s="66">
        <f>Juni!Q31</f>
        <v>1.6666666666666666E-2</v>
      </c>
    </row>
    <row r="14" spans="2:18" ht="30" customHeight="1">
      <c r="B14" s="68" t="s">
        <v>193</v>
      </c>
      <c r="C14" s="69">
        <f>SUM(C11:C13)</f>
        <v>15</v>
      </c>
      <c r="D14" s="69">
        <f>SUM(D11:D13)</f>
        <v>15</v>
      </c>
      <c r="E14" s="84">
        <f t="shared" si="2"/>
        <v>0</v>
      </c>
      <c r="F14" s="69">
        <f>SUM(F11:F13)</f>
        <v>15</v>
      </c>
      <c r="G14" s="69">
        <f>SUM(G11:G13)</f>
        <v>0</v>
      </c>
      <c r="H14" s="84">
        <f t="shared" si="3"/>
        <v>-15</v>
      </c>
      <c r="I14" s="70">
        <f>AVERAGE(I11:I13)</f>
        <v>1</v>
      </c>
      <c r="J14" s="70">
        <f>AVERAGE(J11:J13)</f>
        <v>0</v>
      </c>
      <c r="K14" s="71">
        <f t="shared" si="0"/>
        <v>-1</v>
      </c>
      <c r="L14" s="69">
        <f>AVERAGE(L11:L13)</f>
        <v>4.8502702312415826E-3</v>
      </c>
      <c r="M14" s="64">
        <f>AVERAGE(M11:M13)</f>
        <v>4.8502702312415826E-3</v>
      </c>
      <c r="N14" s="64">
        <f>SUM(N11:N13)</f>
        <v>2665.6548841887652</v>
      </c>
      <c r="O14" s="64">
        <f>SUM(O11:O13)</f>
        <v>15</v>
      </c>
      <c r="P14" s="86">
        <f t="shared" si="1"/>
        <v>-2650.6548841887652</v>
      </c>
      <c r="Q14" s="70">
        <f>AVERAGE(Q11:Q13)</f>
        <v>5.5555555555555558E-3</v>
      </c>
    </row>
    <row r="15" spans="2:18" ht="30" customHeight="1">
      <c r="B15" s="63" t="s">
        <v>194</v>
      </c>
      <c r="C15" s="65">
        <f>EINSTELLUNG!C12</f>
        <v>7</v>
      </c>
      <c r="D15" s="65">
        <f>EINSTELLUNG!C28</f>
        <v>7</v>
      </c>
      <c r="E15" s="83">
        <f t="shared" si="2"/>
        <v>0</v>
      </c>
      <c r="F15" s="65">
        <f>EINSTELLUNG!D12</f>
        <v>7</v>
      </c>
      <c r="G15" s="65">
        <f>Juli!$S$36</f>
        <v>0</v>
      </c>
      <c r="H15" s="83">
        <f t="shared" si="3"/>
        <v>-7</v>
      </c>
      <c r="I15" s="66">
        <f>EINSTELLUNG!E12</f>
        <v>1</v>
      </c>
      <c r="J15" s="66">
        <f>EINSTELLUNG!E28</f>
        <v>0</v>
      </c>
      <c r="K15" s="67">
        <f t="shared" si="0"/>
        <v>-1</v>
      </c>
      <c r="L15" s="65">
        <f>Juli!S40</f>
        <v>7.5274483025604085E-4</v>
      </c>
      <c r="M15" s="62">
        <f>Juli!S41</f>
        <v>7.5274483025604085E-4</v>
      </c>
      <c r="N15" s="62">
        <f>Juli!O5</f>
        <v>903.18770866157831</v>
      </c>
      <c r="O15" s="62">
        <f>Juli!P5</f>
        <v>7</v>
      </c>
      <c r="P15" s="85">
        <f t="shared" si="1"/>
        <v>-896.18770866157831</v>
      </c>
      <c r="Q15" s="66">
        <f>Juli!Q31</f>
        <v>0</v>
      </c>
    </row>
    <row r="16" spans="2:18" ht="30" customHeight="1">
      <c r="B16" s="63" t="s">
        <v>195</v>
      </c>
      <c r="C16" s="65">
        <f>EINSTELLUNG!C13</f>
        <v>8</v>
      </c>
      <c r="D16" s="65">
        <f>EINSTELLUNG!C29</f>
        <v>8</v>
      </c>
      <c r="E16" s="83">
        <f t="shared" si="2"/>
        <v>0</v>
      </c>
      <c r="F16" s="65">
        <f>EINSTELLUNG!D13</f>
        <v>8</v>
      </c>
      <c r="G16" s="65">
        <f>August!$S$36</f>
        <v>0</v>
      </c>
      <c r="H16" s="83">
        <f t="shared" si="3"/>
        <v>-8</v>
      </c>
      <c r="I16" s="66">
        <f>EINSTELLUNG!E13</f>
        <v>1</v>
      </c>
      <c r="J16" s="66">
        <f>EINSTELLUNG!E29</f>
        <v>0</v>
      </c>
      <c r="K16" s="67">
        <f t="shared" si="0"/>
        <v>-1</v>
      </c>
      <c r="L16" s="65">
        <f>August!S40</f>
        <v>8.6510803036529194E-4</v>
      </c>
      <c r="M16" s="62">
        <f>August!S41</f>
        <v>8.6510803036529194E-4</v>
      </c>
      <c r="N16" s="62">
        <f>August!O5</f>
        <v>899.01401315020314</v>
      </c>
      <c r="O16" s="62">
        <f>August!P5</f>
        <v>8</v>
      </c>
      <c r="P16" s="85">
        <f t="shared" si="1"/>
        <v>-891.01401315020314</v>
      </c>
      <c r="Q16" s="66">
        <f>August!Q31</f>
        <v>1.8518518518518517E-2</v>
      </c>
    </row>
    <row r="17" spans="2:17" ht="30" customHeight="1">
      <c r="B17" s="63" t="s">
        <v>196</v>
      </c>
      <c r="C17" s="65">
        <f>EINSTELLUNG!C14</f>
        <v>9</v>
      </c>
      <c r="D17" s="65">
        <f>EINSTELLUNG!C30</f>
        <v>9</v>
      </c>
      <c r="E17" s="83">
        <f t="shared" si="2"/>
        <v>0</v>
      </c>
      <c r="F17" s="65">
        <f>EINSTELLUNG!D14</f>
        <v>9</v>
      </c>
      <c r="G17" s="65">
        <f>September!$S$36</f>
        <v>0</v>
      </c>
      <c r="H17" s="83">
        <f t="shared" si="3"/>
        <v>-9</v>
      </c>
      <c r="I17" s="66">
        <f>EINSTELLUNG!E14</f>
        <v>1</v>
      </c>
      <c r="J17" s="66">
        <f>EINSTELLUNG!E30</f>
        <v>0</v>
      </c>
      <c r="K17" s="67">
        <f t="shared" si="0"/>
        <v>-1</v>
      </c>
      <c r="L17" s="65">
        <f>September!S40</f>
        <v>9.9606554111260522E-4</v>
      </c>
      <c r="M17" s="62">
        <f>September!S41</f>
        <v>9.9606554111260522E-4</v>
      </c>
      <c r="N17" s="62">
        <f>September!O5</f>
        <v>890.66662212745291</v>
      </c>
      <c r="O17" s="62">
        <f>September!P5</f>
        <v>9</v>
      </c>
      <c r="P17" s="85">
        <f t="shared" si="1"/>
        <v>-881.66662212745291</v>
      </c>
      <c r="Q17" s="66">
        <f>September!Q31</f>
        <v>0</v>
      </c>
    </row>
    <row r="18" spans="2:17" ht="30" customHeight="1">
      <c r="B18" s="68" t="s">
        <v>197</v>
      </c>
      <c r="C18" s="69">
        <f>SUM(C15:C17)</f>
        <v>24</v>
      </c>
      <c r="D18" s="69">
        <f>SUM(D15:D17)</f>
        <v>24</v>
      </c>
      <c r="E18" s="84">
        <f>D18-C18</f>
        <v>0</v>
      </c>
      <c r="F18" s="69">
        <f>SUM(F15:F17)</f>
        <v>24</v>
      </c>
      <c r="G18" s="69">
        <f>SUM(G15:G17)</f>
        <v>0</v>
      </c>
      <c r="H18" s="84">
        <f t="shared" si="3"/>
        <v>-24</v>
      </c>
      <c r="I18" s="70">
        <f>AVERAGE(I15:I17)</f>
        <v>1</v>
      </c>
      <c r="J18" s="70">
        <f>AVERAGE(J15:J17)</f>
        <v>0</v>
      </c>
      <c r="K18" s="71">
        <f t="shared" si="0"/>
        <v>-1</v>
      </c>
      <c r="L18" s="69">
        <f>AVERAGE(L15:L17)</f>
        <v>8.7130613391131267E-4</v>
      </c>
      <c r="M18" s="64">
        <f>AVERAGE(M15:M17)</f>
        <v>8.7130613391131267E-4</v>
      </c>
      <c r="N18" s="64">
        <f>SUM(N15:N17)</f>
        <v>2692.8683439392344</v>
      </c>
      <c r="O18" s="64">
        <f>SUM(O15:O17)</f>
        <v>24</v>
      </c>
      <c r="P18" s="86">
        <f t="shared" si="1"/>
        <v>-2668.8683439392344</v>
      </c>
      <c r="Q18" s="70">
        <f>AVERAGE(Q15:Q17)</f>
        <v>6.1728395061728392E-3</v>
      </c>
    </row>
    <row r="19" spans="2:17" ht="30" customHeight="1">
      <c r="B19" s="63" t="s">
        <v>198</v>
      </c>
      <c r="C19" s="65">
        <f>EINSTELLUNG!C15</f>
        <v>10</v>
      </c>
      <c r="D19" s="65">
        <f>EINSTELLUNG!C31</f>
        <v>10</v>
      </c>
      <c r="E19" s="83">
        <f>D19-C19</f>
        <v>0</v>
      </c>
      <c r="F19" s="65">
        <f>EINSTELLUNG!D15</f>
        <v>10</v>
      </c>
      <c r="G19" s="65">
        <f>Oktober!$S$36</f>
        <v>0</v>
      </c>
      <c r="H19" s="83">
        <f t="shared" si="3"/>
        <v>-10</v>
      </c>
      <c r="I19" s="66">
        <f>EINSTELLUNG!E15</f>
        <v>1</v>
      </c>
      <c r="J19" s="66">
        <f>EINSTELLUNG!E31</f>
        <v>0</v>
      </c>
      <c r="K19" s="67">
        <f t="shared" si="0"/>
        <v>-1</v>
      </c>
      <c r="L19" s="65">
        <f>Oktober!S40</f>
        <v>1.0865608718564437E-3</v>
      </c>
      <c r="M19" s="62">
        <f>Oktober!S41</f>
        <v>1.0865608718564437E-3</v>
      </c>
      <c r="N19" s="62">
        <f>Oktober!O5</f>
        <v>890.66662212745291</v>
      </c>
      <c r="O19" s="62">
        <f>Oktober!P5</f>
        <v>10</v>
      </c>
      <c r="P19" s="85">
        <f t="shared" si="1"/>
        <v>-880.66662212745291</v>
      </c>
      <c r="Q19" s="66">
        <f>Oktober!Q31</f>
        <v>1.6666666666666666E-2</v>
      </c>
    </row>
    <row r="20" spans="2:17" ht="30" customHeight="1">
      <c r="B20" s="63" t="s">
        <v>199</v>
      </c>
      <c r="C20" s="65">
        <f>EINSTELLUNG!C16</f>
        <v>11</v>
      </c>
      <c r="D20" s="65">
        <f>EINSTELLUNG!C32</f>
        <v>11</v>
      </c>
      <c r="E20" s="83">
        <f>D20-C20</f>
        <v>0</v>
      </c>
      <c r="F20" s="65">
        <f>EINSTELLUNG!D16</f>
        <v>11</v>
      </c>
      <c r="G20" s="65">
        <f>November!$S$36</f>
        <v>0</v>
      </c>
      <c r="H20" s="83">
        <f t="shared" si="3"/>
        <v>-11</v>
      </c>
      <c r="I20" s="66">
        <f>EINSTELLUNG!E16</f>
        <v>1</v>
      </c>
      <c r="J20" s="66">
        <f>EINSTELLUNG!E32</f>
        <v>0</v>
      </c>
      <c r="K20" s="67">
        <f t="shared" si="0"/>
        <v>-1</v>
      </c>
      <c r="L20" s="65">
        <f>November!S40</f>
        <v>1.2190324207213348E-3</v>
      </c>
      <c r="M20" s="62">
        <f>November!S41</f>
        <v>1.2190324207213348E-3</v>
      </c>
      <c r="N20" s="62">
        <f>November!O5</f>
        <v>873.97184008195234</v>
      </c>
      <c r="O20" s="62">
        <f>November!P5</f>
        <v>11</v>
      </c>
      <c r="P20" s="85">
        <f t="shared" si="1"/>
        <v>-862.97184008195234</v>
      </c>
      <c r="Q20" s="66">
        <f>November!Q31</f>
        <v>0</v>
      </c>
    </row>
    <row r="21" spans="2:17" ht="30" customHeight="1">
      <c r="B21" s="63" t="s">
        <v>200</v>
      </c>
      <c r="C21" s="65">
        <f>EINSTELLUNG!C17</f>
        <v>12</v>
      </c>
      <c r="D21" s="65">
        <f>EINSTELLUNG!C33</f>
        <v>12</v>
      </c>
      <c r="E21" s="83">
        <f t="shared" si="2"/>
        <v>0</v>
      </c>
      <c r="F21" s="65">
        <f>EINSTELLUNG!D17</f>
        <v>12</v>
      </c>
      <c r="G21" s="65">
        <f>Dezember!$S$36</f>
        <v>0</v>
      </c>
      <c r="H21" s="83">
        <f t="shared" si="3"/>
        <v>-12</v>
      </c>
      <c r="I21" s="66">
        <f>EINSTELLUNG!E17</f>
        <v>1</v>
      </c>
      <c r="J21" s="66">
        <f>EINSTELLUNG!E33</f>
        <v>0</v>
      </c>
      <c r="K21" s="67">
        <f t="shared" si="0"/>
        <v>-1</v>
      </c>
      <c r="L21" s="65">
        <f>Dezember!S40</f>
        <v>1.2870634039609378E-3</v>
      </c>
      <c r="M21" s="62">
        <f>Dezember!S41</f>
        <v>1.2870634039609378E-3</v>
      </c>
      <c r="N21" s="62">
        <f>Dezember!O5</f>
        <v>873.97184008195234</v>
      </c>
      <c r="O21" s="72">
        <f>Dezember!P5</f>
        <v>12</v>
      </c>
      <c r="P21" s="85">
        <f t="shared" si="1"/>
        <v>-861.97184008195234</v>
      </c>
      <c r="Q21" s="66">
        <f>Dezember!Q31</f>
        <v>0</v>
      </c>
    </row>
    <row r="22" spans="2:17" ht="30" customHeight="1">
      <c r="B22" s="68" t="s">
        <v>201</v>
      </c>
      <c r="C22" s="69">
        <f>SUM(C19:C21)</f>
        <v>33</v>
      </c>
      <c r="D22" s="69">
        <f>SUM(D19:D21)</f>
        <v>33</v>
      </c>
      <c r="E22" s="84">
        <f>D22-C22</f>
        <v>0</v>
      </c>
      <c r="F22" s="69">
        <f>SUM(F19:F21)</f>
        <v>33</v>
      </c>
      <c r="G22" s="69">
        <f>SUM(G19:G21)</f>
        <v>0</v>
      </c>
      <c r="H22" s="84">
        <f t="shared" si="3"/>
        <v>-33</v>
      </c>
      <c r="I22" s="70">
        <f>AVERAGE(I19:I21)</f>
        <v>1</v>
      </c>
      <c r="J22" s="70">
        <f>AVERAGE(J19:J21)</f>
        <v>0</v>
      </c>
      <c r="K22" s="71">
        <f t="shared" si="0"/>
        <v>-1</v>
      </c>
      <c r="L22" s="69">
        <f>AVERAGE(L19:L21)</f>
        <v>1.1975522321795722E-3</v>
      </c>
      <c r="M22" s="64">
        <f>AVERAGE(M19:M21)</f>
        <v>1.1975522321795722E-3</v>
      </c>
      <c r="N22" s="64">
        <f>SUM(N19:N21)</f>
        <v>2638.6103022913576</v>
      </c>
      <c r="O22" s="64">
        <f>SUM(O19:O21)</f>
        <v>33</v>
      </c>
      <c r="P22" s="86">
        <f>O22-N22</f>
        <v>-2605.6103022913576</v>
      </c>
      <c r="Q22" s="70">
        <f>AVERAGE(Q19:Q21)</f>
        <v>5.5555555555555558E-3</v>
      </c>
    </row>
    <row r="23" spans="2:17" ht="30" customHeight="1">
      <c r="B23" s="73">
        <f>LOHNTABELLE!G3</f>
        <v>2026</v>
      </c>
      <c r="C23" s="74">
        <f>SUM(C10,C14,C18,C22)</f>
        <v>78</v>
      </c>
      <c r="D23" s="74">
        <f>SUM(D10,D14,D18,D22)</f>
        <v>78</v>
      </c>
      <c r="E23" s="84">
        <f>D23-C23</f>
        <v>0</v>
      </c>
      <c r="F23" s="74">
        <f>SUM(F10,F14,F18,F22)</f>
        <v>78</v>
      </c>
      <c r="G23" s="74">
        <f>SUM(G10,G14,G18,G22)</f>
        <v>0</v>
      </c>
      <c r="H23" s="84">
        <f t="shared" si="3"/>
        <v>-78</v>
      </c>
      <c r="I23" s="75">
        <f>AVERAGE(I10,I14,I18,I22)</f>
        <v>1</v>
      </c>
      <c r="J23" s="75">
        <f>AVERAGE(J10,J14,J18,J22)</f>
        <v>0</v>
      </c>
      <c r="K23" s="71">
        <f>J23-I23</f>
        <v>-1</v>
      </c>
      <c r="L23" s="74">
        <f>AVERAGE(L22,L18,L14,L10)</f>
        <v>1.7871471085438573E-3</v>
      </c>
      <c r="M23" s="76">
        <f>AVERAGE(M10,M14,M18,M22)</f>
        <v>1.7871471085438573E-3</v>
      </c>
      <c r="N23" s="76">
        <f>SUM(N10,N14,N18,N22)</f>
        <v>10425.807430996698</v>
      </c>
      <c r="O23" s="76">
        <f>SUM(O10,O14,O18,O22)</f>
        <v>78</v>
      </c>
      <c r="P23" s="86">
        <f t="shared" si="1"/>
        <v>-10347.807430996698</v>
      </c>
      <c r="Q23" s="75">
        <f>AVERAGE(Q22,Q18,Q14,Q10)</f>
        <v>8.7806450805098558E-3</v>
      </c>
    </row>
    <row r="24" spans="2:17">
      <c r="O24" s="4"/>
    </row>
    <row r="25" spans="2:17">
      <c r="B25" s="373" t="s">
        <v>204</v>
      </c>
      <c r="C25" s="373"/>
      <c r="D25" s="373"/>
      <c r="E25" s="373"/>
    </row>
    <row r="26" spans="2:17">
      <c r="B26" s="373"/>
      <c r="C26" s="373"/>
      <c r="D26" s="373"/>
      <c r="E26" s="373"/>
    </row>
    <row r="27" spans="2:17">
      <c r="B27" s="373"/>
      <c r="C27" s="373"/>
      <c r="D27" s="373"/>
      <c r="E27" s="373"/>
    </row>
  </sheetData>
  <sheetProtection algorithmName="SHA-512" hashValue="vV4E3jdxJJ/uMBTqiQt58K3U2lMKaazyPN1wfdEGWsyI0zCQVUlxdznkz9PpNPOD0SacgzGzkUQPY7O1xMnCiw==" saltValue="bO7HHnhF5xJU8QtQLDagA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6"/>
  <sheetViews>
    <sheetView workbookViewId="0">
      <selection activeCell="F18" sqref="F18"/>
    </sheetView>
  </sheetViews>
  <sheetFormatPr baseColWidth="10" defaultRowHeight="14.5"/>
  <cols>
    <col min="1" max="1" width="7.6328125" bestFit="1" customWidth="1"/>
    <col min="2" max="2" width="10.36328125" bestFit="1" customWidth="1"/>
    <col min="3" max="3" width="22.81640625" bestFit="1" customWidth="1"/>
    <col min="4" max="4" width="13.08984375" style="180" bestFit="1" customWidth="1"/>
    <col min="5" max="5" width="13.6328125" style="180" bestFit="1" customWidth="1"/>
    <col min="6" max="6" width="23" bestFit="1" customWidth="1"/>
    <col min="7" max="7" width="19.54296875" bestFit="1" customWidth="1"/>
    <col min="8" max="8" width="13.54296875" style="182" bestFit="1" customWidth="1"/>
    <col min="9" max="9" width="10.08984375" style="182" bestFit="1" customWidth="1"/>
    <col min="10" max="10" width="12" style="182" bestFit="1" customWidth="1"/>
    <col min="11" max="11" width="26.5429687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335</v>
      </c>
      <c r="G2">
        <v>509</v>
      </c>
      <c r="H2" s="182">
        <v>0.5</v>
      </c>
      <c r="I2" s="182">
        <v>1.25</v>
      </c>
      <c r="J2" s="182">
        <v>0.625</v>
      </c>
      <c r="K2" t="s">
        <v>318</v>
      </c>
    </row>
    <row r="3" spans="1:11">
      <c r="A3" t="s">
        <v>391</v>
      </c>
      <c r="B3">
        <v>600000</v>
      </c>
      <c r="C3" t="s">
        <v>372</v>
      </c>
      <c r="D3" s="180">
        <v>46054</v>
      </c>
      <c r="E3" s="180">
        <v>46055</v>
      </c>
      <c r="G3">
        <v>2</v>
      </c>
      <c r="H3" s="182">
        <v>0</v>
      </c>
      <c r="I3" s="182">
        <v>0.3</v>
      </c>
      <c r="J3" s="182">
        <v>0</v>
      </c>
      <c r="K3" t="s">
        <v>378</v>
      </c>
    </row>
    <row r="4" spans="1:11">
      <c r="A4" t="s">
        <v>357</v>
      </c>
      <c r="B4">
        <v>401754</v>
      </c>
      <c r="C4" t="s">
        <v>313</v>
      </c>
      <c r="D4" s="180">
        <v>46014</v>
      </c>
      <c r="E4" s="180">
        <v>46096</v>
      </c>
      <c r="F4" t="s">
        <v>358</v>
      </c>
      <c r="G4">
        <v>83</v>
      </c>
      <c r="H4" s="182">
        <v>1</v>
      </c>
      <c r="I4" s="182">
        <v>0.5</v>
      </c>
      <c r="J4" s="182">
        <v>0.5</v>
      </c>
      <c r="K4" t="s">
        <v>256</v>
      </c>
    </row>
    <row r="5" spans="1:11">
      <c r="A5" t="s">
        <v>195</v>
      </c>
      <c r="B5">
        <v>401746</v>
      </c>
      <c r="C5" t="s">
        <v>309</v>
      </c>
      <c r="D5" s="180">
        <v>45941</v>
      </c>
      <c r="E5" s="180">
        <v>46249</v>
      </c>
      <c r="F5" t="s">
        <v>358</v>
      </c>
      <c r="G5">
        <v>309</v>
      </c>
      <c r="H5" s="182">
        <v>1</v>
      </c>
      <c r="I5" s="182">
        <v>1</v>
      </c>
      <c r="J5" s="182">
        <v>1</v>
      </c>
      <c r="K5" t="s">
        <v>257</v>
      </c>
    </row>
    <row r="6" spans="1:11">
      <c r="A6" t="s">
        <v>198</v>
      </c>
      <c r="B6">
        <v>401047</v>
      </c>
      <c r="C6" t="s">
        <v>265</v>
      </c>
      <c r="D6" s="180">
        <v>41154</v>
      </c>
      <c r="E6" s="180">
        <v>46305</v>
      </c>
      <c r="F6" t="s">
        <v>358</v>
      </c>
      <c r="G6">
        <v>5152</v>
      </c>
      <c r="H6" s="182">
        <v>1</v>
      </c>
      <c r="I6" s="182">
        <v>2</v>
      </c>
      <c r="J6" s="182">
        <v>2</v>
      </c>
      <c r="K6" t="s">
        <v>245</v>
      </c>
    </row>
  </sheetData>
  <sheetProtection algorithmName="SHA-512" hashValue="WMkZcZ2H9rMcJsytX6QJefQzNhqnxgD7cthzjQJkPVfuC3xYXMuCnCfG5i7RekIvJYwsMcD0YXOho0ra+2WIxw==" saltValue="njv//lGfom2Z9AjHn4vDa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M44"/>
  <sheetViews>
    <sheetView showGridLines="0" zoomScale="120" zoomScaleNormal="120" workbookViewId="0">
      <selection activeCell="H17" sqref="H17"/>
    </sheetView>
  </sheetViews>
  <sheetFormatPr baseColWidth="10" defaultColWidth="10.81640625" defaultRowHeight="15" customHeight="1"/>
  <cols>
    <col min="1" max="1" width="32.6328125" style="416" customWidth="1"/>
    <col min="2" max="5" width="16.6328125" style="416" customWidth="1"/>
    <col min="6" max="7" width="18.6328125" style="416" customWidth="1"/>
    <col min="8" max="8" width="22.6328125" style="416" customWidth="1"/>
    <col min="9" max="12" width="36.6328125" style="416" customWidth="1"/>
    <col min="13" max="16384" width="10.81640625" style="416"/>
  </cols>
  <sheetData>
    <row r="1" spans="1:12" ht="15" customHeight="1">
      <c r="A1" s="428" t="s">
        <v>237</v>
      </c>
      <c r="B1" s="429"/>
      <c r="C1" s="429"/>
      <c r="D1" s="429"/>
      <c r="E1" s="429"/>
      <c r="F1" s="430"/>
      <c r="G1" s="430"/>
      <c r="H1" s="430"/>
      <c r="I1" s="430"/>
      <c r="J1" s="430"/>
      <c r="K1" s="430"/>
      <c r="L1" s="430"/>
    </row>
    <row r="2" spans="1:12" ht="15" customHeight="1">
      <c r="A2" s="431" t="s">
        <v>238</v>
      </c>
      <c r="B2" s="431">
        <v>2026</v>
      </c>
      <c r="C2" s="430"/>
      <c r="D2" s="430"/>
      <c r="E2" s="430"/>
      <c r="F2" s="430"/>
      <c r="G2" s="430"/>
      <c r="H2" s="430"/>
      <c r="I2" s="430"/>
      <c r="J2" s="430"/>
      <c r="K2" s="430"/>
      <c r="L2" s="430"/>
    </row>
    <row r="3" spans="1:12" ht="15" customHeight="1">
      <c r="A3" s="430"/>
      <c r="B3" s="430"/>
      <c r="C3" s="430"/>
      <c r="D3" s="430"/>
      <c r="E3" s="430"/>
      <c r="F3" s="430"/>
      <c r="G3" s="430"/>
      <c r="H3" s="430"/>
      <c r="I3" s="430"/>
      <c r="J3" s="430"/>
      <c r="K3" s="430"/>
      <c r="L3" s="430"/>
    </row>
    <row r="4" spans="1:12" ht="15" customHeight="1">
      <c r="A4" s="432" t="s">
        <v>246</v>
      </c>
      <c r="B4" s="433"/>
      <c r="C4" s="433"/>
      <c r="D4" s="433"/>
      <c r="E4" s="433"/>
      <c r="F4" s="430"/>
      <c r="G4" s="430"/>
      <c r="H4" s="430"/>
      <c r="I4" s="430"/>
      <c r="J4" s="430"/>
      <c r="K4" s="430"/>
      <c r="L4" s="430"/>
    </row>
    <row r="5" spans="1:12" ht="42" customHeight="1">
      <c r="A5" s="434" t="s">
        <v>336</v>
      </c>
      <c r="B5" s="434"/>
      <c r="C5" s="434"/>
      <c r="D5" s="434"/>
      <c r="E5" s="434"/>
      <c r="F5" s="430"/>
      <c r="G5" s="430"/>
      <c r="H5" s="430"/>
      <c r="I5" s="430"/>
      <c r="J5" s="430"/>
      <c r="K5" s="430"/>
      <c r="L5" s="430"/>
    </row>
    <row r="6" spans="1:12" ht="42" customHeight="1">
      <c r="A6" s="434"/>
      <c r="B6" s="434"/>
      <c r="C6" s="434"/>
      <c r="D6" s="434"/>
      <c r="E6" s="434"/>
      <c r="F6" s="430"/>
      <c r="G6" s="430"/>
      <c r="H6" s="430"/>
      <c r="I6" s="430"/>
      <c r="J6" s="430"/>
      <c r="K6" s="430"/>
      <c r="L6" s="430"/>
    </row>
    <row r="7" spans="1:12" ht="15" customHeight="1">
      <c r="A7" s="430"/>
      <c r="B7" s="430"/>
      <c r="C7" s="430"/>
      <c r="D7" s="430"/>
      <c r="E7" s="430"/>
      <c r="F7" s="430"/>
      <c r="G7" s="430"/>
      <c r="H7" s="430"/>
      <c r="I7" s="430"/>
      <c r="J7" s="430"/>
      <c r="K7" s="430"/>
      <c r="L7" s="430"/>
    </row>
    <row r="8" spans="1:12" ht="15" customHeight="1">
      <c r="A8" s="435" t="s">
        <v>239</v>
      </c>
      <c r="B8" s="435" t="s">
        <v>240</v>
      </c>
      <c r="C8" s="435" t="s">
        <v>337</v>
      </c>
      <c r="D8" s="435"/>
      <c r="E8" s="435"/>
      <c r="F8" s="430"/>
      <c r="G8" s="430"/>
      <c r="H8" s="430"/>
      <c r="I8" s="430"/>
      <c r="J8" s="430"/>
      <c r="K8" s="430"/>
      <c r="L8" s="430"/>
    </row>
    <row r="9" spans="1:12" ht="15" customHeight="1">
      <c r="A9" s="436" t="s">
        <v>241</v>
      </c>
      <c r="B9" s="418">
        <v>5</v>
      </c>
      <c r="C9" s="419" t="s">
        <v>247</v>
      </c>
      <c r="D9" s="419"/>
      <c r="E9" s="419"/>
      <c r="F9" s="430"/>
      <c r="G9" s="430"/>
      <c r="H9" s="430"/>
      <c r="I9" s="430"/>
      <c r="J9" s="430"/>
      <c r="K9" s="430"/>
      <c r="L9" s="430"/>
    </row>
    <row r="10" spans="1:12" ht="15" customHeight="1">
      <c r="A10" s="436" t="s">
        <v>258</v>
      </c>
      <c r="B10" s="426">
        <v>5.1724137931034482E-2</v>
      </c>
      <c r="C10" s="419" t="s">
        <v>259</v>
      </c>
      <c r="D10" s="419"/>
      <c r="E10" s="419"/>
      <c r="F10" s="430"/>
      <c r="G10" s="430"/>
      <c r="H10" s="430"/>
      <c r="I10" s="430"/>
      <c r="J10" s="430"/>
      <c r="K10" s="430"/>
      <c r="L10" s="430"/>
    </row>
    <row r="11" spans="1:12" ht="15" customHeight="1">
      <c r="A11" s="436" t="s">
        <v>244</v>
      </c>
      <c r="B11" s="427">
        <v>4.125</v>
      </c>
      <c r="C11" s="419" t="s">
        <v>338</v>
      </c>
      <c r="D11" s="419"/>
      <c r="E11" s="419"/>
      <c r="F11" s="430"/>
      <c r="G11" s="430"/>
      <c r="H11" s="430"/>
      <c r="I11" s="430"/>
      <c r="J11" s="430"/>
      <c r="K11" s="430"/>
      <c r="L11" s="430"/>
    </row>
    <row r="12" spans="1:12" ht="15" customHeight="1">
      <c r="A12" s="436" t="s">
        <v>314</v>
      </c>
      <c r="B12" s="427">
        <v>0.82499999999999996</v>
      </c>
      <c r="C12" s="419" t="s">
        <v>248</v>
      </c>
      <c r="D12" s="419"/>
      <c r="E12" s="419"/>
      <c r="F12" s="430"/>
      <c r="G12" s="430"/>
      <c r="H12" s="430"/>
      <c r="I12" s="430"/>
      <c r="J12" s="430"/>
      <c r="K12" s="430"/>
      <c r="L12" s="430"/>
    </row>
    <row r="13" spans="1:12" ht="15" customHeight="1">
      <c r="A13" s="436" t="s">
        <v>249</v>
      </c>
      <c r="B13" s="418">
        <v>1</v>
      </c>
      <c r="C13" s="419" t="s">
        <v>250</v>
      </c>
      <c r="D13" s="419"/>
      <c r="E13" s="419"/>
      <c r="F13" s="430"/>
      <c r="G13" s="430"/>
      <c r="H13" s="430"/>
      <c r="I13" s="430"/>
      <c r="J13" s="430"/>
      <c r="K13" s="430"/>
      <c r="L13" s="430"/>
    </row>
    <row r="14" spans="1:12" ht="15" customHeight="1">
      <c r="A14" s="436" t="s">
        <v>245</v>
      </c>
      <c r="B14" s="418">
        <v>1</v>
      </c>
      <c r="C14" s="419" t="s">
        <v>251</v>
      </c>
      <c r="D14" s="419"/>
      <c r="E14" s="419"/>
      <c r="F14" s="430"/>
      <c r="G14" s="430"/>
      <c r="H14" s="430"/>
      <c r="I14" s="430"/>
      <c r="J14" s="430"/>
      <c r="K14" s="430"/>
      <c r="L14" s="430"/>
    </row>
    <row r="15" spans="1:12" ht="15" customHeight="1">
      <c r="A15" s="436" t="s">
        <v>252</v>
      </c>
      <c r="B15" s="418">
        <v>1</v>
      </c>
      <c r="C15" s="419" t="s">
        <v>339</v>
      </c>
      <c r="D15" s="419"/>
      <c r="E15" s="419"/>
      <c r="F15" s="430"/>
      <c r="G15" s="430"/>
      <c r="H15" s="430"/>
      <c r="I15" s="430"/>
      <c r="J15" s="430"/>
      <c r="K15" s="430"/>
      <c r="L15" s="430"/>
    </row>
    <row r="16" spans="1:12" ht="15" customHeight="1">
      <c r="A16" s="436" t="s">
        <v>242</v>
      </c>
      <c r="B16" s="418">
        <v>0</v>
      </c>
      <c r="C16" s="419" t="s">
        <v>340</v>
      </c>
      <c r="D16" s="419"/>
      <c r="E16" s="419"/>
      <c r="F16" s="430"/>
      <c r="G16" s="430"/>
      <c r="H16" s="430"/>
      <c r="I16" s="430"/>
      <c r="J16" s="430"/>
      <c r="K16" s="430"/>
      <c r="L16" s="430"/>
    </row>
    <row r="17" spans="1:13" ht="15" customHeight="1">
      <c r="A17" s="436" t="s">
        <v>341</v>
      </c>
      <c r="B17" s="418">
        <v>1</v>
      </c>
      <c r="C17" s="419" t="s">
        <v>315</v>
      </c>
      <c r="D17" s="419"/>
      <c r="E17" s="419"/>
      <c r="F17" s="430"/>
      <c r="G17" s="430"/>
      <c r="H17" s="430"/>
      <c r="I17" s="430"/>
      <c r="J17" s="430"/>
      <c r="K17" s="430"/>
      <c r="L17" s="430"/>
    </row>
    <row r="18" spans="1:13" ht="15" customHeight="1" thickBot="1">
      <c r="A18" s="430"/>
      <c r="B18" s="430"/>
      <c r="C18" s="430"/>
      <c r="D18" s="430"/>
      <c r="E18" s="430"/>
      <c r="F18" s="430"/>
      <c r="G18" s="430"/>
      <c r="H18" s="430"/>
      <c r="I18" s="430"/>
      <c r="J18" s="430"/>
      <c r="K18" s="430"/>
      <c r="L18" s="430"/>
    </row>
    <row r="19" spans="1:13" ht="24" customHeight="1" thickBot="1">
      <c r="A19" s="420" t="s">
        <v>342</v>
      </c>
      <c r="B19" s="198" t="s">
        <v>379</v>
      </c>
      <c r="C19" s="430"/>
      <c r="D19" s="430"/>
      <c r="E19" s="430"/>
      <c r="F19" s="430"/>
      <c r="G19" s="430"/>
      <c r="H19" s="430"/>
      <c r="I19" s="430"/>
      <c r="J19" s="430"/>
      <c r="K19" s="430"/>
      <c r="L19" s="430"/>
    </row>
    <row r="20" spans="1:13" ht="15" customHeight="1">
      <c r="A20" s="430"/>
      <c r="B20" s="430"/>
      <c r="C20" s="430"/>
      <c r="D20" s="430"/>
      <c r="E20" s="430"/>
      <c r="F20" s="430"/>
      <c r="G20" s="430"/>
      <c r="H20" s="430"/>
      <c r="I20" s="430"/>
      <c r="J20" s="430"/>
      <c r="K20" s="430"/>
      <c r="L20" s="430"/>
    </row>
    <row r="21" spans="1:13" ht="48" customHeight="1">
      <c r="A21" s="437" t="s">
        <v>253</v>
      </c>
      <c r="B21" s="438" t="s">
        <v>380</v>
      </c>
      <c r="C21" s="438"/>
      <c r="D21" s="438"/>
      <c r="E21" s="438"/>
      <c r="F21" s="430"/>
      <c r="G21" s="430"/>
      <c r="H21" s="430"/>
      <c r="I21" s="430"/>
      <c r="J21" s="430"/>
      <c r="K21" s="430"/>
      <c r="L21" s="430"/>
    </row>
    <row r="22" spans="1:13" ht="48" customHeight="1">
      <c r="A22" s="439"/>
      <c r="B22" s="438"/>
      <c r="C22" s="438"/>
      <c r="D22" s="438"/>
      <c r="E22" s="438"/>
      <c r="F22" s="430"/>
      <c r="G22" s="430"/>
      <c r="H22" s="430"/>
      <c r="I22" s="430"/>
      <c r="J22" s="430"/>
      <c r="K22" s="430"/>
      <c r="L22" s="430"/>
    </row>
    <row r="23" spans="1:13" ht="15" customHeight="1">
      <c r="A23" s="430"/>
      <c r="B23" s="430"/>
      <c r="C23" s="430"/>
      <c r="D23" s="430"/>
      <c r="E23" s="430"/>
      <c r="F23" s="430"/>
      <c r="G23" s="430"/>
      <c r="H23" s="430"/>
      <c r="I23" s="430"/>
      <c r="J23" s="430"/>
      <c r="K23" s="430"/>
      <c r="L23" s="430"/>
    </row>
    <row r="24" spans="1:13" ht="15" customHeight="1">
      <c r="A24" s="430"/>
      <c r="B24" s="430"/>
      <c r="C24" s="430"/>
      <c r="D24" s="430"/>
      <c r="E24" s="430"/>
      <c r="F24" s="430"/>
      <c r="G24" s="430"/>
      <c r="H24" s="430"/>
      <c r="I24" s="430"/>
      <c r="J24" s="430"/>
      <c r="K24" s="430"/>
      <c r="L24" s="430"/>
    </row>
    <row r="25" spans="1:13" ht="15" customHeight="1">
      <c r="A25" s="440" t="s">
        <v>343</v>
      </c>
      <c r="B25" s="429"/>
      <c r="C25" s="429"/>
      <c r="D25" s="429"/>
      <c r="E25" s="429"/>
      <c r="F25" s="429"/>
      <c r="G25" s="429"/>
      <c r="H25" s="429"/>
      <c r="I25" s="429"/>
      <c r="J25" s="429"/>
      <c r="K25" s="429"/>
      <c r="L25" s="429"/>
      <c r="M25" s="417"/>
    </row>
    <row r="26" spans="1:13" ht="15" customHeight="1">
      <c r="A26" s="430"/>
      <c r="B26" s="430"/>
      <c r="C26" s="430"/>
      <c r="D26" s="430"/>
      <c r="E26" s="430"/>
      <c r="F26" s="430"/>
      <c r="G26" s="430"/>
      <c r="H26" s="430"/>
      <c r="I26" s="430"/>
      <c r="J26" s="430"/>
      <c r="K26" s="430"/>
      <c r="L26" s="430"/>
    </row>
    <row r="27" spans="1:13" ht="15" customHeight="1">
      <c r="A27" s="421" t="s">
        <v>231</v>
      </c>
      <c r="B27" s="421" t="s">
        <v>255</v>
      </c>
      <c r="C27" s="421" t="s">
        <v>260</v>
      </c>
      <c r="D27" s="421" t="s">
        <v>244</v>
      </c>
      <c r="E27" s="421" t="s">
        <v>316</v>
      </c>
      <c r="F27" s="421" t="s">
        <v>359</v>
      </c>
      <c r="G27" s="421" t="s">
        <v>393</v>
      </c>
      <c r="H27" s="421" t="s">
        <v>252</v>
      </c>
      <c r="I27" s="421" t="s">
        <v>381</v>
      </c>
      <c r="J27" s="421" t="s">
        <v>344</v>
      </c>
      <c r="K27" s="421" t="s">
        <v>334</v>
      </c>
      <c r="L27" s="421"/>
      <c r="M27" s="421"/>
    </row>
    <row r="28" spans="1:13" ht="42" customHeight="1">
      <c r="A28" s="422" t="s">
        <v>317</v>
      </c>
      <c r="B28" s="422">
        <v>1</v>
      </c>
      <c r="C28" s="424">
        <v>1.9607843137254902E-2</v>
      </c>
      <c r="D28" s="425">
        <v>0.625</v>
      </c>
      <c r="E28" s="425">
        <v>0.625</v>
      </c>
      <c r="F28" s="422">
        <v>0</v>
      </c>
      <c r="G28" s="422">
        <v>0</v>
      </c>
      <c r="H28" s="422">
        <v>0</v>
      </c>
      <c r="I28" s="422">
        <v>0</v>
      </c>
      <c r="J28" s="423" t="s">
        <v>345</v>
      </c>
      <c r="K28" s="419" t="s">
        <v>319</v>
      </c>
      <c r="L28" s="419"/>
      <c r="M28" s="419"/>
    </row>
    <row r="29" spans="1:13" ht="42" customHeight="1">
      <c r="A29" s="422" t="s">
        <v>391</v>
      </c>
      <c r="B29" s="422">
        <v>1</v>
      </c>
      <c r="C29" s="424">
        <v>1.7241379310344827E-2</v>
      </c>
      <c r="D29" s="425">
        <v>0</v>
      </c>
      <c r="E29" s="425">
        <v>0</v>
      </c>
      <c r="F29" s="422">
        <v>0</v>
      </c>
      <c r="G29" s="422">
        <v>0</v>
      </c>
      <c r="H29" s="422">
        <v>0</v>
      </c>
      <c r="I29" s="422">
        <v>1</v>
      </c>
      <c r="J29" s="423" t="s">
        <v>382</v>
      </c>
      <c r="K29" s="419" t="s">
        <v>383</v>
      </c>
      <c r="L29" s="419"/>
      <c r="M29" s="419"/>
    </row>
    <row r="30" spans="1:13" ht="42" customHeight="1">
      <c r="A30" s="422" t="s">
        <v>357</v>
      </c>
      <c r="B30" s="422">
        <v>1</v>
      </c>
      <c r="C30" s="424">
        <v>1.6949152542372881E-2</v>
      </c>
      <c r="D30" s="425">
        <v>0.5</v>
      </c>
      <c r="E30" s="425">
        <v>0.5</v>
      </c>
      <c r="F30" s="422">
        <v>1</v>
      </c>
      <c r="G30" s="422">
        <v>0</v>
      </c>
      <c r="H30" s="422">
        <v>0</v>
      </c>
      <c r="I30" s="422">
        <v>0</v>
      </c>
      <c r="J30" s="423" t="s">
        <v>360</v>
      </c>
      <c r="K30" s="419" t="s">
        <v>361</v>
      </c>
      <c r="L30" s="419"/>
      <c r="M30" s="419"/>
    </row>
    <row r="31" spans="1:13" ht="42" customHeight="1">
      <c r="A31" s="422" t="s">
        <v>195</v>
      </c>
      <c r="B31" s="422">
        <v>1</v>
      </c>
      <c r="C31" s="424">
        <v>1.6393442622950821E-2</v>
      </c>
      <c r="D31" s="425">
        <v>1</v>
      </c>
      <c r="E31" s="425">
        <v>1</v>
      </c>
      <c r="F31" s="422">
        <v>0</v>
      </c>
      <c r="G31" s="422">
        <v>0</v>
      </c>
      <c r="H31" s="422">
        <v>1</v>
      </c>
      <c r="I31" s="422">
        <v>0</v>
      </c>
      <c r="J31" s="423" t="s">
        <v>360</v>
      </c>
      <c r="K31" s="419" t="s">
        <v>363</v>
      </c>
      <c r="L31" s="419"/>
      <c r="M31" s="419"/>
    </row>
    <row r="32" spans="1:13" ht="42" customHeight="1">
      <c r="A32" s="422" t="s">
        <v>198</v>
      </c>
      <c r="B32" s="422">
        <v>1</v>
      </c>
      <c r="C32" s="424">
        <v>1.6666666666666666E-2</v>
      </c>
      <c r="D32" s="425">
        <v>2</v>
      </c>
      <c r="E32" s="425">
        <v>2</v>
      </c>
      <c r="F32" s="422">
        <v>0</v>
      </c>
      <c r="G32" s="422">
        <v>1</v>
      </c>
      <c r="H32" s="422">
        <v>0</v>
      </c>
      <c r="I32" s="422">
        <v>0</v>
      </c>
      <c r="J32" s="423" t="s">
        <v>360</v>
      </c>
      <c r="K32" s="419" t="s">
        <v>394</v>
      </c>
      <c r="L32" s="419"/>
      <c r="M32" s="419"/>
    </row>
    <row r="33" spans="1:12" ht="15" customHeight="1">
      <c r="A33" s="430"/>
      <c r="B33" s="430"/>
      <c r="C33" s="430"/>
      <c r="D33" s="430"/>
      <c r="E33" s="430"/>
      <c r="F33" s="430"/>
      <c r="G33" s="430"/>
      <c r="H33" s="430"/>
      <c r="I33" s="430"/>
      <c r="J33" s="430"/>
      <c r="K33" s="430"/>
      <c r="L33" s="430"/>
    </row>
    <row r="34" spans="1:12" ht="15" customHeight="1">
      <c r="A34" s="430"/>
      <c r="B34" s="430"/>
      <c r="C34" s="430"/>
      <c r="D34" s="430"/>
      <c r="E34" s="430"/>
      <c r="F34" s="430"/>
      <c r="G34" s="430"/>
      <c r="H34" s="430"/>
      <c r="I34" s="430"/>
      <c r="J34" s="430"/>
      <c r="K34" s="430"/>
      <c r="L34" s="430"/>
    </row>
    <row r="35" spans="1:12" ht="15" customHeight="1">
      <c r="A35" s="430"/>
      <c r="B35" s="430"/>
      <c r="C35" s="430"/>
      <c r="D35" s="430"/>
      <c r="E35" s="430"/>
      <c r="F35" s="430"/>
      <c r="G35" s="430"/>
      <c r="H35" s="430"/>
      <c r="I35" s="430"/>
      <c r="J35" s="430"/>
      <c r="K35" s="430"/>
      <c r="L35" s="430"/>
    </row>
    <row r="36" spans="1:12" ht="15" customHeight="1">
      <c r="A36" s="441" t="s">
        <v>346</v>
      </c>
      <c r="B36" s="439"/>
      <c r="C36" s="439"/>
      <c r="D36" s="439"/>
      <c r="E36" s="439"/>
      <c r="F36" s="430"/>
      <c r="G36" s="430"/>
      <c r="H36" s="430"/>
      <c r="I36" s="430"/>
      <c r="J36" s="430"/>
      <c r="K36" s="430"/>
      <c r="L36" s="430"/>
    </row>
    <row r="37" spans="1:12" ht="38" customHeight="1">
      <c r="A37" s="435" t="s">
        <v>258</v>
      </c>
      <c r="B37" s="438" t="s">
        <v>261</v>
      </c>
      <c r="C37" s="438"/>
      <c r="D37" s="438"/>
      <c r="E37" s="438"/>
      <c r="F37" s="430"/>
      <c r="G37" s="430"/>
      <c r="H37" s="430"/>
      <c r="I37" s="430"/>
      <c r="J37" s="430"/>
      <c r="K37" s="430"/>
      <c r="L37" s="430"/>
    </row>
    <row r="38" spans="1:12" ht="38" customHeight="1">
      <c r="A38" s="435" t="s">
        <v>244</v>
      </c>
      <c r="B38" s="438" t="s">
        <v>347</v>
      </c>
      <c r="C38" s="438"/>
      <c r="D38" s="438"/>
      <c r="E38" s="438"/>
      <c r="F38" s="430"/>
      <c r="G38" s="430"/>
      <c r="H38" s="430"/>
      <c r="I38" s="430"/>
      <c r="J38" s="430"/>
      <c r="K38" s="430"/>
      <c r="L38" s="430"/>
    </row>
    <row r="39" spans="1:12" ht="38" customHeight="1">
      <c r="A39" s="435" t="s">
        <v>314</v>
      </c>
      <c r="B39" s="438" t="s">
        <v>348</v>
      </c>
      <c r="C39" s="438"/>
      <c r="D39" s="438"/>
      <c r="E39" s="438"/>
      <c r="F39" s="430"/>
      <c r="G39" s="430"/>
      <c r="H39" s="430"/>
      <c r="I39" s="430"/>
      <c r="J39" s="430"/>
      <c r="K39" s="430"/>
      <c r="L39" s="430"/>
    </row>
    <row r="40" spans="1:12" ht="38" customHeight="1">
      <c r="A40" s="435" t="s">
        <v>256</v>
      </c>
      <c r="B40" s="438" t="s">
        <v>349</v>
      </c>
      <c r="C40" s="438"/>
      <c r="D40" s="438"/>
      <c r="E40" s="438"/>
      <c r="F40" s="430"/>
      <c r="G40" s="430"/>
      <c r="H40" s="430"/>
      <c r="I40" s="430"/>
      <c r="J40" s="430"/>
      <c r="K40" s="430"/>
      <c r="L40" s="430"/>
    </row>
    <row r="41" spans="1:12" ht="38" customHeight="1">
      <c r="A41" s="435" t="s">
        <v>245</v>
      </c>
      <c r="B41" s="438" t="s">
        <v>350</v>
      </c>
      <c r="C41" s="438"/>
      <c r="D41" s="438"/>
      <c r="E41" s="438"/>
      <c r="F41" s="430"/>
      <c r="G41" s="430"/>
      <c r="H41" s="430"/>
      <c r="I41" s="430"/>
      <c r="J41" s="430"/>
      <c r="K41" s="430"/>
      <c r="L41" s="430"/>
    </row>
    <row r="42" spans="1:12" ht="38" customHeight="1">
      <c r="A42" s="435" t="s">
        <v>257</v>
      </c>
      <c r="B42" s="438" t="s">
        <v>351</v>
      </c>
      <c r="C42" s="438"/>
      <c r="D42" s="438"/>
      <c r="E42" s="438"/>
      <c r="F42" s="430"/>
      <c r="G42" s="430"/>
      <c r="H42" s="430"/>
      <c r="I42" s="430"/>
      <c r="J42" s="430"/>
      <c r="K42" s="430"/>
      <c r="L42" s="430"/>
    </row>
    <row r="43" spans="1:12" ht="38" customHeight="1">
      <c r="A43" s="435" t="s">
        <v>254</v>
      </c>
      <c r="B43" s="438" t="s">
        <v>352</v>
      </c>
      <c r="C43" s="438"/>
      <c r="D43" s="438"/>
      <c r="E43" s="438"/>
      <c r="F43" s="430"/>
      <c r="G43" s="430"/>
      <c r="H43" s="430"/>
      <c r="I43" s="430"/>
      <c r="J43" s="430"/>
      <c r="K43" s="430"/>
      <c r="L43" s="430"/>
    </row>
    <row r="44" spans="1:12" ht="38" customHeight="1">
      <c r="A44" s="435" t="s">
        <v>353</v>
      </c>
      <c r="B44" s="438" t="s">
        <v>354</v>
      </c>
      <c r="C44" s="438"/>
      <c r="D44" s="438"/>
      <c r="E44" s="438"/>
      <c r="F44" s="430"/>
      <c r="G44" s="430"/>
      <c r="H44" s="430"/>
      <c r="I44" s="430"/>
      <c r="J44" s="430"/>
      <c r="K44" s="430"/>
      <c r="L44" s="430"/>
    </row>
  </sheetData>
  <sheetProtection algorithmName="SHA-512" hashValue="Vo8t04iYgNkxIwDCFMh0P3oxJnSsx/6RZwzj9AhweEeHzzFKWef7UbL6EgRBbZnO/5au7zB8h/ciFSfuvBpKbA==" saltValue="SHWAqevNis8Oz5HNFHLz8w==" spinCount="100000" sheet="1" objects="1" scenarios="1"/>
  <mergeCells count="29">
    <mergeCell ref="A25:M25"/>
    <mergeCell ref="B44:E44"/>
    <mergeCell ref="A36:E36"/>
    <mergeCell ref="K28:M28"/>
    <mergeCell ref="K29:M29"/>
    <mergeCell ref="K30:M30"/>
    <mergeCell ref="K31:M31"/>
    <mergeCell ref="K32:M32"/>
    <mergeCell ref="B43:E43"/>
    <mergeCell ref="A21:A22"/>
    <mergeCell ref="B21:E22"/>
    <mergeCell ref="B42:E42"/>
    <mergeCell ref="B41:E41"/>
    <mergeCell ref="B39:E39"/>
    <mergeCell ref="B40:E40"/>
    <mergeCell ref="B37:E37"/>
    <mergeCell ref="B38:E38"/>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EgXybDkinHqy5Bv+L7zS9Z2/x15td25ke8sOUfkvENwiiMOt49ySvtbRfS21uKC5xsCDQu1a+vqhvNNzTVJcLQ==" saltValue="QvspLdU6h+7sIVM6bCYta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D14"/>
  <sheetViews>
    <sheetView workbookViewId="0"/>
  </sheetViews>
  <sheetFormatPr baseColWidth="10" defaultRowHeight="14.5"/>
  <sheetData>
    <row r="1" spans="1:940">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EI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HL1" s="182">
        <v>173</v>
      </c>
      <c r="HM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KM1" s="182">
        <v>173</v>
      </c>
      <c r="KN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QS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WW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CZ1" s="182">
        <v>173</v>
      </c>
      <c r="ADA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B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c r="AJD1" s="182">
        <v>173</v>
      </c>
    </row>
    <row r="2" spans="1:940">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EI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HL2" s="182">
        <v>151.38</v>
      </c>
      <c r="HM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KM2" s="182">
        <v>151.38</v>
      </c>
      <c r="KN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QS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WW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CZ2" s="182">
        <v>151.38</v>
      </c>
      <c r="ADA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B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c r="AJD2" s="182">
        <v>151.38</v>
      </c>
    </row>
    <row r="3" spans="1:940">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EI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HL3" s="182">
        <v>138.4</v>
      </c>
      <c r="HM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KM3" s="182">
        <v>138.4</v>
      </c>
      <c r="KN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QS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WW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CZ3" s="182">
        <v>138.4</v>
      </c>
      <c r="ADA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B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c r="AJD3" s="182">
        <v>138.4</v>
      </c>
    </row>
    <row r="4" spans="1:940">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EI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HL4" s="182">
        <v>129.75</v>
      </c>
      <c r="HM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KM4" s="182">
        <v>129.75</v>
      </c>
      <c r="KN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QS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WW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CZ4" s="182">
        <v>129.75</v>
      </c>
      <c r="ADA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B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c r="AJD4" s="182">
        <v>129.75</v>
      </c>
    </row>
    <row r="5" spans="1:940">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EI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HL5" s="182">
        <v>108.13</v>
      </c>
      <c r="HM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KM5" s="182">
        <v>108.13</v>
      </c>
      <c r="KN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QS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WW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CZ5" s="182">
        <v>108.13</v>
      </c>
      <c r="ADA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B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c r="AJD5" s="182">
        <v>108.13</v>
      </c>
    </row>
    <row r="6" spans="1:940">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EI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HL6" s="182">
        <v>103.8</v>
      </c>
      <c r="HM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KM6" s="182">
        <v>103.8</v>
      </c>
      <c r="KN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QS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WW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CZ6" s="182">
        <v>103.8</v>
      </c>
      <c r="ADA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B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c r="AJD6" s="182">
        <v>103.8</v>
      </c>
    </row>
    <row r="7" spans="1:940">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EI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HL7" s="182">
        <v>86.5</v>
      </c>
      <c r="HM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KM7" s="182">
        <v>86.5</v>
      </c>
      <c r="KN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QS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WW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CZ7" s="182">
        <v>86.5</v>
      </c>
      <c r="ADA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B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c r="AJD7" s="182">
        <v>86.5</v>
      </c>
    </row>
    <row r="8" spans="1:940">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EI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HL8" s="182">
        <v>69.2</v>
      </c>
      <c r="HM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KM8" s="182">
        <v>69.2</v>
      </c>
      <c r="KN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QS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WW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CZ8" s="182">
        <v>69.2</v>
      </c>
      <c r="ADA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B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c r="AJD8" s="182">
        <v>69.2</v>
      </c>
    </row>
    <row r="9" spans="1:940">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EI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HL9" s="182">
        <v>51.9</v>
      </c>
      <c r="HM9" s="182">
        <v>51.9</v>
      </c>
      <c r="IG9" s="182">
        <v>64</v>
      </c>
      <c r="IH9" s="182">
        <v>51.9</v>
      </c>
      <c r="II9" s="182">
        <v>51.9</v>
      </c>
      <c r="IJ9" s="182">
        <v>51.9</v>
      </c>
      <c r="IK9" s="182">
        <v>51.9</v>
      </c>
      <c r="IL9" s="182">
        <v>51.9</v>
      </c>
      <c r="IM9" s="182">
        <v>51.9</v>
      </c>
      <c r="IN9" s="182">
        <v>51.9</v>
      </c>
      <c r="IO9" s="182">
        <v>51.9</v>
      </c>
      <c r="IP9" s="182">
        <v>51.9</v>
      </c>
      <c r="IQ9" s="182">
        <v>51.9</v>
      </c>
      <c r="IR9" s="182">
        <v>51.9</v>
      </c>
      <c r="IS9" s="182">
        <v>51.9</v>
      </c>
      <c r="IT9" s="182">
        <v>51.9</v>
      </c>
      <c r="IU9" s="182">
        <v>64</v>
      </c>
      <c r="IV9" s="182">
        <v>64</v>
      </c>
      <c r="IW9" s="182">
        <v>64</v>
      </c>
      <c r="IX9" s="182">
        <v>51.9</v>
      </c>
      <c r="IY9" s="182">
        <v>64</v>
      </c>
      <c r="IZ9" s="182">
        <v>64</v>
      </c>
      <c r="JA9" s="182">
        <v>64</v>
      </c>
      <c r="JB9" s="182">
        <v>51.9</v>
      </c>
      <c r="JC9" s="182">
        <v>51.9</v>
      </c>
      <c r="JD9" s="182">
        <v>64</v>
      </c>
      <c r="JE9" s="182">
        <v>64</v>
      </c>
      <c r="JF9" s="182">
        <v>64</v>
      </c>
      <c r="JG9" s="182">
        <v>51.9</v>
      </c>
      <c r="JH9" s="182">
        <v>64</v>
      </c>
      <c r="JI9" s="182">
        <v>64</v>
      </c>
      <c r="JJ9" s="182">
        <v>64</v>
      </c>
      <c r="JK9" s="182">
        <v>64</v>
      </c>
      <c r="JL9" s="182">
        <v>64</v>
      </c>
      <c r="JM9" s="182">
        <v>64</v>
      </c>
      <c r="JN9" s="182">
        <v>64</v>
      </c>
      <c r="JO9" s="182">
        <v>64</v>
      </c>
      <c r="JP9" s="182">
        <v>64</v>
      </c>
      <c r="JQ9" s="182">
        <v>64</v>
      </c>
      <c r="JR9" s="182">
        <v>64</v>
      </c>
      <c r="JS9" s="182">
        <v>64</v>
      </c>
      <c r="JT9" s="182">
        <v>64</v>
      </c>
      <c r="JU9" s="182">
        <v>64</v>
      </c>
      <c r="JV9" s="182">
        <v>64</v>
      </c>
      <c r="JW9" s="182">
        <v>64</v>
      </c>
      <c r="JX9" s="182">
        <v>64</v>
      </c>
      <c r="JY9" s="182">
        <v>64</v>
      </c>
      <c r="JZ9" s="182">
        <v>64</v>
      </c>
      <c r="KA9" s="182">
        <v>64</v>
      </c>
      <c r="KB9" s="182">
        <v>64</v>
      </c>
      <c r="KC9" s="182">
        <v>64</v>
      </c>
      <c r="KD9" s="182">
        <v>64</v>
      </c>
      <c r="KE9" s="182">
        <v>64</v>
      </c>
      <c r="KF9" s="182">
        <v>64</v>
      </c>
      <c r="KG9" s="182">
        <v>64</v>
      </c>
      <c r="KH9" s="182">
        <v>64</v>
      </c>
      <c r="KI9" s="182">
        <v>64</v>
      </c>
      <c r="KJ9" s="182">
        <v>64</v>
      </c>
      <c r="KK9" s="182">
        <v>51.9</v>
      </c>
      <c r="KL9" s="182">
        <v>64</v>
      </c>
      <c r="KM9" s="182">
        <v>64</v>
      </c>
      <c r="KN9" s="182">
        <v>64</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QS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WW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64</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64</v>
      </c>
      <c r="ABH9" s="182">
        <v>64</v>
      </c>
      <c r="ABI9" s="182">
        <v>64</v>
      </c>
      <c r="ABJ9" s="182">
        <v>51.9</v>
      </c>
      <c r="ABK9" s="182">
        <v>64</v>
      </c>
      <c r="ABL9" s="182">
        <v>64</v>
      </c>
      <c r="ABM9" s="182">
        <v>64</v>
      </c>
      <c r="ABN9" s="182">
        <v>51.9</v>
      </c>
      <c r="ABO9" s="182">
        <v>51.9</v>
      </c>
      <c r="ABP9" s="182">
        <v>64</v>
      </c>
      <c r="ABQ9" s="182">
        <v>64</v>
      </c>
      <c r="ABR9" s="182">
        <v>64</v>
      </c>
      <c r="ABS9" s="182">
        <v>51.9</v>
      </c>
      <c r="ABT9" s="182">
        <v>64</v>
      </c>
      <c r="ABU9" s="182">
        <v>64</v>
      </c>
      <c r="ABV9" s="182">
        <v>64</v>
      </c>
      <c r="ABW9" s="182">
        <v>64</v>
      </c>
      <c r="ABX9" s="182">
        <v>64</v>
      </c>
      <c r="ABY9" s="182">
        <v>64</v>
      </c>
      <c r="ABZ9" s="182">
        <v>64</v>
      </c>
      <c r="ACA9" s="182">
        <v>64</v>
      </c>
      <c r="ACB9" s="182">
        <v>64</v>
      </c>
      <c r="ACC9" s="182">
        <v>64</v>
      </c>
      <c r="ACD9" s="182">
        <v>64</v>
      </c>
      <c r="ACE9" s="182">
        <v>64</v>
      </c>
      <c r="ACF9" s="182">
        <v>64</v>
      </c>
      <c r="ACG9" s="182">
        <v>64</v>
      </c>
      <c r="ACH9" s="182">
        <v>64</v>
      </c>
      <c r="ACI9" s="182">
        <v>64</v>
      </c>
      <c r="ACJ9" s="182">
        <v>64</v>
      </c>
      <c r="ACK9" s="182">
        <v>64</v>
      </c>
      <c r="ACL9" s="182">
        <v>64</v>
      </c>
      <c r="ACM9" s="182">
        <v>64</v>
      </c>
      <c r="ACN9" s="182">
        <v>64</v>
      </c>
      <c r="ACO9" s="182">
        <v>64</v>
      </c>
      <c r="ACP9" s="182">
        <v>64</v>
      </c>
      <c r="ACQ9" s="182">
        <v>64</v>
      </c>
      <c r="ACR9" s="182">
        <v>64</v>
      </c>
      <c r="ACS9" s="182">
        <v>64</v>
      </c>
      <c r="ACT9" s="182">
        <v>64</v>
      </c>
      <c r="ACU9" s="182">
        <v>64</v>
      </c>
      <c r="ACV9" s="182">
        <v>64</v>
      </c>
      <c r="ACW9" s="182">
        <v>64</v>
      </c>
      <c r="ACX9" s="182">
        <v>51.9</v>
      </c>
      <c r="ACY9" s="182">
        <v>64</v>
      </c>
      <c r="ACZ9" s="182">
        <v>64</v>
      </c>
      <c r="ADA9" s="182">
        <v>64</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B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c r="AJD9" s="182">
        <v>51.9</v>
      </c>
    </row>
    <row r="10" spans="1:940">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EI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HL10" s="182">
        <v>47.58</v>
      </c>
      <c r="HM10" s="182">
        <v>47.58</v>
      </c>
      <c r="IG10" s="182">
        <v>51.9</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51.9</v>
      </c>
      <c r="IV10" s="182">
        <v>51.9</v>
      </c>
      <c r="IW10" s="182">
        <v>51.9</v>
      </c>
      <c r="IX10" s="182">
        <v>47.58</v>
      </c>
      <c r="IY10" s="182">
        <v>51.9</v>
      </c>
      <c r="IZ10" s="182">
        <v>51.9</v>
      </c>
      <c r="JA10" s="182">
        <v>51.9</v>
      </c>
      <c r="JB10" s="182">
        <v>47.58</v>
      </c>
      <c r="JC10" s="182">
        <v>47.58</v>
      </c>
      <c r="JD10" s="182">
        <v>51.9</v>
      </c>
      <c r="JE10" s="182">
        <v>51.9</v>
      </c>
      <c r="JF10" s="182">
        <v>51.9</v>
      </c>
      <c r="JG10" s="182">
        <v>47.58</v>
      </c>
      <c r="JH10" s="182">
        <v>51.9</v>
      </c>
      <c r="JI10" s="182">
        <v>51.9</v>
      </c>
      <c r="JJ10" s="182">
        <v>51.9</v>
      </c>
      <c r="JK10" s="182">
        <v>51.9</v>
      </c>
      <c r="JL10" s="182">
        <v>51.9</v>
      </c>
      <c r="JM10" s="182">
        <v>51.9</v>
      </c>
      <c r="JN10" s="182">
        <v>51.9</v>
      </c>
      <c r="JO10" s="182">
        <v>51.9</v>
      </c>
      <c r="JP10" s="182">
        <v>51.9</v>
      </c>
      <c r="JQ10" s="182">
        <v>51.9</v>
      </c>
      <c r="JR10" s="182">
        <v>51.9</v>
      </c>
      <c r="JS10" s="182">
        <v>51.9</v>
      </c>
      <c r="JT10" s="182">
        <v>51.9</v>
      </c>
      <c r="JU10" s="182">
        <v>51.9</v>
      </c>
      <c r="JV10" s="182">
        <v>51.9</v>
      </c>
      <c r="JW10" s="182">
        <v>51.9</v>
      </c>
      <c r="JX10" s="182">
        <v>51.9</v>
      </c>
      <c r="JY10" s="182">
        <v>51.9</v>
      </c>
      <c r="JZ10" s="182">
        <v>51.9</v>
      </c>
      <c r="KA10" s="182">
        <v>51.9</v>
      </c>
      <c r="KB10" s="182">
        <v>51.9</v>
      </c>
      <c r="KC10" s="182">
        <v>51.9</v>
      </c>
      <c r="KD10" s="182">
        <v>51.9</v>
      </c>
      <c r="KE10" s="182">
        <v>51.9</v>
      </c>
      <c r="KF10" s="182">
        <v>51.9</v>
      </c>
      <c r="KG10" s="182">
        <v>51.9</v>
      </c>
      <c r="KH10" s="182">
        <v>51.9</v>
      </c>
      <c r="KI10" s="182">
        <v>51.9</v>
      </c>
      <c r="KJ10" s="182">
        <v>51.9</v>
      </c>
      <c r="KK10" s="182">
        <v>47.58</v>
      </c>
      <c r="KL10" s="182">
        <v>51.9</v>
      </c>
      <c r="KM10" s="182">
        <v>51.9</v>
      </c>
      <c r="KN10" s="182">
        <v>51.9</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QS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WW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51.9</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51.9</v>
      </c>
      <c r="ABH10" s="182">
        <v>51.9</v>
      </c>
      <c r="ABI10" s="182">
        <v>51.9</v>
      </c>
      <c r="ABJ10" s="182">
        <v>47.58</v>
      </c>
      <c r="ABK10" s="182">
        <v>51.9</v>
      </c>
      <c r="ABL10" s="182">
        <v>51.9</v>
      </c>
      <c r="ABM10" s="182">
        <v>51.9</v>
      </c>
      <c r="ABN10" s="182">
        <v>47.58</v>
      </c>
      <c r="ABO10" s="182">
        <v>47.58</v>
      </c>
      <c r="ABP10" s="182">
        <v>51.9</v>
      </c>
      <c r="ABQ10" s="182">
        <v>51.9</v>
      </c>
      <c r="ABR10" s="182">
        <v>51.9</v>
      </c>
      <c r="ABS10" s="182">
        <v>47.58</v>
      </c>
      <c r="ABT10" s="182">
        <v>51.9</v>
      </c>
      <c r="ABU10" s="182">
        <v>51.9</v>
      </c>
      <c r="ABV10" s="182">
        <v>51.9</v>
      </c>
      <c r="ABW10" s="182">
        <v>51.9</v>
      </c>
      <c r="ABX10" s="182">
        <v>51.9</v>
      </c>
      <c r="ABY10" s="182">
        <v>51.9</v>
      </c>
      <c r="ABZ10" s="182">
        <v>51.9</v>
      </c>
      <c r="ACA10" s="182">
        <v>51.9</v>
      </c>
      <c r="ACB10" s="182">
        <v>51.9</v>
      </c>
      <c r="ACC10" s="182">
        <v>51.9</v>
      </c>
      <c r="ACD10" s="182">
        <v>51.9</v>
      </c>
      <c r="ACE10" s="182">
        <v>51.9</v>
      </c>
      <c r="ACF10" s="182">
        <v>51.9</v>
      </c>
      <c r="ACG10" s="182">
        <v>51.9</v>
      </c>
      <c r="ACH10" s="182">
        <v>51.9</v>
      </c>
      <c r="ACI10" s="182">
        <v>51.9</v>
      </c>
      <c r="ACJ10" s="182">
        <v>51.9</v>
      </c>
      <c r="ACK10" s="182">
        <v>51.9</v>
      </c>
      <c r="ACL10" s="182">
        <v>51.9</v>
      </c>
      <c r="ACM10" s="182">
        <v>51.9</v>
      </c>
      <c r="ACN10" s="182">
        <v>51.9</v>
      </c>
      <c r="ACO10" s="182">
        <v>51.9</v>
      </c>
      <c r="ACP10" s="182">
        <v>51.9</v>
      </c>
      <c r="ACQ10" s="182">
        <v>51.9</v>
      </c>
      <c r="ACR10" s="182">
        <v>51.9</v>
      </c>
      <c r="ACS10" s="182">
        <v>51.9</v>
      </c>
      <c r="ACT10" s="182">
        <v>51.9</v>
      </c>
      <c r="ACU10" s="182">
        <v>51.9</v>
      </c>
      <c r="ACV10" s="182">
        <v>51.9</v>
      </c>
      <c r="ACW10" s="182">
        <v>51.9</v>
      </c>
      <c r="ACX10" s="182">
        <v>47.58</v>
      </c>
      <c r="ACY10" s="182">
        <v>51.9</v>
      </c>
      <c r="ACZ10" s="182">
        <v>51.9</v>
      </c>
      <c r="ADA10" s="182">
        <v>51.9</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B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c r="AJD10" s="182">
        <v>47.58</v>
      </c>
    </row>
    <row r="11" spans="1:940">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EI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HL11" s="182">
        <v>43.25</v>
      </c>
      <c r="HM11" s="182">
        <v>43.25</v>
      </c>
      <c r="IG11" s="182">
        <v>47.58</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47.58</v>
      </c>
      <c r="IV11" s="182">
        <v>47.58</v>
      </c>
      <c r="IW11" s="182">
        <v>47.58</v>
      </c>
      <c r="IX11" s="182">
        <v>43.25</v>
      </c>
      <c r="IY11" s="182">
        <v>47.58</v>
      </c>
      <c r="IZ11" s="182">
        <v>47.58</v>
      </c>
      <c r="JA11" s="182">
        <v>47.58</v>
      </c>
      <c r="JB11" s="182">
        <v>43.25</v>
      </c>
      <c r="JC11" s="182">
        <v>43.25</v>
      </c>
      <c r="JD11" s="182">
        <v>47.58</v>
      </c>
      <c r="JE11" s="182">
        <v>47.58</v>
      </c>
      <c r="JF11" s="182">
        <v>47.58</v>
      </c>
      <c r="JG11" s="182">
        <v>43.25</v>
      </c>
      <c r="JH11" s="182">
        <v>47.58</v>
      </c>
      <c r="JI11" s="182">
        <v>47.58</v>
      </c>
      <c r="JJ11" s="182">
        <v>47.58</v>
      </c>
      <c r="JK11" s="182">
        <v>47.58</v>
      </c>
      <c r="JL11" s="182">
        <v>47.58</v>
      </c>
      <c r="JM11" s="182">
        <v>47.58</v>
      </c>
      <c r="JN11" s="182">
        <v>47.58</v>
      </c>
      <c r="JO11" s="182">
        <v>47.58</v>
      </c>
      <c r="JP11" s="182">
        <v>47.58</v>
      </c>
      <c r="JQ11" s="182">
        <v>47.58</v>
      </c>
      <c r="JR11" s="182">
        <v>47.58</v>
      </c>
      <c r="JS11" s="182">
        <v>47.58</v>
      </c>
      <c r="JT11" s="182">
        <v>47.58</v>
      </c>
      <c r="JU11" s="182">
        <v>47.58</v>
      </c>
      <c r="JV11" s="182">
        <v>47.58</v>
      </c>
      <c r="JW11" s="182">
        <v>47.58</v>
      </c>
      <c r="JX11" s="182">
        <v>47.58</v>
      </c>
      <c r="JY11" s="182">
        <v>47.58</v>
      </c>
      <c r="JZ11" s="182">
        <v>47.58</v>
      </c>
      <c r="KA11" s="182">
        <v>47.58</v>
      </c>
      <c r="KB11" s="182">
        <v>47.58</v>
      </c>
      <c r="KC11" s="182">
        <v>47.58</v>
      </c>
      <c r="KD11" s="182">
        <v>47.58</v>
      </c>
      <c r="KE11" s="182">
        <v>47.58</v>
      </c>
      <c r="KF11" s="182">
        <v>47.58</v>
      </c>
      <c r="KG11" s="182">
        <v>47.58</v>
      </c>
      <c r="KH11" s="182">
        <v>47.58</v>
      </c>
      <c r="KI11" s="182">
        <v>47.58</v>
      </c>
      <c r="KJ11" s="182">
        <v>47.58</v>
      </c>
      <c r="KK11" s="182">
        <v>43.25</v>
      </c>
      <c r="KL11" s="182">
        <v>47.58</v>
      </c>
      <c r="KM11" s="182">
        <v>47.58</v>
      </c>
      <c r="KN11" s="182">
        <v>47.58</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QS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WW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47.58</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47.58</v>
      </c>
      <c r="ABH11" s="182">
        <v>47.58</v>
      </c>
      <c r="ABI11" s="182">
        <v>47.58</v>
      </c>
      <c r="ABJ11" s="182">
        <v>43.25</v>
      </c>
      <c r="ABK11" s="182">
        <v>47.58</v>
      </c>
      <c r="ABL11" s="182">
        <v>47.58</v>
      </c>
      <c r="ABM11" s="182">
        <v>47.58</v>
      </c>
      <c r="ABN11" s="182">
        <v>43.25</v>
      </c>
      <c r="ABO11" s="182">
        <v>43.25</v>
      </c>
      <c r="ABP11" s="182">
        <v>47.58</v>
      </c>
      <c r="ABQ11" s="182">
        <v>47.58</v>
      </c>
      <c r="ABR11" s="182">
        <v>47.58</v>
      </c>
      <c r="ABS11" s="182">
        <v>43.25</v>
      </c>
      <c r="ABT11" s="182">
        <v>47.58</v>
      </c>
      <c r="ABU11" s="182">
        <v>47.58</v>
      </c>
      <c r="ABV11" s="182">
        <v>47.58</v>
      </c>
      <c r="ABW11" s="182">
        <v>47.58</v>
      </c>
      <c r="ABX11" s="182">
        <v>47.58</v>
      </c>
      <c r="ABY11" s="182">
        <v>47.58</v>
      </c>
      <c r="ABZ11" s="182">
        <v>47.58</v>
      </c>
      <c r="ACA11" s="182">
        <v>47.58</v>
      </c>
      <c r="ACB11" s="182">
        <v>47.58</v>
      </c>
      <c r="ACC11" s="182">
        <v>47.58</v>
      </c>
      <c r="ACD11" s="182">
        <v>47.58</v>
      </c>
      <c r="ACE11" s="182">
        <v>47.58</v>
      </c>
      <c r="ACF11" s="182">
        <v>47.58</v>
      </c>
      <c r="ACG11" s="182">
        <v>47.58</v>
      </c>
      <c r="ACH11" s="182">
        <v>47.58</v>
      </c>
      <c r="ACI11" s="182">
        <v>47.58</v>
      </c>
      <c r="ACJ11" s="182">
        <v>47.58</v>
      </c>
      <c r="ACK11" s="182">
        <v>47.58</v>
      </c>
      <c r="ACL11" s="182">
        <v>47.58</v>
      </c>
      <c r="ACM11" s="182">
        <v>47.58</v>
      </c>
      <c r="ACN11" s="182">
        <v>47.58</v>
      </c>
      <c r="ACO11" s="182">
        <v>47.58</v>
      </c>
      <c r="ACP11" s="182">
        <v>47.58</v>
      </c>
      <c r="ACQ11" s="182">
        <v>47.58</v>
      </c>
      <c r="ACR11" s="182">
        <v>47.58</v>
      </c>
      <c r="ACS11" s="182">
        <v>47.58</v>
      </c>
      <c r="ACT11" s="182">
        <v>47.58</v>
      </c>
      <c r="ACU11" s="182">
        <v>47.58</v>
      </c>
      <c r="ACV11" s="182">
        <v>47.58</v>
      </c>
      <c r="ACW11" s="182">
        <v>47.58</v>
      </c>
      <c r="ACX11" s="182">
        <v>43.25</v>
      </c>
      <c r="ACY11" s="182">
        <v>47.58</v>
      </c>
      <c r="ACZ11" s="182">
        <v>47.58</v>
      </c>
      <c r="ADA11" s="182">
        <v>47.58</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B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c r="AJD11" s="182">
        <v>43.25</v>
      </c>
    </row>
    <row r="12" spans="1:940">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EI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HL12" s="182">
        <v>34.6</v>
      </c>
      <c r="HM12" s="182">
        <v>34.6</v>
      </c>
      <c r="IG12" s="182">
        <v>43.25</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43.25</v>
      </c>
      <c r="IV12" s="182">
        <v>43.25</v>
      </c>
      <c r="IW12" s="182">
        <v>43.25</v>
      </c>
      <c r="IX12" s="182">
        <v>34.6</v>
      </c>
      <c r="IY12" s="182">
        <v>43.25</v>
      </c>
      <c r="IZ12" s="182">
        <v>43.25</v>
      </c>
      <c r="JA12" s="182">
        <v>43.25</v>
      </c>
      <c r="JB12" s="182">
        <v>34.6</v>
      </c>
      <c r="JC12" s="182">
        <v>34.6</v>
      </c>
      <c r="JD12" s="182">
        <v>43.25</v>
      </c>
      <c r="JE12" s="182">
        <v>43.25</v>
      </c>
      <c r="JF12" s="182">
        <v>43.25</v>
      </c>
      <c r="JG12" s="182">
        <v>34.6</v>
      </c>
      <c r="JH12" s="182">
        <v>43.25</v>
      </c>
      <c r="JI12" s="182">
        <v>43.25</v>
      </c>
      <c r="JJ12" s="182">
        <v>43.25</v>
      </c>
      <c r="JK12" s="182">
        <v>43.25</v>
      </c>
      <c r="JL12" s="182">
        <v>43.25</v>
      </c>
      <c r="JM12" s="182">
        <v>43.25</v>
      </c>
      <c r="JN12" s="182">
        <v>43.25</v>
      </c>
      <c r="JO12" s="182">
        <v>43.25</v>
      </c>
      <c r="JP12" s="182">
        <v>43.25</v>
      </c>
      <c r="JQ12" s="182">
        <v>43.25</v>
      </c>
      <c r="JR12" s="182">
        <v>43.25</v>
      </c>
      <c r="JS12" s="182">
        <v>43.25</v>
      </c>
      <c r="JT12" s="182">
        <v>43.25</v>
      </c>
      <c r="JU12" s="182">
        <v>43.25</v>
      </c>
      <c r="JV12" s="182">
        <v>43.25</v>
      </c>
      <c r="JW12" s="182">
        <v>43.25</v>
      </c>
      <c r="JX12" s="182">
        <v>43.25</v>
      </c>
      <c r="JY12" s="182">
        <v>43.25</v>
      </c>
      <c r="JZ12" s="182">
        <v>43.25</v>
      </c>
      <c r="KA12" s="182">
        <v>43.25</v>
      </c>
      <c r="KB12" s="182">
        <v>43.25</v>
      </c>
      <c r="KC12" s="182">
        <v>43.25</v>
      </c>
      <c r="KD12" s="182">
        <v>43.25</v>
      </c>
      <c r="KE12" s="182">
        <v>43.25</v>
      </c>
      <c r="KF12" s="182">
        <v>43.25</v>
      </c>
      <c r="KG12" s="182">
        <v>43.25</v>
      </c>
      <c r="KH12" s="182">
        <v>43.25</v>
      </c>
      <c r="KI12" s="182">
        <v>43.25</v>
      </c>
      <c r="KJ12" s="182">
        <v>43.25</v>
      </c>
      <c r="KK12" s="182">
        <v>34.6</v>
      </c>
      <c r="KL12" s="182">
        <v>43.25</v>
      </c>
      <c r="KM12" s="182">
        <v>43.25</v>
      </c>
      <c r="KN12" s="182">
        <v>43.25</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QS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WW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43.25</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43.25</v>
      </c>
      <c r="ABH12" s="182">
        <v>43.25</v>
      </c>
      <c r="ABI12" s="182">
        <v>43.25</v>
      </c>
      <c r="ABJ12" s="182">
        <v>34.6</v>
      </c>
      <c r="ABK12" s="182">
        <v>43.25</v>
      </c>
      <c r="ABL12" s="182">
        <v>43.25</v>
      </c>
      <c r="ABM12" s="182">
        <v>43.25</v>
      </c>
      <c r="ABN12" s="182">
        <v>34.6</v>
      </c>
      <c r="ABO12" s="182">
        <v>34.6</v>
      </c>
      <c r="ABP12" s="182">
        <v>43.25</v>
      </c>
      <c r="ABQ12" s="182">
        <v>43.25</v>
      </c>
      <c r="ABR12" s="182">
        <v>43.25</v>
      </c>
      <c r="ABS12" s="182">
        <v>34.6</v>
      </c>
      <c r="ABT12" s="182">
        <v>43.25</v>
      </c>
      <c r="ABU12" s="182">
        <v>43.25</v>
      </c>
      <c r="ABV12" s="182">
        <v>43.25</v>
      </c>
      <c r="ABW12" s="182">
        <v>43.25</v>
      </c>
      <c r="ABX12" s="182">
        <v>43.25</v>
      </c>
      <c r="ABY12" s="182">
        <v>43.25</v>
      </c>
      <c r="ABZ12" s="182">
        <v>43.25</v>
      </c>
      <c r="ACA12" s="182">
        <v>43.25</v>
      </c>
      <c r="ACB12" s="182">
        <v>43.25</v>
      </c>
      <c r="ACC12" s="182">
        <v>43.25</v>
      </c>
      <c r="ACD12" s="182">
        <v>43.25</v>
      </c>
      <c r="ACE12" s="182">
        <v>43.25</v>
      </c>
      <c r="ACF12" s="182">
        <v>43.25</v>
      </c>
      <c r="ACG12" s="182">
        <v>43.25</v>
      </c>
      <c r="ACH12" s="182">
        <v>43.25</v>
      </c>
      <c r="ACI12" s="182">
        <v>43.25</v>
      </c>
      <c r="ACJ12" s="182">
        <v>43.25</v>
      </c>
      <c r="ACK12" s="182">
        <v>43.25</v>
      </c>
      <c r="ACL12" s="182">
        <v>43.25</v>
      </c>
      <c r="ACM12" s="182">
        <v>43.25</v>
      </c>
      <c r="ACN12" s="182">
        <v>43.25</v>
      </c>
      <c r="ACO12" s="182">
        <v>43.25</v>
      </c>
      <c r="ACP12" s="182">
        <v>43.25</v>
      </c>
      <c r="ACQ12" s="182">
        <v>43.25</v>
      </c>
      <c r="ACR12" s="182">
        <v>43.25</v>
      </c>
      <c r="ACS12" s="182">
        <v>43.25</v>
      </c>
      <c r="ACT12" s="182">
        <v>43.25</v>
      </c>
      <c r="ACU12" s="182">
        <v>43.25</v>
      </c>
      <c r="ACV12" s="182">
        <v>43.25</v>
      </c>
      <c r="ACW12" s="182">
        <v>43.25</v>
      </c>
      <c r="ACX12" s="182">
        <v>34.6</v>
      </c>
      <c r="ACY12" s="182">
        <v>43.25</v>
      </c>
      <c r="ACZ12" s="182">
        <v>43.25</v>
      </c>
      <c r="ADA12" s="182">
        <v>43.25</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B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c r="AJD12" s="182">
        <v>34.6</v>
      </c>
    </row>
    <row r="13" spans="1:940">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EI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HL13" s="182">
        <v>32.01</v>
      </c>
      <c r="HM13" s="182">
        <v>32.01</v>
      </c>
      <c r="IG13" s="182">
        <v>34.6</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34.6</v>
      </c>
      <c r="IV13" s="182">
        <v>34.6</v>
      </c>
      <c r="IW13" s="182">
        <v>34.6</v>
      </c>
      <c r="IX13" s="182">
        <v>32.01</v>
      </c>
      <c r="IY13" s="182">
        <v>34.6</v>
      </c>
      <c r="IZ13" s="182">
        <v>34.6</v>
      </c>
      <c r="JA13" s="182">
        <v>34.6</v>
      </c>
      <c r="JB13" s="182">
        <v>32.01</v>
      </c>
      <c r="JC13" s="182">
        <v>32.01</v>
      </c>
      <c r="JD13" s="182">
        <v>34.6</v>
      </c>
      <c r="JE13" s="182">
        <v>34.6</v>
      </c>
      <c r="JF13" s="182">
        <v>34.6</v>
      </c>
      <c r="JG13" s="182">
        <v>32.01</v>
      </c>
      <c r="JH13" s="182">
        <v>34.6</v>
      </c>
      <c r="JI13" s="182">
        <v>34.6</v>
      </c>
      <c r="JJ13" s="182">
        <v>34.6</v>
      </c>
      <c r="JK13" s="182">
        <v>34.6</v>
      </c>
      <c r="JL13" s="182">
        <v>34.6</v>
      </c>
      <c r="JM13" s="182">
        <v>34.6</v>
      </c>
      <c r="JN13" s="182">
        <v>34.6</v>
      </c>
      <c r="JO13" s="182">
        <v>34.6</v>
      </c>
      <c r="JP13" s="182">
        <v>34.6</v>
      </c>
      <c r="JQ13" s="182">
        <v>34.6</v>
      </c>
      <c r="JR13" s="182">
        <v>34.6</v>
      </c>
      <c r="JS13" s="182">
        <v>34.6</v>
      </c>
      <c r="JT13" s="182">
        <v>34.6</v>
      </c>
      <c r="JU13" s="182">
        <v>34.6</v>
      </c>
      <c r="JV13" s="182">
        <v>34.6</v>
      </c>
      <c r="JW13" s="182">
        <v>34.6</v>
      </c>
      <c r="JX13" s="182">
        <v>34.6</v>
      </c>
      <c r="JY13" s="182">
        <v>34.6</v>
      </c>
      <c r="JZ13" s="182">
        <v>34.6</v>
      </c>
      <c r="KA13" s="182">
        <v>34.6</v>
      </c>
      <c r="KB13" s="182">
        <v>34.6</v>
      </c>
      <c r="KC13" s="182">
        <v>34.6</v>
      </c>
      <c r="KD13" s="182">
        <v>34.6</v>
      </c>
      <c r="KE13" s="182">
        <v>34.6</v>
      </c>
      <c r="KF13" s="182">
        <v>34.6</v>
      </c>
      <c r="KG13" s="182">
        <v>34.6</v>
      </c>
      <c r="KH13" s="182">
        <v>34.6</v>
      </c>
      <c r="KI13" s="182">
        <v>34.6</v>
      </c>
      <c r="KJ13" s="182">
        <v>34.6</v>
      </c>
      <c r="KK13" s="182">
        <v>32.01</v>
      </c>
      <c r="KL13" s="182">
        <v>34.6</v>
      </c>
      <c r="KM13" s="182">
        <v>34.6</v>
      </c>
      <c r="KN13" s="182">
        <v>34.6</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QS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WW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34.6</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34.6</v>
      </c>
      <c r="ABH13" s="182">
        <v>34.6</v>
      </c>
      <c r="ABI13" s="182">
        <v>34.6</v>
      </c>
      <c r="ABJ13" s="182">
        <v>32.01</v>
      </c>
      <c r="ABK13" s="182">
        <v>34.6</v>
      </c>
      <c r="ABL13" s="182">
        <v>34.6</v>
      </c>
      <c r="ABM13" s="182">
        <v>34.6</v>
      </c>
      <c r="ABN13" s="182">
        <v>32.01</v>
      </c>
      <c r="ABO13" s="182">
        <v>32.01</v>
      </c>
      <c r="ABP13" s="182">
        <v>34.6</v>
      </c>
      <c r="ABQ13" s="182">
        <v>34.6</v>
      </c>
      <c r="ABR13" s="182">
        <v>34.6</v>
      </c>
      <c r="ABS13" s="182">
        <v>32.01</v>
      </c>
      <c r="ABT13" s="182">
        <v>34.6</v>
      </c>
      <c r="ABU13" s="182">
        <v>34.6</v>
      </c>
      <c r="ABV13" s="182">
        <v>34.6</v>
      </c>
      <c r="ABW13" s="182">
        <v>34.6</v>
      </c>
      <c r="ABX13" s="182">
        <v>34.6</v>
      </c>
      <c r="ABY13" s="182">
        <v>34.6</v>
      </c>
      <c r="ABZ13" s="182">
        <v>34.6</v>
      </c>
      <c r="ACA13" s="182">
        <v>34.6</v>
      </c>
      <c r="ACB13" s="182">
        <v>34.6</v>
      </c>
      <c r="ACC13" s="182">
        <v>34.6</v>
      </c>
      <c r="ACD13" s="182">
        <v>34.6</v>
      </c>
      <c r="ACE13" s="182">
        <v>34.6</v>
      </c>
      <c r="ACF13" s="182">
        <v>34.6</v>
      </c>
      <c r="ACG13" s="182">
        <v>34.6</v>
      </c>
      <c r="ACH13" s="182">
        <v>34.6</v>
      </c>
      <c r="ACI13" s="182">
        <v>34.6</v>
      </c>
      <c r="ACJ13" s="182">
        <v>34.6</v>
      </c>
      <c r="ACK13" s="182">
        <v>34.6</v>
      </c>
      <c r="ACL13" s="182">
        <v>34.6</v>
      </c>
      <c r="ACM13" s="182">
        <v>34.6</v>
      </c>
      <c r="ACN13" s="182">
        <v>34.6</v>
      </c>
      <c r="ACO13" s="182">
        <v>34.6</v>
      </c>
      <c r="ACP13" s="182">
        <v>34.6</v>
      </c>
      <c r="ACQ13" s="182">
        <v>34.6</v>
      </c>
      <c r="ACR13" s="182">
        <v>34.6</v>
      </c>
      <c r="ACS13" s="182">
        <v>34.6</v>
      </c>
      <c r="ACT13" s="182">
        <v>34.6</v>
      </c>
      <c r="ACU13" s="182">
        <v>34.6</v>
      </c>
      <c r="ACV13" s="182">
        <v>34.6</v>
      </c>
      <c r="ACW13" s="182">
        <v>34.6</v>
      </c>
      <c r="ACX13" s="182">
        <v>32.01</v>
      </c>
      <c r="ACY13" s="182">
        <v>34.6</v>
      </c>
      <c r="ACZ13" s="182">
        <v>34.6</v>
      </c>
      <c r="ADA13" s="182">
        <v>34.6</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B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c r="AJD13" s="182">
        <v>32.01</v>
      </c>
    </row>
    <row r="14" spans="1:940">
      <c r="IG14" s="182">
        <v>32.01</v>
      </c>
      <c r="IU14" s="182">
        <v>32.01</v>
      </c>
      <c r="IV14" s="182">
        <v>32.01</v>
      </c>
      <c r="IW14" s="182">
        <v>32.01</v>
      </c>
      <c r="IY14" s="182">
        <v>32.01</v>
      </c>
      <c r="IZ14" s="182">
        <v>32.01</v>
      </c>
      <c r="JA14" s="182">
        <v>32.01</v>
      </c>
      <c r="JD14" s="182">
        <v>32.01</v>
      </c>
      <c r="JE14" s="182">
        <v>32.01</v>
      </c>
      <c r="JF14" s="182">
        <v>32.01</v>
      </c>
      <c r="JH14" s="182">
        <v>32.01</v>
      </c>
      <c r="JI14" s="182">
        <v>32.01</v>
      </c>
      <c r="JJ14" s="182">
        <v>32.01</v>
      </c>
      <c r="JK14" s="182">
        <v>32.01</v>
      </c>
      <c r="JL14" s="182">
        <v>32.01</v>
      </c>
      <c r="JM14" s="182">
        <v>32.01</v>
      </c>
      <c r="JN14" s="182">
        <v>32.01</v>
      </c>
      <c r="JO14" s="182">
        <v>32.01</v>
      </c>
      <c r="JP14" s="182">
        <v>32.01</v>
      </c>
      <c r="JQ14" s="182">
        <v>32.01</v>
      </c>
      <c r="JR14" s="182">
        <v>32.01</v>
      </c>
      <c r="JS14" s="182">
        <v>32.01</v>
      </c>
      <c r="JT14" s="182">
        <v>32.01</v>
      </c>
      <c r="JU14" s="182">
        <v>32.01</v>
      </c>
      <c r="JV14" s="182">
        <v>32.01</v>
      </c>
      <c r="JW14" s="182">
        <v>32.01</v>
      </c>
      <c r="JX14" s="182">
        <v>32.01</v>
      </c>
      <c r="JY14" s="182">
        <v>32.01</v>
      </c>
      <c r="JZ14" s="182">
        <v>32.01</v>
      </c>
      <c r="KA14" s="182">
        <v>32.01</v>
      </c>
      <c r="KB14" s="182">
        <v>32.01</v>
      </c>
      <c r="KC14" s="182">
        <v>32.01</v>
      </c>
      <c r="KD14" s="182">
        <v>32.01</v>
      </c>
      <c r="KE14" s="182">
        <v>32.01</v>
      </c>
      <c r="KF14" s="182">
        <v>32.01</v>
      </c>
      <c r="KG14" s="182">
        <v>32.01</v>
      </c>
      <c r="KH14" s="182">
        <v>32.01</v>
      </c>
      <c r="KI14" s="182">
        <v>32.01</v>
      </c>
      <c r="KJ14" s="182">
        <v>32.01</v>
      </c>
      <c r="KL14" s="182">
        <v>32.01</v>
      </c>
      <c r="KM14" s="182">
        <v>32.01</v>
      </c>
      <c r="KN14" s="182">
        <v>32.01</v>
      </c>
      <c r="LI14" s="182">
        <v>20</v>
      </c>
      <c r="LW14" s="182">
        <v>20</v>
      </c>
      <c r="LX14" s="182">
        <v>20</v>
      </c>
      <c r="LY14" s="182">
        <v>20</v>
      </c>
      <c r="MA14" s="182">
        <v>20</v>
      </c>
      <c r="MB14" s="182">
        <v>20</v>
      </c>
      <c r="MC14" s="182">
        <v>20</v>
      </c>
      <c r="MF14" s="182">
        <v>20</v>
      </c>
      <c r="MG14" s="182">
        <v>20</v>
      </c>
      <c r="MH14" s="182">
        <v>20</v>
      </c>
      <c r="MJ14" s="182">
        <v>20</v>
      </c>
      <c r="MK14" s="182">
        <v>20</v>
      </c>
      <c r="ML14" s="182">
        <v>20</v>
      </c>
      <c r="MM14" s="182">
        <v>20</v>
      </c>
      <c r="MN14" s="182">
        <v>20</v>
      </c>
      <c r="MO14" s="182">
        <v>20</v>
      </c>
      <c r="MP14" s="182">
        <v>20</v>
      </c>
      <c r="MQ14" s="182">
        <v>20</v>
      </c>
      <c r="MR14" s="182">
        <v>20</v>
      </c>
      <c r="MS14" s="182">
        <v>20</v>
      </c>
      <c r="MT14" s="182">
        <v>20</v>
      </c>
      <c r="MU14" s="182">
        <v>20</v>
      </c>
      <c r="MV14" s="182">
        <v>20</v>
      </c>
      <c r="MW14" s="182">
        <v>20</v>
      </c>
      <c r="MX14" s="182">
        <v>20</v>
      </c>
      <c r="MY14" s="182">
        <v>20</v>
      </c>
      <c r="MZ14" s="182">
        <v>20</v>
      </c>
      <c r="NA14" s="182">
        <v>20</v>
      </c>
      <c r="NB14" s="182">
        <v>20</v>
      </c>
      <c r="NC14" s="182">
        <v>20</v>
      </c>
      <c r="ND14" s="182">
        <v>20</v>
      </c>
      <c r="NE14" s="182">
        <v>20</v>
      </c>
      <c r="NF14" s="182">
        <v>20</v>
      </c>
      <c r="NG14" s="182">
        <v>20</v>
      </c>
      <c r="NH14" s="182">
        <v>20</v>
      </c>
      <c r="NI14" s="182">
        <v>20</v>
      </c>
      <c r="NJ14" s="182">
        <v>20</v>
      </c>
      <c r="NK14" s="182">
        <v>20</v>
      </c>
      <c r="NL14" s="182">
        <v>20</v>
      </c>
      <c r="NM14" s="182">
        <v>20</v>
      </c>
      <c r="NN14" s="182">
        <v>20</v>
      </c>
      <c r="NP14" s="182">
        <v>20</v>
      </c>
      <c r="NQ14" s="182">
        <v>20</v>
      </c>
      <c r="OK14" s="182">
        <v>20</v>
      </c>
      <c r="OY14" s="182">
        <v>20</v>
      </c>
      <c r="OZ14" s="182">
        <v>20</v>
      </c>
      <c r="PA14" s="182">
        <v>20</v>
      </c>
      <c r="PC14" s="182">
        <v>20</v>
      </c>
      <c r="PD14" s="182">
        <v>20</v>
      </c>
      <c r="PE14" s="182">
        <v>20</v>
      </c>
      <c r="PH14" s="182">
        <v>20</v>
      </c>
      <c r="PI14" s="182">
        <v>20</v>
      </c>
      <c r="PJ14" s="182">
        <v>20</v>
      </c>
      <c r="PL14" s="182">
        <v>20</v>
      </c>
      <c r="PM14" s="182">
        <v>20</v>
      </c>
      <c r="PN14" s="182">
        <v>20</v>
      </c>
      <c r="PO14" s="182">
        <v>20</v>
      </c>
      <c r="PP14" s="182">
        <v>20</v>
      </c>
      <c r="PQ14" s="182">
        <v>20</v>
      </c>
      <c r="PR14" s="182">
        <v>20</v>
      </c>
      <c r="PS14" s="182">
        <v>20</v>
      </c>
      <c r="PT14" s="182">
        <v>20</v>
      </c>
      <c r="PU14" s="182">
        <v>20</v>
      </c>
      <c r="PV14" s="182">
        <v>20</v>
      </c>
      <c r="PW14" s="182">
        <v>20</v>
      </c>
      <c r="PX14" s="182">
        <v>20</v>
      </c>
      <c r="PY14" s="182">
        <v>20</v>
      </c>
      <c r="PZ14" s="182">
        <v>20</v>
      </c>
      <c r="QA14" s="182">
        <v>20</v>
      </c>
      <c r="QB14" s="182">
        <v>20</v>
      </c>
      <c r="QC14" s="182">
        <v>20</v>
      </c>
      <c r="QD14" s="182">
        <v>20</v>
      </c>
      <c r="QE14" s="182">
        <v>20</v>
      </c>
      <c r="QF14" s="182">
        <v>20</v>
      </c>
      <c r="QG14" s="182">
        <v>20</v>
      </c>
      <c r="QH14" s="182">
        <v>20</v>
      </c>
      <c r="QI14" s="182">
        <v>20</v>
      </c>
      <c r="QJ14" s="182">
        <v>20</v>
      </c>
      <c r="QK14" s="182">
        <v>20</v>
      </c>
      <c r="QL14" s="182">
        <v>20</v>
      </c>
      <c r="QM14" s="182">
        <v>20</v>
      </c>
      <c r="QN14" s="182">
        <v>20</v>
      </c>
      <c r="QO14" s="182">
        <v>20</v>
      </c>
      <c r="QP14" s="182">
        <v>20</v>
      </c>
      <c r="QR14" s="182">
        <v>20</v>
      </c>
      <c r="QS14" s="182">
        <v>20</v>
      </c>
      <c r="RM14" s="182">
        <v>20</v>
      </c>
      <c r="SA14" s="182">
        <v>20</v>
      </c>
      <c r="SB14" s="182">
        <v>20</v>
      </c>
      <c r="SC14" s="182">
        <v>20</v>
      </c>
      <c r="SE14" s="182">
        <v>20</v>
      </c>
      <c r="SF14" s="182">
        <v>20</v>
      </c>
      <c r="SG14" s="182">
        <v>20</v>
      </c>
      <c r="SJ14" s="182">
        <v>20</v>
      </c>
      <c r="SK14" s="182">
        <v>20</v>
      </c>
      <c r="SL14" s="182">
        <v>20</v>
      </c>
      <c r="SN14" s="182">
        <v>20</v>
      </c>
      <c r="SO14" s="182">
        <v>20</v>
      </c>
      <c r="SP14" s="182">
        <v>20</v>
      </c>
      <c r="SQ14" s="182">
        <v>20</v>
      </c>
      <c r="SR14" s="182">
        <v>20</v>
      </c>
      <c r="SS14" s="182">
        <v>20</v>
      </c>
      <c r="ST14" s="182">
        <v>20</v>
      </c>
      <c r="SU14" s="182">
        <v>20</v>
      </c>
      <c r="SV14" s="182">
        <v>20</v>
      </c>
      <c r="SW14" s="182">
        <v>20</v>
      </c>
      <c r="SX14" s="182">
        <v>20</v>
      </c>
      <c r="SY14" s="182">
        <v>20</v>
      </c>
      <c r="SZ14" s="182">
        <v>20</v>
      </c>
      <c r="TA14" s="182">
        <v>20</v>
      </c>
      <c r="TB14" s="182">
        <v>20</v>
      </c>
      <c r="TC14" s="182">
        <v>20</v>
      </c>
      <c r="TD14" s="182">
        <v>20</v>
      </c>
      <c r="TE14" s="182">
        <v>20</v>
      </c>
      <c r="TF14" s="182">
        <v>20</v>
      </c>
      <c r="TG14" s="182">
        <v>20</v>
      </c>
      <c r="TH14" s="182">
        <v>20</v>
      </c>
      <c r="TI14" s="182">
        <v>20</v>
      </c>
      <c r="TJ14" s="182">
        <v>20</v>
      </c>
      <c r="TK14" s="182">
        <v>20</v>
      </c>
      <c r="TL14" s="182">
        <v>20</v>
      </c>
      <c r="TM14" s="182">
        <v>20</v>
      </c>
      <c r="TN14" s="182">
        <v>20</v>
      </c>
      <c r="TO14" s="182">
        <v>20</v>
      </c>
      <c r="TP14" s="182">
        <v>20</v>
      </c>
      <c r="TQ14" s="182">
        <v>20</v>
      </c>
      <c r="TR14" s="182">
        <v>20</v>
      </c>
      <c r="TT14" s="182">
        <v>20</v>
      </c>
      <c r="UO14" s="182">
        <v>20</v>
      </c>
      <c r="VC14" s="182">
        <v>20</v>
      </c>
      <c r="VD14" s="182">
        <v>20</v>
      </c>
      <c r="VE14" s="182">
        <v>20</v>
      </c>
      <c r="VG14" s="182">
        <v>20</v>
      </c>
      <c r="VH14" s="182">
        <v>20</v>
      </c>
      <c r="VI14" s="182">
        <v>20</v>
      </c>
      <c r="VL14" s="182">
        <v>20</v>
      </c>
      <c r="VM14" s="182">
        <v>20</v>
      </c>
      <c r="VN14" s="182">
        <v>20</v>
      </c>
      <c r="VP14" s="182">
        <v>20</v>
      </c>
      <c r="VQ14" s="182">
        <v>20</v>
      </c>
      <c r="VR14" s="182">
        <v>20</v>
      </c>
      <c r="VS14" s="182">
        <v>20</v>
      </c>
      <c r="VT14" s="182">
        <v>20</v>
      </c>
      <c r="VU14" s="182">
        <v>20</v>
      </c>
      <c r="VV14" s="182">
        <v>20</v>
      </c>
      <c r="VW14" s="182">
        <v>20</v>
      </c>
      <c r="VX14" s="182">
        <v>20</v>
      </c>
      <c r="VY14" s="182">
        <v>20</v>
      </c>
      <c r="VZ14" s="182">
        <v>20</v>
      </c>
      <c r="WA14" s="182">
        <v>20</v>
      </c>
      <c r="WB14" s="182">
        <v>20</v>
      </c>
      <c r="WC14" s="182">
        <v>20</v>
      </c>
      <c r="WD14" s="182">
        <v>20</v>
      </c>
      <c r="WE14" s="182">
        <v>20</v>
      </c>
      <c r="WF14" s="182">
        <v>20</v>
      </c>
      <c r="WG14" s="182">
        <v>20</v>
      </c>
      <c r="WH14" s="182">
        <v>20</v>
      </c>
      <c r="WI14" s="182">
        <v>20</v>
      </c>
      <c r="WJ14" s="182">
        <v>20</v>
      </c>
      <c r="WK14" s="182">
        <v>20</v>
      </c>
      <c r="WL14" s="182">
        <v>20</v>
      </c>
      <c r="WM14" s="182">
        <v>20</v>
      </c>
      <c r="WN14" s="182">
        <v>20</v>
      </c>
      <c r="WO14" s="182">
        <v>20</v>
      </c>
      <c r="WP14" s="182">
        <v>20</v>
      </c>
      <c r="WQ14" s="182">
        <v>20</v>
      </c>
      <c r="WR14" s="182">
        <v>20</v>
      </c>
      <c r="WS14" s="182">
        <v>20</v>
      </c>
      <c r="WT14" s="182">
        <v>20</v>
      </c>
      <c r="WV14" s="182">
        <v>20</v>
      </c>
      <c r="WW14" s="182">
        <v>20</v>
      </c>
      <c r="XQ14" s="182">
        <v>20</v>
      </c>
      <c r="YE14" s="182">
        <v>20</v>
      </c>
      <c r="YF14" s="182">
        <v>20</v>
      </c>
      <c r="YG14" s="182">
        <v>20</v>
      </c>
      <c r="YI14" s="182">
        <v>20</v>
      </c>
      <c r="YJ14" s="182">
        <v>20</v>
      </c>
      <c r="YK14" s="182">
        <v>20</v>
      </c>
      <c r="YN14" s="182">
        <v>20</v>
      </c>
      <c r="YO14" s="182">
        <v>20</v>
      </c>
      <c r="YP14" s="182">
        <v>20</v>
      </c>
      <c r="YR14" s="182">
        <v>20</v>
      </c>
      <c r="YS14" s="182">
        <v>20</v>
      </c>
      <c r="YT14" s="182">
        <v>20</v>
      </c>
      <c r="YU14" s="182">
        <v>20</v>
      </c>
      <c r="YV14" s="182">
        <v>20</v>
      </c>
      <c r="YW14" s="182">
        <v>20</v>
      </c>
      <c r="YX14" s="182">
        <v>20</v>
      </c>
      <c r="YY14" s="182">
        <v>20</v>
      </c>
      <c r="YZ14" s="182">
        <v>20</v>
      </c>
      <c r="ZA14" s="182">
        <v>20</v>
      </c>
      <c r="ZB14" s="182">
        <v>20</v>
      </c>
      <c r="ZC14" s="182">
        <v>20</v>
      </c>
      <c r="ZD14" s="182">
        <v>20</v>
      </c>
      <c r="ZE14" s="182">
        <v>20</v>
      </c>
      <c r="ZF14" s="182">
        <v>20</v>
      </c>
      <c r="ZG14" s="182">
        <v>20</v>
      </c>
      <c r="ZH14" s="182">
        <v>20</v>
      </c>
      <c r="ZI14" s="182">
        <v>20</v>
      </c>
      <c r="ZJ14" s="182">
        <v>20</v>
      </c>
      <c r="ZK14" s="182">
        <v>20</v>
      </c>
      <c r="ZL14" s="182">
        <v>20</v>
      </c>
      <c r="ZM14" s="182">
        <v>20</v>
      </c>
      <c r="ZN14" s="182">
        <v>20</v>
      </c>
      <c r="ZO14" s="182">
        <v>20</v>
      </c>
      <c r="ZP14" s="182">
        <v>20</v>
      </c>
      <c r="ZQ14" s="182">
        <v>20</v>
      </c>
      <c r="ZR14" s="182">
        <v>20</v>
      </c>
      <c r="ZS14" s="182">
        <v>20</v>
      </c>
      <c r="ZT14" s="182">
        <v>20</v>
      </c>
      <c r="ZU14" s="182">
        <v>20</v>
      </c>
      <c r="ZW14" s="182">
        <v>20</v>
      </c>
      <c r="AAS14" s="182">
        <v>32.01</v>
      </c>
      <c r="ABG14" s="182">
        <v>32.01</v>
      </c>
      <c r="ABH14" s="182">
        <v>32.01</v>
      </c>
      <c r="ABI14" s="182">
        <v>32.01</v>
      </c>
      <c r="ABK14" s="182">
        <v>32.01</v>
      </c>
      <c r="ABL14" s="182">
        <v>32.01</v>
      </c>
      <c r="ABM14" s="182">
        <v>32.01</v>
      </c>
      <c r="ABP14" s="182">
        <v>32.01</v>
      </c>
      <c r="ABQ14" s="182">
        <v>32.01</v>
      </c>
      <c r="ABR14" s="182">
        <v>32.01</v>
      </c>
      <c r="ABT14" s="182">
        <v>32.01</v>
      </c>
      <c r="ABU14" s="182">
        <v>32.01</v>
      </c>
      <c r="ABV14" s="182">
        <v>32.01</v>
      </c>
      <c r="ABW14" s="182">
        <v>32.01</v>
      </c>
      <c r="ABX14" s="182">
        <v>32.01</v>
      </c>
      <c r="ABY14" s="182">
        <v>32.01</v>
      </c>
      <c r="ABZ14" s="182">
        <v>32.01</v>
      </c>
      <c r="ACA14" s="182">
        <v>32.01</v>
      </c>
      <c r="ACB14" s="182">
        <v>32.01</v>
      </c>
      <c r="ACC14" s="182">
        <v>32.01</v>
      </c>
      <c r="ACD14" s="182">
        <v>32.01</v>
      </c>
      <c r="ACE14" s="182">
        <v>32.01</v>
      </c>
      <c r="ACF14" s="182">
        <v>32.01</v>
      </c>
      <c r="ACG14" s="182">
        <v>32.01</v>
      </c>
      <c r="ACH14" s="182">
        <v>32.01</v>
      </c>
      <c r="ACI14" s="182">
        <v>32.01</v>
      </c>
      <c r="ACJ14" s="182">
        <v>32.01</v>
      </c>
      <c r="ACK14" s="182">
        <v>32.01</v>
      </c>
      <c r="ACL14" s="182">
        <v>32.01</v>
      </c>
      <c r="ACM14" s="182">
        <v>32.01</v>
      </c>
      <c r="ACN14" s="182">
        <v>32.01</v>
      </c>
      <c r="ACO14" s="182">
        <v>32.01</v>
      </c>
      <c r="ACP14" s="182">
        <v>32.01</v>
      </c>
      <c r="ACQ14" s="182">
        <v>32.01</v>
      </c>
      <c r="ACR14" s="182">
        <v>32.01</v>
      </c>
      <c r="ACS14" s="182">
        <v>32.01</v>
      </c>
      <c r="ACT14" s="182">
        <v>32.01</v>
      </c>
      <c r="ACU14" s="182">
        <v>32.01</v>
      </c>
      <c r="ACV14" s="182">
        <v>32.01</v>
      </c>
      <c r="ACW14" s="182">
        <v>32.01</v>
      </c>
      <c r="ACY14" s="182">
        <v>32.01</v>
      </c>
      <c r="ACZ14" s="182">
        <v>32.01</v>
      </c>
      <c r="ADA14" s="182">
        <v>32.01</v>
      </c>
      <c r="ADU14" s="182">
        <v>20</v>
      </c>
      <c r="AEI14" s="182">
        <v>20</v>
      </c>
      <c r="AEJ14" s="182">
        <v>20</v>
      </c>
      <c r="AEK14" s="182">
        <v>20</v>
      </c>
      <c r="AEM14" s="182">
        <v>20</v>
      </c>
      <c r="AEN14" s="182">
        <v>20</v>
      </c>
      <c r="AEO14" s="182">
        <v>20</v>
      </c>
      <c r="AER14" s="182">
        <v>20</v>
      </c>
      <c r="AES14" s="182">
        <v>20</v>
      </c>
      <c r="AET14" s="182">
        <v>20</v>
      </c>
      <c r="AEV14" s="182">
        <v>20</v>
      </c>
      <c r="AEW14" s="182">
        <v>20</v>
      </c>
      <c r="AEX14" s="182">
        <v>20</v>
      </c>
      <c r="AEY14" s="182">
        <v>20</v>
      </c>
      <c r="AEZ14" s="182">
        <v>20</v>
      </c>
      <c r="AFA14" s="182">
        <v>20</v>
      </c>
      <c r="AFB14" s="182">
        <v>20</v>
      </c>
      <c r="AFC14" s="182">
        <v>20</v>
      </c>
      <c r="AFD14" s="182">
        <v>20</v>
      </c>
      <c r="AFE14" s="182">
        <v>20</v>
      </c>
      <c r="AFF14" s="182">
        <v>20</v>
      </c>
      <c r="AFG14" s="182">
        <v>20</v>
      </c>
      <c r="AFH14" s="182">
        <v>20</v>
      </c>
      <c r="AFI14" s="182">
        <v>20</v>
      </c>
      <c r="AFJ14" s="182">
        <v>20</v>
      </c>
      <c r="AFK14" s="182">
        <v>20</v>
      </c>
      <c r="AFL14" s="182">
        <v>20</v>
      </c>
      <c r="AFM14" s="182">
        <v>20</v>
      </c>
      <c r="AFN14" s="182">
        <v>20</v>
      </c>
      <c r="AFO14" s="182">
        <v>20</v>
      </c>
      <c r="AFP14" s="182">
        <v>20</v>
      </c>
      <c r="AFQ14" s="182">
        <v>20</v>
      </c>
      <c r="AFR14" s="182">
        <v>20</v>
      </c>
      <c r="AFS14" s="182">
        <v>20</v>
      </c>
      <c r="AFT14" s="182">
        <v>20</v>
      </c>
      <c r="AFU14" s="182">
        <v>20</v>
      </c>
      <c r="AFV14" s="182">
        <v>20</v>
      </c>
      <c r="AFW14" s="182">
        <v>20</v>
      </c>
      <c r="AFX14" s="182">
        <v>20</v>
      </c>
      <c r="AFY14" s="182">
        <v>20</v>
      </c>
      <c r="AGA14" s="182">
        <v>20</v>
      </c>
      <c r="AGB14" s="182">
        <v>20</v>
      </c>
      <c r="AGW14" s="182">
        <v>20</v>
      </c>
      <c r="AHK14" s="182">
        <v>20</v>
      </c>
      <c r="AHL14" s="182">
        <v>20</v>
      </c>
      <c r="AHM14" s="182">
        <v>20</v>
      </c>
      <c r="AHO14" s="182">
        <v>20</v>
      </c>
      <c r="AHP14" s="182">
        <v>20</v>
      </c>
      <c r="AHQ14" s="182">
        <v>20</v>
      </c>
      <c r="AHT14" s="182">
        <v>20</v>
      </c>
      <c r="AHU14" s="182">
        <v>20</v>
      </c>
      <c r="AHV14" s="182">
        <v>20</v>
      </c>
      <c r="AHX14" s="182">
        <v>20</v>
      </c>
      <c r="AHY14" s="182">
        <v>20</v>
      </c>
      <c r="AHZ14" s="182">
        <v>20</v>
      </c>
      <c r="AIA14" s="182">
        <v>20</v>
      </c>
      <c r="AIB14" s="182">
        <v>20</v>
      </c>
      <c r="AIC14" s="182">
        <v>20</v>
      </c>
      <c r="AID14" s="182">
        <v>20</v>
      </c>
      <c r="AIE14" s="182">
        <v>20</v>
      </c>
      <c r="AIF14" s="182">
        <v>20</v>
      </c>
      <c r="AIG14" s="182">
        <v>20</v>
      </c>
      <c r="AIH14" s="182">
        <v>20</v>
      </c>
      <c r="AII14" s="182">
        <v>20</v>
      </c>
      <c r="AIJ14" s="182">
        <v>20</v>
      </c>
      <c r="AIK14" s="182">
        <v>20</v>
      </c>
      <c r="AIL14" s="182">
        <v>20</v>
      </c>
      <c r="AIM14" s="182">
        <v>20</v>
      </c>
      <c r="AIN14" s="182">
        <v>20</v>
      </c>
      <c r="AIO14" s="182">
        <v>20</v>
      </c>
      <c r="AIP14" s="182">
        <v>20</v>
      </c>
      <c r="AIQ14" s="182">
        <v>20</v>
      </c>
      <c r="AIR14" s="182">
        <v>20</v>
      </c>
      <c r="AIS14" s="182">
        <v>20</v>
      </c>
      <c r="AIT14" s="182">
        <v>20</v>
      </c>
      <c r="AIU14" s="182">
        <v>20</v>
      </c>
      <c r="AIV14" s="182">
        <v>20</v>
      </c>
      <c r="AIW14" s="182">
        <v>20</v>
      </c>
      <c r="AIX14" s="182">
        <v>20</v>
      </c>
      <c r="AIY14" s="182">
        <v>20</v>
      </c>
      <c r="AIZ14" s="182">
        <v>20</v>
      </c>
      <c r="AJA14" s="182">
        <v>20</v>
      </c>
      <c r="AJC14" s="182">
        <v>20</v>
      </c>
      <c r="AJD14" s="182">
        <v>20</v>
      </c>
    </row>
  </sheetData>
  <sheetProtection algorithmName="SHA-512" hashValue="NgasjoRRd7ZBd5yDKDd+0KNxdfuB93O8xwcCqrub8WH7G9KmzD/Qgu1A/JkRgrLlAZRPeT69fw0Bhjh5PqctrQ==" saltValue="Unt7n2csfogF9dcMf0RJJ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
  <sheetViews>
    <sheetView workbookViewId="0"/>
  </sheetViews>
  <sheetFormatPr baseColWidth="10" defaultRowHeight="14.5"/>
  <sheetData>
    <row r="1" spans="1:5">
      <c r="A1" t="s">
        <v>373</v>
      </c>
      <c r="B1" t="s">
        <v>374</v>
      </c>
      <c r="C1" t="s">
        <v>375</v>
      </c>
      <c r="D1" t="s">
        <v>376</v>
      </c>
      <c r="E1" t="s">
        <v>377</v>
      </c>
    </row>
  </sheetData>
  <sheetProtection algorithmName="SHA-512" hashValue="tTN1NW98FC5sgMlHNxZYS2W95ujLJk64ujkzugp1k6A8kxzlxCBZ8Q94NxLaU9DtgM32ptrBIhVgF4oX7VZFuQ==" saltValue="orelG1LUZKGcnEvBWrpcNw=="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728</vt:i4>
      </vt:variant>
    </vt:vector>
  </HeadingPairs>
  <TitlesOfParts>
    <vt:vector size="74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2026-05-20T19:32:43Z</dcterms:modified>
  <cp:category/>
  <cp:contentStatus/>
</cp:coreProperties>
</file>
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D7C7E588-A39E-8349-B41F-F82ABDDE27BE}" xr6:coauthVersionLast="47" xr6:coauthVersionMax="47" xr10:uidLastSave="{00000000-0000-0000-0000-000000000000}"/>
  <bookViews>
    <workbookView xWindow="80" yWindow="780" windowWidth="34040" windowHeight="19900" tabRatio="677" activeTab="2" xr2:uid="{00000000-000D-0000-FFFF-FFFF00000000}"/>
  </bookViews>
  <sheets>
    <sheet name="LOHNTABELLE" sheetId="46" r:id="rId1"/>
    <sheet name="EINSTELLUNG" sheetId="2" r:id="rId2"/>
    <sheet name="Januar" sheetId="3" r:id="rId3"/>
    <sheet name="Settings" sheetId="18" state="veryHidden" r:id="rId4"/>
    <sheet name="Februar" sheetId="25" r:id="rId5"/>
    <sheet name="Marz" sheetId="26" r:id="rId6"/>
    <sheet name="April" sheetId="27" r:id="rId7"/>
    <sheet name="Mai" sheetId="28" r:id="rId8"/>
    <sheet name="Juni" sheetId="37" r:id="rId9"/>
    <sheet name="Juli" sheetId="30" r:id="rId10"/>
    <sheet name="August" sheetId="31" r:id="rId11"/>
    <sheet name="September" sheetId="32" r:id="rId12"/>
    <sheet name="Oktober" sheetId="33" r:id="rId13"/>
    <sheet name="November" sheetId="36" r:id="rId14"/>
    <sheet name="Dezember" sheetId="35" r:id="rId15"/>
    <sheet name="UBERSICHT" sheetId="15" r:id="rId16"/>
    <sheet name="FLUKTUATION_DATEN" sheetId="38" state="veryHidden" r:id="rId17"/>
    <sheet name="FLUKTUATION" sheetId="39" r:id="rId18"/>
    <sheet name="Message" sheetId="22" state="veryHidden" r:id="rId19"/>
    <sheet name="KV_DROPDOWN_HELPER" sheetId="49" state="veryHidden" r:id="rId20"/>
    <sheet name="PID_HOUR_OVERRIDES" sheetId="50" state="veryHidden" r:id="rId21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5" l="1"/>
  <c r="K4" i="35"/>
  <c r="K5" i="35"/>
  <c r="K6" i="35"/>
  <c r="K7" i="35"/>
  <c r="L7" i="35" s="1"/>
  <c r="K8" i="35"/>
  <c r="K9" i="35"/>
  <c r="K10" i="35"/>
  <c r="K11" i="35"/>
  <c r="K12" i="35"/>
  <c r="K13" i="35"/>
  <c r="K14" i="35"/>
  <c r="K15" i="35"/>
  <c r="L15" i="35" s="1"/>
  <c r="K16" i="35"/>
  <c r="K17" i="35"/>
  <c r="K18" i="35"/>
  <c r="K19" i="35"/>
  <c r="K20" i="35"/>
  <c r="K21" i="35"/>
  <c r="K22" i="35"/>
  <c r="K23" i="35"/>
  <c r="L23" i="35" s="1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L74" i="35" s="1"/>
  <c r="K75" i="35"/>
  <c r="K76" i="35"/>
  <c r="K77" i="35"/>
  <c r="K78" i="35"/>
  <c r="K79" i="35"/>
  <c r="K80" i="35"/>
  <c r="K81" i="35"/>
  <c r="K82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3" i="36"/>
  <c r="K4" i="36"/>
  <c r="K5" i="36"/>
  <c r="K6" i="36"/>
  <c r="K7" i="36"/>
  <c r="K8" i="36"/>
  <c r="K9" i="36"/>
  <c r="K10" i="36"/>
  <c r="K11" i="36"/>
  <c r="K12" i="36"/>
  <c r="K13" i="36"/>
  <c r="K14" i="36"/>
  <c r="K15" i="36"/>
  <c r="K16" i="36"/>
  <c r="K17" i="36"/>
  <c r="K18" i="36"/>
  <c r="K19" i="36"/>
  <c r="K20" i="36"/>
  <c r="K21" i="36"/>
  <c r="K22" i="36"/>
  <c r="K23" i="36"/>
  <c r="K24" i="36"/>
  <c r="K25" i="36"/>
  <c r="K26" i="36"/>
  <c r="K27" i="36"/>
  <c r="K28" i="36"/>
  <c r="K29" i="36"/>
  <c r="K30" i="36"/>
  <c r="K31" i="36"/>
  <c r="K32" i="36"/>
  <c r="K33" i="36"/>
  <c r="K34" i="36"/>
  <c r="K35" i="36"/>
  <c r="K36" i="36"/>
  <c r="K37" i="36"/>
  <c r="K38" i="36"/>
  <c r="K39" i="36"/>
  <c r="K40" i="36"/>
  <c r="K41" i="36"/>
  <c r="K42" i="36"/>
  <c r="K43" i="36"/>
  <c r="K44" i="36"/>
  <c r="K45" i="36"/>
  <c r="K46" i="36"/>
  <c r="K47" i="36"/>
  <c r="K48" i="36"/>
  <c r="K49" i="36"/>
  <c r="K50" i="36"/>
  <c r="K51" i="36"/>
  <c r="K52" i="36"/>
  <c r="K53" i="36"/>
  <c r="K54" i="36"/>
  <c r="K55" i="36"/>
  <c r="K56" i="36"/>
  <c r="K57" i="36"/>
  <c r="K58" i="36"/>
  <c r="K59" i="36"/>
  <c r="K60" i="36"/>
  <c r="K61" i="36"/>
  <c r="K62" i="36"/>
  <c r="K63" i="36"/>
  <c r="K64" i="36"/>
  <c r="K65" i="36"/>
  <c r="K66" i="36"/>
  <c r="K67" i="36"/>
  <c r="K68" i="36"/>
  <c r="K69" i="36"/>
  <c r="K70" i="36"/>
  <c r="K71" i="36"/>
  <c r="K72" i="36"/>
  <c r="K73" i="36"/>
  <c r="K74" i="36"/>
  <c r="K75" i="36"/>
  <c r="K76" i="36"/>
  <c r="K77" i="36"/>
  <c r="K78" i="36"/>
  <c r="K79" i="36"/>
  <c r="K80" i="36"/>
  <c r="K81" i="36"/>
  <c r="K8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3" i="33"/>
  <c r="K4" i="33"/>
  <c r="K5" i="33"/>
  <c r="K6" i="33"/>
  <c r="L6" i="33" s="1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3" i="32"/>
  <c r="K4" i="32"/>
  <c r="K5" i="32"/>
  <c r="K6" i="32"/>
  <c r="K7" i="32"/>
  <c r="K8" i="32"/>
  <c r="K9" i="32"/>
  <c r="K10" i="32"/>
  <c r="K11" i="32"/>
  <c r="K12" i="32"/>
  <c r="K13" i="32"/>
  <c r="K14" i="32"/>
  <c r="K15" i="32"/>
  <c r="K16" i="32"/>
  <c r="K17" i="32"/>
  <c r="K18" i="32"/>
  <c r="K19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64" i="32"/>
  <c r="K65" i="32"/>
  <c r="K66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L78" i="32" s="1"/>
  <c r="K79" i="32"/>
  <c r="K80" i="32"/>
  <c r="K81" i="32"/>
  <c r="K82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2" i="31"/>
  <c r="L22" i="31" s="1"/>
  <c r="K23" i="31"/>
  <c r="K24" i="31"/>
  <c r="K25" i="31"/>
  <c r="K26" i="31"/>
  <c r="K27" i="31"/>
  <c r="K28" i="31"/>
  <c r="K29" i="31"/>
  <c r="K30" i="31"/>
  <c r="L30" i="31" s="1"/>
  <c r="K31" i="31"/>
  <c r="K32" i="31"/>
  <c r="K33" i="31"/>
  <c r="K34" i="31"/>
  <c r="K35" i="31"/>
  <c r="K36" i="31"/>
  <c r="K37" i="31"/>
  <c r="K38" i="31"/>
  <c r="L38" i="31" s="1"/>
  <c r="K39" i="31"/>
  <c r="K40" i="31"/>
  <c r="K41" i="31"/>
  <c r="K42" i="31"/>
  <c r="K43" i="31"/>
  <c r="K44" i="31"/>
  <c r="K45" i="31"/>
  <c r="K46" i="31"/>
  <c r="L46" i="31" s="1"/>
  <c r="K47" i="31"/>
  <c r="K48" i="31"/>
  <c r="K49" i="31"/>
  <c r="K50" i="31"/>
  <c r="K51" i="31"/>
  <c r="K52" i="31"/>
  <c r="K53" i="31"/>
  <c r="K54" i="31"/>
  <c r="L54" i="31" s="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K75" i="31"/>
  <c r="K76" i="31"/>
  <c r="K77" i="31"/>
  <c r="K78" i="31"/>
  <c r="K79" i="31"/>
  <c r="K80" i="31"/>
  <c r="K81" i="31"/>
  <c r="K82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L3" i="35"/>
  <c r="L4" i="35"/>
  <c r="L5" i="35"/>
  <c r="L6" i="35"/>
  <c r="L8" i="35"/>
  <c r="L9" i="35"/>
  <c r="L10" i="35"/>
  <c r="L11" i="35"/>
  <c r="L12" i="35"/>
  <c r="L13" i="35"/>
  <c r="L14" i="35"/>
  <c r="L16" i="35"/>
  <c r="L17" i="35"/>
  <c r="L18" i="35"/>
  <c r="L19" i="35"/>
  <c r="L20" i="35"/>
  <c r="L21" i="35"/>
  <c r="L22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5" i="35"/>
  <c r="L76" i="35"/>
  <c r="L77" i="35"/>
  <c r="L78" i="35"/>
  <c r="L79" i="35"/>
  <c r="L80" i="35"/>
  <c r="L81" i="35"/>
  <c r="L82" i="35"/>
  <c r="L3" i="36"/>
  <c r="L4" i="36"/>
  <c r="L5" i="36"/>
  <c r="L6" i="36"/>
  <c r="L7" i="36"/>
  <c r="L8" i="36"/>
  <c r="L9" i="36"/>
  <c r="L10" i="36"/>
  <c r="L11" i="36"/>
  <c r="L12" i="36"/>
  <c r="L13" i="36"/>
  <c r="L14" i="36"/>
  <c r="L15" i="36"/>
  <c r="L16" i="36"/>
  <c r="L17" i="36"/>
  <c r="L18" i="36"/>
  <c r="L19" i="36"/>
  <c r="L20" i="36"/>
  <c r="L21" i="36"/>
  <c r="L22" i="36"/>
  <c r="L23" i="36"/>
  <c r="L24" i="36"/>
  <c r="L25" i="36"/>
  <c r="L26" i="36"/>
  <c r="L27" i="36"/>
  <c r="L28" i="36"/>
  <c r="L29" i="36"/>
  <c r="L30" i="36"/>
  <c r="L31" i="36"/>
  <c r="L32" i="36"/>
  <c r="L33" i="36"/>
  <c r="L34" i="36"/>
  <c r="L35" i="36"/>
  <c r="L36" i="36"/>
  <c r="L37" i="36"/>
  <c r="L38" i="36"/>
  <c r="L39" i="36"/>
  <c r="L40" i="36"/>
  <c r="L41" i="36"/>
  <c r="L42" i="36"/>
  <c r="L43" i="36"/>
  <c r="L44" i="36"/>
  <c r="L45" i="36"/>
  <c r="L46" i="36"/>
  <c r="L47" i="36"/>
  <c r="L48" i="36"/>
  <c r="L49" i="36"/>
  <c r="L50" i="36"/>
  <c r="L51" i="36"/>
  <c r="L52" i="36"/>
  <c r="L53" i="36"/>
  <c r="L54" i="36"/>
  <c r="L55" i="36"/>
  <c r="L56" i="36"/>
  <c r="L57" i="36"/>
  <c r="L58" i="36"/>
  <c r="L59" i="36"/>
  <c r="L60" i="36"/>
  <c r="L61" i="36"/>
  <c r="L62" i="36"/>
  <c r="L63" i="36"/>
  <c r="L64" i="36"/>
  <c r="L65" i="36"/>
  <c r="L66" i="36"/>
  <c r="L67" i="36"/>
  <c r="L68" i="36"/>
  <c r="L69" i="36"/>
  <c r="L70" i="36"/>
  <c r="L71" i="36"/>
  <c r="L72" i="36"/>
  <c r="L73" i="36"/>
  <c r="L74" i="36"/>
  <c r="L75" i="36"/>
  <c r="L76" i="36"/>
  <c r="L77" i="36"/>
  <c r="L78" i="36"/>
  <c r="L79" i="36"/>
  <c r="L80" i="36"/>
  <c r="L81" i="36"/>
  <c r="L82" i="36"/>
  <c r="L3" i="33"/>
  <c r="L4" i="33"/>
  <c r="L5" i="33"/>
  <c r="L7" i="33"/>
  <c r="L8" i="33"/>
  <c r="L9" i="33"/>
  <c r="L10" i="33"/>
  <c r="L11" i="33"/>
  <c r="L12" i="33"/>
  <c r="L13" i="33"/>
  <c r="L14" i="33"/>
  <c r="L15" i="33"/>
  <c r="L16" i="33"/>
  <c r="L17" i="33"/>
  <c r="L18" i="33"/>
  <c r="L19" i="33"/>
  <c r="L20" i="33"/>
  <c r="L21" i="33"/>
  <c r="L22" i="33"/>
  <c r="L23" i="33"/>
  <c r="L24" i="33"/>
  <c r="L25" i="33"/>
  <c r="L26" i="33"/>
  <c r="L27" i="33"/>
  <c r="L28" i="33"/>
  <c r="L29" i="33"/>
  <c r="L30" i="33"/>
  <c r="L31" i="33"/>
  <c r="L32" i="33"/>
  <c r="L33" i="33"/>
  <c r="L34" i="33"/>
  <c r="L35" i="33"/>
  <c r="L36" i="33"/>
  <c r="L37" i="33"/>
  <c r="L38" i="33"/>
  <c r="L39" i="33"/>
  <c r="L40" i="33"/>
  <c r="L41" i="33"/>
  <c r="L42" i="33"/>
  <c r="L43" i="33"/>
  <c r="L44" i="33"/>
  <c r="L45" i="33"/>
  <c r="L46" i="33"/>
  <c r="L47" i="33"/>
  <c r="L48" i="33"/>
  <c r="L49" i="33"/>
  <c r="L50" i="33"/>
  <c r="L51" i="33"/>
  <c r="L52" i="33"/>
  <c r="L53" i="33"/>
  <c r="L54" i="33"/>
  <c r="L55" i="33"/>
  <c r="L56" i="33"/>
  <c r="L57" i="33"/>
  <c r="L58" i="33"/>
  <c r="L59" i="33"/>
  <c r="L60" i="33"/>
  <c r="L61" i="33"/>
  <c r="L62" i="33"/>
  <c r="L63" i="33"/>
  <c r="L64" i="33"/>
  <c r="L65" i="33"/>
  <c r="L66" i="33"/>
  <c r="L67" i="33"/>
  <c r="L68" i="33"/>
  <c r="L69" i="33"/>
  <c r="L70" i="33"/>
  <c r="L71" i="33"/>
  <c r="L72" i="33"/>
  <c r="L73" i="33"/>
  <c r="L74" i="33"/>
  <c r="L75" i="33"/>
  <c r="L76" i="33"/>
  <c r="L77" i="33"/>
  <c r="L78" i="33"/>
  <c r="L79" i="33"/>
  <c r="L80" i="33"/>
  <c r="L81" i="33"/>
  <c r="L82" i="33"/>
  <c r="L3" i="32"/>
  <c r="L4" i="32"/>
  <c r="L5" i="32"/>
  <c r="L6" i="32"/>
  <c r="L7" i="32"/>
  <c r="L8" i="32"/>
  <c r="L9" i="32"/>
  <c r="L10" i="32"/>
  <c r="L11" i="32"/>
  <c r="L12" i="32"/>
  <c r="L13" i="32"/>
  <c r="L14" i="32"/>
  <c r="L15" i="32"/>
  <c r="L16" i="32"/>
  <c r="L17" i="32"/>
  <c r="L18" i="32"/>
  <c r="L19" i="32"/>
  <c r="L20" i="32"/>
  <c r="L21" i="32"/>
  <c r="L22" i="32"/>
  <c r="L23" i="32"/>
  <c r="L24" i="32"/>
  <c r="L25" i="32"/>
  <c r="L26" i="32"/>
  <c r="L27" i="32"/>
  <c r="L28" i="32"/>
  <c r="L29" i="32"/>
  <c r="L30" i="32"/>
  <c r="L31" i="32"/>
  <c r="L32" i="32"/>
  <c r="L33" i="32"/>
  <c r="L34" i="32"/>
  <c r="L35" i="32"/>
  <c r="L36" i="32"/>
  <c r="L37" i="32"/>
  <c r="L38" i="32"/>
  <c r="L39" i="32"/>
  <c r="L40" i="32"/>
  <c r="L41" i="32"/>
  <c r="L42" i="32"/>
  <c r="L43" i="32"/>
  <c r="L44" i="32"/>
  <c r="L45" i="32"/>
  <c r="L46" i="32"/>
  <c r="L47" i="32"/>
  <c r="L48" i="32"/>
  <c r="L49" i="32"/>
  <c r="L50" i="32"/>
  <c r="L51" i="32"/>
  <c r="L52" i="32"/>
  <c r="L53" i="32"/>
  <c r="L54" i="32"/>
  <c r="L55" i="32"/>
  <c r="L56" i="32"/>
  <c r="L57" i="32"/>
  <c r="L58" i="32"/>
  <c r="L59" i="32"/>
  <c r="L60" i="32"/>
  <c r="L61" i="32"/>
  <c r="L62" i="32"/>
  <c r="L63" i="32"/>
  <c r="L64" i="32"/>
  <c r="L65" i="32"/>
  <c r="L66" i="32"/>
  <c r="L67" i="32"/>
  <c r="L68" i="32"/>
  <c r="L69" i="32"/>
  <c r="L70" i="32"/>
  <c r="L71" i="32"/>
  <c r="L72" i="32"/>
  <c r="L73" i="32"/>
  <c r="L74" i="32"/>
  <c r="L75" i="32"/>
  <c r="L76" i="32"/>
  <c r="L77" i="32"/>
  <c r="L79" i="32"/>
  <c r="L80" i="32"/>
  <c r="L81" i="32"/>
  <c r="L82" i="32"/>
  <c r="L10" i="31"/>
  <c r="L19" i="31"/>
  <c r="L20" i="31"/>
  <c r="L21" i="31"/>
  <c r="L23" i="31"/>
  <c r="L24" i="31"/>
  <c r="L25" i="31"/>
  <c r="L27" i="31"/>
  <c r="L31" i="31"/>
  <c r="L33" i="31"/>
  <c r="L34" i="31"/>
  <c r="L42" i="31"/>
  <c r="L51" i="31"/>
  <c r="L52" i="31"/>
  <c r="L53" i="31"/>
  <c r="L55" i="31"/>
  <c r="L56" i="31"/>
  <c r="L57" i="31"/>
  <c r="L62" i="31"/>
  <c r="L63" i="31"/>
  <c r="L65" i="31"/>
  <c r="L66" i="31"/>
  <c r="L74" i="31"/>
  <c r="L3" i="31"/>
  <c r="L4" i="31"/>
  <c r="L5" i="31"/>
  <c r="L6" i="31"/>
  <c r="L7" i="31"/>
  <c r="L8" i="31"/>
  <c r="L9" i="31"/>
  <c r="L11" i="31"/>
  <c r="L12" i="31"/>
  <c r="L13" i="31"/>
  <c r="L14" i="31"/>
  <c r="L15" i="31"/>
  <c r="L16" i="31"/>
  <c r="L17" i="31"/>
  <c r="L18" i="31"/>
  <c r="L26" i="31"/>
  <c r="L28" i="31"/>
  <c r="L29" i="31"/>
  <c r="L32" i="31"/>
  <c r="L35" i="31"/>
  <c r="L36" i="31"/>
  <c r="L37" i="31"/>
  <c r="L39" i="31"/>
  <c r="L40" i="31"/>
  <c r="L41" i="31"/>
  <c r="L43" i="31"/>
  <c r="L44" i="31"/>
  <c r="L45" i="31"/>
  <c r="L47" i="31"/>
  <c r="L48" i="31"/>
  <c r="L49" i="31"/>
  <c r="L50" i="31"/>
  <c r="L58" i="31"/>
  <c r="L59" i="31"/>
  <c r="L60" i="31"/>
  <c r="L61" i="31"/>
  <c r="L64" i="31"/>
  <c r="L67" i="31"/>
  <c r="L68" i="31"/>
  <c r="L69" i="31"/>
  <c r="L70" i="31"/>
  <c r="L71" i="31"/>
  <c r="L72" i="31"/>
  <c r="L73" i="31"/>
  <c r="L75" i="31"/>
  <c r="L76" i="31"/>
  <c r="L77" i="31"/>
  <c r="L78" i="31"/>
  <c r="L79" i="31"/>
  <c r="L80" i="31"/>
  <c r="L81" i="31"/>
  <c r="L82" i="31"/>
  <c r="L3" i="30"/>
  <c r="L4" i="30"/>
  <c r="L5" i="30"/>
  <c r="L6" i="30"/>
  <c r="L7" i="30"/>
  <c r="L8" i="30"/>
  <c r="L9" i="30"/>
  <c r="L11" i="30"/>
  <c r="L12" i="30"/>
  <c r="L14" i="30"/>
  <c r="L15" i="30"/>
  <c r="L17" i="30"/>
  <c r="L18" i="30"/>
  <c r="L26" i="30"/>
  <c r="L35" i="30"/>
  <c r="L36" i="30"/>
  <c r="L37" i="30"/>
  <c r="L38" i="30"/>
  <c r="L39" i="30"/>
  <c r="L40" i="30"/>
  <c r="L41" i="30"/>
  <c r="L43" i="30"/>
  <c r="L46" i="30"/>
  <c r="L47" i="30"/>
  <c r="L49" i="30"/>
  <c r="L50" i="30"/>
  <c r="L58" i="30"/>
  <c r="L67" i="30"/>
  <c r="L68" i="30"/>
  <c r="L69" i="30"/>
  <c r="L70" i="30"/>
  <c r="L71" i="30"/>
  <c r="L72" i="30"/>
  <c r="L73" i="30"/>
  <c r="L78" i="30"/>
  <c r="L79" i="30"/>
  <c r="L81" i="30"/>
  <c r="L82" i="30"/>
  <c r="K3" i="30"/>
  <c r="K4" i="30"/>
  <c r="K5" i="30"/>
  <c r="K6" i="30"/>
  <c r="K7" i="30"/>
  <c r="K8" i="30"/>
  <c r="K9" i="30"/>
  <c r="K10" i="30"/>
  <c r="L10" i="30" s="1"/>
  <c r="K11" i="30"/>
  <c r="K12" i="30"/>
  <c r="K13" i="30"/>
  <c r="L13" i="30" s="1"/>
  <c r="K14" i="30"/>
  <c r="K15" i="30"/>
  <c r="K16" i="30"/>
  <c r="L16" i="30" s="1"/>
  <c r="K17" i="30"/>
  <c r="K18" i="30"/>
  <c r="K19" i="30"/>
  <c r="L19" i="30" s="1"/>
  <c r="K20" i="30"/>
  <c r="L20" i="30" s="1"/>
  <c r="K21" i="30"/>
  <c r="L21" i="30" s="1"/>
  <c r="K22" i="30"/>
  <c r="L22" i="30" s="1"/>
  <c r="K23" i="30"/>
  <c r="L23" i="30" s="1"/>
  <c r="K24" i="30"/>
  <c r="L24" i="30" s="1"/>
  <c r="K25" i="30"/>
  <c r="L25" i="30" s="1"/>
  <c r="K26" i="30"/>
  <c r="K27" i="30"/>
  <c r="L27" i="30" s="1"/>
  <c r="K28" i="30"/>
  <c r="L28" i="30" s="1"/>
  <c r="K29" i="30"/>
  <c r="L29" i="30" s="1"/>
  <c r="K30" i="30"/>
  <c r="L30" i="30" s="1"/>
  <c r="K31" i="30"/>
  <c r="L31" i="30" s="1"/>
  <c r="K32" i="30"/>
  <c r="L32" i="30" s="1"/>
  <c r="K33" i="30"/>
  <c r="L33" i="30" s="1"/>
  <c r="K34" i="30"/>
  <c r="L34" i="30" s="1"/>
  <c r="K35" i="30"/>
  <c r="K36" i="30"/>
  <c r="K37" i="30"/>
  <c r="K38" i="30"/>
  <c r="K39" i="30"/>
  <c r="K40" i="30"/>
  <c r="K41" i="30"/>
  <c r="K42" i="30"/>
  <c r="L42" i="30" s="1"/>
  <c r="K43" i="30"/>
  <c r="K44" i="30"/>
  <c r="L44" i="30" s="1"/>
  <c r="K45" i="30"/>
  <c r="L45" i="30" s="1"/>
  <c r="K46" i="30"/>
  <c r="K47" i="30"/>
  <c r="K48" i="30"/>
  <c r="L48" i="30" s="1"/>
  <c r="K49" i="30"/>
  <c r="K50" i="30"/>
  <c r="K51" i="30"/>
  <c r="L51" i="30" s="1"/>
  <c r="K52" i="30"/>
  <c r="L52" i="30" s="1"/>
  <c r="K53" i="30"/>
  <c r="L53" i="30" s="1"/>
  <c r="K54" i="30"/>
  <c r="L54" i="30" s="1"/>
  <c r="K55" i="30"/>
  <c r="L55" i="30" s="1"/>
  <c r="K56" i="30"/>
  <c r="L56" i="30" s="1"/>
  <c r="K57" i="30"/>
  <c r="L57" i="30" s="1"/>
  <c r="K58" i="30"/>
  <c r="K59" i="30"/>
  <c r="L59" i="30" s="1"/>
  <c r="K60" i="30"/>
  <c r="L60" i="30" s="1"/>
  <c r="K61" i="30"/>
  <c r="L61" i="30" s="1"/>
  <c r="K62" i="30"/>
  <c r="L62" i="30" s="1"/>
  <c r="K63" i="30"/>
  <c r="L63" i="30" s="1"/>
  <c r="K64" i="30"/>
  <c r="L64" i="30" s="1"/>
  <c r="K65" i="30"/>
  <c r="L65" i="30" s="1"/>
  <c r="K66" i="30"/>
  <c r="L66" i="30" s="1"/>
  <c r="K67" i="30"/>
  <c r="K68" i="30"/>
  <c r="K69" i="30"/>
  <c r="K70" i="30"/>
  <c r="K71" i="30"/>
  <c r="K72" i="30"/>
  <c r="K73" i="30"/>
  <c r="K74" i="30"/>
  <c r="L74" i="30" s="1"/>
  <c r="K75" i="30"/>
  <c r="L75" i="30" s="1"/>
  <c r="K76" i="30"/>
  <c r="L76" i="30" s="1"/>
  <c r="K77" i="30"/>
  <c r="L77" i="30" s="1"/>
  <c r="K78" i="30"/>
  <c r="K79" i="30"/>
  <c r="K80" i="30"/>
  <c r="L80" i="30" s="1"/>
  <c r="K81" i="30"/>
  <c r="K82" i="30"/>
  <c r="L10" i="37"/>
  <c r="L13" i="37"/>
  <c r="L19" i="37"/>
  <c r="L20" i="37"/>
  <c r="L21" i="37"/>
  <c r="L22" i="37"/>
  <c r="L23" i="37"/>
  <c r="L24" i="37"/>
  <c r="L25" i="37"/>
  <c r="L27" i="37"/>
  <c r="L28" i="37"/>
  <c r="L30" i="37"/>
  <c r="L31" i="37"/>
  <c r="L33" i="37"/>
  <c r="L34" i="37"/>
  <c r="L42" i="37"/>
  <c r="L45" i="37"/>
  <c r="L51" i="37"/>
  <c r="L52" i="37"/>
  <c r="L53" i="37"/>
  <c r="L54" i="37"/>
  <c r="L55" i="37"/>
  <c r="L56" i="37"/>
  <c r="L57" i="37"/>
  <c r="L60" i="37"/>
  <c r="L62" i="37"/>
  <c r="L63" i="37"/>
  <c r="L65" i="37"/>
  <c r="L66" i="37"/>
  <c r="L77" i="37"/>
  <c r="K3" i="37"/>
  <c r="L3" i="37" s="1"/>
  <c r="K4" i="37"/>
  <c r="L4" i="37" s="1"/>
  <c r="K5" i="37"/>
  <c r="L5" i="37" s="1"/>
  <c r="K6" i="37"/>
  <c r="L6" i="37" s="1"/>
  <c r="K7" i="37"/>
  <c r="L7" i="37" s="1"/>
  <c r="K8" i="37"/>
  <c r="L8" i="37" s="1"/>
  <c r="K9" i="37"/>
  <c r="L9" i="37" s="1"/>
  <c r="K10" i="37"/>
  <c r="K11" i="37"/>
  <c r="L11" i="37" s="1"/>
  <c r="K12" i="37"/>
  <c r="L12" i="37" s="1"/>
  <c r="K13" i="37"/>
  <c r="K14" i="37"/>
  <c r="L14" i="37" s="1"/>
  <c r="K15" i="37"/>
  <c r="L15" i="37" s="1"/>
  <c r="K16" i="37"/>
  <c r="L16" i="37" s="1"/>
  <c r="K17" i="37"/>
  <c r="L17" i="37" s="1"/>
  <c r="K18" i="37"/>
  <c r="L18" i="37" s="1"/>
  <c r="K19" i="37"/>
  <c r="K20" i="37"/>
  <c r="K21" i="37"/>
  <c r="K22" i="37"/>
  <c r="K23" i="37"/>
  <c r="K24" i="37"/>
  <c r="K25" i="37"/>
  <c r="K26" i="37"/>
  <c r="L26" i="37" s="1"/>
  <c r="K27" i="37"/>
  <c r="K28" i="37"/>
  <c r="K29" i="37"/>
  <c r="L29" i="37" s="1"/>
  <c r="K30" i="37"/>
  <c r="K31" i="37"/>
  <c r="K32" i="37"/>
  <c r="L32" i="37" s="1"/>
  <c r="K33" i="37"/>
  <c r="K34" i="37"/>
  <c r="K35" i="37"/>
  <c r="L35" i="37" s="1"/>
  <c r="K36" i="37"/>
  <c r="L36" i="37" s="1"/>
  <c r="K37" i="37"/>
  <c r="L37" i="37" s="1"/>
  <c r="K38" i="37"/>
  <c r="L38" i="37" s="1"/>
  <c r="K39" i="37"/>
  <c r="L39" i="37" s="1"/>
  <c r="K40" i="37"/>
  <c r="L40" i="37" s="1"/>
  <c r="K41" i="37"/>
  <c r="L41" i="37" s="1"/>
  <c r="K42" i="37"/>
  <c r="K43" i="37"/>
  <c r="L43" i="37" s="1"/>
  <c r="K44" i="37"/>
  <c r="L44" i="37" s="1"/>
  <c r="K45" i="37"/>
  <c r="K46" i="37"/>
  <c r="L46" i="37" s="1"/>
  <c r="K47" i="37"/>
  <c r="L47" i="37" s="1"/>
  <c r="K48" i="37"/>
  <c r="L48" i="37" s="1"/>
  <c r="K49" i="37"/>
  <c r="L49" i="37" s="1"/>
  <c r="K50" i="37"/>
  <c r="L50" i="37" s="1"/>
  <c r="K51" i="37"/>
  <c r="K52" i="37"/>
  <c r="K53" i="37"/>
  <c r="K54" i="37"/>
  <c r="K55" i="37"/>
  <c r="K56" i="37"/>
  <c r="K57" i="37"/>
  <c r="K58" i="37"/>
  <c r="L58" i="37" s="1"/>
  <c r="K59" i="37"/>
  <c r="L59" i="37" s="1"/>
  <c r="K60" i="37"/>
  <c r="K61" i="37"/>
  <c r="L61" i="37" s="1"/>
  <c r="K62" i="37"/>
  <c r="K63" i="37"/>
  <c r="K64" i="37"/>
  <c r="L64" i="37" s="1"/>
  <c r="K65" i="37"/>
  <c r="K66" i="37"/>
  <c r="K67" i="37"/>
  <c r="L67" i="37" s="1"/>
  <c r="K68" i="37"/>
  <c r="L68" i="37" s="1"/>
  <c r="K69" i="37"/>
  <c r="L69" i="37" s="1"/>
  <c r="K70" i="37"/>
  <c r="L70" i="37" s="1"/>
  <c r="K71" i="37"/>
  <c r="L71" i="37" s="1"/>
  <c r="K72" i="37"/>
  <c r="L72" i="37" s="1"/>
  <c r="K73" i="37"/>
  <c r="L73" i="37" s="1"/>
  <c r="K74" i="37"/>
  <c r="L74" i="37" s="1"/>
  <c r="K75" i="37"/>
  <c r="L75" i="37" s="1"/>
  <c r="K76" i="37"/>
  <c r="L76" i="37" s="1"/>
  <c r="K77" i="37"/>
  <c r="K78" i="37"/>
  <c r="L78" i="37" s="1"/>
  <c r="K79" i="37"/>
  <c r="L79" i="37" s="1"/>
  <c r="K80" i="37"/>
  <c r="L80" i="37" s="1"/>
  <c r="K81" i="37"/>
  <c r="L81" i="37" s="1"/>
  <c r="K82" i="37"/>
  <c r="L82" i="37" s="1"/>
  <c r="L3" i="28"/>
  <c r="L5" i="28"/>
  <c r="L7" i="28"/>
  <c r="L9" i="28"/>
  <c r="K3" i="28"/>
  <c r="K4" i="28"/>
  <c r="L4" i="28" s="1"/>
  <c r="K5" i="28"/>
  <c r="K6" i="28"/>
  <c r="L6" i="28" s="1"/>
  <c r="K7" i="28"/>
  <c r="K8" i="28"/>
  <c r="L8" i="28" s="1"/>
  <c r="K9" i="28"/>
  <c r="K10" i="28"/>
  <c r="L10" i="28" s="1"/>
  <c r="K11" i="28"/>
  <c r="L11" i="28" s="1"/>
  <c r="K12" i="28"/>
  <c r="L12" i="28" s="1"/>
  <c r="K13" i="28"/>
  <c r="L13" i="28" s="1"/>
  <c r="K14" i="28"/>
  <c r="L14" i="28" s="1"/>
  <c r="K15" i="28"/>
  <c r="L15" i="28" s="1"/>
  <c r="K16" i="28"/>
  <c r="L16" i="28" s="1"/>
  <c r="K17" i="28"/>
  <c r="L17" i="28" s="1"/>
  <c r="K18" i="28"/>
  <c r="L18" i="28" s="1"/>
  <c r="K19" i="28"/>
  <c r="L19" i="28" s="1"/>
  <c r="K20" i="28"/>
  <c r="L20" i="28" s="1"/>
  <c r="K21" i="28"/>
  <c r="L21" i="28" s="1"/>
  <c r="K22" i="28"/>
  <c r="L22" i="28" s="1"/>
  <c r="K23" i="28"/>
  <c r="L23" i="28" s="1"/>
  <c r="K24" i="28"/>
  <c r="L24" i="28" s="1"/>
  <c r="K25" i="28"/>
  <c r="L25" i="28" s="1"/>
  <c r="K26" i="28"/>
  <c r="L26" i="28" s="1"/>
  <c r="K27" i="28"/>
  <c r="L27" i="28" s="1"/>
  <c r="K28" i="28"/>
  <c r="L28" i="28" s="1"/>
  <c r="K29" i="28"/>
  <c r="L29" i="28" s="1"/>
  <c r="K30" i="28"/>
  <c r="L30" i="28" s="1"/>
  <c r="K31" i="28"/>
  <c r="L31" i="28" s="1"/>
  <c r="K32" i="28"/>
  <c r="L32" i="28" s="1"/>
  <c r="K33" i="28"/>
  <c r="L33" i="28" s="1"/>
  <c r="K34" i="28"/>
  <c r="L34" i="28" s="1"/>
  <c r="K35" i="28"/>
  <c r="L35" i="28" s="1"/>
  <c r="K36" i="28"/>
  <c r="L36" i="28" s="1"/>
  <c r="K37" i="28"/>
  <c r="L37" i="28" s="1"/>
  <c r="K38" i="28"/>
  <c r="L38" i="28" s="1"/>
  <c r="K39" i="28"/>
  <c r="L39" i="28" s="1"/>
  <c r="K40" i="28"/>
  <c r="L40" i="28" s="1"/>
  <c r="K41" i="28"/>
  <c r="L41" i="28" s="1"/>
  <c r="K42" i="28"/>
  <c r="L42" i="28" s="1"/>
  <c r="K43" i="28"/>
  <c r="L43" i="28" s="1"/>
  <c r="K44" i="28"/>
  <c r="L44" i="28" s="1"/>
  <c r="K45" i="28"/>
  <c r="L45" i="28" s="1"/>
  <c r="K46" i="28"/>
  <c r="L46" i="28" s="1"/>
  <c r="K47" i="28"/>
  <c r="L47" i="28" s="1"/>
  <c r="K48" i="28"/>
  <c r="L48" i="28" s="1"/>
  <c r="K49" i="28"/>
  <c r="L49" i="28" s="1"/>
  <c r="K50" i="28"/>
  <c r="L50" i="28" s="1"/>
  <c r="K51" i="28"/>
  <c r="L51" i="28" s="1"/>
  <c r="K52" i="28"/>
  <c r="L52" i="28" s="1"/>
  <c r="K53" i="28"/>
  <c r="L53" i="28" s="1"/>
  <c r="K54" i="28"/>
  <c r="L54" i="28" s="1"/>
  <c r="K55" i="28"/>
  <c r="L55" i="28" s="1"/>
  <c r="K56" i="28"/>
  <c r="L56" i="28" s="1"/>
  <c r="K57" i="28"/>
  <c r="L57" i="28" s="1"/>
  <c r="K58" i="28"/>
  <c r="L58" i="28" s="1"/>
  <c r="K59" i="28"/>
  <c r="L59" i="28" s="1"/>
  <c r="K60" i="28"/>
  <c r="L60" i="28" s="1"/>
  <c r="K61" i="28"/>
  <c r="L61" i="28" s="1"/>
  <c r="K62" i="28"/>
  <c r="L62" i="28" s="1"/>
  <c r="K63" i="28"/>
  <c r="L63" i="28" s="1"/>
  <c r="K64" i="28"/>
  <c r="L64" i="28" s="1"/>
  <c r="K65" i="28"/>
  <c r="L65" i="28" s="1"/>
  <c r="K66" i="28"/>
  <c r="L66" i="28" s="1"/>
  <c r="K67" i="28"/>
  <c r="L67" i="28" s="1"/>
  <c r="K68" i="28"/>
  <c r="L68" i="28" s="1"/>
  <c r="K69" i="28"/>
  <c r="L69" i="28" s="1"/>
  <c r="K70" i="28"/>
  <c r="L70" i="28" s="1"/>
  <c r="K71" i="28"/>
  <c r="L71" i="28" s="1"/>
  <c r="K72" i="28"/>
  <c r="L72" i="28" s="1"/>
  <c r="K73" i="28"/>
  <c r="L73" i="28" s="1"/>
  <c r="K74" i="28"/>
  <c r="L74" i="28" s="1"/>
  <c r="K75" i="28"/>
  <c r="L75" i="28" s="1"/>
  <c r="K76" i="28"/>
  <c r="L76" i="28" s="1"/>
  <c r="K77" i="28"/>
  <c r="L77" i="28" s="1"/>
  <c r="K78" i="28"/>
  <c r="L78" i="28" s="1"/>
  <c r="K79" i="28"/>
  <c r="L79" i="28" s="1"/>
  <c r="K80" i="28"/>
  <c r="L80" i="28" s="1"/>
  <c r="K81" i="28"/>
  <c r="L81" i="28" s="1"/>
  <c r="K82" i="28"/>
  <c r="L82" i="28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2" i="27"/>
  <c r="L22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0" i="27"/>
  <c r="L30" i="27" s="1"/>
  <c r="K31" i="27"/>
  <c r="L31" i="27" s="1"/>
  <c r="K32" i="27"/>
  <c r="L32" i="27" s="1"/>
  <c r="K33" i="27"/>
  <c r="L33" i="27" s="1"/>
  <c r="K34" i="27"/>
  <c r="L34" i="27" s="1"/>
  <c r="K35" i="27"/>
  <c r="L35" i="27" s="1"/>
  <c r="K36" i="27"/>
  <c r="L36" i="27" s="1"/>
  <c r="K37" i="27"/>
  <c r="L37" i="27" s="1"/>
  <c r="K38" i="27"/>
  <c r="L38" i="27" s="1"/>
  <c r="K39" i="27"/>
  <c r="L39" i="27" s="1"/>
  <c r="K40" i="27"/>
  <c r="L40" i="27" s="1"/>
  <c r="K41" i="27"/>
  <c r="L41" i="27" s="1"/>
  <c r="K42" i="27"/>
  <c r="L42" i="27" s="1"/>
  <c r="K43" i="27"/>
  <c r="L43" i="27" s="1"/>
  <c r="K44" i="27"/>
  <c r="L44" i="27" s="1"/>
  <c r="K45" i="27"/>
  <c r="L45" i="27" s="1"/>
  <c r="K46" i="27"/>
  <c r="L46" i="27" s="1"/>
  <c r="K47" i="27"/>
  <c r="L47" i="27" s="1"/>
  <c r="K48" i="27"/>
  <c r="L48" i="27" s="1"/>
  <c r="K49" i="27"/>
  <c r="L49" i="27" s="1"/>
  <c r="K50" i="27"/>
  <c r="L50" i="27" s="1"/>
  <c r="K51" i="27"/>
  <c r="L51" i="27" s="1"/>
  <c r="K52" i="27"/>
  <c r="L52" i="27" s="1"/>
  <c r="K53" i="27"/>
  <c r="L53" i="27" s="1"/>
  <c r="K54" i="27"/>
  <c r="L54" i="27" s="1"/>
  <c r="K55" i="27"/>
  <c r="L55" i="27" s="1"/>
  <c r="K56" i="27"/>
  <c r="L56" i="27" s="1"/>
  <c r="K57" i="27"/>
  <c r="L57" i="27" s="1"/>
  <c r="K58" i="27"/>
  <c r="L58" i="27" s="1"/>
  <c r="K59" i="27"/>
  <c r="L59" i="27" s="1"/>
  <c r="K60" i="27"/>
  <c r="L60" i="27" s="1"/>
  <c r="K61" i="27"/>
  <c r="L61" i="27" s="1"/>
  <c r="K62" i="27"/>
  <c r="L62" i="27" s="1"/>
  <c r="K63" i="27"/>
  <c r="L63" i="27" s="1"/>
  <c r="K64" i="27"/>
  <c r="L64" i="27" s="1"/>
  <c r="K65" i="27"/>
  <c r="L65" i="27" s="1"/>
  <c r="K66" i="27"/>
  <c r="L66" i="27" s="1"/>
  <c r="K67" i="27"/>
  <c r="L67" i="27" s="1"/>
  <c r="K68" i="27"/>
  <c r="L68" i="27" s="1"/>
  <c r="K69" i="27"/>
  <c r="L69" i="27" s="1"/>
  <c r="K70" i="27"/>
  <c r="L70" i="27" s="1"/>
  <c r="K71" i="27"/>
  <c r="L71" i="27" s="1"/>
  <c r="K72" i="27"/>
  <c r="L72" i="27" s="1"/>
  <c r="K73" i="27"/>
  <c r="L73" i="27" s="1"/>
  <c r="K74" i="27"/>
  <c r="L74" i="27" s="1"/>
  <c r="K75" i="27"/>
  <c r="L75" i="27" s="1"/>
  <c r="K76" i="27"/>
  <c r="L76" i="27" s="1"/>
  <c r="K77" i="27"/>
  <c r="L77" i="27" s="1"/>
  <c r="K78" i="27"/>
  <c r="L78" i="27" s="1"/>
  <c r="K79" i="27"/>
  <c r="L79" i="27" s="1"/>
  <c r="K80" i="27"/>
  <c r="L80" i="27" s="1"/>
  <c r="K81" i="27"/>
  <c r="L81" i="27" s="1"/>
  <c r="K82" i="27"/>
  <c r="L82" i="27" s="1"/>
  <c r="L3" i="26"/>
  <c r="L77" i="26"/>
  <c r="K3" i="26"/>
  <c r="K4" i="26"/>
  <c r="L4" i="26" s="1"/>
  <c r="K5" i="26"/>
  <c r="L5" i="26" s="1"/>
  <c r="K6" i="26"/>
  <c r="L6" i="26" s="1"/>
  <c r="K7" i="26"/>
  <c r="L7" i="26" s="1"/>
  <c r="K8" i="26"/>
  <c r="L8" i="26" s="1"/>
  <c r="K9" i="26"/>
  <c r="L9" i="26" s="1"/>
  <c r="K10" i="26"/>
  <c r="L10" i="26" s="1"/>
  <c r="K11" i="26"/>
  <c r="L11" i="26" s="1"/>
  <c r="K12" i="26"/>
  <c r="L12" i="26" s="1"/>
  <c r="K13" i="26"/>
  <c r="L13" i="26" s="1"/>
  <c r="K14" i="26"/>
  <c r="L14" i="26" s="1"/>
  <c r="K15" i="26"/>
  <c r="L15" i="26" s="1"/>
  <c r="K16" i="26"/>
  <c r="L16" i="26" s="1"/>
  <c r="K17" i="26"/>
  <c r="L17" i="26" s="1"/>
  <c r="K18" i="26"/>
  <c r="L18" i="26" s="1"/>
  <c r="K19" i="26"/>
  <c r="L19" i="26" s="1"/>
  <c r="K20" i="26"/>
  <c r="L20" i="26" s="1"/>
  <c r="K21" i="26"/>
  <c r="L21" i="26" s="1"/>
  <c r="K22" i="26"/>
  <c r="L22" i="26" s="1"/>
  <c r="K23" i="26"/>
  <c r="L23" i="26" s="1"/>
  <c r="K24" i="26"/>
  <c r="L24" i="26" s="1"/>
  <c r="K25" i="26"/>
  <c r="L25" i="26" s="1"/>
  <c r="K26" i="26"/>
  <c r="L26" i="26" s="1"/>
  <c r="K27" i="26"/>
  <c r="L27" i="26" s="1"/>
  <c r="K28" i="26"/>
  <c r="L28" i="26" s="1"/>
  <c r="K29" i="26"/>
  <c r="L29" i="26" s="1"/>
  <c r="K30" i="26"/>
  <c r="L30" i="26" s="1"/>
  <c r="K31" i="26"/>
  <c r="L31" i="26" s="1"/>
  <c r="K32" i="26"/>
  <c r="L32" i="26" s="1"/>
  <c r="K33" i="26"/>
  <c r="L33" i="26" s="1"/>
  <c r="K34" i="26"/>
  <c r="L34" i="26" s="1"/>
  <c r="K35" i="26"/>
  <c r="L35" i="26" s="1"/>
  <c r="K36" i="26"/>
  <c r="L36" i="26" s="1"/>
  <c r="K37" i="26"/>
  <c r="L37" i="26" s="1"/>
  <c r="K38" i="26"/>
  <c r="L38" i="26" s="1"/>
  <c r="K39" i="26"/>
  <c r="L39" i="26" s="1"/>
  <c r="K40" i="26"/>
  <c r="L40" i="26" s="1"/>
  <c r="K41" i="26"/>
  <c r="L41" i="26" s="1"/>
  <c r="K42" i="26"/>
  <c r="L42" i="26" s="1"/>
  <c r="K43" i="26"/>
  <c r="L43" i="26" s="1"/>
  <c r="K44" i="26"/>
  <c r="L44" i="26" s="1"/>
  <c r="K45" i="26"/>
  <c r="L45" i="26" s="1"/>
  <c r="K46" i="26"/>
  <c r="L46" i="26" s="1"/>
  <c r="K47" i="26"/>
  <c r="L47" i="26" s="1"/>
  <c r="K48" i="26"/>
  <c r="L48" i="26" s="1"/>
  <c r="K49" i="26"/>
  <c r="L49" i="26" s="1"/>
  <c r="K50" i="26"/>
  <c r="L50" i="26" s="1"/>
  <c r="K51" i="26"/>
  <c r="L51" i="26" s="1"/>
  <c r="K52" i="26"/>
  <c r="L52" i="26" s="1"/>
  <c r="K53" i="26"/>
  <c r="L53" i="26" s="1"/>
  <c r="K54" i="26"/>
  <c r="L54" i="26" s="1"/>
  <c r="K55" i="26"/>
  <c r="L55" i="26" s="1"/>
  <c r="K56" i="26"/>
  <c r="L56" i="26" s="1"/>
  <c r="K57" i="26"/>
  <c r="L57" i="26" s="1"/>
  <c r="K58" i="26"/>
  <c r="L58" i="26" s="1"/>
  <c r="K59" i="26"/>
  <c r="L59" i="26" s="1"/>
  <c r="K60" i="26"/>
  <c r="L60" i="26" s="1"/>
  <c r="K61" i="26"/>
  <c r="L61" i="26" s="1"/>
  <c r="K62" i="26"/>
  <c r="L62" i="26" s="1"/>
  <c r="K63" i="26"/>
  <c r="L63" i="26" s="1"/>
  <c r="K64" i="26"/>
  <c r="L64" i="26" s="1"/>
  <c r="K65" i="26"/>
  <c r="L65" i="26" s="1"/>
  <c r="K66" i="26"/>
  <c r="L66" i="26" s="1"/>
  <c r="K67" i="26"/>
  <c r="L67" i="26" s="1"/>
  <c r="K68" i="26"/>
  <c r="L68" i="26" s="1"/>
  <c r="K69" i="26"/>
  <c r="L69" i="26" s="1"/>
  <c r="K70" i="26"/>
  <c r="L70" i="26" s="1"/>
  <c r="K71" i="26"/>
  <c r="L71" i="26" s="1"/>
  <c r="K72" i="26"/>
  <c r="L72" i="26" s="1"/>
  <c r="K73" i="26"/>
  <c r="L73" i="26" s="1"/>
  <c r="K74" i="26"/>
  <c r="L74" i="26" s="1"/>
  <c r="K75" i="26"/>
  <c r="L75" i="26" s="1"/>
  <c r="K76" i="26"/>
  <c r="L76" i="26" s="1"/>
  <c r="K77" i="26"/>
  <c r="K78" i="26"/>
  <c r="L78" i="26" s="1"/>
  <c r="K79" i="26"/>
  <c r="L79" i="26" s="1"/>
  <c r="K80" i="26"/>
  <c r="L80" i="26" s="1"/>
  <c r="K81" i="26"/>
  <c r="L81" i="26" s="1"/>
  <c r="K82" i="26"/>
  <c r="L82" i="26" s="1"/>
  <c r="L7" i="25"/>
  <c r="L22" i="25"/>
  <c r="L38" i="25"/>
  <c r="L39" i="25"/>
  <c r="K3" i="25"/>
  <c r="L3" i="25" s="1"/>
  <c r="K4" i="25"/>
  <c r="L4" i="25" s="1"/>
  <c r="K5" i="25"/>
  <c r="L5" i="25" s="1"/>
  <c r="K6" i="25"/>
  <c r="L6" i="25" s="1"/>
  <c r="K7" i="25"/>
  <c r="K8" i="25"/>
  <c r="L8" i="25" s="1"/>
  <c r="K9" i="25"/>
  <c r="L9" i="25" s="1"/>
  <c r="K10" i="25"/>
  <c r="L10" i="25" s="1"/>
  <c r="K11" i="25"/>
  <c r="L11" i="25" s="1"/>
  <c r="K12" i="25"/>
  <c r="L12" i="25" s="1"/>
  <c r="K13" i="25"/>
  <c r="L13" i="25" s="1"/>
  <c r="K14" i="25"/>
  <c r="L14" i="25" s="1"/>
  <c r="K15" i="25"/>
  <c r="L15" i="25" s="1"/>
  <c r="K16" i="25"/>
  <c r="L16" i="25" s="1"/>
  <c r="K17" i="25"/>
  <c r="L17" i="25" s="1"/>
  <c r="K18" i="25"/>
  <c r="L18" i="25" s="1"/>
  <c r="K19" i="25"/>
  <c r="L19" i="25" s="1"/>
  <c r="K20" i="25"/>
  <c r="L20" i="25" s="1"/>
  <c r="K21" i="25"/>
  <c r="L21" i="25" s="1"/>
  <c r="K22" i="25"/>
  <c r="K23" i="25"/>
  <c r="L23" i="25" s="1"/>
  <c r="K24" i="25"/>
  <c r="L24" i="25" s="1"/>
  <c r="K25" i="25"/>
  <c r="L25" i="25" s="1"/>
  <c r="K26" i="25"/>
  <c r="L26" i="25" s="1"/>
  <c r="K27" i="25"/>
  <c r="L27" i="25" s="1"/>
  <c r="K28" i="25"/>
  <c r="L28" i="25" s="1"/>
  <c r="K29" i="25"/>
  <c r="L29" i="25" s="1"/>
  <c r="K30" i="25"/>
  <c r="L30" i="25" s="1"/>
  <c r="K31" i="25"/>
  <c r="L31" i="25" s="1"/>
  <c r="K32" i="25"/>
  <c r="L32" i="25" s="1"/>
  <c r="K33" i="25"/>
  <c r="L33" i="25" s="1"/>
  <c r="K34" i="25"/>
  <c r="L34" i="25" s="1"/>
  <c r="K35" i="25"/>
  <c r="L35" i="25" s="1"/>
  <c r="K36" i="25"/>
  <c r="L36" i="25" s="1"/>
  <c r="K37" i="25"/>
  <c r="L37" i="25" s="1"/>
  <c r="K38" i="25"/>
  <c r="K39" i="25"/>
  <c r="K40" i="25"/>
  <c r="L40" i="25" s="1"/>
  <c r="K41" i="25"/>
  <c r="L41" i="25" s="1"/>
  <c r="K42" i="25"/>
  <c r="L42" i="25" s="1"/>
  <c r="K43" i="25"/>
  <c r="L43" i="25" s="1"/>
  <c r="K44" i="25"/>
  <c r="L44" i="25" s="1"/>
  <c r="K45" i="25"/>
  <c r="L45" i="25" s="1"/>
  <c r="K46" i="25"/>
  <c r="L46" i="25" s="1"/>
  <c r="K47" i="25"/>
  <c r="L47" i="25" s="1"/>
  <c r="K48" i="25"/>
  <c r="L48" i="25" s="1"/>
  <c r="K49" i="25"/>
  <c r="L49" i="25" s="1"/>
  <c r="K50" i="25"/>
  <c r="L50" i="25" s="1"/>
  <c r="K51" i="25"/>
  <c r="L51" i="25" s="1"/>
  <c r="K52" i="25"/>
  <c r="L52" i="25" s="1"/>
  <c r="K53" i="25"/>
  <c r="L53" i="25" s="1"/>
  <c r="K54" i="25"/>
  <c r="L54" i="25" s="1"/>
  <c r="K55" i="25"/>
  <c r="L55" i="25" s="1"/>
  <c r="K56" i="25"/>
  <c r="L56" i="25" s="1"/>
  <c r="K57" i="25"/>
  <c r="L57" i="25" s="1"/>
  <c r="K58" i="25"/>
  <c r="L58" i="25" s="1"/>
  <c r="K59" i="25"/>
  <c r="L59" i="25" s="1"/>
  <c r="K60" i="25"/>
  <c r="L60" i="25" s="1"/>
  <c r="K61" i="25"/>
  <c r="L61" i="25" s="1"/>
  <c r="K62" i="25"/>
  <c r="L62" i="25" s="1"/>
  <c r="K63" i="25"/>
  <c r="L63" i="25" s="1"/>
  <c r="K64" i="25"/>
  <c r="L64" i="25" s="1"/>
  <c r="K65" i="25"/>
  <c r="L65" i="25" s="1"/>
  <c r="K66" i="25"/>
  <c r="L66" i="25" s="1"/>
  <c r="K67" i="25"/>
  <c r="L67" i="25" s="1"/>
  <c r="K68" i="25"/>
  <c r="L68" i="25" s="1"/>
  <c r="K69" i="25"/>
  <c r="L69" i="25" s="1"/>
  <c r="K70" i="25"/>
  <c r="L70" i="25" s="1"/>
  <c r="K71" i="25"/>
  <c r="L71" i="25" s="1"/>
  <c r="K72" i="25"/>
  <c r="L72" i="25" s="1"/>
  <c r="K73" i="25"/>
  <c r="L73" i="25" s="1"/>
  <c r="K74" i="25"/>
  <c r="L74" i="25" s="1"/>
  <c r="K75" i="25"/>
  <c r="L75" i="25" s="1"/>
  <c r="K76" i="25"/>
  <c r="L76" i="25" s="1"/>
  <c r="K77" i="25"/>
  <c r="L77" i="25" s="1"/>
  <c r="K78" i="25"/>
  <c r="L78" i="25" s="1"/>
  <c r="K79" i="25"/>
  <c r="L79" i="25" s="1"/>
  <c r="K80" i="25"/>
  <c r="L80" i="25" s="1"/>
  <c r="K81" i="25"/>
  <c r="L81" i="25" s="1"/>
  <c r="K82" i="25"/>
  <c r="L82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Q37" i="37" l="1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Q15" i="37" s="1"/>
  <c r="O16" i="37" s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42" i="37" l="1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5" i="27" s="1"/>
  <c r="O16" i="27" s="1"/>
  <c r="Q13" i="30"/>
  <c r="S40" i="30" s="1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Q12" i="28"/>
  <c r="S9" i="28"/>
  <c r="S9" i="25"/>
  <c r="S36" i="26" a="1"/>
  <c r="S36" i="27" a="1"/>
  <c r="S36" i="25" a="1"/>
  <c r="S40" i="27" l="1"/>
  <c r="Q41" i="27"/>
  <c r="S36" i="26"/>
  <c r="G9" i="15" s="1"/>
  <c r="D24" i="2" s="1"/>
  <c r="Q40" i="27"/>
  <c r="S41" i="27"/>
  <c r="S41" i="30"/>
  <c r="Q15" i="30"/>
  <c r="O16" i="30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U40" i="31" l="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E25" i="2" l="1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5" a="1"/>
  <c r="S36" i="32" a="1"/>
  <c r="S36" i="33" a="1"/>
  <c r="S36" i="31" a="1"/>
  <c r="S36" i="28" a="1"/>
  <c r="S36" i="36" a="1"/>
  <c r="S36" i="30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<sst xmlns="http://schemas.openxmlformats.org/spreadsheetml/2006/main" count="3845" uniqueCount="395">
  <si>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</si>
  <si>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</si>
  <si>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</si>
  <si>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</si>
  <si>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</si>
  <si>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</si>
  <si>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</si>
  <si>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</si>
  <si>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</si>
  <si>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</si>
  <si>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</si>
  <si>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</si>
  <si>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</si>
  <si>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</si>
  <si>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</si>
  <si>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</si>
  <si>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</si>
  <si>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</si>
  <si>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</si>
  <si>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</si>
  <si>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</si>
  <si>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</si>
  <si>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</si>
  <si>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</si>
  <si>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</si>
  <si>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</si>
  <si>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</si>
  <si>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</si>
  <si>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</si>
  <si>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</si>
  <si>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</si>
  <si>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</si>
  <si>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</si>
  <si>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</si>
  <si>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</si>
  <si>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</si>
  <si>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</si>
  <si>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</si>
  <si>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</si>
  <si>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</si>
  <si>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</si>
  <si>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</si>
  <si>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</si>
  <si>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</si>
  <si>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</si>
  <si>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</si>
  <si>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</si>
  <si>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</si>
  <si>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</si>
  <si>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</si>
  <si>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</si>
  <si>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</si>
  <si>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</si>
  <si>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</si>
  <si>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</si>
  <si>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</si>
  <si>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</si>
  <si>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</si>
  <si>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</si>
  <si>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</si>
  <si>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</si>
  <si>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</si>
  <si>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</si>
  <si>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</si>
  <si>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</si>
  <si>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</si>
  <si>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</si>
  <si>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</si>
  <si>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</si>
  <si>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</si>
  <si>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</si>
  <si>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</si>
  <si>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</si>
  <si>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</si>
  <si>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</si>
  <si>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</si>
  <si>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</si>
  <si>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</si>
  <si>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</si>
  <si>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</si>
  <si>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</si>
  <si>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</si>
  <si>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</si>
  <si>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</si>
  <si>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</si>
  <si>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</si>
  <si>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</si>
  <si>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</si>
  <si>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</si>
  <si>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</si>
  <si>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</si>
  <si>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</si>
  <si>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</si>
  <si>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</si>
  <si>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</si>
  <si>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</si>
  <si>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</si>
  <si>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</si>
  <si>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</si>
  <si>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</si>
  <si>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</si>
  <si>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</si>
  <si>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</si>
  <si>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</si>
  <si>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</si>
  <si>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</si>
  <si>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</si>
  <si>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</si>
  <si>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</si>
  <si>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</si>
  <si>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</si>
  <si>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</si>
  <si>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</si>
  <si>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</si>
  <si>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</si>
  <si>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</si>
  <si>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</si>
  <si>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</si>
  <si>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</si>
  <si>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</si>
  <si>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</si>
  <si>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</si>
  <si>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</si>
  <si>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</si>
  <si>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</si>
  <si>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</si>
  <si>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</si>
  <si>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</si>
  <si>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</si>
  <si>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</si>
  <si>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</si>
  <si>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</si>
  <si>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</si>
  <si>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</si>
  <si>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</si>
  <si>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</si>
  <si>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</si>
  <si>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</si>
  <si>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</si>
  <si>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</si>
  <si>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</si>
  <si>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</si>
  <si>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</si>
  <si>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</si>
  <si>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</si>
  <si>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</si>
  <si>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</si>
  <si>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</si>
  <si>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</si>
  <si>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</si>
  <si>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</si>
  <si>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</si>
  <si>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</si>
  <si>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</si>
  <si>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</si>
  <si>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</si>
  <si>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</si>
  <si>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</si>
  <si>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</si>
  <si>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</si>
  <si>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</si>
  <si>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</si>
  <si>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</si>
  <si>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</si>
  <si>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</si>
  <si>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</si>
  <si>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</si>
  <si>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</si>
  <si>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</si>
  <si>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</si>
  <si>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</si>
  <si>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</si>
  <si>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</si>
  <si>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</si>
  <si>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</si>
  <si>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</si>
  <si>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</si>
  <si>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</si>
  <si>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</si>
  <si>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</si>
  <si>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</si>
  <si>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</si>
  <si>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</si>
  <si>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</si>
  <si>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</si>
  <si>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</si>
  <si>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</si>
  <si>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</si>
  <si>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</si>
  <si>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</si>
  <si>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</si>
  <si>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</si>
  <si>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</si>
  <si>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</si>
  <si>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</si>
  <si>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</si>
  <si>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</si>
  <si>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</si>
  <si>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</si>
  <si>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</si>
  <si>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</si>
  <si>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</si>
  <si>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</si>
  <si>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</si>
  <si>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</si>
  <si>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</si>
  <si>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</si>
  <si>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</si>
  <si>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</si>
  <si>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</si>
  <si>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</si>
  <si>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</si>
  <si>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</si>
  <si>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</si>
  <si>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</si>
  <si>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</si>
  <si>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</si>
  <si>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</si>
  <si>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</si>
  <si>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</si>
  <si>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</si>
  <si>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</si>
  <si>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</si>
  <si>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</si>
  <si>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</si>
  <si>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</si>
  <si>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</si>
  <si>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</si>
  <si>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</si>
  <si>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</si>
  <si>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</si>
  <si>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</si>
  <si>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</si>
  <si>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</si>
  <si>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</si>
  <si>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</si>
  <si>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</si>
  <si>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</si>
  <si>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</si>
  <si>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</si>
  <si>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</si>
  <si>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</si>
  <si>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</si>
  <si>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</si>
  <si>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</si>
  <si>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</si>
  <si>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</si>
  <si>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</si>
  <si>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</si>
  <si>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</si>
  <si>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</si>
  <si>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</si>
  <si>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</si>
  <si>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</si>
  <si>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</si>
  <si>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</si>
  <si>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</si>
  <si>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</si>
  <si>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</si>
  <si>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</si>
  <si>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</si>
  <si>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</si>
  <si>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</si>
  <si>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</si>
  <si>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</si>
  <si>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</si>
  <si>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</si>
  <si>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</si>
  <si>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</si>
  <si>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</si>
  <si>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</si>
  <si>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</si>
  <si>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</si>
  <si>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</si>
  <si>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</si>
  <si>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</si>
  <si>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</si>
  <si>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</si>
  <si>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</si>
  <si>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</si>
  <si>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</si>
  <si>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</si>
  <si>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</si>
  <si>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</si>
  <si>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</si>
  <si>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</si>
  <si>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</si>
  <si>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</si>
  <si>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</si>
  <si>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</si>
  <si>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</si>
  <si>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</si>
  <si>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</si>
  <si>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</si>
  <si>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</si>
  <si>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</si>
  <si>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</si>
  <si>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</si>
  <si>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</si>
  <si>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</si>
  <si>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</si>
  <si>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</si>
  <si>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</si>
  <si>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</si>
  <si>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</si>
  <si>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</si>
  <si>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</si>
  <si>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</si>
  <si>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</si>
  <si>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</si>
  <si>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</si>
  <si>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</si>
  <si>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</si>
  <si>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</si>
  <si>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</si>
  <si>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</si>
  <si>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</si>
  <si>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</si>
  <si>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</si>
  <si>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</si>
  <si>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</si>
  <si>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</si>
  <si>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</si>
  <si>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</si>
  <si>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</si>
  <si>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</si>
  <si>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</si>
  <si>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</si>
  <si>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</si>
  <si>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</si>
  <si>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</si>
  <si>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</si>
  <si>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</si>
  <si>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</si>
  <si>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</si>
  <si>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</si>
  <si>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</si>
  <si>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</si>
  <si>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</si>
  <si>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</si>
  <si>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</si>
  <si>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</si>
  <si>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</si>
  <si>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</si>
  <si>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</si>
  <si>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</si>
  <si>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</si>
  <si>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</si>
  <si>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</si>
  <si>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</si>
  <si>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</si>
  <si>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</si>
  <si>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</si>
  <si>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</si>
  <si>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</si>
  <si>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</si>
  <si>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</si>
  <si>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</si>
  <si>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</si>
  <si>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</si>
  <si>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</si>
  <si>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</si>
  <si>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</si>
  <si>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</si>
  <si>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</si>
  <si>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</si>
  <si>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</si>
  <si>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</si>
  <si>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</si>
  <si>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</si>
  <si>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</si>
  <si>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</si>
  <si>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</si>
  <si>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</si>
  <si>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</si>
  <si>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</si>
  <si>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</si>
  <si>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</si>
  <si>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</si>
  <si>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</si>
  <si>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</si>
  <si>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</si>
  <si>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</si>
  <si>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</si>
  <si>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</si>
  <si>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</si>
  <si>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</si>
  <si>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</si>
  <si>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</si>
  <si>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</si>
  <si>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</si>
  <si>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</si>
  <si>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</si>
  <si>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</si>
  <si>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22.05.2026</t>
  </si>
  <si>
    <t>Schlussmonat ist entscheidend. Jaenner-Plan = naechstes Kalenderjahr (EINSTELLUNG C35 + 1). Feiertags-Ausgleich wird nicht extra berechnet.</t>
  </si>
  <si>
    <t>Stundenlohn (EUR/h):</t>
  </si>
  <si>
    <t>Jaenner Verfuegbar Plan:</t>
  </si>
  <si>
    <t>Jaenner Muster Plan:</t>
  </si>
  <si>
    <t>Zeitraum</t>
  </si>
  <si>
    <t>Schlussmonat</t>
  </si>
  <si>
    <t>Verfuegbar Summe</t>
  </si>
  <si>
    <t>Muster Summe</t>
  </si>
  <si>
    <t>Differenz</t>
  </si>
  <si>
    <t>Ueberstunden Std</t>
  </si>
  <si>
    <t>Ueberstunden EUR</t>
  </si>
  <si>
    <t>Status</t>
  </si>
  <si>
    <t>Feb-Maer-Apr</t>
  </si>
  <si>
    <t>April</t>
  </si>
  <si>
    <t>Mai-Jun-Jul</t>
  </si>
  <si>
    <t>Juli</t>
  </si>
  <si>
    <t>Aug-Sep-Okt</t>
  </si>
  <si>
    <t>Oktober</t>
  </si>
  <si>
    <t>Nov-Dez-Jaen</t>
  </si>
  <si>
    <t>Jaen (Plan)</t>
  </si>
  <si>
    <t>Ueberstunden EUR = Ueberstunden Std x Stundenlohn x 1,5. Nur bei negativem Schluss (Muster hoeher als Verfuegbar). Positive Differenz = Reserve, kein EUR-Risiko.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</si>
</sst>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5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374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170" fontId="49" fillId="20" borderId="60" xfId="0" applyNumberFormat="1" applyFont="1" applyFill="1" applyBorder="1" applyAlignment="1">
      <alignment horizontal="center" vertical="center"/>
    </xf>
    <xf numFmtId="0" fontId="49" fillId="20" borderId="60" xfId="0" applyFont="1" applyFill="1" applyBorder="1" applyAlignment="1">
      <alignment horizontal="center" vertical="center"/>
    </xf>
    <xf numFmtId="170" fontId="49" fillId="20" borderId="61" xfId="0" applyNumberFormat="1" applyFont="1" applyFill="1" applyBorder="1" applyAlignment="1">
      <alignment horizontal="center" vertical="center"/>
    </xf>
    <xf numFmtId="0" fontId="49" fillId="20" borderId="61" xfId="0" applyFont="1" applyFill="1" applyBorder="1" applyAlignment="1">
      <alignment horizontal="center" vertical="center"/>
    </xf>
    <xf numFmtId="170" fontId="49" fillId="20" borderId="69" xfId="0" applyNumberFormat="1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170" fontId="49" fillId="21" borderId="69" xfId="0" applyNumberFormat="1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170" fontId="49" fillId="21" borderId="61" xfId="0" applyNumberFormat="1" applyFont="1" applyFill="1" applyBorder="1" applyAlignment="1">
      <alignment horizontal="center" vertical="center"/>
    </xf>
    <xf numFmtId="0" fontId="49" fillId="21" borderId="61" xfId="0" applyFont="1" applyFill="1" applyBorder="1" applyAlignment="1">
      <alignment horizontal="center" vertical="center"/>
    </xf>
    <xf numFmtId="170" fontId="49" fillId="22" borderId="69" xfId="0" applyNumberFormat="1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170" fontId="49" fillId="22" borderId="61" xfId="0" applyNumberFormat="1" applyFont="1" applyFill="1" applyBorder="1" applyAlignment="1">
      <alignment horizontal="center" vertical="center"/>
    </xf>
    <xf numFmtId="0" fontId="49" fillId="22" borderId="61" xfId="0" applyFont="1" applyFill="1" applyBorder="1" applyAlignment="1">
      <alignment horizontal="center" vertical="center"/>
    </xf>
    <xf numFmtId="49" fontId="49" fillId="20" borderId="62" xfId="0" applyNumberFormat="1" applyFont="1" applyFill="1" applyBorder="1" applyAlignment="1">
      <alignment horizontal="center" vertical="center"/>
    </xf>
    <xf numFmtId="49" fontId="49" fillId="20" borderId="63" xfId="0" applyNumberFormat="1" applyFont="1" applyFill="1" applyBorder="1" applyAlignment="1">
      <alignment horizontal="center" vertical="center"/>
    </xf>
    <xf numFmtId="49" fontId="49" fillId="20" borderId="70" xfId="0" applyNumberFormat="1" applyFont="1" applyFill="1" applyBorder="1" applyAlignment="1">
      <alignment horizontal="center" vertical="center"/>
    </xf>
    <xf numFmtId="49" fontId="49" fillId="21" borderId="70" xfId="0" applyNumberFormat="1" applyFont="1" applyFill="1" applyBorder="1" applyAlignment="1">
      <alignment horizontal="center" vertical="center"/>
    </xf>
    <xf numFmtId="49" fontId="49" fillId="21" borderId="63" xfId="0" applyNumberFormat="1" applyFont="1" applyFill="1" applyBorder="1" applyAlignment="1">
      <alignment horizontal="center" vertical="center"/>
    </xf>
    <xf numFmtId="49" fontId="49" fillId="22" borderId="70" xfId="0" applyNumberFormat="1" applyFont="1" applyFill="1" applyBorder="1" applyAlignment="1">
      <alignment horizontal="center" vertical="center"/>
    </xf>
    <xf numFmtId="49" fontId="49" fillId="22" borderId="63" xfId="0" applyNumberFormat="1" applyFont="1" applyFill="1" applyBorder="1" applyAlignment="1">
      <alignment horizontal="center" vertical="center"/>
    </xf>
    <xf numFmtId="0" fontId="49" fillId="20" borderId="64" xfId="0" applyFont="1" applyFill="1" applyBorder="1" applyAlignment="1">
      <alignment horizontal="center" vertical="center"/>
    </xf>
    <xf numFmtId="0" fontId="49" fillId="20" borderId="65" xfId="0" applyFont="1" applyFill="1" applyBorder="1" applyAlignment="1">
      <alignment horizontal="center" vertical="center"/>
    </xf>
    <xf numFmtId="0" fontId="49" fillId="20" borderId="71" xfId="0" applyFont="1" applyFill="1" applyBorder="1" applyAlignment="1">
      <alignment horizontal="center" vertical="center"/>
    </xf>
    <xf numFmtId="0" fontId="49" fillId="21" borderId="71" xfId="0" applyFont="1" applyFill="1" applyBorder="1" applyAlignment="1">
      <alignment horizontal="center" vertical="center"/>
    </xf>
    <xf numFmtId="0" fontId="49" fillId="21" borderId="65" xfId="0" applyFont="1" applyFill="1" applyBorder="1" applyAlignment="1">
      <alignment horizontal="center" vertical="center"/>
    </xf>
    <xf numFmtId="0" fontId="49" fillId="22" borderId="71" xfId="0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49" fontId="49" fillId="22" borderId="66" xfId="0" applyNumberFormat="1" applyFont="1" applyFill="1" applyBorder="1" applyAlignment="1">
      <alignment horizontal="center" vertical="center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0" fontId="49" fillId="22" borderId="68" xfId="0" applyFont="1" applyFill="1" applyBorder="1" applyAlignment="1">
      <alignment horizontal="center" vertical="center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8" fillId="0" borderId="0" xfId="0" applyFont="1" applyAlignment="1">
      <alignment horizontal="center" vertical="center"/>
    </xf>
    <xf numFmtId="49" fontId="2" fillId="23" borderId="73" xfId="0" applyNumberFormat="1" applyFont="1" applyFill="1" applyBorder="1" applyAlignment="1">
      <alignment horizontal="center" vertical="center"/>
    </xf>
    <xf numFmtId="170" fontId="2" fillId="23" borderId="72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2" fontId="2" fillId="23" borderId="72" xfId="0" applyNumberFormat="1" applyFont="1" applyFill="1" applyBorder="1" applyAlignment="1">
      <alignment horizontal="center" vertical="center"/>
    </xf>
    <xf numFmtId="166" fontId="2" fillId="23" borderId="72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8" fillId="14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4" fillId="0" borderId="24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66" fontId="4" fillId="0" borderId="17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0" fontId="4" fillId="4" borderId="24" xfId="0" applyFont="1" applyFill="1" applyBorder="1" applyAlignment="1">
      <alignment horizontal="left"/>
    </xf>
    <xf numFmtId="0" fontId="38" fillId="10" borderId="24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38" fillId="10" borderId="1" xfId="0" applyFont="1" applyFill="1" applyBorder="1" applyAlignment="1" applyProtection="1">
      <alignment horizontal="left"/>
      <protection locked="0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2" fillId="24" borderId="76" xfId="0" applyFont="1" applyFill="1" applyBorder="1" applyAlignment="1">
      <alignment horizontal="center" vertical="center"/>
    </xf>
    <xf numFmtId="0" fontId="46" fillId="0" borderId="20" xfId="0" applyFont="1" applyFill="1" applyBorder="1" applyAlignment="1">
      <alignment horizontal="left" vertical="center" wrapText="1"/>
    </xf>
    <xf numFmtId="0" fontId="43" fillId="0" borderId="0" xfId="0" applyFont="1" applyFill="1" applyAlignment="1">
      <alignment vertical="center"/>
    </xf>
    <xf numFmtId="0" fontId="43" fillId="0" borderId="0" xfId="0" applyFont="1" applyFill="1" applyAlignment="1">
      <alignment vertical="center"/>
    </xf>
    <xf numFmtId="0" fontId="53" fillId="0" borderId="0" xfId="0" applyFont="1" applyFill="1" applyAlignment="1">
      <alignment horizontal="center" vertical="center"/>
    </xf>
    <xf numFmtId="0" fontId="4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20" fillId="0" borderId="0" xfId="0" applyFont="1" applyFill="1" applyAlignment="1">
      <alignment horizontal="left" vertical="center"/>
    </xf>
    <xf numFmtId="0" fontId="51" fillId="0" borderId="0" xfId="0" applyFont="1" applyFill="1" applyAlignment="1">
      <alignment vertical="center"/>
    </xf>
    <xf numFmtId="0" fontId="43" fillId="0" borderId="59" xfId="0" applyFont="1" applyFill="1" applyBorder="1" applyAlignment="1">
      <alignment vertical="center"/>
    </xf>
    <xf numFmtId="0" fontId="20" fillId="0" borderId="76" xfId="0" applyFont="1" applyFill="1" applyBorder="1" applyAlignment="1">
      <alignment horizontal="center" vertical="center"/>
    </xf>
    <xf numFmtId="0" fontId="43" fillId="0" borderId="77" xfId="0" applyFont="1" applyFill="1" applyBorder="1" applyAlignment="1">
      <alignment horizontal="center" vertical="center"/>
    </xf>
    <xf numFmtId="0" fontId="43" fillId="0" borderId="78" xfId="0" applyFont="1" applyFill="1" applyBorder="1" applyAlignment="1">
      <alignment horizontal="left" vertical="center" wrapText="1"/>
    </xf>
    <xf numFmtId="0" fontId="43" fillId="0" borderId="75" xfId="0" applyFont="1" applyFill="1" applyBorder="1" applyAlignment="1">
      <alignment horizontal="left" vertical="center" wrapText="1"/>
    </xf>
    <xf numFmtId="0" fontId="43" fillId="0" borderId="79" xfId="0" applyFont="1" applyFill="1" applyBorder="1" applyAlignment="1">
      <alignment horizontal="left" vertical="center" wrapText="1"/>
    </xf>
    <xf numFmtId="0" fontId="43" fillId="0" borderId="80" xfId="0" applyFont="1" applyFill="1" applyBorder="1" applyAlignment="1">
      <alignment horizontal="left" vertical="center" wrapText="1"/>
    </xf>
    <xf numFmtId="0" fontId="43" fillId="0" borderId="56" xfId="0" applyFont="1" applyFill="1" applyBorder="1" applyAlignment="1">
      <alignment horizontal="left" vertical="center" wrapText="1"/>
    </xf>
    <xf numFmtId="0" fontId="43" fillId="0" borderId="32" xfId="0" applyFont="1" applyFill="1" applyBorder="1" applyAlignment="1">
      <alignment horizontal="left" vertical="center" wrapText="1"/>
    </xf>
    <xf numFmtId="0" fontId="20" fillId="0" borderId="59" xfId="0" applyFont="1" applyFill="1" applyBorder="1" applyAlignment="1">
      <alignment vertical="center"/>
    </xf>
    <xf numFmtId="0" fontId="20" fillId="0" borderId="59" xfId="0" applyFont="1" applyFill="1" applyBorder="1" applyAlignment="1">
      <alignment horizontal="center" vertical="center" wrapText="1"/>
    </xf>
    <xf numFmtId="0" fontId="20" fillId="0" borderId="59" xfId="0" applyFont="1" applyFill="1" applyBorder="1" applyAlignment="1">
      <alignment horizontal="center" vertical="center"/>
    </xf>
    <xf numFmtId="10" fontId="20" fillId="0" borderId="59" xfId="0" applyNumberFormat="1" applyFont="1" applyFill="1" applyBorder="1" applyAlignment="1">
      <alignment horizontal="center" vertical="center"/>
    </xf>
    <xf numFmtId="2" fontId="20" fillId="0" borderId="59" xfId="0" applyNumberFormat="1" applyFont="1" applyFill="1" applyBorder="1" applyAlignment="1">
      <alignment horizontal="center" vertical="center"/>
    </xf>
    <xf numFmtId="0" fontId="44" fillId="0" borderId="0" xfId="0" applyFont="1" applyFill="1" applyAlignment="1">
      <alignment vertical="center"/>
    </xf>
    <xf numFmtId="0" fontId="20" fillId="0" borderId="59" xfId="0" applyFont="1" applyFill="1" applyBorder="1" applyAlignment="1">
      <alignment vertical="center"/>
    </xf>
    <xf numFmtId="0" fontId="43" fillId="0" borderId="59" xfId="0" applyFont="1" applyFill="1" applyBorder="1" applyAlignment="1">
      <alignment vertical="center" wrapText="1"/>
    </xf>
    <xf numFmtId="0" fontId="43" fillId="0" borderId="59" xfId="0" applyFont="1" applyFill="1" applyBorder="1" applyAlignment="1">
      <alignment horizontal="left" vertical="center" wrapText="1"/>
    </xf>
    <xf numFmtId="0" fontId="43" fillId="0" borderId="59" xfId="0" applyFont="1" applyFill="1" applyBorder="1" applyAlignment="1">
      <alignment horizontal="left" vertical="center" wrapText="1"/>
    </xf>
    <xf numFmtId="0" fontId="45" fillId="0" borderId="0" xfId="0" applyFont="1" applyFill="1" applyAlignment="1">
      <alignment horizontal="center" vertical="center"/>
    </xf>
    <xf numFmtId="0" fontId="43" fillId="0" borderId="59" xfId="0" applyFont="1" applyFill="1" applyBorder="1" applyAlignment="1">
      <alignment horizontal="center" vertical="center" wrapText="1"/>
    </xf>
    <xf numFmtId="10" fontId="43" fillId="0" borderId="59" xfId="0" applyNumberFormat="1" applyFont="1" applyFill="1" applyBorder="1" applyAlignment="1">
      <alignment horizontal="center" vertical="center" wrapText="1"/>
    </xf>
    <xf numFmtId="2" fontId="43" fillId="0" borderId="59" xfId="0" applyNumberFormat="1" applyFont="1" applyFill="1" applyBorder="1" applyAlignment="1">
      <alignment horizontal="center" vertical="center" wrapText="1"/>
    </xf>
    <xf numFmtId="0" fontId="44" fillId="0" borderId="0" xfId="0" applyFont="1" applyFill="1" applyAlignment="1">
      <alignment vertical="center"/>
    </xf>
    <xf numFmtId="0" fontId="44" fillId="0" borderId="59" xfId="0" applyFont="1" applyFill="1" applyBorder="1" applyAlignment="1">
      <alignment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0"/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E1-1641-9692-587E78A5B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3465472"/>
        <c:axId val="1573456960"/>
      </c:barChart>
      <c:catAx>
        <c:axId val="157346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3456960"/>
        <c:crosses val="autoZero"/>
        <c:auto val="1"/>
        <c:lblAlgn val="ctr"/>
        <c:lblOffset val="100"/>
        <c:noMultiLvlLbl val="0"/>
      </c:catAx>
      <c:valAx>
        <c:axId val="157345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346547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C3-3948-9B79-32FC02B11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E1-CE49-95F7-C5F7928FE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6917632"/>
        <c:axId val="1502286656"/>
      </c:barChart>
      <c:catAx>
        <c:axId val="14969176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02286656"/>
        <c:crosses val="autoZero"/>
        <c:auto val="1"/>
        <c:lblAlgn val="ctr"/>
        <c:lblOffset val="100"/>
        <c:noMultiLvlLbl val="0"/>
      </c:catAx>
      <c:valAx>
        <c:axId val="150228665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9691763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7D38A92C-6CFE-6661-E439-675B12113682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A9F44BA3-8AE8-33E9-A90E-E8075397616B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5197E031-AE39-37C1-6E57-814EED1449D6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6BBD07C8-43DF-4EAF-A4CC-12D9BABFB759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AA7DBEE9-AF4C-9059-15D6-54EBA2E8E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9C36F49-DDB2-90D1-4648-AD34C3A164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97BF5A5-BFF1-5C08-111A-081B625F36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163"/>
  <sheetViews>
    <sheetView showGridLines="0" zoomScale="120" zoomScaleNormal="120" workbookViewId="0">
      <pane ySplit="3" topLeftCell="A4" activePane="bottomLeft" state="frozen"/>
      <selection pane="bottomLeft" activeCell="L5" sqref="L5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184" t="s">
        <v>292</v>
      </c>
      <c r="B1" s="184"/>
      <c r="C1" s="184"/>
      <c r="D1" s="184"/>
      <c r="E1" s="184"/>
      <c r="F1" s="184"/>
      <c r="G1" s="184"/>
      <c r="H1" s="184"/>
      <c r="I1" s="184"/>
      <c r="J1" s="184"/>
    </row>
    <row r="2" spans="1:10" ht="74" customHeight="1">
      <c r="A2" s="191" t="s">
        <v>352</v>
      </c>
      <c r="B2" s="191"/>
      <c r="C2" s="191"/>
      <c r="D2" s="191"/>
      <c r="E2" s="191"/>
      <c r="F2" s="191"/>
      <c r="G2" s="191"/>
      <c r="H2" s="191"/>
      <c r="I2" s="341"/>
      <c r="J2" s="341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185" t="s">
        <v>346</v>
      </c>
      <c r="B4" s="186"/>
      <c r="C4" s="186"/>
      <c r="D4" s="187"/>
      <c r="E4" s="187"/>
      <c r="F4" s="187"/>
      <c r="G4" s="188"/>
      <c r="H4" s="189"/>
      <c r="I4" s="187"/>
      <c r="J4" s="190"/>
    </row>
    <row r="5" spans="1:10" ht="24" customHeight="1">
      <c r="A5" s="160" t="s">
        <v>305</v>
      </c>
      <c r="B5" s="146">
        <v>45778</v>
      </c>
      <c r="C5" s="146">
        <v>46142</v>
      </c>
      <c r="D5" s="147" t="s">
        <v>302</v>
      </c>
      <c r="E5" s="147" t="s">
        <v>2</v>
      </c>
      <c r="F5" s="147" t="s">
        <v>293</v>
      </c>
      <c r="G5" s="130">
        <v>173</v>
      </c>
      <c r="H5" s="131">
        <v>2021</v>
      </c>
      <c r="I5" s="14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67" t="str">
        <f t="shared" ref="J5:J36" si="1">IF($G5="","",IF(COUNTIFS($A:$A,$A5,$D:$D,$D5,$G:$G,$G5)&gt;1,"Doppelte Monatsstunden",""))</f>
        <v/>
      </c>
    </row>
    <row r="6" spans="1:10" ht="24" customHeight="1">
      <c r="A6" s="161" t="s">
        <v>305</v>
      </c>
      <c r="B6" s="148">
        <v>45778</v>
      </c>
      <c r="C6" s="148">
        <v>46142</v>
      </c>
      <c r="D6" s="149" t="s">
        <v>302</v>
      </c>
      <c r="E6" s="149" t="s">
        <v>2</v>
      </c>
      <c r="F6" s="149" t="s">
        <v>293</v>
      </c>
      <c r="G6" s="132">
        <v>151.38</v>
      </c>
      <c r="H6" s="133">
        <v>1768.38</v>
      </c>
      <c r="I6" s="149" t="str">
        <f t="shared" si="0"/>
        <v>OK</v>
      </c>
      <c r="J6" s="168" t="str">
        <f t="shared" si="1"/>
        <v/>
      </c>
    </row>
    <row r="7" spans="1:10" ht="24" customHeight="1">
      <c r="A7" s="161" t="s">
        <v>305</v>
      </c>
      <c r="B7" s="148">
        <v>45778</v>
      </c>
      <c r="C7" s="148">
        <v>46142</v>
      </c>
      <c r="D7" s="149" t="s">
        <v>302</v>
      </c>
      <c r="E7" s="149" t="s">
        <v>2</v>
      </c>
      <c r="F7" s="149" t="s">
        <v>293</v>
      </c>
      <c r="G7" s="132">
        <v>138.4</v>
      </c>
      <c r="H7" s="133">
        <v>1616.8</v>
      </c>
      <c r="I7" s="149" t="str">
        <f t="shared" si="0"/>
        <v>OK</v>
      </c>
      <c r="J7" s="168" t="str">
        <f t="shared" si="1"/>
        <v/>
      </c>
    </row>
    <row r="8" spans="1:10" ht="24" customHeight="1">
      <c r="A8" s="161" t="s">
        <v>305</v>
      </c>
      <c r="B8" s="148">
        <v>45778</v>
      </c>
      <c r="C8" s="148">
        <v>46142</v>
      </c>
      <c r="D8" s="149" t="s">
        <v>302</v>
      </c>
      <c r="E8" s="149" t="s">
        <v>2</v>
      </c>
      <c r="F8" s="149" t="s">
        <v>293</v>
      </c>
      <c r="G8" s="132">
        <v>129.75</v>
      </c>
      <c r="H8" s="133">
        <v>1515.75</v>
      </c>
      <c r="I8" s="149" t="str">
        <f t="shared" si="0"/>
        <v>OK</v>
      </c>
      <c r="J8" s="168" t="str">
        <f t="shared" si="1"/>
        <v/>
      </c>
    </row>
    <row r="9" spans="1:10" ht="24" customHeight="1">
      <c r="A9" s="161" t="s">
        <v>305</v>
      </c>
      <c r="B9" s="148">
        <v>45778</v>
      </c>
      <c r="C9" s="148">
        <v>46142</v>
      </c>
      <c r="D9" s="149" t="s">
        <v>302</v>
      </c>
      <c r="E9" s="149" t="s">
        <v>2</v>
      </c>
      <c r="F9" s="149" t="s">
        <v>293</v>
      </c>
      <c r="G9" s="132">
        <v>108.13</v>
      </c>
      <c r="H9" s="133">
        <v>1263.1300000000001</v>
      </c>
      <c r="I9" s="149" t="str">
        <f t="shared" si="0"/>
        <v>OK</v>
      </c>
      <c r="J9" s="168" t="str">
        <f t="shared" si="1"/>
        <v/>
      </c>
    </row>
    <row r="10" spans="1:10" ht="24" customHeight="1">
      <c r="A10" s="161" t="s">
        <v>305</v>
      </c>
      <c r="B10" s="148">
        <v>45778</v>
      </c>
      <c r="C10" s="148">
        <v>46142</v>
      </c>
      <c r="D10" s="149" t="s">
        <v>302</v>
      </c>
      <c r="E10" s="149" t="s">
        <v>2</v>
      </c>
      <c r="F10" s="149" t="s">
        <v>293</v>
      </c>
      <c r="G10" s="132">
        <v>103.8</v>
      </c>
      <c r="H10" s="133">
        <v>1212.5999999999999</v>
      </c>
      <c r="I10" s="149" t="str">
        <f t="shared" si="0"/>
        <v>OK</v>
      </c>
      <c r="J10" s="168" t="str">
        <f t="shared" si="1"/>
        <v/>
      </c>
    </row>
    <row r="11" spans="1:10" ht="24" customHeight="1">
      <c r="A11" s="161" t="s">
        <v>305</v>
      </c>
      <c r="B11" s="148">
        <v>45778</v>
      </c>
      <c r="C11" s="148">
        <v>46142</v>
      </c>
      <c r="D11" s="149" t="s">
        <v>302</v>
      </c>
      <c r="E11" s="149" t="s">
        <v>2</v>
      </c>
      <c r="F11" s="149" t="s">
        <v>293</v>
      </c>
      <c r="G11" s="132">
        <v>86.5</v>
      </c>
      <c r="H11" s="133">
        <v>1010.5</v>
      </c>
      <c r="I11" s="149" t="str">
        <f t="shared" si="0"/>
        <v>OK</v>
      </c>
      <c r="J11" s="168" t="str">
        <f t="shared" si="1"/>
        <v/>
      </c>
    </row>
    <row r="12" spans="1:10" ht="24" customHeight="1">
      <c r="A12" s="161" t="s">
        <v>305</v>
      </c>
      <c r="B12" s="148">
        <v>45778</v>
      </c>
      <c r="C12" s="148">
        <v>46142</v>
      </c>
      <c r="D12" s="149" t="s">
        <v>302</v>
      </c>
      <c r="E12" s="149" t="s">
        <v>2</v>
      </c>
      <c r="F12" s="149" t="s">
        <v>293</v>
      </c>
      <c r="G12" s="132">
        <v>69.2</v>
      </c>
      <c r="H12" s="133">
        <v>808.4</v>
      </c>
      <c r="I12" s="149" t="str">
        <f t="shared" si="0"/>
        <v>OK</v>
      </c>
      <c r="J12" s="168" t="str">
        <f t="shared" si="1"/>
        <v/>
      </c>
    </row>
    <row r="13" spans="1:10" ht="24" customHeight="1">
      <c r="A13" s="161" t="s">
        <v>305</v>
      </c>
      <c r="B13" s="148">
        <v>45778</v>
      </c>
      <c r="C13" s="148">
        <v>46142</v>
      </c>
      <c r="D13" s="149" t="s">
        <v>302</v>
      </c>
      <c r="E13" s="149" t="s">
        <v>2</v>
      </c>
      <c r="F13" s="149" t="s">
        <v>293</v>
      </c>
      <c r="G13" s="132">
        <v>64</v>
      </c>
      <c r="H13" s="133">
        <v>1000</v>
      </c>
      <c r="I13" s="149" t="str">
        <f t="shared" si="0"/>
        <v>OK</v>
      </c>
      <c r="J13" s="168" t="str">
        <f t="shared" si="1"/>
        <v/>
      </c>
    </row>
    <row r="14" spans="1:10" ht="24" customHeight="1">
      <c r="A14" s="161" t="s">
        <v>305</v>
      </c>
      <c r="B14" s="148">
        <v>45778</v>
      </c>
      <c r="C14" s="148">
        <v>46142</v>
      </c>
      <c r="D14" s="149" t="s">
        <v>302</v>
      </c>
      <c r="E14" s="149" t="s">
        <v>2</v>
      </c>
      <c r="F14" s="149" t="s">
        <v>293</v>
      </c>
      <c r="G14" s="132">
        <v>51.9</v>
      </c>
      <c r="H14" s="133">
        <v>606.29999999999995</v>
      </c>
      <c r="I14" s="149" t="str">
        <f t="shared" si="0"/>
        <v>OK</v>
      </c>
      <c r="J14" s="168" t="str">
        <f t="shared" si="1"/>
        <v/>
      </c>
    </row>
    <row r="15" spans="1:10" ht="24" customHeight="1">
      <c r="A15" s="161" t="s">
        <v>305</v>
      </c>
      <c r="B15" s="148">
        <v>45778</v>
      </c>
      <c r="C15" s="148">
        <v>46142</v>
      </c>
      <c r="D15" s="149" t="s">
        <v>302</v>
      </c>
      <c r="E15" s="149" t="s">
        <v>2</v>
      </c>
      <c r="F15" s="149" t="s">
        <v>293</v>
      </c>
      <c r="G15" s="132">
        <v>47.58</v>
      </c>
      <c r="H15" s="133">
        <v>555.78</v>
      </c>
      <c r="I15" s="149" t="str">
        <f t="shared" si="0"/>
        <v>OK</v>
      </c>
      <c r="J15" s="168" t="str">
        <f t="shared" si="1"/>
        <v/>
      </c>
    </row>
    <row r="16" spans="1:10" ht="24" customHeight="1">
      <c r="A16" s="161" t="s">
        <v>305</v>
      </c>
      <c r="B16" s="148">
        <v>45778</v>
      </c>
      <c r="C16" s="148">
        <v>46142</v>
      </c>
      <c r="D16" s="149" t="s">
        <v>302</v>
      </c>
      <c r="E16" s="149" t="s">
        <v>2</v>
      </c>
      <c r="F16" s="149" t="s">
        <v>293</v>
      </c>
      <c r="G16" s="132">
        <v>43.25</v>
      </c>
      <c r="H16" s="133">
        <v>505.25</v>
      </c>
      <c r="I16" s="149" t="str">
        <f t="shared" si="0"/>
        <v>OK</v>
      </c>
      <c r="J16" s="168" t="str">
        <f t="shared" si="1"/>
        <v/>
      </c>
    </row>
    <row r="17" spans="1:10" ht="24" customHeight="1">
      <c r="A17" s="161" t="s">
        <v>305</v>
      </c>
      <c r="B17" s="148">
        <v>45778</v>
      </c>
      <c r="C17" s="148">
        <v>46142</v>
      </c>
      <c r="D17" s="149" t="s">
        <v>302</v>
      </c>
      <c r="E17" s="149" t="s">
        <v>2</v>
      </c>
      <c r="F17" s="149" t="s">
        <v>293</v>
      </c>
      <c r="G17" s="132">
        <v>34.6</v>
      </c>
      <c r="H17" s="133">
        <v>404.2</v>
      </c>
      <c r="I17" s="149" t="str">
        <f t="shared" si="0"/>
        <v>OK</v>
      </c>
      <c r="J17" s="168" t="str">
        <f t="shared" si="1"/>
        <v/>
      </c>
    </row>
    <row r="18" spans="1:10" ht="24" customHeight="1">
      <c r="A18" s="161" t="s">
        <v>305</v>
      </c>
      <c r="B18" s="148">
        <v>45778</v>
      </c>
      <c r="C18" s="148">
        <v>46142</v>
      </c>
      <c r="D18" s="149" t="s">
        <v>302</v>
      </c>
      <c r="E18" s="149" t="s">
        <v>2</v>
      </c>
      <c r="F18" s="149" t="s">
        <v>293</v>
      </c>
      <c r="G18" s="132">
        <v>32.01</v>
      </c>
      <c r="H18" s="133">
        <v>373.89</v>
      </c>
      <c r="I18" s="149" t="str">
        <f t="shared" si="0"/>
        <v>OK</v>
      </c>
      <c r="J18" s="168" t="str">
        <f t="shared" si="1"/>
        <v/>
      </c>
    </row>
    <row r="19" spans="1:10" ht="24" customHeight="1" thickBot="1">
      <c r="A19" s="161" t="s">
        <v>305</v>
      </c>
      <c r="B19" s="148">
        <v>45778</v>
      </c>
      <c r="C19" s="148">
        <v>46142</v>
      </c>
      <c r="D19" s="149" t="s">
        <v>302</v>
      </c>
      <c r="E19" s="149" t="s">
        <v>2</v>
      </c>
      <c r="F19" s="149" t="s">
        <v>293</v>
      </c>
      <c r="G19" s="132">
        <v>10</v>
      </c>
      <c r="H19" s="133">
        <v>60</v>
      </c>
      <c r="I19" s="149" t="str">
        <f t="shared" si="0"/>
        <v>OK</v>
      </c>
      <c r="J19" s="168" t="str">
        <f t="shared" si="1"/>
        <v/>
      </c>
    </row>
    <row r="20" spans="1:10" ht="24" customHeight="1">
      <c r="A20" s="162" t="s">
        <v>305</v>
      </c>
      <c r="B20" s="150">
        <v>45778</v>
      </c>
      <c r="C20" s="150">
        <v>46142</v>
      </c>
      <c r="D20" s="151" t="s">
        <v>3</v>
      </c>
      <c r="E20" s="151" t="s">
        <v>2</v>
      </c>
      <c r="F20" s="151" t="s">
        <v>294</v>
      </c>
      <c r="G20" s="134">
        <v>173</v>
      </c>
      <c r="H20" s="135">
        <v>2082</v>
      </c>
      <c r="I20" s="151" t="str">
        <f t="shared" si="0"/>
        <v>OK</v>
      </c>
      <c r="J20" s="169" t="str">
        <f t="shared" si="1"/>
        <v/>
      </c>
    </row>
    <row r="21" spans="1:10" ht="24" customHeight="1">
      <c r="A21" s="161" t="s">
        <v>305</v>
      </c>
      <c r="B21" s="148">
        <v>45778</v>
      </c>
      <c r="C21" s="148">
        <v>46142</v>
      </c>
      <c r="D21" s="149" t="s">
        <v>3</v>
      </c>
      <c r="E21" s="149" t="s">
        <v>2</v>
      </c>
      <c r="F21" s="149" t="s">
        <v>294</v>
      </c>
      <c r="G21" s="132">
        <v>151.38</v>
      </c>
      <c r="H21" s="133">
        <v>1821.75</v>
      </c>
      <c r="I21" s="149" t="str">
        <f t="shared" si="0"/>
        <v>OK</v>
      </c>
      <c r="J21" s="168" t="str">
        <f t="shared" si="1"/>
        <v/>
      </c>
    </row>
    <row r="22" spans="1:10" ht="24" customHeight="1">
      <c r="A22" s="161" t="s">
        <v>305</v>
      </c>
      <c r="B22" s="148">
        <v>45778</v>
      </c>
      <c r="C22" s="148">
        <v>46142</v>
      </c>
      <c r="D22" s="149" t="s">
        <v>3</v>
      </c>
      <c r="E22" s="149" t="s">
        <v>2</v>
      </c>
      <c r="F22" s="149" t="s">
        <v>294</v>
      </c>
      <c r="G22" s="132">
        <v>138.4</v>
      </c>
      <c r="H22" s="133">
        <v>1665.6</v>
      </c>
      <c r="I22" s="149" t="str">
        <f t="shared" si="0"/>
        <v>OK</v>
      </c>
      <c r="J22" s="168" t="str">
        <f t="shared" si="1"/>
        <v/>
      </c>
    </row>
    <row r="23" spans="1:10" ht="24" customHeight="1">
      <c r="A23" s="161" t="s">
        <v>305</v>
      </c>
      <c r="B23" s="148">
        <v>45778</v>
      </c>
      <c r="C23" s="148">
        <v>46142</v>
      </c>
      <c r="D23" s="149" t="s">
        <v>3</v>
      </c>
      <c r="E23" s="149" t="s">
        <v>2</v>
      </c>
      <c r="F23" s="149" t="s">
        <v>294</v>
      </c>
      <c r="G23" s="132">
        <v>129.75</v>
      </c>
      <c r="H23" s="133">
        <v>1561.5</v>
      </c>
      <c r="I23" s="149" t="str">
        <f t="shared" si="0"/>
        <v>OK</v>
      </c>
      <c r="J23" s="168" t="str">
        <f t="shared" si="1"/>
        <v/>
      </c>
    </row>
    <row r="24" spans="1:10" ht="24" customHeight="1">
      <c r="A24" s="161" t="s">
        <v>305</v>
      </c>
      <c r="B24" s="148">
        <v>45778</v>
      </c>
      <c r="C24" s="148">
        <v>46142</v>
      </c>
      <c r="D24" s="149" t="s">
        <v>3</v>
      </c>
      <c r="E24" s="149" t="s">
        <v>2</v>
      </c>
      <c r="F24" s="149" t="s">
        <v>294</v>
      </c>
      <c r="G24" s="132">
        <v>108.13</v>
      </c>
      <c r="H24" s="133">
        <v>1301.25</v>
      </c>
      <c r="I24" s="149" t="str">
        <f t="shared" si="0"/>
        <v>OK</v>
      </c>
      <c r="J24" s="168" t="str">
        <f t="shared" si="1"/>
        <v/>
      </c>
    </row>
    <row r="25" spans="1:10" ht="24" customHeight="1">
      <c r="A25" s="161" t="s">
        <v>305</v>
      </c>
      <c r="B25" s="148">
        <v>45778</v>
      </c>
      <c r="C25" s="148">
        <v>46142</v>
      </c>
      <c r="D25" s="149" t="s">
        <v>3</v>
      </c>
      <c r="E25" s="149" t="s">
        <v>2</v>
      </c>
      <c r="F25" s="149" t="s">
        <v>294</v>
      </c>
      <c r="G25" s="132">
        <v>103.8</v>
      </c>
      <c r="H25" s="133">
        <v>1249.2</v>
      </c>
      <c r="I25" s="149" t="str">
        <f t="shared" si="0"/>
        <v>OK</v>
      </c>
      <c r="J25" s="168" t="str">
        <f t="shared" si="1"/>
        <v/>
      </c>
    </row>
    <row r="26" spans="1:10" ht="24" customHeight="1">
      <c r="A26" s="161" t="s">
        <v>305</v>
      </c>
      <c r="B26" s="148">
        <v>45778</v>
      </c>
      <c r="C26" s="148">
        <v>46142</v>
      </c>
      <c r="D26" s="149" t="s">
        <v>3</v>
      </c>
      <c r="E26" s="149" t="s">
        <v>2</v>
      </c>
      <c r="F26" s="149" t="s">
        <v>294</v>
      </c>
      <c r="G26" s="132">
        <v>100</v>
      </c>
      <c r="H26" s="133">
        <v>2000</v>
      </c>
      <c r="I26" s="149" t="str">
        <f t="shared" si="0"/>
        <v>OK</v>
      </c>
      <c r="J26" s="168" t="str">
        <f t="shared" si="1"/>
        <v/>
      </c>
    </row>
    <row r="27" spans="1:10" ht="24" customHeight="1">
      <c r="A27" s="161" t="s">
        <v>305</v>
      </c>
      <c r="B27" s="148">
        <v>45778</v>
      </c>
      <c r="C27" s="148">
        <v>46142</v>
      </c>
      <c r="D27" s="149" t="s">
        <v>3</v>
      </c>
      <c r="E27" s="149" t="s">
        <v>2</v>
      </c>
      <c r="F27" s="149" t="s">
        <v>294</v>
      </c>
      <c r="G27" s="132">
        <v>86.5</v>
      </c>
      <c r="H27" s="133">
        <v>1041.2</v>
      </c>
      <c r="I27" s="149" t="str">
        <f t="shared" si="0"/>
        <v>OK</v>
      </c>
      <c r="J27" s="168" t="str">
        <f t="shared" si="1"/>
        <v/>
      </c>
    </row>
    <row r="28" spans="1:10" ht="24" customHeight="1">
      <c r="A28" s="161" t="s">
        <v>305</v>
      </c>
      <c r="B28" s="148">
        <v>45778</v>
      </c>
      <c r="C28" s="148">
        <v>46142</v>
      </c>
      <c r="D28" s="149" t="s">
        <v>3</v>
      </c>
      <c r="E28" s="149" t="s">
        <v>2</v>
      </c>
      <c r="F28" s="149" t="s">
        <v>294</v>
      </c>
      <c r="G28" s="132">
        <v>69.2</v>
      </c>
      <c r="H28" s="133">
        <v>832.8</v>
      </c>
      <c r="I28" s="149" t="str">
        <f t="shared" si="0"/>
        <v>OK</v>
      </c>
      <c r="J28" s="168" t="str">
        <f t="shared" si="1"/>
        <v/>
      </c>
    </row>
    <row r="29" spans="1:10" ht="24" customHeight="1">
      <c r="A29" s="161" t="s">
        <v>305</v>
      </c>
      <c r="B29" s="148">
        <v>45778</v>
      </c>
      <c r="C29" s="148">
        <v>46142</v>
      </c>
      <c r="D29" s="149" t="s">
        <v>3</v>
      </c>
      <c r="E29" s="149" t="s">
        <v>2</v>
      </c>
      <c r="F29" s="149" t="s">
        <v>294</v>
      </c>
      <c r="G29" s="132">
        <v>51.9</v>
      </c>
      <c r="H29" s="133">
        <v>624.6</v>
      </c>
      <c r="I29" s="149" t="str">
        <f t="shared" si="0"/>
        <v>OK</v>
      </c>
      <c r="J29" s="168" t="str">
        <f t="shared" si="1"/>
        <v/>
      </c>
    </row>
    <row r="30" spans="1:10" ht="24" customHeight="1">
      <c r="A30" s="161" t="s">
        <v>305</v>
      </c>
      <c r="B30" s="148">
        <v>45778</v>
      </c>
      <c r="C30" s="148">
        <v>46142</v>
      </c>
      <c r="D30" s="149" t="s">
        <v>3</v>
      </c>
      <c r="E30" s="149" t="s">
        <v>2</v>
      </c>
      <c r="F30" s="149" t="s">
        <v>294</v>
      </c>
      <c r="G30" s="132">
        <v>47.58</v>
      </c>
      <c r="H30" s="133">
        <v>575.54999999999995</v>
      </c>
      <c r="I30" s="149" t="str">
        <f t="shared" si="0"/>
        <v>OK</v>
      </c>
      <c r="J30" s="168" t="str">
        <f t="shared" si="1"/>
        <v/>
      </c>
    </row>
    <row r="31" spans="1:10" ht="24" customHeight="1">
      <c r="A31" s="161" t="s">
        <v>305</v>
      </c>
      <c r="B31" s="148">
        <v>45778</v>
      </c>
      <c r="C31" s="148">
        <v>46142</v>
      </c>
      <c r="D31" s="149" t="s">
        <v>3</v>
      </c>
      <c r="E31" s="149" t="s">
        <v>2</v>
      </c>
      <c r="F31" s="149" t="s">
        <v>294</v>
      </c>
      <c r="G31" s="132">
        <v>43.25</v>
      </c>
      <c r="H31" s="133">
        <v>520.5</v>
      </c>
      <c r="I31" s="149" t="str">
        <f t="shared" si="0"/>
        <v>OK</v>
      </c>
      <c r="J31" s="168" t="str">
        <f t="shared" si="1"/>
        <v/>
      </c>
    </row>
    <row r="32" spans="1:10" ht="24" customHeight="1">
      <c r="A32" s="161" t="s">
        <v>305</v>
      </c>
      <c r="B32" s="148">
        <v>45778</v>
      </c>
      <c r="C32" s="148">
        <v>46142</v>
      </c>
      <c r="D32" s="149" t="s">
        <v>3</v>
      </c>
      <c r="E32" s="149" t="s">
        <v>2</v>
      </c>
      <c r="F32" s="149" t="s">
        <v>294</v>
      </c>
      <c r="G32" s="132">
        <v>34.6</v>
      </c>
      <c r="H32" s="133">
        <v>416.4</v>
      </c>
      <c r="I32" s="149" t="str">
        <f t="shared" si="0"/>
        <v>OK</v>
      </c>
      <c r="J32" s="168" t="str">
        <f t="shared" si="1"/>
        <v/>
      </c>
    </row>
    <row r="33" spans="1:10" ht="24" customHeight="1" thickBot="1">
      <c r="A33" s="161" t="s">
        <v>305</v>
      </c>
      <c r="B33" s="148">
        <v>45778</v>
      </c>
      <c r="C33" s="148">
        <v>46142</v>
      </c>
      <c r="D33" s="149" t="s">
        <v>3</v>
      </c>
      <c r="E33" s="149" t="s">
        <v>2</v>
      </c>
      <c r="F33" s="149" t="s">
        <v>294</v>
      </c>
      <c r="G33" s="132">
        <v>32.01</v>
      </c>
      <c r="H33" s="133">
        <v>385.17</v>
      </c>
      <c r="I33" s="149" t="str">
        <f t="shared" si="0"/>
        <v>OK</v>
      </c>
      <c r="J33" s="168" t="str">
        <f t="shared" si="1"/>
        <v/>
      </c>
    </row>
    <row r="34" spans="1:10" ht="24" customHeight="1">
      <c r="A34" s="162" t="s">
        <v>305</v>
      </c>
      <c r="B34" s="150">
        <v>45778</v>
      </c>
      <c r="C34" s="150">
        <v>46142</v>
      </c>
      <c r="D34" s="151" t="s">
        <v>4</v>
      </c>
      <c r="E34" s="151" t="s">
        <v>2</v>
      </c>
      <c r="F34" s="151" t="s">
        <v>295</v>
      </c>
      <c r="G34" s="134">
        <v>173</v>
      </c>
      <c r="H34" s="135">
        <v>2123</v>
      </c>
      <c r="I34" s="151" t="str">
        <f t="shared" si="0"/>
        <v>OK</v>
      </c>
      <c r="J34" s="169" t="str">
        <f t="shared" si="1"/>
        <v/>
      </c>
    </row>
    <row r="35" spans="1:10" ht="24" customHeight="1">
      <c r="A35" s="161" t="s">
        <v>305</v>
      </c>
      <c r="B35" s="148">
        <v>45778</v>
      </c>
      <c r="C35" s="148">
        <v>46142</v>
      </c>
      <c r="D35" s="149" t="s">
        <v>4</v>
      </c>
      <c r="E35" s="149" t="s">
        <v>2</v>
      </c>
      <c r="F35" s="149" t="s">
        <v>295</v>
      </c>
      <c r="G35" s="132">
        <v>151.38</v>
      </c>
      <c r="H35" s="133">
        <v>1857.63</v>
      </c>
      <c r="I35" s="149" t="str">
        <f t="shared" si="0"/>
        <v>OK</v>
      </c>
      <c r="J35" s="168" t="str">
        <f t="shared" si="1"/>
        <v/>
      </c>
    </row>
    <row r="36" spans="1:10" ht="24" customHeight="1">
      <c r="A36" s="161" t="s">
        <v>305</v>
      </c>
      <c r="B36" s="148">
        <v>45778</v>
      </c>
      <c r="C36" s="148">
        <v>46142</v>
      </c>
      <c r="D36" s="149" t="s">
        <v>4</v>
      </c>
      <c r="E36" s="149" t="s">
        <v>2</v>
      </c>
      <c r="F36" s="149" t="s">
        <v>295</v>
      </c>
      <c r="G36" s="132">
        <v>138.4</v>
      </c>
      <c r="H36" s="133">
        <v>1698.4</v>
      </c>
      <c r="I36" s="149" t="str">
        <f t="shared" si="0"/>
        <v>OK</v>
      </c>
      <c r="J36" s="168" t="str">
        <f t="shared" si="1"/>
        <v/>
      </c>
    </row>
    <row r="37" spans="1:10" ht="24" customHeight="1">
      <c r="A37" s="161" t="s">
        <v>305</v>
      </c>
      <c r="B37" s="148">
        <v>45778</v>
      </c>
      <c r="C37" s="148">
        <v>46142</v>
      </c>
      <c r="D37" s="149" t="s">
        <v>4</v>
      </c>
      <c r="E37" s="149" t="s">
        <v>2</v>
      </c>
      <c r="F37" s="149" t="s">
        <v>295</v>
      </c>
      <c r="G37" s="132">
        <v>129.75</v>
      </c>
      <c r="H37" s="133">
        <v>1592.25</v>
      </c>
      <c r="I37" s="149" t="str">
        <f t="shared" ref="I37:I68" si="2">IF($A37="","",IF(OR($B37="",$C37="",$D37="",$E37="",$F37=""),"Stammdaten fehlen",IF(AND($G37="",$H37=""),"Werte fehlen",IF($G37="","Monatsstunden fehlen",IF($H37="","Monatslohn fehlt","OK")))))</f>
        <v>OK</v>
      </c>
      <c r="J37" s="168" t="str">
        <f t="shared" ref="J37:J68" si="3">IF($G37="","",IF(COUNTIFS($A:$A,$A37,$D:$D,$D37,$G:$G,$G37)&gt;1,"Doppelte Monatsstunden",""))</f>
        <v/>
      </c>
    </row>
    <row r="38" spans="1:10" ht="24" customHeight="1">
      <c r="A38" s="161" t="s">
        <v>305</v>
      </c>
      <c r="B38" s="148">
        <v>45778</v>
      </c>
      <c r="C38" s="148">
        <v>46142</v>
      </c>
      <c r="D38" s="149" t="s">
        <v>4</v>
      </c>
      <c r="E38" s="149" t="s">
        <v>2</v>
      </c>
      <c r="F38" s="149" t="s">
        <v>295</v>
      </c>
      <c r="G38" s="132">
        <v>108.13</v>
      </c>
      <c r="H38" s="133">
        <v>1326.88</v>
      </c>
      <c r="I38" s="149" t="str">
        <f t="shared" si="2"/>
        <v>OK</v>
      </c>
      <c r="J38" s="168" t="str">
        <f t="shared" si="3"/>
        <v/>
      </c>
    </row>
    <row r="39" spans="1:10" ht="24" customHeight="1">
      <c r="A39" s="161" t="s">
        <v>305</v>
      </c>
      <c r="B39" s="148">
        <v>45778</v>
      </c>
      <c r="C39" s="148">
        <v>46142</v>
      </c>
      <c r="D39" s="149" t="s">
        <v>4</v>
      </c>
      <c r="E39" s="149" t="s">
        <v>2</v>
      </c>
      <c r="F39" s="149" t="s">
        <v>295</v>
      </c>
      <c r="G39" s="132">
        <v>103.8</v>
      </c>
      <c r="H39" s="133">
        <v>1273.8</v>
      </c>
      <c r="I39" s="149" t="str">
        <f t="shared" si="2"/>
        <v>OK</v>
      </c>
      <c r="J39" s="168" t="str">
        <f t="shared" si="3"/>
        <v/>
      </c>
    </row>
    <row r="40" spans="1:10" ht="24" customHeight="1">
      <c r="A40" s="161" t="s">
        <v>305</v>
      </c>
      <c r="B40" s="148">
        <v>45778</v>
      </c>
      <c r="C40" s="148">
        <v>46142</v>
      </c>
      <c r="D40" s="149" t="s">
        <v>4</v>
      </c>
      <c r="E40" s="149" t="s">
        <v>2</v>
      </c>
      <c r="F40" s="149" t="s">
        <v>295</v>
      </c>
      <c r="G40" s="132">
        <v>86.5</v>
      </c>
      <c r="H40" s="133">
        <v>1061.5</v>
      </c>
      <c r="I40" s="149" t="str">
        <f t="shared" si="2"/>
        <v>OK</v>
      </c>
      <c r="J40" s="168" t="str">
        <f t="shared" si="3"/>
        <v/>
      </c>
    </row>
    <row r="41" spans="1:10" ht="24" customHeight="1">
      <c r="A41" s="161" t="s">
        <v>305</v>
      </c>
      <c r="B41" s="148">
        <v>45778</v>
      </c>
      <c r="C41" s="148">
        <v>46142</v>
      </c>
      <c r="D41" s="149" t="s">
        <v>4</v>
      </c>
      <c r="E41" s="149" t="s">
        <v>2</v>
      </c>
      <c r="F41" s="149" t="s">
        <v>295</v>
      </c>
      <c r="G41" s="132">
        <v>69.2</v>
      </c>
      <c r="H41" s="133">
        <v>849.2</v>
      </c>
      <c r="I41" s="149" t="str">
        <f t="shared" si="2"/>
        <v>OK</v>
      </c>
      <c r="J41" s="168" t="str">
        <f t="shared" si="3"/>
        <v/>
      </c>
    </row>
    <row r="42" spans="1:10" ht="24" customHeight="1">
      <c r="A42" s="161" t="s">
        <v>305</v>
      </c>
      <c r="B42" s="148">
        <v>45778</v>
      </c>
      <c r="C42" s="148">
        <v>46142</v>
      </c>
      <c r="D42" s="149" t="s">
        <v>4</v>
      </c>
      <c r="E42" s="149" t="s">
        <v>2</v>
      </c>
      <c r="F42" s="149" t="s">
        <v>295</v>
      </c>
      <c r="G42" s="132">
        <v>51.9</v>
      </c>
      <c r="H42" s="133">
        <v>636.9</v>
      </c>
      <c r="I42" s="149" t="str">
        <f t="shared" si="2"/>
        <v>OK</v>
      </c>
      <c r="J42" s="168" t="str">
        <f t="shared" si="3"/>
        <v/>
      </c>
    </row>
    <row r="43" spans="1:10" ht="24" customHeight="1">
      <c r="A43" s="161" t="s">
        <v>305</v>
      </c>
      <c r="B43" s="148">
        <v>45778</v>
      </c>
      <c r="C43" s="148">
        <v>46142</v>
      </c>
      <c r="D43" s="149" t="s">
        <v>4</v>
      </c>
      <c r="E43" s="149" t="s">
        <v>2</v>
      </c>
      <c r="F43" s="149" t="s">
        <v>295</v>
      </c>
      <c r="G43" s="132">
        <v>47.58</v>
      </c>
      <c r="H43" s="133">
        <v>583.83000000000004</v>
      </c>
      <c r="I43" s="149" t="str">
        <f t="shared" si="2"/>
        <v>OK</v>
      </c>
      <c r="J43" s="168" t="str">
        <f t="shared" si="3"/>
        <v/>
      </c>
    </row>
    <row r="44" spans="1:10" ht="24" customHeight="1">
      <c r="A44" s="161" t="s">
        <v>305</v>
      </c>
      <c r="B44" s="148">
        <v>45778</v>
      </c>
      <c r="C44" s="148">
        <v>46142</v>
      </c>
      <c r="D44" s="149" t="s">
        <v>4</v>
      </c>
      <c r="E44" s="149" t="s">
        <v>2</v>
      </c>
      <c r="F44" s="149" t="s">
        <v>295</v>
      </c>
      <c r="G44" s="132">
        <v>43.25</v>
      </c>
      <c r="H44" s="133">
        <v>530.75</v>
      </c>
      <c r="I44" s="149" t="str">
        <f t="shared" si="2"/>
        <v>OK</v>
      </c>
      <c r="J44" s="168" t="str">
        <f t="shared" si="3"/>
        <v/>
      </c>
    </row>
    <row r="45" spans="1:10" ht="24" customHeight="1">
      <c r="A45" s="161" t="s">
        <v>305</v>
      </c>
      <c r="B45" s="148">
        <v>45778</v>
      </c>
      <c r="C45" s="148">
        <v>46142</v>
      </c>
      <c r="D45" s="149" t="s">
        <v>4</v>
      </c>
      <c r="E45" s="149" t="s">
        <v>2</v>
      </c>
      <c r="F45" s="149" t="s">
        <v>295</v>
      </c>
      <c r="G45" s="132">
        <v>34.6</v>
      </c>
      <c r="H45" s="133">
        <v>424.6</v>
      </c>
      <c r="I45" s="149" t="str">
        <f t="shared" si="2"/>
        <v>OK</v>
      </c>
      <c r="J45" s="168" t="str">
        <f t="shared" si="3"/>
        <v/>
      </c>
    </row>
    <row r="46" spans="1:10" ht="24" customHeight="1" thickBot="1">
      <c r="A46" s="161" t="s">
        <v>305</v>
      </c>
      <c r="B46" s="148">
        <v>45778</v>
      </c>
      <c r="C46" s="148">
        <v>46142</v>
      </c>
      <c r="D46" s="149" t="s">
        <v>4</v>
      </c>
      <c r="E46" s="149" t="s">
        <v>2</v>
      </c>
      <c r="F46" s="149" t="s">
        <v>295</v>
      </c>
      <c r="G46" s="132">
        <v>32.01</v>
      </c>
      <c r="H46" s="133">
        <v>392.76</v>
      </c>
      <c r="I46" s="149" t="str">
        <f t="shared" si="2"/>
        <v>OK</v>
      </c>
      <c r="J46" s="168" t="str">
        <f t="shared" si="3"/>
        <v/>
      </c>
    </row>
    <row r="47" spans="1:10" ht="24" customHeight="1">
      <c r="A47" s="162" t="s">
        <v>305</v>
      </c>
      <c r="B47" s="150">
        <v>45778</v>
      </c>
      <c r="C47" s="150">
        <v>46142</v>
      </c>
      <c r="D47" s="151" t="s">
        <v>5</v>
      </c>
      <c r="E47" s="151" t="s">
        <v>2</v>
      </c>
      <c r="F47" s="151" t="s">
        <v>296</v>
      </c>
      <c r="G47" s="134">
        <v>173</v>
      </c>
      <c r="H47" s="135">
        <v>2183</v>
      </c>
      <c r="I47" s="151" t="str">
        <f t="shared" si="2"/>
        <v>OK</v>
      </c>
      <c r="J47" s="169" t="str">
        <f t="shared" si="3"/>
        <v/>
      </c>
    </row>
    <row r="48" spans="1:10" ht="24" customHeight="1">
      <c r="A48" s="161" t="s">
        <v>305</v>
      </c>
      <c r="B48" s="148">
        <v>45778</v>
      </c>
      <c r="C48" s="148">
        <v>46142</v>
      </c>
      <c r="D48" s="149" t="s">
        <v>5</v>
      </c>
      <c r="E48" s="149" t="s">
        <v>2</v>
      </c>
      <c r="F48" s="149" t="s">
        <v>296</v>
      </c>
      <c r="G48" s="132">
        <v>151.38</v>
      </c>
      <c r="H48" s="133">
        <v>1910.13</v>
      </c>
      <c r="I48" s="149" t="str">
        <f t="shared" si="2"/>
        <v>OK</v>
      </c>
      <c r="J48" s="168" t="str">
        <f t="shared" si="3"/>
        <v/>
      </c>
    </row>
    <row r="49" spans="1:10" ht="24" customHeight="1">
      <c r="A49" s="161" t="s">
        <v>305</v>
      </c>
      <c r="B49" s="148">
        <v>45778</v>
      </c>
      <c r="C49" s="148">
        <v>46142</v>
      </c>
      <c r="D49" s="149" t="s">
        <v>5</v>
      </c>
      <c r="E49" s="149" t="s">
        <v>2</v>
      </c>
      <c r="F49" s="149" t="s">
        <v>296</v>
      </c>
      <c r="G49" s="132">
        <v>138.4</v>
      </c>
      <c r="H49" s="133">
        <v>1746.4</v>
      </c>
      <c r="I49" s="149" t="str">
        <f t="shared" si="2"/>
        <v>OK</v>
      </c>
      <c r="J49" s="168" t="str">
        <f t="shared" si="3"/>
        <v/>
      </c>
    </row>
    <row r="50" spans="1:10" ht="24" customHeight="1">
      <c r="A50" s="161" t="s">
        <v>305</v>
      </c>
      <c r="B50" s="148">
        <v>45778</v>
      </c>
      <c r="C50" s="148">
        <v>46142</v>
      </c>
      <c r="D50" s="149" t="s">
        <v>5</v>
      </c>
      <c r="E50" s="149" t="s">
        <v>2</v>
      </c>
      <c r="F50" s="149" t="s">
        <v>296</v>
      </c>
      <c r="G50" s="132">
        <v>129.75</v>
      </c>
      <c r="H50" s="133">
        <v>1637.25</v>
      </c>
      <c r="I50" s="149" t="str">
        <f t="shared" si="2"/>
        <v>OK</v>
      </c>
      <c r="J50" s="168" t="str">
        <f t="shared" si="3"/>
        <v/>
      </c>
    </row>
    <row r="51" spans="1:10" ht="24" customHeight="1">
      <c r="A51" s="161" t="s">
        <v>305</v>
      </c>
      <c r="B51" s="148">
        <v>45778</v>
      </c>
      <c r="C51" s="148">
        <v>46142</v>
      </c>
      <c r="D51" s="149" t="s">
        <v>5</v>
      </c>
      <c r="E51" s="149" t="s">
        <v>2</v>
      </c>
      <c r="F51" s="149" t="s">
        <v>296</v>
      </c>
      <c r="G51" s="132">
        <v>108.13</v>
      </c>
      <c r="H51" s="133">
        <v>1364.38</v>
      </c>
      <c r="I51" s="149" t="str">
        <f t="shared" si="2"/>
        <v>OK</v>
      </c>
      <c r="J51" s="168" t="str">
        <f t="shared" si="3"/>
        <v/>
      </c>
    </row>
    <row r="52" spans="1:10" ht="24" customHeight="1">
      <c r="A52" s="161" t="s">
        <v>305</v>
      </c>
      <c r="B52" s="148">
        <v>45778</v>
      </c>
      <c r="C52" s="148">
        <v>46142</v>
      </c>
      <c r="D52" s="149" t="s">
        <v>5</v>
      </c>
      <c r="E52" s="149" t="s">
        <v>2</v>
      </c>
      <c r="F52" s="149" t="s">
        <v>296</v>
      </c>
      <c r="G52" s="132">
        <v>103.8</v>
      </c>
      <c r="H52" s="133">
        <v>1309.8</v>
      </c>
      <c r="I52" s="149" t="str">
        <f t="shared" si="2"/>
        <v>OK</v>
      </c>
      <c r="J52" s="168" t="str">
        <f t="shared" si="3"/>
        <v/>
      </c>
    </row>
    <row r="53" spans="1:10" ht="24" customHeight="1">
      <c r="A53" s="161" t="s">
        <v>305</v>
      </c>
      <c r="B53" s="148">
        <v>45778</v>
      </c>
      <c r="C53" s="148">
        <v>46142</v>
      </c>
      <c r="D53" s="149" t="s">
        <v>5</v>
      </c>
      <c r="E53" s="149" t="s">
        <v>2</v>
      </c>
      <c r="F53" s="149" t="s">
        <v>296</v>
      </c>
      <c r="G53" s="132">
        <v>86.5</v>
      </c>
      <c r="H53" s="133">
        <v>1091.5</v>
      </c>
      <c r="I53" s="149" t="str">
        <f t="shared" si="2"/>
        <v>OK</v>
      </c>
      <c r="J53" s="168" t="str">
        <f t="shared" si="3"/>
        <v/>
      </c>
    </row>
    <row r="54" spans="1:10" ht="24" customHeight="1">
      <c r="A54" s="161" t="s">
        <v>305</v>
      </c>
      <c r="B54" s="148">
        <v>45778</v>
      </c>
      <c r="C54" s="148">
        <v>46142</v>
      </c>
      <c r="D54" s="149" t="s">
        <v>5</v>
      </c>
      <c r="E54" s="149" t="s">
        <v>2</v>
      </c>
      <c r="F54" s="149" t="s">
        <v>296</v>
      </c>
      <c r="G54" s="132">
        <v>69.2</v>
      </c>
      <c r="H54" s="133">
        <v>873.2</v>
      </c>
      <c r="I54" s="149" t="str">
        <f t="shared" si="2"/>
        <v>OK</v>
      </c>
      <c r="J54" s="168" t="str">
        <f t="shared" si="3"/>
        <v/>
      </c>
    </row>
    <row r="55" spans="1:10" ht="24" customHeight="1">
      <c r="A55" s="161" t="s">
        <v>305</v>
      </c>
      <c r="B55" s="148">
        <v>45778</v>
      </c>
      <c r="C55" s="148">
        <v>46142</v>
      </c>
      <c r="D55" s="149" t="s">
        <v>5</v>
      </c>
      <c r="E55" s="149" t="s">
        <v>2</v>
      </c>
      <c r="F55" s="149" t="s">
        <v>296</v>
      </c>
      <c r="G55" s="132">
        <v>51.9</v>
      </c>
      <c r="H55" s="133">
        <v>654.9</v>
      </c>
      <c r="I55" s="149" t="str">
        <f t="shared" si="2"/>
        <v>OK</v>
      </c>
      <c r="J55" s="168" t="str">
        <f t="shared" si="3"/>
        <v/>
      </c>
    </row>
    <row r="56" spans="1:10" ht="24" customHeight="1">
      <c r="A56" s="161" t="s">
        <v>305</v>
      </c>
      <c r="B56" s="148">
        <v>45778</v>
      </c>
      <c r="C56" s="148">
        <v>46142</v>
      </c>
      <c r="D56" s="149" t="s">
        <v>5</v>
      </c>
      <c r="E56" s="149" t="s">
        <v>2</v>
      </c>
      <c r="F56" s="149" t="s">
        <v>296</v>
      </c>
      <c r="G56" s="132">
        <v>47.58</v>
      </c>
      <c r="H56" s="133">
        <v>600.33000000000004</v>
      </c>
      <c r="I56" s="149" t="str">
        <f t="shared" si="2"/>
        <v>OK</v>
      </c>
      <c r="J56" s="168" t="str">
        <f t="shared" si="3"/>
        <v/>
      </c>
    </row>
    <row r="57" spans="1:10" ht="24" customHeight="1">
      <c r="A57" s="161" t="s">
        <v>305</v>
      </c>
      <c r="B57" s="148">
        <v>45778</v>
      </c>
      <c r="C57" s="148">
        <v>46142</v>
      </c>
      <c r="D57" s="149" t="s">
        <v>5</v>
      </c>
      <c r="E57" s="149" t="s">
        <v>2</v>
      </c>
      <c r="F57" s="149" t="s">
        <v>296</v>
      </c>
      <c r="G57" s="132">
        <v>43.25</v>
      </c>
      <c r="H57" s="133">
        <v>545.75</v>
      </c>
      <c r="I57" s="149" t="str">
        <f t="shared" si="2"/>
        <v>OK</v>
      </c>
      <c r="J57" s="168" t="str">
        <f t="shared" si="3"/>
        <v/>
      </c>
    </row>
    <row r="58" spans="1:10" ht="24" customHeight="1">
      <c r="A58" s="161" t="s">
        <v>305</v>
      </c>
      <c r="B58" s="148">
        <v>45778</v>
      </c>
      <c r="C58" s="148">
        <v>46142</v>
      </c>
      <c r="D58" s="149" t="s">
        <v>5</v>
      </c>
      <c r="E58" s="149" t="s">
        <v>2</v>
      </c>
      <c r="F58" s="149" t="s">
        <v>296</v>
      </c>
      <c r="G58" s="132">
        <v>34.6</v>
      </c>
      <c r="H58" s="133">
        <v>436.6</v>
      </c>
      <c r="I58" s="149" t="str">
        <f t="shared" si="2"/>
        <v>OK</v>
      </c>
      <c r="J58" s="168" t="str">
        <f t="shared" si="3"/>
        <v/>
      </c>
    </row>
    <row r="59" spans="1:10" ht="24" customHeight="1" thickBot="1">
      <c r="A59" s="161" t="s">
        <v>305</v>
      </c>
      <c r="B59" s="148">
        <v>45778</v>
      </c>
      <c r="C59" s="148">
        <v>46142</v>
      </c>
      <c r="D59" s="149" t="s">
        <v>5</v>
      </c>
      <c r="E59" s="149" t="s">
        <v>2</v>
      </c>
      <c r="F59" s="149" t="s">
        <v>296</v>
      </c>
      <c r="G59" s="132">
        <v>32.01</v>
      </c>
      <c r="H59" s="133">
        <v>403.86</v>
      </c>
      <c r="I59" s="149" t="str">
        <f t="shared" si="2"/>
        <v>OK</v>
      </c>
      <c r="J59" s="168" t="str">
        <f t="shared" si="3"/>
        <v/>
      </c>
    </row>
    <row r="60" spans="1:10" ht="24" customHeight="1">
      <c r="A60" s="163" t="s">
        <v>305</v>
      </c>
      <c r="B60" s="152">
        <v>45778</v>
      </c>
      <c r="C60" s="152">
        <v>46142</v>
      </c>
      <c r="D60" s="153" t="s">
        <v>303</v>
      </c>
      <c r="E60" s="153" t="s">
        <v>6</v>
      </c>
      <c r="F60" s="153" t="s">
        <v>293</v>
      </c>
      <c r="G60" s="136">
        <v>173</v>
      </c>
      <c r="H60" s="137">
        <v>2160</v>
      </c>
      <c r="I60" s="153" t="str">
        <f t="shared" si="2"/>
        <v>OK</v>
      </c>
      <c r="J60" s="170" t="str">
        <f t="shared" si="3"/>
        <v/>
      </c>
    </row>
    <row r="61" spans="1:10" ht="24" customHeight="1">
      <c r="A61" s="164" t="s">
        <v>305</v>
      </c>
      <c r="B61" s="154">
        <v>45778</v>
      </c>
      <c r="C61" s="154">
        <v>46142</v>
      </c>
      <c r="D61" s="155" t="s">
        <v>303</v>
      </c>
      <c r="E61" s="155" t="s">
        <v>6</v>
      </c>
      <c r="F61" s="155" t="s">
        <v>293</v>
      </c>
      <c r="G61" s="138">
        <v>151.38</v>
      </c>
      <c r="H61" s="139">
        <v>1890</v>
      </c>
      <c r="I61" s="155" t="str">
        <f t="shared" si="2"/>
        <v>OK</v>
      </c>
      <c r="J61" s="171" t="str">
        <f t="shared" si="3"/>
        <v/>
      </c>
    </row>
    <row r="62" spans="1:10" ht="24" customHeight="1">
      <c r="A62" s="164" t="s">
        <v>305</v>
      </c>
      <c r="B62" s="154">
        <v>45778</v>
      </c>
      <c r="C62" s="154">
        <v>46142</v>
      </c>
      <c r="D62" s="155" t="s">
        <v>303</v>
      </c>
      <c r="E62" s="155" t="s">
        <v>6</v>
      </c>
      <c r="F62" s="155" t="s">
        <v>293</v>
      </c>
      <c r="G62" s="138">
        <v>138.4</v>
      </c>
      <c r="H62" s="139">
        <v>1728</v>
      </c>
      <c r="I62" s="155" t="str">
        <f t="shared" si="2"/>
        <v>OK</v>
      </c>
      <c r="J62" s="171" t="str">
        <f t="shared" si="3"/>
        <v/>
      </c>
    </row>
    <row r="63" spans="1:10" ht="24" customHeight="1">
      <c r="A63" s="164" t="s">
        <v>305</v>
      </c>
      <c r="B63" s="154">
        <v>45778</v>
      </c>
      <c r="C63" s="154">
        <v>46142</v>
      </c>
      <c r="D63" s="155" t="s">
        <v>303</v>
      </c>
      <c r="E63" s="155" t="s">
        <v>6</v>
      </c>
      <c r="F63" s="155" t="s">
        <v>293</v>
      </c>
      <c r="G63" s="138">
        <v>129.75</v>
      </c>
      <c r="H63" s="139">
        <v>1620</v>
      </c>
      <c r="I63" s="155" t="str">
        <f t="shared" si="2"/>
        <v>OK</v>
      </c>
      <c r="J63" s="171" t="str">
        <f t="shared" si="3"/>
        <v/>
      </c>
    </row>
    <row r="64" spans="1:10" ht="24" customHeight="1">
      <c r="A64" s="164" t="s">
        <v>305</v>
      </c>
      <c r="B64" s="154">
        <v>45778</v>
      </c>
      <c r="C64" s="154">
        <v>46142</v>
      </c>
      <c r="D64" s="155" t="s">
        <v>303</v>
      </c>
      <c r="E64" s="155" t="s">
        <v>6</v>
      </c>
      <c r="F64" s="155" t="s">
        <v>293</v>
      </c>
      <c r="G64" s="138">
        <v>108.13</v>
      </c>
      <c r="H64" s="139">
        <v>1350</v>
      </c>
      <c r="I64" s="155" t="str">
        <f t="shared" si="2"/>
        <v>OK</v>
      </c>
      <c r="J64" s="171" t="str">
        <f t="shared" si="3"/>
        <v/>
      </c>
    </row>
    <row r="65" spans="1:10" ht="24" customHeight="1">
      <c r="A65" s="164" t="s">
        <v>305</v>
      </c>
      <c r="B65" s="154">
        <v>45778</v>
      </c>
      <c r="C65" s="154">
        <v>46142</v>
      </c>
      <c r="D65" s="155" t="s">
        <v>303</v>
      </c>
      <c r="E65" s="155" t="s">
        <v>6</v>
      </c>
      <c r="F65" s="155" t="s">
        <v>293</v>
      </c>
      <c r="G65" s="138">
        <v>103.8</v>
      </c>
      <c r="H65" s="139">
        <v>1296</v>
      </c>
      <c r="I65" s="155" t="str">
        <f t="shared" si="2"/>
        <v>OK</v>
      </c>
      <c r="J65" s="171" t="str">
        <f t="shared" si="3"/>
        <v/>
      </c>
    </row>
    <row r="66" spans="1:10" ht="24" customHeight="1">
      <c r="A66" s="164" t="s">
        <v>305</v>
      </c>
      <c r="B66" s="154">
        <v>45778</v>
      </c>
      <c r="C66" s="154">
        <v>46142</v>
      </c>
      <c r="D66" s="155" t="s">
        <v>303</v>
      </c>
      <c r="E66" s="155" t="s">
        <v>6</v>
      </c>
      <c r="F66" s="155" t="s">
        <v>293</v>
      </c>
      <c r="G66" s="138">
        <v>86.5</v>
      </c>
      <c r="H66" s="139">
        <v>1080</v>
      </c>
      <c r="I66" s="155" t="str">
        <f t="shared" si="2"/>
        <v>OK</v>
      </c>
      <c r="J66" s="171" t="str">
        <f t="shared" si="3"/>
        <v/>
      </c>
    </row>
    <row r="67" spans="1:10" ht="24" customHeight="1">
      <c r="A67" s="164" t="s">
        <v>305</v>
      </c>
      <c r="B67" s="154">
        <v>45778</v>
      </c>
      <c r="C67" s="154">
        <v>46142</v>
      </c>
      <c r="D67" s="155" t="s">
        <v>303</v>
      </c>
      <c r="E67" s="155" t="s">
        <v>6</v>
      </c>
      <c r="F67" s="155" t="s">
        <v>293</v>
      </c>
      <c r="G67" s="138">
        <v>69.2</v>
      </c>
      <c r="H67" s="139">
        <v>864</v>
      </c>
      <c r="I67" s="155" t="str">
        <f t="shared" si="2"/>
        <v>OK</v>
      </c>
      <c r="J67" s="171" t="str">
        <f t="shared" si="3"/>
        <v/>
      </c>
    </row>
    <row r="68" spans="1:10" ht="24" customHeight="1">
      <c r="A68" s="164" t="s">
        <v>305</v>
      </c>
      <c r="B68" s="154">
        <v>45778</v>
      </c>
      <c r="C68" s="154">
        <v>46142</v>
      </c>
      <c r="D68" s="155" t="s">
        <v>303</v>
      </c>
      <c r="E68" s="155" t="s">
        <v>6</v>
      </c>
      <c r="F68" s="155" t="s">
        <v>293</v>
      </c>
      <c r="G68" s="138">
        <v>51.9</v>
      </c>
      <c r="H68" s="139">
        <v>648</v>
      </c>
      <c r="I68" s="155" t="str">
        <f t="shared" si="2"/>
        <v>OK</v>
      </c>
      <c r="J68" s="171" t="str">
        <f t="shared" si="3"/>
        <v/>
      </c>
    </row>
    <row r="69" spans="1:10" ht="24" customHeight="1">
      <c r="A69" s="164" t="s">
        <v>305</v>
      </c>
      <c r="B69" s="154">
        <v>45778</v>
      </c>
      <c r="C69" s="154">
        <v>46142</v>
      </c>
      <c r="D69" s="155" t="s">
        <v>303</v>
      </c>
      <c r="E69" s="155" t="s">
        <v>6</v>
      </c>
      <c r="F69" s="155" t="s">
        <v>293</v>
      </c>
      <c r="G69" s="138">
        <v>47.58</v>
      </c>
      <c r="H69" s="139">
        <v>594</v>
      </c>
      <c r="I69" s="155" t="str">
        <f t="shared" ref="I69:I100" si="4">IF($A69="","",IF(OR($B69="",$C69="",$D69="",$E69="",$F69=""),"Stammdaten fehlen",IF(AND($G69="",$H69=""),"Werte fehlen",IF($G69="","Monatsstunden fehlen",IF($H69="","Monatslohn fehlt","OK")))))</f>
        <v>OK</v>
      </c>
      <c r="J69" s="171" t="str">
        <f t="shared" ref="J69:J100" si="5">IF($G69="","",IF(COUNTIFS($A:$A,$A69,$D:$D,$D69,$G:$G,$G69)&gt;1,"Doppelte Monatsstunden",""))</f>
        <v/>
      </c>
    </row>
    <row r="70" spans="1:10" ht="24" customHeight="1">
      <c r="A70" s="164" t="s">
        <v>305</v>
      </c>
      <c r="B70" s="154">
        <v>45778</v>
      </c>
      <c r="C70" s="154">
        <v>46142</v>
      </c>
      <c r="D70" s="155" t="s">
        <v>303</v>
      </c>
      <c r="E70" s="155" t="s">
        <v>6</v>
      </c>
      <c r="F70" s="155" t="s">
        <v>293</v>
      </c>
      <c r="G70" s="138">
        <v>43.25</v>
      </c>
      <c r="H70" s="139">
        <v>540</v>
      </c>
      <c r="I70" s="155" t="str">
        <f t="shared" si="4"/>
        <v>OK</v>
      </c>
      <c r="J70" s="171" t="str">
        <f t="shared" si="5"/>
        <v/>
      </c>
    </row>
    <row r="71" spans="1:10" ht="24" customHeight="1">
      <c r="A71" s="164" t="s">
        <v>305</v>
      </c>
      <c r="B71" s="154">
        <v>45778</v>
      </c>
      <c r="C71" s="154">
        <v>46142</v>
      </c>
      <c r="D71" s="155" t="s">
        <v>303</v>
      </c>
      <c r="E71" s="155" t="s">
        <v>6</v>
      </c>
      <c r="F71" s="155" t="s">
        <v>293</v>
      </c>
      <c r="G71" s="138">
        <v>34.6</v>
      </c>
      <c r="H71" s="139">
        <v>432</v>
      </c>
      <c r="I71" s="155" t="str">
        <f t="shared" si="4"/>
        <v>OK</v>
      </c>
      <c r="J71" s="171" t="str">
        <f t="shared" si="5"/>
        <v/>
      </c>
    </row>
    <row r="72" spans="1:10" ht="24" customHeight="1" thickBot="1">
      <c r="A72" s="164" t="s">
        <v>305</v>
      </c>
      <c r="B72" s="154">
        <v>45778</v>
      </c>
      <c r="C72" s="154">
        <v>46142</v>
      </c>
      <c r="D72" s="155" t="s">
        <v>303</v>
      </c>
      <c r="E72" s="155" t="s">
        <v>6</v>
      </c>
      <c r="F72" s="155" t="s">
        <v>293</v>
      </c>
      <c r="G72" s="138">
        <v>32.01</v>
      </c>
      <c r="H72" s="139">
        <v>399.6</v>
      </c>
      <c r="I72" s="155" t="str">
        <f t="shared" si="4"/>
        <v>OK</v>
      </c>
      <c r="J72" s="171" t="str">
        <f t="shared" si="5"/>
        <v/>
      </c>
    </row>
    <row r="73" spans="1:10" ht="24" customHeight="1">
      <c r="A73" s="163" t="s">
        <v>305</v>
      </c>
      <c r="B73" s="152">
        <v>45778</v>
      </c>
      <c r="C73" s="152">
        <v>46142</v>
      </c>
      <c r="D73" s="153" t="s">
        <v>7</v>
      </c>
      <c r="E73" s="153" t="s">
        <v>6</v>
      </c>
      <c r="F73" s="153" t="s">
        <v>294</v>
      </c>
      <c r="G73" s="136">
        <v>173</v>
      </c>
      <c r="H73" s="137">
        <v>2160</v>
      </c>
      <c r="I73" s="153" t="str">
        <f t="shared" si="4"/>
        <v>OK</v>
      </c>
      <c r="J73" s="170" t="str">
        <f t="shared" si="5"/>
        <v/>
      </c>
    </row>
    <row r="74" spans="1:10" ht="24" customHeight="1">
      <c r="A74" s="164" t="s">
        <v>305</v>
      </c>
      <c r="B74" s="154">
        <v>45778</v>
      </c>
      <c r="C74" s="154">
        <v>46142</v>
      </c>
      <c r="D74" s="155" t="s">
        <v>7</v>
      </c>
      <c r="E74" s="155" t="s">
        <v>6</v>
      </c>
      <c r="F74" s="155" t="s">
        <v>294</v>
      </c>
      <c r="G74" s="138">
        <v>151.38</v>
      </c>
      <c r="H74" s="139">
        <v>1890</v>
      </c>
      <c r="I74" s="155" t="str">
        <f t="shared" si="4"/>
        <v>OK</v>
      </c>
      <c r="J74" s="171" t="str">
        <f t="shared" si="5"/>
        <v/>
      </c>
    </row>
    <row r="75" spans="1:10" ht="24" customHeight="1">
      <c r="A75" s="164" t="s">
        <v>305</v>
      </c>
      <c r="B75" s="154">
        <v>45778</v>
      </c>
      <c r="C75" s="154">
        <v>46142</v>
      </c>
      <c r="D75" s="155" t="s">
        <v>7</v>
      </c>
      <c r="E75" s="155" t="s">
        <v>6</v>
      </c>
      <c r="F75" s="155" t="s">
        <v>294</v>
      </c>
      <c r="G75" s="138">
        <v>138.4</v>
      </c>
      <c r="H75" s="139">
        <v>1728</v>
      </c>
      <c r="I75" s="155" t="str">
        <f t="shared" si="4"/>
        <v>OK</v>
      </c>
      <c r="J75" s="171" t="str">
        <f t="shared" si="5"/>
        <v/>
      </c>
    </row>
    <row r="76" spans="1:10" ht="24" customHeight="1">
      <c r="A76" s="164" t="s">
        <v>305</v>
      </c>
      <c r="B76" s="154">
        <v>45778</v>
      </c>
      <c r="C76" s="154">
        <v>46142</v>
      </c>
      <c r="D76" s="155" t="s">
        <v>7</v>
      </c>
      <c r="E76" s="155" t="s">
        <v>6</v>
      </c>
      <c r="F76" s="155" t="s">
        <v>294</v>
      </c>
      <c r="G76" s="138">
        <v>129.75</v>
      </c>
      <c r="H76" s="139">
        <v>1620</v>
      </c>
      <c r="I76" s="155" t="str">
        <f t="shared" si="4"/>
        <v>OK</v>
      </c>
      <c r="J76" s="171" t="str">
        <f t="shared" si="5"/>
        <v/>
      </c>
    </row>
    <row r="77" spans="1:10" ht="24" customHeight="1">
      <c r="A77" s="164" t="s">
        <v>305</v>
      </c>
      <c r="B77" s="154">
        <v>45778</v>
      </c>
      <c r="C77" s="154">
        <v>46142</v>
      </c>
      <c r="D77" s="155" t="s">
        <v>7</v>
      </c>
      <c r="E77" s="155" t="s">
        <v>6</v>
      </c>
      <c r="F77" s="155" t="s">
        <v>294</v>
      </c>
      <c r="G77" s="138">
        <v>108.13</v>
      </c>
      <c r="H77" s="139">
        <v>1350</v>
      </c>
      <c r="I77" s="155" t="str">
        <f t="shared" si="4"/>
        <v>OK</v>
      </c>
      <c r="J77" s="171" t="str">
        <f t="shared" si="5"/>
        <v/>
      </c>
    </row>
    <row r="78" spans="1:10" ht="24" customHeight="1">
      <c r="A78" s="164" t="s">
        <v>305</v>
      </c>
      <c r="B78" s="154">
        <v>45778</v>
      </c>
      <c r="C78" s="154">
        <v>46142</v>
      </c>
      <c r="D78" s="155" t="s">
        <v>7</v>
      </c>
      <c r="E78" s="155" t="s">
        <v>6</v>
      </c>
      <c r="F78" s="155" t="s">
        <v>294</v>
      </c>
      <c r="G78" s="138">
        <v>103.8</v>
      </c>
      <c r="H78" s="139">
        <v>1296</v>
      </c>
      <c r="I78" s="155" t="str">
        <f t="shared" si="4"/>
        <v>OK</v>
      </c>
      <c r="J78" s="171" t="str">
        <f t="shared" si="5"/>
        <v/>
      </c>
    </row>
    <row r="79" spans="1:10" ht="24" customHeight="1">
      <c r="A79" s="164" t="s">
        <v>305</v>
      </c>
      <c r="B79" s="154">
        <v>45778</v>
      </c>
      <c r="C79" s="154">
        <v>46142</v>
      </c>
      <c r="D79" s="155" t="s">
        <v>7</v>
      </c>
      <c r="E79" s="155" t="s">
        <v>6</v>
      </c>
      <c r="F79" s="155" t="s">
        <v>294</v>
      </c>
      <c r="G79" s="138">
        <v>86.5</v>
      </c>
      <c r="H79" s="139">
        <v>1080</v>
      </c>
      <c r="I79" s="155" t="str">
        <f t="shared" si="4"/>
        <v>OK</v>
      </c>
      <c r="J79" s="171" t="str">
        <f t="shared" si="5"/>
        <v/>
      </c>
    </row>
    <row r="80" spans="1:10" ht="24" customHeight="1">
      <c r="A80" s="164" t="s">
        <v>305</v>
      </c>
      <c r="B80" s="154">
        <v>45778</v>
      </c>
      <c r="C80" s="154">
        <v>46142</v>
      </c>
      <c r="D80" s="155" t="s">
        <v>7</v>
      </c>
      <c r="E80" s="155" t="s">
        <v>6</v>
      </c>
      <c r="F80" s="155" t="s">
        <v>294</v>
      </c>
      <c r="G80" s="138">
        <v>69.2</v>
      </c>
      <c r="H80" s="139">
        <v>864</v>
      </c>
      <c r="I80" s="155" t="str">
        <f t="shared" si="4"/>
        <v>OK</v>
      </c>
      <c r="J80" s="171" t="str">
        <f t="shared" si="5"/>
        <v/>
      </c>
    </row>
    <row r="81" spans="1:10" ht="24" customHeight="1">
      <c r="A81" s="164" t="s">
        <v>305</v>
      </c>
      <c r="B81" s="154">
        <v>45778</v>
      </c>
      <c r="C81" s="154">
        <v>46142</v>
      </c>
      <c r="D81" s="155" t="s">
        <v>7</v>
      </c>
      <c r="E81" s="155" t="s">
        <v>6</v>
      </c>
      <c r="F81" s="155" t="s">
        <v>294</v>
      </c>
      <c r="G81" s="138">
        <v>51.9</v>
      </c>
      <c r="H81" s="139">
        <v>648</v>
      </c>
      <c r="I81" s="155" t="str">
        <f t="shared" si="4"/>
        <v>OK</v>
      </c>
      <c r="J81" s="171" t="str">
        <f t="shared" si="5"/>
        <v/>
      </c>
    </row>
    <row r="82" spans="1:10" ht="24" customHeight="1">
      <c r="A82" s="164" t="s">
        <v>305</v>
      </c>
      <c r="B82" s="154">
        <v>45778</v>
      </c>
      <c r="C82" s="154">
        <v>46142</v>
      </c>
      <c r="D82" s="155" t="s">
        <v>7</v>
      </c>
      <c r="E82" s="155" t="s">
        <v>6</v>
      </c>
      <c r="F82" s="155" t="s">
        <v>294</v>
      </c>
      <c r="G82" s="138">
        <v>47.58</v>
      </c>
      <c r="H82" s="139">
        <v>594</v>
      </c>
      <c r="I82" s="155" t="str">
        <f t="shared" si="4"/>
        <v>OK</v>
      </c>
      <c r="J82" s="171" t="str">
        <f t="shared" si="5"/>
        <v/>
      </c>
    </row>
    <row r="83" spans="1:10" ht="24" customHeight="1">
      <c r="A83" s="164" t="s">
        <v>305</v>
      </c>
      <c r="B83" s="154">
        <v>45778</v>
      </c>
      <c r="C83" s="154">
        <v>46142</v>
      </c>
      <c r="D83" s="155" t="s">
        <v>7</v>
      </c>
      <c r="E83" s="155" t="s">
        <v>6</v>
      </c>
      <c r="F83" s="155" t="s">
        <v>294</v>
      </c>
      <c r="G83" s="138">
        <v>43.25</v>
      </c>
      <c r="H83" s="139">
        <v>540</v>
      </c>
      <c r="I83" s="155" t="str">
        <f t="shared" si="4"/>
        <v>OK</v>
      </c>
      <c r="J83" s="171" t="str">
        <f t="shared" si="5"/>
        <v/>
      </c>
    </row>
    <row r="84" spans="1:10" ht="24" customHeight="1">
      <c r="A84" s="164" t="s">
        <v>305</v>
      </c>
      <c r="B84" s="154">
        <v>45778</v>
      </c>
      <c r="C84" s="154">
        <v>46142</v>
      </c>
      <c r="D84" s="155" t="s">
        <v>7</v>
      </c>
      <c r="E84" s="155" t="s">
        <v>6</v>
      </c>
      <c r="F84" s="155" t="s">
        <v>294</v>
      </c>
      <c r="G84" s="138">
        <v>34.6</v>
      </c>
      <c r="H84" s="139">
        <v>432</v>
      </c>
      <c r="I84" s="155" t="str">
        <f t="shared" si="4"/>
        <v>OK</v>
      </c>
      <c r="J84" s="171" t="str">
        <f t="shared" si="5"/>
        <v/>
      </c>
    </row>
    <row r="85" spans="1:10" ht="24" customHeight="1" thickBot="1">
      <c r="A85" s="164" t="s">
        <v>305</v>
      </c>
      <c r="B85" s="154">
        <v>45778</v>
      </c>
      <c r="C85" s="154">
        <v>46142</v>
      </c>
      <c r="D85" s="155" t="s">
        <v>7</v>
      </c>
      <c r="E85" s="155" t="s">
        <v>6</v>
      </c>
      <c r="F85" s="155" t="s">
        <v>294</v>
      </c>
      <c r="G85" s="138">
        <v>32.01</v>
      </c>
      <c r="H85" s="139">
        <v>399.6</v>
      </c>
      <c r="I85" s="155" t="str">
        <f t="shared" si="4"/>
        <v>OK</v>
      </c>
      <c r="J85" s="171" t="str">
        <f t="shared" si="5"/>
        <v/>
      </c>
    </row>
    <row r="86" spans="1:10" ht="24" customHeight="1">
      <c r="A86" s="163" t="s">
        <v>305</v>
      </c>
      <c r="B86" s="152">
        <v>45778</v>
      </c>
      <c r="C86" s="152">
        <v>46142</v>
      </c>
      <c r="D86" s="153" t="s">
        <v>8</v>
      </c>
      <c r="E86" s="153" t="s">
        <v>6</v>
      </c>
      <c r="F86" s="153" t="s">
        <v>295</v>
      </c>
      <c r="G86" s="136">
        <v>173</v>
      </c>
      <c r="H86" s="137">
        <v>2163</v>
      </c>
      <c r="I86" s="153" t="str">
        <f t="shared" si="4"/>
        <v>OK</v>
      </c>
      <c r="J86" s="170" t="str">
        <f t="shared" si="5"/>
        <v/>
      </c>
    </row>
    <row r="87" spans="1:10" ht="24" customHeight="1">
      <c r="A87" s="164" t="s">
        <v>305</v>
      </c>
      <c r="B87" s="154">
        <v>45778</v>
      </c>
      <c r="C87" s="154">
        <v>46142</v>
      </c>
      <c r="D87" s="155" t="s">
        <v>8</v>
      </c>
      <c r="E87" s="155" t="s">
        <v>6</v>
      </c>
      <c r="F87" s="155" t="s">
        <v>295</v>
      </c>
      <c r="G87" s="138">
        <v>151.38</v>
      </c>
      <c r="H87" s="139">
        <v>1892.63</v>
      </c>
      <c r="I87" s="155" t="str">
        <f t="shared" si="4"/>
        <v>OK</v>
      </c>
      <c r="J87" s="171" t="str">
        <f t="shared" si="5"/>
        <v/>
      </c>
    </row>
    <row r="88" spans="1:10" ht="24" customHeight="1">
      <c r="A88" s="164" t="s">
        <v>305</v>
      </c>
      <c r="B88" s="154">
        <v>45778</v>
      </c>
      <c r="C88" s="154">
        <v>46142</v>
      </c>
      <c r="D88" s="155" t="s">
        <v>8</v>
      </c>
      <c r="E88" s="155" t="s">
        <v>6</v>
      </c>
      <c r="F88" s="155" t="s">
        <v>295</v>
      </c>
      <c r="G88" s="138">
        <v>138.4</v>
      </c>
      <c r="H88" s="139">
        <v>1730.4</v>
      </c>
      <c r="I88" s="155" t="str">
        <f t="shared" si="4"/>
        <v>OK</v>
      </c>
      <c r="J88" s="171" t="str">
        <f t="shared" si="5"/>
        <v/>
      </c>
    </row>
    <row r="89" spans="1:10" ht="24" customHeight="1">
      <c r="A89" s="164" t="s">
        <v>305</v>
      </c>
      <c r="B89" s="154">
        <v>45778</v>
      </c>
      <c r="C89" s="154">
        <v>46142</v>
      </c>
      <c r="D89" s="155" t="s">
        <v>8</v>
      </c>
      <c r="E89" s="155" t="s">
        <v>6</v>
      </c>
      <c r="F89" s="155" t="s">
        <v>295</v>
      </c>
      <c r="G89" s="138">
        <v>129.75</v>
      </c>
      <c r="H89" s="139">
        <v>1622.25</v>
      </c>
      <c r="I89" s="155" t="str">
        <f t="shared" si="4"/>
        <v>OK</v>
      </c>
      <c r="J89" s="171" t="str">
        <f t="shared" si="5"/>
        <v/>
      </c>
    </row>
    <row r="90" spans="1:10" ht="24" customHeight="1">
      <c r="A90" s="164" t="s">
        <v>305</v>
      </c>
      <c r="B90" s="154">
        <v>45778</v>
      </c>
      <c r="C90" s="154">
        <v>46142</v>
      </c>
      <c r="D90" s="155" t="s">
        <v>8</v>
      </c>
      <c r="E90" s="155" t="s">
        <v>6</v>
      </c>
      <c r="F90" s="155" t="s">
        <v>295</v>
      </c>
      <c r="G90" s="138">
        <v>108.13</v>
      </c>
      <c r="H90" s="139">
        <v>1351.88</v>
      </c>
      <c r="I90" s="155" t="str">
        <f t="shared" si="4"/>
        <v>OK</v>
      </c>
      <c r="J90" s="171" t="str">
        <f t="shared" si="5"/>
        <v/>
      </c>
    </row>
    <row r="91" spans="1:10" ht="24" customHeight="1">
      <c r="A91" s="164" t="s">
        <v>305</v>
      </c>
      <c r="B91" s="154">
        <v>45778</v>
      </c>
      <c r="C91" s="154">
        <v>46142</v>
      </c>
      <c r="D91" s="155" t="s">
        <v>8</v>
      </c>
      <c r="E91" s="155" t="s">
        <v>6</v>
      </c>
      <c r="F91" s="155" t="s">
        <v>295</v>
      </c>
      <c r="G91" s="138">
        <v>103.8</v>
      </c>
      <c r="H91" s="139">
        <v>1297.8</v>
      </c>
      <c r="I91" s="155" t="str">
        <f t="shared" si="4"/>
        <v>OK</v>
      </c>
      <c r="J91" s="171" t="str">
        <f t="shared" si="5"/>
        <v/>
      </c>
    </row>
    <row r="92" spans="1:10" ht="24" customHeight="1">
      <c r="A92" s="164" t="s">
        <v>305</v>
      </c>
      <c r="B92" s="154">
        <v>45778</v>
      </c>
      <c r="C92" s="154">
        <v>46142</v>
      </c>
      <c r="D92" s="155" t="s">
        <v>8</v>
      </c>
      <c r="E92" s="155" t="s">
        <v>6</v>
      </c>
      <c r="F92" s="155" t="s">
        <v>295</v>
      </c>
      <c r="G92" s="138">
        <v>86.5</v>
      </c>
      <c r="H92" s="139">
        <v>1081.5</v>
      </c>
      <c r="I92" s="155" t="str">
        <f t="shared" si="4"/>
        <v>OK</v>
      </c>
      <c r="J92" s="171" t="str">
        <f t="shared" si="5"/>
        <v/>
      </c>
    </row>
    <row r="93" spans="1:10" ht="24" customHeight="1">
      <c r="A93" s="164" t="s">
        <v>305</v>
      </c>
      <c r="B93" s="154">
        <v>45778</v>
      </c>
      <c r="C93" s="154">
        <v>46142</v>
      </c>
      <c r="D93" s="155" t="s">
        <v>8</v>
      </c>
      <c r="E93" s="155" t="s">
        <v>6</v>
      </c>
      <c r="F93" s="155" t="s">
        <v>295</v>
      </c>
      <c r="G93" s="138">
        <v>69.2</v>
      </c>
      <c r="H93" s="139">
        <v>865.2</v>
      </c>
      <c r="I93" s="155" t="str">
        <f t="shared" si="4"/>
        <v>OK</v>
      </c>
      <c r="J93" s="171" t="str">
        <f t="shared" si="5"/>
        <v/>
      </c>
    </row>
    <row r="94" spans="1:10" ht="24" customHeight="1">
      <c r="A94" s="164" t="s">
        <v>305</v>
      </c>
      <c r="B94" s="154">
        <v>45778</v>
      </c>
      <c r="C94" s="154">
        <v>46142</v>
      </c>
      <c r="D94" s="155" t="s">
        <v>8</v>
      </c>
      <c r="E94" s="155" t="s">
        <v>6</v>
      </c>
      <c r="F94" s="155" t="s">
        <v>295</v>
      </c>
      <c r="G94" s="138">
        <v>51.9</v>
      </c>
      <c r="H94" s="139">
        <v>648.9</v>
      </c>
      <c r="I94" s="155" t="str">
        <f t="shared" si="4"/>
        <v>OK</v>
      </c>
      <c r="J94" s="171" t="str">
        <f t="shared" si="5"/>
        <v/>
      </c>
    </row>
    <row r="95" spans="1:10" ht="24" customHeight="1">
      <c r="A95" s="164" t="s">
        <v>305</v>
      </c>
      <c r="B95" s="154">
        <v>45778</v>
      </c>
      <c r="C95" s="154">
        <v>46142</v>
      </c>
      <c r="D95" s="155" t="s">
        <v>8</v>
      </c>
      <c r="E95" s="155" t="s">
        <v>6</v>
      </c>
      <c r="F95" s="155" t="s">
        <v>295</v>
      </c>
      <c r="G95" s="138">
        <v>47.58</v>
      </c>
      <c r="H95" s="139">
        <v>594.83000000000004</v>
      </c>
      <c r="I95" s="155" t="str">
        <f t="shared" si="4"/>
        <v>OK</v>
      </c>
      <c r="J95" s="171" t="str">
        <f t="shared" si="5"/>
        <v/>
      </c>
    </row>
    <row r="96" spans="1:10" ht="24" customHeight="1">
      <c r="A96" s="164" t="s">
        <v>305</v>
      </c>
      <c r="B96" s="154">
        <v>45778</v>
      </c>
      <c r="C96" s="154">
        <v>46142</v>
      </c>
      <c r="D96" s="155" t="s">
        <v>8</v>
      </c>
      <c r="E96" s="155" t="s">
        <v>6</v>
      </c>
      <c r="F96" s="155" t="s">
        <v>295</v>
      </c>
      <c r="G96" s="138">
        <v>43.25</v>
      </c>
      <c r="H96" s="139">
        <v>540.75</v>
      </c>
      <c r="I96" s="155" t="str">
        <f t="shared" si="4"/>
        <v>OK</v>
      </c>
      <c r="J96" s="171" t="str">
        <f t="shared" si="5"/>
        <v/>
      </c>
    </row>
    <row r="97" spans="1:10" ht="24" customHeight="1">
      <c r="A97" s="164" t="s">
        <v>305</v>
      </c>
      <c r="B97" s="154">
        <v>45778</v>
      </c>
      <c r="C97" s="154">
        <v>46142</v>
      </c>
      <c r="D97" s="155" t="s">
        <v>8</v>
      </c>
      <c r="E97" s="155" t="s">
        <v>6</v>
      </c>
      <c r="F97" s="155" t="s">
        <v>295</v>
      </c>
      <c r="G97" s="138">
        <v>34.6</v>
      </c>
      <c r="H97" s="139">
        <v>432.6</v>
      </c>
      <c r="I97" s="155" t="str">
        <f t="shared" si="4"/>
        <v>OK</v>
      </c>
      <c r="J97" s="171" t="str">
        <f t="shared" si="5"/>
        <v/>
      </c>
    </row>
    <row r="98" spans="1:10" ht="24" customHeight="1" thickBot="1">
      <c r="A98" s="164" t="s">
        <v>305</v>
      </c>
      <c r="B98" s="154">
        <v>45778</v>
      </c>
      <c r="C98" s="154">
        <v>46142</v>
      </c>
      <c r="D98" s="155" t="s">
        <v>8</v>
      </c>
      <c r="E98" s="155" t="s">
        <v>6</v>
      </c>
      <c r="F98" s="155" t="s">
        <v>295</v>
      </c>
      <c r="G98" s="138">
        <v>32.01</v>
      </c>
      <c r="H98" s="139">
        <v>400.16</v>
      </c>
      <c r="I98" s="155" t="str">
        <f t="shared" si="4"/>
        <v>OK</v>
      </c>
      <c r="J98" s="171" t="str">
        <f t="shared" si="5"/>
        <v/>
      </c>
    </row>
    <row r="99" spans="1:10" ht="24" customHeight="1">
      <c r="A99" s="163" t="s">
        <v>305</v>
      </c>
      <c r="B99" s="152">
        <v>45778</v>
      </c>
      <c r="C99" s="152">
        <v>46142</v>
      </c>
      <c r="D99" s="153" t="s">
        <v>9</v>
      </c>
      <c r="E99" s="153" t="s">
        <v>6</v>
      </c>
      <c r="F99" s="153" t="s">
        <v>296</v>
      </c>
      <c r="G99" s="136">
        <v>173</v>
      </c>
      <c r="H99" s="137">
        <v>2225</v>
      </c>
      <c r="I99" s="153" t="str">
        <f t="shared" si="4"/>
        <v>OK</v>
      </c>
      <c r="J99" s="170" t="str">
        <f t="shared" si="5"/>
        <v/>
      </c>
    </row>
    <row r="100" spans="1:10" ht="24" customHeight="1">
      <c r="A100" s="164" t="s">
        <v>305</v>
      </c>
      <c r="B100" s="154">
        <v>45778</v>
      </c>
      <c r="C100" s="154">
        <v>46142</v>
      </c>
      <c r="D100" s="155" t="s">
        <v>9</v>
      </c>
      <c r="E100" s="155" t="s">
        <v>6</v>
      </c>
      <c r="F100" s="155" t="s">
        <v>296</v>
      </c>
      <c r="G100" s="138">
        <v>151.38</v>
      </c>
      <c r="H100" s="139">
        <v>1946.88</v>
      </c>
      <c r="I100" s="155" t="str">
        <f t="shared" si="4"/>
        <v>OK</v>
      </c>
      <c r="J100" s="171" t="str">
        <f t="shared" si="5"/>
        <v/>
      </c>
    </row>
    <row r="101" spans="1:10" ht="24" customHeight="1">
      <c r="A101" s="164" t="s">
        <v>305</v>
      </c>
      <c r="B101" s="154">
        <v>45778</v>
      </c>
      <c r="C101" s="154">
        <v>46142</v>
      </c>
      <c r="D101" s="155" t="s">
        <v>9</v>
      </c>
      <c r="E101" s="155" t="s">
        <v>6</v>
      </c>
      <c r="F101" s="155" t="s">
        <v>296</v>
      </c>
      <c r="G101" s="138">
        <v>138.4</v>
      </c>
      <c r="H101" s="139">
        <v>1780</v>
      </c>
      <c r="I101" s="155" t="str">
        <f t="shared" ref="I101:I132" si="6">IF($A101="","",IF(OR($B101="",$C101="",$D101="",$E101="",$F101=""),"Stammdaten fehlen",IF(AND($G101="",$H101=""),"Werte fehlen",IF($G101="","Monatsstunden fehlen",IF($H101="","Monatslohn fehlt","OK")))))</f>
        <v>OK</v>
      </c>
      <c r="J101" s="171" t="str">
        <f t="shared" ref="J101:J132" si="7">IF($G101="","",IF(COUNTIFS($A:$A,$A101,$D:$D,$D101,$G:$G,$G101)&gt;1,"Doppelte Monatsstunden",""))</f>
        <v/>
      </c>
    </row>
    <row r="102" spans="1:10" ht="24" customHeight="1">
      <c r="A102" s="164" t="s">
        <v>305</v>
      </c>
      <c r="B102" s="154">
        <v>45778</v>
      </c>
      <c r="C102" s="154">
        <v>46142</v>
      </c>
      <c r="D102" s="155" t="s">
        <v>9</v>
      </c>
      <c r="E102" s="155" t="s">
        <v>6</v>
      </c>
      <c r="F102" s="155" t="s">
        <v>296</v>
      </c>
      <c r="G102" s="138">
        <v>129.75</v>
      </c>
      <c r="H102" s="139">
        <v>1668.75</v>
      </c>
      <c r="I102" s="155" t="str">
        <f t="shared" si="6"/>
        <v>OK</v>
      </c>
      <c r="J102" s="171" t="str">
        <f t="shared" si="7"/>
        <v/>
      </c>
    </row>
    <row r="103" spans="1:10" ht="24" customHeight="1">
      <c r="A103" s="164" t="s">
        <v>305</v>
      </c>
      <c r="B103" s="154">
        <v>45778</v>
      </c>
      <c r="C103" s="154">
        <v>46142</v>
      </c>
      <c r="D103" s="155" t="s">
        <v>9</v>
      </c>
      <c r="E103" s="155" t="s">
        <v>6</v>
      </c>
      <c r="F103" s="155" t="s">
        <v>296</v>
      </c>
      <c r="G103" s="138">
        <v>108.13</v>
      </c>
      <c r="H103" s="139">
        <v>1390.63</v>
      </c>
      <c r="I103" s="155" t="str">
        <f t="shared" si="6"/>
        <v>OK</v>
      </c>
      <c r="J103" s="171" t="str">
        <f t="shared" si="7"/>
        <v/>
      </c>
    </row>
    <row r="104" spans="1:10" ht="24" customHeight="1">
      <c r="A104" s="164" t="s">
        <v>305</v>
      </c>
      <c r="B104" s="154">
        <v>45778</v>
      </c>
      <c r="C104" s="154">
        <v>46142</v>
      </c>
      <c r="D104" s="155" t="s">
        <v>9</v>
      </c>
      <c r="E104" s="155" t="s">
        <v>6</v>
      </c>
      <c r="F104" s="155" t="s">
        <v>296</v>
      </c>
      <c r="G104" s="138">
        <v>103.8</v>
      </c>
      <c r="H104" s="139">
        <v>1335</v>
      </c>
      <c r="I104" s="155" t="str">
        <f t="shared" si="6"/>
        <v>OK</v>
      </c>
      <c r="J104" s="171" t="str">
        <f t="shared" si="7"/>
        <v/>
      </c>
    </row>
    <row r="105" spans="1:10" ht="24" customHeight="1">
      <c r="A105" s="164" t="s">
        <v>305</v>
      </c>
      <c r="B105" s="154">
        <v>45778</v>
      </c>
      <c r="C105" s="154">
        <v>46142</v>
      </c>
      <c r="D105" s="155" t="s">
        <v>9</v>
      </c>
      <c r="E105" s="155" t="s">
        <v>6</v>
      </c>
      <c r="F105" s="155" t="s">
        <v>296</v>
      </c>
      <c r="G105" s="138">
        <v>86.5</v>
      </c>
      <c r="H105" s="139">
        <v>1112.5</v>
      </c>
      <c r="I105" s="155" t="str">
        <f t="shared" si="6"/>
        <v>OK</v>
      </c>
      <c r="J105" s="171" t="str">
        <f t="shared" si="7"/>
        <v/>
      </c>
    </row>
    <row r="106" spans="1:10" ht="24" customHeight="1">
      <c r="A106" s="164" t="s">
        <v>305</v>
      </c>
      <c r="B106" s="154">
        <v>45778</v>
      </c>
      <c r="C106" s="154">
        <v>46142</v>
      </c>
      <c r="D106" s="155" t="s">
        <v>9</v>
      </c>
      <c r="E106" s="155" t="s">
        <v>6</v>
      </c>
      <c r="F106" s="155" t="s">
        <v>296</v>
      </c>
      <c r="G106" s="138">
        <v>69.2</v>
      </c>
      <c r="H106" s="139">
        <v>890</v>
      </c>
      <c r="I106" s="155" t="str">
        <f t="shared" si="6"/>
        <v>OK</v>
      </c>
      <c r="J106" s="171" t="str">
        <f t="shared" si="7"/>
        <v/>
      </c>
    </row>
    <row r="107" spans="1:10" ht="24" customHeight="1">
      <c r="A107" s="164" t="s">
        <v>305</v>
      </c>
      <c r="B107" s="154">
        <v>45778</v>
      </c>
      <c r="C107" s="154">
        <v>46142</v>
      </c>
      <c r="D107" s="155" t="s">
        <v>9</v>
      </c>
      <c r="E107" s="155" t="s">
        <v>6</v>
      </c>
      <c r="F107" s="155" t="s">
        <v>296</v>
      </c>
      <c r="G107" s="138">
        <v>51.9</v>
      </c>
      <c r="H107" s="139">
        <v>667.5</v>
      </c>
      <c r="I107" s="155" t="str">
        <f t="shared" si="6"/>
        <v>OK</v>
      </c>
      <c r="J107" s="171" t="str">
        <f t="shared" si="7"/>
        <v/>
      </c>
    </row>
    <row r="108" spans="1:10" ht="24" customHeight="1">
      <c r="A108" s="164" t="s">
        <v>305</v>
      </c>
      <c r="B108" s="154">
        <v>45778</v>
      </c>
      <c r="C108" s="154">
        <v>46142</v>
      </c>
      <c r="D108" s="155" t="s">
        <v>9</v>
      </c>
      <c r="E108" s="155" t="s">
        <v>6</v>
      </c>
      <c r="F108" s="155" t="s">
        <v>296</v>
      </c>
      <c r="G108" s="138">
        <v>47.58</v>
      </c>
      <c r="H108" s="139">
        <v>611.88</v>
      </c>
      <c r="I108" s="155" t="str">
        <f t="shared" si="6"/>
        <v>OK</v>
      </c>
      <c r="J108" s="171" t="str">
        <f t="shared" si="7"/>
        <v/>
      </c>
    </row>
    <row r="109" spans="1:10" ht="24" customHeight="1">
      <c r="A109" s="164" t="s">
        <v>305</v>
      </c>
      <c r="B109" s="154">
        <v>45778</v>
      </c>
      <c r="C109" s="154">
        <v>46142</v>
      </c>
      <c r="D109" s="155" t="s">
        <v>9</v>
      </c>
      <c r="E109" s="155" t="s">
        <v>6</v>
      </c>
      <c r="F109" s="155" t="s">
        <v>296</v>
      </c>
      <c r="G109" s="138">
        <v>43.25</v>
      </c>
      <c r="H109" s="139">
        <v>556.25</v>
      </c>
      <c r="I109" s="155" t="str">
        <f t="shared" si="6"/>
        <v>OK</v>
      </c>
      <c r="J109" s="171" t="str">
        <f t="shared" si="7"/>
        <v/>
      </c>
    </row>
    <row r="110" spans="1:10" ht="24" customHeight="1">
      <c r="A110" s="164" t="s">
        <v>305</v>
      </c>
      <c r="B110" s="154">
        <v>45778</v>
      </c>
      <c r="C110" s="154">
        <v>46142</v>
      </c>
      <c r="D110" s="155" t="s">
        <v>9</v>
      </c>
      <c r="E110" s="155" t="s">
        <v>6</v>
      </c>
      <c r="F110" s="155" t="s">
        <v>296</v>
      </c>
      <c r="G110" s="138">
        <v>34.6</v>
      </c>
      <c r="H110" s="139">
        <v>445</v>
      </c>
      <c r="I110" s="155" t="str">
        <f t="shared" si="6"/>
        <v>OK</v>
      </c>
      <c r="J110" s="171" t="str">
        <f t="shared" si="7"/>
        <v/>
      </c>
    </row>
    <row r="111" spans="1:10" ht="24" customHeight="1" thickBot="1">
      <c r="A111" s="164" t="s">
        <v>305</v>
      </c>
      <c r="B111" s="154">
        <v>45778</v>
      </c>
      <c r="C111" s="154">
        <v>46142</v>
      </c>
      <c r="D111" s="155" t="s">
        <v>9</v>
      </c>
      <c r="E111" s="155" t="s">
        <v>6</v>
      </c>
      <c r="F111" s="155" t="s">
        <v>296</v>
      </c>
      <c r="G111" s="138">
        <v>32.01</v>
      </c>
      <c r="H111" s="139">
        <v>411.63</v>
      </c>
      <c r="I111" s="155" t="str">
        <f t="shared" si="6"/>
        <v>OK</v>
      </c>
      <c r="J111" s="171" t="str">
        <f t="shared" si="7"/>
        <v/>
      </c>
    </row>
    <row r="112" spans="1:10" ht="24" customHeight="1">
      <c r="A112" s="165" t="s">
        <v>305</v>
      </c>
      <c r="B112" s="156">
        <v>45778</v>
      </c>
      <c r="C112" s="156">
        <v>46142</v>
      </c>
      <c r="D112" s="157" t="s">
        <v>304</v>
      </c>
      <c r="E112" s="157" t="s">
        <v>10</v>
      </c>
      <c r="F112" s="157" t="s">
        <v>293</v>
      </c>
      <c r="G112" s="140">
        <v>173</v>
      </c>
      <c r="H112" s="141">
        <v>2300</v>
      </c>
      <c r="I112" s="157" t="str">
        <f t="shared" si="6"/>
        <v>OK</v>
      </c>
      <c r="J112" s="172" t="str">
        <f t="shared" si="7"/>
        <v/>
      </c>
    </row>
    <row r="113" spans="1:10" ht="24" customHeight="1">
      <c r="A113" s="166" t="s">
        <v>305</v>
      </c>
      <c r="B113" s="158">
        <v>45778</v>
      </c>
      <c r="C113" s="158">
        <v>46142</v>
      </c>
      <c r="D113" s="159" t="s">
        <v>304</v>
      </c>
      <c r="E113" s="159" t="s">
        <v>10</v>
      </c>
      <c r="F113" s="159" t="s">
        <v>293</v>
      </c>
      <c r="G113" s="142">
        <v>151.38</v>
      </c>
      <c r="H113" s="143">
        <v>2012.5</v>
      </c>
      <c r="I113" s="159" t="str">
        <f t="shared" si="6"/>
        <v>OK</v>
      </c>
      <c r="J113" s="173" t="str">
        <f t="shared" si="7"/>
        <v/>
      </c>
    </row>
    <row r="114" spans="1:10" ht="24" customHeight="1">
      <c r="A114" s="166" t="s">
        <v>305</v>
      </c>
      <c r="B114" s="158">
        <v>45778</v>
      </c>
      <c r="C114" s="158">
        <v>46142</v>
      </c>
      <c r="D114" s="159" t="s">
        <v>304</v>
      </c>
      <c r="E114" s="159" t="s">
        <v>10</v>
      </c>
      <c r="F114" s="159" t="s">
        <v>293</v>
      </c>
      <c r="G114" s="142">
        <v>138.4</v>
      </c>
      <c r="H114" s="143">
        <v>1840</v>
      </c>
      <c r="I114" s="159" t="str">
        <f t="shared" si="6"/>
        <v>OK</v>
      </c>
      <c r="J114" s="173" t="str">
        <f t="shared" si="7"/>
        <v/>
      </c>
    </row>
    <row r="115" spans="1:10" ht="24" customHeight="1">
      <c r="A115" s="166" t="s">
        <v>305</v>
      </c>
      <c r="B115" s="158">
        <v>45778</v>
      </c>
      <c r="C115" s="158">
        <v>46142</v>
      </c>
      <c r="D115" s="159" t="s">
        <v>304</v>
      </c>
      <c r="E115" s="159" t="s">
        <v>10</v>
      </c>
      <c r="F115" s="159" t="s">
        <v>293</v>
      </c>
      <c r="G115" s="142">
        <v>129.75</v>
      </c>
      <c r="H115" s="143">
        <v>1725</v>
      </c>
      <c r="I115" s="159" t="str">
        <f t="shared" si="6"/>
        <v>OK</v>
      </c>
      <c r="J115" s="173" t="str">
        <f t="shared" si="7"/>
        <v/>
      </c>
    </row>
    <row r="116" spans="1:10" ht="24" customHeight="1">
      <c r="A116" s="166" t="s">
        <v>305</v>
      </c>
      <c r="B116" s="158">
        <v>45778</v>
      </c>
      <c r="C116" s="158">
        <v>46142</v>
      </c>
      <c r="D116" s="159" t="s">
        <v>304</v>
      </c>
      <c r="E116" s="159" t="s">
        <v>10</v>
      </c>
      <c r="F116" s="159" t="s">
        <v>293</v>
      </c>
      <c r="G116" s="142">
        <v>108.13</v>
      </c>
      <c r="H116" s="143">
        <v>1437.5</v>
      </c>
      <c r="I116" s="159" t="str">
        <f t="shared" si="6"/>
        <v>OK</v>
      </c>
      <c r="J116" s="173" t="str">
        <f t="shared" si="7"/>
        <v/>
      </c>
    </row>
    <row r="117" spans="1:10" ht="24" customHeight="1">
      <c r="A117" s="166" t="s">
        <v>305</v>
      </c>
      <c r="B117" s="158">
        <v>45778</v>
      </c>
      <c r="C117" s="158">
        <v>46142</v>
      </c>
      <c r="D117" s="159" t="s">
        <v>304</v>
      </c>
      <c r="E117" s="159" t="s">
        <v>10</v>
      </c>
      <c r="F117" s="159" t="s">
        <v>293</v>
      </c>
      <c r="G117" s="142">
        <v>103.8</v>
      </c>
      <c r="H117" s="143">
        <v>1380</v>
      </c>
      <c r="I117" s="159" t="str">
        <f t="shared" si="6"/>
        <v>OK</v>
      </c>
      <c r="J117" s="173" t="str">
        <f t="shared" si="7"/>
        <v/>
      </c>
    </row>
    <row r="118" spans="1:10" ht="24" customHeight="1">
      <c r="A118" s="166" t="s">
        <v>305</v>
      </c>
      <c r="B118" s="158">
        <v>45778</v>
      </c>
      <c r="C118" s="158">
        <v>46142</v>
      </c>
      <c r="D118" s="159" t="s">
        <v>304</v>
      </c>
      <c r="E118" s="159" t="s">
        <v>10</v>
      </c>
      <c r="F118" s="159" t="s">
        <v>293</v>
      </c>
      <c r="G118" s="142">
        <v>86.5</v>
      </c>
      <c r="H118" s="143">
        <v>1150</v>
      </c>
      <c r="I118" s="159" t="str">
        <f t="shared" si="6"/>
        <v>OK</v>
      </c>
      <c r="J118" s="173" t="str">
        <f t="shared" si="7"/>
        <v/>
      </c>
    </row>
    <row r="119" spans="1:10" ht="24" customHeight="1">
      <c r="A119" s="166" t="s">
        <v>305</v>
      </c>
      <c r="B119" s="158">
        <v>45778</v>
      </c>
      <c r="C119" s="158">
        <v>46142</v>
      </c>
      <c r="D119" s="159" t="s">
        <v>304</v>
      </c>
      <c r="E119" s="159" t="s">
        <v>10</v>
      </c>
      <c r="F119" s="159" t="s">
        <v>293</v>
      </c>
      <c r="G119" s="142">
        <v>69.2</v>
      </c>
      <c r="H119" s="143">
        <v>920</v>
      </c>
      <c r="I119" s="159" t="str">
        <f t="shared" si="6"/>
        <v>OK</v>
      </c>
      <c r="J119" s="173" t="str">
        <f t="shared" si="7"/>
        <v/>
      </c>
    </row>
    <row r="120" spans="1:10" ht="24" customHeight="1">
      <c r="A120" s="166" t="s">
        <v>305</v>
      </c>
      <c r="B120" s="158">
        <v>45778</v>
      </c>
      <c r="C120" s="158">
        <v>46142</v>
      </c>
      <c r="D120" s="159" t="s">
        <v>304</v>
      </c>
      <c r="E120" s="159" t="s">
        <v>10</v>
      </c>
      <c r="F120" s="159" t="s">
        <v>293</v>
      </c>
      <c r="G120" s="142">
        <v>51.9</v>
      </c>
      <c r="H120" s="143">
        <v>690</v>
      </c>
      <c r="I120" s="159" t="str">
        <f t="shared" si="6"/>
        <v>OK</v>
      </c>
      <c r="J120" s="173" t="str">
        <f t="shared" si="7"/>
        <v/>
      </c>
    </row>
    <row r="121" spans="1:10" ht="24" customHeight="1">
      <c r="A121" s="166" t="s">
        <v>305</v>
      </c>
      <c r="B121" s="158">
        <v>45778</v>
      </c>
      <c r="C121" s="158">
        <v>46142</v>
      </c>
      <c r="D121" s="159" t="s">
        <v>304</v>
      </c>
      <c r="E121" s="159" t="s">
        <v>10</v>
      </c>
      <c r="F121" s="159" t="s">
        <v>293</v>
      </c>
      <c r="G121" s="142">
        <v>47.58</v>
      </c>
      <c r="H121" s="143">
        <v>632.5</v>
      </c>
      <c r="I121" s="159" t="str">
        <f t="shared" si="6"/>
        <v>OK</v>
      </c>
      <c r="J121" s="173" t="str">
        <f t="shared" si="7"/>
        <v/>
      </c>
    </row>
    <row r="122" spans="1:10" ht="24" customHeight="1">
      <c r="A122" s="166" t="s">
        <v>305</v>
      </c>
      <c r="B122" s="158">
        <v>45778</v>
      </c>
      <c r="C122" s="158">
        <v>46142</v>
      </c>
      <c r="D122" s="159" t="s">
        <v>304</v>
      </c>
      <c r="E122" s="159" t="s">
        <v>10</v>
      </c>
      <c r="F122" s="159" t="s">
        <v>293</v>
      </c>
      <c r="G122" s="142">
        <v>43.25</v>
      </c>
      <c r="H122" s="143">
        <v>575</v>
      </c>
      <c r="I122" s="159" t="str">
        <f t="shared" si="6"/>
        <v>OK</v>
      </c>
      <c r="J122" s="173" t="str">
        <f t="shared" si="7"/>
        <v/>
      </c>
    </row>
    <row r="123" spans="1:10" ht="24" customHeight="1">
      <c r="A123" s="166" t="s">
        <v>305</v>
      </c>
      <c r="B123" s="158">
        <v>45778</v>
      </c>
      <c r="C123" s="158">
        <v>46142</v>
      </c>
      <c r="D123" s="159" t="s">
        <v>304</v>
      </c>
      <c r="E123" s="159" t="s">
        <v>10</v>
      </c>
      <c r="F123" s="159" t="s">
        <v>293</v>
      </c>
      <c r="G123" s="142">
        <v>34.6</v>
      </c>
      <c r="H123" s="143">
        <v>460</v>
      </c>
      <c r="I123" s="159" t="str">
        <f t="shared" si="6"/>
        <v>OK</v>
      </c>
      <c r="J123" s="173" t="str">
        <f t="shared" si="7"/>
        <v/>
      </c>
    </row>
    <row r="124" spans="1:10" ht="24" customHeight="1" thickBot="1">
      <c r="A124" s="166" t="s">
        <v>305</v>
      </c>
      <c r="B124" s="158">
        <v>45778</v>
      </c>
      <c r="C124" s="158">
        <v>46142</v>
      </c>
      <c r="D124" s="159" t="s">
        <v>304</v>
      </c>
      <c r="E124" s="159" t="s">
        <v>10</v>
      </c>
      <c r="F124" s="159" t="s">
        <v>293</v>
      </c>
      <c r="G124" s="142">
        <v>32.01</v>
      </c>
      <c r="H124" s="143">
        <v>425.5</v>
      </c>
      <c r="I124" s="159" t="str">
        <f t="shared" si="6"/>
        <v>OK</v>
      </c>
      <c r="J124" s="173" t="str">
        <f t="shared" si="7"/>
        <v/>
      </c>
    </row>
    <row r="125" spans="1:10" ht="24" customHeight="1">
      <c r="A125" s="165" t="s">
        <v>305</v>
      </c>
      <c r="B125" s="156">
        <v>45778</v>
      </c>
      <c r="C125" s="156">
        <v>46142</v>
      </c>
      <c r="D125" s="157" t="s">
        <v>11</v>
      </c>
      <c r="E125" s="157" t="s">
        <v>10</v>
      </c>
      <c r="F125" s="157" t="s">
        <v>294</v>
      </c>
      <c r="G125" s="140">
        <v>173</v>
      </c>
      <c r="H125" s="141">
        <v>2300</v>
      </c>
      <c r="I125" s="157" t="str">
        <f t="shared" si="6"/>
        <v>OK</v>
      </c>
      <c r="J125" s="172" t="str">
        <f t="shared" si="7"/>
        <v/>
      </c>
    </row>
    <row r="126" spans="1:10" ht="24" customHeight="1">
      <c r="A126" s="166" t="s">
        <v>305</v>
      </c>
      <c r="B126" s="158">
        <v>45778</v>
      </c>
      <c r="C126" s="158">
        <v>46142</v>
      </c>
      <c r="D126" s="159" t="s">
        <v>11</v>
      </c>
      <c r="E126" s="159" t="s">
        <v>10</v>
      </c>
      <c r="F126" s="159" t="s">
        <v>294</v>
      </c>
      <c r="G126" s="142">
        <v>151.38</v>
      </c>
      <c r="H126" s="143">
        <v>2012.5</v>
      </c>
      <c r="I126" s="159" t="str">
        <f t="shared" si="6"/>
        <v>OK</v>
      </c>
      <c r="J126" s="173" t="str">
        <f t="shared" si="7"/>
        <v/>
      </c>
    </row>
    <row r="127" spans="1:10" ht="24" customHeight="1">
      <c r="A127" s="166" t="s">
        <v>305</v>
      </c>
      <c r="B127" s="158">
        <v>45778</v>
      </c>
      <c r="C127" s="158">
        <v>46142</v>
      </c>
      <c r="D127" s="159" t="s">
        <v>11</v>
      </c>
      <c r="E127" s="159" t="s">
        <v>10</v>
      </c>
      <c r="F127" s="159" t="s">
        <v>294</v>
      </c>
      <c r="G127" s="142">
        <v>138.4</v>
      </c>
      <c r="H127" s="143">
        <v>1840</v>
      </c>
      <c r="I127" s="159" t="str">
        <f t="shared" si="6"/>
        <v>OK</v>
      </c>
      <c r="J127" s="173" t="str">
        <f t="shared" si="7"/>
        <v/>
      </c>
    </row>
    <row r="128" spans="1:10" ht="24" customHeight="1">
      <c r="A128" s="166" t="s">
        <v>305</v>
      </c>
      <c r="B128" s="158">
        <v>45778</v>
      </c>
      <c r="C128" s="158">
        <v>46142</v>
      </c>
      <c r="D128" s="159" t="s">
        <v>11</v>
      </c>
      <c r="E128" s="159" t="s">
        <v>10</v>
      </c>
      <c r="F128" s="159" t="s">
        <v>294</v>
      </c>
      <c r="G128" s="142">
        <v>129.75</v>
      </c>
      <c r="H128" s="143">
        <v>1725</v>
      </c>
      <c r="I128" s="159" t="str">
        <f t="shared" si="6"/>
        <v>OK</v>
      </c>
      <c r="J128" s="173" t="str">
        <f t="shared" si="7"/>
        <v/>
      </c>
    </row>
    <row r="129" spans="1:10" ht="24" customHeight="1">
      <c r="A129" s="166" t="s">
        <v>305</v>
      </c>
      <c r="B129" s="158">
        <v>45778</v>
      </c>
      <c r="C129" s="158">
        <v>46142</v>
      </c>
      <c r="D129" s="159" t="s">
        <v>11</v>
      </c>
      <c r="E129" s="159" t="s">
        <v>10</v>
      </c>
      <c r="F129" s="159" t="s">
        <v>294</v>
      </c>
      <c r="G129" s="142">
        <v>108.13</v>
      </c>
      <c r="H129" s="143">
        <v>1437.5</v>
      </c>
      <c r="I129" s="159" t="str">
        <f t="shared" si="6"/>
        <v>OK</v>
      </c>
      <c r="J129" s="173" t="str">
        <f t="shared" si="7"/>
        <v/>
      </c>
    </row>
    <row r="130" spans="1:10" ht="24" customHeight="1">
      <c r="A130" s="166" t="s">
        <v>305</v>
      </c>
      <c r="B130" s="158">
        <v>45778</v>
      </c>
      <c r="C130" s="158">
        <v>46142</v>
      </c>
      <c r="D130" s="159" t="s">
        <v>11</v>
      </c>
      <c r="E130" s="159" t="s">
        <v>10</v>
      </c>
      <c r="F130" s="159" t="s">
        <v>294</v>
      </c>
      <c r="G130" s="142">
        <v>103.8</v>
      </c>
      <c r="H130" s="143">
        <v>1380</v>
      </c>
      <c r="I130" s="159" t="str">
        <f t="shared" si="6"/>
        <v>OK</v>
      </c>
      <c r="J130" s="173" t="str">
        <f t="shared" si="7"/>
        <v/>
      </c>
    </row>
    <row r="131" spans="1:10" ht="24" customHeight="1">
      <c r="A131" s="166" t="s">
        <v>305</v>
      </c>
      <c r="B131" s="158">
        <v>45778</v>
      </c>
      <c r="C131" s="158">
        <v>46142</v>
      </c>
      <c r="D131" s="159" t="s">
        <v>11</v>
      </c>
      <c r="E131" s="159" t="s">
        <v>10</v>
      </c>
      <c r="F131" s="159" t="s">
        <v>294</v>
      </c>
      <c r="G131" s="142">
        <v>86.5</v>
      </c>
      <c r="H131" s="143">
        <v>1150</v>
      </c>
      <c r="I131" s="159" t="str">
        <f t="shared" si="6"/>
        <v>OK</v>
      </c>
      <c r="J131" s="173" t="str">
        <f t="shared" si="7"/>
        <v/>
      </c>
    </row>
    <row r="132" spans="1:10" ht="24" customHeight="1">
      <c r="A132" s="166" t="s">
        <v>305</v>
      </c>
      <c r="B132" s="158">
        <v>45778</v>
      </c>
      <c r="C132" s="158">
        <v>46142</v>
      </c>
      <c r="D132" s="159" t="s">
        <v>11</v>
      </c>
      <c r="E132" s="159" t="s">
        <v>10</v>
      </c>
      <c r="F132" s="159" t="s">
        <v>294</v>
      </c>
      <c r="G132" s="142">
        <v>69.2</v>
      </c>
      <c r="H132" s="143">
        <v>920</v>
      </c>
      <c r="I132" s="159" t="str">
        <f t="shared" si="6"/>
        <v>OK</v>
      </c>
      <c r="J132" s="173" t="str">
        <f t="shared" si="7"/>
        <v/>
      </c>
    </row>
    <row r="133" spans="1:10" ht="24" customHeight="1">
      <c r="A133" s="166" t="s">
        <v>305</v>
      </c>
      <c r="B133" s="158">
        <v>45778</v>
      </c>
      <c r="C133" s="158">
        <v>46142</v>
      </c>
      <c r="D133" s="159" t="s">
        <v>11</v>
      </c>
      <c r="E133" s="159" t="s">
        <v>10</v>
      </c>
      <c r="F133" s="159" t="s">
        <v>294</v>
      </c>
      <c r="G133" s="142">
        <v>51.9</v>
      </c>
      <c r="H133" s="143">
        <v>690</v>
      </c>
      <c r="I133" s="159" t="str">
        <f t="shared" ref="I133:I163" si="8">IF($A133="","",IF(OR($B133="",$C133="",$D133="",$E133="",$F133=""),"Stammdaten fehlen",IF(AND($G133="",$H133=""),"Werte fehlen",IF($G133="","Monatsstunden fehlen",IF($H133="","Monatslohn fehlt","OK")))))</f>
        <v>OK</v>
      </c>
      <c r="J133" s="173" t="str">
        <f t="shared" ref="J133:J163" si="9">IF($G133="","",IF(COUNTIFS($A:$A,$A133,$D:$D,$D133,$G:$G,$G133)&gt;1,"Doppelte Monatsstunden",""))</f>
        <v/>
      </c>
    </row>
    <row r="134" spans="1:10" ht="24" customHeight="1">
      <c r="A134" s="166" t="s">
        <v>305</v>
      </c>
      <c r="B134" s="158">
        <v>45778</v>
      </c>
      <c r="C134" s="158">
        <v>46142</v>
      </c>
      <c r="D134" s="159" t="s">
        <v>11</v>
      </c>
      <c r="E134" s="159" t="s">
        <v>10</v>
      </c>
      <c r="F134" s="159" t="s">
        <v>294</v>
      </c>
      <c r="G134" s="142">
        <v>47.58</v>
      </c>
      <c r="H134" s="143">
        <v>632.5</v>
      </c>
      <c r="I134" s="159" t="str">
        <f t="shared" si="8"/>
        <v>OK</v>
      </c>
      <c r="J134" s="173" t="str">
        <f t="shared" si="9"/>
        <v/>
      </c>
    </row>
    <row r="135" spans="1:10" ht="24" customHeight="1">
      <c r="A135" s="166" t="s">
        <v>305</v>
      </c>
      <c r="B135" s="158">
        <v>45778</v>
      </c>
      <c r="C135" s="158">
        <v>46142</v>
      </c>
      <c r="D135" s="159" t="s">
        <v>11</v>
      </c>
      <c r="E135" s="159" t="s">
        <v>10</v>
      </c>
      <c r="F135" s="159" t="s">
        <v>294</v>
      </c>
      <c r="G135" s="142">
        <v>43.25</v>
      </c>
      <c r="H135" s="143">
        <v>575</v>
      </c>
      <c r="I135" s="159" t="str">
        <f t="shared" si="8"/>
        <v>OK</v>
      </c>
      <c r="J135" s="173" t="str">
        <f t="shared" si="9"/>
        <v/>
      </c>
    </row>
    <row r="136" spans="1:10" ht="24" customHeight="1">
      <c r="A136" s="166" t="s">
        <v>305</v>
      </c>
      <c r="B136" s="158">
        <v>45778</v>
      </c>
      <c r="C136" s="158">
        <v>46142</v>
      </c>
      <c r="D136" s="159" t="s">
        <v>11</v>
      </c>
      <c r="E136" s="159" t="s">
        <v>10</v>
      </c>
      <c r="F136" s="159" t="s">
        <v>294</v>
      </c>
      <c r="G136" s="142">
        <v>34.6</v>
      </c>
      <c r="H136" s="143">
        <v>460</v>
      </c>
      <c r="I136" s="159" t="str">
        <f t="shared" si="8"/>
        <v>OK</v>
      </c>
      <c r="J136" s="173" t="str">
        <f t="shared" si="9"/>
        <v/>
      </c>
    </row>
    <row r="137" spans="1:10" ht="24" customHeight="1" thickBot="1">
      <c r="A137" s="166" t="s">
        <v>305</v>
      </c>
      <c r="B137" s="158">
        <v>45778</v>
      </c>
      <c r="C137" s="158">
        <v>46142</v>
      </c>
      <c r="D137" s="159" t="s">
        <v>11</v>
      </c>
      <c r="E137" s="159" t="s">
        <v>10</v>
      </c>
      <c r="F137" s="159" t="s">
        <v>294</v>
      </c>
      <c r="G137" s="142">
        <v>32.01</v>
      </c>
      <c r="H137" s="143">
        <v>425.5</v>
      </c>
      <c r="I137" s="159" t="str">
        <f t="shared" si="8"/>
        <v>OK</v>
      </c>
      <c r="J137" s="173" t="str">
        <f t="shared" si="9"/>
        <v/>
      </c>
    </row>
    <row r="138" spans="1:10" ht="24" customHeight="1">
      <c r="A138" s="165" t="s">
        <v>305</v>
      </c>
      <c r="B138" s="156">
        <v>45778</v>
      </c>
      <c r="C138" s="156">
        <v>46142</v>
      </c>
      <c r="D138" s="157" t="s">
        <v>12</v>
      </c>
      <c r="E138" s="157" t="s">
        <v>10</v>
      </c>
      <c r="F138" s="157" t="s">
        <v>295</v>
      </c>
      <c r="G138" s="140">
        <v>173</v>
      </c>
      <c r="H138" s="141">
        <v>2300</v>
      </c>
      <c r="I138" s="157" t="str">
        <f t="shared" si="8"/>
        <v>OK</v>
      </c>
      <c r="J138" s="172" t="str">
        <f t="shared" si="9"/>
        <v/>
      </c>
    </row>
    <row r="139" spans="1:10" ht="24" customHeight="1">
      <c r="A139" s="166" t="s">
        <v>305</v>
      </c>
      <c r="B139" s="158">
        <v>45778</v>
      </c>
      <c r="C139" s="158">
        <v>46142</v>
      </c>
      <c r="D139" s="159" t="s">
        <v>12</v>
      </c>
      <c r="E139" s="159" t="s">
        <v>10</v>
      </c>
      <c r="F139" s="159" t="s">
        <v>295</v>
      </c>
      <c r="G139" s="142">
        <v>151.38</v>
      </c>
      <c r="H139" s="143">
        <v>2012.5</v>
      </c>
      <c r="I139" s="159" t="str">
        <f t="shared" si="8"/>
        <v>OK</v>
      </c>
      <c r="J139" s="173" t="str">
        <f t="shared" si="9"/>
        <v/>
      </c>
    </row>
    <row r="140" spans="1:10" ht="24" customHeight="1">
      <c r="A140" s="166" t="s">
        <v>305</v>
      </c>
      <c r="B140" s="158">
        <v>45778</v>
      </c>
      <c r="C140" s="158">
        <v>46142</v>
      </c>
      <c r="D140" s="159" t="s">
        <v>12</v>
      </c>
      <c r="E140" s="159" t="s">
        <v>10</v>
      </c>
      <c r="F140" s="159" t="s">
        <v>295</v>
      </c>
      <c r="G140" s="142">
        <v>138.4</v>
      </c>
      <c r="H140" s="143">
        <v>1840</v>
      </c>
      <c r="I140" s="159" t="str">
        <f t="shared" si="8"/>
        <v>OK</v>
      </c>
      <c r="J140" s="173" t="str">
        <f t="shared" si="9"/>
        <v/>
      </c>
    </row>
    <row r="141" spans="1:10" ht="24" customHeight="1">
      <c r="A141" s="166" t="s">
        <v>305</v>
      </c>
      <c r="B141" s="158">
        <v>45778</v>
      </c>
      <c r="C141" s="158">
        <v>46142</v>
      </c>
      <c r="D141" s="159" t="s">
        <v>12</v>
      </c>
      <c r="E141" s="159" t="s">
        <v>10</v>
      </c>
      <c r="F141" s="159" t="s">
        <v>295</v>
      </c>
      <c r="G141" s="142">
        <v>129.75</v>
      </c>
      <c r="H141" s="143">
        <v>1725</v>
      </c>
      <c r="I141" s="159" t="str">
        <f t="shared" si="8"/>
        <v>OK</v>
      </c>
      <c r="J141" s="173" t="str">
        <f t="shared" si="9"/>
        <v/>
      </c>
    </row>
    <row r="142" spans="1:10" ht="24" customHeight="1">
      <c r="A142" s="166" t="s">
        <v>305</v>
      </c>
      <c r="B142" s="158">
        <v>45778</v>
      </c>
      <c r="C142" s="158">
        <v>46142</v>
      </c>
      <c r="D142" s="159" t="s">
        <v>12</v>
      </c>
      <c r="E142" s="159" t="s">
        <v>10</v>
      </c>
      <c r="F142" s="159" t="s">
        <v>295</v>
      </c>
      <c r="G142" s="142">
        <v>108.13</v>
      </c>
      <c r="H142" s="143">
        <v>1437.5</v>
      </c>
      <c r="I142" s="159" t="str">
        <f t="shared" si="8"/>
        <v>OK</v>
      </c>
      <c r="J142" s="173" t="str">
        <f t="shared" si="9"/>
        <v/>
      </c>
    </row>
    <row r="143" spans="1:10" ht="24" customHeight="1">
      <c r="A143" s="166" t="s">
        <v>305</v>
      </c>
      <c r="B143" s="158">
        <v>45778</v>
      </c>
      <c r="C143" s="158">
        <v>46142</v>
      </c>
      <c r="D143" s="159" t="s">
        <v>12</v>
      </c>
      <c r="E143" s="159" t="s">
        <v>10</v>
      </c>
      <c r="F143" s="159" t="s">
        <v>295</v>
      </c>
      <c r="G143" s="142">
        <v>103.8</v>
      </c>
      <c r="H143" s="143">
        <v>1380</v>
      </c>
      <c r="I143" s="159" t="str">
        <f t="shared" si="8"/>
        <v>OK</v>
      </c>
      <c r="J143" s="173" t="str">
        <f t="shared" si="9"/>
        <v/>
      </c>
    </row>
    <row r="144" spans="1:10" ht="24" customHeight="1">
      <c r="A144" s="166" t="s">
        <v>305</v>
      </c>
      <c r="B144" s="158">
        <v>45778</v>
      </c>
      <c r="C144" s="158">
        <v>46142</v>
      </c>
      <c r="D144" s="159" t="s">
        <v>12</v>
      </c>
      <c r="E144" s="159" t="s">
        <v>10</v>
      </c>
      <c r="F144" s="159" t="s">
        <v>295</v>
      </c>
      <c r="G144" s="142">
        <v>86.5</v>
      </c>
      <c r="H144" s="143">
        <v>1150</v>
      </c>
      <c r="I144" s="159" t="str">
        <f t="shared" si="8"/>
        <v>OK</v>
      </c>
      <c r="J144" s="173" t="str">
        <f t="shared" si="9"/>
        <v/>
      </c>
    </row>
    <row r="145" spans="1:10" ht="24" customHeight="1">
      <c r="A145" s="166" t="s">
        <v>305</v>
      </c>
      <c r="B145" s="158">
        <v>45778</v>
      </c>
      <c r="C145" s="158">
        <v>46142</v>
      </c>
      <c r="D145" s="159" t="s">
        <v>12</v>
      </c>
      <c r="E145" s="159" t="s">
        <v>10</v>
      </c>
      <c r="F145" s="159" t="s">
        <v>295</v>
      </c>
      <c r="G145" s="142">
        <v>69.2</v>
      </c>
      <c r="H145" s="143">
        <v>920</v>
      </c>
      <c r="I145" s="159" t="str">
        <f t="shared" si="8"/>
        <v>OK</v>
      </c>
      <c r="J145" s="173" t="str">
        <f t="shared" si="9"/>
        <v/>
      </c>
    </row>
    <row r="146" spans="1:10" ht="24" customHeight="1">
      <c r="A146" s="166" t="s">
        <v>305</v>
      </c>
      <c r="B146" s="158">
        <v>45778</v>
      </c>
      <c r="C146" s="158">
        <v>46142</v>
      </c>
      <c r="D146" s="159" t="s">
        <v>12</v>
      </c>
      <c r="E146" s="159" t="s">
        <v>10</v>
      </c>
      <c r="F146" s="159" t="s">
        <v>295</v>
      </c>
      <c r="G146" s="142">
        <v>51.9</v>
      </c>
      <c r="H146" s="143">
        <v>690</v>
      </c>
      <c r="I146" s="159" t="str">
        <f t="shared" si="8"/>
        <v>OK</v>
      </c>
      <c r="J146" s="173" t="str">
        <f t="shared" si="9"/>
        <v/>
      </c>
    </row>
    <row r="147" spans="1:10" ht="24" customHeight="1">
      <c r="A147" s="166" t="s">
        <v>305</v>
      </c>
      <c r="B147" s="158">
        <v>45778</v>
      </c>
      <c r="C147" s="158">
        <v>46142</v>
      </c>
      <c r="D147" s="159" t="s">
        <v>12</v>
      </c>
      <c r="E147" s="159" t="s">
        <v>10</v>
      </c>
      <c r="F147" s="159" t="s">
        <v>295</v>
      </c>
      <c r="G147" s="142">
        <v>47.58</v>
      </c>
      <c r="H147" s="143">
        <v>632.5</v>
      </c>
      <c r="I147" s="159" t="str">
        <f t="shared" si="8"/>
        <v>OK</v>
      </c>
      <c r="J147" s="173" t="str">
        <f t="shared" si="9"/>
        <v/>
      </c>
    </row>
    <row r="148" spans="1:10" ht="24" customHeight="1">
      <c r="A148" s="166" t="s">
        <v>305</v>
      </c>
      <c r="B148" s="158">
        <v>45778</v>
      </c>
      <c r="C148" s="158">
        <v>46142</v>
      </c>
      <c r="D148" s="159" t="s">
        <v>12</v>
      </c>
      <c r="E148" s="159" t="s">
        <v>10</v>
      </c>
      <c r="F148" s="159" t="s">
        <v>295</v>
      </c>
      <c r="G148" s="142">
        <v>43.25</v>
      </c>
      <c r="H148" s="143">
        <v>575</v>
      </c>
      <c r="I148" s="159" t="str">
        <f t="shared" si="8"/>
        <v>OK</v>
      </c>
      <c r="J148" s="173" t="str">
        <f t="shared" si="9"/>
        <v/>
      </c>
    </row>
    <row r="149" spans="1:10" ht="24" customHeight="1">
      <c r="A149" s="166" t="s">
        <v>305</v>
      </c>
      <c r="B149" s="158">
        <v>45778</v>
      </c>
      <c r="C149" s="158">
        <v>46142</v>
      </c>
      <c r="D149" s="159" t="s">
        <v>12</v>
      </c>
      <c r="E149" s="159" t="s">
        <v>10</v>
      </c>
      <c r="F149" s="159" t="s">
        <v>295</v>
      </c>
      <c r="G149" s="142">
        <v>34.6</v>
      </c>
      <c r="H149" s="143">
        <v>460</v>
      </c>
      <c r="I149" s="159" t="str">
        <f t="shared" si="8"/>
        <v>OK</v>
      </c>
      <c r="J149" s="173" t="str">
        <f t="shared" si="9"/>
        <v/>
      </c>
    </row>
    <row r="150" spans="1:10" ht="24" customHeight="1" thickBot="1">
      <c r="A150" s="166" t="s">
        <v>305</v>
      </c>
      <c r="B150" s="158">
        <v>45778</v>
      </c>
      <c r="C150" s="158">
        <v>46142</v>
      </c>
      <c r="D150" s="159" t="s">
        <v>12</v>
      </c>
      <c r="E150" s="159" t="s">
        <v>10</v>
      </c>
      <c r="F150" s="159" t="s">
        <v>295</v>
      </c>
      <c r="G150" s="142">
        <v>32.01</v>
      </c>
      <c r="H150" s="143">
        <v>425.5</v>
      </c>
      <c r="I150" s="159" t="str">
        <f t="shared" si="8"/>
        <v>OK</v>
      </c>
      <c r="J150" s="173" t="str">
        <f t="shared" si="9"/>
        <v/>
      </c>
    </row>
    <row r="151" spans="1:10" ht="24" customHeight="1">
      <c r="A151" s="165" t="s">
        <v>305</v>
      </c>
      <c r="B151" s="156">
        <v>45778</v>
      </c>
      <c r="C151" s="156">
        <v>46142</v>
      </c>
      <c r="D151" s="157" t="s">
        <v>13</v>
      </c>
      <c r="E151" s="157" t="s">
        <v>10</v>
      </c>
      <c r="F151" s="157" t="s">
        <v>296</v>
      </c>
      <c r="G151" s="140">
        <v>173</v>
      </c>
      <c r="H151" s="141">
        <v>2328</v>
      </c>
      <c r="I151" s="157" t="str">
        <f t="shared" si="8"/>
        <v>OK</v>
      </c>
      <c r="J151" s="172" t="str">
        <f t="shared" si="9"/>
        <v/>
      </c>
    </row>
    <row r="152" spans="1:10" ht="24" customHeight="1">
      <c r="A152" s="166" t="s">
        <v>305</v>
      </c>
      <c r="B152" s="158">
        <v>45778</v>
      </c>
      <c r="C152" s="158">
        <v>46142</v>
      </c>
      <c r="D152" s="159" t="s">
        <v>13</v>
      </c>
      <c r="E152" s="159" t="s">
        <v>10</v>
      </c>
      <c r="F152" s="159" t="s">
        <v>296</v>
      </c>
      <c r="G152" s="142">
        <v>151.38</v>
      </c>
      <c r="H152" s="143">
        <v>2037</v>
      </c>
      <c r="I152" s="159" t="str">
        <f t="shared" si="8"/>
        <v>OK</v>
      </c>
      <c r="J152" s="173" t="str">
        <f t="shared" si="9"/>
        <v/>
      </c>
    </row>
    <row r="153" spans="1:10" ht="24" customHeight="1">
      <c r="A153" s="166" t="s">
        <v>305</v>
      </c>
      <c r="B153" s="158">
        <v>45778</v>
      </c>
      <c r="C153" s="158">
        <v>46142</v>
      </c>
      <c r="D153" s="159" t="s">
        <v>13</v>
      </c>
      <c r="E153" s="159" t="s">
        <v>10</v>
      </c>
      <c r="F153" s="159" t="s">
        <v>296</v>
      </c>
      <c r="G153" s="142">
        <v>138.4</v>
      </c>
      <c r="H153" s="143">
        <v>1862.4</v>
      </c>
      <c r="I153" s="159" t="str">
        <f t="shared" si="8"/>
        <v>OK</v>
      </c>
      <c r="J153" s="173" t="str">
        <f t="shared" si="9"/>
        <v/>
      </c>
    </row>
    <row r="154" spans="1:10" ht="24" customHeight="1">
      <c r="A154" s="166" t="s">
        <v>305</v>
      </c>
      <c r="B154" s="158">
        <v>45778</v>
      </c>
      <c r="C154" s="158">
        <v>46142</v>
      </c>
      <c r="D154" s="159" t="s">
        <v>13</v>
      </c>
      <c r="E154" s="159" t="s">
        <v>10</v>
      </c>
      <c r="F154" s="159" t="s">
        <v>296</v>
      </c>
      <c r="G154" s="142">
        <v>129.75</v>
      </c>
      <c r="H154" s="143">
        <v>1476</v>
      </c>
      <c r="I154" s="159" t="str">
        <f t="shared" si="8"/>
        <v>OK</v>
      </c>
      <c r="J154" s="173" t="str">
        <f t="shared" si="9"/>
        <v/>
      </c>
    </row>
    <row r="155" spans="1:10" ht="24" customHeight="1">
      <c r="A155" s="166" t="s">
        <v>305</v>
      </c>
      <c r="B155" s="158">
        <v>45778</v>
      </c>
      <c r="C155" s="158">
        <v>46142</v>
      </c>
      <c r="D155" s="159" t="s">
        <v>13</v>
      </c>
      <c r="E155" s="159" t="s">
        <v>10</v>
      </c>
      <c r="F155" s="159" t="s">
        <v>296</v>
      </c>
      <c r="G155" s="142">
        <v>108.13</v>
      </c>
      <c r="H155" s="143">
        <v>1455</v>
      </c>
      <c r="I155" s="159" t="str">
        <f t="shared" si="8"/>
        <v>OK</v>
      </c>
      <c r="J155" s="173" t="str">
        <f t="shared" si="9"/>
        <v/>
      </c>
    </row>
    <row r="156" spans="1:10" ht="24" customHeight="1">
      <c r="A156" s="166" t="s">
        <v>305</v>
      </c>
      <c r="B156" s="158">
        <v>45778</v>
      </c>
      <c r="C156" s="158">
        <v>46142</v>
      </c>
      <c r="D156" s="159" t="s">
        <v>13</v>
      </c>
      <c r="E156" s="159" t="s">
        <v>10</v>
      </c>
      <c r="F156" s="159" t="s">
        <v>296</v>
      </c>
      <c r="G156" s="142">
        <v>103.8</v>
      </c>
      <c r="H156" s="143">
        <v>1396.8</v>
      </c>
      <c r="I156" s="159" t="str">
        <f t="shared" si="8"/>
        <v>OK</v>
      </c>
      <c r="J156" s="173" t="str">
        <f t="shared" si="9"/>
        <v/>
      </c>
    </row>
    <row r="157" spans="1:10" ht="24" customHeight="1">
      <c r="A157" s="166" t="s">
        <v>305</v>
      </c>
      <c r="B157" s="158">
        <v>45778</v>
      </c>
      <c r="C157" s="158">
        <v>46142</v>
      </c>
      <c r="D157" s="159" t="s">
        <v>13</v>
      </c>
      <c r="E157" s="159" t="s">
        <v>10</v>
      </c>
      <c r="F157" s="159" t="s">
        <v>296</v>
      </c>
      <c r="G157" s="142">
        <v>86.5</v>
      </c>
      <c r="H157" s="143">
        <v>1164</v>
      </c>
      <c r="I157" s="159" t="str">
        <f t="shared" si="8"/>
        <v>OK</v>
      </c>
      <c r="J157" s="173" t="str">
        <f t="shared" si="9"/>
        <v/>
      </c>
    </row>
    <row r="158" spans="1:10" ht="24" customHeight="1">
      <c r="A158" s="166" t="s">
        <v>305</v>
      </c>
      <c r="B158" s="158">
        <v>45778</v>
      </c>
      <c r="C158" s="158">
        <v>46142</v>
      </c>
      <c r="D158" s="159" t="s">
        <v>13</v>
      </c>
      <c r="E158" s="159" t="s">
        <v>10</v>
      </c>
      <c r="F158" s="159" t="s">
        <v>296</v>
      </c>
      <c r="G158" s="142">
        <v>69.2</v>
      </c>
      <c r="H158" s="143">
        <v>931.2</v>
      </c>
      <c r="I158" s="159" t="str">
        <f t="shared" si="8"/>
        <v>OK</v>
      </c>
      <c r="J158" s="173" t="str">
        <f t="shared" si="9"/>
        <v/>
      </c>
    </row>
    <row r="159" spans="1:10" ht="24" customHeight="1">
      <c r="A159" s="166" t="s">
        <v>305</v>
      </c>
      <c r="B159" s="158">
        <v>45778</v>
      </c>
      <c r="C159" s="158">
        <v>46142</v>
      </c>
      <c r="D159" s="159" t="s">
        <v>13</v>
      </c>
      <c r="E159" s="159" t="s">
        <v>10</v>
      </c>
      <c r="F159" s="159" t="s">
        <v>296</v>
      </c>
      <c r="G159" s="142">
        <v>51.9</v>
      </c>
      <c r="H159" s="143">
        <v>698.4</v>
      </c>
      <c r="I159" s="159" t="str">
        <f t="shared" si="8"/>
        <v>OK</v>
      </c>
      <c r="J159" s="173" t="str">
        <f t="shared" si="9"/>
        <v/>
      </c>
    </row>
    <row r="160" spans="1:10" ht="24" customHeight="1">
      <c r="A160" s="166" t="s">
        <v>305</v>
      </c>
      <c r="B160" s="158">
        <v>45778</v>
      </c>
      <c r="C160" s="158">
        <v>46142</v>
      </c>
      <c r="D160" s="159" t="s">
        <v>13</v>
      </c>
      <c r="E160" s="159" t="s">
        <v>10</v>
      </c>
      <c r="F160" s="159" t="s">
        <v>296</v>
      </c>
      <c r="G160" s="142">
        <v>47.58</v>
      </c>
      <c r="H160" s="143">
        <v>640</v>
      </c>
      <c r="I160" s="159" t="str">
        <f t="shared" si="8"/>
        <v>OK</v>
      </c>
      <c r="J160" s="173" t="str">
        <f t="shared" si="9"/>
        <v/>
      </c>
    </row>
    <row r="161" spans="1:10" ht="24" customHeight="1">
      <c r="A161" s="166" t="s">
        <v>305</v>
      </c>
      <c r="B161" s="158">
        <v>45778</v>
      </c>
      <c r="C161" s="158">
        <v>46142</v>
      </c>
      <c r="D161" s="159" t="s">
        <v>13</v>
      </c>
      <c r="E161" s="159" t="s">
        <v>10</v>
      </c>
      <c r="F161" s="159" t="s">
        <v>296</v>
      </c>
      <c r="G161" s="142">
        <v>43.25</v>
      </c>
      <c r="H161" s="143">
        <v>582</v>
      </c>
      <c r="I161" s="159" t="str">
        <f t="shared" si="8"/>
        <v>OK</v>
      </c>
      <c r="J161" s="173" t="str">
        <f t="shared" si="9"/>
        <v/>
      </c>
    </row>
    <row r="162" spans="1:10" ht="24" customHeight="1">
      <c r="A162" s="166" t="s">
        <v>305</v>
      </c>
      <c r="B162" s="158">
        <v>45778</v>
      </c>
      <c r="C162" s="158">
        <v>46142</v>
      </c>
      <c r="D162" s="159" t="s">
        <v>13</v>
      </c>
      <c r="E162" s="159" t="s">
        <v>10</v>
      </c>
      <c r="F162" s="159" t="s">
        <v>296</v>
      </c>
      <c r="G162" s="142">
        <v>34.6</v>
      </c>
      <c r="H162" s="143">
        <v>465.6</v>
      </c>
      <c r="I162" s="159" t="str">
        <f t="shared" si="8"/>
        <v>OK</v>
      </c>
      <c r="J162" s="173" t="str">
        <f t="shared" si="9"/>
        <v/>
      </c>
    </row>
    <row r="163" spans="1:10" ht="24" customHeight="1" thickBot="1">
      <c r="A163" s="174" t="s">
        <v>305</v>
      </c>
      <c r="B163" s="175">
        <v>45778</v>
      </c>
      <c r="C163" s="175">
        <v>46142</v>
      </c>
      <c r="D163" s="176" t="s">
        <v>13</v>
      </c>
      <c r="E163" s="176" t="s">
        <v>10</v>
      </c>
      <c r="F163" s="176" t="s">
        <v>296</v>
      </c>
      <c r="G163" s="144">
        <v>32.01</v>
      </c>
      <c r="H163" s="145">
        <v>430.68</v>
      </c>
      <c r="I163" s="176" t="str">
        <f t="shared" si="8"/>
        <v>OK</v>
      </c>
      <c r="J163" s="177" t="str">
        <f t="shared" si="9"/>
        <v/>
      </c>
    </row>
  </sheetData>
  <sheetProtection algorithmName="SHA-512" hashValue="/c2VVj/VCW3iRkXzmmkfSYpsXGNIGucRpfBp13M72raHD12sk4BtImpYKrmaYo7hiVNjzFQRlMqLtEwALwcFxA==" saltValue="phSq3O7CxCBjplaXUFEYTA==" spinCount="100000" sheet="1" objects="1" scenarios="1" sort="0" autoFilter="0"/>
  <mergeCells count="3">
    <mergeCell ref="A1:J1"/>
    <mergeCell ref="A4:J4"/>
    <mergeCell ref="A2:H2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P19" sqref="P19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81"/>
      <c r="C1" s="180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</row>
    <row r="2" spans="2:15" ht="17.25" customHeight="1"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</row>
    <row r="3" spans="2:15" ht="18" customHeight="1">
      <c r="B3" s="194" t="s">
        <v>14</v>
      </c>
      <c r="C3" s="194"/>
      <c r="D3" s="194"/>
      <c r="E3" s="194"/>
      <c r="F3" s="194"/>
      <c r="H3" s="192" t="s">
        <v>15</v>
      </c>
      <c r="I3" s="192"/>
      <c r="K3" s="196" t="s">
        <v>16</v>
      </c>
      <c r="L3" s="196"/>
      <c r="N3" s="192" t="s">
        <v>17</v>
      </c>
      <c r="O3" s="192"/>
    </row>
    <row r="4" spans="2:15" ht="15" customHeight="1">
      <c r="B4" s="194"/>
      <c r="C4" s="194"/>
      <c r="D4" s="194"/>
      <c r="E4" s="194"/>
      <c r="F4" s="194"/>
      <c r="H4" s="192"/>
      <c r="I4" s="192"/>
      <c r="K4" s="196"/>
      <c r="L4" s="196"/>
      <c r="N4" s="192"/>
      <c r="O4" s="192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193" t="s">
        <v>22</v>
      </c>
      <c r="I5" s="193"/>
      <c r="K5" s="193" t="s">
        <v>22</v>
      </c>
      <c r="L5" s="193"/>
      <c r="N5" s="193" t="s">
        <v>23</v>
      </c>
      <c r="O5" s="193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5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6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7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195" t="s">
        <v>37</v>
      </c>
      <c r="C19" s="195"/>
      <c r="D19" s="195"/>
      <c r="E19" s="195"/>
      <c r="F19" s="195"/>
      <c r="H19" s="192" t="s">
        <v>38</v>
      </c>
      <c r="I19" s="192"/>
      <c r="K19" s="196" t="s">
        <v>39</v>
      </c>
      <c r="L19" s="196"/>
      <c r="N19" s="178"/>
      <c r="O19" s="178"/>
      <c r="P19" s="178"/>
      <c r="Q19" s="178"/>
      <c r="R19" s="178"/>
      <c r="S19" s="178"/>
      <c r="T19" s="178"/>
      <c r="U19" s="178"/>
    </row>
    <row r="20" spans="2:21">
      <c r="B20" s="195"/>
      <c r="C20" s="195"/>
      <c r="D20" s="195"/>
      <c r="E20" s="195"/>
      <c r="F20" s="195"/>
      <c r="H20" s="192"/>
      <c r="I20" s="192"/>
      <c r="K20" s="196"/>
      <c r="L20" s="196"/>
      <c r="N20" s="178"/>
      <c r="O20" s="178"/>
      <c r="P20" s="178"/>
      <c r="Q20" s="178"/>
      <c r="R20" s="178"/>
      <c r="S20" s="178"/>
      <c r="T20" s="178"/>
      <c r="U20" s="178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193" t="s">
        <v>22</v>
      </c>
      <c r="I21" s="193"/>
      <c r="K21" s="193" t="s">
        <v>22</v>
      </c>
      <c r="L21" s="193"/>
      <c r="N21" s="178"/>
      <c r="O21" s="178"/>
      <c r="P21" s="178"/>
      <c r="Q21" s="178"/>
      <c r="R21" s="178"/>
      <c r="S21" s="178"/>
      <c r="T21" s="178"/>
      <c r="U21" s="178"/>
    </row>
    <row r="22" spans="2:21">
      <c r="B22" s="22" t="s">
        <v>24</v>
      </c>
      <c r="C22" s="3">
        <v>1</v>
      </c>
      <c r="D22" s="52">
        <f>UBERSICHT!G7</f>
        <v>5001</v>
      </c>
      <c r="E22" s="23">
        <f>Januar!$S$37</f>
        <v>5001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78"/>
      <c r="O22" s="178"/>
      <c r="P22" s="178"/>
      <c r="Q22" s="178"/>
      <c r="R22" s="178"/>
      <c r="S22" s="178"/>
      <c r="T22" s="178"/>
      <c r="U22" s="178"/>
    </row>
    <row r="23" spans="2:21">
      <c r="B23" s="22" t="s">
        <v>25</v>
      </c>
      <c r="C23" s="3">
        <v>2</v>
      </c>
      <c r="D23" s="52">
        <f>UBERSICHT!G8</f>
        <v>5002</v>
      </c>
      <c r="E23" s="23">
        <f>Februar!$S$37</f>
        <v>2501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78"/>
      <c r="O23" s="178"/>
      <c r="P23" s="178"/>
      <c r="Q23" s="178"/>
      <c r="R23" s="178"/>
      <c r="S23" s="178"/>
      <c r="T23" s="178"/>
      <c r="U23" s="178"/>
    </row>
    <row r="24" spans="2:21">
      <c r="B24" s="22" t="s">
        <v>27</v>
      </c>
      <c r="C24" s="3">
        <v>3</v>
      </c>
      <c r="D24" s="52">
        <f>UBERSICHT!G9</f>
        <v>5003</v>
      </c>
      <c r="E24" s="23">
        <f>Marz!$S$37</f>
        <v>1667.6666666666667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78"/>
      <c r="O24" s="178"/>
      <c r="P24" s="178"/>
      <c r="Q24" s="178"/>
      <c r="R24" s="178"/>
      <c r="S24" s="178"/>
      <c r="T24" s="178"/>
      <c r="U24" s="178"/>
    </row>
    <row r="25" spans="2:21">
      <c r="B25" s="22" t="s">
        <v>28</v>
      </c>
      <c r="C25" s="3">
        <v>4</v>
      </c>
      <c r="D25" s="52">
        <f>UBERSICHT!G11</f>
        <v>5004</v>
      </c>
      <c r="E25" s="23">
        <f>April!$S$37</f>
        <v>1251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78"/>
      <c r="O25" s="178"/>
      <c r="P25" s="178"/>
      <c r="Q25" s="178"/>
      <c r="R25" s="178"/>
      <c r="S25" s="178"/>
      <c r="T25" s="178"/>
      <c r="U25" s="178"/>
    </row>
    <row r="26" spans="2:21">
      <c r="B26" s="22" t="s">
        <v>29</v>
      </c>
      <c r="C26" s="3">
        <v>5</v>
      </c>
      <c r="D26" s="52">
        <f>UBERSICHT!G12</f>
        <v>5005</v>
      </c>
      <c r="E26" s="23">
        <f>Mai!$S$37</f>
        <v>1001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78"/>
      <c r="O26" s="178"/>
      <c r="P26" s="178"/>
      <c r="Q26" s="178"/>
      <c r="R26" s="178"/>
      <c r="S26" s="178"/>
      <c r="T26" s="178"/>
      <c r="U26" s="178"/>
    </row>
    <row r="27" spans="2:21">
      <c r="B27" s="22" t="s">
        <v>30</v>
      </c>
      <c r="C27" s="3">
        <v>6</v>
      </c>
      <c r="D27" s="52">
        <f>UBERSICHT!G13</f>
        <v>5006</v>
      </c>
      <c r="E27" s="23">
        <f>Juni!$S$37</f>
        <v>834.33333333333337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78"/>
      <c r="O27" s="178"/>
      <c r="P27" s="178"/>
      <c r="Q27" s="178"/>
      <c r="R27" s="178"/>
      <c r="S27" s="178"/>
      <c r="T27" s="178"/>
      <c r="U27" s="178"/>
    </row>
    <row r="28" spans="2:21">
      <c r="B28" s="22" t="s">
        <v>31</v>
      </c>
      <c r="C28" s="3">
        <v>7</v>
      </c>
      <c r="D28" s="52">
        <f>UBERSICHT!G15</f>
        <v>5007</v>
      </c>
      <c r="E28" s="23">
        <f>Juli!$S$37</f>
        <v>715.28571428571433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78"/>
      <c r="O28" s="178"/>
      <c r="P28" s="178"/>
      <c r="Q28" s="178"/>
      <c r="R28" s="178"/>
      <c r="S28" s="178"/>
      <c r="T28" s="178"/>
      <c r="U28" s="178"/>
    </row>
    <row r="29" spans="2:21">
      <c r="B29" s="22" t="s">
        <v>32</v>
      </c>
      <c r="C29" s="3">
        <v>8</v>
      </c>
      <c r="D29" s="52">
        <f>UBERSICHT!G16</f>
        <v>5008</v>
      </c>
      <c r="E29" s="23">
        <f>August!$S$37</f>
        <v>626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78"/>
      <c r="O29" s="178"/>
      <c r="P29" s="178"/>
      <c r="Q29" s="178"/>
      <c r="R29" s="178"/>
      <c r="S29" s="178"/>
      <c r="T29" s="178"/>
      <c r="U29" s="178"/>
    </row>
    <row r="30" spans="2:21">
      <c r="B30" s="22" t="s">
        <v>33</v>
      </c>
      <c r="C30" s="3">
        <v>9</v>
      </c>
      <c r="D30" s="52">
        <f>UBERSICHT!G17</f>
        <v>5009</v>
      </c>
      <c r="E30" s="23">
        <f>September!$S$37</f>
        <v>556.55555555555554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78"/>
      <c r="O30" s="178"/>
      <c r="P30" s="178"/>
      <c r="Q30" s="178"/>
      <c r="R30" s="178"/>
      <c r="S30" s="178"/>
      <c r="T30" s="178"/>
      <c r="U30" s="178"/>
    </row>
    <row r="31" spans="2:21">
      <c r="B31" s="22" t="s">
        <v>34</v>
      </c>
      <c r="C31" s="3">
        <v>10</v>
      </c>
      <c r="D31" s="52">
        <f>UBERSICHT!G19</f>
        <v>5010</v>
      </c>
      <c r="E31" s="23">
        <f>Oktober!$S$37</f>
        <v>501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78"/>
      <c r="O31" s="178"/>
      <c r="P31" s="178"/>
      <c r="Q31" s="178"/>
      <c r="R31" s="178"/>
      <c r="S31" s="178"/>
      <c r="T31" s="178"/>
      <c r="U31" s="178"/>
    </row>
    <row r="32" spans="2:21">
      <c r="B32" s="22" t="s">
        <v>35</v>
      </c>
      <c r="C32" s="3">
        <v>11</v>
      </c>
      <c r="D32" s="52">
        <f>UBERSICHT!G20</f>
        <v>5011</v>
      </c>
      <c r="E32" s="23">
        <f>November!$S$37</f>
        <v>455.54545454545456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78"/>
      <c r="O32" s="178"/>
      <c r="P32" s="178"/>
      <c r="Q32" s="178"/>
      <c r="R32" s="178"/>
      <c r="S32" s="178"/>
      <c r="T32" s="178"/>
      <c r="U32" s="178"/>
    </row>
    <row r="33" spans="2:21">
      <c r="B33" s="22" t="s">
        <v>36</v>
      </c>
      <c r="C33" s="3">
        <v>12</v>
      </c>
      <c r="D33" s="52">
        <f>UBERSICHT!G21</f>
        <v>5012</v>
      </c>
      <c r="E33" s="23">
        <f>Dezember!$S$37</f>
        <v>417.66666666666669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78"/>
      <c r="O33" s="178"/>
      <c r="P33" s="178"/>
      <c r="Q33" s="178"/>
      <c r="R33" s="178"/>
      <c r="S33" s="178"/>
      <c r="T33" s="178"/>
      <c r="U33" s="178"/>
    </row>
    <row r="34" spans="2:21">
      <c r="N34" s="178"/>
      <c r="O34" s="178"/>
      <c r="P34" s="178"/>
      <c r="Q34" s="178"/>
      <c r="R34" s="178"/>
      <c r="S34" s="178"/>
      <c r="T34" s="178"/>
      <c r="U34" s="178"/>
    </row>
    <row r="35" spans="2:21" ht="14.5" customHeight="1">
      <c r="B35" s="182" t="s">
        <v>353</v>
      </c>
      <c r="C35" s="16">
        <v>2026</v>
      </c>
      <c r="D35" s="57"/>
      <c r="E35" s="57"/>
      <c r="N35" s="178"/>
      <c r="O35" s="178"/>
      <c r="P35" s="178"/>
      <c r="Q35" s="178"/>
      <c r="R35" s="178"/>
      <c r="S35" s="178"/>
      <c r="T35" s="178"/>
      <c r="U35" s="178"/>
    </row>
    <row r="36" spans="2:21">
      <c r="B36" s="57"/>
      <c r="C36" s="57"/>
      <c r="D36" s="57"/>
      <c r="N36" s="178"/>
      <c r="O36" s="178"/>
      <c r="P36" s="178"/>
      <c r="Q36" s="178"/>
      <c r="R36" s="178"/>
      <c r="S36" s="178"/>
      <c r="T36" s="178"/>
      <c r="U36" s="178"/>
    </row>
    <row r="37" spans="2:21" ht="16" hidden="1">
      <c r="B37" s="108" t="s">
        <v>194</v>
      </c>
      <c r="C37" s="108" t="s">
        <v>198</v>
      </c>
      <c r="N37" s="178"/>
      <c r="O37" s="178"/>
      <c r="P37" s="178"/>
      <c r="Q37" s="178"/>
      <c r="R37" s="178"/>
      <c r="S37" s="178"/>
      <c r="T37" s="178"/>
      <c r="U37" s="178"/>
    </row>
    <row r="38" spans="2:21" ht="17" hidden="1">
      <c r="B38" s="183" t="s">
        <v>199</v>
      </c>
      <c r="C38" s="106">
        <v>0</v>
      </c>
      <c r="N38" s="178"/>
      <c r="O38" s="178"/>
      <c r="P38" s="178"/>
      <c r="Q38" s="178"/>
      <c r="R38" s="178"/>
      <c r="S38" s="178"/>
      <c r="T38" s="178"/>
      <c r="U38" s="178"/>
    </row>
    <row r="39" spans="2:21" ht="17" hidden="1">
      <c r="B39" s="183" t="s">
        <v>200</v>
      </c>
      <c r="C39" s="106">
        <v>0</v>
      </c>
      <c r="N39" s="178"/>
      <c r="O39" s="178"/>
      <c r="P39" s="178"/>
      <c r="Q39" s="178"/>
      <c r="R39" s="178"/>
      <c r="S39" s="178"/>
      <c r="T39" s="178"/>
      <c r="U39" s="178"/>
    </row>
    <row r="40" spans="2:21" ht="17" hidden="1">
      <c r="B40" s="183" t="s">
        <v>196</v>
      </c>
      <c r="C40" s="106">
        <v>0</v>
      </c>
      <c r="N40" s="178"/>
      <c r="O40" s="178"/>
      <c r="P40" s="178"/>
      <c r="Q40" s="178"/>
      <c r="R40" s="178"/>
      <c r="S40" s="178"/>
      <c r="T40" s="178"/>
      <c r="U40" s="178"/>
    </row>
    <row r="41" spans="2:21" ht="17" hidden="1">
      <c r="B41" s="183" t="s">
        <v>201</v>
      </c>
      <c r="C41" s="106">
        <v>0</v>
      </c>
      <c r="N41" s="178"/>
      <c r="O41" s="178"/>
      <c r="P41" s="178"/>
      <c r="Q41" s="178"/>
      <c r="R41" s="178"/>
      <c r="S41" s="178"/>
      <c r="T41" s="178"/>
      <c r="U41" s="178"/>
    </row>
    <row r="42" spans="2:21" ht="17" hidden="1">
      <c r="B42" s="183" t="s">
        <v>202</v>
      </c>
      <c r="C42" s="106">
        <v>0.35</v>
      </c>
      <c r="N42" s="178"/>
      <c r="O42" s="178"/>
      <c r="P42" s="178"/>
      <c r="Q42" s="178"/>
      <c r="R42" s="178"/>
      <c r="S42" s="178"/>
      <c r="T42" s="178"/>
      <c r="U42" s="178"/>
    </row>
    <row r="43" spans="2:21" ht="17" hidden="1">
      <c r="B43" s="183" t="s">
        <v>203</v>
      </c>
      <c r="C43" s="106">
        <v>0.35</v>
      </c>
    </row>
    <row r="44" spans="2:21" ht="34" hidden="1">
      <c r="B44" s="183" t="s">
        <v>197</v>
      </c>
      <c r="C44" s="106">
        <v>0.5</v>
      </c>
    </row>
    <row r="45" spans="2:21" ht="34" hidden="1">
      <c r="B45" s="183" t="s">
        <v>204</v>
      </c>
      <c r="C45" s="106">
        <v>0.6</v>
      </c>
    </row>
    <row r="46" spans="2:21" ht="34" hidden="1">
      <c r="B46" s="183" t="s">
        <v>195</v>
      </c>
      <c r="C46" s="106">
        <v>0.75</v>
      </c>
    </row>
    <row r="47" spans="2:21" ht="34" hidden="1">
      <c r="B47" s="183" t="s">
        <v>205</v>
      </c>
      <c r="C47" s="106">
        <v>1</v>
      </c>
    </row>
    <row r="48" spans="2:21" ht="34" hidden="1">
      <c r="B48" s="183" t="s">
        <v>206</v>
      </c>
      <c r="C48" s="106">
        <v>1.1000000000000001</v>
      </c>
    </row>
    <row r="49" spans="2:3" ht="17" hidden="1">
      <c r="B49" s="183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oP1MBXNGA1zTZoxHRku8u8FuNAm8scTfvKo+G4hfa7SDogqBjPc15cncE+U2vqke5zxU7kgNxXPvWA5Ym7m3yQ==" saltValue="TrfOXMfRDd4VI4eA07ijlg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tabSelected="1" zoomScale="110" zoomScaleNormal="11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62" t="s">
        <v>191</v>
      </c>
      <c r="C1" s="270" t="s">
        <v>40</v>
      </c>
      <c r="D1" s="268" t="s">
        <v>192</v>
      </c>
      <c r="E1" s="268" t="s">
        <v>0</v>
      </c>
      <c r="F1" s="268" t="s">
        <v>41</v>
      </c>
      <c r="G1" s="272" t="s">
        <v>42</v>
      </c>
      <c r="H1" s="274" t="s">
        <v>43</v>
      </c>
      <c r="I1" s="276" t="s">
        <v>193</v>
      </c>
      <c r="J1" s="278" t="s">
        <v>44</v>
      </c>
      <c r="K1" s="280" t="s">
        <v>45</v>
      </c>
      <c r="L1" s="282" t="s">
        <v>46</v>
      </c>
      <c r="M1" s="266" t="s">
        <v>47</v>
      </c>
      <c r="N1" s="263" t="s">
        <v>194</v>
      </c>
      <c r="AB1" s="8">
        <f>DATE(EINSTELLUNG!$C$35,$A$1,1)</f>
        <v>46023</v>
      </c>
    </row>
    <row r="2" spans="1:28" ht="16" customHeight="1" thickBot="1">
      <c r="A2" s="60"/>
      <c r="B2" s="262"/>
      <c r="C2" s="271"/>
      <c r="D2" s="269"/>
      <c r="E2" s="269"/>
      <c r="F2" s="269"/>
      <c r="G2" s="273"/>
      <c r="H2" s="275"/>
      <c r="I2" s="277"/>
      <c r="J2" s="279"/>
      <c r="K2" s="281"/>
      <c r="L2" s="283"/>
      <c r="M2" s="267"/>
      <c r="N2" s="263"/>
      <c r="AB2" s="8">
        <f>EOMONTH(DATE(EINSTELLUNG!$C$35,$A$1,1),0)</f>
        <v>46053</v>
      </c>
    </row>
    <row r="3" spans="1:28" ht="16" customHeight="1">
      <c r="A3" s="61" t="s">
        <v>48</v>
      </c>
      <c r="B3" s="100">
        <v>401006</v>
      </c>
      <c r="C3" s="71" t="s">
        <v>235</v>
      </c>
      <c r="D3" s="72">
        <v>38188</v>
      </c>
      <c r="E3" s="73" t="s">
        <v>13</v>
      </c>
      <c r="F3" s="74">
        <v>173</v>
      </c>
      <c r="G3" s="115"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5"/>
      <c r="J3" s="118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02" t="s">
        <v>49</v>
      </c>
      <c r="P3" s="202" t="s">
        <v>50</v>
      </c>
      <c r="Q3" s="200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401010</v>
      </c>
      <c r="C4" s="63" t="s">
        <v>236</v>
      </c>
      <c r="D4" s="64">
        <v>39388</v>
      </c>
      <c r="E4" s="65" t="s">
        <v>5</v>
      </c>
      <c r="F4" s="67">
        <v>173</v>
      </c>
      <c r="G4" s="116"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6"/>
      <c r="J4" s="119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03"/>
      <c r="P4" s="203"/>
      <c r="Q4" s="201"/>
      <c r="R4" s="241"/>
    </row>
    <row r="5" spans="1:28" ht="16" customHeight="1">
      <c r="A5" s="62" t="s">
        <v>54</v>
      </c>
      <c r="B5" s="101">
        <v>401049</v>
      </c>
      <c r="C5" s="63" t="s">
        <v>237</v>
      </c>
      <c r="D5" s="64">
        <v>41130</v>
      </c>
      <c r="E5" s="65" t="s">
        <v>4</v>
      </c>
      <c r="F5" s="67">
        <v>173</v>
      </c>
      <c r="G5" s="116"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6"/>
      <c r="J5" s="119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3" t="s">
        <v>238</v>
      </c>
      <c r="D6" s="64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6"/>
      <c r="J6" s="119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97" t="str">
        <f>IF(Q5&lt;0, "Schlecht! Zu wenig Urlaub abgebaut.", IF(Q5&gt;0, "Gut! Mehr Urlaub abgebaut als aufgebaut.", ""))</f>
        <v>Schlecht! Zu wenig Urlaub abgebaut.</v>
      </c>
      <c r="P6" s="198"/>
      <c r="Q6" s="198"/>
      <c r="R6" s="199"/>
    </row>
    <row r="7" spans="1:28" ht="16" customHeight="1">
      <c r="A7" s="61" t="s">
        <v>56</v>
      </c>
      <c r="B7" s="101">
        <v>401051</v>
      </c>
      <c r="C7" s="63" t="s">
        <v>239</v>
      </c>
      <c r="D7" s="64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6"/>
      <c r="J7" s="119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401138</v>
      </c>
      <c r="C8" s="63" t="s">
        <v>240</v>
      </c>
      <c r="D8" s="64">
        <v>42006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6"/>
      <c r="J8" s="119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05" t="s">
        <v>58</v>
      </c>
      <c r="P8" s="206"/>
      <c r="Q8" s="207">
        <f>SUM(H3:H82)</f>
        <v>7494.8</v>
      </c>
      <c r="R8" s="207"/>
    </row>
    <row r="9" spans="1:28" ht="16" customHeight="1">
      <c r="A9" s="62" t="s">
        <v>59</v>
      </c>
      <c r="B9" s="101">
        <v>401197</v>
      </c>
      <c r="C9" s="63" t="s">
        <v>241</v>
      </c>
      <c r="D9" s="64">
        <v>42644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6"/>
      <c r="J9" s="119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05" t="s">
        <v>60</v>
      </c>
      <c r="P9" s="206"/>
      <c r="Q9" s="207">
        <f>EINSTELLUNG!L22</f>
        <v>1</v>
      </c>
      <c r="R9" s="207"/>
      <c r="S9" s="19">
        <f>IFERROR(Q9/Q8, 0)</f>
        <v>1.3342584191706249E-4</v>
      </c>
    </row>
    <row r="10" spans="1:28" ht="16" customHeight="1">
      <c r="A10" s="61" t="s">
        <v>61</v>
      </c>
      <c r="B10" s="101">
        <v>401276</v>
      </c>
      <c r="C10" s="63" t="s">
        <v>242</v>
      </c>
      <c r="D10" s="64">
        <v>43252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6"/>
      <c r="J10" s="119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05" t="s">
        <v>62</v>
      </c>
      <c r="P10" s="206"/>
      <c r="Q10" s="207">
        <f>EINSTELLUNG!I22</f>
        <v>1</v>
      </c>
      <c r="R10" s="207"/>
    </row>
    <row r="11" spans="1:28" ht="16" customHeight="1">
      <c r="A11" s="61" t="s">
        <v>63</v>
      </c>
      <c r="B11" s="101">
        <v>401307</v>
      </c>
      <c r="C11" s="63" t="s">
        <v>243</v>
      </c>
      <c r="D11" s="64">
        <v>43571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6"/>
      <c r="J11" s="119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05" t="s">
        <v>64</v>
      </c>
      <c r="P11" s="206"/>
      <c r="Q11" s="207">
        <f>P5</f>
        <v>1</v>
      </c>
      <c r="R11" s="207"/>
    </row>
    <row r="12" spans="1:28" ht="16" customHeight="1">
      <c r="A12" s="61" t="s">
        <v>65</v>
      </c>
      <c r="B12" s="101">
        <v>401308</v>
      </c>
      <c r="C12" s="63" t="s">
        <v>244</v>
      </c>
      <c r="D12" s="64">
        <v>43579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6"/>
      <c r="J12" s="119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05" t="s">
        <v>66</v>
      </c>
      <c r="P12" s="206"/>
      <c r="Q12" s="236"/>
      <c r="R12" s="236"/>
    </row>
    <row r="13" spans="1:28" ht="16" customHeight="1">
      <c r="A13" s="62" t="s">
        <v>67</v>
      </c>
      <c r="B13" s="101">
        <v>401394</v>
      </c>
      <c r="C13" s="63" t="s">
        <v>245</v>
      </c>
      <c r="D13" s="64">
        <v>44379</v>
      </c>
      <c r="E13" s="65" t="s">
        <v>2</v>
      </c>
      <c r="F13" s="67">
        <v>173</v>
      </c>
      <c r="G13" s="116">
        <v>2021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6"/>
      <c r="J13" s="119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05" t="s">
        <v>68</v>
      </c>
      <c r="P13" s="206"/>
      <c r="Q13" s="207">
        <f>Q8-Q9-Q10-Q11-Q12</f>
        <v>7491.8</v>
      </c>
      <c r="R13" s="207"/>
    </row>
    <row r="14" spans="1:28" ht="16" customHeight="1">
      <c r="A14" s="61" t="s">
        <v>69</v>
      </c>
      <c r="B14" s="101">
        <v>401389</v>
      </c>
      <c r="C14" s="63" t="s">
        <v>246</v>
      </c>
      <c r="D14" s="64">
        <v>44384</v>
      </c>
      <c r="E14" s="65" t="s">
        <v>11</v>
      </c>
      <c r="F14" s="67">
        <v>173</v>
      </c>
      <c r="G14" s="116">
        <v>2300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6"/>
      <c r="J14" s="119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05" t="s">
        <v>70</v>
      </c>
      <c r="P14" s="206"/>
      <c r="Q14" s="207">
        <f>EINSTELLUNG!L6</f>
        <v>1</v>
      </c>
      <c r="R14" s="207"/>
    </row>
    <row r="15" spans="1:28" ht="16" customHeight="1">
      <c r="A15" s="61" t="s">
        <v>71</v>
      </c>
      <c r="B15" s="101">
        <v>401432</v>
      </c>
      <c r="C15" s="63" t="s">
        <v>247</v>
      </c>
      <c r="D15" s="64">
        <v>44441</v>
      </c>
      <c r="E15" s="65" t="s">
        <v>2</v>
      </c>
      <c r="F15" s="67">
        <v>173</v>
      </c>
      <c r="G15" s="116">
        <v>2021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6"/>
      <c r="J15" s="119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05" t="s">
        <v>72</v>
      </c>
      <c r="P15" s="206"/>
      <c r="Q15" s="207">
        <f>Q13-Q14</f>
        <v>7490.8</v>
      </c>
      <c r="R15" s="207"/>
      <c r="S15" s="56"/>
      <c r="T15" s="56"/>
      <c r="U15" s="56"/>
    </row>
    <row r="16" spans="1:28" ht="16" customHeight="1">
      <c r="A16" s="61" t="s">
        <v>73</v>
      </c>
      <c r="B16" s="101">
        <v>401558</v>
      </c>
      <c r="C16" s="63" t="s">
        <v>248</v>
      </c>
      <c r="D16" s="64">
        <v>44460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6"/>
      <c r="J16" s="119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08" t="str">
        <f>IF(Q15&lt;0, "Schlecht! Zu wenig Stunden für Dienstplan.", IF(Q15&gt;0, "Du hast mehr als genug Stunden für Dienstplan.", ""))</f>
        <v>Du hast mehr als genug Stunden für Dienstplan.</v>
      </c>
      <c r="P16" s="208"/>
      <c r="Q16" s="208"/>
      <c r="R16" s="208"/>
      <c r="W16" s="12"/>
    </row>
    <row r="17" spans="1:29" ht="16" customHeight="1">
      <c r="A17" s="62" t="s">
        <v>74</v>
      </c>
      <c r="B17" s="101">
        <v>401476</v>
      </c>
      <c r="C17" s="63" t="s">
        <v>249</v>
      </c>
      <c r="D17" s="64">
        <v>44504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6"/>
      <c r="J17" s="119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13" t="s">
        <v>75</v>
      </c>
      <c r="P17" s="214"/>
      <c r="Q17" s="237">
        <f>SUM(L3:L82)</f>
        <v>0</v>
      </c>
      <c r="R17" s="237"/>
      <c r="W17" s="12"/>
    </row>
    <row r="18" spans="1:29" ht="16" customHeight="1">
      <c r="A18" s="61" t="s">
        <v>76</v>
      </c>
      <c r="B18" s="101">
        <v>401479</v>
      </c>
      <c r="C18" s="63" t="s">
        <v>250</v>
      </c>
      <c r="D18" s="64">
        <v>44511</v>
      </c>
      <c r="E18" s="65" t="s">
        <v>6</v>
      </c>
      <c r="F18" s="67">
        <v>173</v>
      </c>
      <c r="G18" s="116"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6"/>
      <c r="J18" s="119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11"/>
      <c r="P18" s="212"/>
      <c r="Q18" s="204"/>
      <c r="R18" s="204"/>
    </row>
    <row r="19" spans="1:29" ht="16" customHeight="1">
      <c r="A19" s="61" t="s">
        <v>77</v>
      </c>
      <c r="B19" s="101">
        <v>401481</v>
      </c>
      <c r="C19" s="63" t="s">
        <v>251</v>
      </c>
      <c r="D19" s="64">
        <v>44531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6"/>
      <c r="J19" s="119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11"/>
      <c r="P19" s="212"/>
      <c r="Q19" s="204"/>
      <c r="R19" s="204"/>
    </row>
    <row r="20" spans="1:29" ht="16" customHeight="1">
      <c r="A20" s="61" t="s">
        <v>78</v>
      </c>
      <c r="B20" s="101">
        <v>401564</v>
      </c>
      <c r="C20" s="63" t="s">
        <v>252</v>
      </c>
      <c r="D20" s="64">
        <v>44824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6"/>
      <c r="J20" s="119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11"/>
      <c r="P20" s="212"/>
      <c r="Q20" s="204"/>
      <c r="R20" s="204"/>
    </row>
    <row r="21" spans="1:29" ht="16" customHeight="1">
      <c r="A21" s="62" t="s">
        <v>80</v>
      </c>
      <c r="B21" s="101">
        <v>401089</v>
      </c>
      <c r="C21" s="63" t="s">
        <v>253</v>
      </c>
      <c r="D21" s="64">
        <v>44868</v>
      </c>
      <c r="E21" s="65" t="s">
        <v>3</v>
      </c>
      <c r="F21" s="67">
        <v>173</v>
      </c>
      <c r="G21" s="116">
        <v>2082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6"/>
      <c r="J21" s="119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11" t="s">
        <v>320</v>
      </c>
      <c r="P21" s="212"/>
      <c r="Q21" s="204">
        <v>5000</v>
      </c>
      <c r="R21" s="204"/>
    </row>
    <row r="22" spans="1:29" ht="16" customHeight="1">
      <c r="A22" s="61" t="s">
        <v>81</v>
      </c>
      <c r="B22" s="101">
        <v>401583</v>
      </c>
      <c r="C22" s="63" t="s">
        <v>254</v>
      </c>
      <c r="D22" s="64">
        <v>44900</v>
      </c>
      <c r="E22" s="65" t="s">
        <v>10</v>
      </c>
      <c r="F22" s="67">
        <v>173</v>
      </c>
      <c r="G22" s="116"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6"/>
      <c r="J22" s="119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11"/>
      <c r="P22" s="212"/>
      <c r="Q22" s="204"/>
      <c r="R22" s="204"/>
    </row>
    <row r="23" spans="1:29" ht="16" customHeight="1">
      <c r="A23" s="61" t="s">
        <v>82</v>
      </c>
      <c r="B23" s="101">
        <v>401589</v>
      </c>
      <c r="C23" s="63" t="s">
        <v>255</v>
      </c>
      <c r="D23" s="64">
        <v>44926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6"/>
      <c r="J23" s="119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11"/>
      <c r="P23" s="212"/>
      <c r="Q23" s="204"/>
      <c r="R23" s="204"/>
      <c r="W23" s="12"/>
    </row>
    <row r="24" spans="1:29" ht="16" customHeight="1">
      <c r="A24" s="61" t="s">
        <v>83</v>
      </c>
      <c r="B24" s="101">
        <v>401602</v>
      </c>
      <c r="C24" s="63" t="s">
        <v>256</v>
      </c>
      <c r="D24" s="64">
        <v>45975</v>
      </c>
      <c r="E24" s="65" t="s">
        <v>2</v>
      </c>
      <c r="F24" s="67">
        <v>173</v>
      </c>
      <c r="G24" s="116"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6"/>
      <c r="J24" s="119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11"/>
      <c r="P24" s="212"/>
      <c r="Q24" s="204"/>
      <c r="R24" s="204"/>
      <c r="W24" s="12"/>
    </row>
    <row r="25" spans="1:29" ht="16" customHeight="1" thickBot="1">
      <c r="A25" s="62" t="s">
        <v>84</v>
      </c>
      <c r="B25" s="101">
        <v>401605</v>
      </c>
      <c r="C25" s="63" t="s">
        <v>257</v>
      </c>
      <c r="D25" s="64">
        <v>44986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6"/>
      <c r="J25" s="119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4"/>
      <c r="P25" s="255"/>
      <c r="Q25" s="246"/>
      <c r="R25" s="246"/>
    </row>
    <row r="26" spans="1:29" ht="16" customHeight="1">
      <c r="A26" s="61" t="s">
        <v>85</v>
      </c>
      <c r="B26" s="101">
        <v>401626</v>
      </c>
      <c r="C26" s="63" t="s">
        <v>258</v>
      </c>
      <c r="D26" s="64">
        <v>45063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6"/>
      <c r="J26" s="119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6"/>
      <c r="P26" s="257"/>
      <c r="Q26" s="247"/>
      <c r="R26" s="248"/>
    </row>
    <row r="27" spans="1:29" ht="16" customHeight="1">
      <c r="A27" s="61" t="s">
        <v>86</v>
      </c>
      <c r="B27" s="101">
        <v>401633</v>
      </c>
      <c r="C27" s="63" t="s">
        <v>259</v>
      </c>
      <c r="D27" s="64">
        <v>45089</v>
      </c>
      <c r="E27" s="65" t="s">
        <v>10</v>
      </c>
      <c r="F27" s="67">
        <v>173</v>
      </c>
      <c r="G27" s="116"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6"/>
      <c r="J27" s="119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11"/>
      <c r="P27" s="212"/>
      <c r="Q27" s="204"/>
      <c r="R27" s="249"/>
      <c r="S27" s="209" t="s">
        <v>87</v>
      </c>
      <c r="T27" s="210"/>
      <c r="U27" s="210"/>
      <c r="V27" s="210"/>
    </row>
    <row r="28" spans="1:29" ht="16" customHeight="1" thickBot="1">
      <c r="A28" s="61" t="s">
        <v>88</v>
      </c>
      <c r="B28" s="101">
        <v>401647</v>
      </c>
      <c r="C28" s="63" t="s">
        <v>260</v>
      </c>
      <c r="D28" s="64">
        <v>45182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6"/>
      <c r="J28" s="119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0"/>
      <c r="P28" s="251"/>
      <c r="Q28" s="252"/>
      <c r="R28" s="253"/>
    </row>
    <row r="29" spans="1:29" ht="16" customHeight="1" thickBot="1">
      <c r="A29" s="62" t="s">
        <v>89</v>
      </c>
      <c r="B29" s="101">
        <v>401661</v>
      </c>
      <c r="C29" s="63" t="s">
        <v>261</v>
      </c>
      <c r="D29" s="64">
        <v>45261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6"/>
      <c r="J29" s="119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2" t="s">
        <v>90</v>
      </c>
      <c r="P29" s="243"/>
      <c r="Q29" s="244">
        <f>EINSTELLUNG!O6</f>
        <v>1</v>
      </c>
      <c r="R29" s="245"/>
    </row>
    <row r="30" spans="1:29" ht="16" customHeight="1">
      <c r="A30" s="61" t="s">
        <v>91</v>
      </c>
      <c r="B30" s="101">
        <v>401670</v>
      </c>
      <c r="C30" s="63" t="s">
        <v>262</v>
      </c>
      <c r="D30" s="64">
        <v>45358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6"/>
      <c r="J30" s="119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63" t="s">
        <v>263</v>
      </c>
      <c r="D31" s="64">
        <v>45414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6"/>
      <c r="J31" s="119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58">
        <v>0</v>
      </c>
      <c r="P31" s="259"/>
      <c r="Q31" s="260">
        <v>1.9607843137254902E-2</v>
      </c>
      <c r="R31" s="261"/>
    </row>
    <row r="32" spans="1:29" ht="16" customHeight="1">
      <c r="A32" s="61" t="s">
        <v>94</v>
      </c>
      <c r="B32" s="101">
        <v>401691</v>
      </c>
      <c r="C32" s="63" t="s">
        <v>264</v>
      </c>
      <c r="D32" s="64">
        <v>45539</v>
      </c>
      <c r="E32" s="65" t="s">
        <v>2</v>
      </c>
      <c r="F32" s="67">
        <v>69.2</v>
      </c>
      <c r="G32" s="116">
        <v>808.4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6">
        <v>46047</v>
      </c>
      <c r="J32" s="119">
        <v>2</v>
      </c>
      <c r="K32" s="92">
        <f t="shared" si="0"/>
        <v>53.893333333333331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 t="s">
        <v>197</v>
      </c>
    </row>
    <row r="33" spans="1:24" ht="16" customHeight="1">
      <c r="A33" s="62" t="s">
        <v>95</v>
      </c>
      <c r="B33" s="101">
        <v>401690</v>
      </c>
      <c r="C33" s="63" t="s">
        <v>265</v>
      </c>
      <c r="D33" s="64">
        <v>45536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6"/>
      <c r="J33" s="119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26"/>
      <c r="P33" s="227"/>
      <c r="Q33" s="228" t="s">
        <v>96</v>
      </c>
      <c r="R33" s="229"/>
      <c r="S33" s="232" t="s">
        <v>97</v>
      </c>
      <c r="T33" s="233"/>
      <c r="U33" s="232" t="s">
        <v>98</v>
      </c>
      <c r="V33" s="233"/>
    </row>
    <row r="34" spans="1:24" ht="16" customHeight="1">
      <c r="A34" s="61" t="s">
        <v>99</v>
      </c>
      <c r="B34" s="101">
        <v>401703</v>
      </c>
      <c r="C34" s="63" t="s">
        <v>266</v>
      </c>
      <c r="D34" s="64">
        <v>45616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6"/>
      <c r="J34" s="119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26"/>
      <c r="P34" s="227"/>
      <c r="Q34" s="230"/>
      <c r="R34" s="231"/>
      <c r="S34" s="234"/>
      <c r="T34" s="235"/>
      <c r="U34" s="234"/>
      <c r="V34" s="235"/>
    </row>
    <row r="35" spans="1:24" ht="16" customHeight="1">
      <c r="A35" s="61" t="s">
        <v>100</v>
      </c>
      <c r="B35" s="101">
        <v>401214</v>
      </c>
      <c r="C35" s="63" t="s">
        <v>267</v>
      </c>
      <c r="D35" s="64">
        <v>45636</v>
      </c>
      <c r="E35" s="65" t="s">
        <v>3</v>
      </c>
      <c r="F35" s="67">
        <v>173</v>
      </c>
      <c r="G35" s="116">
        <v>2082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6"/>
      <c r="J35" s="119"/>
      <c r="K35" s="92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15" t="s">
        <v>101</v>
      </c>
      <c r="P35" s="216"/>
      <c r="Q35" s="217">
        <f>EINSTELLUNG!C6</f>
        <v>1</v>
      </c>
      <c r="R35" s="217"/>
      <c r="S35" s="217">
        <f>EINSTELLUNG!C22</f>
        <v>1</v>
      </c>
      <c r="T35" s="217"/>
      <c r="U35" s="218">
        <f>S35-Q35</f>
        <v>0</v>
      </c>
      <c r="V35" s="218"/>
    </row>
    <row r="36" spans="1:24" ht="16" customHeight="1">
      <c r="A36" s="61" t="s">
        <v>102</v>
      </c>
      <c r="B36" s="101">
        <v>401715</v>
      </c>
      <c r="C36" s="63" t="s">
        <v>268</v>
      </c>
      <c r="D36" s="64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6"/>
      <c r="J36" s="119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15" t="s">
        <v>103</v>
      </c>
      <c r="P36" s="216"/>
      <c r="Q36" s="217">
        <f>EINSTELLUNG!D6</f>
        <v>1</v>
      </c>
      <c r="R36" s="217"/>
      <c r="S36" s="217" cm="1">
        <f t="array" ref="S36">SumMergedCells(Q17:R29)</f>
        <v>5001</v>
      </c>
      <c r="T36" s="217"/>
      <c r="U36" s="218">
        <f t="shared" ref="U36:U41" si="2">S36-Q36</f>
        <v>5000</v>
      </c>
      <c r="V36" s="218"/>
    </row>
    <row r="37" spans="1:24" ht="16" customHeight="1">
      <c r="A37" s="62" t="s">
        <v>104</v>
      </c>
      <c r="B37" s="101">
        <v>401716</v>
      </c>
      <c r="C37" s="63" t="s">
        <v>269</v>
      </c>
      <c r="D37" s="64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6"/>
      <c r="J37" s="119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15" t="s">
        <v>105</v>
      </c>
      <c r="P37" s="216"/>
      <c r="Q37" s="224">
        <f>IF(ISERROR(Q36/Q35), 0, Q36/Q35)</f>
        <v>1</v>
      </c>
      <c r="R37" s="224"/>
      <c r="S37" s="224">
        <f>IF(ISERROR(S36/S35), 0, S36/S35)</f>
        <v>5001</v>
      </c>
      <c r="T37" s="224"/>
      <c r="U37" s="225">
        <f t="shared" si="2"/>
        <v>5000</v>
      </c>
      <c r="V37" s="225"/>
    </row>
    <row r="38" spans="1:24" ht="16" customHeight="1">
      <c r="A38" s="61" t="s">
        <v>106</v>
      </c>
      <c r="B38" s="101">
        <v>401717</v>
      </c>
      <c r="C38" s="63" t="s">
        <v>270</v>
      </c>
      <c r="D38" s="64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6"/>
      <c r="J38" s="119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15" t="s">
        <v>107</v>
      </c>
      <c r="P38" s="216"/>
      <c r="Q38" s="219">
        <f>EINSTELLUNG!F6</f>
        <v>1</v>
      </c>
      <c r="R38" s="219"/>
      <c r="S38" s="219">
        <f>EINSTELLUNG!F22</f>
        <v>1</v>
      </c>
      <c r="T38" s="219"/>
      <c r="U38" s="220">
        <f t="shared" si="2"/>
        <v>0</v>
      </c>
      <c r="V38" s="220"/>
    </row>
    <row r="39" spans="1:24" ht="16" customHeight="1">
      <c r="A39" s="61" t="s">
        <v>108</v>
      </c>
      <c r="B39" s="101">
        <v>401722</v>
      </c>
      <c r="C39" s="63" t="s">
        <v>271</v>
      </c>
      <c r="D39" s="64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6"/>
      <c r="J39" s="119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15" t="s">
        <v>109</v>
      </c>
      <c r="P39" s="216"/>
      <c r="Q39" s="217">
        <f>IF(Q38=0, 0, Q35/Q38)</f>
        <v>1</v>
      </c>
      <c r="R39" s="217"/>
      <c r="S39" s="217">
        <f>IF(S38=0, 0, S35/S38)</f>
        <v>1</v>
      </c>
      <c r="T39" s="217"/>
      <c r="U39" s="218">
        <f t="shared" si="2"/>
        <v>0</v>
      </c>
      <c r="V39" s="218"/>
    </row>
    <row r="40" spans="1:24" ht="16" customHeight="1">
      <c r="A40" s="61" t="s">
        <v>110</v>
      </c>
      <c r="B40" s="101">
        <v>401723</v>
      </c>
      <c r="C40" s="63" t="s">
        <v>272</v>
      </c>
      <c r="D40" s="64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6"/>
      <c r="J40" s="119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15" t="s">
        <v>111</v>
      </c>
      <c r="P40" s="216"/>
      <c r="Q40" s="217">
        <f>IF(Q13=0, 0, Q35/Q13)</f>
        <v>1.3347927066926506E-4</v>
      </c>
      <c r="R40" s="217"/>
      <c r="S40" s="217">
        <f>IF(Q13=0, 0, S35/Q13)</f>
        <v>1.3347927066926506E-4</v>
      </c>
      <c r="T40" s="217"/>
      <c r="U40" s="218">
        <f t="shared" si="2"/>
        <v>0</v>
      </c>
      <c r="V40" s="218"/>
    </row>
    <row r="41" spans="1:24" ht="16" customHeight="1">
      <c r="A41" s="62" t="s">
        <v>112</v>
      </c>
      <c r="B41" s="101">
        <v>401726</v>
      </c>
      <c r="C41" s="63" t="s">
        <v>273</v>
      </c>
      <c r="D41" s="64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6"/>
      <c r="J41" s="119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15" t="s">
        <v>113</v>
      </c>
      <c r="P41" s="216"/>
      <c r="Q41" s="219">
        <f>IF(Q13=0, 0, Q38/Q13)</f>
        <v>1.3347927066926506E-4</v>
      </c>
      <c r="R41" s="219"/>
      <c r="S41" s="219">
        <f>IF(Q13=0, 0, S38/Q13)</f>
        <v>1.3347927066926506E-4</v>
      </c>
      <c r="T41" s="219"/>
      <c r="U41" s="220">
        <f t="shared" si="2"/>
        <v>0</v>
      </c>
      <c r="V41" s="220"/>
    </row>
    <row r="42" spans="1:24" ht="16" customHeight="1">
      <c r="A42" s="61" t="s">
        <v>114</v>
      </c>
      <c r="B42" s="101">
        <v>401731</v>
      </c>
      <c r="C42" s="63" t="s">
        <v>274</v>
      </c>
      <c r="D42" s="64">
        <v>45899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6"/>
      <c r="J42" s="119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15" t="s">
        <v>115</v>
      </c>
      <c r="P42" s="216"/>
      <c r="Q42" s="221">
        <f>IFERROR(Q17/Q8, 0)</f>
        <v>0</v>
      </c>
      <c r="R42" s="222"/>
      <c r="S42" s="222"/>
      <c r="T42" s="222"/>
      <c r="U42" s="222"/>
      <c r="V42" s="223"/>
    </row>
    <row r="43" spans="1:24" ht="16" customHeight="1">
      <c r="A43" s="61" t="s">
        <v>116</v>
      </c>
      <c r="B43" s="101">
        <v>401730</v>
      </c>
      <c r="C43" s="63" t="s">
        <v>275</v>
      </c>
      <c r="D43" s="64">
        <v>45895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6"/>
      <c r="J43" s="119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3" t="s">
        <v>276</v>
      </c>
      <c r="D44" s="64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6"/>
      <c r="J44" s="119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3" t="s">
        <v>277</v>
      </c>
      <c r="D45" s="64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6"/>
      <c r="J45" s="119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3" t="s">
        <v>278</v>
      </c>
      <c r="D46" s="64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6"/>
      <c r="J46" s="119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3" t="s">
        <v>279</v>
      </c>
      <c r="D47" s="64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6"/>
      <c r="J47" s="119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401747</v>
      </c>
      <c r="C48" s="68" t="s">
        <v>280</v>
      </c>
      <c r="D48" s="69">
        <v>45941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6"/>
      <c r="J48" s="119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401748</v>
      </c>
      <c r="C49" s="68" t="s">
        <v>281</v>
      </c>
      <c r="D49" s="69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6"/>
      <c r="J49" s="119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401746</v>
      </c>
      <c r="C50" s="70" t="s">
        <v>282</v>
      </c>
      <c r="D50" s="69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6"/>
      <c r="J50" s="119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401745</v>
      </c>
      <c r="C51" s="68" t="s">
        <v>283</v>
      </c>
      <c r="D51" s="69">
        <v>45934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6"/>
      <c r="J51" s="119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69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6"/>
      <c r="J52" s="119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69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6"/>
      <c r="J53" s="119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69">
        <v>46014</v>
      </c>
      <c r="E54" s="65" t="s">
        <v>2</v>
      </c>
      <c r="F54" s="67">
        <v>86.5</v>
      </c>
      <c r="G54" s="116"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6"/>
      <c r="J54" s="119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/>
      <c r="C55" s="68"/>
      <c r="D55" s="69"/>
      <c r="E55" s="65"/>
      <c r="F55" s="67"/>
      <c r="G55" s="116"/>
      <c r="H55" s="89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6"/>
      <c r="J55" s="119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/>
      <c r="C56" s="68"/>
      <c r="D56" s="69"/>
      <c r="E56" s="65"/>
      <c r="F56" s="67"/>
      <c r="G56" s="116"/>
      <c r="H56" s="89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6"/>
      <c r="J56" s="119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/>
      <c r="C57" s="68"/>
      <c r="D57" s="69"/>
      <c r="E57" s="65"/>
      <c r="F57" s="67"/>
      <c r="G57" s="116"/>
      <c r="H57" s="89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6"/>
      <c r="J57" s="119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/>
      <c r="C58" s="68"/>
      <c r="D58" s="69"/>
      <c r="E58" s="65"/>
      <c r="F58" s="67"/>
      <c r="G58" s="116"/>
      <c r="H58" s="89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6"/>
      <c r="J58" s="119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69"/>
      <c r="E59" s="65"/>
      <c r="F59" s="67"/>
      <c r="G59" s="116"/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6"/>
      <c r="J59" s="119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69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6"/>
      <c r="J60" s="119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69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6"/>
      <c r="J61" s="119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69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6"/>
      <c r="J62" s="119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69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6"/>
      <c r="J63" s="119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69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6"/>
      <c r="J64" s="119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69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6"/>
      <c r="J65" s="119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69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6"/>
      <c r="J66" s="119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69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6"/>
      <c r="J67" s="119"/>
      <c r="K67" s="92">
        <f t="shared" si="1"/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69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6"/>
      <c r="J68" s="119"/>
      <c r="K68" s="92">
        <f t="shared" si="1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69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6"/>
      <c r="J69" s="119"/>
      <c r="K69" s="92">
        <f t="shared" si="1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69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6"/>
      <c r="J70" s="119"/>
      <c r="K70" s="92">
        <f t="shared" si="1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69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6"/>
      <c r="J71" s="119"/>
      <c r="K71" s="92">
        <f t="shared" si="1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69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6"/>
      <c r="J72" s="119"/>
      <c r="K72" s="92">
        <f t="shared" si="1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69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6"/>
      <c r="J73" s="119"/>
      <c r="K73" s="92">
        <f t="shared" si="1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69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6"/>
      <c r="J74" s="119"/>
      <c r="K74" s="92">
        <f t="shared" si="1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69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6"/>
      <c r="J75" s="119"/>
      <c r="K75" s="92">
        <f t="shared" si="1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69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6"/>
      <c r="J76" s="119"/>
      <c r="K76" s="92">
        <f t="shared" si="1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69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6"/>
      <c r="J77" s="119"/>
      <c r="K77" s="92">
        <f t="shared" si="1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69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6"/>
      <c r="J78" s="119"/>
      <c r="K78" s="92">
        <f t="shared" si="1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69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6"/>
      <c r="J79" s="119"/>
      <c r="K79" s="92">
        <f t="shared" si="1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69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6"/>
      <c r="J80" s="119"/>
      <c r="K80" s="92">
        <f t="shared" si="1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69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6"/>
      <c r="J81" s="119"/>
      <c r="K81" s="92">
        <f t="shared" si="1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80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7"/>
      <c r="J82" s="120"/>
      <c r="K82" s="93">
        <f t="shared" si="1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114" spans="11:14" ht="16" customHeight="1">
      <c r="K114" s="264"/>
      <c r="L114" s="264"/>
      <c r="M114" s="264"/>
      <c r="N114" s="58"/>
    </row>
    <row r="115" spans="11:14" ht="16" customHeight="1">
      <c r="K115" s="264"/>
      <c r="L115" s="264"/>
      <c r="M115" s="264"/>
      <c r="N115" s="58"/>
    </row>
    <row r="116" spans="11:14" ht="16" customHeight="1">
      <c r="K116" s="238"/>
      <c r="L116" s="238"/>
      <c r="M116" s="43"/>
      <c r="N116" s="43"/>
    </row>
    <row r="117" spans="11:14" ht="16" customHeight="1">
      <c r="K117" s="238"/>
      <c r="L117" s="238"/>
      <c r="M117" s="43"/>
      <c r="N117" s="43"/>
    </row>
    <row r="118" spans="11:14" ht="16" customHeight="1">
      <c r="K118" s="265"/>
      <c r="L118" s="265"/>
      <c r="M118" s="44"/>
      <c r="N118" s="44"/>
    </row>
    <row r="119" spans="11:14" ht="16" customHeight="1">
      <c r="K119" s="239"/>
      <c r="L119" s="239"/>
      <c r="M119" s="45"/>
      <c r="N119" s="45"/>
    </row>
    <row r="120" spans="11:14" ht="16" customHeight="1">
      <c r="K120" s="238"/>
      <c r="L120" s="238"/>
      <c r="M120" s="43"/>
      <c r="N120" s="43"/>
    </row>
    <row r="121" spans="11:14" ht="16" customHeight="1">
      <c r="K121" s="238"/>
      <c r="L121" s="238"/>
      <c r="M121" s="43"/>
      <c r="N121" s="43"/>
    </row>
    <row r="122" spans="11:14" ht="16" customHeight="1">
      <c r="K122" s="239"/>
      <c r="L122" s="239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6gxDwSqdbudFp95RTPn+6UkR6ySWpTAzPWyxNMIa2AkilotWwI8ZjWyitgFL6OKdyS4iaR0hcwtuLzzWFtp6dw==" saltValue="I7FQxnfLitBV+OUWVXwILA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4" type="noConversion"/>
  <dataValidations count="5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  <dataValidation type="list" allowBlank="1" showInputMessage="1" showErrorMessage="1" sqref="E3:E82" xr:uid="{DD1205DC-04B5-5540-833E-BACE206FF378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kzYMBvfsufj4Za+g57j3EqCveD/+vdgQ3c8rmjFNiDIwIeUAk6HGfUNE12o8TaXYyi53RXZDxXONP5Mg+BP9rQ==" saltValue="Q2Z97AsWa69Q/UnrloAajg==" spinCount="100000" sheet="1" objects="1" scenarios="1" sort="0" autoFilter="0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1" activePane="bottomLeft" state="frozen"/>
      <selection activeCell="T24" sqref="T24"/>
      <selection pane="bottomLeft" activeCell="P57" sqref="P57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62" t="s">
        <v>191</v>
      </c>
      <c r="C1" s="270" t="s">
        <v>40</v>
      </c>
      <c r="D1" s="268" t="s">
        <v>192</v>
      </c>
      <c r="E1" s="268" t="s">
        <v>0</v>
      </c>
      <c r="F1" s="268" t="s">
        <v>41</v>
      </c>
      <c r="G1" s="272" t="s">
        <v>42</v>
      </c>
      <c r="H1" s="274" t="s">
        <v>43</v>
      </c>
      <c r="I1" s="276" t="s">
        <v>193</v>
      </c>
      <c r="J1" s="278" t="s">
        <v>44</v>
      </c>
      <c r="K1" s="280" t="s">
        <v>45</v>
      </c>
      <c r="L1" s="282" t="s">
        <v>46</v>
      </c>
      <c r="M1" s="266" t="s">
        <v>47</v>
      </c>
      <c r="N1" s="263" t="s">
        <v>194</v>
      </c>
      <c r="AB1" s="8">
        <f>DATE(EINSTELLUNG!$C$35,$A$1,1)</f>
        <v>46054</v>
      </c>
    </row>
    <row r="2" spans="1:28" ht="16" customHeight="1" thickBot="1">
      <c r="A2" s="60"/>
      <c r="B2" s="262"/>
      <c r="C2" s="271"/>
      <c r="D2" s="269"/>
      <c r="E2" s="269"/>
      <c r="F2" s="269"/>
      <c r="G2" s="273"/>
      <c r="H2" s="275"/>
      <c r="I2" s="277"/>
      <c r="J2" s="279"/>
      <c r="K2" s="281"/>
      <c r="L2" s="283"/>
      <c r="M2" s="267"/>
      <c r="N2" s="263"/>
      <c r="AB2" s="8">
        <f>EOMONTH(DATE(EINSTELLUNG!$C$35,$A$1,1),0)</f>
        <v>46081</v>
      </c>
    </row>
    <row r="3" spans="1:28" ht="16" customHeight="1">
      <c r="A3" s="61" t="s">
        <v>48</v>
      </c>
      <c r="B3" s="100">
        <v>401006</v>
      </c>
      <c r="C3" s="97" t="s">
        <v>235</v>
      </c>
      <c r="D3" s="122">
        <v>38188</v>
      </c>
      <c r="E3" s="73" t="s">
        <v>13</v>
      </c>
      <c r="F3" s="98">
        <v>173</v>
      </c>
      <c r="G3" s="115"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02" t="s">
        <v>49</v>
      </c>
      <c r="P3" s="202" t="s">
        <v>50</v>
      </c>
      <c r="Q3" s="200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401010</v>
      </c>
      <c r="C4" s="68" t="s">
        <v>236</v>
      </c>
      <c r="D4" s="123">
        <v>39388</v>
      </c>
      <c r="E4" s="65" t="s">
        <v>5</v>
      </c>
      <c r="F4" s="67">
        <v>173</v>
      </c>
      <c r="G4" s="116"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03"/>
      <c r="P4" s="203"/>
      <c r="Q4" s="201"/>
      <c r="R4" s="241"/>
    </row>
    <row r="5" spans="1:28" ht="16" customHeight="1">
      <c r="A5" s="62" t="s">
        <v>54</v>
      </c>
      <c r="B5" s="101">
        <v>401047</v>
      </c>
      <c r="C5" s="68" t="s">
        <v>238</v>
      </c>
      <c r="D5" s="123">
        <v>41154</v>
      </c>
      <c r="E5" s="65" t="s">
        <v>4</v>
      </c>
      <c r="F5" s="67">
        <v>173</v>
      </c>
      <c r="G5" s="116"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842.66960625479021</v>
      </c>
      <c r="P5" s="15">
        <f>EINSTELLUNG!I7</f>
        <v>2</v>
      </c>
      <c r="Q5" s="14">
        <f>P5-O5</f>
        <v>-840.66960625479021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70" t="s">
        <v>237</v>
      </c>
      <c r="D6" s="123">
        <v>41130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23" t="str">
        <f>IF(Q5&lt;0, "Schlecht! Zu wenig Urlaub abgebaut.", IF(Q5&gt;0, "Gut! Mehr Urlaub abgebaut als aufgebaut.", ""))</f>
        <v>Schlecht! Zu wenig Urlaub abgebaut.</v>
      </c>
      <c r="P6" s="323"/>
      <c r="Q6" s="323"/>
      <c r="R6" s="323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321" t="s">
        <v>58</v>
      </c>
      <c r="P8" s="205"/>
      <c r="Q8" s="319">
        <f>SUM(H3:H82)</f>
        <v>8591.6099999999988</v>
      </c>
      <c r="R8" s="320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321" t="s">
        <v>60</v>
      </c>
      <c r="P9" s="205"/>
      <c r="Q9" s="319">
        <f>EINSTELLUNG!L23</f>
        <v>2</v>
      </c>
      <c r="R9" s="320"/>
      <c r="S9" s="19">
        <f>IFERROR(Q9/Q8, 0)</f>
        <v>2.3278524048461234E-4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321" t="s">
        <v>62</v>
      </c>
      <c r="P10" s="205"/>
      <c r="Q10" s="319">
        <f>EINSTELLUNG!I23</f>
        <v>2</v>
      </c>
      <c r="R10" s="320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321" t="s">
        <v>64</v>
      </c>
      <c r="P11" s="205"/>
      <c r="Q11" s="319">
        <f>P5</f>
        <v>2</v>
      </c>
      <c r="R11" s="320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321" t="s">
        <v>68</v>
      </c>
      <c r="P12" s="205"/>
      <c r="Q12" s="319">
        <f>Q8-Q9-Q10-Q11</f>
        <v>8585.6099999999988</v>
      </c>
      <c r="R12" s="320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321" t="s">
        <v>70</v>
      </c>
      <c r="P13" s="205"/>
      <c r="Q13" s="319">
        <f>EINSTELLUNG!L7</f>
        <v>2</v>
      </c>
      <c r="R13" s="320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321" t="s">
        <v>72</v>
      </c>
      <c r="P14" s="205"/>
      <c r="Q14" s="319">
        <f>Q12-Q13</f>
        <v>8583.6099999999988</v>
      </c>
      <c r="R14" s="320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22" t="str">
        <f>IF(Q14&lt;0, "Schlecht! Zu wenig Stunden für Dienstplan.", IF(Q14&gt;0, "Du hast mehr als genug Stunden für Dienstplan.", ""))</f>
        <v>Du hast mehr als genug Stunden für Dienstplan.</v>
      </c>
      <c r="P15" s="322"/>
      <c r="Q15" s="322"/>
      <c r="R15" s="322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16" t="s">
        <v>75</v>
      </c>
      <c r="P17" s="213"/>
      <c r="Q17" s="317">
        <f>SUM(L3:L82)</f>
        <v>0</v>
      </c>
      <c r="R17" s="318"/>
      <c r="W17" s="12"/>
    </row>
    <row r="18" spans="1:29" ht="16" customHeight="1">
      <c r="A18" s="61" t="s">
        <v>76</v>
      </c>
      <c r="B18" s="101">
        <v>401476</v>
      </c>
      <c r="C18" s="68" t="s">
        <v>249</v>
      </c>
      <c r="D18" s="123">
        <v>44504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94"/>
      <c r="P18" s="295"/>
      <c r="Q18" s="296"/>
      <c r="R18" s="297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94"/>
      <c r="P19" s="295"/>
      <c r="Q19" s="296"/>
      <c r="R19" s="297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94"/>
      <c r="P20" s="295"/>
      <c r="Q20" s="296"/>
      <c r="R20" s="297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94" t="s">
        <v>320</v>
      </c>
      <c r="P21" s="295"/>
      <c r="Q21" s="296">
        <v>5000</v>
      </c>
      <c r="R21" s="297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94"/>
      <c r="P22" s="295"/>
      <c r="Q22" s="296"/>
      <c r="R22" s="297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94"/>
      <c r="P23" s="295"/>
      <c r="Q23" s="296"/>
      <c r="R23" s="297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94"/>
      <c r="P24" s="295"/>
      <c r="Q24" s="296"/>
      <c r="R24" s="297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09"/>
      <c r="P25" s="310"/>
      <c r="Q25" s="311"/>
      <c r="R25" s="312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13"/>
      <c r="P26" s="256"/>
      <c r="Q26" s="314"/>
      <c r="R26" s="315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305"/>
      <c r="P27" s="211"/>
      <c r="Q27" s="306"/>
      <c r="R27" s="307"/>
      <c r="S27" s="209" t="s">
        <v>87</v>
      </c>
      <c r="T27" s="210"/>
      <c r="U27" s="210"/>
      <c r="V27" s="210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308"/>
      <c r="P28" s="250"/>
      <c r="Q28" s="288"/>
      <c r="R28" s="289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90" t="s">
        <v>90</v>
      </c>
      <c r="P29" s="242"/>
      <c r="Q29" s="291">
        <f>EINSTELLUNG!O7</f>
        <v>2</v>
      </c>
      <c r="R29" s="292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68" t="s">
        <v>262</v>
      </c>
      <c r="D31" s="123">
        <v>45358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98">
        <v>0</v>
      </c>
      <c r="P31" s="299"/>
      <c r="Q31" s="300">
        <v>1.7241379310344827E-2</v>
      </c>
      <c r="R31" s="258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301"/>
      <c r="P33" s="302"/>
      <c r="Q33" s="228" t="s">
        <v>96</v>
      </c>
      <c r="R33" s="229"/>
      <c r="S33" s="232" t="s">
        <v>97</v>
      </c>
      <c r="T33" s="233"/>
      <c r="U33" s="232" t="s">
        <v>98</v>
      </c>
      <c r="V33" s="233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303"/>
      <c r="P34" s="304"/>
      <c r="Q34" s="230"/>
      <c r="R34" s="231"/>
      <c r="S34" s="234"/>
      <c r="T34" s="235"/>
      <c r="U34" s="234"/>
      <c r="V34" s="235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93" t="s">
        <v>101</v>
      </c>
      <c r="P35" s="215"/>
      <c r="Q35" s="221">
        <f>EINSTELLUNG!C7</f>
        <v>2</v>
      </c>
      <c r="R35" s="223"/>
      <c r="S35" s="221">
        <f>EINSTELLUNG!C23</f>
        <v>2</v>
      </c>
      <c r="T35" s="223"/>
      <c r="U35" s="218">
        <f>S35-Q35</f>
        <v>0</v>
      </c>
      <c r="V35" s="218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93" t="s">
        <v>103</v>
      </c>
      <c r="P36" s="215"/>
      <c r="Q36" s="221">
        <f>EINSTELLUNG!D7</f>
        <v>2</v>
      </c>
      <c r="R36" s="223"/>
      <c r="S36" s="217" cm="1">
        <f t="array" ref="S36">SumMergedCells(Q17:R29)</f>
        <v>5002</v>
      </c>
      <c r="T36" s="217"/>
      <c r="U36" s="218">
        <f t="shared" ref="U36:U41" si="2">S36-Q36</f>
        <v>5000</v>
      </c>
      <c r="V36" s="218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93" t="s">
        <v>105</v>
      </c>
      <c r="P37" s="215"/>
      <c r="Q37" s="286">
        <f>IF(ISERROR(Q36/Q35), 0, Q36/Q35)</f>
        <v>1</v>
      </c>
      <c r="R37" s="287"/>
      <c r="S37" s="286">
        <f>IF(ISERROR(S36/S35), 0, S36/S35)</f>
        <v>2501</v>
      </c>
      <c r="T37" s="287"/>
      <c r="U37" s="225">
        <f t="shared" si="2"/>
        <v>2500</v>
      </c>
      <c r="V37" s="225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93" t="s">
        <v>107</v>
      </c>
      <c r="P38" s="215"/>
      <c r="Q38" s="284">
        <f>EINSTELLUNG!F7</f>
        <v>2</v>
      </c>
      <c r="R38" s="285"/>
      <c r="S38" s="284">
        <f>EINSTELLUNG!F23</f>
        <v>2</v>
      </c>
      <c r="T38" s="285"/>
      <c r="U38" s="220">
        <f t="shared" si="2"/>
        <v>0</v>
      </c>
      <c r="V38" s="220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93" t="s">
        <v>109</v>
      </c>
      <c r="P39" s="215"/>
      <c r="Q39" s="221">
        <f>IF(Q38=0, 0, Q35/Q38)</f>
        <v>1</v>
      </c>
      <c r="R39" s="223"/>
      <c r="S39" s="221">
        <f>IF(S38=0, 0, S35/S38)</f>
        <v>1</v>
      </c>
      <c r="T39" s="223"/>
      <c r="U39" s="218">
        <f t="shared" si="2"/>
        <v>0</v>
      </c>
      <c r="V39" s="218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15" t="s">
        <v>111</v>
      </c>
      <c r="P40" s="216"/>
      <c r="Q40" s="217">
        <f>IF(Q12=0, 0, Q35/Q12)</f>
        <v>2.329479209980421E-4</v>
      </c>
      <c r="R40" s="217"/>
      <c r="S40" s="217">
        <f>IF(Q12=0, 0, S35/Q12)</f>
        <v>2.329479209980421E-4</v>
      </c>
      <c r="T40" s="217"/>
      <c r="U40" s="218">
        <f t="shared" si="2"/>
        <v>0</v>
      </c>
      <c r="V40" s="218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15" t="s">
        <v>113</v>
      </c>
      <c r="P41" s="216"/>
      <c r="Q41" s="219">
        <f>IF(Q12=0, 0, Q38/Q12)</f>
        <v>2.329479209980421E-4</v>
      </c>
      <c r="R41" s="219"/>
      <c r="S41" s="219">
        <f>IF(Q12=0, 0, S38/Q12)</f>
        <v>2.329479209980421E-4</v>
      </c>
      <c r="T41" s="219"/>
      <c r="U41" s="220">
        <f t="shared" si="2"/>
        <v>0</v>
      </c>
      <c r="V41" s="220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15" t="s">
        <v>115</v>
      </c>
      <c r="P42" s="216"/>
      <c r="Q42" s="221">
        <f>IFERROR(Q17/Q8, 0)</f>
        <v>0</v>
      </c>
      <c r="R42" s="222"/>
      <c r="S42" s="222"/>
      <c r="T42" s="222"/>
      <c r="U42" s="222"/>
      <c r="V42" s="223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70" t="s">
        <v>283</v>
      </c>
      <c r="D47" s="123">
        <v>45934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401754</v>
      </c>
      <c r="C53" s="68" t="s">
        <v>286</v>
      </c>
      <c r="D53" s="123">
        <v>46014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55</v>
      </c>
      <c r="C55" s="68" t="s">
        <v>331</v>
      </c>
      <c r="D55" s="123">
        <v>46054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500600</v>
      </c>
      <c r="C59" s="68" t="s">
        <v>335</v>
      </c>
      <c r="D59" s="123">
        <v>46054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600000</v>
      </c>
      <c r="C60" s="68" t="s">
        <v>336</v>
      </c>
      <c r="D60" s="123">
        <v>46054</v>
      </c>
      <c r="E60" s="65" t="s">
        <v>2</v>
      </c>
      <c r="F60" s="67">
        <v>151.38</v>
      </c>
      <c r="G60" s="116">
        <v>1768.38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6">
        <v>46055</v>
      </c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 t="s">
        <v>195</v>
      </c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5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5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x8pmpOIPzB+v1rjvZaDoIitJ2pp4jHbIosY+RsJSdMh4bMpQc3R0vMEajTEn0hvc7DwfVzu7hjGCtzEv8D+ERQ==" saltValue="L15Ca6YQvu8TwvLYy6yJy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  <dataValidation type="list" allowBlank="1" showInputMessage="1" showErrorMessage="1" sqref="E3:E82" xr:uid="{8F85DB90-9F5D-B347-A366-D039FE6B571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25" activePane="bottomLeft" state="frozen"/>
      <selection activeCell="T24" sqref="T24"/>
      <selection pane="bottomLeft" activeCell="D63" sqref="D63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62" t="s">
        <v>191</v>
      </c>
      <c r="C1" s="270" t="s">
        <v>40</v>
      </c>
      <c r="D1" s="268" t="s">
        <v>192</v>
      </c>
      <c r="E1" s="268" t="s">
        <v>0</v>
      </c>
      <c r="F1" s="268" t="s">
        <v>41</v>
      </c>
      <c r="G1" s="272" t="s">
        <v>42</v>
      </c>
      <c r="H1" s="274" t="s">
        <v>43</v>
      </c>
      <c r="I1" s="276" t="s">
        <v>193</v>
      </c>
      <c r="J1" s="278" t="s">
        <v>44</v>
      </c>
      <c r="K1" s="280" t="s">
        <v>45</v>
      </c>
      <c r="L1" s="282" t="s">
        <v>46</v>
      </c>
      <c r="M1" s="266" t="s">
        <v>47</v>
      </c>
      <c r="N1" s="263" t="s">
        <v>194</v>
      </c>
      <c r="AB1" s="8">
        <f>DATE(EINSTELLUNG!$C$35,$A$1,1)</f>
        <v>46082</v>
      </c>
    </row>
    <row r="2" spans="1:28" ht="16" customHeight="1" thickBot="1">
      <c r="A2" s="60"/>
      <c r="B2" s="262"/>
      <c r="C2" s="271"/>
      <c r="D2" s="269"/>
      <c r="E2" s="269"/>
      <c r="F2" s="269"/>
      <c r="G2" s="273"/>
      <c r="H2" s="275"/>
      <c r="I2" s="277"/>
      <c r="J2" s="279"/>
      <c r="K2" s="281"/>
      <c r="L2" s="283"/>
      <c r="M2" s="267"/>
      <c r="N2" s="263"/>
      <c r="AB2" s="8">
        <f>EOMONTH(DATE(EINSTELLUNG!$C$35,$A$1,1),0)</f>
        <v>46112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02" t="s">
        <v>49</v>
      </c>
      <c r="P3" s="202" t="s">
        <v>50</v>
      </c>
      <c r="Q3" s="200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03"/>
      <c r="P4" s="203"/>
      <c r="Q4" s="201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861.45075354782682</v>
      </c>
      <c r="P5" s="15">
        <f>EINSTELLUNG!I8</f>
        <v>3</v>
      </c>
      <c r="Q5" s="14">
        <f>P5-O5</f>
        <v>-858.45075354782682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97" t="str">
        <f>IF(Q5&lt;0, "Schlecht! Zu wenig Urlaub abgebaut.", IF(Q5&gt;0, "Gut! Mehr Urlaub abgebaut als aufgebaut.", ""))</f>
        <v>Schlecht! Zu wenig Urlaub abgebaut.</v>
      </c>
      <c r="P6" s="198"/>
      <c r="Q6" s="198"/>
      <c r="R6" s="19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05" t="s">
        <v>58</v>
      </c>
      <c r="P8" s="206"/>
      <c r="Q8" s="207">
        <f>SUM(H3:H82)</f>
        <v>8804.02</v>
      </c>
      <c r="R8" s="207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05" t="s">
        <v>60</v>
      </c>
      <c r="P9" s="206"/>
      <c r="Q9" s="207">
        <f>EINSTELLUNG!L24</f>
        <v>3</v>
      </c>
      <c r="R9" s="207"/>
      <c r="S9" s="19">
        <f>IFERROR(Q9/Q8, 0)</f>
        <v>3.4075342854741355E-4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05" t="s">
        <v>62</v>
      </c>
      <c r="P10" s="206"/>
      <c r="Q10" s="207">
        <f>EINSTELLUNG!I24</f>
        <v>3</v>
      </c>
      <c r="R10" s="207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05" t="s">
        <v>64</v>
      </c>
      <c r="P11" s="206"/>
      <c r="Q11" s="207">
        <f>P5</f>
        <v>3</v>
      </c>
      <c r="R11" s="20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05" t="s">
        <v>66</v>
      </c>
      <c r="P12" s="206"/>
      <c r="Q12" s="236">
        <v>-445</v>
      </c>
      <c r="R12" s="23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05" t="s">
        <v>68</v>
      </c>
      <c r="P13" s="206"/>
      <c r="Q13" s="207">
        <f>Q8-Q9-Q10-Q11-Q12</f>
        <v>9240.02</v>
      </c>
      <c r="R13" s="207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05" t="s">
        <v>70</v>
      </c>
      <c r="P14" s="206"/>
      <c r="Q14" s="207">
        <f>EINSTELLUNG!L8</f>
        <v>3</v>
      </c>
      <c r="R14" s="20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05" t="s">
        <v>72</v>
      </c>
      <c r="P15" s="206"/>
      <c r="Q15" s="207">
        <f>Q13-Q14</f>
        <v>9237.02</v>
      </c>
      <c r="R15" s="207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08" t="str">
        <f>IF(Q15&lt;0, "Schlecht! Zu wenig Stunden für Dienstplan.", IF(Q15&gt;0, "Du hast mehr als genug Stunden für Dienstplan.", ""))</f>
        <v>Du hast mehr als genug Stunden für Dienstplan.</v>
      </c>
      <c r="P16" s="208"/>
      <c r="Q16" s="208"/>
      <c r="R16" s="20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13" t="s">
        <v>75</v>
      </c>
      <c r="P17" s="214"/>
      <c r="Q17" s="237">
        <f>SUM(L3:L82)</f>
        <v>0</v>
      </c>
      <c r="R17" s="23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95"/>
      <c r="P18" s="326"/>
      <c r="Q18" s="327"/>
      <c r="R18" s="204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95"/>
      <c r="P19" s="326"/>
      <c r="Q19" s="327"/>
      <c r="R19" s="204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95"/>
      <c r="P20" s="326"/>
      <c r="Q20" s="327"/>
      <c r="R20" s="204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95" t="s">
        <v>320</v>
      </c>
      <c r="P21" s="326"/>
      <c r="Q21" s="327">
        <v>5000</v>
      </c>
      <c r="R21" s="204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95"/>
      <c r="P22" s="326"/>
      <c r="Q22" s="327"/>
      <c r="R22" s="204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95"/>
      <c r="P23" s="326"/>
      <c r="Q23" s="327"/>
      <c r="R23" s="204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95"/>
      <c r="P24" s="326"/>
      <c r="Q24" s="327"/>
      <c r="R24" s="204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0"/>
      <c r="P25" s="328"/>
      <c r="Q25" s="329"/>
      <c r="R25" s="246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6"/>
      <c r="P26" s="257"/>
      <c r="Q26" s="247"/>
      <c r="R26" s="248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11"/>
      <c r="P27" s="212"/>
      <c r="Q27" s="204"/>
      <c r="R27" s="249"/>
      <c r="S27" s="209" t="s">
        <v>87</v>
      </c>
      <c r="T27" s="210"/>
      <c r="U27" s="210"/>
      <c r="V27" s="21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0"/>
      <c r="P28" s="251"/>
      <c r="Q28" s="252"/>
      <c r="R28" s="25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2" t="s">
        <v>90</v>
      </c>
      <c r="P29" s="243"/>
      <c r="Q29" s="244">
        <f>EINSTELLUNG!O8</f>
        <v>3</v>
      </c>
      <c r="R29" s="245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58">
        <v>0</v>
      </c>
      <c r="P31" s="259"/>
      <c r="Q31" s="260">
        <v>1.6949152542372881E-2</v>
      </c>
      <c r="R31" s="26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26"/>
      <c r="P33" s="227"/>
      <c r="Q33" s="324" t="str">
        <f>EINSTELLUNG!B3</f>
        <v>Budget Zahlen</v>
      </c>
      <c r="R33" s="324"/>
      <c r="S33" s="325" t="str">
        <f>EINSTELLUNG!B19</f>
        <v>Projection/Aktuell Zahlen</v>
      </c>
      <c r="T33" s="325"/>
      <c r="U33" s="325" t="s">
        <v>98</v>
      </c>
      <c r="V33" s="325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26"/>
      <c r="P34" s="227"/>
      <c r="Q34" s="324"/>
      <c r="R34" s="324"/>
      <c r="S34" s="325"/>
      <c r="T34" s="325"/>
      <c r="U34" s="325"/>
      <c r="V34" s="325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15" t="s">
        <v>101</v>
      </c>
      <c r="P35" s="216"/>
      <c r="Q35" s="217">
        <f>EINSTELLUNG!C8</f>
        <v>3</v>
      </c>
      <c r="R35" s="217"/>
      <c r="S35" s="217">
        <f>EINSTELLUNG!C24</f>
        <v>3</v>
      </c>
      <c r="T35" s="217"/>
      <c r="U35" s="218">
        <f>S35-Q35</f>
        <v>0</v>
      </c>
      <c r="V35" s="218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15" t="s">
        <v>103</v>
      </c>
      <c r="P36" s="216"/>
      <c r="Q36" s="217">
        <f>EINSTELLUNG!D8</f>
        <v>3</v>
      </c>
      <c r="R36" s="217"/>
      <c r="S36" s="217" cm="1">
        <f t="array" ref="S36">SumMergedCells(Q17:R29)</f>
        <v>5003</v>
      </c>
      <c r="T36" s="217"/>
      <c r="U36" s="218">
        <f t="shared" ref="U36:U41" si="2">S36-Q36</f>
        <v>5000</v>
      </c>
      <c r="V36" s="218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15" t="s">
        <v>105</v>
      </c>
      <c r="P37" s="216"/>
      <c r="Q37" s="224">
        <f>IF(ISERROR(Q36/Q35), 0, Q36/Q35)</f>
        <v>1</v>
      </c>
      <c r="R37" s="224"/>
      <c r="S37" s="224">
        <f>IF(ISERROR(S36/S35), 0, S36/S35)</f>
        <v>1667.6666666666667</v>
      </c>
      <c r="T37" s="224"/>
      <c r="U37" s="225">
        <f t="shared" si="2"/>
        <v>1666.6666666666667</v>
      </c>
      <c r="V37" s="22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15" t="s">
        <v>107</v>
      </c>
      <c r="P38" s="216"/>
      <c r="Q38" s="219">
        <f>EINSTELLUNG!F8</f>
        <v>3</v>
      </c>
      <c r="R38" s="219"/>
      <c r="S38" s="219">
        <f>EINSTELLUNG!F24</f>
        <v>3</v>
      </c>
      <c r="T38" s="219"/>
      <c r="U38" s="220">
        <f t="shared" si="2"/>
        <v>0</v>
      </c>
      <c r="V38" s="220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15" t="s">
        <v>109</v>
      </c>
      <c r="P39" s="216"/>
      <c r="Q39" s="217">
        <f>IF(Q38=0, 0, Q35/Q38)</f>
        <v>1</v>
      </c>
      <c r="R39" s="217"/>
      <c r="S39" s="217">
        <f>IF(S38=0, 0, S35/S38)</f>
        <v>1</v>
      </c>
      <c r="T39" s="217"/>
      <c r="U39" s="218">
        <f t="shared" si="2"/>
        <v>0</v>
      </c>
      <c r="V39" s="218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15" t="s">
        <v>111</v>
      </c>
      <c r="P40" s="216"/>
      <c r="Q40" s="217">
        <f>IF(Q13=0, 0, Q35/Q13)</f>
        <v>3.2467462191640276E-4</v>
      </c>
      <c r="R40" s="217"/>
      <c r="S40" s="217">
        <f>IF(Q13=0, 0, S35/Q13)</f>
        <v>3.2467462191640276E-4</v>
      </c>
      <c r="T40" s="217"/>
      <c r="U40" s="218">
        <f t="shared" si="2"/>
        <v>0</v>
      </c>
      <c r="V40" s="218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15" t="s">
        <v>113</v>
      </c>
      <c r="P41" s="216"/>
      <c r="Q41" s="219">
        <f>IF(Q13=0, 0, Q38/Q13)</f>
        <v>3.2467462191640276E-4</v>
      </c>
      <c r="R41" s="219"/>
      <c r="S41" s="219">
        <f>IF(Q13=0, 0, S38/Q13)</f>
        <v>3.2467462191640276E-4</v>
      </c>
      <c r="T41" s="219"/>
      <c r="U41" s="220">
        <f t="shared" si="2"/>
        <v>0</v>
      </c>
      <c r="V41" s="220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15" t="s">
        <v>115</v>
      </c>
      <c r="P42" s="216"/>
      <c r="Q42" s="221">
        <f>IFERROR(Q17/Q8, 0)</f>
        <v>0</v>
      </c>
      <c r="R42" s="222"/>
      <c r="S42" s="222"/>
      <c r="T42" s="222"/>
      <c r="U42" s="222"/>
      <c r="V42" s="223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123">
        <v>46014</v>
      </c>
      <c r="E54" s="65" t="s">
        <v>2</v>
      </c>
      <c r="F54" s="67">
        <v>86.5</v>
      </c>
      <c r="G54" s="116"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6">
        <v>46096</v>
      </c>
      <c r="J54" s="66">
        <v>8</v>
      </c>
      <c r="K54" s="92">
        <f t="shared" si="1"/>
        <v>260.77419354838707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 t="s">
        <v>205</v>
      </c>
    </row>
    <row r="55" spans="1:14" ht="16" customHeight="1">
      <c r="A55" s="61" t="s">
        <v>129</v>
      </c>
      <c r="B55" s="101">
        <v>401999</v>
      </c>
      <c r="C55" s="68" t="s">
        <v>319</v>
      </c>
      <c r="D55" s="123">
        <v>46082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70" t="s">
        <v>335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46096</v>
      </c>
      <c r="E62" s="65" t="s">
        <v>2</v>
      </c>
      <c r="F62" s="67">
        <v>173</v>
      </c>
      <c r="G62" s="116">
        <v>2021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58SyqwIJ9XkwUTjO1xZYelBp9WLX0RvzSUuuLFDIAL1yPa/YhUfuU9mF5j1SwC8gcs51nYAG6RVq8WXiGtrhsQ==" saltValue="48ul3MzRF9cBYsGRVnW9a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E3:E82" xr:uid="{B98161FA-8E91-4AE4-9111-0200024BE36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29" activePane="bottomLeft" state="frozen"/>
      <selection activeCell="T24" sqref="T24"/>
      <selection pane="bottomLeft" activeCell="F64" sqref="F64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62" t="s">
        <v>191</v>
      </c>
      <c r="C1" s="270" t="s">
        <v>40</v>
      </c>
      <c r="D1" s="268" t="s">
        <v>192</v>
      </c>
      <c r="E1" s="268" t="s">
        <v>0</v>
      </c>
      <c r="F1" s="268" t="s">
        <v>41</v>
      </c>
      <c r="G1" s="272" t="s">
        <v>42</v>
      </c>
      <c r="H1" s="274" t="s">
        <v>43</v>
      </c>
      <c r="I1" s="276" t="s">
        <v>193</v>
      </c>
      <c r="J1" s="278" t="s">
        <v>44</v>
      </c>
      <c r="K1" s="280" t="s">
        <v>45</v>
      </c>
      <c r="L1" s="282" t="s">
        <v>46</v>
      </c>
      <c r="M1" s="266" t="s">
        <v>47</v>
      </c>
      <c r="N1" s="263" t="s">
        <v>194</v>
      </c>
      <c r="AB1" s="8">
        <f>DATE(EINSTELLUNG!$C$35,$A$1,1)</f>
        <v>46113</v>
      </c>
    </row>
    <row r="2" spans="1:28" ht="16" customHeight="1" thickBot="1">
      <c r="A2" s="60"/>
      <c r="B2" s="262"/>
      <c r="C2" s="271"/>
      <c r="D2" s="269"/>
      <c r="E2" s="269"/>
      <c r="F2" s="269"/>
      <c r="G2" s="273"/>
      <c r="H2" s="275"/>
      <c r="I2" s="277"/>
      <c r="J2" s="279"/>
      <c r="K2" s="281"/>
      <c r="L2" s="283"/>
      <c r="M2" s="267"/>
      <c r="N2" s="263"/>
      <c r="AB2" s="8">
        <f>EOMONTH(DATE(EINSTELLUNG!$C$35,$A$1,1),0)</f>
        <v>46142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02" t="s">
        <v>49</v>
      </c>
      <c r="P3" s="202" t="s">
        <v>50</v>
      </c>
      <c r="Q3" s="200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03"/>
      <c r="P4" s="203"/>
      <c r="Q4" s="201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855.94051045650838</v>
      </c>
      <c r="P5" s="15">
        <f>EINSTELLUNG!I9</f>
        <v>4</v>
      </c>
      <c r="Q5" s="14">
        <f>P5-O5</f>
        <v>-851.94051045650838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97" t="str">
        <f>IF(Q5&lt;0, "Schlecht! Zu wenig Urlaub abgebaut.", IF(Q5&gt;0, "Gut! Mehr Urlaub abgebaut als aufgebaut.", ""))</f>
        <v>Schlecht! Zu wenig Urlaub abgebaut.</v>
      </c>
      <c r="P6" s="198"/>
      <c r="Q6" s="198"/>
      <c r="R6" s="19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05" t="s">
        <v>58</v>
      </c>
      <c r="P8" s="206"/>
      <c r="Q8" s="207">
        <f>SUM(H3:H82)</f>
        <v>8817.7999999999993</v>
      </c>
      <c r="R8" s="207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05" t="s">
        <v>60</v>
      </c>
      <c r="P9" s="206"/>
      <c r="Q9" s="207">
        <f>EINSTELLUNG!L25</f>
        <v>4</v>
      </c>
      <c r="R9" s="207"/>
      <c r="S9" s="19">
        <f>IFERROR(Q9/Q8, 0)</f>
        <v>4.536278890426184E-4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05" t="s">
        <v>62</v>
      </c>
      <c r="P10" s="206"/>
      <c r="Q10" s="207">
        <f>EINSTELLUNG!I25</f>
        <v>4</v>
      </c>
      <c r="R10" s="207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05" t="s">
        <v>64</v>
      </c>
      <c r="P11" s="206"/>
      <c r="Q11" s="207">
        <f>P5</f>
        <v>4</v>
      </c>
      <c r="R11" s="20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05" t="s">
        <v>66</v>
      </c>
      <c r="P12" s="206"/>
      <c r="Q12" s="236">
        <v>-255</v>
      </c>
      <c r="R12" s="23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05" t="s">
        <v>68</v>
      </c>
      <c r="P13" s="206"/>
      <c r="Q13" s="207">
        <f>Q8-Q9-Q10-Q11-Q12</f>
        <v>9060.7999999999993</v>
      </c>
      <c r="R13" s="207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05" t="s">
        <v>70</v>
      </c>
      <c r="P14" s="206"/>
      <c r="Q14" s="207">
        <f>EINSTELLUNG!L9</f>
        <v>4</v>
      </c>
      <c r="R14" s="20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05" t="s">
        <v>72</v>
      </c>
      <c r="P15" s="206"/>
      <c r="Q15" s="207">
        <f>Q13-Q14</f>
        <v>9056.7999999999993</v>
      </c>
      <c r="R15" s="207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08" t="str">
        <f>IF(Q15&lt;0, "Schlecht! Zu wenig Stunden für Dienstplan.", IF(Q15&gt;0, "Du hast mehr als genug Stunden für Dienstplan.", ""))</f>
        <v>Du hast mehr als genug Stunden für Dienstplan.</v>
      </c>
      <c r="P16" s="208"/>
      <c r="Q16" s="208"/>
      <c r="R16" s="20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13" t="s">
        <v>75</v>
      </c>
      <c r="P17" s="214"/>
      <c r="Q17" s="237">
        <f>SUM(L3:L82)</f>
        <v>0</v>
      </c>
      <c r="R17" s="23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95"/>
      <c r="P18" s="326"/>
      <c r="Q18" s="327"/>
      <c r="R18" s="204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95"/>
      <c r="P19" s="326"/>
      <c r="Q19" s="327"/>
      <c r="R19" s="204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95"/>
      <c r="P20" s="326"/>
      <c r="Q20" s="327"/>
      <c r="R20" s="204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95" t="s">
        <v>320</v>
      </c>
      <c r="P21" s="326"/>
      <c r="Q21" s="327">
        <v>5000</v>
      </c>
      <c r="R21" s="204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95"/>
      <c r="P22" s="326"/>
      <c r="Q22" s="327"/>
      <c r="R22" s="204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95"/>
      <c r="P23" s="326"/>
      <c r="Q23" s="327"/>
      <c r="R23" s="204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95"/>
      <c r="P24" s="326"/>
      <c r="Q24" s="327"/>
      <c r="R24" s="204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0"/>
      <c r="P25" s="328"/>
      <c r="Q25" s="329"/>
      <c r="R25" s="246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6"/>
      <c r="P26" s="257"/>
      <c r="Q26" s="247"/>
      <c r="R26" s="248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11"/>
      <c r="P27" s="212"/>
      <c r="Q27" s="204"/>
      <c r="R27" s="249"/>
      <c r="S27" s="209" t="s">
        <v>87</v>
      </c>
      <c r="T27" s="210"/>
      <c r="U27" s="210"/>
      <c r="V27" s="21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0"/>
      <c r="P28" s="251"/>
      <c r="Q28" s="252"/>
      <c r="R28" s="25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2" t="s">
        <v>90</v>
      </c>
      <c r="P29" s="243"/>
      <c r="Q29" s="244">
        <f>EINSTELLUNG!O9</f>
        <v>4</v>
      </c>
      <c r="R29" s="245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58">
        <v>0</v>
      </c>
      <c r="P31" s="259"/>
      <c r="Q31" s="260">
        <v>0</v>
      </c>
      <c r="R31" s="26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26"/>
      <c r="P33" s="227"/>
      <c r="Q33" s="324" t="str">
        <f>EINSTELLUNG!B3</f>
        <v>Budget Zahlen</v>
      </c>
      <c r="R33" s="324"/>
      <c r="S33" s="325" t="str">
        <f>EINSTELLUNG!B19</f>
        <v>Projection/Aktuell Zahlen</v>
      </c>
      <c r="T33" s="325"/>
      <c r="U33" s="325" t="s">
        <v>98</v>
      </c>
      <c r="V33" s="325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26"/>
      <c r="P34" s="227"/>
      <c r="Q34" s="324"/>
      <c r="R34" s="324"/>
      <c r="S34" s="325"/>
      <c r="T34" s="325"/>
      <c r="U34" s="325"/>
      <c r="V34" s="325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15" t="s">
        <v>101</v>
      </c>
      <c r="P35" s="216"/>
      <c r="Q35" s="217">
        <f>EINSTELLUNG!C9</f>
        <v>4</v>
      </c>
      <c r="R35" s="217"/>
      <c r="S35" s="217">
        <f>EINSTELLUNG!C25</f>
        <v>4</v>
      </c>
      <c r="T35" s="217"/>
      <c r="U35" s="218">
        <f>S35-Q35</f>
        <v>0</v>
      </c>
      <c r="V35" s="218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15" t="s">
        <v>103</v>
      </c>
      <c r="P36" s="216"/>
      <c r="Q36" s="217">
        <f>EINSTELLUNG!D9</f>
        <v>4</v>
      </c>
      <c r="R36" s="217"/>
      <c r="S36" s="217" cm="1">
        <f t="array" ref="S36">SumMergedCells(Q17:R29)</f>
        <v>5004</v>
      </c>
      <c r="T36" s="217"/>
      <c r="U36" s="218">
        <f t="shared" ref="U36:U41" si="2">S36-Q36</f>
        <v>5000</v>
      </c>
      <c r="V36" s="218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15" t="s">
        <v>105</v>
      </c>
      <c r="P37" s="216"/>
      <c r="Q37" s="224">
        <f>IF(ISERROR(Q36/Q35), 0, Q36/Q35)</f>
        <v>1</v>
      </c>
      <c r="R37" s="224"/>
      <c r="S37" s="224">
        <f>IF(ISERROR(S36/S35), 0, S36/S35)</f>
        <v>1251</v>
      </c>
      <c r="T37" s="224"/>
      <c r="U37" s="225">
        <f t="shared" si="2"/>
        <v>1250</v>
      </c>
      <c r="V37" s="22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15" t="s">
        <v>107</v>
      </c>
      <c r="P38" s="216"/>
      <c r="Q38" s="219">
        <f>EINSTELLUNG!F9</f>
        <v>4</v>
      </c>
      <c r="R38" s="219"/>
      <c r="S38" s="219">
        <f>EINSTELLUNG!F25</f>
        <v>4</v>
      </c>
      <c r="T38" s="219"/>
      <c r="U38" s="220">
        <f t="shared" si="2"/>
        <v>0</v>
      </c>
      <c r="V38" s="220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15" t="s">
        <v>109</v>
      </c>
      <c r="P39" s="216"/>
      <c r="Q39" s="217">
        <f>IF(Q38=0, 0, Q35/Q38)</f>
        <v>1</v>
      </c>
      <c r="R39" s="217"/>
      <c r="S39" s="217">
        <f>IF(S38=0, 0, S35/S38)</f>
        <v>1</v>
      </c>
      <c r="T39" s="217"/>
      <c r="U39" s="218">
        <f t="shared" si="2"/>
        <v>0</v>
      </c>
      <c r="V39" s="218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15" t="s">
        <v>111</v>
      </c>
      <c r="P40" s="216"/>
      <c r="Q40" s="217">
        <f>IF(Q13=0, 0, Q35/Q13)</f>
        <v>4.4146212254988527E-4</v>
      </c>
      <c r="R40" s="217"/>
      <c r="S40" s="217">
        <f>IF(Q13=0, 0, S35/Q13)</f>
        <v>4.4146212254988527E-4</v>
      </c>
      <c r="T40" s="217"/>
      <c r="U40" s="218">
        <f t="shared" si="2"/>
        <v>0</v>
      </c>
      <c r="V40" s="218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15" t="s">
        <v>113</v>
      </c>
      <c r="P41" s="216"/>
      <c r="Q41" s="219">
        <f>IF(Q13=0, 0, Q38/Q13)</f>
        <v>4.4146212254988527E-4</v>
      </c>
      <c r="R41" s="219"/>
      <c r="S41" s="219">
        <f>IF(Q13=0, 0, S38/Q13)</f>
        <v>4.4146212254988527E-4</v>
      </c>
      <c r="T41" s="219"/>
      <c r="U41" s="220">
        <f t="shared" si="2"/>
        <v>0</v>
      </c>
      <c r="V41" s="220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15" t="s">
        <v>115</v>
      </c>
      <c r="P42" s="216"/>
      <c r="Q42" s="221">
        <f>IFERROR(Q17/Q8, 0)</f>
        <v>0</v>
      </c>
      <c r="R42" s="222"/>
      <c r="S42" s="222"/>
      <c r="T42" s="222"/>
      <c r="U42" s="222"/>
      <c r="V42" s="223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138.4</v>
      </c>
      <c r="G61" s="116"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46082</v>
      </c>
      <c r="E62" s="65" t="s">
        <v>2</v>
      </c>
      <c r="F62" s="67">
        <v>64</v>
      </c>
      <c r="G62" s="116">
        <v>1000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e6umE7yapmmZhaNwvs1JjaDotnFHMHpnqmK2rXHKay21o/aflVzwx817uJZa2BLzBCvoSrRbXpcAy5QYSyEfpg==" saltValue="P28x1qDAYzCJqQ+pGwi3q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  <dataValidation type="list" allowBlank="1" showInputMessage="1" showErrorMessage="1" sqref="E3:E82" xr:uid="{387B408B-C4E1-42EC-B59D-3862438C9A3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62" t="s">
        <v>191</v>
      </c>
      <c r="C1" s="270" t="s">
        <v>40</v>
      </c>
      <c r="D1" s="268" t="s">
        <v>192</v>
      </c>
      <c r="E1" s="268" t="s">
        <v>0</v>
      </c>
      <c r="F1" s="268" t="s">
        <v>41</v>
      </c>
      <c r="G1" s="272" t="s">
        <v>42</v>
      </c>
      <c r="H1" s="274" t="s">
        <v>43</v>
      </c>
      <c r="I1" s="276" t="s">
        <v>193</v>
      </c>
      <c r="J1" s="278" t="s">
        <v>44</v>
      </c>
      <c r="K1" s="280" t="s">
        <v>45</v>
      </c>
      <c r="L1" s="282" t="s">
        <v>46</v>
      </c>
      <c r="M1" s="266" t="s">
        <v>47</v>
      </c>
      <c r="N1" s="263" t="s">
        <v>194</v>
      </c>
      <c r="AB1" s="8">
        <f>DATE(EINSTELLUNG!$C$35,$A$1,1)</f>
        <v>46143</v>
      </c>
    </row>
    <row r="2" spans="1:28" ht="16" customHeight="1" thickBot="1">
      <c r="A2" s="60"/>
      <c r="B2" s="262"/>
      <c r="C2" s="271"/>
      <c r="D2" s="269"/>
      <c r="E2" s="269"/>
      <c r="F2" s="269"/>
      <c r="G2" s="273"/>
      <c r="H2" s="275"/>
      <c r="I2" s="277"/>
      <c r="J2" s="279"/>
      <c r="K2" s="281"/>
      <c r="L2" s="283"/>
      <c r="M2" s="267"/>
      <c r="N2" s="263"/>
      <c r="AB2" s="8">
        <f>EOMONTH(DATE(EINSTELLUNG!$C$35,$A$1,1),0)</f>
        <v>46173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02" t="s">
        <v>49</v>
      </c>
      <c r="P3" s="202" t="s">
        <v>50</v>
      </c>
      <c r="Q3" s="200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03"/>
      <c r="P4" s="203"/>
      <c r="Q4" s="201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899.01401315020325</v>
      </c>
      <c r="P5" s="15">
        <f>EINSTELLUNG!I10</f>
        <v>5</v>
      </c>
      <c r="Q5" s="14">
        <f>P5-O5</f>
        <v>-894.01401315020325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97" t="str">
        <f>IF(Q5&lt;0, "Schlecht! Zu wenig Urlaub abgebaut.", IF(Q5&gt;0, "Gut! Mehr Urlaub abgebaut als aufgebaut.", ""))</f>
        <v>Schlecht! Zu wenig Urlaub abgebaut.</v>
      </c>
      <c r="P6" s="198"/>
      <c r="Q6" s="198"/>
      <c r="R6" s="19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05" t="s">
        <v>58</v>
      </c>
      <c r="P8" s="206"/>
      <c r="Q8" s="207">
        <f>SUM(H3:H82)</f>
        <v>9293.7199999999993</v>
      </c>
      <c r="R8" s="207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05" t="s">
        <v>60</v>
      </c>
      <c r="P9" s="206"/>
      <c r="Q9" s="207">
        <f>EINSTELLUNG!L26</f>
        <v>5</v>
      </c>
      <c r="R9" s="207"/>
      <c r="S9" s="19">
        <f>IFERROR(Q9/Q8, 0)</f>
        <v>5.3799770167381846E-4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05" t="s">
        <v>62</v>
      </c>
      <c r="P10" s="206"/>
      <c r="Q10" s="207">
        <f>EINSTELLUNG!I26</f>
        <v>5</v>
      </c>
      <c r="R10" s="207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05" t="s">
        <v>64</v>
      </c>
      <c r="P11" s="206"/>
      <c r="Q11" s="207">
        <f>P5</f>
        <v>5</v>
      </c>
      <c r="R11" s="20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05" t="s">
        <v>68</v>
      </c>
      <c r="P12" s="206"/>
      <c r="Q12" s="207">
        <f>Q8-Q9-Q10-Q11</f>
        <v>9278.7199999999993</v>
      </c>
      <c r="R12" s="207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05" t="s">
        <v>70</v>
      </c>
      <c r="P13" s="206"/>
      <c r="Q13" s="207">
        <f>EINSTELLUNG!L10</f>
        <v>5</v>
      </c>
      <c r="R13" s="207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05" t="s">
        <v>72</v>
      </c>
      <c r="P14" s="206"/>
      <c r="Q14" s="207">
        <f>Q12-Q13</f>
        <v>9273.7199999999993</v>
      </c>
      <c r="R14" s="20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129.75</v>
      </c>
      <c r="G15" s="116">
        <v>1561.5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30" t="str">
        <f>IF(Q14&lt;0, "Schlecht! Zu wenig Stunden für Dienstplan.", IF(Q14&gt;0, "Du hast mehr als genug Stunden für Dienstplan.", ""))</f>
        <v>Du hast mehr als genug Stunden für Dienstplan.</v>
      </c>
      <c r="P15" s="330"/>
      <c r="Q15" s="330"/>
      <c r="R15" s="330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13" t="s">
        <v>75</v>
      </c>
      <c r="P17" s="214"/>
      <c r="Q17" s="237">
        <f>SUM(L3:L82)</f>
        <v>0</v>
      </c>
      <c r="R17" s="23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95"/>
      <c r="P18" s="326"/>
      <c r="Q18" s="327"/>
      <c r="R18" s="204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95"/>
      <c r="P19" s="326"/>
      <c r="Q19" s="327"/>
      <c r="R19" s="204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95"/>
      <c r="P20" s="326"/>
      <c r="Q20" s="327"/>
      <c r="R20" s="204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95" t="s">
        <v>320</v>
      </c>
      <c r="P21" s="326"/>
      <c r="Q21" s="327">
        <v>5000</v>
      </c>
      <c r="R21" s="204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95"/>
      <c r="P22" s="326"/>
      <c r="Q22" s="327"/>
      <c r="R22" s="204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95"/>
      <c r="P23" s="326"/>
      <c r="Q23" s="327"/>
      <c r="R23" s="204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95"/>
      <c r="P24" s="326"/>
      <c r="Q24" s="327"/>
      <c r="R24" s="204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0"/>
      <c r="P25" s="328"/>
      <c r="Q25" s="329"/>
      <c r="R25" s="246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6"/>
      <c r="P26" s="257"/>
      <c r="Q26" s="247"/>
      <c r="R26" s="248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11"/>
      <c r="P27" s="212"/>
      <c r="Q27" s="204"/>
      <c r="R27" s="249"/>
      <c r="S27" s="209" t="s">
        <v>87</v>
      </c>
      <c r="T27" s="210"/>
      <c r="U27" s="210"/>
      <c r="V27" s="21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0"/>
      <c r="P28" s="251"/>
      <c r="Q28" s="252"/>
      <c r="R28" s="25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2" t="s">
        <v>90</v>
      </c>
      <c r="P29" s="243"/>
      <c r="Q29" s="244">
        <f>EINSTELLUNG!O10</f>
        <v>5</v>
      </c>
      <c r="R29" s="245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58">
        <v>0</v>
      </c>
      <c r="P31" s="259"/>
      <c r="Q31" s="260">
        <v>0</v>
      </c>
      <c r="R31" s="26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26"/>
      <c r="P33" s="227"/>
      <c r="Q33" s="324" t="str">
        <f>EINSTELLUNG!B3</f>
        <v>Budget Zahlen</v>
      </c>
      <c r="R33" s="324"/>
      <c r="S33" s="325" t="str">
        <f>EINSTELLUNG!B19</f>
        <v>Projection/Aktuell Zahlen</v>
      </c>
      <c r="T33" s="325"/>
      <c r="U33" s="325" t="s">
        <v>98</v>
      </c>
      <c r="V33" s="325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26"/>
      <c r="P34" s="227"/>
      <c r="Q34" s="324"/>
      <c r="R34" s="324"/>
      <c r="S34" s="325"/>
      <c r="T34" s="325"/>
      <c r="U34" s="325"/>
      <c r="V34" s="325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15" t="s">
        <v>101</v>
      </c>
      <c r="P35" s="216"/>
      <c r="Q35" s="217">
        <f>EINSTELLUNG!C10</f>
        <v>5</v>
      </c>
      <c r="R35" s="217"/>
      <c r="S35" s="217">
        <f>EINSTELLUNG!C26</f>
        <v>5</v>
      </c>
      <c r="T35" s="217"/>
      <c r="U35" s="218">
        <f>S35-Q35</f>
        <v>0</v>
      </c>
      <c r="V35" s="218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15" t="s">
        <v>103</v>
      </c>
      <c r="P36" s="216"/>
      <c r="Q36" s="217">
        <f>EINSTELLUNG!D10</f>
        <v>5</v>
      </c>
      <c r="R36" s="217"/>
      <c r="S36" s="217" cm="1">
        <f t="array" ref="S36">SumMergedCells(Q17:R29)</f>
        <v>5005</v>
      </c>
      <c r="T36" s="217"/>
      <c r="U36" s="218">
        <f t="shared" ref="U36:U41" si="2">S36-Q36</f>
        <v>5000</v>
      </c>
      <c r="V36" s="218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15" t="s">
        <v>105</v>
      </c>
      <c r="P37" s="216"/>
      <c r="Q37" s="224">
        <f>IF(ISERROR(Q36/Q35), 0, Q36/Q35)</f>
        <v>1</v>
      </c>
      <c r="R37" s="224"/>
      <c r="S37" s="224">
        <f>IF(ISERROR(S36/S35), 0, S36/S35)</f>
        <v>1001</v>
      </c>
      <c r="T37" s="224"/>
      <c r="U37" s="225">
        <f t="shared" si="2"/>
        <v>1000</v>
      </c>
      <c r="V37" s="22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15" t="s">
        <v>107</v>
      </c>
      <c r="P38" s="216"/>
      <c r="Q38" s="219">
        <f>EINSTELLUNG!F10</f>
        <v>5</v>
      </c>
      <c r="R38" s="219"/>
      <c r="S38" s="219">
        <f>EINSTELLUNG!F26</f>
        <v>5</v>
      </c>
      <c r="T38" s="219"/>
      <c r="U38" s="220">
        <f t="shared" si="2"/>
        <v>0</v>
      </c>
      <c r="V38" s="220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15" t="s">
        <v>109</v>
      </c>
      <c r="P39" s="216"/>
      <c r="Q39" s="217">
        <f>IF(Q38=0, 0, Q35/Q38)</f>
        <v>1</v>
      </c>
      <c r="R39" s="217"/>
      <c r="S39" s="217">
        <f>IF(S38=0, 0, S35/S38)</f>
        <v>1</v>
      </c>
      <c r="T39" s="217"/>
      <c r="U39" s="218">
        <f t="shared" si="2"/>
        <v>0</v>
      </c>
      <c r="V39" s="218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15" t="s">
        <v>111</v>
      </c>
      <c r="P40" s="216"/>
      <c r="Q40" s="217">
        <f>IF(Q12=0, 0, Q35/Q12)</f>
        <v>5.3886742999034352E-4</v>
      </c>
      <c r="R40" s="217"/>
      <c r="S40" s="217">
        <f>IF(Q12=0, 0, S35/Q12)</f>
        <v>5.3886742999034352E-4</v>
      </c>
      <c r="T40" s="217"/>
      <c r="U40" s="218">
        <f t="shared" si="2"/>
        <v>0</v>
      </c>
      <c r="V40" s="218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15" t="s">
        <v>113</v>
      </c>
      <c r="P41" s="216"/>
      <c r="Q41" s="219">
        <f>IF(Q12=0, 0, Q38/Q12)</f>
        <v>5.3886742999034352E-4</v>
      </c>
      <c r="R41" s="219"/>
      <c r="S41" s="219">
        <f>IF(Q12=0, 0, S38/Q12)</f>
        <v>5.3886742999034352E-4</v>
      </c>
      <c r="T41" s="219"/>
      <c r="U41" s="220">
        <f t="shared" si="2"/>
        <v>0</v>
      </c>
      <c r="V41" s="220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15" t="s">
        <v>115</v>
      </c>
      <c r="P42" s="216"/>
      <c r="Q42" s="221">
        <f>IFERROR(Q17/Q8, 0)</f>
        <v>0</v>
      </c>
      <c r="R42" s="222"/>
      <c r="S42" s="222"/>
      <c r="T42" s="222"/>
      <c r="U42" s="222"/>
      <c r="V42" s="223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xTVA29Xs7M1MqdHHjLFIoEH+3e3FE49oiGrpyvvi/O3Dr5lhMcfPGLRG+ZSMVsx7J+umyPzI4hVfDsXNPHpXGA==" saltValue="dZ7ZOozfMqrSVkG1w4fL8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E3:E82" xr:uid="{CD5D4740-F7C6-458D-A8CD-966EE943768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62" t="s">
        <v>191</v>
      </c>
      <c r="C1" s="270" t="s">
        <v>40</v>
      </c>
      <c r="D1" s="268" t="s">
        <v>192</v>
      </c>
      <c r="E1" s="268" t="s">
        <v>0</v>
      </c>
      <c r="F1" s="268" t="s">
        <v>41</v>
      </c>
      <c r="G1" s="272" t="s">
        <v>42</v>
      </c>
      <c r="H1" s="274" t="s">
        <v>43</v>
      </c>
      <c r="I1" s="276" t="s">
        <v>193</v>
      </c>
      <c r="J1" s="278" t="s">
        <v>44</v>
      </c>
      <c r="K1" s="280" t="s">
        <v>45</v>
      </c>
      <c r="L1" s="282" t="s">
        <v>46</v>
      </c>
      <c r="M1" s="266" t="s">
        <v>47</v>
      </c>
      <c r="N1" s="263" t="s">
        <v>194</v>
      </c>
      <c r="AB1" s="8">
        <f>DATE(EINSTELLUNG!$C$35,$A$1,1)</f>
        <v>46174</v>
      </c>
    </row>
    <row r="2" spans="1:28" ht="16" customHeight="1" thickBot="1">
      <c r="A2" s="60"/>
      <c r="B2" s="262"/>
      <c r="C2" s="271"/>
      <c r="D2" s="269"/>
      <c r="E2" s="269"/>
      <c r="F2" s="269"/>
      <c r="G2" s="273"/>
      <c r="H2" s="275"/>
      <c r="I2" s="277"/>
      <c r="J2" s="279"/>
      <c r="K2" s="281"/>
      <c r="L2" s="283"/>
      <c r="M2" s="267"/>
      <c r="N2" s="263"/>
      <c r="AB2" s="8">
        <f>EOMONTH(DATE(EINSTELLUNG!$C$35,$A$1,1),0)</f>
        <v>46203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02" t="s">
        <v>49</v>
      </c>
      <c r="P3" s="202" t="s">
        <v>50</v>
      </c>
      <c r="Q3" s="200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03"/>
      <c r="P4" s="203"/>
      <c r="Q4" s="201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EINSTELLUNG!I11</f>
        <v>6</v>
      </c>
      <c r="Q5" s="14">
        <f>P5-O5</f>
        <v>-897.18770866157831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97" t="str">
        <f>IF(Q5&lt;0, "Schlecht! Zu wenig Urlaub abgebaut.", IF(Q5&gt;0, "Gut! Mehr Urlaub abgebaut als aufgebaut.", ""))</f>
        <v>Schlecht! Zu wenig Urlaub abgebaut.</v>
      </c>
      <c r="P6" s="198"/>
      <c r="Q6" s="198"/>
      <c r="R6" s="19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05" t="s">
        <v>58</v>
      </c>
      <c r="P8" s="206"/>
      <c r="Q8" s="207">
        <f>SUM(H3:H82)</f>
        <v>9359.2999999999993</v>
      </c>
      <c r="R8" s="207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05" t="s">
        <v>60</v>
      </c>
      <c r="P9" s="206"/>
      <c r="Q9" s="207">
        <f>EINSTELLUNG!L27</f>
        <v>6</v>
      </c>
      <c r="R9" s="207"/>
      <c r="S9" s="19">
        <f>IFERROR(Q9/Q8, 0)</f>
        <v>6.410735845629481E-4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05" t="s">
        <v>62</v>
      </c>
      <c r="P10" s="206"/>
      <c r="Q10" s="207">
        <f>EINSTELLUNG!I27</f>
        <v>6</v>
      </c>
      <c r="R10" s="207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05" t="s">
        <v>64</v>
      </c>
      <c r="P11" s="206"/>
      <c r="Q11" s="207">
        <f>P5</f>
        <v>6</v>
      </c>
      <c r="R11" s="20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05" t="s">
        <v>66</v>
      </c>
      <c r="P12" s="206"/>
      <c r="Q12" s="236">
        <v>442</v>
      </c>
      <c r="R12" s="23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05" t="s">
        <v>68</v>
      </c>
      <c r="P13" s="206"/>
      <c r="Q13" s="207">
        <f>Q8-Q9-Q10-Q11-Q12</f>
        <v>8899.2999999999993</v>
      </c>
      <c r="R13" s="207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05" t="s">
        <v>70</v>
      </c>
      <c r="P14" s="206"/>
      <c r="Q14" s="207">
        <f>EINSTELLUNG!L11</f>
        <v>6</v>
      </c>
      <c r="R14" s="20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05" t="s">
        <v>72</v>
      </c>
      <c r="P15" s="206"/>
      <c r="Q15" s="207">
        <f>Q13-Q14</f>
        <v>8893.2999999999993</v>
      </c>
      <c r="R15" s="207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08" t="str">
        <f>IF(Q15&lt;0, "Schlecht! Zu wenig Stunden für Dienstplan.", IF(Q15&gt;0, "Du hast mehr als genug Stunden für Dienstplan.", ""))</f>
        <v>Du hast mehr als genug Stunden für Dienstplan.</v>
      </c>
      <c r="P16" s="208"/>
      <c r="Q16" s="208"/>
      <c r="R16" s="20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13" t="s">
        <v>75</v>
      </c>
      <c r="P17" s="214"/>
      <c r="Q17" s="237">
        <f>SUM(L3:L82)</f>
        <v>0</v>
      </c>
      <c r="R17" s="23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95"/>
      <c r="P18" s="326"/>
      <c r="Q18" s="327"/>
      <c r="R18" s="204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95"/>
      <c r="P19" s="326"/>
      <c r="Q19" s="327"/>
      <c r="R19" s="204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95"/>
      <c r="P20" s="326"/>
      <c r="Q20" s="327"/>
      <c r="R20" s="204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95" t="s">
        <v>320</v>
      </c>
      <c r="P21" s="326"/>
      <c r="Q21" s="327">
        <v>5000</v>
      </c>
      <c r="R21" s="204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95"/>
      <c r="P22" s="326"/>
      <c r="Q22" s="327"/>
      <c r="R22" s="204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95"/>
      <c r="P23" s="326"/>
      <c r="Q23" s="327"/>
      <c r="R23" s="204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95"/>
      <c r="P24" s="326"/>
      <c r="Q24" s="327"/>
      <c r="R24" s="204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0"/>
      <c r="P25" s="328"/>
      <c r="Q25" s="329"/>
      <c r="R25" s="246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6"/>
      <c r="P26" s="257"/>
      <c r="Q26" s="247"/>
      <c r="R26" s="248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11"/>
      <c r="P27" s="212"/>
      <c r="Q27" s="204"/>
      <c r="R27" s="249"/>
      <c r="S27" s="209" t="s">
        <v>87</v>
      </c>
      <c r="T27" s="210"/>
      <c r="U27" s="210"/>
      <c r="V27" s="21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0"/>
      <c r="P28" s="251"/>
      <c r="Q28" s="252"/>
      <c r="R28" s="25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2" t="s">
        <v>90</v>
      </c>
      <c r="P29" s="243"/>
      <c r="Q29" s="244">
        <f>EINSTELLUNG!O11</f>
        <v>6</v>
      </c>
      <c r="R29" s="245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58">
        <v>0</v>
      </c>
      <c r="P31" s="259"/>
      <c r="Q31" s="260">
        <v>1.6666666666666666E-2</v>
      </c>
      <c r="R31" s="26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26"/>
      <c r="P33" s="227"/>
      <c r="Q33" s="324" t="str">
        <f>EINSTELLUNG!B3</f>
        <v>Budget Zahlen</v>
      </c>
      <c r="R33" s="324"/>
      <c r="S33" s="325" t="str">
        <f>EINSTELLUNG!B19</f>
        <v>Projection/Aktuell Zahlen</v>
      </c>
      <c r="T33" s="325"/>
      <c r="U33" s="325" t="s">
        <v>98</v>
      </c>
      <c r="V33" s="325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26"/>
      <c r="P34" s="227"/>
      <c r="Q34" s="324"/>
      <c r="R34" s="324"/>
      <c r="S34" s="325"/>
      <c r="T34" s="325"/>
      <c r="U34" s="325"/>
      <c r="V34" s="325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15" t="s">
        <v>101</v>
      </c>
      <c r="P35" s="216"/>
      <c r="Q35" s="217">
        <f>EINSTELLUNG!C11</f>
        <v>6</v>
      </c>
      <c r="R35" s="217"/>
      <c r="S35" s="217">
        <f>EINSTELLUNG!C27</f>
        <v>6</v>
      </c>
      <c r="T35" s="217"/>
      <c r="U35" s="218">
        <f>S35-Q35</f>
        <v>0</v>
      </c>
      <c r="V35" s="218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15" t="s">
        <v>103</v>
      </c>
      <c r="P36" s="216"/>
      <c r="Q36" s="217">
        <f>EINSTELLUNG!D11</f>
        <v>6</v>
      </c>
      <c r="R36" s="217"/>
      <c r="S36" s="217" cm="1">
        <f t="array" ref="S36">SumMergedCells(Q17:R29)</f>
        <v>5006</v>
      </c>
      <c r="T36" s="217"/>
      <c r="U36" s="218">
        <f t="shared" ref="U36:U41" si="2">S36-Q36</f>
        <v>5000</v>
      </c>
      <c r="V36" s="218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15" t="s">
        <v>105</v>
      </c>
      <c r="P37" s="216"/>
      <c r="Q37" s="224">
        <f>IF(ISERROR(Q36/Q35), 0, Q36/Q35)</f>
        <v>1</v>
      </c>
      <c r="R37" s="224"/>
      <c r="S37" s="224">
        <f>IF(ISERROR(S36/S35), 0, S36/S35)</f>
        <v>834.33333333333337</v>
      </c>
      <c r="T37" s="224"/>
      <c r="U37" s="225">
        <f t="shared" si="2"/>
        <v>833.33333333333337</v>
      </c>
      <c r="V37" s="22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15" t="s">
        <v>107</v>
      </c>
      <c r="P38" s="216"/>
      <c r="Q38" s="219">
        <f>EINSTELLUNG!F11</f>
        <v>6</v>
      </c>
      <c r="R38" s="219"/>
      <c r="S38" s="219">
        <f>EINSTELLUNG!F27</f>
        <v>6</v>
      </c>
      <c r="T38" s="219"/>
      <c r="U38" s="220">
        <f t="shared" si="2"/>
        <v>0</v>
      </c>
      <c r="V38" s="220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15" t="s">
        <v>109</v>
      </c>
      <c r="P39" s="216"/>
      <c r="Q39" s="217">
        <f>IF(Q38=0, 0, Q35/Q38)</f>
        <v>1</v>
      </c>
      <c r="R39" s="217"/>
      <c r="S39" s="217">
        <f>IF(S38=0, 0, S35/S38)</f>
        <v>1</v>
      </c>
      <c r="T39" s="217"/>
      <c r="U39" s="218">
        <f t="shared" si="2"/>
        <v>0</v>
      </c>
      <c r="V39" s="218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15" t="s">
        <v>111</v>
      </c>
      <c r="P40" s="216"/>
      <c r="Q40" s="217">
        <f>IF(Q12=0, 0, Q35/Q12)</f>
        <v>1.3574660633484163E-2</v>
      </c>
      <c r="R40" s="217"/>
      <c r="S40" s="217">
        <f>IF(Q12=0, 0, S35/Q12)</f>
        <v>1.3574660633484163E-2</v>
      </c>
      <c r="T40" s="217"/>
      <c r="U40" s="218">
        <f t="shared" si="2"/>
        <v>0</v>
      </c>
      <c r="V40" s="218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15" t="s">
        <v>113</v>
      </c>
      <c r="P41" s="216"/>
      <c r="Q41" s="219">
        <f>IF(Q12=0, 0, Q38/Q12)</f>
        <v>1.3574660633484163E-2</v>
      </c>
      <c r="R41" s="219"/>
      <c r="S41" s="219">
        <f>IF(Q12=0, 0, S38/Q12)</f>
        <v>1.3574660633484163E-2</v>
      </c>
      <c r="T41" s="219"/>
      <c r="U41" s="220">
        <f t="shared" si="2"/>
        <v>0</v>
      </c>
      <c r="V41" s="220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15" t="s">
        <v>115</v>
      </c>
      <c r="P42" s="216"/>
      <c r="Q42" s="221">
        <f>IFERROR(Q17/Q8, 0)</f>
        <v>0</v>
      </c>
      <c r="R42" s="222"/>
      <c r="S42" s="222"/>
      <c r="T42" s="222"/>
      <c r="U42" s="222"/>
      <c r="V42" s="223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KBQwlRq3oqcfMaFA1UoyEkrd8lIeQ4Oj92ja5Qj8e24ZX7DT7vAxcUyRTXBTkcysgPpDebwDwMIPuj8EvvGNew==" saltValue="vx1xjx0deVlIq5TRX2ZrDA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E3:E82" xr:uid="{3FFFD511-705E-7042-BCC7-627C229DA0B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62" t="s">
        <v>191</v>
      </c>
      <c r="C1" s="270" t="s">
        <v>40</v>
      </c>
      <c r="D1" s="268" t="s">
        <v>192</v>
      </c>
      <c r="E1" s="268" t="s">
        <v>0</v>
      </c>
      <c r="F1" s="268" t="s">
        <v>41</v>
      </c>
      <c r="G1" s="272" t="s">
        <v>42</v>
      </c>
      <c r="H1" s="274" t="s">
        <v>43</v>
      </c>
      <c r="I1" s="276" t="s">
        <v>193</v>
      </c>
      <c r="J1" s="278" t="s">
        <v>44</v>
      </c>
      <c r="K1" s="280" t="s">
        <v>45</v>
      </c>
      <c r="L1" s="282" t="s">
        <v>46</v>
      </c>
      <c r="M1" s="266" t="s">
        <v>47</v>
      </c>
      <c r="N1" s="263" t="s">
        <v>194</v>
      </c>
      <c r="AB1" s="8">
        <f>DATE(EINSTELLUNG!$C$35,$A$1,1)</f>
        <v>46204</v>
      </c>
    </row>
    <row r="2" spans="1:28" ht="16" customHeight="1" thickBot="1">
      <c r="A2" s="60"/>
      <c r="B2" s="262"/>
      <c r="C2" s="271"/>
      <c r="D2" s="269"/>
      <c r="E2" s="269"/>
      <c r="F2" s="269"/>
      <c r="G2" s="273"/>
      <c r="H2" s="275"/>
      <c r="I2" s="277"/>
      <c r="J2" s="279"/>
      <c r="K2" s="281"/>
      <c r="L2" s="283"/>
      <c r="M2" s="267"/>
      <c r="N2" s="263"/>
      <c r="AB2" s="8">
        <f>EOMONTH(DATE(EINSTELLUNG!$C$35,$A$1,1),0)</f>
        <v>46234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02" t="s">
        <v>49</v>
      </c>
      <c r="P3" s="202" t="s">
        <v>50</v>
      </c>
      <c r="Q3" s="200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03"/>
      <c r="P4" s="203"/>
      <c r="Q4" s="201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97" t="str">
        <f>IF(Q5&lt;0, "Schlecht! Zu wenig Urlaub abgebaut.", IF(Q5&gt;0, "Gut! Mehr Urlaub abgebaut als aufgebaut.", ""))</f>
        <v>Schlecht! Zu wenig Urlaub abgebaut.</v>
      </c>
      <c r="P6" s="198"/>
      <c r="Q6" s="198"/>
      <c r="R6" s="19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05" t="s">
        <v>58</v>
      </c>
      <c r="P8" s="206"/>
      <c r="Q8" s="207">
        <f>SUM(H3:H82)</f>
        <v>9225.3599999999988</v>
      </c>
      <c r="R8" s="207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05" t="s">
        <v>60</v>
      </c>
      <c r="P9" s="206"/>
      <c r="Q9" s="207">
        <f>EINSTELLUNG!L28</f>
        <v>7</v>
      </c>
      <c r="R9" s="207"/>
      <c r="S9" s="19">
        <f>IFERROR(Q9/Q8, 0)</f>
        <v>7.5877797722798904E-4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05" t="s">
        <v>62</v>
      </c>
      <c r="P10" s="206"/>
      <c r="Q10" s="207">
        <f>EINSTELLUNG!I28</f>
        <v>7</v>
      </c>
      <c r="R10" s="207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05" t="s">
        <v>64</v>
      </c>
      <c r="P11" s="206"/>
      <c r="Q11" s="207">
        <f>P5</f>
        <v>7</v>
      </c>
      <c r="R11" s="20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05" t="s">
        <v>66</v>
      </c>
      <c r="P12" s="206"/>
      <c r="Q12" s="236">
        <v>39</v>
      </c>
      <c r="R12" s="23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05" t="s">
        <v>68</v>
      </c>
      <c r="P13" s="206"/>
      <c r="Q13" s="207">
        <f>Q8-Q9-Q10-Q11-Q12</f>
        <v>9165.3599999999988</v>
      </c>
      <c r="R13" s="207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05" t="s">
        <v>70</v>
      </c>
      <c r="P14" s="206"/>
      <c r="Q14" s="207">
        <f>EINSTELLUNG!L12</f>
        <v>7</v>
      </c>
      <c r="R14" s="20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05" t="s">
        <v>72</v>
      </c>
      <c r="P15" s="206"/>
      <c r="Q15" s="207">
        <f>Q13-Q14</f>
        <v>9158.3599999999988</v>
      </c>
      <c r="R15" s="207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08" t="str">
        <f>IF(Q15&lt;0, "Schlecht! Zu wenig Stunden für Dienstplan.", IF(Q15&gt;0, "Du hast mehr als genug Stunden für Dienstplan.", ""))</f>
        <v>Du hast mehr als genug Stunden für Dienstplan.</v>
      </c>
      <c r="P16" s="208"/>
      <c r="Q16" s="208"/>
      <c r="R16" s="20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13" t="s">
        <v>75</v>
      </c>
      <c r="P17" s="214"/>
      <c r="Q17" s="237">
        <f>SUM(L3:L82)</f>
        <v>0</v>
      </c>
      <c r="R17" s="23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95"/>
      <c r="P18" s="326"/>
      <c r="Q18" s="327"/>
      <c r="R18" s="204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6">
        <v>46210</v>
      </c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 t="s">
        <v>206</v>
      </c>
      <c r="O19" s="295"/>
      <c r="P19" s="326"/>
      <c r="Q19" s="327"/>
      <c r="R19" s="204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95"/>
      <c r="P20" s="326"/>
      <c r="Q20" s="327"/>
      <c r="R20" s="204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95" t="s">
        <v>320</v>
      </c>
      <c r="P21" s="326"/>
      <c r="Q21" s="327">
        <v>5000</v>
      </c>
      <c r="R21" s="204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95"/>
      <c r="P22" s="326"/>
      <c r="Q22" s="327"/>
      <c r="R22" s="204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95"/>
      <c r="P23" s="326"/>
      <c r="Q23" s="327"/>
      <c r="R23" s="204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95"/>
      <c r="P24" s="326"/>
      <c r="Q24" s="327"/>
      <c r="R24" s="204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0"/>
      <c r="P25" s="328"/>
      <c r="Q25" s="329"/>
      <c r="R25" s="246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13"/>
      <c r="P26" s="256"/>
      <c r="Q26" s="247"/>
      <c r="R26" s="248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11"/>
      <c r="P27" s="212"/>
      <c r="Q27" s="204"/>
      <c r="R27" s="249"/>
      <c r="S27" s="209" t="s">
        <v>87</v>
      </c>
      <c r="T27" s="210"/>
      <c r="U27" s="210"/>
      <c r="V27" s="21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0"/>
      <c r="P28" s="251"/>
      <c r="Q28" s="252"/>
      <c r="R28" s="25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2" t="s">
        <v>90</v>
      </c>
      <c r="P29" s="243"/>
      <c r="Q29" s="244">
        <f>EINSTELLUNG!O12</f>
        <v>7</v>
      </c>
      <c r="R29" s="245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58">
        <v>0</v>
      </c>
      <c r="P31" s="259"/>
      <c r="Q31" s="260">
        <v>1.6393442622950821E-2</v>
      </c>
      <c r="R31" s="26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26"/>
      <c r="P33" s="227"/>
      <c r="Q33" s="324" t="str">
        <f>EINSTELLUNG!B3</f>
        <v>Budget Zahlen</v>
      </c>
      <c r="R33" s="324"/>
      <c r="S33" s="325" t="str">
        <f>EINSTELLUNG!B19</f>
        <v>Projection/Aktuell Zahlen</v>
      </c>
      <c r="T33" s="325"/>
      <c r="U33" s="325" t="s">
        <v>98</v>
      </c>
      <c r="V33" s="325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26"/>
      <c r="P34" s="227"/>
      <c r="Q34" s="324"/>
      <c r="R34" s="324"/>
      <c r="S34" s="325"/>
      <c r="T34" s="325"/>
      <c r="U34" s="325"/>
      <c r="V34" s="325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15" t="s">
        <v>101</v>
      </c>
      <c r="P35" s="216"/>
      <c r="Q35" s="217">
        <f>EINSTELLUNG!C12</f>
        <v>7</v>
      </c>
      <c r="R35" s="217"/>
      <c r="S35" s="217">
        <f>EINSTELLUNG!C28</f>
        <v>7</v>
      </c>
      <c r="T35" s="217"/>
      <c r="U35" s="218">
        <f>S35-Q35</f>
        <v>0</v>
      </c>
      <c r="V35" s="218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15" t="s">
        <v>103</v>
      </c>
      <c r="P36" s="216"/>
      <c r="Q36" s="217">
        <f>EINSTELLUNG!D12</f>
        <v>7</v>
      </c>
      <c r="R36" s="217"/>
      <c r="S36" s="221" cm="1">
        <f t="array" ref="S36">SumMergedCells(Q17:R29)</f>
        <v>5007</v>
      </c>
      <c r="T36" s="223"/>
      <c r="U36" s="218">
        <f t="shared" ref="U36:U41" si="2">S36-Q36</f>
        <v>5000</v>
      </c>
      <c r="V36" s="218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15" t="s">
        <v>105</v>
      </c>
      <c r="P37" s="216"/>
      <c r="Q37" s="224">
        <f>IF(ISERROR(Q36/Q35), 0, Q36/Q35)</f>
        <v>1</v>
      </c>
      <c r="R37" s="224"/>
      <c r="S37" s="224">
        <f>IF(ISERROR(S36/S35), 0, S36/S35)</f>
        <v>715.28571428571433</v>
      </c>
      <c r="T37" s="224"/>
      <c r="U37" s="225">
        <f t="shared" si="2"/>
        <v>714.28571428571433</v>
      </c>
      <c r="V37" s="22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15" t="s">
        <v>107</v>
      </c>
      <c r="P38" s="216"/>
      <c r="Q38" s="219">
        <f>EINSTELLUNG!F12</f>
        <v>7</v>
      </c>
      <c r="R38" s="219"/>
      <c r="S38" s="219">
        <f>EINSTELLUNG!F28</f>
        <v>7</v>
      </c>
      <c r="T38" s="219"/>
      <c r="U38" s="220">
        <f t="shared" si="2"/>
        <v>0</v>
      </c>
      <c r="V38" s="220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15" t="s">
        <v>109</v>
      </c>
      <c r="P39" s="216"/>
      <c r="Q39" s="217">
        <f>IF(Q38=0, 0, Q35/Q38)</f>
        <v>1</v>
      </c>
      <c r="R39" s="217"/>
      <c r="S39" s="217">
        <f>IF(S38=0, 0, S35/S38)</f>
        <v>1</v>
      </c>
      <c r="T39" s="217"/>
      <c r="U39" s="218">
        <f t="shared" si="2"/>
        <v>0</v>
      </c>
      <c r="V39" s="218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15" t="s">
        <v>111</v>
      </c>
      <c r="P40" s="216"/>
      <c r="Q40" s="217">
        <f>IF(Q13=0, 0, Q35/Q13)</f>
        <v>7.637452320476229E-4</v>
      </c>
      <c r="R40" s="217"/>
      <c r="S40" s="217">
        <f>IF(Q13=0, 0, S35/Q13)</f>
        <v>7.637452320476229E-4</v>
      </c>
      <c r="T40" s="217"/>
      <c r="U40" s="218">
        <f t="shared" si="2"/>
        <v>0</v>
      </c>
      <c r="V40" s="218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15" t="s">
        <v>113</v>
      </c>
      <c r="P41" s="216"/>
      <c r="Q41" s="219">
        <f>IF(Q13=0, 0, Q38/Q13)</f>
        <v>7.637452320476229E-4</v>
      </c>
      <c r="R41" s="219"/>
      <c r="S41" s="219">
        <f>IF(Q13=0, 0, S38/Q13)</f>
        <v>7.637452320476229E-4</v>
      </c>
      <c r="T41" s="219"/>
      <c r="U41" s="220">
        <f t="shared" si="2"/>
        <v>0</v>
      </c>
      <c r="V41" s="220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15" t="s">
        <v>115</v>
      </c>
      <c r="P42" s="216"/>
      <c r="Q42" s="221">
        <f>IFERROR(Q17/Q8, 0)</f>
        <v>0</v>
      </c>
      <c r="R42" s="222"/>
      <c r="S42" s="222"/>
      <c r="T42" s="222"/>
      <c r="U42" s="222"/>
      <c r="V42" s="223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kFoVQlmkVfljJvvzFa+cBRKl1kkN9D6SSYp9UDbhMjRAIgOyN72VtfTum1wAO+Y31eSHzpcMYCpfGaZde+GjlA==" saltValue="+Z/fdC8lSTT5UXyA5VJne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E3:E82" xr:uid="{D797CE52-EA86-4D35-8CF3-DC9E1A8BAD82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62" t="s">
        <v>191</v>
      </c>
      <c r="C1" s="270" t="s">
        <v>40</v>
      </c>
      <c r="D1" s="268" t="s">
        <v>192</v>
      </c>
      <c r="E1" s="268" t="s">
        <v>0</v>
      </c>
      <c r="F1" s="268" t="s">
        <v>41</v>
      </c>
      <c r="G1" s="272" t="s">
        <v>42</v>
      </c>
      <c r="H1" s="274" t="s">
        <v>43</v>
      </c>
      <c r="I1" s="276" t="s">
        <v>193</v>
      </c>
      <c r="J1" s="278" t="s">
        <v>44</v>
      </c>
      <c r="K1" s="280" t="s">
        <v>45</v>
      </c>
      <c r="L1" s="282" t="s">
        <v>46</v>
      </c>
      <c r="M1" s="266" t="s">
        <v>47</v>
      </c>
      <c r="N1" s="263" t="s">
        <v>194</v>
      </c>
      <c r="AB1" s="8">
        <f>DATE(EINSTELLUNG!$C$35,$A$1,1)</f>
        <v>46235</v>
      </c>
    </row>
    <row r="2" spans="1:28" ht="16" customHeight="1" thickBot="1">
      <c r="A2" s="60"/>
      <c r="B2" s="262"/>
      <c r="C2" s="271"/>
      <c r="D2" s="269"/>
      <c r="E2" s="269"/>
      <c r="F2" s="269"/>
      <c r="G2" s="273"/>
      <c r="H2" s="275"/>
      <c r="I2" s="277"/>
      <c r="J2" s="279"/>
      <c r="K2" s="281"/>
      <c r="L2" s="283"/>
      <c r="M2" s="267"/>
      <c r="N2" s="263"/>
      <c r="AB2" s="8">
        <f>EOMONTH(DATE(EINSTELLUNG!$C$35,$A$1,1),0)</f>
        <v>46265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02" t="s">
        <v>49</v>
      </c>
      <c r="P3" s="202" t="s">
        <v>50</v>
      </c>
      <c r="Q3" s="200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03"/>
      <c r="P4" s="203"/>
      <c r="Q4" s="201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886.49292661607774</v>
      </c>
      <c r="P5" s="15">
        <f>EINSTELLUNG!I13</f>
        <v>8</v>
      </c>
      <c r="Q5" s="14">
        <f>P5-O5</f>
        <v>-878.49292661607774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97" t="str">
        <f>IF(Q5&lt;0, "Schlecht! Zu wenig Urlaub abgebaut.", IF(Q5&gt;0, "Gut! Mehr Urlaub abgebaut als aufgebaut.", ""))</f>
        <v>Schlecht! Zu wenig Urlaub abgebaut.</v>
      </c>
      <c r="P6" s="198"/>
      <c r="Q6" s="198"/>
      <c r="R6" s="19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05" t="s">
        <v>58</v>
      </c>
      <c r="P8" s="206"/>
      <c r="Q8" s="207">
        <f>SUM(H3:H82)</f>
        <v>9099.7900000000009</v>
      </c>
      <c r="R8" s="207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05" t="s">
        <v>60</v>
      </c>
      <c r="P9" s="206"/>
      <c r="Q9" s="207">
        <f>EINSTELLUNG!L29</f>
        <v>8</v>
      </c>
      <c r="R9" s="207"/>
      <c r="S9" s="19">
        <f>IFERROR(Q9/Q8, 0)</f>
        <v>8.7914116699396353E-4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05" t="s">
        <v>62</v>
      </c>
      <c r="P10" s="206"/>
      <c r="Q10" s="207">
        <f>EINSTELLUNG!I29</f>
        <v>8</v>
      </c>
      <c r="R10" s="207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05" t="s">
        <v>64</v>
      </c>
      <c r="P11" s="206"/>
      <c r="Q11" s="207">
        <f>P5</f>
        <v>8</v>
      </c>
      <c r="R11" s="20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05" t="s">
        <v>68</v>
      </c>
      <c r="P12" s="206"/>
      <c r="Q12" s="207">
        <f>Q8-Q9-Q10-Q11</f>
        <v>9075.7900000000009</v>
      </c>
      <c r="R12" s="207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05" t="s">
        <v>70</v>
      </c>
      <c r="P13" s="206"/>
      <c r="Q13" s="207">
        <f>EINSTELLUNG!L13</f>
        <v>8</v>
      </c>
      <c r="R13" s="207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05" t="s">
        <v>72</v>
      </c>
      <c r="P14" s="206"/>
      <c r="Q14" s="207">
        <f>Q12-Q13</f>
        <v>9067.7900000000009</v>
      </c>
      <c r="R14" s="20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30" t="str">
        <f>IF(Q14&lt;0, "Schlecht! Zu wenig Stunden für Dienstplan.", IF(Q14&gt;0, "Du hast mehr als genug Stunden für Dienstplan.", ""))</f>
        <v>Du hast mehr als genug Stunden für Dienstplan.</v>
      </c>
      <c r="P15" s="330"/>
      <c r="Q15" s="330"/>
      <c r="R15" s="330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13" t="s">
        <v>75</v>
      </c>
      <c r="P17" s="214"/>
      <c r="Q17" s="237">
        <f>SUM(L3:L82)</f>
        <v>0</v>
      </c>
      <c r="R17" s="23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95"/>
      <c r="P18" s="326"/>
      <c r="Q18" s="327"/>
      <c r="R18" s="204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95"/>
      <c r="P19" s="326"/>
      <c r="Q19" s="327"/>
      <c r="R19" s="204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95"/>
      <c r="P20" s="326"/>
      <c r="Q20" s="327"/>
      <c r="R20" s="204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95" t="s">
        <v>320</v>
      </c>
      <c r="P21" s="326"/>
      <c r="Q21" s="327">
        <v>5000</v>
      </c>
      <c r="R21" s="204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95"/>
      <c r="P22" s="326"/>
      <c r="Q22" s="327"/>
      <c r="R22" s="204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95"/>
      <c r="P23" s="326"/>
      <c r="Q23" s="327"/>
      <c r="R23" s="204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95"/>
      <c r="P24" s="326"/>
      <c r="Q24" s="327"/>
      <c r="R24" s="204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0"/>
      <c r="P25" s="328"/>
      <c r="Q25" s="329"/>
      <c r="R25" s="246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6"/>
      <c r="P26" s="257"/>
      <c r="Q26" s="247"/>
      <c r="R26" s="248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11"/>
      <c r="P27" s="212"/>
      <c r="Q27" s="204"/>
      <c r="R27" s="249"/>
      <c r="S27" s="209" t="s">
        <v>87</v>
      </c>
      <c r="T27" s="210"/>
      <c r="U27" s="210"/>
      <c r="V27" s="210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0"/>
      <c r="P28" s="251"/>
      <c r="Q28" s="252"/>
      <c r="R28" s="253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2" t="s">
        <v>90</v>
      </c>
      <c r="P29" s="243"/>
      <c r="Q29" s="244">
        <f>EINSTELLUNG!O13</f>
        <v>8</v>
      </c>
      <c r="R29" s="245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58">
        <v>0</v>
      </c>
      <c r="P31" s="259"/>
      <c r="Q31" s="260">
        <v>1.8518518518518517E-2</v>
      </c>
      <c r="R31" s="261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26"/>
      <c r="P33" s="227"/>
      <c r="Q33" s="324" t="str">
        <f>EINSTELLUNG!B3</f>
        <v>Budget Zahlen</v>
      </c>
      <c r="R33" s="324"/>
      <c r="S33" s="325" t="str">
        <f>EINSTELLUNG!B19</f>
        <v>Projection/Aktuell Zahlen</v>
      </c>
      <c r="T33" s="325"/>
      <c r="U33" s="325" t="s">
        <v>98</v>
      </c>
      <c r="V33" s="325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26"/>
      <c r="P34" s="227"/>
      <c r="Q34" s="324"/>
      <c r="R34" s="324"/>
      <c r="S34" s="325"/>
      <c r="T34" s="325"/>
      <c r="U34" s="325"/>
      <c r="V34" s="325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15" t="s">
        <v>101</v>
      </c>
      <c r="P35" s="216"/>
      <c r="Q35" s="217">
        <f>EINSTELLUNG!C13</f>
        <v>8</v>
      </c>
      <c r="R35" s="217"/>
      <c r="S35" s="217">
        <f>EINSTELLUNG!C29</f>
        <v>8</v>
      </c>
      <c r="T35" s="217"/>
      <c r="U35" s="218">
        <f>S35-Q35</f>
        <v>0</v>
      </c>
      <c r="V35" s="218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15" t="s">
        <v>103</v>
      </c>
      <c r="P36" s="216"/>
      <c r="Q36" s="217">
        <f>EINSTELLUNG!D13</f>
        <v>8</v>
      </c>
      <c r="R36" s="217"/>
      <c r="S36" s="221" cm="1">
        <f t="array" ref="S36">SumMergedCells(Q17:R29)</f>
        <v>5008</v>
      </c>
      <c r="T36" s="223"/>
      <c r="U36" s="218">
        <f t="shared" ref="U36:U41" si="2">S36-Q36</f>
        <v>5000</v>
      </c>
      <c r="V36" s="218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15" t="s">
        <v>105</v>
      </c>
      <c r="P37" s="216"/>
      <c r="Q37" s="224">
        <f>IF(ISERROR(Q36/Q35), 0, Q36/Q35)</f>
        <v>1</v>
      </c>
      <c r="R37" s="224"/>
      <c r="S37" s="286">
        <f>IF(ISERROR(S36/S35), 0, S36/S35)</f>
        <v>626</v>
      </c>
      <c r="T37" s="287"/>
      <c r="U37" s="225">
        <f t="shared" si="2"/>
        <v>625</v>
      </c>
      <c r="V37" s="225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15" t="s">
        <v>107</v>
      </c>
      <c r="P38" s="216"/>
      <c r="Q38" s="219">
        <f>EINSTELLUNG!F13</f>
        <v>8</v>
      </c>
      <c r="R38" s="219"/>
      <c r="S38" s="219">
        <f>EINSTELLUNG!F29</f>
        <v>8</v>
      </c>
      <c r="T38" s="219"/>
      <c r="U38" s="220">
        <f t="shared" si="2"/>
        <v>0</v>
      </c>
      <c r="V38" s="220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15" t="s">
        <v>109</v>
      </c>
      <c r="P39" s="216"/>
      <c r="Q39" s="217">
        <f>IF(Q38=0, 0, Q35/Q38)</f>
        <v>1</v>
      </c>
      <c r="R39" s="217"/>
      <c r="S39" s="217">
        <f>IF(S38=0, 0, S35/S38)</f>
        <v>1</v>
      </c>
      <c r="T39" s="217"/>
      <c r="U39" s="218">
        <f t="shared" si="2"/>
        <v>0</v>
      </c>
      <c r="V39" s="218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15" t="s">
        <v>111</v>
      </c>
      <c r="P40" s="216"/>
      <c r="Q40" s="217">
        <f>IF(Q12=0, 0, Q35/Q12)</f>
        <v>8.8146596604813461E-4</v>
      </c>
      <c r="R40" s="217"/>
      <c r="S40" s="217">
        <f>IF(Q12=0, 0, S35/Q12)</f>
        <v>8.8146596604813461E-4</v>
      </c>
      <c r="T40" s="217"/>
      <c r="U40" s="218">
        <f t="shared" si="2"/>
        <v>0</v>
      </c>
      <c r="V40" s="218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15" t="s">
        <v>113</v>
      </c>
      <c r="P41" s="216"/>
      <c r="Q41" s="219">
        <f>IF(Q12=0, 0, Q38/Q12)</f>
        <v>8.8146596604813461E-4</v>
      </c>
      <c r="R41" s="219"/>
      <c r="S41" s="219">
        <f>IF(Q12=0, 0, S38/Q12)</f>
        <v>8.8146596604813461E-4</v>
      </c>
      <c r="T41" s="219"/>
      <c r="U41" s="220">
        <f t="shared" si="2"/>
        <v>0</v>
      </c>
      <c r="V41" s="220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15" t="s">
        <v>115</v>
      </c>
      <c r="P42" s="216"/>
      <c r="Q42" s="221">
        <f>IFERROR(Q17/Q8, 0)</f>
        <v>0</v>
      </c>
      <c r="R42" s="222"/>
      <c r="S42" s="222"/>
      <c r="T42" s="222"/>
      <c r="U42" s="222"/>
      <c r="V42" s="223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6">
        <v>46249</v>
      </c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 t="s">
        <v>205</v>
      </c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6">
        <v>46250</v>
      </c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 t="s">
        <v>197</v>
      </c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401999</v>
      </c>
      <c r="C53" s="68" t="s">
        <v>319</v>
      </c>
      <c r="D53" s="123">
        <v>46082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402000</v>
      </c>
      <c r="C54" s="70" t="s">
        <v>326</v>
      </c>
      <c r="D54" s="123">
        <v>46143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502000</v>
      </c>
      <c r="C58" s="68" t="s">
        <v>329</v>
      </c>
      <c r="D58" s="123">
        <v>46147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503000</v>
      </c>
      <c r="C59" s="68" t="s">
        <v>332</v>
      </c>
      <c r="D59" s="123">
        <v>42401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504000</v>
      </c>
      <c r="C60" s="68" t="s">
        <v>333</v>
      </c>
      <c r="D60" s="123">
        <v>46054</v>
      </c>
      <c r="E60" s="65" t="s">
        <v>3</v>
      </c>
      <c r="F60" s="67">
        <v>138.4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505000</v>
      </c>
      <c r="C61" s="68" t="s">
        <v>334</v>
      </c>
      <c r="D61" s="123">
        <v>46054</v>
      </c>
      <c r="E61" s="65" t="s">
        <v>2</v>
      </c>
      <c r="F61" s="67">
        <v>138.4</v>
      </c>
      <c r="G61" s="116"/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700000</v>
      </c>
      <c r="C62" s="68" t="s">
        <v>347</v>
      </c>
      <c r="D62" s="123">
        <v>46054</v>
      </c>
      <c r="E62" s="65" t="s">
        <v>2</v>
      </c>
      <c r="F62" s="67">
        <v>173</v>
      </c>
      <c r="G62" s="116"/>
      <c r="H62" s="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800000</v>
      </c>
      <c r="C63" s="68" t="s">
        <v>348</v>
      </c>
      <c r="D63" s="123">
        <v>46082</v>
      </c>
      <c r="E63" s="65" t="s">
        <v>2</v>
      </c>
      <c r="F63" s="67">
        <v>173</v>
      </c>
      <c r="G63" s="116"/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i6CI7x9FVMpKe72tVpuRvmE6ry+GsMveRdczxZ+Cs3sOXE70yv0YZMBpmabQaECMeT/EpGcTkKrMFOkLUKFuFA==" saltValue="PSo7a3N9VIKy3R86GD5xI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  <dataValidation type="list" allowBlank="1" showInputMessage="1" showErrorMessage="1" sqref="E3:E82" xr:uid="{153513FD-9715-4ECE-B997-6B594143A513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62" t="s">
        <v>191</v>
      </c>
      <c r="C1" s="270" t="s">
        <v>40</v>
      </c>
      <c r="D1" s="268" t="s">
        <v>192</v>
      </c>
      <c r="E1" s="268" t="s">
        <v>0</v>
      </c>
      <c r="F1" s="268" t="s">
        <v>41</v>
      </c>
      <c r="G1" s="272" t="s">
        <v>42</v>
      </c>
      <c r="H1" s="274" t="s">
        <v>43</v>
      </c>
      <c r="I1" s="276" t="s">
        <v>193</v>
      </c>
      <c r="J1" s="278" t="s">
        <v>44</v>
      </c>
      <c r="K1" s="280" t="s">
        <v>45</v>
      </c>
      <c r="L1" s="282" t="s">
        <v>46</v>
      </c>
      <c r="M1" s="266" t="s">
        <v>47</v>
      </c>
      <c r="N1" s="263" t="s">
        <v>194</v>
      </c>
      <c r="AB1" s="8">
        <f>DATE(EINSTELLUNG!$C$35,$A$1,1)</f>
        <v>46266</v>
      </c>
    </row>
    <row r="2" spans="1:28" ht="16" customHeight="1" thickBot="1">
      <c r="A2" s="60"/>
      <c r="B2" s="262"/>
      <c r="C2" s="271"/>
      <c r="D2" s="269"/>
      <c r="E2" s="269"/>
      <c r="F2" s="269"/>
      <c r="G2" s="273"/>
      <c r="H2" s="275"/>
      <c r="I2" s="277"/>
      <c r="J2" s="279"/>
      <c r="K2" s="281"/>
      <c r="L2" s="283"/>
      <c r="M2" s="267"/>
      <c r="N2" s="263"/>
      <c r="AB2" s="8">
        <f>EOMONTH(DATE(EINSTELLUNG!$C$35,$A$1,1),0)</f>
        <v>46295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02" t="s">
        <v>49</v>
      </c>
      <c r="P3" s="202" t="s">
        <v>50</v>
      </c>
      <c r="Q3" s="200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03"/>
      <c r="P4" s="203"/>
      <c r="Q4" s="201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97" t="str">
        <f>IF(Q5&lt;0, "Schlecht! Zu wenig Urlaub abgebaut.", IF(Q5&gt;0, "Gut! Mehr Urlaub abgebaut als aufgebaut.", ""))</f>
        <v>Schlecht! Zu wenig Urlaub abgebaut.</v>
      </c>
      <c r="P6" s="198"/>
      <c r="Q6" s="198"/>
      <c r="R6" s="19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05" t="s">
        <v>58</v>
      </c>
      <c r="P8" s="206"/>
      <c r="Q8" s="207">
        <f>SUM(H3:H82)</f>
        <v>8897.9599999999991</v>
      </c>
      <c r="R8" s="207"/>
    </row>
    <row r="9" spans="1:28" ht="16" customHeight="1">
      <c r="A9" s="61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05" t="s">
        <v>60</v>
      </c>
      <c r="P9" s="206"/>
      <c r="Q9" s="207">
        <f>EINSTELLUNG!L30</f>
        <v>9</v>
      </c>
      <c r="R9" s="207"/>
      <c r="S9" s="19">
        <f>IFERROR(Q9/Q8, 0)</f>
        <v>1.0114677971130462E-3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05" t="s">
        <v>62</v>
      </c>
      <c r="P10" s="206"/>
      <c r="Q10" s="207">
        <f>EINSTELLUNG!I30</f>
        <v>9</v>
      </c>
      <c r="R10" s="207"/>
    </row>
    <row r="11" spans="1:28" ht="16" customHeight="1">
      <c r="A11" s="62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05" t="s">
        <v>64</v>
      </c>
      <c r="P11" s="206"/>
      <c r="Q11" s="207">
        <f>P5</f>
        <v>9</v>
      </c>
      <c r="R11" s="20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05" t="s">
        <v>66</v>
      </c>
      <c r="P12" s="206"/>
      <c r="Q12" s="236">
        <v>167</v>
      </c>
      <c r="R12" s="236"/>
    </row>
    <row r="13" spans="1:28" ht="16" customHeight="1">
      <c r="A13" s="61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05" t="s">
        <v>68</v>
      </c>
      <c r="P13" s="206"/>
      <c r="Q13" s="207">
        <f>Q8-Q9-Q10-Q11-Q12</f>
        <v>8703.9599999999991</v>
      </c>
      <c r="R13" s="207"/>
    </row>
    <row r="14" spans="1:28" ht="16" customHeight="1">
      <c r="A14" s="62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05" t="s">
        <v>70</v>
      </c>
      <c r="P14" s="206"/>
      <c r="Q14" s="207">
        <f>EINSTELLUNG!L14</f>
        <v>9</v>
      </c>
      <c r="R14" s="20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05" t="s">
        <v>72</v>
      </c>
      <c r="P15" s="206"/>
      <c r="Q15" s="207">
        <f>Q13-Q14</f>
        <v>8694.9599999999991</v>
      </c>
      <c r="R15" s="207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08" t="str">
        <f>IF(Q15&lt;0, "Schlecht! Zu wenig Stunden für Dienstplan.", IF(Q15&gt;0, "Du hast mehr als genug Stunden für Dienstplan.", ""))</f>
        <v>Du hast mehr als genug Stunden für Dienstplan.</v>
      </c>
      <c r="P16" s="208"/>
      <c r="Q16" s="208"/>
      <c r="R16" s="20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13" t="s">
        <v>75</v>
      </c>
      <c r="P17" s="214"/>
      <c r="Q17" s="237">
        <f>SUM(L3:L82)</f>
        <v>0</v>
      </c>
      <c r="R17" s="23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95"/>
      <c r="P18" s="326"/>
      <c r="Q18" s="327"/>
      <c r="R18" s="204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95"/>
      <c r="P19" s="326"/>
      <c r="Q19" s="327"/>
      <c r="R19" s="204"/>
    </row>
    <row r="20" spans="1:29" ht="16" customHeight="1">
      <c r="A20" s="62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95"/>
      <c r="P20" s="326"/>
      <c r="Q20" s="327"/>
      <c r="R20" s="204"/>
    </row>
    <row r="21" spans="1:29" ht="16" customHeight="1">
      <c r="A21" s="61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6">
        <v>46275</v>
      </c>
      <c r="J21" s="66">
        <v>4</v>
      </c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 t="s">
        <v>197</v>
      </c>
      <c r="O21" s="295" t="s">
        <v>320</v>
      </c>
      <c r="P21" s="326"/>
      <c r="Q21" s="327">
        <v>5000</v>
      </c>
      <c r="R21" s="204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95"/>
      <c r="P22" s="326"/>
      <c r="Q22" s="327"/>
      <c r="R22" s="204"/>
    </row>
    <row r="23" spans="1:29" ht="16" customHeight="1">
      <c r="A23" s="62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95"/>
      <c r="P23" s="326"/>
      <c r="Q23" s="327"/>
      <c r="R23" s="204"/>
      <c r="W23" s="12"/>
    </row>
    <row r="24" spans="1:29" ht="16" customHeight="1">
      <c r="A24" s="61" t="s">
        <v>83</v>
      </c>
      <c r="B24" s="101">
        <v>401589</v>
      </c>
      <c r="C24" s="99" t="s">
        <v>255</v>
      </c>
      <c r="D24" s="123">
        <v>44926</v>
      </c>
      <c r="E24" s="65" t="s">
        <v>10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95"/>
      <c r="P24" s="326"/>
      <c r="Q24" s="327"/>
      <c r="R24" s="204"/>
      <c r="W24" s="12"/>
    </row>
    <row r="25" spans="1:29" ht="16" customHeight="1" thickBot="1">
      <c r="A25" s="61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0"/>
      <c r="P25" s="328"/>
      <c r="Q25" s="329"/>
      <c r="R25" s="246"/>
    </row>
    <row r="26" spans="1:29" ht="16" customHeight="1">
      <c r="A26" s="62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6"/>
      <c r="P26" s="257"/>
      <c r="Q26" s="247"/>
      <c r="R26" s="248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11"/>
      <c r="P27" s="212"/>
      <c r="Q27" s="204"/>
      <c r="R27" s="249"/>
      <c r="S27" s="209" t="s">
        <v>87</v>
      </c>
      <c r="T27" s="210"/>
      <c r="U27" s="210"/>
      <c r="V27" s="210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0"/>
      <c r="P28" s="251"/>
      <c r="Q28" s="252"/>
      <c r="R28" s="253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2" t="s">
        <v>90</v>
      </c>
      <c r="P29" s="243"/>
      <c r="Q29" s="244">
        <f>EINSTELLUNG!O14</f>
        <v>9</v>
      </c>
      <c r="R29" s="245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58">
        <v>0</v>
      </c>
      <c r="P31" s="259"/>
      <c r="Q31" s="260">
        <v>1.6949152542372881E-2</v>
      </c>
      <c r="R31" s="261"/>
    </row>
    <row r="32" spans="1:29" ht="16" customHeight="1">
      <c r="A32" s="62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26"/>
      <c r="P33" s="227"/>
      <c r="Q33" s="324" t="str">
        <f>EINSTELLUNG!B3</f>
        <v>Budget Zahlen</v>
      </c>
      <c r="R33" s="324"/>
      <c r="S33" s="325" t="str">
        <f>EINSTELLUNG!B19</f>
        <v>Projection/Aktuell Zahlen</v>
      </c>
      <c r="T33" s="325"/>
      <c r="U33" s="325" t="s">
        <v>98</v>
      </c>
      <c r="V33" s="325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26"/>
      <c r="P34" s="227"/>
      <c r="Q34" s="324"/>
      <c r="R34" s="324"/>
      <c r="S34" s="325"/>
      <c r="T34" s="325"/>
      <c r="U34" s="325"/>
      <c r="V34" s="325"/>
    </row>
    <row r="35" spans="1:24" ht="16" customHeight="1">
      <c r="A35" s="62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15" t="s">
        <v>101</v>
      </c>
      <c r="P35" s="216"/>
      <c r="Q35" s="217">
        <f>EINSTELLUNG!C14</f>
        <v>9</v>
      </c>
      <c r="R35" s="217"/>
      <c r="S35" s="217">
        <f>EINSTELLUNG!C30</f>
        <v>9</v>
      </c>
      <c r="T35" s="217"/>
      <c r="U35" s="218">
        <f>S35-Q35</f>
        <v>0</v>
      </c>
      <c r="V35" s="218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15" t="s">
        <v>103</v>
      </c>
      <c r="P36" s="216"/>
      <c r="Q36" s="217">
        <f>EINSTELLUNG!D14</f>
        <v>9</v>
      </c>
      <c r="R36" s="217"/>
      <c r="S36" s="221" cm="1">
        <f t="array" ref="S36">SumMergedCells(Q17:R29)</f>
        <v>5009</v>
      </c>
      <c r="T36" s="223"/>
      <c r="U36" s="218">
        <f t="shared" ref="U36:U41" si="2">S36-Q36</f>
        <v>5000</v>
      </c>
      <c r="V36" s="218"/>
    </row>
    <row r="37" spans="1:24" ht="16" customHeight="1">
      <c r="A37" s="61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15" t="s">
        <v>105</v>
      </c>
      <c r="P37" s="216"/>
      <c r="Q37" s="224">
        <f>IF(ISERROR(Q36/Q35), 0, Q36/Q35)</f>
        <v>1</v>
      </c>
      <c r="R37" s="224"/>
      <c r="S37" s="224">
        <f>IF(ISERROR(S36/S35), 0, S36/S35)</f>
        <v>556.55555555555554</v>
      </c>
      <c r="T37" s="224"/>
      <c r="U37" s="225">
        <f t="shared" si="2"/>
        <v>555.55555555555554</v>
      </c>
      <c r="V37" s="225"/>
    </row>
    <row r="38" spans="1:24" ht="16" customHeight="1">
      <c r="A38" s="62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15" t="s">
        <v>107</v>
      </c>
      <c r="P38" s="216"/>
      <c r="Q38" s="219">
        <f>EINSTELLUNG!F14</f>
        <v>9</v>
      </c>
      <c r="R38" s="219"/>
      <c r="S38" s="219">
        <f>EINSTELLUNG!F30</f>
        <v>9</v>
      </c>
      <c r="T38" s="219"/>
      <c r="U38" s="220">
        <f t="shared" si="2"/>
        <v>0</v>
      </c>
      <c r="V38" s="220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15" t="s">
        <v>109</v>
      </c>
      <c r="P39" s="216"/>
      <c r="Q39" s="217">
        <f>IF(Q38=0, 0, Q35/Q38)</f>
        <v>1</v>
      </c>
      <c r="R39" s="217"/>
      <c r="S39" s="217">
        <f>IF(S38=0, 0, S35/S38)</f>
        <v>1</v>
      </c>
      <c r="T39" s="217"/>
      <c r="U39" s="218">
        <f t="shared" si="2"/>
        <v>0</v>
      </c>
      <c r="V39" s="218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15" t="s">
        <v>111</v>
      </c>
      <c r="P40" s="216"/>
      <c r="Q40" s="217">
        <f>IF(Q13=0, 0, Q35/Q13)</f>
        <v>1.0340121048350408E-3</v>
      </c>
      <c r="R40" s="217"/>
      <c r="S40" s="217">
        <f>IF(Q13=0, 0, S35/Q13)</f>
        <v>1.0340121048350408E-3</v>
      </c>
      <c r="T40" s="217"/>
      <c r="U40" s="218">
        <f t="shared" si="2"/>
        <v>0</v>
      </c>
      <c r="V40" s="218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15" t="s">
        <v>113</v>
      </c>
      <c r="P41" s="216"/>
      <c r="Q41" s="219">
        <f>IF(Q13=0, 0, Q38/Q13)</f>
        <v>1.0340121048350408E-3</v>
      </c>
      <c r="R41" s="219"/>
      <c r="S41" s="219">
        <f>IF(Q13=0, 0, S38/Q13)</f>
        <v>1.0340121048350408E-3</v>
      </c>
      <c r="T41" s="219"/>
      <c r="U41" s="220">
        <f t="shared" si="2"/>
        <v>0</v>
      </c>
      <c r="V41" s="220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15" t="s">
        <v>115</v>
      </c>
      <c r="P42" s="216"/>
      <c r="Q42" s="221">
        <f>IFERROR(Q17/Q8, 0)</f>
        <v>0</v>
      </c>
      <c r="R42" s="222"/>
      <c r="S42" s="222"/>
      <c r="T42" s="222"/>
      <c r="U42" s="222"/>
      <c r="V42" s="223"/>
    </row>
    <row r="43" spans="1:24" ht="16" customHeight="1">
      <c r="A43" s="61" t="s">
        <v>116</v>
      </c>
      <c r="B43" s="101">
        <v>401734</v>
      </c>
      <c r="C43" s="70" t="s">
        <v>276</v>
      </c>
      <c r="D43" s="123">
        <v>45904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401748</v>
      </c>
      <c r="C48" s="68" t="s">
        <v>281</v>
      </c>
      <c r="D48" s="123">
        <v>45941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401751</v>
      </c>
      <c r="C49" s="68" t="s">
        <v>284</v>
      </c>
      <c r="D49" s="123">
        <v>45961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401752</v>
      </c>
      <c r="C50" s="68" t="s">
        <v>285</v>
      </c>
      <c r="D50" s="123">
        <v>45986</v>
      </c>
      <c r="E50" s="65" t="s">
        <v>2</v>
      </c>
      <c r="F50" s="67">
        <v>86.5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401999</v>
      </c>
      <c r="C51" s="68" t="s">
        <v>319</v>
      </c>
      <c r="D51" s="123">
        <v>46082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402000</v>
      </c>
      <c r="C52" s="68" t="s">
        <v>326</v>
      </c>
      <c r="D52" s="123">
        <v>46143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402004</v>
      </c>
      <c r="C53" s="68" t="s">
        <v>328</v>
      </c>
      <c r="D53" s="123">
        <v>46122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500600</v>
      </c>
      <c r="C55" s="68" t="s">
        <v>335</v>
      </c>
      <c r="D55" s="123">
        <v>46054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502000</v>
      </c>
      <c r="C56" s="68" t="s">
        <v>329</v>
      </c>
      <c r="D56" s="123">
        <v>46147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503000</v>
      </c>
      <c r="C57" s="68" t="s">
        <v>332</v>
      </c>
      <c r="D57" s="123">
        <v>42401</v>
      </c>
      <c r="E57" s="65" t="s">
        <v>2</v>
      </c>
      <c r="F57" s="67">
        <v>173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504000</v>
      </c>
      <c r="C58" s="68" t="s">
        <v>333</v>
      </c>
      <c r="D58" s="123">
        <v>46054</v>
      </c>
      <c r="E58" s="65" t="s">
        <v>3</v>
      </c>
      <c r="F58" s="67">
        <v>138.4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2" t="s">
        <v>133</v>
      </c>
      <c r="B59" s="101">
        <v>505000</v>
      </c>
      <c r="C59" s="68" t="s">
        <v>334</v>
      </c>
      <c r="D59" s="123">
        <v>46054</v>
      </c>
      <c r="E59" s="65" t="s">
        <v>2</v>
      </c>
      <c r="F59" s="67">
        <v>138.4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700000</v>
      </c>
      <c r="C60" s="68" t="s">
        <v>347</v>
      </c>
      <c r="D60" s="123">
        <v>46054</v>
      </c>
      <c r="E60" s="65" t="s">
        <v>2</v>
      </c>
      <c r="F60" s="67">
        <v>173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>
        <v>800000</v>
      </c>
      <c r="C61" s="68" t="s">
        <v>348</v>
      </c>
      <c r="D61" s="123">
        <v>46082</v>
      </c>
      <c r="E61" s="65" t="s">
        <v>2</v>
      </c>
      <c r="F61" s="67">
        <v>173</v>
      </c>
      <c r="G61" s="116"/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uwtdlgH+S5pXGogQGMJ1qHkZUk//DBAZ8YlzW+gZmF0mvcXX6GptWGbsYuF3ZSIEdwZv/vXdms5bLfjXNTARbQ==" saltValue="WfohvE2TCBKdFoh9pMVeq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E3:E82" xr:uid="{84995BEA-E394-433A-AA4E-2E93139E968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62" t="s">
        <v>191</v>
      </c>
      <c r="C1" s="270" t="s">
        <v>40</v>
      </c>
      <c r="D1" s="268" t="s">
        <v>192</v>
      </c>
      <c r="E1" s="268" t="s">
        <v>0</v>
      </c>
      <c r="F1" s="268" t="s">
        <v>41</v>
      </c>
      <c r="G1" s="272" t="s">
        <v>42</v>
      </c>
      <c r="H1" s="274" t="s">
        <v>43</v>
      </c>
      <c r="I1" s="276" t="s">
        <v>193</v>
      </c>
      <c r="J1" s="278" t="s">
        <v>44</v>
      </c>
      <c r="K1" s="280" t="s">
        <v>45</v>
      </c>
      <c r="L1" s="282" t="s">
        <v>46</v>
      </c>
      <c r="M1" s="266" t="s">
        <v>47</v>
      </c>
      <c r="N1" s="263" t="s">
        <v>194</v>
      </c>
      <c r="AB1" s="8">
        <f>DATE(EINSTELLUNG!$C$35,$A$1,1)</f>
        <v>46296</v>
      </c>
    </row>
    <row r="2" spans="1:28" ht="16" customHeight="1" thickBot="1">
      <c r="A2" s="60"/>
      <c r="B2" s="262"/>
      <c r="C2" s="271"/>
      <c r="D2" s="269"/>
      <c r="E2" s="269"/>
      <c r="F2" s="269"/>
      <c r="G2" s="273"/>
      <c r="H2" s="275"/>
      <c r="I2" s="277"/>
      <c r="J2" s="279"/>
      <c r="K2" s="281"/>
      <c r="L2" s="283"/>
      <c r="M2" s="267"/>
      <c r="N2" s="263"/>
      <c r="AB2" s="8">
        <f>EOMONTH(DATE(EINSTELLUNG!$C$35,$A$1,1),0)</f>
        <v>46326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02" t="s">
        <v>49</v>
      </c>
      <c r="P3" s="202" t="s">
        <v>50</v>
      </c>
      <c r="Q3" s="200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03"/>
      <c r="P4" s="203"/>
      <c r="Q4" s="201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6">
        <v>46305</v>
      </c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 t="s">
        <v>205</v>
      </c>
      <c r="O6" s="197" t="str">
        <f>IF(Q5&lt;0, "Schlecht! Zu wenig Urlaub abgebaut.", IF(Q5&gt;0, "Gut! Mehr Urlaub abgebaut als aufgebaut.", ""))</f>
        <v>Schlecht! Zu wenig Urlaub abgebaut.</v>
      </c>
      <c r="P6" s="198"/>
      <c r="Q6" s="198"/>
      <c r="R6" s="19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05" t="s">
        <v>58</v>
      </c>
      <c r="P8" s="206"/>
      <c r="Q8" s="207">
        <f>SUM(H3:H82)</f>
        <v>8723.1</v>
      </c>
      <c r="R8" s="207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05" t="s">
        <v>60</v>
      </c>
      <c r="P9" s="206"/>
      <c r="Q9" s="207">
        <f>EINSTELLUNG!L31</f>
        <v>10</v>
      </c>
      <c r="R9" s="207"/>
      <c r="S9" s="19">
        <f>IFERROR(Q9/Q8, 0)</f>
        <v>1.1463814469626623E-3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05" t="s">
        <v>62</v>
      </c>
      <c r="P10" s="206"/>
      <c r="Q10" s="207">
        <f>EINSTELLUNG!I31</f>
        <v>10</v>
      </c>
      <c r="R10" s="207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05" t="s">
        <v>64</v>
      </c>
      <c r="P11" s="206"/>
      <c r="Q11" s="207">
        <f>P5</f>
        <v>10</v>
      </c>
      <c r="R11" s="207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05" t="s">
        <v>66</v>
      </c>
      <c r="P12" s="206"/>
      <c r="Q12" s="236">
        <v>-121</v>
      </c>
      <c r="R12" s="23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05" t="s">
        <v>68</v>
      </c>
      <c r="P13" s="206"/>
      <c r="Q13" s="207">
        <f>Q8-Q9-Q10-Q11-Q12</f>
        <v>8814.1</v>
      </c>
      <c r="R13" s="207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05" t="s">
        <v>70</v>
      </c>
      <c r="P14" s="206"/>
      <c r="Q14" s="207">
        <f>EINSTELLUNG!L15</f>
        <v>10</v>
      </c>
      <c r="R14" s="207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05" t="s">
        <v>72</v>
      </c>
      <c r="P15" s="206"/>
      <c r="Q15" s="207">
        <f>Q13-Q14</f>
        <v>8804.1</v>
      </c>
      <c r="R15" s="207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08" t="str">
        <f>IF(Q15&lt;0, "Schlecht! Zu wenig Stunden für Dienstplan.", IF(Q15&gt;0, "Du hast mehr als genug Stunden für Dienstplan.", ""))</f>
        <v>Du hast mehr als genug Stunden für Dienstplan.</v>
      </c>
      <c r="P16" s="208"/>
      <c r="Q16" s="208"/>
      <c r="R16" s="20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13" t="s">
        <v>75</v>
      </c>
      <c r="P17" s="214"/>
      <c r="Q17" s="237">
        <f>SUM(L3:L82)</f>
        <v>0</v>
      </c>
      <c r="R17" s="237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95"/>
      <c r="P18" s="326"/>
      <c r="Q18" s="327"/>
      <c r="R18" s="204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95"/>
      <c r="P19" s="326"/>
      <c r="Q19" s="327"/>
      <c r="R19" s="204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95"/>
      <c r="P20" s="326"/>
      <c r="Q20" s="327"/>
      <c r="R20" s="204"/>
    </row>
    <row r="21" spans="1:29" ht="16" customHeight="1">
      <c r="A21" s="62" t="s">
        <v>80</v>
      </c>
      <c r="B21" s="101">
        <v>401564</v>
      </c>
      <c r="C21" s="68" t="s">
        <v>252</v>
      </c>
      <c r="D21" s="123">
        <v>44824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95" t="s">
        <v>320</v>
      </c>
      <c r="P21" s="326"/>
      <c r="Q21" s="327">
        <v>5000</v>
      </c>
      <c r="R21" s="204"/>
    </row>
    <row r="22" spans="1:29" ht="16" customHeight="1">
      <c r="A22" s="61" t="s">
        <v>81</v>
      </c>
      <c r="B22" s="101">
        <v>401583</v>
      </c>
      <c r="C22" s="68" t="s">
        <v>254</v>
      </c>
      <c r="D22" s="123">
        <v>44900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95"/>
      <c r="P22" s="326"/>
      <c r="Q22" s="327"/>
      <c r="R22" s="204"/>
    </row>
    <row r="23" spans="1:29" ht="16" customHeight="1">
      <c r="A23" s="61" t="s">
        <v>82</v>
      </c>
      <c r="B23" s="101">
        <v>401589</v>
      </c>
      <c r="C23" s="68" t="s">
        <v>255</v>
      </c>
      <c r="D23" s="123">
        <v>44926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95"/>
      <c r="P23" s="326"/>
      <c r="Q23" s="327"/>
      <c r="R23" s="204"/>
      <c r="W23" s="12"/>
    </row>
    <row r="24" spans="1:29" ht="16" customHeight="1">
      <c r="A24" s="61" t="s">
        <v>83</v>
      </c>
      <c r="B24" s="101">
        <v>401602</v>
      </c>
      <c r="C24" s="68" t="s">
        <v>256</v>
      </c>
      <c r="D24" s="123">
        <v>45975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95"/>
      <c r="P24" s="326"/>
      <c r="Q24" s="327"/>
      <c r="R24" s="204"/>
      <c r="W24" s="12"/>
    </row>
    <row r="25" spans="1:29" ht="16" customHeight="1" thickBot="1">
      <c r="A25" s="62" t="s">
        <v>84</v>
      </c>
      <c r="B25" s="101">
        <v>401605</v>
      </c>
      <c r="C25" s="68" t="s">
        <v>257</v>
      </c>
      <c r="D25" s="123">
        <v>44986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0"/>
      <c r="P25" s="328"/>
      <c r="Q25" s="329"/>
      <c r="R25" s="246"/>
    </row>
    <row r="26" spans="1:29" ht="16" customHeight="1">
      <c r="A26" s="61" t="s">
        <v>85</v>
      </c>
      <c r="B26" s="101">
        <v>401626</v>
      </c>
      <c r="C26" s="68" t="s">
        <v>258</v>
      </c>
      <c r="D26" s="123">
        <v>45063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6"/>
      <c r="P26" s="257"/>
      <c r="Q26" s="247"/>
      <c r="R26" s="248"/>
    </row>
    <row r="27" spans="1:29" ht="16" customHeight="1">
      <c r="A27" s="61" t="s">
        <v>86</v>
      </c>
      <c r="B27" s="101">
        <v>401633</v>
      </c>
      <c r="C27" s="68" t="s">
        <v>259</v>
      </c>
      <c r="D27" s="123">
        <v>45089</v>
      </c>
      <c r="E27" s="65" t="s">
        <v>10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11"/>
      <c r="P27" s="212"/>
      <c r="Q27" s="204"/>
      <c r="R27" s="249"/>
      <c r="S27" s="209" t="s">
        <v>87</v>
      </c>
      <c r="T27" s="210"/>
      <c r="U27" s="210"/>
      <c r="V27" s="210"/>
    </row>
    <row r="28" spans="1:29" ht="16" customHeight="1" thickBot="1">
      <c r="A28" s="61" t="s">
        <v>88</v>
      </c>
      <c r="B28" s="101">
        <v>401647</v>
      </c>
      <c r="C28" s="68" t="s">
        <v>260</v>
      </c>
      <c r="D28" s="123">
        <v>45182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0"/>
      <c r="P28" s="251"/>
      <c r="Q28" s="252"/>
      <c r="R28" s="253"/>
    </row>
    <row r="29" spans="1:29" ht="16" customHeight="1" thickBot="1">
      <c r="A29" s="62" t="s">
        <v>89</v>
      </c>
      <c r="B29" s="101">
        <v>401661</v>
      </c>
      <c r="C29" s="68" t="s">
        <v>261</v>
      </c>
      <c r="D29" s="123">
        <v>45261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2" t="s">
        <v>90</v>
      </c>
      <c r="P29" s="243"/>
      <c r="Q29" s="244">
        <f>EINSTELLUNG!O15</f>
        <v>10</v>
      </c>
      <c r="R29" s="245"/>
    </row>
    <row r="30" spans="1:29" ht="16" customHeight="1">
      <c r="A30" s="61" t="s">
        <v>91</v>
      </c>
      <c r="B30" s="101">
        <v>401670</v>
      </c>
      <c r="C30" s="68" t="s">
        <v>262</v>
      </c>
      <c r="D30" s="123">
        <v>45358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70" t="s">
        <v>263</v>
      </c>
      <c r="D31" s="123">
        <v>45414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58">
        <v>0</v>
      </c>
      <c r="P31" s="259"/>
      <c r="Q31" s="260">
        <v>1.6666666666666666E-2</v>
      </c>
      <c r="R31" s="261"/>
    </row>
    <row r="32" spans="1:29" ht="16" customHeight="1">
      <c r="A32" s="61" t="s">
        <v>94</v>
      </c>
      <c r="B32" s="101">
        <v>401690</v>
      </c>
      <c r="C32" s="68" t="s">
        <v>265</v>
      </c>
      <c r="D32" s="123">
        <v>45536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401703</v>
      </c>
      <c r="C33" s="68" t="s">
        <v>266</v>
      </c>
      <c r="D33" s="123">
        <v>45616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26"/>
      <c r="P33" s="227"/>
      <c r="Q33" s="324" t="str">
        <f>EINSTELLUNG!B3</f>
        <v>Budget Zahlen</v>
      </c>
      <c r="R33" s="324"/>
      <c r="S33" s="325" t="str">
        <f>EINSTELLUNG!B19</f>
        <v>Projection/Aktuell Zahlen</v>
      </c>
      <c r="T33" s="325"/>
      <c r="U33" s="325" t="s">
        <v>98</v>
      </c>
      <c r="V33" s="325"/>
    </row>
    <row r="34" spans="1:24" ht="16" customHeight="1">
      <c r="A34" s="61" t="s">
        <v>99</v>
      </c>
      <c r="B34" s="101">
        <v>401715</v>
      </c>
      <c r="C34" s="68" t="s">
        <v>268</v>
      </c>
      <c r="D34" s="123">
        <v>45755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26"/>
      <c r="P34" s="227"/>
      <c r="Q34" s="324"/>
      <c r="R34" s="324"/>
      <c r="S34" s="325"/>
      <c r="T34" s="325"/>
      <c r="U34" s="325"/>
      <c r="V34" s="325"/>
    </row>
    <row r="35" spans="1:24" ht="16" customHeight="1">
      <c r="A35" s="61" t="s">
        <v>100</v>
      </c>
      <c r="B35" s="101">
        <v>401716</v>
      </c>
      <c r="C35" s="68" t="s">
        <v>269</v>
      </c>
      <c r="D35" s="123">
        <v>45800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15" t="s">
        <v>101</v>
      </c>
      <c r="P35" s="216"/>
      <c r="Q35" s="217">
        <f>EINSTELLUNG!C15</f>
        <v>10</v>
      </c>
      <c r="R35" s="217"/>
      <c r="S35" s="217">
        <f>EINSTELLUNG!C31</f>
        <v>10</v>
      </c>
      <c r="T35" s="217"/>
      <c r="U35" s="218">
        <f>S35-Q35</f>
        <v>0</v>
      </c>
      <c r="V35" s="218"/>
    </row>
    <row r="36" spans="1:24" ht="16" customHeight="1">
      <c r="A36" s="61" t="s">
        <v>102</v>
      </c>
      <c r="B36" s="101">
        <v>401717</v>
      </c>
      <c r="C36" s="68" t="s">
        <v>270</v>
      </c>
      <c r="D36" s="123">
        <v>45814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15" t="s">
        <v>103</v>
      </c>
      <c r="P36" s="216"/>
      <c r="Q36" s="217">
        <f>EINSTELLUNG!D15</f>
        <v>10</v>
      </c>
      <c r="R36" s="217"/>
      <c r="S36" s="221" cm="1">
        <f t="array" ref="S36">SumMergedCells(Q17:R29)</f>
        <v>5010</v>
      </c>
      <c r="T36" s="223"/>
      <c r="U36" s="218">
        <f t="shared" ref="U36:U41" si="2">S36-Q36</f>
        <v>5000</v>
      </c>
      <c r="V36" s="218"/>
    </row>
    <row r="37" spans="1:24" ht="16" customHeight="1">
      <c r="A37" s="62" t="s">
        <v>104</v>
      </c>
      <c r="B37" s="101">
        <v>401722</v>
      </c>
      <c r="C37" s="68" t="s">
        <v>271</v>
      </c>
      <c r="D37" s="123">
        <v>45848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15" t="s">
        <v>105</v>
      </c>
      <c r="P37" s="216"/>
      <c r="Q37" s="224">
        <f>IF(ISERROR(Q36/Q35), 0, Q36/Q35)</f>
        <v>1</v>
      </c>
      <c r="R37" s="224"/>
      <c r="S37" s="224">
        <f>IF(ISERROR(S36/S35), 0, S36/S35)</f>
        <v>501</v>
      </c>
      <c r="T37" s="224"/>
      <c r="U37" s="225">
        <f t="shared" si="2"/>
        <v>500</v>
      </c>
      <c r="V37" s="225"/>
    </row>
    <row r="38" spans="1:24" ht="16" customHeight="1">
      <c r="A38" s="61" t="s">
        <v>106</v>
      </c>
      <c r="B38" s="101">
        <v>401723</v>
      </c>
      <c r="C38" s="68" t="s">
        <v>272</v>
      </c>
      <c r="D38" s="123">
        <v>45852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15" t="s">
        <v>107</v>
      </c>
      <c r="P38" s="216"/>
      <c r="Q38" s="219">
        <f>EINSTELLUNG!F15</f>
        <v>10</v>
      </c>
      <c r="R38" s="219"/>
      <c r="S38" s="219">
        <f>EINSTELLUNG!F31</f>
        <v>10</v>
      </c>
      <c r="T38" s="219"/>
      <c r="U38" s="220">
        <f t="shared" si="2"/>
        <v>0</v>
      </c>
      <c r="V38" s="220"/>
    </row>
    <row r="39" spans="1:24" ht="16" customHeight="1">
      <c r="A39" s="61" t="s">
        <v>108</v>
      </c>
      <c r="B39" s="101">
        <v>401726</v>
      </c>
      <c r="C39" s="68" t="s">
        <v>273</v>
      </c>
      <c r="D39" s="123">
        <v>45870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15" t="s">
        <v>109</v>
      </c>
      <c r="P39" s="216"/>
      <c r="Q39" s="217">
        <f>IF(Q38=0, 0, Q35/Q38)</f>
        <v>1</v>
      </c>
      <c r="R39" s="217"/>
      <c r="S39" s="217">
        <f>IF(S38=0, 0, S35/S38)</f>
        <v>1</v>
      </c>
      <c r="T39" s="217"/>
      <c r="U39" s="218">
        <f t="shared" si="2"/>
        <v>0</v>
      </c>
      <c r="V39" s="218"/>
    </row>
    <row r="40" spans="1:24" ht="16" customHeight="1">
      <c r="A40" s="61" t="s">
        <v>110</v>
      </c>
      <c r="B40" s="101">
        <v>401730</v>
      </c>
      <c r="C40" s="68" t="s">
        <v>275</v>
      </c>
      <c r="D40" s="123">
        <v>45895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15" t="s">
        <v>111</v>
      </c>
      <c r="P40" s="216"/>
      <c r="Q40" s="217">
        <f>IF(Q13=0, 0, Q35/Q13)</f>
        <v>1.1345457845951374E-3</v>
      </c>
      <c r="R40" s="217"/>
      <c r="S40" s="217">
        <f>IF(Q13=0, 0, S35/Q13)</f>
        <v>1.1345457845951374E-3</v>
      </c>
      <c r="T40" s="217"/>
      <c r="U40" s="218">
        <f t="shared" si="2"/>
        <v>0</v>
      </c>
      <c r="V40" s="218"/>
    </row>
    <row r="41" spans="1:24" ht="16" customHeight="1">
      <c r="A41" s="62" t="s">
        <v>112</v>
      </c>
      <c r="B41" s="101">
        <v>401731</v>
      </c>
      <c r="C41" s="68" t="s">
        <v>274</v>
      </c>
      <c r="D41" s="123">
        <v>45899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15" t="s">
        <v>113</v>
      </c>
      <c r="P41" s="216"/>
      <c r="Q41" s="219">
        <f>IF(Q13=0, 0, Q38/Q13)</f>
        <v>1.1345457845951374E-3</v>
      </c>
      <c r="R41" s="219"/>
      <c r="S41" s="219">
        <f>IF(Q13=0, 0, S38/Q13)</f>
        <v>1.1345457845951374E-3</v>
      </c>
      <c r="T41" s="219"/>
      <c r="U41" s="220">
        <f t="shared" si="2"/>
        <v>0</v>
      </c>
      <c r="V41" s="220"/>
    </row>
    <row r="42" spans="1:24" ht="16" customHeight="1">
      <c r="A42" s="61" t="s">
        <v>114</v>
      </c>
      <c r="B42" s="101">
        <v>401734</v>
      </c>
      <c r="C42" s="68" t="s">
        <v>276</v>
      </c>
      <c r="D42" s="123">
        <v>45904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15" t="s">
        <v>115</v>
      </c>
      <c r="P42" s="216"/>
      <c r="Q42" s="221">
        <f>IFERROR(Q17/Q8, 0)</f>
        <v>0</v>
      </c>
      <c r="R42" s="222"/>
      <c r="S42" s="222"/>
      <c r="T42" s="222"/>
      <c r="U42" s="222"/>
      <c r="V42" s="223"/>
    </row>
    <row r="43" spans="1:24" ht="16" customHeight="1">
      <c r="A43" s="61" t="s">
        <v>116</v>
      </c>
      <c r="B43" s="101">
        <v>401736</v>
      </c>
      <c r="C43" s="70" t="s">
        <v>277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401737</v>
      </c>
      <c r="C44" s="68" t="s">
        <v>278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401738</v>
      </c>
      <c r="C45" s="68" t="s">
        <v>279</v>
      </c>
      <c r="D45" s="123">
        <v>45909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401745</v>
      </c>
      <c r="C46" s="68" t="s">
        <v>283</v>
      </c>
      <c r="D46" s="123">
        <v>45934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401748</v>
      </c>
      <c r="C47" s="68" t="s">
        <v>281</v>
      </c>
      <c r="D47" s="123">
        <v>45941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401751</v>
      </c>
      <c r="C48" s="68" t="s">
        <v>284</v>
      </c>
      <c r="D48" s="123">
        <v>45961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401752</v>
      </c>
      <c r="C49" s="68" t="s">
        <v>285</v>
      </c>
      <c r="D49" s="123">
        <v>45986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401999</v>
      </c>
      <c r="C50" s="68" t="s">
        <v>319</v>
      </c>
      <c r="D50" s="123">
        <v>46082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402000</v>
      </c>
      <c r="C51" s="68" t="s">
        <v>326</v>
      </c>
      <c r="D51" s="123">
        <v>46143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402004</v>
      </c>
      <c r="C52" s="68" t="s">
        <v>328</v>
      </c>
      <c r="D52" s="123">
        <v>46122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402405</v>
      </c>
      <c r="C53" s="68" t="s">
        <v>330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500600</v>
      </c>
      <c r="C54" s="68" t="s">
        <v>335</v>
      </c>
      <c r="D54" s="123">
        <v>46054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502000</v>
      </c>
      <c r="C55" s="68" t="s">
        <v>329</v>
      </c>
      <c r="D55" s="123">
        <v>46147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700000</v>
      </c>
      <c r="C59" s="68" t="s">
        <v>347</v>
      </c>
      <c r="D59" s="123">
        <v>46054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800000</v>
      </c>
      <c r="C60" s="68" t="s">
        <v>348</v>
      </c>
      <c r="D60" s="123">
        <v>46082</v>
      </c>
      <c r="E60" s="65" t="s">
        <v>2</v>
      </c>
      <c r="F60" s="67">
        <v>173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lhbQeMrFabpk4KtTvTT4opD2rVUpdf9wy3OQgZcbK62+xLvoVgZu8uq4b8IvIVfyGjO+I1h3Xi5+IDOwf3cmgw==" saltValue="SkWr5wwldZRdltUsLV+VT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list" allowBlank="1" showInputMessage="1" showErrorMessage="1" sqref="F61" xr:uid="{DFDEF5D5-A175-E44C-A136-E10E2C6AF3B8}">
      <formula1>KV_DD_OKTOBER_61</formula1>
    </dataValidation>
    <dataValidation type="list" allowBlank="1" showInputMessage="1" showErrorMessage="1" sqref="F62" xr:uid="{6C8530BE-D5EB-4825-B982-2F84F1B7ADD8}">
      <formula1>KV_DD_OKTOBER_62</formula1>
    </dataValidation>
    <dataValidation type="list" allowBlank="1" showInputMessage="1" showErrorMessage="1" sqref="F63" xr:uid="{5DE59C06-6BA7-446E-AA32-C54C32CB28C1}">
      <formula1>KV_DD_OKTOBER_63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E3:E82" xr:uid="{959CF507-C939-43D2-AF66-52A555E4649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62" t="s">
        <v>191</v>
      </c>
      <c r="C1" s="270" t="s">
        <v>40</v>
      </c>
      <c r="D1" s="268" t="s">
        <v>192</v>
      </c>
      <c r="E1" s="268" t="s">
        <v>0</v>
      </c>
      <c r="F1" s="268" t="s">
        <v>41</v>
      </c>
      <c r="G1" s="272" t="s">
        <v>42</v>
      </c>
      <c r="H1" s="274" t="s">
        <v>43</v>
      </c>
      <c r="I1" s="276" t="s">
        <v>193</v>
      </c>
      <c r="J1" s="278" t="s">
        <v>44</v>
      </c>
      <c r="K1" s="280" t="s">
        <v>45</v>
      </c>
      <c r="L1" s="282" t="s">
        <v>46</v>
      </c>
      <c r="M1" s="266" t="s">
        <v>47</v>
      </c>
      <c r="N1" s="263" t="s">
        <v>194</v>
      </c>
      <c r="AB1" s="8">
        <f>DATE(EINSTELLUNG!$C$35,$A$1,1)</f>
        <v>46327</v>
      </c>
    </row>
    <row r="2" spans="1:28" ht="16" customHeight="1" thickBot="1">
      <c r="A2" s="60"/>
      <c r="B2" s="262"/>
      <c r="C2" s="271"/>
      <c r="D2" s="269"/>
      <c r="E2" s="269"/>
      <c r="F2" s="269"/>
      <c r="G2" s="273"/>
      <c r="H2" s="275"/>
      <c r="I2" s="277"/>
      <c r="J2" s="279"/>
      <c r="K2" s="281"/>
      <c r="L2" s="283"/>
      <c r="M2" s="267"/>
      <c r="N2" s="263"/>
      <c r="AB2" s="8">
        <f>EOMONTH(DATE(EINSTELLUNG!$C$35,$A$1,1),0)</f>
        <v>46356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02" t="s">
        <v>49</v>
      </c>
      <c r="P3" s="202" t="s">
        <v>50</v>
      </c>
      <c r="Q3" s="200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03"/>
      <c r="P4" s="203"/>
      <c r="Q4" s="201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97" t="str">
        <f>IF(Q5&lt;0, "Schlecht! Zu wenig Urlaub abgebaut.", IF(Q5&gt;0, "Gut! Mehr Urlaub abgebaut als aufgebaut.", ""))</f>
        <v>Schlecht! Zu wenig Urlaub abgebaut.</v>
      </c>
      <c r="P6" s="198"/>
      <c r="Q6" s="198"/>
      <c r="R6" s="199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05" t="s">
        <v>58</v>
      </c>
      <c r="P8" s="206"/>
      <c r="Q8" s="207">
        <f>SUM(H3:H82)</f>
        <v>8551.9599999999991</v>
      </c>
      <c r="R8" s="207"/>
    </row>
    <row r="9" spans="1:28" ht="16" customHeight="1">
      <c r="A9" s="61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05" t="s">
        <v>60</v>
      </c>
      <c r="P9" s="206"/>
      <c r="Q9" s="207">
        <f>EINSTELLUNG!L32</f>
        <v>11</v>
      </c>
      <c r="R9" s="207"/>
      <c r="S9" s="19">
        <f>IFERROR(Q9/Q8, 0)</f>
        <v>1.2862548468421276E-3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05" t="s">
        <v>62</v>
      </c>
      <c r="P10" s="206"/>
      <c r="Q10" s="207">
        <f>EINSTELLUNG!I32</f>
        <v>11</v>
      </c>
      <c r="R10" s="207"/>
    </row>
    <row r="11" spans="1:28" ht="16" customHeight="1">
      <c r="A11" s="62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05" t="s">
        <v>64</v>
      </c>
      <c r="P11" s="206"/>
      <c r="Q11" s="207">
        <f>P5</f>
        <v>11</v>
      </c>
      <c r="R11" s="207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05" t="s">
        <v>68</v>
      </c>
      <c r="P12" s="206"/>
      <c r="Q12" s="207">
        <f>Q8-Q9-Q10-Q11</f>
        <v>8518.9599999999991</v>
      </c>
      <c r="R12" s="207"/>
    </row>
    <row r="13" spans="1:28" ht="16" customHeight="1">
      <c r="A13" s="61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05" t="s">
        <v>70</v>
      </c>
      <c r="P13" s="206"/>
      <c r="Q13" s="207">
        <f>EINSTELLUNG!L16</f>
        <v>11</v>
      </c>
      <c r="R13" s="207"/>
    </row>
    <row r="14" spans="1:28" ht="16" customHeight="1">
      <c r="A14" s="62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05" t="s">
        <v>72</v>
      </c>
      <c r="P14" s="206"/>
      <c r="Q14" s="207">
        <f>Q12-Q13</f>
        <v>8507.9599999999991</v>
      </c>
      <c r="R14" s="207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30" t="str">
        <f>IF(Q14&lt;0, "Schlecht! Zu wenig Stunden für Dienstplan.", IF(Q14&gt;0, "Du hast mehr als genug Stunden für Dienstplan.", ""))</f>
        <v>Du hast mehr als genug Stunden für Dienstplan.</v>
      </c>
      <c r="P15" s="330"/>
      <c r="Q15" s="330"/>
      <c r="R15" s="330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13" t="s">
        <v>75</v>
      </c>
      <c r="P17" s="214"/>
      <c r="Q17" s="237">
        <f>SUM(L3:L82)</f>
        <v>0</v>
      </c>
      <c r="R17" s="237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95"/>
      <c r="P18" s="326"/>
      <c r="Q18" s="327"/>
      <c r="R18" s="204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95"/>
      <c r="P19" s="326"/>
      <c r="Q19" s="327"/>
      <c r="R19" s="204"/>
    </row>
    <row r="20" spans="1:29" ht="16" customHeight="1">
      <c r="A20" s="62" t="s">
        <v>78</v>
      </c>
      <c r="B20" s="101">
        <v>401564</v>
      </c>
      <c r="C20" s="68" t="s">
        <v>252</v>
      </c>
      <c r="D20" s="123">
        <v>44824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95"/>
      <c r="P20" s="326"/>
      <c r="Q20" s="327"/>
      <c r="R20" s="204"/>
    </row>
    <row r="21" spans="1:29" ht="16" customHeight="1">
      <c r="A21" s="61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95" t="s">
        <v>320</v>
      </c>
      <c r="P21" s="326"/>
      <c r="Q21" s="327">
        <v>5000</v>
      </c>
      <c r="R21" s="204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95"/>
      <c r="P22" s="326"/>
      <c r="Q22" s="327"/>
      <c r="R22" s="204"/>
    </row>
    <row r="23" spans="1:29" ht="16" customHeight="1">
      <c r="A23" s="62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95"/>
      <c r="P23" s="326"/>
      <c r="Q23" s="327"/>
      <c r="R23" s="204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95"/>
      <c r="P24" s="326"/>
      <c r="Q24" s="327"/>
      <c r="R24" s="204"/>
      <c r="W24" s="12"/>
    </row>
    <row r="25" spans="1:29" ht="16" customHeight="1" thickBot="1">
      <c r="A25" s="61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0"/>
      <c r="P25" s="328"/>
      <c r="Q25" s="329"/>
      <c r="R25" s="246"/>
    </row>
    <row r="26" spans="1:29" ht="16" customHeight="1">
      <c r="A26" s="62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6"/>
      <c r="P26" s="257"/>
      <c r="Q26" s="247"/>
      <c r="R26" s="248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11"/>
      <c r="P27" s="212"/>
      <c r="Q27" s="204"/>
      <c r="R27" s="249"/>
      <c r="S27" s="209" t="s">
        <v>87</v>
      </c>
      <c r="T27" s="210"/>
      <c r="U27" s="210"/>
      <c r="V27" s="210"/>
    </row>
    <row r="28" spans="1:29" ht="16" customHeight="1" thickBo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0"/>
      <c r="P28" s="251"/>
      <c r="Q28" s="252"/>
      <c r="R28" s="253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2" t="s">
        <v>90</v>
      </c>
      <c r="P29" s="243"/>
      <c r="Q29" s="244">
        <f>EINSTELLUNG!O16</f>
        <v>11</v>
      </c>
      <c r="R29" s="245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58">
        <v>0</v>
      </c>
      <c r="P31" s="259"/>
      <c r="Q31" s="260">
        <v>1.7857142857142856E-2</v>
      </c>
      <c r="R31" s="261"/>
    </row>
    <row r="32" spans="1:29" ht="16" customHeight="1">
      <c r="A32" s="62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26"/>
      <c r="P33" s="227"/>
      <c r="Q33" s="324" t="str">
        <f>EINSTELLUNG!B3</f>
        <v>Budget Zahlen</v>
      </c>
      <c r="R33" s="324"/>
      <c r="S33" s="325" t="str">
        <f>EINSTELLUNG!B19</f>
        <v>Projection/Aktuell Zahlen</v>
      </c>
      <c r="T33" s="325"/>
      <c r="U33" s="325" t="s">
        <v>98</v>
      </c>
      <c r="V33" s="325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26"/>
      <c r="P34" s="227"/>
      <c r="Q34" s="324"/>
      <c r="R34" s="324"/>
      <c r="S34" s="325"/>
      <c r="T34" s="325"/>
      <c r="U34" s="325"/>
      <c r="V34" s="325"/>
    </row>
    <row r="35" spans="1:24" ht="16" customHeight="1">
      <c r="A35" s="62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15" t="s">
        <v>101</v>
      </c>
      <c r="P35" s="216"/>
      <c r="Q35" s="217">
        <f>EINSTELLUNG!C16</f>
        <v>11</v>
      </c>
      <c r="R35" s="217"/>
      <c r="S35" s="217">
        <f>EINSTELLUNG!C32</f>
        <v>11</v>
      </c>
      <c r="T35" s="217"/>
      <c r="U35" s="218">
        <f>S35-Q35</f>
        <v>0</v>
      </c>
      <c r="V35" s="218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15" t="s">
        <v>103</v>
      </c>
      <c r="P36" s="216"/>
      <c r="Q36" s="217">
        <f>EINSTELLUNG!D16</f>
        <v>11</v>
      </c>
      <c r="R36" s="217"/>
      <c r="S36" s="221" cm="1">
        <f t="array" ref="S36">SumMergedCells(Q17:R29)</f>
        <v>5011</v>
      </c>
      <c r="T36" s="223"/>
      <c r="U36" s="218">
        <f t="shared" ref="U36:U41" si="2">S36-Q36</f>
        <v>5000</v>
      </c>
      <c r="V36" s="218"/>
    </row>
    <row r="37" spans="1:24" ht="16" customHeight="1">
      <c r="A37" s="61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15" t="s">
        <v>105</v>
      </c>
      <c r="P37" s="216"/>
      <c r="Q37" s="224">
        <f>IF(ISERROR(Q36/Q35), 0, Q36/Q35)</f>
        <v>1</v>
      </c>
      <c r="R37" s="224"/>
      <c r="S37" s="224">
        <f>IF(ISERROR(S36/S35), 0, S36/S35)</f>
        <v>455.54545454545456</v>
      </c>
      <c r="T37" s="224"/>
      <c r="U37" s="225">
        <f t="shared" si="2"/>
        <v>454.54545454545456</v>
      </c>
      <c r="V37" s="225"/>
    </row>
    <row r="38" spans="1:24" ht="16" customHeight="1">
      <c r="A38" s="62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15" t="s">
        <v>107</v>
      </c>
      <c r="P38" s="216"/>
      <c r="Q38" s="219">
        <f>EINSTELLUNG!F16</f>
        <v>11</v>
      </c>
      <c r="R38" s="219"/>
      <c r="S38" s="219">
        <f>EINSTELLUNG!F32</f>
        <v>11</v>
      </c>
      <c r="T38" s="219"/>
      <c r="U38" s="220">
        <f t="shared" si="2"/>
        <v>0</v>
      </c>
      <c r="V38" s="220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15" t="s">
        <v>109</v>
      </c>
      <c r="P39" s="216"/>
      <c r="Q39" s="217">
        <f>IF(Q38=0, 0, Q35/Q38)</f>
        <v>1</v>
      </c>
      <c r="R39" s="217"/>
      <c r="S39" s="217">
        <f>IF(S38=0, 0, S35/S38)</f>
        <v>1</v>
      </c>
      <c r="T39" s="217"/>
      <c r="U39" s="218">
        <f t="shared" si="2"/>
        <v>0</v>
      </c>
      <c r="V39" s="218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15" t="s">
        <v>111</v>
      </c>
      <c r="P40" s="216"/>
      <c r="Q40" s="217">
        <f>IF(Q12=0, 0, Q35/Q12)</f>
        <v>1.2912374280428598E-3</v>
      </c>
      <c r="R40" s="217"/>
      <c r="S40" s="217">
        <f>IF(Q12=0, 0, S35/Q12)</f>
        <v>1.2912374280428598E-3</v>
      </c>
      <c r="T40" s="217"/>
      <c r="U40" s="218">
        <f t="shared" si="2"/>
        <v>0</v>
      </c>
      <c r="V40" s="218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15" t="s">
        <v>113</v>
      </c>
      <c r="P41" s="216"/>
      <c r="Q41" s="219">
        <f>IF(Q12=0, 0, Q38/Q12)</f>
        <v>1.2912374280428598E-3</v>
      </c>
      <c r="R41" s="219"/>
      <c r="S41" s="219">
        <f>IF(Q12=0, 0, S38/Q12)</f>
        <v>1.2912374280428598E-3</v>
      </c>
      <c r="T41" s="219"/>
      <c r="U41" s="220">
        <f t="shared" si="2"/>
        <v>0</v>
      </c>
      <c r="V41" s="220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15" t="s">
        <v>115</v>
      </c>
      <c r="P42" s="216"/>
      <c r="Q42" s="221">
        <f>IFERROR(Q17/Q8, 0)</f>
        <v>0</v>
      </c>
      <c r="R42" s="222"/>
      <c r="S42" s="222"/>
      <c r="T42" s="222"/>
      <c r="U42" s="222"/>
      <c r="V42" s="223"/>
    </row>
    <row r="43" spans="1:24" ht="16" customHeight="1">
      <c r="A43" s="61" t="s">
        <v>116</v>
      </c>
      <c r="B43" s="101">
        <v>401737</v>
      </c>
      <c r="C43" s="70" t="s">
        <v>278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700000</v>
      </c>
      <c r="C58" s="68" t="s">
        <v>347</v>
      </c>
      <c r="D58" s="123">
        <v>46054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6">
        <v>46336</v>
      </c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 t="s">
        <v>205</v>
      </c>
    </row>
    <row r="59" spans="1:14" ht="16" customHeight="1">
      <c r="A59" s="62" t="s">
        <v>133</v>
      </c>
      <c r="B59" s="101">
        <v>800000</v>
      </c>
      <c r="C59" s="68" t="s">
        <v>348</v>
      </c>
      <c r="D59" s="123">
        <v>46082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xsordMKEqQDzVzI1sPrgQgBs5UestGow/vHsoMS7BILC8RfKtVJ7Nco5o784XbJkjWRF3TD/3UPdIEC2XlAvxw==" saltValue="I/O1gLltNO/VEcgvPcVhB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list" allowBlank="1" showInputMessage="1" showErrorMessage="1" sqref="F60" xr:uid="{47952892-4AFA-0B47-9D42-CC8EE620E929}">
      <formula1>KV_DD_NOVEMBER_60</formula1>
    </dataValidation>
    <dataValidation type="list" allowBlank="1" showInputMessage="1" showErrorMessage="1" sqref="F61" xr:uid="{2C730243-BD43-944D-91D2-B1EB14E24247}">
      <formula1>KV_DD_NOVEMBER_61</formula1>
    </dataValidation>
    <dataValidation type="list" allowBlank="1" showInputMessage="1" showErrorMessage="1" sqref="F62" xr:uid="{64E0E7BA-47A0-48AA-99DB-BFECAE248678}">
      <formula1>KV_DD_NOVEMBER_62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E3:E82" xr:uid="{559AE278-6AAE-4EA3-8BA1-1B3FF1E5D66C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62" t="s">
        <v>191</v>
      </c>
      <c r="C1" s="270" t="s">
        <v>40</v>
      </c>
      <c r="D1" s="268" t="s">
        <v>192</v>
      </c>
      <c r="E1" s="268" t="s">
        <v>0</v>
      </c>
      <c r="F1" s="268" t="s">
        <v>41</v>
      </c>
      <c r="G1" s="272" t="s">
        <v>42</v>
      </c>
      <c r="H1" s="274" t="s">
        <v>43</v>
      </c>
      <c r="I1" s="276" t="s">
        <v>193</v>
      </c>
      <c r="J1" s="278" t="s">
        <v>44</v>
      </c>
      <c r="K1" s="280" t="s">
        <v>45</v>
      </c>
      <c r="L1" s="282" t="s">
        <v>46</v>
      </c>
      <c r="M1" s="266" t="s">
        <v>47</v>
      </c>
      <c r="N1" s="263" t="s">
        <v>194</v>
      </c>
      <c r="AB1" s="8">
        <f>DATE(EINSTELLUNG!$C$35,$A$1,1)</f>
        <v>46357</v>
      </c>
    </row>
    <row r="2" spans="1:28" ht="16" customHeight="1" thickBot="1">
      <c r="A2" s="60"/>
      <c r="B2" s="262"/>
      <c r="C2" s="271"/>
      <c r="D2" s="269"/>
      <c r="E2" s="269"/>
      <c r="F2" s="269"/>
      <c r="G2" s="273"/>
      <c r="H2" s="275"/>
      <c r="I2" s="277"/>
      <c r="J2" s="279"/>
      <c r="K2" s="281"/>
      <c r="L2" s="283"/>
      <c r="M2" s="267"/>
      <c r="N2" s="263"/>
      <c r="AB2" s="8">
        <f>EOMONTH(DATE(EINSTELLUNG!$C$35,$A$1,1),0)</f>
        <v>46387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02" t="s">
        <v>49</v>
      </c>
      <c r="P3" s="202" t="s">
        <v>50</v>
      </c>
      <c r="Q3" s="200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03"/>
      <c r="P4" s="203"/>
      <c r="Q4" s="201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97" t="str">
        <f>IF(Q5&lt;0, "Schlecht! Zu wenig Urlaub abgebaut.", IF(Q5&gt;0, "Gut! Mehr Urlaub abgebaut als aufgebaut.", ""))</f>
        <v>Schlecht! Zu wenig Urlaub abgebaut.</v>
      </c>
      <c r="P6" s="198"/>
      <c r="Q6" s="198"/>
      <c r="R6" s="199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05" t="s">
        <v>58</v>
      </c>
      <c r="P8" s="206"/>
      <c r="Q8" s="207">
        <f>SUM(H3:H82)</f>
        <v>8494.2999999999993</v>
      </c>
      <c r="R8" s="207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05" t="s">
        <v>60</v>
      </c>
      <c r="P9" s="206"/>
      <c r="Q9" s="207">
        <f>EINSTELLUNG!L33</f>
        <v>12</v>
      </c>
      <c r="R9" s="207"/>
      <c r="S9" s="19">
        <f>IFERROR(Q9/Q8, 0)</f>
        <v>1.4127120539656006E-3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05" t="s">
        <v>62</v>
      </c>
      <c r="P10" s="206"/>
      <c r="Q10" s="207">
        <f>EINSTELLUNG!I33</f>
        <v>12</v>
      </c>
      <c r="R10" s="207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05" t="s">
        <v>64</v>
      </c>
      <c r="P11" s="206"/>
      <c r="Q11" s="207">
        <f>P5</f>
        <v>12</v>
      </c>
      <c r="R11" s="207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05" t="s">
        <v>66</v>
      </c>
      <c r="P12" s="206"/>
      <c r="Q12" s="236">
        <v>-303</v>
      </c>
      <c r="R12" s="236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05" t="s">
        <v>68</v>
      </c>
      <c r="P13" s="206"/>
      <c r="Q13" s="207">
        <f>Q8-Q9-Q10-Q11-Q12</f>
        <v>8761.2999999999993</v>
      </c>
      <c r="R13" s="207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05" t="s">
        <v>70</v>
      </c>
      <c r="P14" s="206"/>
      <c r="Q14" s="207">
        <f>EINSTELLUNG!L17</f>
        <v>12</v>
      </c>
      <c r="R14" s="207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05" t="s">
        <v>72</v>
      </c>
      <c r="P15" s="206"/>
      <c r="Q15" s="207">
        <f>Q13-Q14</f>
        <v>8749.2999999999993</v>
      </c>
      <c r="R15" s="207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08" t="str">
        <f>IF(Q15&lt;0, "Schlecht! Zu wenig Stunden für Dienstplan.", IF(Q15&gt;0, "Du hast mehr als genug Stunden für Dienstplan.", ""))</f>
        <v>Du hast mehr als genug Stunden für Dienstplan.</v>
      </c>
      <c r="P16" s="208"/>
      <c r="Q16" s="208"/>
      <c r="R16" s="20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13" t="s">
        <v>75</v>
      </c>
      <c r="P17" s="214"/>
      <c r="Q17" s="237">
        <f>SUM(L3:L82)</f>
        <v>0</v>
      </c>
      <c r="R17" s="237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95"/>
      <c r="P18" s="326"/>
      <c r="Q18" s="327"/>
      <c r="R18" s="204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95"/>
      <c r="P19" s="326"/>
      <c r="Q19" s="327"/>
      <c r="R19" s="204"/>
    </row>
    <row r="20" spans="1:29" ht="16" customHeight="1">
      <c r="A20" s="61" t="s">
        <v>78</v>
      </c>
      <c r="B20" s="101">
        <v>401564</v>
      </c>
      <c r="C20" s="70" t="s">
        <v>252</v>
      </c>
      <c r="D20" s="123">
        <v>44824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95"/>
      <c r="P20" s="326"/>
      <c r="Q20" s="327"/>
      <c r="R20" s="204"/>
    </row>
    <row r="21" spans="1:29" ht="16" customHeight="1">
      <c r="A21" s="62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95" t="s">
        <v>320</v>
      </c>
      <c r="P21" s="326"/>
      <c r="Q21" s="327">
        <v>5000</v>
      </c>
      <c r="R21" s="204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95"/>
      <c r="P22" s="326"/>
      <c r="Q22" s="327"/>
      <c r="R22" s="204"/>
    </row>
    <row r="23" spans="1:29" ht="16" customHeight="1">
      <c r="A23" s="61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95"/>
      <c r="P23" s="326"/>
      <c r="Q23" s="327"/>
      <c r="R23" s="204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95"/>
      <c r="P24" s="326"/>
      <c r="Q24" s="327"/>
      <c r="R24" s="204"/>
      <c r="W24" s="12"/>
    </row>
    <row r="25" spans="1:29" ht="16" customHeight="1" thickBot="1">
      <c r="A25" s="62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0"/>
      <c r="P25" s="328"/>
      <c r="Q25" s="329"/>
      <c r="R25" s="246"/>
    </row>
    <row r="26" spans="1:29" ht="16" customHeight="1">
      <c r="A26" s="61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6"/>
      <c r="P26" s="257"/>
      <c r="Q26" s="247"/>
      <c r="R26" s="248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11"/>
      <c r="P27" s="212"/>
      <c r="Q27" s="204"/>
      <c r="R27" s="249"/>
    </row>
    <row r="28" spans="1:29" ht="16" customHeigh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11"/>
      <c r="P28" s="212"/>
      <c r="Q28" s="204"/>
      <c r="R28" s="249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31" t="s">
        <v>90</v>
      </c>
      <c r="P29" s="332"/>
      <c r="Q29" s="333">
        <f>EINSTELLUNG!O17</f>
        <v>12</v>
      </c>
      <c r="R29" s="334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58">
        <v>0</v>
      </c>
      <c r="P31" s="259"/>
      <c r="Q31" s="260">
        <v>0</v>
      </c>
      <c r="R31" s="261"/>
    </row>
    <row r="32" spans="1:29" ht="16" customHeight="1">
      <c r="A32" s="61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26"/>
      <c r="P33" s="227"/>
      <c r="Q33" s="324" t="str">
        <f>EINSTELLUNG!B3</f>
        <v>Budget Zahlen</v>
      </c>
      <c r="R33" s="324"/>
      <c r="S33" s="325" t="str">
        <f>EINSTELLUNG!B19</f>
        <v>Projection/Aktuell Zahlen</v>
      </c>
      <c r="T33" s="325"/>
      <c r="U33" s="325" t="s">
        <v>98</v>
      </c>
      <c r="V33" s="325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26"/>
      <c r="P34" s="227"/>
      <c r="Q34" s="324"/>
      <c r="R34" s="324"/>
      <c r="S34" s="325"/>
      <c r="T34" s="325"/>
      <c r="U34" s="325"/>
      <c r="V34" s="325"/>
    </row>
    <row r="35" spans="1:24" ht="16" customHeight="1">
      <c r="A35" s="61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15" t="s">
        <v>101</v>
      </c>
      <c r="P35" s="216"/>
      <c r="Q35" s="217">
        <f>EINSTELLUNG!C17</f>
        <v>12</v>
      </c>
      <c r="R35" s="217"/>
      <c r="S35" s="217">
        <f>EINSTELLUNG!C33</f>
        <v>12</v>
      </c>
      <c r="T35" s="217"/>
      <c r="U35" s="218">
        <f>S35-Q35</f>
        <v>0</v>
      </c>
      <c r="V35" s="218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15" t="s">
        <v>103</v>
      </c>
      <c r="P36" s="216"/>
      <c r="Q36" s="217">
        <f>EINSTELLUNG!D17</f>
        <v>12</v>
      </c>
      <c r="R36" s="217"/>
      <c r="S36" s="221" cm="1">
        <f t="array" ref="S36">SumMergedCells(Q17:R29)</f>
        <v>5012</v>
      </c>
      <c r="T36" s="223"/>
      <c r="U36" s="218">
        <f t="shared" ref="U36:U41" si="2">S36-Q36</f>
        <v>5000</v>
      </c>
      <c r="V36" s="218"/>
    </row>
    <row r="37" spans="1:24" ht="16" customHeight="1">
      <c r="A37" s="62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15" t="s">
        <v>105</v>
      </c>
      <c r="P37" s="216"/>
      <c r="Q37" s="224">
        <f>IF(ISERROR(Q36/Q35), 0, Q36/Q35)</f>
        <v>1</v>
      </c>
      <c r="R37" s="224"/>
      <c r="S37" s="224">
        <f>IF(ISERROR(S36/S35), 0, S36/S35)</f>
        <v>417.66666666666669</v>
      </c>
      <c r="T37" s="224"/>
      <c r="U37" s="225">
        <f t="shared" si="2"/>
        <v>416.66666666666669</v>
      </c>
      <c r="V37" s="225"/>
    </row>
    <row r="38" spans="1:24" ht="16" customHeight="1">
      <c r="A38" s="61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15" t="s">
        <v>107</v>
      </c>
      <c r="P38" s="216"/>
      <c r="Q38" s="219">
        <f>EINSTELLUNG!F17</f>
        <v>12</v>
      </c>
      <c r="R38" s="219"/>
      <c r="S38" s="219">
        <f>EINSTELLUNG!F33</f>
        <v>12</v>
      </c>
      <c r="T38" s="219"/>
      <c r="U38" s="220">
        <f t="shared" si="2"/>
        <v>0</v>
      </c>
      <c r="V38" s="220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15" t="s">
        <v>109</v>
      </c>
      <c r="P39" s="216"/>
      <c r="Q39" s="217">
        <f>IF(Q38=0, 0, Q35/Q38)</f>
        <v>1</v>
      </c>
      <c r="R39" s="217"/>
      <c r="S39" s="217">
        <f>IF(S38=0, 0, S35/S38)</f>
        <v>1</v>
      </c>
      <c r="T39" s="217"/>
      <c r="U39" s="218">
        <f t="shared" si="2"/>
        <v>0</v>
      </c>
      <c r="V39" s="218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15" t="s">
        <v>111</v>
      </c>
      <c r="P40" s="216"/>
      <c r="Q40" s="217">
        <f>IF(Q13=0, 0, Q35/Q13)</f>
        <v>1.369659753689521E-3</v>
      </c>
      <c r="R40" s="217"/>
      <c r="S40" s="217">
        <f>IF(Q13=0, 0, S35/Q13)</f>
        <v>1.369659753689521E-3</v>
      </c>
      <c r="T40" s="217"/>
      <c r="U40" s="218">
        <f t="shared" si="2"/>
        <v>0</v>
      </c>
      <c r="V40" s="218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15" t="s">
        <v>113</v>
      </c>
      <c r="P41" s="216"/>
      <c r="Q41" s="219">
        <f>IF(Q13=0, 0, Q38/Q13)</f>
        <v>1.369659753689521E-3</v>
      </c>
      <c r="R41" s="219"/>
      <c r="S41" s="219">
        <f>IF(Q13=0, 0, S38/Q13)</f>
        <v>1.369659753689521E-3</v>
      </c>
      <c r="T41" s="219"/>
      <c r="U41" s="220">
        <f t="shared" si="2"/>
        <v>0</v>
      </c>
      <c r="V41" s="220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15" t="s">
        <v>115</v>
      </c>
      <c r="P42" s="216"/>
      <c r="Q42" s="221">
        <f>IFERROR(Q17/Q8, 0)</f>
        <v>0</v>
      </c>
      <c r="R42" s="222"/>
      <c r="S42" s="222"/>
      <c r="T42" s="222"/>
      <c r="U42" s="222"/>
      <c r="V42" s="223"/>
    </row>
    <row r="43" spans="1:24" ht="16" customHeight="1">
      <c r="A43" s="61" t="s">
        <v>116</v>
      </c>
      <c r="B43" s="101">
        <v>401737</v>
      </c>
      <c r="C43" s="68" t="s">
        <v>278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800000</v>
      </c>
      <c r="C58" s="68" t="s">
        <v>348</v>
      </c>
      <c r="D58" s="123">
        <v>46082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123"/>
      <c r="E59" s="65"/>
      <c r="F59" s="67"/>
      <c r="G59" s="116"/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T2oP4of9/ot4Tl4ZNyK3PouQh+HQcMoSFU6UzOtcst1fXyI+ZR3YsTfE6Vj95i0M7TdlKYwkDNW1a5YXi79qJQ==" saltValue="L3oxSTug2fYn5adaBDm0N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list" allowBlank="1" showInputMessage="1" showErrorMessage="1" sqref="F59" xr:uid="{DA26B125-7EC3-4A46-BB4A-2238DB541D19}">
      <formula1>KV_DD_DEZEMBER_59</formula1>
    </dataValidation>
    <dataValidation type="list" allowBlank="1" showInputMessage="1" showErrorMessage="1" sqref="F60" xr:uid="{AB7185DF-96B1-4042-8DBF-5B0DD9EF5BD8}">
      <formula1>KV_DD_DEZEMBER_60</formula1>
    </dataValidation>
    <dataValidation type="list" allowBlank="1" showInputMessage="1" showErrorMessage="1" sqref="F61" xr:uid="{A790421C-31CC-D040-8784-0C758D428DE2}">
      <formula1>KV_DD_DEZEMBER_61</formula1>
    </dataValidation>
    <dataValidation type="list" allowBlank="1" showInputMessage="1" showErrorMessage="1" sqref="F62" xr:uid="{75DC9853-77AB-48E7-AB24-6116759F962C}">
      <formula1>KV_DD_DEZEMBER_62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E3:E82" xr:uid="{DB4B2416-4CB4-4A27-9B67-6CAD9EE63F3B}">
      <formula1>#REF!</formula1>
    </dataValidation>
  </dataValidations>
  <pageMargins left="0.75" right="0.75" top="1" bottom="1" header="0.5" footer="0.5"/>
  <pageSetup paperSize="9" orientation="portrait" verticalDpi="597" r:id="rId1"/>
</worksheet>
</file>

<file path=xl/worksheets/sheet16.xml><?xml version="1.0" encoding="utf-8"?>
<worksheet xmlns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ns1:Ignorable="x14ac xr xr2 xr3" ns2:uid="{0D554BC8-3E0C-4914-97A7-FEEB4759108E}">
  <sheetPr codeName="Tabelle2"/>
  <dimension ref="B2:I38"/>
  <sheetViews>
    <sheetView showGridLines="0" zoomScaleNormal="100" workbookViewId="0">
      <selection activeCell="L7" sqref="L7"/>
    </sheetView>
  </sheetViews>
  <sheetFormatPr baseColWidth="10" defaultColWidth="11.5" defaultRowHeight="14"/>
  <cols>
    <col min="1" max="1" width="4.5" style="1" customWidth="1"/>
    <col min="2" max="2" width="11.5" style="1"/>
    <col min="3" max="3" width="17.6640625" style="1" customWidth="1"/>
    <col min="4" max="4" width="17.33203125" style="1" customWidth="1"/>
    <col min="5" max="5" width="14.83203125" style="1" customWidth="1"/>
    <col min="6" max="6" width="17.83203125" style="1" customWidth="1"/>
    <col min="7" max="7" width="19.33203125" style="1" customWidth="1"/>
    <col min="8" max="8" width="15.33203125" style="1" customWidth="1"/>
    <col min="9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36" t="e">
        <f>"FINANZIELL ÜBERSICHT "&amp;#REF!</f>
        <v>#REF!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2"/>
    </row>
    <row r="3" spans="2:18" ht="15.75" customHeight="1">
      <c r="B3" s="336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2"/>
    </row>
    <row r="4" spans="2:18" ht="30" customHeight="1">
      <c r="B4" s="338"/>
      <c r="C4" s="337" t="s">
        <v>18</v>
      </c>
      <c r="D4" s="337"/>
      <c r="E4" s="337"/>
      <c r="F4" s="337" t="s">
        <v>164</v>
      </c>
      <c r="G4" s="337"/>
      <c r="H4" s="337"/>
      <c r="I4" s="337" t="s">
        <v>165</v>
      </c>
      <c r="J4" s="337"/>
      <c r="K4" s="337"/>
      <c r="L4" s="337" t="s">
        <v>166</v>
      </c>
      <c r="M4" s="337" t="s">
        <v>167</v>
      </c>
      <c r="N4" s="339" t="s">
        <v>168</v>
      </c>
      <c r="O4" s="339"/>
      <c r="P4" s="339"/>
      <c r="Q4" s="339" t="s">
        <v>93</v>
      </c>
    </row>
    <row r="5" spans="2:18" ht="30" customHeight="1">
      <c r="B5" s="338"/>
      <c r="C5" s="337"/>
      <c r="D5" s="337"/>
      <c r="E5" s="337"/>
      <c r="F5" s="337"/>
      <c r="G5" s="337"/>
      <c r="H5" s="337"/>
      <c r="I5" s="337"/>
      <c r="J5" s="337"/>
      <c r="K5" s="337"/>
      <c r="L5" s="337"/>
      <c r="M5" s="337"/>
      <c r="N5" s="339"/>
      <c r="O5" s="339"/>
      <c r="P5" s="339"/>
      <c r="Q5" s="339"/>
    </row>
    <row r="6" spans="2:18" ht="30" customHeight="1">
      <c r="B6" s="338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37"/>
      <c r="M6" s="337"/>
      <c r="N6" s="25" t="s">
        <v>172</v>
      </c>
      <c r="O6" s="25" t="s">
        <v>173</v>
      </c>
      <c r="P6" s="26" t="s">
        <v>171</v>
      </c>
      <c r="Q6" s="339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5001</v>
      </c>
      <c r="H7" s="48">
        <f>G7-F7</f>
        <v>5000</v>
      </c>
      <c r="I7" s="31">
        <f>EINSTELLUNG!E6</f>
        <v>1</v>
      </c>
      <c r="J7" s="31">
        <f>EINSTELLUNG!E22</f>
        <v>5001</v>
      </c>
      <c r="K7" s="32">
        <f>J7-I7</f>
        <v>5000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5002</v>
      </c>
      <c r="H8" s="48">
        <f>G8-F8</f>
        <v>5000</v>
      </c>
      <c r="I8" s="31">
        <f>EINSTELLUNG!E7</f>
        <v>1</v>
      </c>
      <c r="J8" s="31">
        <f>EINSTELLUNG!E23</f>
        <v>2501</v>
      </c>
      <c r="K8" s="32">
        <f t="shared" ref="K8:K22" si="0">J8-I8</f>
        <v>2500</v>
      </c>
      <c r="L8" s="30">
        <f>Februar!S40</f>
        <v>2.329479209980421E-4</v>
      </c>
      <c r="M8" s="27">
        <f>Februar!S41</f>
        <v>2.329479209980421E-4</v>
      </c>
      <c r="N8" s="27">
        <f>Februar!O5</f>
        <v>842.66960625479021</v>
      </c>
      <c r="O8" s="27">
        <f>Februar!P5</f>
        <v>2</v>
      </c>
      <c r="P8" s="50">
        <f t="shared" ref="P8:P23" si="1">O8-N8</f>
        <v>-840.66960625479021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5003</v>
      </c>
      <c r="H9" s="48">
        <f>G9-F9</f>
        <v>5000</v>
      </c>
      <c r="I9" s="31">
        <f>EINSTELLUNG!E8</f>
        <v>1</v>
      </c>
      <c r="J9" s="31">
        <f>EINSTELLUNG!E24</f>
        <v>1667.6666666666667</v>
      </c>
      <c r="K9" s="32">
        <f>J9-I9</f>
        <v>1666.6666666666667</v>
      </c>
      <c r="L9" s="30">
        <f>Marz!S40</f>
        <v>3.2467462191640276E-4</v>
      </c>
      <c r="M9" s="27">
        <f>Marz!S41</f>
        <v>3.2467462191640276E-4</v>
      </c>
      <c r="N9" s="27">
        <f>Marz!O5</f>
        <v>861.45075354782682</v>
      </c>
      <c r="O9" s="27">
        <f>Marz!P5</f>
        <v>3</v>
      </c>
      <c r="P9" s="50">
        <f t="shared" si="1"/>
        <v>-858.45075354782682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15006</v>
      </c>
      <c r="H10" s="49">
        <f>G10-F10</f>
        <v>15000</v>
      </c>
      <c r="I10" s="35">
        <f>AVERAGE(I7:I9)</f>
        <v>1</v>
      </c>
      <c r="J10" s="35">
        <f>AVERAGE(J7:J9)</f>
        <v>3056.5555555555552</v>
      </c>
      <c r="K10" s="36">
        <f>J10-I10</f>
        <v>3055.5555555555552</v>
      </c>
      <c r="L10" s="34">
        <f>AVERAGE(L7:L9)</f>
        <v>2.3036727119456996E-4</v>
      </c>
      <c r="M10" s="29">
        <f>AVERAGE(M7:M9)</f>
        <v>2.3036727119456996E-4</v>
      </c>
      <c r="N10" s="29">
        <f>SUM(N7:N9)</f>
        <v>2428.6739005773393</v>
      </c>
      <c r="O10" s="29">
        <f>SUM(O7:O9)</f>
        <v>6</v>
      </c>
      <c r="P10" s="51">
        <f t="shared" si="1"/>
        <v>-2422.6739005773393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5004</v>
      </c>
      <c r="H11" s="48">
        <f>G11-F11</f>
        <v>5000</v>
      </c>
      <c r="I11" s="31">
        <f>EINSTELLUNG!E9</f>
        <v>1</v>
      </c>
      <c r="J11" s="31">
        <f>EINSTELLUNG!E25</f>
        <v>1251</v>
      </c>
      <c r="K11" s="32">
        <f t="shared" si="0"/>
        <v>1250</v>
      </c>
      <c r="L11" s="30">
        <f>April!S40</f>
        <v>4.4146212254988527E-4</v>
      </c>
      <c r="M11" s="27">
        <f>April!S41</f>
        <v>4.4146212254988527E-4</v>
      </c>
      <c r="N11" s="27">
        <f>April!O5</f>
        <v>855.94051045650838</v>
      </c>
      <c r="O11" s="27">
        <f>April!P5</f>
        <v>4</v>
      </c>
      <c r="P11" s="50">
        <f t="shared" si="1"/>
        <v>-851.94051045650838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5005</v>
      </c>
      <c r="H12" s="48">
        <f t="shared" ref="H12:H23" si="3">G12-F12</f>
        <v>5000</v>
      </c>
      <c r="I12" s="31">
        <f>EINSTELLUNG!E10</f>
        <v>1</v>
      </c>
      <c r="J12" s="31">
        <f>EINSTELLUNG!E26</f>
        <v>1001</v>
      </c>
      <c r="K12" s="32">
        <f t="shared" si="0"/>
        <v>1000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5006</v>
      </c>
      <c r="H13" s="48">
        <f t="shared" si="3"/>
        <v>5000</v>
      </c>
      <c r="I13" s="31">
        <f>EINSTELLUNG!E11</f>
        <v>1</v>
      </c>
      <c r="J13" s="31">
        <f>EINSTELLUNG!E27</f>
        <v>834.33333333333337</v>
      </c>
      <c r="K13" s="32">
        <f t="shared" si="0"/>
        <v>833.33333333333337</v>
      </c>
      <c r="L13" s="30">
        <f>Juni!S40</f>
        <v>1.3574660633484163E-2</v>
      </c>
      <c r="M13" s="27">
        <f>Juni!S41</f>
        <v>1.3574660633484163E-2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15015</v>
      </c>
      <c r="H14" s="49">
        <f t="shared" si="3"/>
        <v>15000</v>
      </c>
      <c r="I14" s="35">
        <f>AVERAGE(I11:I13)</f>
        <v>1</v>
      </c>
      <c r="J14" s="35">
        <f>AVERAGE(J11:J13)</f>
        <v>1028.7777777777778</v>
      </c>
      <c r="K14" s="36">
        <f t="shared" si="0"/>
        <v>1027.7777777777778</v>
      </c>
      <c r="L14" s="34">
        <f>AVERAGE(L11:L13)</f>
        <v>4.8516633953414644E-3</v>
      </c>
      <c r="M14" s="29">
        <f>AVERAGE(M11:M13)</f>
        <v>4.8516633953414644E-3</v>
      </c>
      <c r="N14" s="29">
        <f>SUM(N11:N13)</f>
        <v>2658.1422322682897</v>
      </c>
      <c r="O14" s="29">
        <f>SUM(O11:O13)</f>
        <v>15</v>
      </c>
      <c r="P14" s="51">
        <f t="shared" si="1"/>
        <v>-2643.1422322682897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5007</v>
      </c>
      <c r="H15" s="48">
        <f t="shared" si="3"/>
        <v>5000</v>
      </c>
      <c r="I15" s="31">
        <f>EINSTELLUNG!E12</f>
        <v>1</v>
      </c>
      <c r="J15" s="31">
        <f>EINSTELLUNG!E28</f>
        <v>715.28571428571433</v>
      </c>
      <c r="K15" s="32">
        <f t="shared" si="0"/>
        <v>714.28571428571433</v>
      </c>
      <c r="L15" s="30">
        <f>Juli!S40</f>
        <v>7.637452320476229E-4</v>
      </c>
      <c r="M15" s="27">
        <f>Juli!S41</f>
        <v>7.637452320476229E-4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5008</v>
      </c>
      <c r="H16" s="48">
        <f t="shared" si="3"/>
        <v>5000</v>
      </c>
      <c r="I16" s="31">
        <f>EINSTELLUNG!E13</f>
        <v>1</v>
      </c>
      <c r="J16" s="31">
        <f>EINSTELLUNG!E29</f>
        <v>626</v>
      </c>
      <c r="K16" s="32">
        <f t="shared" si="0"/>
        <v>625</v>
      </c>
      <c r="L16" s="30">
        <f>August!S40</f>
        <v>8.8146596604813461E-4</v>
      </c>
      <c r="M16" s="27">
        <f>August!S41</f>
        <v>8.8146596604813461E-4</v>
      </c>
      <c r="N16" s="27">
        <f>August!O5</f>
        <v>886.49292661607774</v>
      </c>
      <c r="O16" s="27">
        <f>August!P5</f>
        <v>8</v>
      </c>
      <c r="P16" s="50">
        <f t="shared" si="1"/>
        <v>-878.49292661607774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5009</v>
      </c>
      <c r="H17" s="48">
        <f t="shared" si="3"/>
        <v>5000</v>
      </c>
      <c r="I17" s="31">
        <f>EINSTELLUNG!E14</f>
        <v>1</v>
      </c>
      <c r="J17" s="31">
        <f>EINSTELLUNG!E30</f>
        <v>556.55555555555554</v>
      </c>
      <c r="K17" s="32">
        <f t="shared" si="0"/>
        <v>555.55555555555554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15024</v>
      </c>
      <c r="H18" s="49">
        <f t="shared" si="3"/>
        <v>15000</v>
      </c>
      <c r="I18" s="35">
        <f>AVERAGE(I15:I17)</f>
        <v>1</v>
      </c>
      <c r="J18" s="35">
        <f>AVERAGE(J15:J17)</f>
        <v>632.61375661375666</v>
      </c>
      <c r="K18" s="36">
        <f t="shared" si="0"/>
        <v>631.61375661375666</v>
      </c>
      <c r="L18" s="34">
        <f>AVERAGE(L15:L17)</f>
        <v>8.9307443431026602E-4</v>
      </c>
      <c r="M18" s="29">
        <f>AVERAGE(M15:M17)</f>
        <v>8.9307443431026602E-4</v>
      </c>
      <c r="N18" s="29">
        <f>SUM(N15:N17)</f>
        <v>2659.4787798482334</v>
      </c>
      <c r="O18" s="29">
        <f>SUM(O15:O17)</f>
        <v>24</v>
      </c>
      <c r="P18" s="51">
        <f t="shared" si="1"/>
        <v>-2635.4787798482334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5010</v>
      </c>
      <c r="H19" s="48">
        <f t="shared" si="3"/>
        <v>5000</v>
      </c>
      <c r="I19" s="31">
        <f>EINSTELLUNG!E15</f>
        <v>1</v>
      </c>
      <c r="J19" s="31">
        <f>EINSTELLUNG!E31</f>
        <v>501</v>
      </c>
      <c r="K19" s="32">
        <f t="shared" si="0"/>
        <v>500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5011</v>
      </c>
      <c r="H20" s="48">
        <f t="shared" si="3"/>
        <v>5000</v>
      </c>
      <c r="I20" s="31">
        <f>EINSTELLUNG!E16</f>
        <v>1</v>
      </c>
      <c r="J20" s="31">
        <f>EINSTELLUNG!E32</f>
        <v>455.54545454545456</v>
      </c>
      <c r="K20" s="32">
        <f t="shared" si="0"/>
        <v>454.54545454545456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5012</v>
      </c>
      <c r="H21" s="48">
        <f t="shared" si="3"/>
        <v>5000</v>
      </c>
      <c r="I21" s="31">
        <f>EINSTELLUNG!E17</f>
        <v>1</v>
      </c>
      <c r="J21" s="31">
        <f>EINSTELLUNG!E33</f>
        <v>417.66666666666669</v>
      </c>
      <c r="K21" s="32">
        <f t="shared" si="0"/>
        <v>416.66666666666669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15033</v>
      </c>
      <c r="H22" s="49">
        <f t="shared" si="3"/>
        <v>15000</v>
      </c>
      <c r="I22" s="35">
        <f>AVERAGE(I19:I21)</f>
        <v>1</v>
      </c>
      <c r="J22" s="35">
        <f>AVERAGE(J19:J21)</f>
        <v>458.0707070707071</v>
      </c>
      <c r="K22" s="36">
        <f t="shared" si="0"/>
        <v>457.0707070707071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60078</v>
      </c>
      <c r="H23" s="49">
        <f t="shared" si="3"/>
        <v>60000</v>
      </c>
      <c r="I23" s="40">
        <f>AVERAGE(I10,I14,I18,I22)</f>
        <v>1</v>
      </c>
      <c r="J23" s="40">
        <f>AVERAGE(J10,J14,J18,J22)</f>
        <v>1294.0044492544491</v>
      </c>
      <c r="K23" s="36">
        <f>J23-I23</f>
        <v>1293.0044492544491</v>
      </c>
      <c r="L23" s="39">
        <f>AVERAGE(L22,L18,L14,L10)</f>
        <v>1.8100631890722015E-3</v>
      </c>
      <c r="M23" s="41">
        <f>AVERAGE(M10,M14,M18,M22)</f>
        <v>1.8100631890722017E-3</v>
      </c>
      <c r="N23" s="41">
        <f>SUM(N10,N14,N18,N22)</f>
        <v>10255.52065413259</v>
      </c>
      <c r="O23" s="41">
        <f>SUM(O10,O14,O18,O22)</f>
        <v>78</v>
      </c>
      <c r="P23" s="51">
        <f t="shared" si="1"/>
        <v>-10177.52065413259</v>
      </c>
      <c r="Q23" s="40">
        <f>AVERAGE(Q22,Q18,Q14,Q10)</f>
        <v>1.3070830405357585E-2</v>
      </c>
    </row>
    <row r="24" spans="2:17" ht="15">
      <c r="O24" s="4"/>
    </row>
    <row r="25" spans="2:17">
      <c r="B25" s="335" t="s">
        <v>190</v>
      </c>
      <c r="C25" s="335"/>
      <c r="D25" s="335"/>
      <c r="E25" s="335"/>
    </row>
    <row r="26" spans="2:17">
      <c r="B26" s="335"/>
      <c r="C26" s="335"/>
      <c r="D26" s="335"/>
      <c r="E26" s="335"/>
    </row>
    <row r="27" spans="2:17">
      <c r="B27" s="335"/>
      <c r="C27" s="335"/>
      <c r="D27" s="335"/>
      <c r="E27" s="335"/>
    </row>
    <row r="28">
      <c r="B28">
        <f> "DURCHRECHNUNGSSTUNDEN - " &amp; EINSTELLUNG!C35</f>
      </c>
    </row>
    <row r="29">
      <c r="B29" t="s">
        <v>395</v>
      </c>
    </row>
    <row r="30">
      <c r="B30" t="s">
        <v>396</v>
      </c>
      <c r="D30" t="s">
        <v>397</v>
      </c>
      <c r="F30" t="s">
        <v>398</v>
      </c>
    </row>
    <row r="31">
      <c r="B31" t="s">
        <v>399</v>
      </c>
      <c r="C31" t="s">
        <v>400</v>
      </c>
      <c r="D31" t="s">
        <v>401</v>
      </c>
      <c r="E31" t="s">
        <v>402</v>
      </c>
      <c r="F31" t="s">
        <v>403</v>
      </c>
      <c r="G31" t="s">
        <v>404</v>
      </c>
      <c r="H31" t="s">
        <v>405</v>
      </c>
      <c r="I31" t="s">
        <v>406</v>
      </c>
    </row>
    <row r="32">
      <c r="B32" t="s">
        <v>407</v>
      </c>
      <c r="C32" t="s">
        <v>408</v>
      </c>
      <c r="D32">
        <f>Februar!Q12+Marz!Q13+April!Q13</f>
      </c>
      <c r="E32">
        <f>EINSTELLUNG!L7+EINSTELLUNG!L8+EINSTELLUNG!L9</f>
      </c>
      <c r="F32">
        <f>April!Q15</f>
      </c>
      <c r="G32">
        <f>MAX(0,-F32)</f>
      </c>
      <c r="H32">
        <f>IF($C$30="","",G32*$C$30*1.5)</f>
      </c>
      <c r="I32">
        <f>IF(F32&lt;0,"ACHTUNG: Ueberstunden-Risiko",IF(F32&gt;0,"Hinweis: Reserve / Minus-Stunden moeglich","OK"))</f>
      </c>
    </row>
    <row r="33">
      <c r="B33" t="s">
        <v>409</v>
      </c>
      <c r="C33" t="s">
        <v>410</v>
      </c>
      <c r="D33">
        <f>Mai!Q12+Juni!Q13+Juli!Q13</f>
      </c>
      <c r="E33">
        <f>EINSTELLUNG!L10+EINSTELLUNG!L11+EINSTELLUNG!L12</f>
      </c>
      <c r="F33">
        <f>Juli!Q15</f>
      </c>
      <c r="G33">
        <f>MAX(0,-F33)</f>
      </c>
      <c r="H33">
        <f>IF($C$30="","",G33*$C$30*1.5)</f>
      </c>
      <c r="I33">
        <f>IF(F33&lt;0,"ACHTUNG: Ueberstunden-Risiko",IF(F33&gt;0,"Hinweis: Reserve / Minus-Stunden moeglich","OK"))</f>
      </c>
    </row>
    <row r="34">
      <c r="B34" t="s">
        <v>411</v>
      </c>
      <c r="C34" t="s">
        <v>412</v>
      </c>
      <c r="D34">
        <f>August!Q12+September!Q13+Oktober!Q13</f>
      </c>
      <c r="E34">
        <f>EINSTELLUNG!L13+EINSTELLUNG!L14+EINSTELLUNG!L15</f>
      </c>
      <c r="F34">
        <f>Oktober!Q15</f>
      </c>
      <c r="G34">
        <f>MAX(0,-F34)</f>
      </c>
      <c r="H34">
        <f>IF($C$30="","",G34*$C$30*1.5)</f>
      </c>
      <c r="I34">
        <f>IF(F34&lt;0,"ACHTUNG: Ueberstunden-Risiko",IF(F34&gt;0,"Hinweis: Reserve / Minus-Stunden moeglich","OK"))</f>
      </c>
    </row>
    <row r="35">
      <c r="B35" t="s">
        <v>413</v>
      </c>
      <c r="C35" t="s">
        <v>414</v>
      </c>
      <c r="D35">
        <f>November!Q12+Dezember!Q13+$E$30</f>
      </c>
      <c r="E35">
        <f>EINSTELLUNG!L16+EINSTELLUNG!L17+$G$30</f>
      </c>
      <c r="F35">
        <f>D35-E35</f>
      </c>
      <c r="G35">
        <f>MAX(0,-F35)</f>
      </c>
      <c r="H35">
        <f>IF($C$30="","",G35*$C$30*1.5)</f>
      </c>
      <c r="I35">
        <f>IF(F35&lt;0,"ACHTUNG: Ueberstunden-Risiko",IF(F35&gt;0,"Hinweis: Reserve / Minus-Stunden moeglich","OK"))</f>
      </c>
    </row>
    <row r="38">
      <c r="B38" t="s">
        <v>415</v>
      </c>
    </row>
  </sheetData>
  <sheetProtection algorithmName="SHA-512" hashValue="fDsBpFOhgLAHu71BKKdy5d4kWEfXQ4lPKqtaGknm196vZfm+udRSSdLMowkeGnZc/+WWoh/C7ALpqbcDXi+vuA==" saltValue="0UtwSoW7IFBrwTlcnY65QQ==" spinCount="100000" sheet="1" objects="1" scenarios="1" selectLockedCells="1" sort="0" autoFilter="0"/>
  <mergeCells count="13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  <mergeCell ref="B28:I28"/>
    <mergeCell ref="B29:I29"/>
    <mergeCell ref="B38:I38"/>
  </mergeCells>
  <pageMargins left="0.7" right="0.7" top="0.78740157499999996" bottom="0.78740157499999996" header="0.3" footer="0.3"/>
  <drawing ns3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CM3q+/ClTW/GixYE171SlQHzcecPsovuK8C4+DIePl+Ie1Uvd0Ua1b/Oo28RVNSq3crwVtQlZz06rbDk+j8ruw==" saltValue="TxbTTRxrzuAVLg4sUC/wbw==" spinCount="100000" sheet="1" objects="1" scenarios="1"/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342" customWidth="1"/>
    <col min="2" max="2" width="20.83203125" style="342" customWidth="1"/>
    <col min="3" max="5" width="26.83203125" style="342" customWidth="1"/>
    <col min="6" max="7" width="18.83203125" style="342" customWidth="1"/>
    <col min="8" max="8" width="22.83203125" style="342" customWidth="1"/>
    <col min="9" max="12" width="36.83203125" style="342" customWidth="1"/>
    <col min="13" max="15" width="10.83203125" style="342"/>
    <col min="16" max="19" width="2.83203125" style="342" customWidth="1"/>
    <col min="20" max="16384" width="10.83203125" style="342"/>
  </cols>
  <sheetData>
    <row r="1" spans="1:17" ht="44" customHeight="1">
      <c r="A1" s="344" t="s">
        <v>362</v>
      </c>
      <c r="B1" s="345"/>
      <c r="C1" s="345"/>
      <c r="D1" s="345"/>
      <c r="E1" s="345"/>
      <c r="P1" s="342" t="s">
        <v>217</v>
      </c>
      <c r="Q1" s="342" t="s">
        <v>229</v>
      </c>
    </row>
    <row r="2" spans="1:17" ht="15" customHeight="1">
      <c r="A2" s="346" t="s">
        <v>363</v>
      </c>
      <c r="B2" s="346">
        <v>2026</v>
      </c>
      <c r="C2" s="346" t="s">
        <v>364</v>
      </c>
      <c r="D2" s="347" t="s">
        <v>394</v>
      </c>
      <c r="P2" s="342" t="s">
        <v>289</v>
      </c>
      <c r="Q2" s="342">
        <v>1</v>
      </c>
    </row>
    <row r="3" spans="1:17" ht="15" customHeight="1">
      <c r="P3" s="342" t="s">
        <v>349</v>
      </c>
      <c r="Q3" s="342">
        <v>1</v>
      </c>
    </row>
    <row r="4" spans="1:17" ht="15" customHeight="1" thickBot="1">
      <c r="A4" s="348" t="s">
        <v>365</v>
      </c>
      <c r="B4" s="343"/>
      <c r="C4" s="343"/>
      <c r="D4" s="343"/>
      <c r="E4" s="343"/>
      <c r="P4" s="342" t="s">
        <v>321</v>
      </c>
      <c r="Q4" s="342">
        <v>1</v>
      </c>
    </row>
    <row r="5" spans="1:17" ht="30" customHeight="1">
      <c r="A5" s="350" t="s">
        <v>300</v>
      </c>
      <c r="B5" s="340" t="s">
        <v>360</v>
      </c>
      <c r="C5" s="352" t="s">
        <v>366</v>
      </c>
      <c r="D5" s="353"/>
      <c r="E5" s="354"/>
      <c r="P5" s="342" t="s">
        <v>182</v>
      </c>
      <c r="Q5" s="342">
        <v>1</v>
      </c>
    </row>
    <row r="6" spans="1:17" ht="30" customHeight="1" thickBot="1">
      <c r="A6" s="351"/>
      <c r="B6" s="351"/>
      <c r="C6" s="355"/>
      <c r="D6" s="356"/>
      <c r="E6" s="357"/>
      <c r="P6" s="342" t="s">
        <v>183</v>
      </c>
      <c r="Q6" s="342">
        <v>2</v>
      </c>
    </row>
    <row r="7" spans="1:17" ht="15" customHeight="1">
      <c r="P7" s="342" t="s">
        <v>184</v>
      </c>
      <c r="Q7" s="342">
        <v>1</v>
      </c>
    </row>
    <row r="8" spans="1:17" ht="30" customHeight="1">
      <c r="A8" s="359" t="s">
        <v>223</v>
      </c>
      <c r="B8" s="359" t="s">
        <v>367</v>
      </c>
      <c r="C8" s="359" t="s">
        <v>225</v>
      </c>
      <c r="D8" s="359" t="s">
        <v>368</v>
      </c>
      <c r="E8" s="359" t="s">
        <v>369</v>
      </c>
      <c r="P8" s="342" t="s">
        <v>186</v>
      </c>
      <c r="Q8" s="342">
        <v>1</v>
      </c>
    </row>
    <row r="9" spans="1:17" ht="22" customHeight="1">
      <c r="A9" s="360">
        <v>9</v>
      </c>
      <c r="B9" s="361">
        <v>5.1724137931034482E-2</v>
      </c>
      <c r="C9" s="362">
        <v>8.25</v>
      </c>
      <c r="D9" s="360">
        <v>6</v>
      </c>
      <c r="E9" s="360">
        <v>0</v>
      </c>
      <c r="P9" s="342" t="s">
        <v>187</v>
      </c>
      <c r="Q9" s="342">
        <v>1</v>
      </c>
    </row>
    <row r="11" spans="1:17" ht="15" customHeight="1">
      <c r="A11" s="363" t="s">
        <v>370</v>
      </c>
    </row>
    <row r="12" spans="1:17" ht="22" customHeight="1">
      <c r="A12" s="358" t="s">
        <v>371</v>
      </c>
      <c r="B12" s="358" t="s">
        <v>372</v>
      </c>
      <c r="C12" s="358" t="s">
        <v>373</v>
      </c>
      <c r="D12" s="364" t="s">
        <v>374</v>
      </c>
      <c r="E12" s="364"/>
    </row>
    <row r="13" spans="1:17" ht="57.25" customHeight="1">
      <c r="A13" s="360">
        <v>1</v>
      </c>
      <c r="B13" s="366" t="s">
        <v>230</v>
      </c>
      <c r="C13" s="366" t="s">
        <v>388</v>
      </c>
      <c r="D13" s="367" t="s">
        <v>375</v>
      </c>
      <c r="E13" s="367"/>
    </row>
    <row r="14" spans="1:17" ht="73" customHeight="1">
      <c r="A14" s="360">
        <v>2</v>
      </c>
      <c r="B14" s="366" t="s">
        <v>230</v>
      </c>
      <c r="C14" s="366" t="s">
        <v>389</v>
      </c>
      <c r="D14" s="367" t="s">
        <v>375</v>
      </c>
      <c r="E14" s="367"/>
    </row>
    <row r="15" spans="1:17" ht="73" customHeight="1">
      <c r="A15" s="360">
        <v>3</v>
      </c>
      <c r="B15" s="366" t="s">
        <v>376</v>
      </c>
      <c r="C15" s="366" t="s">
        <v>390</v>
      </c>
      <c r="D15" s="367" t="s">
        <v>377</v>
      </c>
      <c r="E15" s="367"/>
    </row>
    <row r="16" spans="1:17" ht="57.25" customHeight="1">
      <c r="A16" s="360">
        <v>4</v>
      </c>
      <c r="B16" s="366" t="s">
        <v>231</v>
      </c>
      <c r="C16" s="366" t="s">
        <v>391</v>
      </c>
      <c r="D16" s="367" t="s">
        <v>378</v>
      </c>
      <c r="E16" s="367"/>
    </row>
    <row r="17" spans="1:17" ht="57.25" customHeight="1">
      <c r="A17" s="360">
        <v>5</v>
      </c>
      <c r="B17" s="366" t="s">
        <v>376</v>
      </c>
      <c r="C17" s="366" t="s">
        <v>392</v>
      </c>
      <c r="D17" s="367" t="s">
        <v>377</v>
      </c>
      <c r="E17" s="367"/>
    </row>
    <row r="18" spans="1:17" ht="57.25" customHeight="1">
      <c r="A18" s="360">
        <v>6</v>
      </c>
      <c r="B18" s="366" t="s">
        <v>231</v>
      </c>
      <c r="C18" s="366" t="s">
        <v>393</v>
      </c>
      <c r="D18" s="367" t="s">
        <v>378</v>
      </c>
      <c r="E18" s="367"/>
    </row>
    <row r="20" spans="1:17" ht="15" customHeight="1">
      <c r="P20" s="342" t="s">
        <v>222</v>
      </c>
      <c r="Q20" s="342" t="s">
        <v>384</v>
      </c>
    </row>
    <row r="21" spans="1:17" ht="15" customHeight="1">
      <c r="A21" s="363" t="s">
        <v>379</v>
      </c>
      <c r="P21" s="342" t="s">
        <v>323</v>
      </c>
      <c r="Q21" s="342">
        <v>2</v>
      </c>
    </row>
    <row r="22" spans="1:17" ht="41.5" customHeight="1">
      <c r="A22" s="360">
        <v>1</v>
      </c>
      <c r="B22" s="367" t="s">
        <v>380</v>
      </c>
      <c r="C22" s="367"/>
      <c r="D22" s="367"/>
      <c r="E22" s="367"/>
      <c r="P22" s="342" t="s">
        <v>350</v>
      </c>
      <c r="Q22" s="342">
        <v>2</v>
      </c>
    </row>
    <row r="23" spans="1:17" ht="41.5" customHeight="1">
      <c r="A23" s="360">
        <v>2</v>
      </c>
      <c r="B23" s="367" t="s">
        <v>381</v>
      </c>
      <c r="C23" s="367"/>
      <c r="D23" s="367"/>
      <c r="E23" s="367"/>
      <c r="P23" s="342" t="s">
        <v>227</v>
      </c>
      <c r="Q23" s="342">
        <v>2</v>
      </c>
    </row>
    <row r="24" spans="1:17" ht="41.5" customHeight="1">
      <c r="A24" s="360">
        <v>3</v>
      </c>
      <c r="B24" s="367" t="s">
        <v>382</v>
      </c>
      <c r="C24" s="367"/>
      <c r="D24" s="367"/>
      <c r="E24" s="367"/>
      <c r="P24" s="342" t="s">
        <v>385</v>
      </c>
      <c r="Q24" s="342">
        <v>3</v>
      </c>
    </row>
    <row r="25" spans="1:17" ht="41.5" customHeight="1">
      <c r="A25" s="360">
        <v>4</v>
      </c>
      <c r="B25" s="367" t="s">
        <v>383</v>
      </c>
      <c r="C25" s="367"/>
      <c r="D25" s="367"/>
      <c r="E25" s="367"/>
    </row>
    <row r="27" spans="1:17" ht="15" customHeight="1">
      <c r="A27" s="372" t="s">
        <v>386</v>
      </c>
      <c r="B27" s="372"/>
      <c r="C27" s="372"/>
      <c r="D27" s="372"/>
      <c r="E27" s="372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42" t="s">
        <v>194</v>
      </c>
      <c r="S40" s="342" t="s">
        <v>384</v>
      </c>
    </row>
    <row r="41" spans="18:19" ht="18" customHeight="1">
      <c r="R41" s="342" t="s">
        <v>307</v>
      </c>
      <c r="S41" s="342">
        <v>3</v>
      </c>
    </row>
    <row r="42" spans="18:19" ht="18" customHeight="1">
      <c r="R42" s="342" t="s">
        <v>354</v>
      </c>
      <c r="S42" s="342">
        <v>1</v>
      </c>
    </row>
    <row r="43" spans="18:19" ht="18" customHeight="1">
      <c r="R43" s="342" t="s">
        <v>322</v>
      </c>
      <c r="S43" s="342">
        <v>4</v>
      </c>
    </row>
    <row r="44" spans="18:19" ht="18" customHeight="1">
      <c r="R44" s="342" t="s">
        <v>206</v>
      </c>
      <c r="S44" s="342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368" t="s">
        <v>387</v>
      </c>
      <c r="B61" s="345"/>
      <c r="C61" s="345"/>
      <c r="D61" s="345"/>
      <c r="E61" s="345"/>
      <c r="F61" s="345"/>
      <c r="G61" s="345"/>
      <c r="H61" s="345"/>
      <c r="I61" s="345"/>
      <c r="J61" s="345"/>
      <c r="K61" s="345"/>
      <c r="L61" s="345"/>
    </row>
    <row r="63" spans="1:12" ht="15" customHeight="1">
      <c r="A63" s="360" t="s">
        <v>217</v>
      </c>
      <c r="B63" s="360" t="s">
        <v>229</v>
      </c>
      <c r="C63" s="360" t="s">
        <v>233</v>
      </c>
      <c r="D63" s="360" t="s">
        <v>225</v>
      </c>
      <c r="E63" s="360" t="s">
        <v>288</v>
      </c>
      <c r="F63" s="360" t="s">
        <v>323</v>
      </c>
      <c r="G63" s="360" t="s">
        <v>350</v>
      </c>
      <c r="H63" s="360" t="s">
        <v>227</v>
      </c>
      <c r="I63" s="360" t="s">
        <v>308</v>
      </c>
      <c r="J63" s="360" t="s">
        <v>306</v>
      </c>
      <c r="K63" s="360"/>
      <c r="L63" s="360"/>
    </row>
    <row r="64" spans="1:12" ht="42" customHeight="1">
      <c r="A64" s="369" t="s">
        <v>289</v>
      </c>
      <c r="B64" s="369">
        <v>1</v>
      </c>
      <c r="C64" s="370">
        <v>1.9607843137254902E-2</v>
      </c>
      <c r="D64" s="371">
        <v>0.625</v>
      </c>
      <c r="E64" s="371">
        <v>0.625</v>
      </c>
      <c r="F64" s="369">
        <v>0</v>
      </c>
      <c r="G64" s="369">
        <v>0</v>
      </c>
      <c r="H64" s="369">
        <v>0</v>
      </c>
      <c r="I64" s="366" t="s">
        <v>309</v>
      </c>
      <c r="J64" s="367" t="s">
        <v>291</v>
      </c>
      <c r="K64" s="367"/>
      <c r="L64" s="367"/>
    </row>
    <row r="65" spans="1:12" ht="42" customHeight="1">
      <c r="A65" s="369" t="s">
        <v>349</v>
      </c>
      <c r="B65" s="369">
        <v>1</v>
      </c>
      <c r="C65" s="370">
        <v>1.7241379310344827E-2</v>
      </c>
      <c r="D65" s="371">
        <v>0.22499999999999998</v>
      </c>
      <c r="E65" s="371">
        <v>0.22499999999999998</v>
      </c>
      <c r="F65" s="369">
        <v>1</v>
      </c>
      <c r="G65" s="369">
        <v>0</v>
      </c>
      <c r="H65" s="369">
        <v>0</v>
      </c>
      <c r="I65" s="366" t="s">
        <v>361</v>
      </c>
      <c r="J65" s="367" t="s">
        <v>325</v>
      </c>
      <c r="K65" s="367"/>
      <c r="L65" s="367"/>
    </row>
    <row r="66" spans="1:12" ht="42" customHeight="1">
      <c r="A66" s="369" t="s">
        <v>321</v>
      </c>
      <c r="B66" s="369">
        <v>1</v>
      </c>
      <c r="C66" s="370">
        <v>1.6949152542372881E-2</v>
      </c>
      <c r="D66" s="371">
        <v>0.5</v>
      </c>
      <c r="E66" s="371">
        <v>0.5</v>
      </c>
      <c r="F66" s="369">
        <v>1</v>
      </c>
      <c r="G66" s="369">
        <v>0</v>
      </c>
      <c r="H66" s="369">
        <v>0</v>
      </c>
      <c r="I66" s="366" t="s">
        <v>324</v>
      </c>
      <c r="J66" s="367" t="s">
        <v>325</v>
      </c>
      <c r="K66" s="367"/>
      <c r="L66" s="367"/>
    </row>
    <row r="67" spans="1:12" ht="42" customHeight="1">
      <c r="A67" s="369" t="s">
        <v>182</v>
      </c>
      <c r="B67" s="369">
        <v>1</v>
      </c>
      <c r="C67" s="370">
        <v>1.6393442622950821E-2</v>
      </c>
      <c r="D67" s="371">
        <v>1.6500000000000001</v>
      </c>
      <c r="E67" s="371">
        <v>1.6500000000000001</v>
      </c>
      <c r="F67" s="369">
        <v>0</v>
      </c>
      <c r="G67" s="369">
        <v>1</v>
      </c>
      <c r="H67" s="369">
        <v>0</v>
      </c>
      <c r="I67" s="366" t="s">
        <v>359</v>
      </c>
      <c r="J67" s="367" t="s">
        <v>351</v>
      </c>
      <c r="K67" s="367"/>
      <c r="L67" s="367"/>
    </row>
    <row r="68" spans="1:12" ht="42" customHeight="1">
      <c r="A68" s="369" t="s">
        <v>183</v>
      </c>
      <c r="B68" s="369">
        <v>2</v>
      </c>
      <c r="C68" s="370">
        <v>3.3898305084745763E-2</v>
      </c>
      <c r="D68" s="371">
        <v>1.5</v>
      </c>
      <c r="E68" s="371">
        <v>0.75</v>
      </c>
      <c r="F68" s="369">
        <v>0</v>
      </c>
      <c r="G68" s="369">
        <v>0</v>
      </c>
      <c r="H68" s="369">
        <v>1</v>
      </c>
      <c r="I68" s="366" t="s">
        <v>355</v>
      </c>
      <c r="J68" s="367" t="s">
        <v>327</v>
      </c>
      <c r="K68" s="367"/>
      <c r="L68" s="367"/>
    </row>
    <row r="69" spans="1:12" ht="42" customHeight="1">
      <c r="A69" s="369" t="s">
        <v>184</v>
      </c>
      <c r="B69" s="369">
        <v>1</v>
      </c>
      <c r="C69" s="370">
        <v>1.7241379310344827E-2</v>
      </c>
      <c r="D69" s="371">
        <v>0.75</v>
      </c>
      <c r="E69" s="371">
        <v>0.75</v>
      </c>
      <c r="F69" s="369">
        <v>0</v>
      </c>
      <c r="G69" s="369">
        <v>0</v>
      </c>
      <c r="H69" s="369">
        <v>0</v>
      </c>
      <c r="I69" s="366" t="s">
        <v>309</v>
      </c>
      <c r="J69" s="367" t="s">
        <v>291</v>
      </c>
      <c r="K69" s="367"/>
      <c r="L69" s="367"/>
    </row>
    <row r="70" spans="1:12" ht="42" customHeight="1">
      <c r="A70" s="369" t="s">
        <v>186</v>
      </c>
      <c r="B70" s="369">
        <v>1</v>
      </c>
      <c r="C70" s="370">
        <v>1.7543859649122806E-2</v>
      </c>
      <c r="D70" s="371">
        <v>2</v>
      </c>
      <c r="E70" s="371">
        <v>2</v>
      </c>
      <c r="F70" s="369">
        <v>0</v>
      </c>
      <c r="G70" s="369">
        <v>1</v>
      </c>
      <c r="H70" s="369">
        <v>0</v>
      </c>
      <c r="I70" s="366" t="s">
        <v>324</v>
      </c>
      <c r="J70" s="367" t="s">
        <v>351</v>
      </c>
      <c r="K70" s="367"/>
      <c r="L70" s="367"/>
    </row>
    <row r="71" spans="1:12" ht="42" customHeight="1">
      <c r="A71" s="369" t="s">
        <v>187</v>
      </c>
      <c r="B71" s="369">
        <v>1</v>
      </c>
      <c r="C71" s="370">
        <v>1.7857142857142856E-2</v>
      </c>
      <c r="D71" s="371">
        <v>1</v>
      </c>
      <c r="E71" s="371">
        <v>1</v>
      </c>
      <c r="F71" s="369">
        <v>0</v>
      </c>
      <c r="G71" s="369">
        <v>0</v>
      </c>
      <c r="H71" s="369">
        <v>1</v>
      </c>
      <c r="I71" s="366" t="s">
        <v>324</v>
      </c>
      <c r="J71" s="367" t="s">
        <v>327</v>
      </c>
      <c r="K71" s="367"/>
      <c r="L71" s="367"/>
    </row>
    <row r="75" spans="1:12" ht="15" customHeight="1">
      <c r="A75" s="373" t="s">
        <v>310</v>
      </c>
      <c r="B75" s="349"/>
      <c r="C75" s="349"/>
      <c r="D75" s="349"/>
      <c r="E75" s="349"/>
    </row>
    <row r="76" spans="1:12" ht="41.5" customHeight="1">
      <c r="A76" s="358" t="s">
        <v>232</v>
      </c>
      <c r="B76" s="365" t="s">
        <v>234</v>
      </c>
      <c r="C76" s="365"/>
      <c r="D76" s="365"/>
      <c r="E76" s="365"/>
    </row>
    <row r="77" spans="1:12" ht="41.5" customHeight="1">
      <c r="A77" s="358" t="s">
        <v>225</v>
      </c>
      <c r="B77" s="365" t="s">
        <v>311</v>
      </c>
      <c r="C77" s="365"/>
      <c r="D77" s="365"/>
      <c r="E77" s="365"/>
    </row>
    <row r="78" spans="1:12" ht="41.5" customHeight="1">
      <c r="A78" s="358" t="s">
        <v>287</v>
      </c>
      <c r="B78" s="365" t="s">
        <v>312</v>
      </c>
      <c r="C78" s="365"/>
      <c r="D78" s="365"/>
      <c r="E78" s="365"/>
    </row>
    <row r="79" spans="1:12" ht="41.5" customHeight="1">
      <c r="A79" s="358" t="s">
        <v>230</v>
      </c>
      <c r="B79" s="365" t="s">
        <v>313</v>
      </c>
      <c r="C79" s="365"/>
      <c r="D79" s="365"/>
      <c r="E79" s="365"/>
    </row>
    <row r="80" spans="1:12" ht="41.5" customHeight="1">
      <c r="A80" s="358" t="s">
        <v>226</v>
      </c>
      <c r="B80" s="365" t="s">
        <v>314</v>
      </c>
      <c r="C80" s="365"/>
      <c r="D80" s="365"/>
      <c r="E80" s="365"/>
    </row>
    <row r="81" spans="1:5" ht="41.5" customHeight="1">
      <c r="A81" s="358" t="s">
        <v>231</v>
      </c>
      <c r="B81" s="365" t="s">
        <v>315</v>
      </c>
      <c r="C81" s="365"/>
      <c r="D81" s="365"/>
      <c r="E81" s="365"/>
    </row>
    <row r="82" spans="1:5" ht="28" customHeight="1">
      <c r="A82" s="358" t="s">
        <v>228</v>
      </c>
      <c r="B82" s="365" t="s">
        <v>316</v>
      </c>
      <c r="C82" s="365"/>
      <c r="D82" s="365"/>
      <c r="E82" s="365"/>
    </row>
    <row r="83" spans="1:5" ht="28" customHeight="1">
      <c r="A83" s="358" t="s">
        <v>317</v>
      </c>
      <c r="B83" s="365" t="s">
        <v>318</v>
      </c>
      <c r="C83" s="365"/>
      <c r="D83" s="365"/>
      <c r="E83" s="365"/>
    </row>
  </sheetData>
  <sheetProtection algorithmName="SHA-512" hashValue="OYrOsUVbmp3rShJW5dihogGas06THhceqBXFRRLxuK4mWIi3mRB4JbqvXZpuMqO1VWTFecXsVIxCZzTtQLM37w==" saltValue="fOVDjFo9aAJ3GVGd3nasAA==" spinCount="100000" sheet="1" objects="1" scenarios="1"/>
  <mergeCells count="35"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  <mergeCell ref="J66:L66"/>
    <mergeCell ref="J67:L67"/>
    <mergeCell ref="D18:E18"/>
    <mergeCell ref="B22:E22"/>
    <mergeCell ref="B23:E23"/>
    <mergeCell ref="B24:E24"/>
    <mergeCell ref="B25:E25"/>
    <mergeCell ref="A27:E27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9bbj855IXZzbG0dkYYHJAsgsz7ZUFZB4jV6ILCyhJAy6HhRalzPZ3nwfLpMr+JQDQR0LARjwO8eniOq70YU8zg==" saltValue="tgX7zEr8YzZjcLxkyxbBiA==" spinCount="100000" sheet="1" objects="1" scenarios="1" sort="0" autoFilter="0"/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D15"/>
  <sheetViews>
    <sheetView workbookViewId="0"/>
  </sheetViews>
  <sheetFormatPr baseColWidth="10" defaultRowHeight="15"/>
  <sheetData>
    <row r="1" spans="1:940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</row>
    <row r="2" spans="1:940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</row>
    <row r="3" spans="1:940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</row>
    <row r="4" spans="1:940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</row>
    <row r="5" spans="1:940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</row>
    <row r="6" spans="1:940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</row>
    <row r="7" spans="1:940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</row>
    <row r="8" spans="1:940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</row>
    <row r="9" spans="1:940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</row>
    <row r="10" spans="1:940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</row>
    <row r="11" spans="1:940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</row>
    <row r="12" spans="1:940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</row>
    <row r="13" spans="1:940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40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40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sheetProtection algorithmName="SHA-512" hashValue="7AHGf4LHZ+heW4IBhGXSKIdyGzajMn9Vk3srtqT+hD8QM00rBXEIc8FfD3z3t1/bmYJEnRO6/H7A+htwlmV64Q==" saltValue="y0bV6RDuf7bt7njXoOPvDQ==" spinCount="100000" sheet="1" objects="1" scenarios="1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3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</sheetData>
  <sheetProtection algorithmName="SHA-512" hashValue="RzlfFeQ7WNZhWGdqFYHN7D2rOY6JmvCHluSXPpr0yZS3FO8faThHouZu2W96SctNS7kjQWTsXs0yEyCGGhsiDA==" saltValue="MbaPgbFCjyuY/0HT1fUaCg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717</vt:i4>
      </vt:variant>
    </vt:vector>
  </HeadingPairs>
  <TitlesOfParts>
    <vt:vector size="733" baseType="lpstr">
      <vt:lpstr>LOHNTABELLE</vt:lpstr>
      <vt:lpstr>EINSTELLUNG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2026-05-22T05:33:00Z</dcterms:modified>
  <cp:category/>
  <cp:contentStatus/>
</cp:coreProperties>
</file>